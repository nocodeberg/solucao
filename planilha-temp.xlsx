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codeName="EstaPasta_de_trabalho" defaultThemeVersion="124226"/>
  <mc:AlternateContent xmlns:mc="http://schemas.openxmlformats.org/markup-compatibility/2006">
    <mc:Choice Requires="x15">
      <x15ac:absPath xmlns:x15ac="http://schemas.microsoft.com/office/spreadsheetml/2010/11/ac" url="https://d.docs.live.net/4d8e82ca095d08ff/Documentos/projetos/Clayton Malta/"/>
    </mc:Choice>
  </mc:AlternateContent>
  <xr:revisionPtr revIDLastSave="0" documentId="8_{720CF676-4528-49EA-9C82-6202A52AD456}" xr6:coauthVersionLast="47" xr6:coauthVersionMax="47" xr10:uidLastSave="{00000000-0000-0000-0000-000000000000}"/>
  <bookViews>
    <workbookView xWindow="-108" yWindow="-108" windowWidth="23256" windowHeight="12456" tabRatio="49" firstSheet="5" activeTab="20" xr2:uid="{00000000-000D-0000-FFFF-FFFF00000000}"/>
  </bookViews>
  <sheets>
    <sheet name="Menu" sheetId="39" r:id="rId1"/>
    <sheet name="Resumo de Custo" sheetId="36" r:id="rId2"/>
    <sheet name="Peças por Hora Galvanoplastia" sheetId="52" r:id="rId3"/>
    <sheet name="Custo Galvanoplastia" sheetId="45" r:id="rId4"/>
    <sheet name="Lnha 1 Zn Alc. Aut" sheetId="16" r:id="rId5"/>
    <sheet name="Linha 2 Zn Alc. Aut" sheetId="1" r:id="rId6"/>
    <sheet name="Linha 3 Zn Alc. Aut" sheetId="2" r:id="rId7"/>
    <sheet name="Linha 4 Zn Alc. Manual" sheetId="3" r:id="rId8"/>
    <sheet name="Linha 5 Zn Alc. Semi Aut." sheetId="4" r:id="rId9"/>
    <sheet name="Linha 6 ZnNí Semi Aut." sheetId="6" r:id="rId10"/>
    <sheet name="Linha 9 Pré Trat. Fosfato Aut." sheetId="7" r:id="rId11"/>
    <sheet name="E.T.E" sheetId="14" r:id="rId12"/>
    <sheet name="Transporte" sheetId="15" r:id="rId13"/>
    <sheet name="Manutenção" sheetId="49" r:id="rId14"/>
    <sheet name="Outros Custos" sheetId="48" r:id="rId15"/>
    <sheet name="M.O" sheetId="13" r:id="rId16"/>
    <sheet name="Resumo M.O" sheetId="31" r:id="rId17"/>
    <sheet name="Custos Variáveis" sheetId="34" r:id="rId18"/>
    <sheet name="Resumo Custos Variáveis" sheetId="32" r:id="rId19"/>
    <sheet name="Investimentos" sheetId="51" r:id="rId20"/>
    <sheet name="Cáculo de Área" sheetId="53"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Q15" i="36" l="1"/>
  <c r="EP15" i="36"/>
  <c r="EO15" i="36"/>
  <c r="EN15" i="36"/>
  <c r="EM15" i="36"/>
  <c r="EL15" i="36"/>
  <c r="EK15" i="36"/>
  <c r="EJ15" i="36"/>
  <c r="EI15" i="36"/>
  <c r="EH15" i="36"/>
  <c r="EG15" i="36"/>
  <c r="EF15" i="36"/>
  <c r="I124" i="53"/>
  <c r="S121" i="53"/>
  <c r="I121" i="53"/>
  <c r="S118" i="53"/>
  <c r="I118" i="53"/>
  <c r="S115" i="53"/>
  <c r="S112" i="53"/>
  <c r="I112" i="53"/>
  <c r="S109" i="53"/>
  <c r="I109" i="53"/>
  <c r="G82" i="53"/>
  <c r="O80" i="53"/>
  <c r="G66" i="53"/>
  <c r="O64" i="53"/>
  <c r="O52" i="53"/>
  <c r="G52" i="53"/>
  <c r="G44" i="53"/>
  <c r="O42" i="53"/>
  <c r="O34" i="53"/>
  <c r="G34" i="53"/>
  <c r="G24" i="53"/>
  <c r="O22" i="53"/>
  <c r="O14" i="53"/>
  <c r="G14" i="53"/>
  <c r="G106" i="53" s="1"/>
  <c r="I115" i="53" s="1"/>
  <c r="AN13" i="7"/>
  <c r="AK13" i="7"/>
  <c r="AH13" i="7"/>
  <c r="AE13" i="7"/>
  <c r="AB13" i="7"/>
  <c r="Y13" i="7"/>
  <c r="V13" i="7"/>
  <c r="S13" i="7"/>
  <c r="P13" i="7"/>
  <c r="J13" i="7"/>
  <c r="AN14" i="6"/>
  <c r="AN15" i="6"/>
  <c r="AK14" i="6"/>
  <c r="AK15" i="6"/>
  <c r="AH14" i="6"/>
  <c r="AH15" i="6"/>
  <c r="AE14" i="6"/>
  <c r="AE15" i="6"/>
  <c r="AB14" i="6"/>
  <c r="AB15" i="6"/>
  <c r="Y14" i="6"/>
  <c r="Y15" i="6"/>
  <c r="V15" i="6"/>
  <c r="S15" i="6"/>
  <c r="P15" i="6"/>
  <c r="M15" i="6"/>
  <c r="J14" i="6"/>
  <c r="J15" i="6"/>
  <c r="G15" i="6"/>
  <c r="AN14" i="4"/>
  <c r="AK14" i="4"/>
  <c r="AH14" i="4"/>
  <c r="AE14" i="4"/>
  <c r="AB14" i="4"/>
  <c r="Y14" i="4"/>
  <c r="V14" i="4"/>
  <c r="S14" i="4"/>
  <c r="P14" i="4"/>
  <c r="J14" i="4"/>
  <c r="J14" i="3"/>
  <c r="AN14" i="3"/>
  <c r="AK14" i="3"/>
  <c r="AH14" i="3"/>
  <c r="AE14" i="3"/>
  <c r="AB14" i="3"/>
  <c r="Y14" i="3"/>
  <c r="CM15" i="36"/>
  <c r="E7" i="51"/>
  <c r="F43" i="52"/>
  <c r="JI14" i="13"/>
  <c r="JJ14" i="13"/>
  <c r="JK14" i="13"/>
  <c r="JL14" i="13"/>
  <c r="JM14" i="13"/>
  <c r="JN14" i="13"/>
  <c r="JG14" i="13"/>
  <c r="KA14" i="13"/>
  <c r="JI15" i="13"/>
  <c r="JJ15" i="13"/>
  <c r="JN15" i="13" s="1"/>
  <c r="JK15" i="13"/>
  <c r="JL15" i="13" s="1"/>
  <c r="JM15" i="13"/>
  <c r="JG15" i="13"/>
  <c r="JU15" i="13" s="1"/>
  <c r="JT15" i="13"/>
  <c r="KA15" i="13"/>
  <c r="JI16" i="13"/>
  <c r="JJ16" i="13"/>
  <c r="JK16" i="13"/>
  <c r="JL16" i="13" s="1"/>
  <c r="JN16" i="13" s="1"/>
  <c r="JM16" i="13"/>
  <c r="JG16" i="13"/>
  <c r="JT16" i="13" s="1"/>
  <c r="JU16" i="13"/>
  <c r="JV16" i="13"/>
  <c r="JW16" i="13"/>
  <c r="JX16" i="13"/>
  <c r="KA16" i="13"/>
  <c r="JI17" i="13"/>
  <c r="JJ17" i="13"/>
  <c r="JK17" i="13"/>
  <c r="JL17" i="13" s="1"/>
  <c r="JN17" i="13" s="1"/>
  <c r="JM17" i="13"/>
  <c r="JG17" i="13"/>
  <c r="JV17" i="13" s="1"/>
  <c r="JT17" i="13"/>
  <c r="JU17" i="13"/>
  <c r="JX17" i="13"/>
  <c r="KA17" i="13"/>
  <c r="JI18" i="13"/>
  <c r="JJ18" i="13"/>
  <c r="JK18" i="13"/>
  <c r="JL18" i="13" s="1"/>
  <c r="JM18" i="13"/>
  <c r="JG18" i="13"/>
  <c r="JT18" i="13"/>
  <c r="JU18" i="13"/>
  <c r="JV18" i="13"/>
  <c r="JW18" i="13"/>
  <c r="JX18" i="13"/>
  <c r="KA18" i="13"/>
  <c r="JI19" i="13"/>
  <c r="JJ19" i="13"/>
  <c r="JK19" i="13"/>
  <c r="JL19" i="13" s="1"/>
  <c r="JN19" i="13" s="1"/>
  <c r="JM19" i="13"/>
  <c r="JG19" i="13"/>
  <c r="JT19" i="13"/>
  <c r="JU19" i="13"/>
  <c r="JY19" i="13" s="1"/>
  <c r="KB19" i="13" s="1"/>
  <c r="JV19" i="13"/>
  <c r="JW19" i="13"/>
  <c r="JX19" i="13"/>
  <c r="KA19" i="13"/>
  <c r="JI23" i="13"/>
  <c r="JJ23" i="13"/>
  <c r="JK23" i="13"/>
  <c r="JL23" i="13"/>
  <c r="JM23" i="13"/>
  <c r="JN23" i="13" s="1"/>
  <c r="JG23" i="13"/>
  <c r="JT23" i="13"/>
  <c r="KA23" i="13"/>
  <c r="JI24" i="13"/>
  <c r="JJ24" i="13"/>
  <c r="JK24" i="13"/>
  <c r="JL24" i="13" s="1"/>
  <c r="JM24" i="13"/>
  <c r="JG24" i="13"/>
  <c r="JX24" i="13" s="1"/>
  <c r="JT24" i="13"/>
  <c r="JU24" i="13"/>
  <c r="JV24" i="13"/>
  <c r="JW24" i="13"/>
  <c r="KA24" i="13"/>
  <c r="JI25" i="13"/>
  <c r="JJ25" i="13"/>
  <c r="JK25" i="13"/>
  <c r="JL25" i="13" s="1"/>
  <c r="JM25" i="13"/>
  <c r="JN25" i="13"/>
  <c r="JG25" i="13"/>
  <c r="JT25" i="13" s="1"/>
  <c r="JV25" i="13"/>
  <c r="JW25" i="13"/>
  <c r="JX25" i="13"/>
  <c r="KA25" i="13"/>
  <c r="JI26" i="13"/>
  <c r="JN26" i="13" s="1"/>
  <c r="JJ26" i="13"/>
  <c r="JK26" i="13"/>
  <c r="JL26" i="13"/>
  <c r="JM26" i="13"/>
  <c r="JG26" i="13"/>
  <c r="JT26" i="13" s="1"/>
  <c r="JU26" i="13"/>
  <c r="KA26" i="13"/>
  <c r="JI30" i="13"/>
  <c r="JJ30" i="13"/>
  <c r="JK30" i="13"/>
  <c r="JL30" i="13" s="1"/>
  <c r="JM30" i="13"/>
  <c r="JG30" i="13"/>
  <c r="JT30" i="13" s="1"/>
  <c r="JU30" i="13"/>
  <c r="JV30" i="13"/>
  <c r="JX30" i="13"/>
  <c r="KA30" i="13"/>
  <c r="JI31" i="13"/>
  <c r="JJ31" i="13"/>
  <c r="JK31" i="13"/>
  <c r="JL31" i="13" s="1"/>
  <c r="JM31" i="13"/>
  <c r="JG31" i="13"/>
  <c r="JT31" i="13"/>
  <c r="JY31" i="13" s="1"/>
  <c r="JU31" i="13"/>
  <c r="JV31" i="13"/>
  <c r="JW31" i="13"/>
  <c r="JX31" i="13"/>
  <c r="KA31" i="13"/>
  <c r="JI32" i="13"/>
  <c r="JJ32" i="13"/>
  <c r="JK32" i="13"/>
  <c r="JL32" i="13"/>
  <c r="JM32" i="13"/>
  <c r="JN32" i="13"/>
  <c r="JG32" i="13"/>
  <c r="JT32" i="13" s="1"/>
  <c r="KA32" i="13"/>
  <c r="JI33" i="13"/>
  <c r="JJ33" i="13"/>
  <c r="JK33" i="13"/>
  <c r="JL33" i="13"/>
  <c r="JM33" i="13"/>
  <c r="JN33" i="13"/>
  <c r="JG33" i="13"/>
  <c r="JU33" i="13"/>
  <c r="KA33" i="13"/>
  <c r="JI34" i="13"/>
  <c r="JJ34" i="13"/>
  <c r="JK34" i="13"/>
  <c r="JL34" i="13"/>
  <c r="JM34" i="13"/>
  <c r="JG34" i="13"/>
  <c r="JT34" i="13"/>
  <c r="JU34" i="13"/>
  <c r="JV34" i="13"/>
  <c r="JW34" i="13"/>
  <c r="JX34" i="13"/>
  <c r="KA34" i="13"/>
  <c r="JI35" i="13"/>
  <c r="JN35" i="13" s="1"/>
  <c r="JJ35" i="13"/>
  <c r="JK35" i="13"/>
  <c r="JL35" i="13"/>
  <c r="JM35" i="13"/>
  <c r="JG35" i="13"/>
  <c r="JX35" i="13"/>
  <c r="KA35" i="13"/>
  <c r="JI36" i="13"/>
  <c r="JJ36" i="13"/>
  <c r="JK36" i="13"/>
  <c r="JL36" i="13"/>
  <c r="JM36" i="13"/>
  <c r="JG36" i="13"/>
  <c r="JT36" i="13" s="1"/>
  <c r="JV36" i="13"/>
  <c r="KA36" i="13"/>
  <c r="JI40" i="13"/>
  <c r="JJ40" i="13"/>
  <c r="JK40" i="13"/>
  <c r="JL40" i="13" s="1"/>
  <c r="JM40" i="13"/>
  <c r="JG40" i="13"/>
  <c r="KA40" i="13"/>
  <c r="JI41" i="13"/>
  <c r="JJ41" i="13"/>
  <c r="JK41" i="13"/>
  <c r="JL41" i="13" s="1"/>
  <c r="JM41" i="13"/>
  <c r="JG41" i="13"/>
  <c r="JT41" i="13"/>
  <c r="JU41" i="13"/>
  <c r="JV41" i="13"/>
  <c r="JW41" i="13"/>
  <c r="JX41" i="13"/>
  <c r="JY41" i="13" s="1"/>
  <c r="KA41" i="13"/>
  <c r="JI42" i="13"/>
  <c r="JJ42" i="13"/>
  <c r="JK42" i="13"/>
  <c r="JL42" i="13" s="1"/>
  <c r="JN42" i="13" s="1"/>
  <c r="JM42" i="13"/>
  <c r="JG42" i="13"/>
  <c r="JV42" i="13" s="1"/>
  <c r="JT42" i="13"/>
  <c r="JY42" i="13" s="1"/>
  <c r="KB42" i="13" s="1"/>
  <c r="JU42" i="13"/>
  <c r="JW42" i="13"/>
  <c r="JX42" i="13"/>
  <c r="KA42" i="13"/>
  <c r="JI43" i="13"/>
  <c r="JN43" i="13" s="1"/>
  <c r="JJ43" i="13"/>
  <c r="JK43" i="13"/>
  <c r="JL43" i="13"/>
  <c r="JM43" i="13"/>
  <c r="JG43" i="13"/>
  <c r="JT43" i="13" s="1"/>
  <c r="JU43" i="13"/>
  <c r="KA43" i="13"/>
  <c r="JI47" i="13"/>
  <c r="JJ47" i="13"/>
  <c r="JK47" i="13"/>
  <c r="JL47" i="13" s="1"/>
  <c r="JM47" i="13"/>
  <c r="JG47" i="13"/>
  <c r="JT47" i="13" s="1"/>
  <c r="JU47" i="13"/>
  <c r="JV47" i="13"/>
  <c r="JW47" i="13"/>
  <c r="JX47" i="13"/>
  <c r="KA47" i="13"/>
  <c r="JI48" i="13"/>
  <c r="JJ48" i="13"/>
  <c r="JK48" i="13"/>
  <c r="JL48" i="13" s="1"/>
  <c r="JM48" i="13"/>
  <c r="JG48" i="13"/>
  <c r="JV48" i="13"/>
  <c r="KA48" i="13"/>
  <c r="JI49" i="13"/>
  <c r="JJ49" i="13"/>
  <c r="JN49" i="13" s="1"/>
  <c r="JK49" i="13"/>
  <c r="JL49" i="13" s="1"/>
  <c r="JM49" i="13"/>
  <c r="JG49" i="13"/>
  <c r="JT49" i="13"/>
  <c r="JU49" i="13"/>
  <c r="JV49" i="13"/>
  <c r="JW49" i="13"/>
  <c r="JX49" i="13"/>
  <c r="KA49" i="13"/>
  <c r="JI50" i="13"/>
  <c r="JJ50" i="13"/>
  <c r="JK50" i="13"/>
  <c r="JL50" i="13" s="1"/>
  <c r="JN50" i="13" s="1"/>
  <c r="JM50" i="13"/>
  <c r="JG50" i="13"/>
  <c r="JV50" i="13" s="1"/>
  <c r="JT50" i="13"/>
  <c r="JU50" i="13"/>
  <c r="JW50" i="13"/>
  <c r="KA50" i="13"/>
  <c r="JI51" i="13"/>
  <c r="JJ51" i="13"/>
  <c r="JK51" i="13"/>
  <c r="JL51" i="13" s="1"/>
  <c r="JM51" i="13"/>
  <c r="JG51" i="13"/>
  <c r="JV51" i="13" s="1"/>
  <c r="JT51" i="13"/>
  <c r="JU51" i="13"/>
  <c r="JW51" i="13"/>
  <c r="KA51" i="13"/>
  <c r="JI52" i="13"/>
  <c r="JJ52" i="13"/>
  <c r="JK52" i="13"/>
  <c r="JL52" i="13" s="1"/>
  <c r="JN52" i="13" s="1"/>
  <c r="JM52" i="13"/>
  <c r="JG52" i="13"/>
  <c r="JT52" i="13"/>
  <c r="JU52" i="13"/>
  <c r="JV52" i="13"/>
  <c r="JW52" i="13"/>
  <c r="JX52" i="13"/>
  <c r="KA52" i="13"/>
  <c r="JI56" i="13"/>
  <c r="JN56" i="13" s="1"/>
  <c r="JJ56" i="13"/>
  <c r="JK56" i="13"/>
  <c r="JL56" i="13"/>
  <c r="JM56" i="13"/>
  <c r="JG56" i="13"/>
  <c r="JT56" i="13"/>
  <c r="JU56" i="13"/>
  <c r="KA56" i="13"/>
  <c r="JI57" i="13"/>
  <c r="JJ57" i="13"/>
  <c r="JK57" i="13"/>
  <c r="JL57" i="13"/>
  <c r="JM57" i="13"/>
  <c r="JG57" i="13"/>
  <c r="JT57" i="13"/>
  <c r="JU57" i="13"/>
  <c r="JV57" i="13"/>
  <c r="JW57" i="13"/>
  <c r="JX57" i="13"/>
  <c r="KA57" i="13"/>
  <c r="JI58" i="13"/>
  <c r="JN58" i="13" s="1"/>
  <c r="JJ58" i="13"/>
  <c r="JK58" i="13"/>
  <c r="JL58" i="13"/>
  <c r="JM58" i="13"/>
  <c r="JG58" i="13"/>
  <c r="JX58" i="13"/>
  <c r="KA58" i="13"/>
  <c r="JI59" i="13"/>
  <c r="JN59" i="13" s="1"/>
  <c r="JJ59" i="13"/>
  <c r="JK59" i="13"/>
  <c r="JL59" i="13" s="1"/>
  <c r="JM59" i="13"/>
  <c r="JG59" i="13"/>
  <c r="JU59" i="13" s="1"/>
  <c r="JT59" i="13"/>
  <c r="JV59" i="13"/>
  <c r="KA59" i="13"/>
  <c r="JI60" i="13"/>
  <c r="JJ60" i="13"/>
  <c r="JK60" i="13"/>
  <c r="JL60" i="13" s="1"/>
  <c r="JM60" i="13"/>
  <c r="JG60" i="13"/>
  <c r="JT60" i="13" s="1"/>
  <c r="JU60" i="13"/>
  <c r="JV60" i="13"/>
  <c r="JX60" i="13"/>
  <c r="KA60" i="13"/>
  <c r="JI61" i="13"/>
  <c r="JJ61" i="13"/>
  <c r="JK61" i="13"/>
  <c r="JL61" i="13" s="1"/>
  <c r="JN61" i="13" s="1"/>
  <c r="JM61" i="13"/>
  <c r="JG61" i="13"/>
  <c r="JT61" i="13" s="1"/>
  <c r="JU61" i="13"/>
  <c r="JW61" i="13"/>
  <c r="JX61" i="13"/>
  <c r="KA61" i="13"/>
  <c r="DI15" i="36"/>
  <c r="JI8" i="13"/>
  <c r="JJ8" i="13"/>
  <c r="JK8" i="13"/>
  <c r="JL8" i="13"/>
  <c r="JM8" i="13"/>
  <c r="JN8" i="13" s="1"/>
  <c r="JG8" i="13"/>
  <c r="JT8" i="13" s="1"/>
  <c r="KA8" i="13"/>
  <c r="JI9" i="13"/>
  <c r="JJ9" i="13"/>
  <c r="JK9" i="13"/>
  <c r="JL9" i="13" s="1"/>
  <c r="JM9" i="13"/>
  <c r="JG9" i="13"/>
  <c r="JX9" i="13" s="1"/>
  <c r="JT9" i="13"/>
  <c r="JU9" i="13"/>
  <c r="JV9" i="13"/>
  <c r="JW9" i="13"/>
  <c r="KA9" i="13"/>
  <c r="JI10" i="13"/>
  <c r="JJ10" i="13"/>
  <c r="JK10" i="13"/>
  <c r="JL10" i="13"/>
  <c r="JM10" i="13"/>
  <c r="JN10" i="13"/>
  <c r="JG10" i="13"/>
  <c r="JT10" i="13"/>
  <c r="JU10" i="13"/>
  <c r="JV10" i="13"/>
  <c r="JW10" i="13"/>
  <c r="JX10" i="13"/>
  <c r="KA10" i="13"/>
  <c r="IK14" i="13"/>
  <c r="IP14" i="13" s="1"/>
  <c r="IL14" i="13"/>
  <c r="IM14" i="13"/>
  <c r="IN14" i="13"/>
  <c r="IO14" i="13"/>
  <c r="II14" i="13"/>
  <c r="IV14" i="13" s="1"/>
  <c r="IW14" i="13"/>
  <c r="JC14" i="13"/>
  <c r="IK15" i="13"/>
  <c r="IL15" i="13"/>
  <c r="IM15" i="13"/>
  <c r="IN15" i="13"/>
  <c r="IO15" i="13"/>
  <c r="II15" i="13"/>
  <c r="IV15" i="13" s="1"/>
  <c r="IX15" i="13"/>
  <c r="IZ15" i="13"/>
  <c r="JC15" i="13"/>
  <c r="IK16" i="13"/>
  <c r="IL16" i="13"/>
  <c r="IM16" i="13"/>
  <c r="IN16" i="13"/>
  <c r="IP16" i="13" s="1"/>
  <c r="IO16" i="13"/>
  <c r="II16" i="13"/>
  <c r="JC16" i="13"/>
  <c r="IK17" i="13"/>
  <c r="IL17" i="13"/>
  <c r="IM17" i="13"/>
  <c r="IN17" i="13" s="1"/>
  <c r="IO17" i="13"/>
  <c r="II17" i="13"/>
  <c r="IV17" i="13"/>
  <c r="IW17" i="13"/>
  <c r="IX17" i="13"/>
  <c r="JC17" i="13"/>
  <c r="IK18" i="13"/>
  <c r="IL18" i="13"/>
  <c r="IM18" i="13"/>
  <c r="IN18" i="13" s="1"/>
  <c r="IO18" i="13"/>
  <c r="II18" i="13"/>
  <c r="IV18" i="13" s="1"/>
  <c r="IW18" i="13"/>
  <c r="IX18" i="13"/>
  <c r="IY18" i="13"/>
  <c r="IZ18" i="13"/>
  <c r="JA18" i="13"/>
  <c r="JC18" i="13"/>
  <c r="IK19" i="13"/>
  <c r="IL19" i="13"/>
  <c r="IP19" i="13" s="1"/>
  <c r="IM19" i="13"/>
  <c r="IN19" i="13"/>
  <c r="IO19" i="13"/>
  <c r="II19" i="13"/>
  <c r="JC19" i="13"/>
  <c r="IK23" i="13"/>
  <c r="IP23" i="13" s="1"/>
  <c r="IL23" i="13"/>
  <c r="IM23" i="13"/>
  <c r="IN23" i="13" s="1"/>
  <c r="IO23" i="13"/>
  <c r="II23" i="13"/>
  <c r="IW23" i="13" s="1"/>
  <c r="IV23" i="13"/>
  <c r="IX23" i="13"/>
  <c r="JC23" i="13"/>
  <c r="IK24" i="13"/>
  <c r="IL24" i="13"/>
  <c r="IM24" i="13"/>
  <c r="IN24" i="13"/>
  <c r="IO24" i="13"/>
  <c r="II24" i="13"/>
  <c r="IW24" i="13" s="1"/>
  <c r="IV24" i="13"/>
  <c r="IX24" i="13"/>
  <c r="IY24" i="13"/>
  <c r="JC24" i="13"/>
  <c r="IK25" i="13"/>
  <c r="IL25" i="13"/>
  <c r="IM25" i="13"/>
  <c r="IN25" i="13"/>
  <c r="IO25" i="13"/>
  <c r="IP25" i="13" s="1"/>
  <c r="II25" i="13"/>
  <c r="IV25" i="13"/>
  <c r="JC25" i="13"/>
  <c r="IK26" i="13"/>
  <c r="IL26" i="13"/>
  <c r="IM26" i="13"/>
  <c r="IN26" i="13" s="1"/>
  <c r="IO26" i="13"/>
  <c r="II26" i="13"/>
  <c r="IZ26" i="13" s="1"/>
  <c r="IV26" i="13"/>
  <c r="IW26" i="13"/>
  <c r="IX26" i="13"/>
  <c r="IY26" i="13"/>
  <c r="JC26" i="13"/>
  <c r="IK30" i="13"/>
  <c r="IL30" i="13"/>
  <c r="IM30" i="13"/>
  <c r="IN30" i="13" s="1"/>
  <c r="IO30" i="13"/>
  <c r="II30" i="13"/>
  <c r="IV30" i="13" s="1"/>
  <c r="JA30" i="13" s="1"/>
  <c r="IW30" i="13"/>
  <c r="IX30" i="13"/>
  <c r="IY30" i="13"/>
  <c r="IZ30" i="13"/>
  <c r="JC30" i="13"/>
  <c r="IK31" i="13"/>
  <c r="IL31" i="13"/>
  <c r="IP31" i="13" s="1"/>
  <c r="IM31" i="13"/>
  <c r="IN31" i="13" s="1"/>
  <c r="IO31" i="13"/>
  <c r="II31" i="13"/>
  <c r="IZ31" i="13" s="1"/>
  <c r="JC31" i="13"/>
  <c r="IK32" i="13"/>
  <c r="IL32" i="13"/>
  <c r="IM32" i="13"/>
  <c r="IN32" i="13" s="1"/>
  <c r="IO32" i="13"/>
  <c r="II32" i="13"/>
  <c r="IV32" i="13" s="1"/>
  <c r="IW32" i="13"/>
  <c r="JC32" i="13"/>
  <c r="IK33" i="13"/>
  <c r="IP33" i="13" s="1"/>
  <c r="IL33" i="13"/>
  <c r="IM33" i="13"/>
  <c r="IN33" i="13" s="1"/>
  <c r="IO33" i="13"/>
  <c r="II33" i="13"/>
  <c r="IW33" i="13" s="1"/>
  <c r="IV33" i="13"/>
  <c r="IX33" i="13"/>
  <c r="JC33" i="13"/>
  <c r="IK34" i="13"/>
  <c r="IL34" i="13"/>
  <c r="IM34" i="13"/>
  <c r="IN34" i="13"/>
  <c r="IO34" i="13"/>
  <c r="II34" i="13"/>
  <c r="IV34" i="13" s="1"/>
  <c r="IY34" i="13"/>
  <c r="JC34" i="13"/>
  <c r="IK35" i="13"/>
  <c r="IL35" i="13"/>
  <c r="IM35" i="13"/>
  <c r="IN35" i="13"/>
  <c r="IO35" i="13"/>
  <c r="IP35" i="13" s="1"/>
  <c r="II35" i="13"/>
  <c r="JC35" i="13"/>
  <c r="IK36" i="13"/>
  <c r="IL36" i="13"/>
  <c r="IM36" i="13"/>
  <c r="IN36" i="13" s="1"/>
  <c r="IO36" i="13"/>
  <c r="II36" i="13"/>
  <c r="IZ36" i="13" s="1"/>
  <c r="IV36" i="13"/>
  <c r="IW36" i="13"/>
  <c r="IX36" i="13"/>
  <c r="IY36" i="13"/>
  <c r="JC36" i="13"/>
  <c r="IK40" i="13"/>
  <c r="IL40" i="13"/>
  <c r="IM40" i="13"/>
  <c r="IN40" i="13" s="1"/>
  <c r="IO40" i="13"/>
  <c r="II40" i="13"/>
  <c r="IV40" i="13" s="1"/>
  <c r="IW40" i="13"/>
  <c r="IX40" i="13"/>
  <c r="IY40" i="13"/>
  <c r="IZ40" i="13"/>
  <c r="JC40" i="13"/>
  <c r="IK41" i="13"/>
  <c r="IP41" i="13" s="1"/>
  <c r="IL41" i="13"/>
  <c r="IM41" i="13"/>
  <c r="IN41" i="13" s="1"/>
  <c r="IO41" i="13"/>
  <c r="II41" i="13"/>
  <c r="IV41" i="13" s="1"/>
  <c r="IW41" i="13"/>
  <c r="IX41" i="13"/>
  <c r="IY41" i="13"/>
  <c r="IZ41" i="13"/>
  <c r="JC41" i="13"/>
  <c r="IK42" i="13"/>
  <c r="IL42" i="13"/>
  <c r="IM42" i="13"/>
  <c r="IN42" i="13"/>
  <c r="IP42" i="13" s="1"/>
  <c r="IO42" i="13"/>
  <c r="II42" i="13"/>
  <c r="JC42" i="13"/>
  <c r="IK43" i="13"/>
  <c r="IP43" i="13" s="1"/>
  <c r="IL43" i="13"/>
  <c r="IM43" i="13"/>
  <c r="IN43" i="13" s="1"/>
  <c r="IO43" i="13"/>
  <c r="II43" i="13"/>
  <c r="IV43" i="13"/>
  <c r="IW43" i="13"/>
  <c r="JC43" i="13"/>
  <c r="IK47" i="13"/>
  <c r="IL47" i="13"/>
  <c r="IM47" i="13"/>
  <c r="IN47" i="13" s="1"/>
  <c r="IO47" i="13"/>
  <c r="II47" i="13"/>
  <c r="IV47" i="13" s="1"/>
  <c r="JC47" i="13"/>
  <c r="IK48" i="13"/>
  <c r="IL48" i="13"/>
  <c r="IM48" i="13"/>
  <c r="IN48" i="13" s="1"/>
  <c r="IP48" i="13" s="1"/>
  <c r="IO48" i="13"/>
  <c r="II48" i="13"/>
  <c r="IV48" i="13" s="1"/>
  <c r="IW48" i="13"/>
  <c r="IZ48" i="13"/>
  <c r="JC48" i="13"/>
  <c r="IK49" i="13"/>
  <c r="IL49" i="13"/>
  <c r="IM49" i="13"/>
  <c r="IN49" i="13"/>
  <c r="IO49" i="13"/>
  <c r="IP49" i="13" s="1"/>
  <c r="II49" i="13"/>
  <c r="JC49" i="13"/>
  <c r="IK50" i="13"/>
  <c r="IL50" i="13"/>
  <c r="IM50" i="13"/>
  <c r="IN50" i="13" s="1"/>
  <c r="IO50" i="13"/>
  <c r="II50" i="13"/>
  <c r="IZ50" i="13" s="1"/>
  <c r="IV50" i="13"/>
  <c r="IW50" i="13"/>
  <c r="IX50" i="13"/>
  <c r="IY50" i="13"/>
  <c r="JC50" i="13"/>
  <c r="IK51" i="13"/>
  <c r="IL51" i="13"/>
  <c r="IM51" i="13"/>
  <c r="IN51" i="13"/>
  <c r="IO51" i="13"/>
  <c r="IP51" i="13"/>
  <c r="II51" i="13"/>
  <c r="IV51" i="13" s="1"/>
  <c r="IX51" i="13"/>
  <c r="IY51" i="13"/>
  <c r="IZ51" i="13"/>
  <c r="JC51" i="13"/>
  <c r="IK52" i="13"/>
  <c r="IL52" i="13"/>
  <c r="IM52" i="13"/>
  <c r="IN52" i="13" s="1"/>
  <c r="IO52" i="13"/>
  <c r="II52" i="13"/>
  <c r="IV52" i="13" s="1"/>
  <c r="IW52" i="13"/>
  <c r="JC52" i="13"/>
  <c r="IK56" i="13"/>
  <c r="IL56" i="13"/>
  <c r="IM56" i="13"/>
  <c r="IN56" i="13" s="1"/>
  <c r="IO56" i="13"/>
  <c r="II56" i="13"/>
  <c r="IV56" i="13" s="1"/>
  <c r="IX56" i="13"/>
  <c r="IZ56" i="13"/>
  <c r="JC56" i="13"/>
  <c r="IK57" i="13"/>
  <c r="IL57" i="13"/>
  <c r="IM57" i="13"/>
  <c r="IN57" i="13"/>
  <c r="IO57" i="13"/>
  <c r="IP57" i="13"/>
  <c r="II57" i="13"/>
  <c r="JC57" i="13"/>
  <c r="IK58" i="13"/>
  <c r="IP58" i="13" s="1"/>
  <c r="IL58" i="13"/>
  <c r="IM58" i="13"/>
  <c r="IN58" i="13" s="1"/>
  <c r="IO58" i="13"/>
  <c r="II58" i="13"/>
  <c r="IV58" i="13"/>
  <c r="IW58" i="13"/>
  <c r="JC58" i="13"/>
  <c r="IK59" i="13"/>
  <c r="IL59" i="13"/>
  <c r="IM59" i="13"/>
  <c r="IN59" i="13" s="1"/>
  <c r="IO59" i="13"/>
  <c r="II59" i="13"/>
  <c r="IZ59" i="13" s="1"/>
  <c r="IV59" i="13"/>
  <c r="IW59" i="13"/>
  <c r="IX59" i="13"/>
  <c r="IY59" i="13"/>
  <c r="JC59" i="13"/>
  <c r="IK60" i="13"/>
  <c r="IL60" i="13"/>
  <c r="IP60" i="13" s="1"/>
  <c r="IM60" i="13"/>
  <c r="IN60" i="13"/>
  <c r="IO60" i="13"/>
  <c r="II60" i="13"/>
  <c r="IV60" i="13" s="1"/>
  <c r="IW60" i="13"/>
  <c r="IX60" i="13"/>
  <c r="IY60" i="13"/>
  <c r="IZ60" i="13"/>
  <c r="JC60" i="13"/>
  <c r="IK61" i="13"/>
  <c r="IL61" i="13"/>
  <c r="IM61" i="13"/>
  <c r="IN61" i="13" s="1"/>
  <c r="IO61" i="13"/>
  <c r="II61" i="13"/>
  <c r="IZ61" i="13" s="1"/>
  <c r="JC61" i="13"/>
  <c r="CY15" i="36"/>
  <c r="IK8" i="13"/>
  <c r="IL8" i="13"/>
  <c r="IM8" i="13"/>
  <c r="IN8" i="13" s="1"/>
  <c r="IO8" i="13"/>
  <c r="II8" i="13"/>
  <c r="IV8" i="13" s="1"/>
  <c r="IW8" i="13"/>
  <c r="JC8" i="13"/>
  <c r="IK9" i="13"/>
  <c r="IL9" i="13"/>
  <c r="IM9" i="13"/>
  <c r="IN9" i="13"/>
  <c r="IO9" i="13"/>
  <c r="II9" i="13"/>
  <c r="IV9" i="13" s="1"/>
  <c r="IZ9" i="13"/>
  <c r="JC9" i="13"/>
  <c r="IK10" i="13"/>
  <c r="IL10" i="13"/>
  <c r="IM10" i="13"/>
  <c r="IO10" i="13"/>
  <c r="II10" i="13"/>
  <c r="IV10" i="13" s="1"/>
  <c r="IW10" i="13"/>
  <c r="IY10" i="13"/>
  <c r="IZ10" i="13"/>
  <c r="JC10" i="13"/>
  <c r="HM14" i="13"/>
  <c r="HN14" i="13"/>
  <c r="HO14" i="13"/>
  <c r="HP14" i="13"/>
  <c r="HQ14" i="13"/>
  <c r="HR14" i="13" s="1"/>
  <c r="HK14" i="13"/>
  <c r="IE14" i="13"/>
  <c r="HM15" i="13"/>
  <c r="HN15" i="13"/>
  <c r="HO15" i="13"/>
  <c r="HP15" i="13" s="1"/>
  <c r="HQ15" i="13"/>
  <c r="HK15" i="13"/>
  <c r="HX15" i="13"/>
  <c r="HY15" i="13"/>
  <c r="IE15" i="13"/>
  <c r="HM16" i="13"/>
  <c r="HN16" i="13"/>
  <c r="HO16" i="13"/>
  <c r="HP16" i="13"/>
  <c r="HQ16" i="13"/>
  <c r="HK16" i="13"/>
  <c r="HX16" i="13" s="1"/>
  <c r="HY16" i="13"/>
  <c r="HZ16" i="13"/>
  <c r="IA16" i="13"/>
  <c r="IB16" i="13"/>
  <c r="IE16" i="13"/>
  <c r="HM17" i="13"/>
  <c r="HN17" i="13"/>
  <c r="HO17" i="13"/>
  <c r="HP17" i="13" s="1"/>
  <c r="HQ17" i="13"/>
  <c r="HR17" i="13"/>
  <c r="HK17" i="13"/>
  <c r="HX17" i="13" s="1"/>
  <c r="IA17" i="13"/>
  <c r="IB17" i="13"/>
  <c r="IE17" i="13"/>
  <c r="HM18" i="13"/>
  <c r="HN18" i="13"/>
  <c r="HO18" i="13"/>
  <c r="HP18" i="13" s="1"/>
  <c r="HQ18" i="13"/>
  <c r="HK18" i="13"/>
  <c r="HX18" i="13" s="1"/>
  <c r="HY18" i="13"/>
  <c r="IE18" i="13"/>
  <c r="HM19" i="13"/>
  <c r="HN19" i="13"/>
  <c r="HO19" i="13"/>
  <c r="HP19" i="13" s="1"/>
  <c r="HQ19" i="13"/>
  <c r="HK19" i="13"/>
  <c r="HX19" i="13"/>
  <c r="HY19" i="13"/>
  <c r="HZ19" i="13"/>
  <c r="IA19" i="13"/>
  <c r="IB19" i="13"/>
  <c r="IE19" i="13"/>
  <c r="HM23" i="13"/>
  <c r="HN23" i="13"/>
  <c r="HO23" i="13"/>
  <c r="HP23" i="13"/>
  <c r="HQ23" i="13"/>
  <c r="HR23" i="13" s="1"/>
  <c r="HK23" i="13"/>
  <c r="IE23" i="13"/>
  <c r="HM24" i="13"/>
  <c r="HR24" i="13" s="1"/>
  <c r="HN24" i="13"/>
  <c r="HO24" i="13"/>
  <c r="HP24" i="13" s="1"/>
  <c r="HQ24" i="13"/>
  <c r="HK24" i="13"/>
  <c r="HX24" i="13" s="1"/>
  <c r="HZ24" i="13"/>
  <c r="IE24" i="13"/>
  <c r="HM25" i="13"/>
  <c r="HN25" i="13"/>
  <c r="HO25" i="13"/>
  <c r="HP25" i="13" s="1"/>
  <c r="HQ25" i="13"/>
  <c r="HK25" i="13"/>
  <c r="IB25" i="13" s="1"/>
  <c r="HX25" i="13"/>
  <c r="HY25" i="13"/>
  <c r="HZ25" i="13"/>
  <c r="IA25" i="13"/>
  <c r="IE25" i="13"/>
  <c r="HM26" i="13"/>
  <c r="HN26" i="13"/>
  <c r="HO26" i="13"/>
  <c r="HP26" i="13" s="1"/>
  <c r="HQ26" i="13"/>
  <c r="HK26" i="13"/>
  <c r="HX26" i="13" s="1"/>
  <c r="HZ26" i="13"/>
  <c r="IA26" i="13"/>
  <c r="IB26" i="13"/>
  <c r="IE26" i="13"/>
  <c r="HM30" i="13"/>
  <c r="HN30" i="13"/>
  <c r="HO30" i="13"/>
  <c r="HP30" i="13" s="1"/>
  <c r="HR30" i="13" s="1"/>
  <c r="HQ30" i="13"/>
  <c r="HK30" i="13"/>
  <c r="HX30" i="13" s="1"/>
  <c r="HY30" i="13"/>
  <c r="IA30" i="13"/>
  <c r="IB30" i="13"/>
  <c r="IE30" i="13"/>
  <c r="HM31" i="13"/>
  <c r="HR31" i="13" s="1"/>
  <c r="HN31" i="13"/>
  <c r="HO31" i="13"/>
  <c r="HP31" i="13" s="1"/>
  <c r="HQ31" i="13"/>
  <c r="HK31" i="13"/>
  <c r="HX31" i="13"/>
  <c r="HY31" i="13"/>
  <c r="HZ31" i="13"/>
  <c r="IA31" i="13"/>
  <c r="IB31" i="13"/>
  <c r="IE31" i="13"/>
  <c r="HM32" i="13"/>
  <c r="HN32" i="13"/>
  <c r="HO32" i="13"/>
  <c r="HP32" i="13" s="1"/>
  <c r="HQ32" i="13"/>
  <c r="HK32" i="13"/>
  <c r="HX32" i="13" s="1"/>
  <c r="IA32" i="13"/>
  <c r="IB32" i="13"/>
  <c r="IE32" i="13"/>
  <c r="HM33" i="13"/>
  <c r="HN33" i="13"/>
  <c r="HO33" i="13"/>
  <c r="HP33" i="13"/>
  <c r="HR33" i="13" s="1"/>
  <c r="HQ33" i="13"/>
  <c r="HK33" i="13"/>
  <c r="HX33" i="13" s="1"/>
  <c r="IB33" i="13"/>
  <c r="IE33" i="13"/>
  <c r="HM34" i="13"/>
  <c r="HR34" i="13" s="1"/>
  <c r="HN34" i="13"/>
  <c r="HO34" i="13"/>
  <c r="HP34" i="13" s="1"/>
  <c r="HQ34" i="13"/>
  <c r="HK34" i="13"/>
  <c r="HX34" i="13"/>
  <c r="HY34" i="13"/>
  <c r="IE34" i="13"/>
  <c r="HM35" i="13"/>
  <c r="HN35" i="13"/>
  <c r="HO35" i="13"/>
  <c r="HP35" i="13"/>
  <c r="HR35" i="13" s="1"/>
  <c r="HQ35" i="13"/>
  <c r="HK35" i="13"/>
  <c r="HX35" i="13" s="1"/>
  <c r="HY35" i="13"/>
  <c r="HZ35" i="13"/>
  <c r="IA35" i="13"/>
  <c r="IB35" i="13"/>
  <c r="IE35" i="13"/>
  <c r="HM36" i="13"/>
  <c r="HN36" i="13"/>
  <c r="HO36" i="13"/>
  <c r="HP36" i="13" s="1"/>
  <c r="HR36" i="13" s="1"/>
  <c r="HQ36" i="13"/>
  <c r="HK36" i="13"/>
  <c r="IB36" i="13"/>
  <c r="IE36" i="13"/>
  <c r="HM40" i="13"/>
  <c r="HN40" i="13"/>
  <c r="HO40" i="13"/>
  <c r="HP40" i="13" s="1"/>
  <c r="HQ40" i="13"/>
  <c r="HK40" i="13"/>
  <c r="HX40" i="13" s="1"/>
  <c r="IB40" i="13"/>
  <c r="IE40" i="13"/>
  <c r="HM41" i="13"/>
  <c r="HN41" i="13"/>
  <c r="HO41" i="13"/>
  <c r="HP41" i="13"/>
  <c r="HQ41" i="13"/>
  <c r="HR41" i="13" s="1"/>
  <c r="HK41" i="13"/>
  <c r="IE41" i="13"/>
  <c r="HM42" i="13"/>
  <c r="HN42" i="13"/>
  <c r="HO42" i="13"/>
  <c r="HP42" i="13" s="1"/>
  <c r="HQ42" i="13"/>
  <c r="HK42" i="13"/>
  <c r="HX42" i="13" s="1"/>
  <c r="HY42" i="13"/>
  <c r="IE42" i="13"/>
  <c r="HM43" i="13"/>
  <c r="HN43" i="13"/>
  <c r="HO43" i="13"/>
  <c r="HP43" i="13"/>
  <c r="HQ43" i="13"/>
  <c r="HK43" i="13"/>
  <c r="HX43" i="13" s="1"/>
  <c r="HY43" i="13"/>
  <c r="HZ43" i="13"/>
  <c r="IA43" i="13"/>
  <c r="IB43" i="13"/>
  <c r="IE43" i="13"/>
  <c r="HM47" i="13"/>
  <c r="HN47" i="13"/>
  <c r="HO47" i="13"/>
  <c r="HP47" i="13" s="1"/>
  <c r="HQ47" i="13"/>
  <c r="HK47" i="13"/>
  <c r="HX47" i="13" s="1"/>
  <c r="HY47" i="13"/>
  <c r="IE47" i="13"/>
  <c r="HM48" i="13"/>
  <c r="HN48" i="13"/>
  <c r="HO48" i="13"/>
  <c r="HP48" i="13"/>
  <c r="HQ48" i="13"/>
  <c r="HK48" i="13"/>
  <c r="HX48" i="13" s="1"/>
  <c r="HZ48" i="13"/>
  <c r="IA48" i="13"/>
  <c r="IB48" i="13"/>
  <c r="IE48" i="13"/>
  <c r="HM49" i="13"/>
  <c r="HN49" i="13"/>
  <c r="HO49" i="13"/>
  <c r="HP49" i="13"/>
  <c r="HQ49" i="13"/>
  <c r="HK49" i="13"/>
  <c r="IE49" i="13"/>
  <c r="HM50" i="13"/>
  <c r="HN50" i="13"/>
  <c r="HO50" i="13"/>
  <c r="HP50" i="13" s="1"/>
  <c r="HQ50" i="13"/>
  <c r="HK50" i="13"/>
  <c r="HY50" i="13" s="1"/>
  <c r="HX50" i="13"/>
  <c r="IE50" i="13"/>
  <c r="HM51" i="13"/>
  <c r="HN51" i="13"/>
  <c r="HO51" i="13"/>
  <c r="HP51" i="13" s="1"/>
  <c r="HQ51" i="13"/>
  <c r="HK51" i="13"/>
  <c r="HX51" i="13" s="1"/>
  <c r="HZ51" i="13"/>
  <c r="IA51" i="13"/>
  <c r="IB51" i="13"/>
  <c r="IE51" i="13"/>
  <c r="HM52" i="13"/>
  <c r="HN52" i="13"/>
  <c r="HO52" i="13"/>
  <c r="HP52" i="13" s="1"/>
  <c r="HQ52" i="13"/>
  <c r="HK52" i="13"/>
  <c r="IB52" i="13" s="1"/>
  <c r="IE52" i="13"/>
  <c r="HM56" i="13"/>
  <c r="HN56" i="13"/>
  <c r="HO56" i="13"/>
  <c r="HP56" i="13" s="1"/>
  <c r="HQ56" i="13"/>
  <c r="HK56" i="13"/>
  <c r="HX56" i="13" s="1"/>
  <c r="HY56" i="13"/>
  <c r="IE56" i="13"/>
  <c r="HM57" i="13"/>
  <c r="HN57" i="13"/>
  <c r="HO57" i="13"/>
  <c r="HP57" i="13" s="1"/>
  <c r="HQ57" i="13"/>
  <c r="HK57" i="13"/>
  <c r="HX57" i="13" s="1"/>
  <c r="IA57" i="13"/>
  <c r="IE57" i="13"/>
  <c r="HM58" i="13"/>
  <c r="HN58" i="13"/>
  <c r="HO58" i="13"/>
  <c r="HP58" i="13"/>
  <c r="HQ58" i="13"/>
  <c r="HK58" i="13"/>
  <c r="HX58" i="13"/>
  <c r="HY58" i="13"/>
  <c r="HZ58" i="13"/>
  <c r="IA58" i="13"/>
  <c r="IB58" i="13"/>
  <c r="IE58" i="13"/>
  <c r="HM59" i="13"/>
  <c r="HN59" i="13"/>
  <c r="HO59" i="13"/>
  <c r="HP59" i="13" s="1"/>
  <c r="HQ59" i="13"/>
  <c r="HK59" i="13"/>
  <c r="HX59" i="13" s="1"/>
  <c r="HY59" i="13"/>
  <c r="HZ59" i="13"/>
  <c r="IA59" i="13"/>
  <c r="IB59" i="13"/>
  <c r="IC59" i="13"/>
  <c r="IE59" i="13"/>
  <c r="HM60" i="13"/>
  <c r="HN60" i="13"/>
  <c r="HO60" i="13"/>
  <c r="HP60" i="13"/>
  <c r="HR60" i="13" s="1"/>
  <c r="HQ60" i="13"/>
  <c r="HK60" i="13"/>
  <c r="IE60" i="13"/>
  <c r="HM61" i="13"/>
  <c r="HN61" i="13"/>
  <c r="HO61" i="13"/>
  <c r="HP61" i="13"/>
  <c r="HQ61" i="13"/>
  <c r="HR61" i="13"/>
  <c r="HK61" i="13"/>
  <c r="HX61" i="13"/>
  <c r="IE61" i="13"/>
  <c r="CO15" i="36"/>
  <c r="HM8" i="13"/>
  <c r="HR8" i="13" s="1"/>
  <c r="HN8" i="13"/>
  <c r="HO8" i="13"/>
  <c r="HP8" i="13" s="1"/>
  <c r="HQ8" i="13"/>
  <c r="HK8" i="13"/>
  <c r="HX8" i="13" s="1"/>
  <c r="IE8" i="13"/>
  <c r="HM9" i="13"/>
  <c r="HN9" i="13"/>
  <c r="HO9" i="13"/>
  <c r="HP9" i="13"/>
  <c r="HQ9" i="13"/>
  <c r="HK9" i="13"/>
  <c r="HX9" i="13" s="1"/>
  <c r="HY9" i="13"/>
  <c r="HZ9" i="13"/>
  <c r="IA9" i="13"/>
  <c r="IB9" i="13"/>
  <c r="IE9" i="13"/>
  <c r="HM10" i="13"/>
  <c r="HN10" i="13"/>
  <c r="HO10" i="13"/>
  <c r="HP10" i="13" s="1"/>
  <c r="HR10" i="13" s="1"/>
  <c r="HQ10" i="13"/>
  <c r="HK10" i="13"/>
  <c r="IE10" i="13"/>
  <c r="GO14" i="13"/>
  <c r="GP14" i="13"/>
  <c r="GQ14" i="13"/>
  <c r="GR14" i="13" s="1"/>
  <c r="GS14" i="13"/>
  <c r="GM14" i="13"/>
  <c r="GZ14" i="13" s="1"/>
  <c r="HA14" i="13"/>
  <c r="HB14" i="13"/>
  <c r="HG14" i="13"/>
  <c r="GO15" i="13"/>
  <c r="GP15" i="13"/>
  <c r="GQ15" i="13"/>
  <c r="GR15" i="13" s="1"/>
  <c r="GS15" i="13"/>
  <c r="GM15" i="13"/>
  <c r="GZ15" i="13" s="1"/>
  <c r="HA15" i="13"/>
  <c r="HB15" i="13"/>
  <c r="HC15" i="13"/>
  <c r="HD15" i="13"/>
  <c r="HG15" i="13"/>
  <c r="GO16" i="13"/>
  <c r="GP16" i="13"/>
  <c r="GQ16" i="13"/>
  <c r="GR16" i="13" s="1"/>
  <c r="GT16" i="13" s="1"/>
  <c r="GS16" i="13"/>
  <c r="GM16" i="13"/>
  <c r="GZ16" i="13"/>
  <c r="HG16" i="13"/>
  <c r="GO17" i="13"/>
  <c r="GP17" i="13"/>
  <c r="GQ17" i="13"/>
  <c r="GR17" i="13" s="1"/>
  <c r="GS17" i="13"/>
  <c r="GM17" i="13"/>
  <c r="GZ17" i="13"/>
  <c r="HA17" i="13"/>
  <c r="HB17" i="13"/>
  <c r="HC17" i="13"/>
  <c r="HD17" i="13"/>
  <c r="HG17" i="13"/>
  <c r="GO18" i="13"/>
  <c r="GP18" i="13"/>
  <c r="GQ18" i="13"/>
  <c r="GR18" i="13" s="1"/>
  <c r="GS18" i="13"/>
  <c r="GT18" i="13"/>
  <c r="GM18" i="13"/>
  <c r="GZ18" i="13" s="1"/>
  <c r="HA18" i="13"/>
  <c r="HC18" i="13"/>
  <c r="HD18" i="13"/>
  <c r="HG18" i="13"/>
  <c r="GO19" i="13"/>
  <c r="GP19" i="13"/>
  <c r="GQ19" i="13"/>
  <c r="GR19" i="13" s="1"/>
  <c r="GS19" i="13"/>
  <c r="GM19" i="13"/>
  <c r="HA19" i="13" s="1"/>
  <c r="GZ19" i="13"/>
  <c r="HG19" i="13"/>
  <c r="GO23" i="13"/>
  <c r="GP23" i="13"/>
  <c r="GQ23" i="13"/>
  <c r="GR23" i="13" s="1"/>
  <c r="GS23" i="13"/>
  <c r="GM23" i="13"/>
  <c r="GZ23" i="13" s="1"/>
  <c r="HB23" i="13"/>
  <c r="HC23" i="13"/>
  <c r="HG23" i="13"/>
  <c r="GO24" i="13"/>
  <c r="GP24" i="13"/>
  <c r="GQ24" i="13"/>
  <c r="GR24" i="13"/>
  <c r="GS24" i="13"/>
  <c r="GM24" i="13"/>
  <c r="GZ24" i="13" s="1"/>
  <c r="HA24" i="13"/>
  <c r="HG24" i="13"/>
  <c r="GO25" i="13"/>
  <c r="GT25" i="13" s="1"/>
  <c r="GP25" i="13"/>
  <c r="GQ25" i="13"/>
  <c r="GR25" i="13"/>
  <c r="GS25" i="13"/>
  <c r="GM25" i="13"/>
  <c r="GZ25" i="13"/>
  <c r="HA25" i="13"/>
  <c r="HG25" i="13"/>
  <c r="GO26" i="13"/>
  <c r="GP26" i="13"/>
  <c r="GQ26" i="13"/>
  <c r="GR26" i="13"/>
  <c r="GS26" i="13"/>
  <c r="GM26" i="13"/>
  <c r="GZ26" i="13" s="1"/>
  <c r="HA26" i="13"/>
  <c r="HB26" i="13"/>
  <c r="HC26" i="13"/>
  <c r="HD26" i="13"/>
  <c r="HG26" i="13"/>
  <c r="GO30" i="13"/>
  <c r="GP30" i="13"/>
  <c r="GQ30" i="13"/>
  <c r="GR30" i="13" s="1"/>
  <c r="GS30" i="13"/>
  <c r="GT30" i="13"/>
  <c r="GM30" i="13"/>
  <c r="GZ30" i="13" s="1"/>
  <c r="HC30" i="13"/>
  <c r="HD30" i="13"/>
  <c r="HG30" i="13"/>
  <c r="GO31" i="13"/>
  <c r="GP31" i="13"/>
  <c r="GQ31" i="13"/>
  <c r="GR31" i="13" s="1"/>
  <c r="GS31" i="13"/>
  <c r="GM31" i="13"/>
  <c r="HA31" i="13" s="1"/>
  <c r="GZ31" i="13"/>
  <c r="HG31" i="13"/>
  <c r="GO32" i="13"/>
  <c r="GP32" i="13"/>
  <c r="GQ32" i="13"/>
  <c r="GR32" i="13" s="1"/>
  <c r="GS32" i="13"/>
  <c r="GM32" i="13"/>
  <c r="HC32" i="13" s="1"/>
  <c r="GZ32" i="13"/>
  <c r="HA32" i="13"/>
  <c r="HB32" i="13"/>
  <c r="HD32" i="13"/>
  <c r="HG32" i="13"/>
  <c r="GO33" i="13"/>
  <c r="GP33" i="13"/>
  <c r="GQ33" i="13"/>
  <c r="GR33" i="13" s="1"/>
  <c r="GS33" i="13"/>
  <c r="GM33" i="13"/>
  <c r="GZ33" i="13" s="1"/>
  <c r="HA33" i="13"/>
  <c r="HB33" i="13"/>
  <c r="HC33" i="13"/>
  <c r="HD33" i="13"/>
  <c r="HG33" i="13"/>
  <c r="GO34" i="13"/>
  <c r="GP34" i="13"/>
  <c r="GQ34" i="13"/>
  <c r="GR34" i="13" s="1"/>
  <c r="GT34" i="13" s="1"/>
  <c r="GS34" i="13"/>
  <c r="GM34" i="13"/>
  <c r="GZ34" i="13" s="1"/>
  <c r="HA34" i="13"/>
  <c r="HD34" i="13"/>
  <c r="HG34" i="13"/>
  <c r="GO35" i="13"/>
  <c r="GP35" i="13"/>
  <c r="GQ35" i="13"/>
  <c r="GR35" i="13" s="1"/>
  <c r="GS35" i="13"/>
  <c r="GT35" i="13"/>
  <c r="GM35" i="13"/>
  <c r="HA35" i="13" s="1"/>
  <c r="HG35" i="13"/>
  <c r="GO36" i="13"/>
  <c r="GP36" i="13"/>
  <c r="GQ36" i="13"/>
  <c r="GR36" i="13"/>
  <c r="GS36" i="13"/>
  <c r="GM36" i="13"/>
  <c r="GZ36" i="13" s="1"/>
  <c r="HE36" i="13" s="1"/>
  <c r="HA36" i="13"/>
  <c r="HB36" i="13"/>
  <c r="HC36" i="13"/>
  <c r="HD36" i="13"/>
  <c r="HG36" i="13"/>
  <c r="GO40" i="13"/>
  <c r="GP40" i="13"/>
  <c r="GQ40" i="13"/>
  <c r="GR40" i="13" s="1"/>
  <c r="GT40" i="13" s="1"/>
  <c r="GS40" i="13"/>
  <c r="GM40" i="13"/>
  <c r="GZ40" i="13" s="1"/>
  <c r="HG40" i="13"/>
  <c r="GO41" i="13"/>
  <c r="GP41" i="13"/>
  <c r="GQ41" i="13"/>
  <c r="GR41" i="13" s="1"/>
  <c r="GS41" i="13"/>
  <c r="GT41" i="13"/>
  <c r="GM41" i="13"/>
  <c r="GZ41" i="13"/>
  <c r="HA41" i="13"/>
  <c r="HG41" i="13"/>
  <c r="GO42" i="13"/>
  <c r="GP42" i="13"/>
  <c r="GT42" i="13" s="1"/>
  <c r="GQ42" i="13"/>
  <c r="GR42" i="13"/>
  <c r="GS42" i="13"/>
  <c r="GM42" i="13"/>
  <c r="GZ42" i="13" s="1"/>
  <c r="HA42" i="13"/>
  <c r="HB42" i="13"/>
  <c r="HC42" i="13"/>
  <c r="HD42" i="13"/>
  <c r="HG42" i="13"/>
  <c r="GO43" i="13"/>
  <c r="GP43" i="13"/>
  <c r="GQ43" i="13"/>
  <c r="GR43" i="13" s="1"/>
  <c r="GT43" i="13" s="1"/>
  <c r="GS43" i="13"/>
  <c r="GM43" i="13"/>
  <c r="HD43" i="13"/>
  <c r="HG43" i="13"/>
  <c r="GO47" i="13"/>
  <c r="GP47" i="13"/>
  <c r="HD49" i="13" s="1"/>
  <c r="GQ47" i="13"/>
  <c r="GR47" i="13" s="1"/>
  <c r="GS47" i="13"/>
  <c r="GM47" i="13"/>
  <c r="HA47" i="13" s="1"/>
  <c r="HG47" i="13"/>
  <c r="GO48" i="13"/>
  <c r="GT48" i="13" s="1"/>
  <c r="GP48" i="13"/>
  <c r="HD50" i="13" s="1"/>
  <c r="GQ48" i="13"/>
  <c r="GR48" i="13" s="1"/>
  <c r="GS48" i="13"/>
  <c r="GM48" i="13"/>
  <c r="GZ48" i="13"/>
  <c r="HA48" i="13"/>
  <c r="HB48" i="13"/>
  <c r="HC48" i="13"/>
  <c r="HD48" i="13"/>
  <c r="HG48" i="13"/>
  <c r="GO49" i="13"/>
  <c r="GP49" i="13"/>
  <c r="GQ49" i="13"/>
  <c r="GR49" i="13" s="1"/>
  <c r="GS49" i="13"/>
  <c r="GT49" i="13"/>
  <c r="GM49" i="13"/>
  <c r="GZ49" i="13" s="1"/>
  <c r="HC49" i="13"/>
  <c r="HG49" i="13"/>
  <c r="GO50" i="13"/>
  <c r="GT50" i="13" s="1"/>
  <c r="GP50" i="13"/>
  <c r="GQ50" i="13"/>
  <c r="GR50" i="13"/>
  <c r="GS50" i="13"/>
  <c r="GM50" i="13"/>
  <c r="GZ50" i="13"/>
  <c r="HE50" i="13" s="1"/>
  <c r="HH50" i="13" s="1"/>
  <c r="HA50" i="13"/>
  <c r="HB50" i="13"/>
  <c r="HC50" i="13"/>
  <c r="HG50" i="13"/>
  <c r="GO51" i="13"/>
  <c r="GP51" i="13"/>
  <c r="GQ51" i="13"/>
  <c r="GR51" i="13" s="1"/>
  <c r="GS51" i="13"/>
  <c r="GM51" i="13"/>
  <c r="GZ51" i="13" s="1"/>
  <c r="HB51" i="13"/>
  <c r="HC51" i="13"/>
  <c r="HD51" i="13"/>
  <c r="HG51" i="13"/>
  <c r="GO52" i="13"/>
  <c r="GP52" i="13"/>
  <c r="GQ52" i="13"/>
  <c r="GS52" i="13"/>
  <c r="GM52" i="13"/>
  <c r="GZ52" i="13" s="1"/>
  <c r="HG52" i="13"/>
  <c r="GO56" i="13"/>
  <c r="GT56" i="13" s="1"/>
  <c r="GP56" i="13"/>
  <c r="GQ56" i="13"/>
  <c r="GR56" i="13" s="1"/>
  <c r="GS56" i="13"/>
  <c r="GM56" i="13"/>
  <c r="GZ56" i="13"/>
  <c r="HA56" i="13"/>
  <c r="HG56" i="13"/>
  <c r="GO57" i="13"/>
  <c r="GP57" i="13"/>
  <c r="GQ57" i="13"/>
  <c r="GR57" i="13"/>
  <c r="GS57" i="13"/>
  <c r="GM57" i="13"/>
  <c r="GZ57" i="13" s="1"/>
  <c r="HA57" i="13"/>
  <c r="HB57" i="13"/>
  <c r="HC57" i="13"/>
  <c r="HD57" i="13"/>
  <c r="HG57" i="13"/>
  <c r="GO58" i="13"/>
  <c r="GP58" i="13"/>
  <c r="GQ58" i="13"/>
  <c r="GR58" i="13" s="1"/>
  <c r="GT58" i="13" s="1"/>
  <c r="GS58" i="13"/>
  <c r="GM58" i="13"/>
  <c r="HG58" i="13"/>
  <c r="GO59" i="13"/>
  <c r="GP59" i="13"/>
  <c r="GQ59" i="13"/>
  <c r="GR59" i="13" s="1"/>
  <c r="GS59" i="13"/>
  <c r="GM59" i="13"/>
  <c r="GZ59" i="13" s="1"/>
  <c r="HA59" i="13"/>
  <c r="HB59" i="13"/>
  <c r="HG59" i="13"/>
  <c r="GO60" i="13"/>
  <c r="GP60" i="13"/>
  <c r="GQ60" i="13"/>
  <c r="GR60" i="13"/>
  <c r="GS60" i="13"/>
  <c r="GM60" i="13"/>
  <c r="GZ60" i="13" s="1"/>
  <c r="HD60" i="13"/>
  <c r="HG60" i="13"/>
  <c r="GO61" i="13"/>
  <c r="GP61" i="13"/>
  <c r="GQ61" i="13"/>
  <c r="GR61" i="13" s="1"/>
  <c r="GS61" i="13"/>
  <c r="GT61" i="13"/>
  <c r="GM61" i="13"/>
  <c r="GZ61" i="13" s="1"/>
  <c r="HG61" i="13"/>
  <c r="CE15" i="36"/>
  <c r="GO8" i="13"/>
  <c r="GP8" i="13"/>
  <c r="GQ8" i="13"/>
  <c r="GR8" i="13" s="1"/>
  <c r="GS8" i="13"/>
  <c r="GT8" i="13"/>
  <c r="GM8" i="13"/>
  <c r="HG8" i="13"/>
  <c r="GO9" i="13"/>
  <c r="GP9" i="13"/>
  <c r="GQ9" i="13"/>
  <c r="GR9" i="13"/>
  <c r="GS9" i="13"/>
  <c r="GM9" i="13"/>
  <c r="GZ9" i="13" s="1"/>
  <c r="HA9" i="13"/>
  <c r="HE9" i="13" s="1"/>
  <c r="HB9" i="13"/>
  <c r="HC9" i="13"/>
  <c r="HD9" i="13"/>
  <c r="HG9" i="13"/>
  <c r="GO10" i="13"/>
  <c r="GP10" i="13"/>
  <c r="GQ10" i="13"/>
  <c r="GR10" i="13" s="1"/>
  <c r="GT10" i="13" s="1"/>
  <c r="GS10" i="13"/>
  <c r="GM10" i="13"/>
  <c r="HG10" i="13"/>
  <c r="FQ14" i="13"/>
  <c r="FR14" i="13"/>
  <c r="FS14" i="13"/>
  <c r="FT14" i="13" s="1"/>
  <c r="FU14" i="13"/>
  <c r="FO14" i="13"/>
  <c r="GB14" i="13"/>
  <c r="GC14" i="13"/>
  <c r="GD14" i="13"/>
  <c r="GE14" i="13"/>
  <c r="GF14" i="13"/>
  <c r="GI14" i="13"/>
  <c r="FQ15" i="13"/>
  <c r="FR15" i="13"/>
  <c r="FS15" i="13"/>
  <c r="FT15" i="13" s="1"/>
  <c r="FU15" i="13"/>
  <c r="FO15" i="13"/>
  <c r="GB15" i="13"/>
  <c r="GC15" i="13"/>
  <c r="GG15" i="13" s="1"/>
  <c r="GD15" i="13"/>
  <c r="GE15" i="13"/>
  <c r="GF15" i="13"/>
  <c r="GI15" i="13"/>
  <c r="FQ16" i="13"/>
  <c r="FR16" i="13"/>
  <c r="FS16" i="13"/>
  <c r="FT16" i="13" s="1"/>
  <c r="FU16" i="13"/>
  <c r="FV16" i="13"/>
  <c r="FO16" i="13"/>
  <c r="GB16" i="13"/>
  <c r="GI16" i="13"/>
  <c r="FQ17" i="13"/>
  <c r="FR17" i="13"/>
  <c r="FS17" i="13"/>
  <c r="FT17" i="13" s="1"/>
  <c r="FU17" i="13"/>
  <c r="FO17" i="13"/>
  <c r="GB17" i="13"/>
  <c r="GC17" i="13"/>
  <c r="GD17" i="13"/>
  <c r="GE17" i="13"/>
  <c r="GF17" i="13"/>
  <c r="GI17" i="13"/>
  <c r="FQ18" i="13"/>
  <c r="FR18" i="13"/>
  <c r="FS18" i="13"/>
  <c r="FT18" i="13" s="1"/>
  <c r="FV18" i="13" s="1"/>
  <c r="FU18" i="13"/>
  <c r="FO18" i="13"/>
  <c r="GB18" i="13" s="1"/>
  <c r="GC18" i="13"/>
  <c r="GE18" i="13"/>
  <c r="GF18" i="13"/>
  <c r="GI18" i="13"/>
  <c r="FQ19" i="13"/>
  <c r="FV19" i="13" s="1"/>
  <c r="FR19" i="13"/>
  <c r="FS19" i="13"/>
  <c r="FT19" i="13" s="1"/>
  <c r="FU19" i="13"/>
  <c r="FO19" i="13"/>
  <c r="GB19" i="13"/>
  <c r="GC19" i="13"/>
  <c r="GD19" i="13"/>
  <c r="GE19" i="13"/>
  <c r="GF19" i="13"/>
  <c r="GI19" i="13"/>
  <c r="FQ23" i="13"/>
  <c r="FR23" i="13"/>
  <c r="FS23" i="13"/>
  <c r="FT23" i="13" s="1"/>
  <c r="FU23" i="13"/>
  <c r="FO23" i="13"/>
  <c r="GB23" i="13" s="1"/>
  <c r="GE23" i="13"/>
  <c r="GI23" i="13"/>
  <c r="FQ24" i="13"/>
  <c r="FR24" i="13"/>
  <c r="FS24" i="13"/>
  <c r="FT24" i="13"/>
  <c r="FU24" i="13"/>
  <c r="FV24" i="13"/>
  <c r="FO24" i="13"/>
  <c r="GB24" i="13" s="1"/>
  <c r="GD24" i="13"/>
  <c r="GI24" i="13"/>
  <c r="FQ25" i="13"/>
  <c r="FV25" i="13" s="1"/>
  <c r="FR25" i="13"/>
  <c r="FS25" i="13"/>
  <c r="FT25" i="13" s="1"/>
  <c r="FU25" i="13"/>
  <c r="FO25" i="13"/>
  <c r="GI25" i="13"/>
  <c r="FQ26" i="13"/>
  <c r="FR26" i="13"/>
  <c r="FS26" i="13"/>
  <c r="FT26" i="13"/>
  <c r="FU26" i="13"/>
  <c r="FO26" i="13"/>
  <c r="GB26" i="13" s="1"/>
  <c r="GC26" i="13"/>
  <c r="GD26" i="13"/>
  <c r="GE26" i="13"/>
  <c r="GF26" i="13"/>
  <c r="GI26" i="13"/>
  <c r="FQ30" i="13"/>
  <c r="FR30" i="13"/>
  <c r="FS30" i="13"/>
  <c r="FT30" i="13" s="1"/>
  <c r="FU30" i="13"/>
  <c r="FO30" i="13"/>
  <c r="GF30" i="13" s="1"/>
  <c r="GI30" i="13"/>
  <c r="FQ31" i="13"/>
  <c r="FV31" i="13" s="1"/>
  <c r="FR31" i="13"/>
  <c r="FS31" i="13"/>
  <c r="FT31" i="13" s="1"/>
  <c r="FU31" i="13"/>
  <c r="FO31" i="13"/>
  <c r="GB31" i="13" s="1"/>
  <c r="GC31" i="13"/>
  <c r="GI31" i="13"/>
  <c r="FQ32" i="13"/>
  <c r="FR32" i="13"/>
  <c r="FS32" i="13"/>
  <c r="FT32" i="13" s="1"/>
  <c r="FU32" i="13"/>
  <c r="FO32" i="13"/>
  <c r="GB32" i="13" s="1"/>
  <c r="GE32" i="13"/>
  <c r="GI32" i="13"/>
  <c r="FQ33" i="13"/>
  <c r="FR33" i="13"/>
  <c r="FS33" i="13"/>
  <c r="FT33" i="13" s="1"/>
  <c r="FU33" i="13"/>
  <c r="FO33" i="13"/>
  <c r="GB33" i="13" s="1"/>
  <c r="GF33" i="13"/>
  <c r="GI33" i="13"/>
  <c r="FQ34" i="13"/>
  <c r="FR34" i="13"/>
  <c r="FS34" i="13"/>
  <c r="FT34" i="13"/>
  <c r="FV34" i="13" s="1"/>
  <c r="FU34" i="13"/>
  <c r="FO34" i="13"/>
  <c r="GI34" i="13"/>
  <c r="FQ35" i="13"/>
  <c r="FR35" i="13"/>
  <c r="FS35" i="13"/>
  <c r="FT35" i="13" s="1"/>
  <c r="FU35" i="13"/>
  <c r="FO35" i="13"/>
  <c r="GI35" i="13"/>
  <c r="FQ36" i="13"/>
  <c r="FR36" i="13"/>
  <c r="FS36" i="13"/>
  <c r="FT36" i="13" s="1"/>
  <c r="FV36" i="13" s="1"/>
  <c r="FU36" i="13"/>
  <c r="FO36" i="13"/>
  <c r="GB36" i="13" s="1"/>
  <c r="GD36" i="13"/>
  <c r="GE36" i="13"/>
  <c r="GF36" i="13"/>
  <c r="GI36" i="13"/>
  <c r="FQ40" i="13"/>
  <c r="FR40" i="13"/>
  <c r="FS40" i="13"/>
  <c r="FT40" i="13" s="1"/>
  <c r="FV40" i="13" s="1"/>
  <c r="FU40" i="13"/>
  <c r="FO40" i="13"/>
  <c r="GC40" i="13" s="1"/>
  <c r="GB40" i="13"/>
  <c r="GD40" i="13"/>
  <c r="GE40" i="13"/>
  <c r="GF40" i="13"/>
  <c r="GG40" i="13"/>
  <c r="GJ40" i="13" s="1"/>
  <c r="GI40" i="13"/>
  <c r="FQ41" i="13"/>
  <c r="FR41" i="13"/>
  <c r="FS41" i="13"/>
  <c r="FT41" i="13" s="1"/>
  <c r="FU41" i="13"/>
  <c r="FO41" i="13"/>
  <c r="GC41" i="13" s="1"/>
  <c r="GB41" i="13"/>
  <c r="GD41" i="13"/>
  <c r="GF41" i="13"/>
  <c r="GI41" i="13"/>
  <c r="FQ42" i="13"/>
  <c r="FR42" i="13"/>
  <c r="FS42" i="13"/>
  <c r="FT42" i="13" s="1"/>
  <c r="FU42" i="13"/>
  <c r="FO42" i="13"/>
  <c r="GB42" i="13" s="1"/>
  <c r="GC42" i="13"/>
  <c r="GE42" i="13"/>
  <c r="GI42" i="13"/>
  <c r="FQ43" i="13"/>
  <c r="FR43" i="13"/>
  <c r="FS43" i="13"/>
  <c r="FT43" i="13"/>
  <c r="FU43" i="13"/>
  <c r="FO43" i="13"/>
  <c r="GB43" i="13" s="1"/>
  <c r="GF43" i="13"/>
  <c r="GI43" i="13"/>
  <c r="FQ47" i="13"/>
  <c r="FV47" i="13" s="1"/>
  <c r="FR47" i="13"/>
  <c r="FS47" i="13"/>
  <c r="FT47" i="13" s="1"/>
  <c r="FU47" i="13"/>
  <c r="FO47" i="13"/>
  <c r="GB47" i="13"/>
  <c r="GC47" i="13"/>
  <c r="GI47" i="13"/>
  <c r="FQ48" i="13"/>
  <c r="FR48" i="13"/>
  <c r="FV48" i="13" s="1"/>
  <c r="FS48" i="13"/>
  <c r="FT48" i="13" s="1"/>
  <c r="FU48" i="13"/>
  <c r="FO48" i="13"/>
  <c r="GB48" i="13"/>
  <c r="GC48" i="13"/>
  <c r="GD48" i="13"/>
  <c r="GI48" i="13"/>
  <c r="FQ49" i="13"/>
  <c r="FR49" i="13"/>
  <c r="FS49" i="13"/>
  <c r="FT49" i="13" s="1"/>
  <c r="FU49" i="13"/>
  <c r="FO49" i="13"/>
  <c r="GB49" i="13" s="1"/>
  <c r="GD49" i="13"/>
  <c r="GE49" i="13"/>
  <c r="GF49" i="13"/>
  <c r="GI49" i="13"/>
  <c r="FQ50" i="13"/>
  <c r="FR50" i="13"/>
  <c r="FS50" i="13"/>
  <c r="FT50" i="13" s="1"/>
  <c r="FU50" i="13"/>
  <c r="FO50" i="13"/>
  <c r="GC50" i="13" s="1"/>
  <c r="GB50" i="13"/>
  <c r="GE50" i="13"/>
  <c r="GI50" i="13"/>
  <c r="FQ51" i="13"/>
  <c r="FV51" i="13" s="1"/>
  <c r="FR51" i="13"/>
  <c r="FS51" i="13"/>
  <c r="FT51" i="13" s="1"/>
  <c r="FU51" i="13"/>
  <c r="FO51" i="13"/>
  <c r="GB51" i="13" s="1"/>
  <c r="GE51" i="13"/>
  <c r="GI51" i="13"/>
  <c r="FQ52" i="13"/>
  <c r="FR52" i="13"/>
  <c r="FS52" i="13"/>
  <c r="FU52" i="13"/>
  <c r="FO52" i="13"/>
  <c r="GB52" i="13" s="1"/>
  <c r="GG52" i="13" s="1"/>
  <c r="GC52" i="13"/>
  <c r="GD52" i="13"/>
  <c r="GE52" i="13"/>
  <c r="GF52" i="13"/>
  <c r="GI52" i="13"/>
  <c r="FQ56" i="13"/>
  <c r="FR56" i="13"/>
  <c r="FS56" i="13"/>
  <c r="FT56" i="13" s="1"/>
  <c r="FU56" i="13"/>
  <c r="FV56" i="13"/>
  <c r="FO56" i="13"/>
  <c r="GC56" i="13" s="1"/>
  <c r="GB56" i="13"/>
  <c r="GI56" i="13"/>
  <c r="FQ57" i="13"/>
  <c r="FV57" i="13" s="1"/>
  <c r="FR57" i="13"/>
  <c r="FS57" i="13"/>
  <c r="FT57" i="13"/>
  <c r="FU57" i="13"/>
  <c r="FO57" i="13"/>
  <c r="GB57" i="13" s="1"/>
  <c r="GC57" i="13"/>
  <c r="GD57" i="13"/>
  <c r="GE57" i="13"/>
  <c r="GF57" i="13"/>
  <c r="GI57" i="13"/>
  <c r="FQ58" i="13"/>
  <c r="FV58" i="13" s="1"/>
  <c r="FR58" i="13"/>
  <c r="FS58" i="13"/>
  <c r="FT58" i="13" s="1"/>
  <c r="FU58" i="13"/>
  <c r="FO58" i="13"/>
  <c r="GF58" i="13"/>
  <c r="GI58" i="13"/>
  <c r="FQ59" i="13"/>
  <c r="FR59" i="13"/>
  <c r="FS59" i="13"/>
  <c r="FT59" i="13"/>
  <c r="FU59" i="13"/>
  <c r="FO59" i="13"/>
  <c r="GB59" i="13" s="1"/>
  <c r="GC59" i="13"/>
  <c r="GD59" i="13"/>
  <c r="GI59" i="13"/>
  <c r="FQ60" i="13"/>
  <c r="FR60" i="13"/>
  <c r="FS60" i="13"/>
  <c r="FT60" i="13" s="1"/>
  <c r="FU60" i="13"/>
  <c r="FO60" i="13"/>
  <c r="GI60" i="13"/>
  <c r="FQ61" i="13"/>
  <c r="FR61" i="13"/>
  <c r="FS61" i="13"/>
  <c r="FT61" i="13" s="1"/>
  <c r="FV61" i="13" s="1"/>
  <c r="FU61" i="13"/>
  <c r="FO61" i="13"/>
  <c r="GB61" i="13" s="1"/>
  <c r="GD61" i="13"/>
  <c r="GI61" i="13"/>
  <c r="BU15" i="36"/>
  <c r="FQ8" i="13"/>
  <c r="FR8" i="13"/>
  <c r="FV8" i="13" s="1"/>
  <c r="FS8" i="13"/>
  <c r="FT8" i="13" s="1"/>
  <c r="FU8" i="13"/>
  <c r="FO8" i="13"/>
  <c r="GE8" i="13" s="1"/>
  <c r="GB8" i="13"/>
  <c r="GF8" i="13"/>
  <c r="GI8" i="13"/>
  <c r="FQ9" i="13"/>
  <c r="FR9" i="13"/>
  <c r="FS9" i="13"/>
  <c r="FT9" i="13"/>
  <c r="FU9" i="13"/>
  <c r="FV9" i="13" s="1"/>
  <c r="FO9" i="13"/>
  <c r="GD9" i="13" s="1"/>
  <c r="GB9" i="13"/>
  <c r="GF9" i="13"/>
  <c r="GI9" i="13"/>
  <c r="FQ10" i="13"/>
  <c r="FR10" i="13"/>
  <c r="FV10" i="13" s="1"/>
  <c r="FS10" i="13"/>
  <c r="FT10" i="13"/>
  <c r="FU10" i="13"/>
  <c r="FO10" i="13"/>
  <c r="GB10" i="13" s="1"/>
  <c r="GE10" i="13"/>
  <c r="GI10" i="13"/>
  <c r="ES14" i="13"/>
  <c r="ET14" i="13"/>
  <c r="EU14" i="13"/>
  <c r="EV14" i="13" s="1"/>
  <c r="EW14" i="13"/>
  <c r="EQ14" i="13"/>
  <c r="FD14" i="13"/>
  <c r="FE14" i="13"/>
  <c r="FF14" i="13"/>
  <c r="FG14" i="13"/>
  <c r="FH14" i="13"/>
  <c r="FK14" i="13"/>
  <c r="ES15" i="13"/>
  <c r="EX15" i="13" s="1"/>
  <c r="ET15" i="13"/>
  <c r="EU15" i="13"/>
  <c r="EV15" i="13"/>
  <c r="EW15" i="13"/>
  <c r="EQ15" i="13"/>
  <c r="FD15" i="13"/>
  <c r="FE15" i="13"/>
  <c r="FF15" i="13"/>
  <c r="FG15" i="13"/>
  <c r="FH15" i="13"/>
  <c r="FI15" i="13"/>
  <c r="FL15" i="13" s="1"/>
  <c r="FK15" i="13"/>
  <c r="ES16" i="13"/>
  <c r="ET16" i="13"/>
  <c r="EX16" i="13" s="1"/>
  <c r="EU16" i="13"/>
  <c r="EV16" i="13" s="1"/>
  <c r="EW16" i="13"/>
  <c r="EQ16" i="13"/>
  <c r="FD16" i="13" s="1"/>
  <c r="FE16" i="13"/>
  <c r="FG16" i="13"/>
  <c r="FH16" i="13"/>
  <c r="FK16" i="13"/>
  <c r="ES17" i="13"/>
  <c r="ET17" i="13"/>
  <c r="EU17" i="13"/>
  <c r="EV17" i="13" s="1"/>
  <c r="EW17" i="13"/>
  <c r="EQ17" i="13"/>
  <c r="FD17" i="13"/>
  <c r="FE17" i="13"/>
  <c r="FF17" i="13"/>
  <c r="FG17" i="13"/>
  <c r="FH17" i="13"/>
  <c r="FK17" i="13"/>
  <c r="ES18" i="13"/>
  <c r="ET18" i="13"/>
  <c r="EU18" i="13"/>
  <c r="EV18" i="13"/>
  <c r="EX18" i="13" s="1"/>
  <c r="EW18" i="13"/>
  <c r="EQ18" i="13"/>
  <c r="FF18" i="13" s="1"/>
  <c r="FD18" i="13"/>
  <c r="FH18" i="13"/>
  <c r="FK18" i="13"/>
  <c r="ES19" i="13"/>
  <c r="ET19" i="13"/>
  <c r="EU19" i="13"/>
  <c r="EV19" i="13" s="1"/>
  <c r="EW19" i="13"/>
  <c r="EQ19" i="13"/>
  <c r="FD19" i="13" s="1"/>
  <c r="FG19" i="13"/>
  <c r="FK19" i="13"/>
  <c r="ES23" i="13"/>
  <c r="ET23" i="13"/>
  <c r="EU23" i="13"/>
  <c r="EV23" i="13" s="1"/>
  <c r="EW23" i="13"/>
  <c r="EQ23" i="13"/>
  <c r="FD23" i="13"/>
  <c r="FE23" i="13"/>
  <c r="FF23" i="13"/>
  <c r="FG23" i="13"/>
  <c r="FH23" i="13"/>
  <c r="FK23" i="13"/>
  <c r="ES24" i="13"/>
  <c r="EX24" i="13" s="1"/>
  <c r="ET24" i="13"/>
  <c r="EU24" i="13"/>
  <c r="EV24" i="13"/>
  <c r="EW24" i="13"/>
  <c r="EQ24" i="13"/>
  <c r="FH24" i="13" s="1"/>
  <c r="FK24" i="13"/>
  <c r="ES25" i="13"/>
  <c r="EX25" i="13" s="1"/>
  <c r="ET25" i="13"/>
  <c r="EU25" i="13"/>
  <c r="EV25" i="13"/>
  <c r="EW25" i="13"/>
  <c r="EQ25" i="13"/>
  <c r="FE25" i="13" s="1"/>
  <c r="FD25" i="13"/>
  <c r="FG25" i="13"/>
  <c r="FH25" i="13"/>
  <c r="FK25" i="13"/>
  <c r="ES26" i="13"/>
  <c r="ET26" i="13"/>
  <c r="EU26" i="13"/>
  <c r="EV26" i="13"/>
  <c r="EW26" i="13"/>
  <c r="EQ26" i="13"/>
  <c r="FE26" i="13" s="1"/>
  <c r="FD26" i="13"/>
  <c r="FG26" i="13"/>
  <c r="FK26" i="13"/>
  <c r="ES30" i="13"/>
  <c r="ET30" i="13"/>
  <c r="EU30" i="13"/>
  <c r="EV30" i="13" s="1"/>
  <c r="EW30" i="13"/>
  <c r="EQ30" i="13"/>
  <c r="FK30" i="13"/>
  <c r="ES31" i="13"/>
  <c r="ET31" i="13"/>
  <c r="EU31" i="13"/>
  <c r="EV31" i="13"/>
  <c r="EW31" i="13"/>
  <c r="EX31" i="13"/>
  <c r="EQ31" i="13"/>
  <c r="FF31" i="13" s="1"/>
  <c r="FD31" i="13"/>
  <c r="FH31" i="13"/>
  <c r="FK31" i="13"/>
  <c r="ES32" i="13"/>
  <c r="ET32" i="13"/>
  <c r="EX32" i="13" s="1"/>
  <c r="EU32" i="13"/>
  <c r="EV32" i="13" s="1"/>
  <c r="EW32" i="13"/>
  <c r="EQ32" i="13"/>
  <c r="FD32" i="13" s="1"/>
  <c r="FE32" i="13"/>
  <c r="FK32" i="13"/>
  <c r="ES33" i="13"/>
  <c r="ET33" i="13"/>
  <c r="EU33" i="13"/>
  <c r="EV33" i="13" s="1"/>
  <c r="EW33" i="13"/>
  <c r="EQ33" i="13"/>
  <c r="FE33" i="13" s="1"/>
  <c r="FD33" i="13"/>
  <c r="FF33" i="13"/>
  <c r="FG33" i="13"/>
  <c r="FH33" i="13"/>
  <c r="FK33" i="13"/>
  <c r="ES34" i="13"/>
  <c r="EX34" i="13" s="1"/>
  <c r="ET34" i="13"/>
  <c r="EU34" i="13"/>
  <c r="EV34" i="13" s="1"/>
  <c r="EW34" i="13"/>
  <c r="EQ34" i="13"/>
  <c r="FD34" i="13"/>
  <c r="FI34" i="13" s="1"/>
  <c r="FE34" i="13"/>
  <c r="FF34" i="13"/>
  <c r="FG34" i="13"/>
  <c r="FH34" i="13"/>
  <c r="FK34" i="13"/>
  <c r="ES35" i="13"/>
  <c r="ET35" i="13"/>
  <c r="EU35" i="13"/>
  <c r="EV35" i="13"/>
  <c r="EW35" i="13"/>
  <c r="EQ35" i="13"/>
  <c r="FE35" i="13" s="1"/>
  <c r="FD35" i="13"/>
  <c r="FG35" i="13"/>
  <c r="FH35" i="13"/>
  <c r="FK35" i="13"/>
  <c r="ES36" i="13"/>
  <c r="ET36" i="13"/>
  <c r="EU36" i="13"/>
  <c r="EV36" i="13"/>
  <c r="EW36" i="13"/>
  <c r="EQ36" i="13"/>
  <c r="FK36" i="13"/>
  <c r="ES40" i="13"/>
  <c r="ET40" i="13"/>
  <c r="EU40" i="13"/>
  <c r="EV40" i="13" s="1"/>
  <c r="EX40" i="13" s="1"/>
  <c r="EW40" i="13"/>
  <c r="EQ40" i="13"/>
  <c r="FE40" i="13"/>
  <c r="FK40" i="13"/>
  <c r="ES41" i="13"/>
  <c r="ET41" i="13"/>
  <c r="EU41" i="13"/>
  <c r="EW41" i="13"/>
  <c r="EQ41" i="13"/>
  <c r="FG41" i="13" s="1"/>
  <c r="FD41" i="13"/>
  <c r="FE41" i="13"/>
  <c r="FF41" i="13"/>
  <c r="FH41" i="13"/>
  <c r="FK41" i="13"/>
  <c r="ES42" i="13"/>
  <c r="ET42" i="13"/>
  <c r="EU42" i="13"/>
  <c r="EV42" i="13" s="1"/>
  <c r="EX42" i="13" s="1"/>
  <c r="EW42" i="13"/>
  <c r="EQ42" i="13"/>
  <c r="FD42" i="13" s="1"/>
  <c r="FE42" i="13"/>
  <c r="FF42" i="13"/>
  <c r="FG42" i="13"/>
  <c r="FH42" i="13"/>
  <c r="FK42" i="13"/>
  <c r="ES43" i="13"/>
  <c r="ET43" i="13"/>
  <c r="EU43" i="13"/>
  <c r="EV43" i="13" s="1"/>
  <c r="EW43" i="13"/>
  <c r="EQ43" i="13"/>
  <c r="FD43" i="13" s="1"/>
  <c r="FE43" i="13"/>
  <c r="FH43" i="13"/>
  <c r="FK43" i="13"/>
  <c r="ES47" i="13"/>
  <c r="ET47" i="13"/>
  <c r="EU47" i="13"/>
  <c r="EV47" i="13" s="1"/>
  <c r="EW47" i="13"/>
  <c r="EQ47" i="13"/>
  <c r="FD47" i="13" s="1"/>
  <c r="FH47" i="13"/>
  <c r="FK47" i="13"/>
  <c r="ES48" i="13"/>
  <c r="ET48" i="13"/>
  <c r="EU48" i="13"/>
  <c r="EV48" i="13"/>
  <c r="EW48" i="13"/>
  <c r="EQ48" i="13"/>
  <c r="FK48" i="13"/>
  <c r="ES49" i="13"/>
  <c r="ET49" i="13"/>
  <c r="EU49" i="13"/>
  <c r="EV49" i="13" s="1"/>
  <c r="EW49" i="13"/>
  <c r="EX49" i="13"/>
  <c r="EQ49" i="13"/>
  <c r="FE49" i="13"/>
  <c r="FK49" i="13"/>
  <c r="ES50" i="13"/>
  <c r="ET50" i="13"/>
  <c r="EU50" i="13"/>
  <c r="EV50" i="13"/>
  <c r="EW50" i="13"/>
  <c r="EX50" i="13"/>
  <c r="EQ50" i="13"/>
  <c r="FD50" i="13"/>
  <c r="FF50" i="13"/>
  <c r="FK50" i="13"/>
  <c r="ES51" i="13"/>
  <c r="ET51" i="13"/>
  <c r="EU51" i="13"/>
  <c r="EV51" i="13"/>
  <c r="EX51" i="13" s="1"/>
  <c r="EW51" i="13"/>
  <c r="EQ51" i="13"/>
  <c r="FD51" i="13" s="1"/>
  <c r="FE51" i="13"/>
  <c r="FF51" i="13"/>
  <c r="FG51" i="13"/>
  <c r="FK51" i="13"/>
  <c r="ES52" i="13"/>
  <c r="ET52" i="13"/>
  <c r="EU52" i="13"/>
  <c r="EV52" i="13" s="1"/>
  <c r="EW52" i="13"/>
  <c r="EQ52" i="13"/>
  <c r="FK52" i="13"/>
  <c r="ES56" i="13"/>
  <c r="EX56" i="13" s="1"/>
  <c r="ET56" i="13"/>
  <c r="EU56" i="13"/>
  <c r="EV56" i="13" s="1"/>
  <c r="EW56" i="13"/>
  <c r="EQ56" i="13"/>
  <c r="FD56" i="13"/>
  <c r="FE56" i="13"/>
  <c r="FF56" i="13"/>
  <c r="FG56" i="13"/>
  <c r="FH56" i="13"/>
  <c r="FK56" i="13"/>
  <c r="ES57" i="13"/>
  <c r="ET57" i="13"/>
  <c r="EU57" i="13"/>
  <c r="EV57" i="13" s="1"/>
  <c r="EW57" i="13"/>
  <c r="EQ57" i="13"/>
  <c r="FD57" i="13" s="1"/>
  <c r="FE57" i="13"/>
  <c r="FG57" i="13"/>
  <c r="FH57" i="13"/>
  <c r="FK57" i="13"/>
  <c r="ES58" i="13"/>
  <c r="ET58" i="13"/>
  <c r="EU58" i="13"/>
  <c r="EV58" i="13" s="1"/>
  <c r="EW58" i="13"/>
  <c r="EX58" i="13"/>
  <c r="EQ58" i="13"/>
  <c r="FE58" i="13"/>
  <c r="FK58" i="13"/>
  <c r="ES59" i="13"/>
  <c r="EX59" i="13" s="1"/>
  <c r="ET59" i="13"/>
  <c r="EU59" i="13"/>
  <c r="EV59" i="13" s="1"/>
  <c r="EW59" i="13"/>
  <c r="EQ59" i="13"/>
  <c r="FD59" i="13"/>
  <c r="FE59" i="13"/>
  <c r="FG59" i="13"/>
  <c r="FK59" i="13"/>
  <c r="ES60" i="13"/>
  <c r="ET60" i="13"/>
  <c r="EU60" i="13"/>
  <c r="EV60" i="13"/>
  <c r="EW60" i="13"/>
  <c r="EQ60" i="13"/>
  <c r="FD60" i="13" s="1"/>
  <c r="FE60" i="13"/>
  <c r="FF60" i="13"/>
  <c r="FG60" i="13"/>
  <c r="FK60" i="13"/>
  <c r="ES61" i="13"/>
  <c r="ET61" i="13"/>
  <c r="EU61" i="13"/>
  <c r="EV61" i="13" s="1"/>
  <c r="EW61" i="13"/>
  <c r="EQ61" i="13"/>
  <c r="FE61" i="13" s="1"/>
  <c r="FD61" i="13"/>
  <c r="FF61" i="13"/>
  <c r="FG61" i="13"/>
  <c r="FH61" i="13"/>
  <c r="FK61" i="13"/>
  <c r="BK15" i="36"/>
  <c r="ES8" i="13"/>
  <c r="ET8" i="13"/>
  <c r="EU8" i="13"/>
  <c r="EV8" i="13" s="1"/>
  <c r="EW8" i="13"/>
  <c r="EQ8" i="13"/>
  <c r="FH8" i="13" s="1"/>
  <c r="FK8" i="13"/>
  <c r="ES9" i="13"/>
  <c r="ET9" i="13"/>
  <c r="EU9" i="13"/>
  <c r="EV9" i="13" s="1"/>
  <c r="EW9" i="13"/>
  <c r="EQ9" i="13"/>
  <c r="FD9" i="13"/>
  <c r="FE9" i="13"/>
  <c r="FF9" i="13"/>
  <c r="FG9" i="13"/>
  <c r="FH9" i="13"/>
  <c r="FK9" i="13"/>
  <c r="ES10" i="13"/>
  <c r="ET10" i="13"/>
  <c r="EU10" i="13"/>
  <c r="EV10" i="13" s="1"/>
  <c r="EX10" i="13" s="1"/>
  <c r="EW10" i="13"/>
  <c r="EQ10" i="13"/>
  <c r="FF10" i="13" s="1"/>
  <c r="FD10" i="13"/>
  <c r="FE10" i="13"/>
  <c r="FG10" i="13"/>
  <c r="FH10" i="13"/>
  <c r="FK10" i="13"/>
  <c r="DU14" i="13"/>
  <c r="DV14" i="13"/>
  <c r="DW14" i="13"/>
  <c r="DX14" i="13" s="1"/>
  <c r="DZ14" i="13" s="1"/>
  <c r="DY14" i="13"/>
  <c r="DS14" i="13"/>
  <c r="EG14" i="13"/>
  <c r="EM14" i="13"/>
  <c r="DU15" i="13"/>
  <c r="DV15" i="13"/>
  <c r="DW15" i="13"/>
  <c r="DY15" i="13"/>
  <c r="DS15" i="13"/>
  <c r="EF15" i="13"/>
  <c r="EG15" i="13"/>
  <c r="EH15" i="13"/>
  <c r="EI15" i="13"/>
  <c r="EJ15" i="13"/>
  <c r="EM15" i="13"/>
  <c r="DU16" i="13"/>
  <c r="DV16" i="13"/>
  <c r="DW16" i="13"/>
  <c r="DX16" i="13" s="1"/>
  <c r="DZ16" i="13" s="1"/>
  <c r="DY16" i="13"/>
  <c r="DS16" i="13"/>
  <c r="EF16" i="13" s="1"/>
  <c r="EG16" i="13"/>
  <c r="EH16" i="13"/>
  <c r="EI16" i="13"/>
  <c r="EJ16" i="13"/>
  <c r="EK16" i="13"/>
  <c r="EN16" i="13" s="1"/>
  <c r="EM16" i="13"/>
  <c r="DU17" i="13"/>
  <c r="DZ17" i="13" s="1"/>
  <c r="DV17" i="13"/>
  <c r="DW17" i="13"/>
  <c r="DX17" i="13" s="1"/>
  <c r="DY17" i="13"/>
  <c r="DS17" i="13"/>
  <c r="EF17" i="13"/>
  <c r="EG17" i="13"/>
  <c r="EH17" i="13"/>
  <c r="EI17" i="13"/>
  <c r="EJ17" i="13"/>
  <c r="EK17" i="13"/>
  <c r="EM17" i="13"/>
  <c r="DU18" i="13"/>
  <c r="DV18" i="13"/>
  <c r="DW18" i="13"/>
  <c r="DX18" i="13" s="1"/>
  <c r="DY18" i="13"/>
  <c r="DS18" i="13"/>
  <c r="EF18" i="13" s="1"/>
  <c r="EH18" i="13"/>
  <c r="EM18" i="13"/>
  <c r="DU19" i="13"/>
  <c r="DV19" i="13"/>
  <c r="DW19" i="13"/>
  <c r="DX19" i="13"/>
  <c r="DY19" i="13"/>
  <c r="DS19" i="13"/>
  <c r="EF19" i="13" s="1"/>
  <c r="EI19" i="13"/>
  <c r="EM19" i="13"/>
  <c r="DU23" i="13"/>
  <c r="DV23" i="13"/>
  <c r="DW23" i="13"/>
  <c r="DX23" i="13" s="1"/>
  <c r="DY23" i="13"/>
  <c r="DS23" i="13"/>
  <c r="EM23" i="13"/>
  <c r="DU24" i="13"/>
  <c r="DZ24" i="13" s="1"/>
  <c r="DV24" i="13"/>
  <c r="DW24" i="13"/>
  <c r="DX24" i="13" s="1"/>
  <c r="DY24" i="13"/>
  <c r="DS24" i="13"/>
  <c r="EF24" i="13"/>
  <c r="EH24" i="13"/>
  <c r="EM24" i="13"/>
  <c r="DU25" i="13"/>
  <c r="DV25" i="13"/>
  <c r="DW25" i="13"/>
  <c r="DX25" i="13"/>
  <c r="DZ25" i="13" s="1"/>
  <c r="DY25" i="13"/>
  <c r="DS25" i="13"/>
  <c r="EF25" i="13" s="1"/>
  <c r="EG25" i="13"/>
  <c r="EH25" i="13"/>
  <c r="EI25" i="13"/>
  <c r="EJ25" i="13"/>
  <c r="EM25" i="13"/>
  <c r="DU26" i="13"/>
  <c r="DV26" i="13"/>
  <c r="DW26" i="13"/>
  <c r="DX26" i="13" s="1"/>
  <c r="DZ26" i="13" s="1"/>
  <c r="DY26" i="13"/>
  <c r="DS26" i="13"/>
  <c r="EJ26" i="13"/>
  <c r="EM26" i="13"/>
  <c r="DU30" i="13"/>
  <c r="DZ30" i="13" s="1"/>
  <c r="DV30" i="13"/>
  <c r="DW30" i="13"/>
  <c r="DX30" i="13" s="1"/>
  <c r="DY30" i="13"/>
  <c r="DS30" i="13"/>
  <c r="EF30" i="13" s="1"/>
  <c r="EG30" i="13"/>
  <c r="EH30" i="13"/>
  <c r="EJ30" i="13"/>
  <c r="EM30" i="13"/>
  <c r="DU31" i="13"/>
  <c r="DV31" i="13"/>
  <c r="DW31" i="13"/>
  <c r="DX31" i="13" s="1"/>
  <c r="DZ31" i="13" s="1"/>
  <c r="DY31" i="13"/>
  <c r="DS31" i="13"/>
  <c r="EF31" i="13"/>
  <c r="EG31" i="13"/>
  <c r="EH31" i="13"/>
  <c r="EI31" i="13"/>
  <c r="EJ31" i="13"/>
  <c r="EM31" i="13"/>
  <c r="DU32" i="13"/>
  <c r="DV32" i="13"/>
  <c r="DW32" i="13"/>
  <c r="DX32" i="13" s="1"/>
  <c r="DY32" i="13"/>
  <c r="DZ32" i="13" s="1"/>
  <c r="DS32" i="13"/>
  <c r="EG32" i="13" s="1"/>
  <c r="EM32" i="13"/>
  <c r="DU33" i="13"/>
  <c r="DV33" i="13"/>
  <c r="DW33" i="13"/>
  <c r="DX33" i="13" s="1"/>
  <c r="DY33" i="13"/>
  <c r="DS33" i="13"/>
  <c r="EG33" i="13"/>
  <c r="EI33" i="13"/>
  <c r="EM33" i="13"/>
  <c r="DU34" i="13"/>
  <c r="DV34" i="13"/>
  <c r="DW34" i="13"/>
  <c r="DZ34" i="13" s="1"/>
  <c r="DX34" i="13"/>
  <c r="DY34" i="13"/>
  <c r="DS34" i="13"/>
  <c r="EJ34" i="13" s="1"/>
  <c r="EF34" i="13"/>
  <c r="EG34" i="13"/>
  <c r="EH34" i="13"/>
  <c r="EI34" i="13"/>
  <c r="EK34" i="13" s="1"/>
  <c r="EM34" i="13"/>
  <c r="DU35" i="13"/>
  <c r="DZ35" i="13" s="1"/>
  <c r="DV35" i="13"/>
  <c r="DW35" i="13"/>
  <c r="DX35" i="13"/>
  <c r="DY35" i="13"/>
  <c r="DS35" i="13"/>
  <c r="EF35" i="13" s="1"/>
  <c r="EG35" i="13"/>
  <c r="EH35" i="13"/>
  <c r="EI35" i="13"/>
  <c r="EJ35" i="13"/>
  <c r="EM35" i="13"/>
  <c r="DU36" i="13"/>
  <c r="DV36" i="13"/>
  <c r="DW36" i="13"/>
  <c r="DX36" i="13" s="1"/>
  <c r="DY36" i="13"/>
  <c r="DS36" i="13"/>
  <c r="EG36" i="13" s="1"/>
  <c r="EF36" i="13"/>
  <c r="EJ36" i="13"/>
  <c r="EM36" i="13"/>
  <c r="DU40" i="13"/>
  <c r="DV40" i="13"/>
  <c r="DW40" i="13"/>
  <c r="DX40" i="13"/>
  <c r="DY40" i="13"/>
  <c r="DS40" i="13"/>
  <c r="EF40" i="13" s="1"/>
  <c r="EG40" i="13"/>
  <c r="EI40" i="13"/>
  <c r="EM40" i="13"/>
  <c r="DU41" i="13"/>
  <c r="DV41" i="13"/>
  <c r="DZ41" i="13" s="1"/>
  <c r="DW41" i="13"/>
  <c r="DX41" i="13"/>
  <c r="DY41" i="13"/>
  <c r="DS41" i="13"/>
  <c r="EM41" i="13"/>
  <c r="DU42" i="13"/>
  <c r="DZ42" i="13" s="1"/>
  <c r="DV42" i="13"/>
  <c r="DW42" i="13"/>
  <c r="DX42" i="13" s="1"/>
  <c r="DY42" i="13"/>
  <c r="DS42" i="13"/>
  <c r="EF42" i="13" s="1"/>
  <c r="EM42" i="13"/>
  <c r="DU43" i="13"/>
  <c r="DV43" i="13"/>
  <c r="DW43" i="13"/>
  <c r="DX43" i="13" s="1"/>
  <c r="DY43" i="13"/>
  <c r="DS43" i="13"/>
  <c r="EF43" i="13"/>
  <c r="EG43" i="13"/>
  <c r="EM43" i="13"/>
  <c r="DU47" i="13"/>
  <c r="DV47" i="13"/>
  <c r="DW47" i="13"/>
  <c r="DX47" i="13" s="1"/>
  <c r="DY47" i="13"/>
  <c r="DS47" i="13"/>
  <c r="EF47" i="13"/>
  <c r="EG47" i="13"/>
  <c r="EH47" i="13"/>
  <c r="EI47" i="13"/>
  <c r="EJ47" i="13"/>
  <c r="EM47" i="13"/>
  <c r="DU48" i="13"/>
  <c r="DV48" i="13"/>
  <c r="DW48" i="13"/>
  <c r="DX48" i="13" s="1"/>
  <c r="DY48" i="13"/>
  <c r="DS48" i="13"/>
  <c r="EF48" i="13"/>
  <c r="EG48" i="13"/>
  <c r="EH48" i="13"/>
  <c r="EI48" i="13"/>
  <c r="EJ48" i="13"/>
  <c r="EM48" i="13"/>
  <c r="DU49" i="13"/>
  <c r="DV49" i="13"/>
  <c r="DW49" i="13"/>
  <c r="DX49" i="13"/>
  <c r="DY49" i="13"/>
  <c r="DS49" i="13"/>
  <c r="EG49" i="13" s="1"/>
  <c r="EF49" i="13"/>
  <c r="EI49" i="13"/>
  <c r="EJ49" i="13"/>
  <c r="EM49" i="13"/>
  <c r="DU50" i="13"/>
  <c r="DV50" i="13"/>
  <c r="DW50" i="13"/>
  <c r="DX50" i="13"/>
  <c r="DY50" i="13"/>
  <c r="DS50" i="13"/>
  <c r="EM50" i="13"/>
  <c r="DU51" i="13"/>
  <c r="DV51" i="13"/>
  <c r="DW51" i="13"/>
  <c r="DX51" i="13" s="1"/>
  <c r="DZ51" i="13" s="1"/>
  <c r="DY51" i="13"/>
  <c r="DS51" i="13"/>
  <c r="EF51" i="13"/>
  <c r="EM51" i="13"/>
  <c r="DU52" i="13"/>
  <c r="DV52" i="13"/>
  <c r="DW52" i="13"/>
  <c r="DX52" i="13"/>
  <c r="DZ52" i="13" s="1"/>
  <c r="DY52" i="13"/>
  <c r="DS52" i="13"/>
  <c r="EF52" i="13" s="1"/>
  <c r="EG52" i="13"/>
  <c r="EH52" i="13"/>
  <c r="EI52" i="13"/>
  <c r="EM52" i="13"/>
  <c r="DU56" i="13"/>
  <c r="DV56" i="13"/>
  <c r="DW56" i="13"/>
  <c r="DX56" i="13" s="1"/>
  <c r="DZ56" i="13" s="1"/>
  <c r="DY56" i="13"/>
  <c r="DS56" i="13"/>
  <c r="EF56" i="13" s="1"/>
  <c r="EI56" i="13"/>
  <c r="EJ56" i="13"/>
  <c r="EM56" i="13"/>
  <c r="DU57" i="13"/>
  <c r="DV57" i="13"/>
  <c r="DW57" i="13"/>
  <c r="DX57" i="13" s="1"/>
  <c r="DY57" i="13"/>
  <c r="DS57" i="13"/>
  <c r="EF57" i="13" s="1"/>
  <c r="EG57" i="13"/>
  <c r="EM57" i="13"/>
  <c r="DU58" i="13"/>
  <c r="DV58" i="13"/>
  <c r="DW58" i="13"/>
  <c r="DX58" i="13" s="1"/>
  <c r="DY58" i="13"/>
  <c r="DS58" i="13"/>
  <c r="EF58" i="13" s="1"/>
  <c r="EJ58" i="13"/>
  <c r="EM58" i="13"/>
  <c r="DU59" i="13"/>
  <c r="DV59" i="13"/>
  <c r="DW59" i="13"/>
  <c r="DX59" i="13"/>
  <c r="DY59" i="13"/>
  <c r="DZ59" i="13" s="1"/>
  <c r="DS59" i="13"/>
  <c r="EI59" i="13" s="1"/>
  <c r="EF59" i="13"/>
  <c r="EH59" i="13"/>
  <c r="EM59" i="13"/>
  <c r="DU60" i="13"/>
  <c r="DV60" i="13"/>
  <c r="DW60" i="13"/>
  <c r="DX60" i="13" s="1"/>
  <c r="DY60" i="13"/>
  <c r="DS60" i="13"/>
  <c r="EG60" i="13" s="1"/>
  <c r="EF60" i="13"/>
  <c r="EI60" i="13"/>
  <c r="EM60" i="13"/>
  <c r="DU61" i="13"/>
  <c r="DV61" i="13"/>
  <c r="DW61" i="13"/>
  <c r="DX61" i="13" s="1"/>
  <c r="DY61" i="13"/>
  <c r="DS61" i="13"/>
  <c r="EF61" i="13" s="1"/>
  <c r="EH61" i="13"/>
  <c r="EI61" i="13"/>
  <c r="EJ61" i="13"/>
  <c r="EM61" i="13"/>
  <c r="BA15" i="36"/>
  <c r="DU8" i="13"/>
  <c r="DV8" i="13"/>
  <c r="DW8" i="13"/>
  <c r="DX8" i="13" s="1"/>
  <c r="DY8" i="13"/>
  <c r="DS8" i="13"/>
  <c r="EJ8" i="13" s="1"/>
  <c r="EM8" i="13"/>
  <c r="DU9" i="13"/>
  <c r="DV9" i="13"/>
  <c r="DW9" i="13"/>
  <c r="DX9" i="13" s="1"/>
  <c r="DY9" i="13"/>
  <c r="DS9" i="13"/>
  <c r="EI9" i="13" s="1"/>
  <c r="EF9" i="13"/>
  <c r="EG9" i="13"/>
  <c r="EH9" i="13"/>
  <c r="EJ9" i="13"/>
  <c r="EM9" i="13"/>
  <c r="DU10" i="13"/>
  <c r="DV10" i="13"/>
  <c r="DW10" i="13"/>
  <c r="DX10" i="13"/>
  <c r="DZ10" i="13" s="1"/>
  <c r="DY10" i="13"/>
  <c r="DS10" i="13"/>
  <c r="EF10" i="13" s="1"/>
  <c r="EI10" i="13"/>
  <c r="EJ10" i="13"/>
  <c r="EM10" i="13"/>
  <c r="CW14" i="13"/>
  <c r="CX14" i="13"/>
  <c r="CY14" i="13"/>
  <c r="CZ14" i="13" s="1"/>
  <c r="DB14" i="13" s="1"/>
  <c r="DA14" i="13"/>
  <c r="CU14" i="13"/>
  <c r="DI14" i="13" s="1"/>
  <c r="DO14" i="13"/>
  <c r="CW15" i="13"/>
  <c r="CX15" i="13"/>
  <c r="CY15" i="13"/>
  <c r="CZ15" i="13" s="1"/>
  <c r="DA15" i="13"/>
  <c r="CU15" i="13"/>
  <c r="DK15" i="13" s="1"/>
  <c r="DH15" i="13"/>
  <c r="DI15" i="13"/>
  <c r="DJ15" i="13"/>
  <c r="DL15" i="13"/>
  <c r="DO15" i="13"/>
  <c r="CW16" i="13"/>
  <c r="CX16" i="13"/>
  <c r="CY16" i="13"/>
  <c r="CZ16" i="13"/>
  <c r="DA16" i="13"/>
  <c r="DB16" i="13"/>
  <c r="CU16" i="13"/>
  <c r="DJ16" i="13" s="1"/>
  <c r="DH16" i="13"/>
  <c r="DI16" i="13"/>
  <c r="DK16" i="13"/>
  <c r="DL16" i="13"/>
  <c r="DM16" i="13" s="1"/>
  <c r="DP16" i="13" s="1"/>
  <c r="DO16" i="13"/>
  <c r="CW17" i="13"/>
  <c r="DB17" i="13" s="1"/>
  <c r="CX17" i="13"/>
  <c r="CY17" i="13"/>
  <c r="CZ17" i="13" s="1"/>
  <c r="DA17" i="13"/>
  <c r="CU17" i="13"/>
  <c r="DI17" i="13" s="1"/>
  <c r="DH17" i="13"/>
  <c r="DJ17" i="13"/>
  <c r="DK17" i="13"/>
  <c r="DL17" i="13"/>
  <c r="DO17" i="13"/>
  <c r="CW18" i="13"/>
  <c r="CX18" i="13"/>
  <c r="CY18" i="13"/>
  <c r="CZ18" i="13" s="1"/>
  <c r="DA18" i="13"/>
  <c r="CU18" i="13"/>
  <c r="DH18" i="13" s="1"/>
  <c r="DJ18" i="13"/>
  <c r="DL18" i="13"/>
  <c r="DO18" i="13"/>
  <c r="CW19" i="13"/>
  <c r="DB19" i="13" s="1"/>
  <c r="CX19" i="13"/>
  <c r="CY19" i="13"/>
  <c r="CZ19" i="13"/>
  <c r="DA19" i="13"/>
  <c r="CU19" i="13"/>
  <c r="DH19" i="13" s="1"/>
  <c r="DK19" i="13"/>
  <c r="DO19" i="13"/>
  <c r="CW23" i="13"/>
  <c r="CX23" i="13"/>
  <c r="CY23" i="13"/>
  <c r="CZ23" i="13"/>
  <c r="DA23" i="13"/>
  <c r="CU23" i="13"/>
  <c r="DO23" i="13"/>
  <c r="CW24" i="13"/>
  <c r="DB24" i="13" s="1"/>
  <c r="CX24" i="13"/>
  <c r="CY24" i="13"/>
  <c r="CZ24" i="13"/>
  <c r="DA24" i="13"/>
  <c r="CU24" i="13"/>
  <c r="DH24" i="13"/>
  <c r="DJ24" i="13"/>
  <c r="DO24" i="13"/>
  <c r="CW25" i="13"/>
  <c r="CX25" i="13"/>
  <c r="CY25" i="13"/>
  <c r="DB25" i="13" s="1"/>
  <c r="CZ25" i="13"/>
  <c r="DA25" i="13"/>
  <c r="CU25" i="13"/>
  <c r="DH25" i="13" s="1"/>
  <c r="DI25" i="13"/>
  <c r="DJ25" i="13"/>
  <c r="DK25" i="13"/>
  <c r="DO25" i="13"/>
  <c r="CW26" i="13"/>
  <c r="CX26" i="13"/>
  <c r="CY26" i="13"/>
  <c r="CZ26" i="13" s="1"/>
  <c r="DB26" i="13" s="1"/>
  <c r="DA26" i="13"/>
  <c r="CU26" i="13"/>
  <c r="DL26" i="13" s="1"/>
  <c r="DO26" i="13"/>
  <c r="CW30" i="13"/>
  <c r="CX30" i="13"/>
  <c r="CY30" i="13"/>
  <c r="CZ30" i="13" s="1"/>
  <c r="DA30" i="13"/>
  <c r="CU30" i="13"/>
  <c r="DH30" i="13"/>
  <c r="DI30" i="13"/>
  <c r="DJ30" i="13"/>
  <c r="DK30" i="13"/>
  <c r="DL30" i="13"/>
  <c r="DO30" i="13"/>
  <c r="CW31" i="13"/>
  <c r="CX31" i="13"/>
  <c r="CY31" i="13"/>
  <c r="CZ31" i="13" s="1"/>
  <c r="DB31" i="13" s="1"/>
  <c r="DA31" i="13"/>
  <c r="CU31" i="13"/>
  <c r="DH31" i="13" s="1"/>
  <c r="DK31" i="13"/>
  <c r="DL31" i="13"/>
  <c r="DO31" i="13"/>
  <c r="CW32" i="13"/>
  <c r="CX32" i="13"/>
  <c r="CY32" i="13"/>
  <c r="CZ32" i="13"/>
  <c r="DA32" i="13"/>
  <c r="DB32" i="13" s="1"/>
  <c r="CU32" i="13"/>
  <c r="DJ32" i="13" s="1"/>
  <c r="DH32" i="13"/>
  <c r="DO32" i="13"/>
  <c r="CW33" i="13"/>
  <c r="DB33" i="13" s="1"/>
  <c r="CX33" i="13"/>
  <c r="CY33" i="13"/>
  <c r="CZ33" i="13"/>
  <c r="DA33" i="13"/>
  <c r="CU33" i="13"/>
  <c r="DH33" i="13"/>
  <c r="DI33" i="13"/>
  <c r="DO33" i="13"/>
  <c r="CW34" i="13"/>
  <c r="CX34" i="13"/>
  <c r="CY34" i="13"/>
  <c r="DA34" i="13"/>
  <c r="CU34" i="13"/>
  <c r="DK34" i="13" s="1"/>
  <c r="DH34" i="13"/>
  <c r="DI34" i="13"/>
  <c r="DJ34" i="13"/>
  <c r="DL34" i="13"/>
  <c r="DO34" i="13"/>
  <c r="CW35" i="13"/>
  <c r="CX35" i="13"/>
  <c r="CY35" i="13"/>
  <c r="CZ35" i="13" s="1"/>
  <c r="DB35" i="13" s="1"/>
  <c r="DA35" i="13"/>
  <c r="CU35" i="13"/>
  <c r="DH35" i="13" s="1"/>
  <c r="DI35" i="13"/>
  <c r="DK35" i="13"/>
  <c r="DL35" i="13"/>
  <c r="DO35" i="13"/>
  <c r="CW36" i="13"/>
  <c r="CX36" i="13"/>
  <c r="CY36" i="13"/>
  <c r="CZ36" i="13" s="1"/>
  <c r="DA36" i="13"/>
  <c r="CU36" i="13"/>
  <c r="DH36" i="13" s="1"/>
  <c r="DI36" i="13"/>
  <c r="DL36" i="13"/>
  <c r="DO36" i="13"/>
  <c r="CW40" i="13"/>
  <c r="DB40" i="13" s="1"/>
  <c r="CX40" i="13"/>
  <c r="CY40" i="13"/>
  <c r="CZ40" i="13" s="1"/>
  <c r="DA40" i="13"/>
  <c r="CU40" i="13"/>
  <c r="DH40" i="13" s="1"/>
  <c r="DL40" i="13"/>
  <c r="DO40" i="13"/>
  <c r="CW41" i="13"/>
  <c r="CX41" i="13"/>
  <c r="CY41" i="13"/>
  <c r="CZ41" i="13"/>
  <c r="DA41" i="13"/>
  <c r="DB41" i="13"/>
  <c r="CU41" i="13"/>
  <c r="DK41" i="13" s="1"/>
  <c r="DH41" i="13"/>
  <c r="DI41" i="13"/>
  <c r="DJ41" i="13"/>
  <c r="DL41" i="13"/>
  <c r="DO41" i="13"/>
  <c r="CW42" i="13"/>
  <c r="CX42" i="13"/>
  <c r="CY42" i="13"/>
  <c r="CZ42" i="13"/>
  <c r="DA42" i="13"/>
  <c r="DB42" i="13"/>
  <c r="CU42" i="13"/>
  <c r="DH42" i="13"/>
  <c r="DJ42" i="13"/>
  <c r="DO42" i="13"/>
  <c r="CW43" i="13"/>
  <c r="CX43" i="13"/>
  <c r="CY43" i="13"/>
  <c r="CZ43" i="13"/>
  <c r="DA43" i="13"/>
  <c r="CU43" i="13"/>
  <c r="DH43" i="13" s="1"/>
  <c r="DI43" i="13"/>
  <c r="DJ43" i="13"/>
  <c r="DK43" i="13"/>
  <c r="DO43" i="13"/>
  <c r="CW47" i="13"/>
  <c r="CX47" i="13"/>
  <c r="CY47" i="13"/>
  <c r="CZ47" i="13" s="1"/>
  <c r="DB47" i="13" s="1"/>
  <c r="DA47" i="13"/>
  <c r="CU47" i="13"/>
  <c r="DL47" i="13"/>
  <c r="DO47" i="13"/>
  <c r="CW48" i="13"/>
  <c r="CX48" i="13"/>
  <c r="CY48" i="13"/>
  <c r="CZ48" i="13" s="1"/>
  <c r="DA48" i="13"/>
  <c r="CU48" i="13"/>
  <c r="DH48" i="13" s="1"/>
  <c r="DI48" i="13"/>
  <c r="DJ48" i="13"/>
  <c r="DK48" i="13"/>
  <c r="DL48" i="13"/>
  <c r="DO48" i="13"/>
  <c r="CW49" i="13"/>
  <c r="CX49" i="13"/>
  <c r="CY49" i="13"/>
  <c r="CZ49" i="13" s="1"/>
  <c r="DA49" i="13"/>
  <c r="DB49" i="13"/>
  <c r="CU49" i="13"/>
  <c r="DH49" i="13" s="1"/>
  <c r="DL49" i="13"/>
  <c r="DO49" i="13"/>
  <c r="CW50" i="13"/>
  <c r="CX50" i="13"/>
  <c r="CY50" i="13"/>
  <c r="CZ50" i="13"/>
  <c r="DA50" i="13"/>
  <c r="DB50" i="13"/>
  <c r="CU50" i="13"/>
  <c r="DJ50" i="13" s="1"/>
  <c r="DH50" i="13"/>
  <c r="DL50" i="13"/>
  <c r="DO50" i="13"/>
  <c r="CW51" i="13"/>
  <c r="DB51" i="13" s="1"/>
  <c r="CX51" i="13"/>
  <c r="CY51" i="13"/>
  <c r="CZ51" i="13" s="1"/>
  <c r="DA51" i="13"/>
  <c r="CU51" i="13"/>
  <c r="DO51" i="13"/>
  <c r="CW52" i="13"/>
  <c r="CX52" i="13"/>
  <c r="CY52" i="13"/>
  <c r="CZ52" i="13" s="1"/>
  <c r="DA52" i="13"/>
  <c r="CU52" i="13"/>
  <c r="DH52" i="13"/>
  <c r="DI52" i="13"/>
  <c r="DK52" i="13"/>
  <c r="DO52" i="13"/>
  <c r="CW56" i="13"/>
  <c r="CX56" i="13"/>
  <c r="CY56" i="13"/>
  <c r="CZ56" i="13" s="1"/>
  <c r="DA56" i="13"/>
  <c r="CU56" i="13"/>
  <c r="DH56" i="13" s="1"/>
  <c r="DJ56" i="13"/>
  <c r="DK56" i="13"/>
  <c r="DL56" i="13"/>
  <c r="DO56" i="13"/>
  <c r="CW57" i="13"/>
  <c r="DB57" i="13" s="1"/>
  <c r="CX57" i="13"/>
  <c r="CY57" i="13"/>
  <c r="CZ57" i="13" s="1"/>
  <c r="DA57" i="13"/>
  <c r="CU57" i="13"/>
  <c r="DK57" i="13" s="1"/>
  <c r="DH57" i="13"/>
  <c r="DM57" i="13" s="1"/>
  <c r="DP57" i="13" s="1"/>
  <c r="DI57" i="13"/>
  <c r="DJ57" i="13"/>
  <c r="DL57" i="13"/>
  <c r="DO57" i="13"/>
  <c r="CW58" i="13"/>
  <c r="DB58" i="13" s="1"/>
  <c r="CX58" i="13"/>
  <c r="CY58" i="13"/>
  <c r="CZ58" i="13"/>
  <c r="DA58" i="13"/>
  <c r="CU58" i="13"/>
  <c r="DH58" i="13" s="1"/>
  <c r="DK58" i="13"/>
  <c r="DL58" i="13"/>
  <c r="DO58" i="13"/>
  <c r="CW59" i="13"/>
  <c r="CX59" i="13"/>
  <c r="CY59" i="13"/>
  <c r="CZ59" i="13"/>
  <c r="DA59" i="13"/>
  <c r="CU59" i="13"/>
  <c r="DO59" i="13"/>
  <c r="CW60" i="13"/>
  <c r="DB60" i="13" s="1"/>
  <c r="CX60" i="13"/>
  <c r="CY60" i="13"/>
  <c r="CZ60" i="13" s="1"/>
  <c r="DA60" i="13"/>
  <c r="CU60" i="13"/>
  <c r="DH60" i="13"/>
  <c r="DJ60" i="13"/>
  <c r="DO60" i="13"/>
  <c r="CW61" i="13"/>
  <c r="CX61" i="13"/>
  <c r="CY61" i="13"/>
  <c r="CZ61" i="13"/>
  <c r="DB61" i="13" s="1"/>
  <c r="DA61" i="13"/>
  <c r="CU61" i="13"/>
  <c r="DH61" i="13" s="1"/>
  <c r="DI61" i="13"/>
  <c r="DJ61" i="13"/>
  <c r="DK61" i="13"/>
  <c r="DO61" i="13"/>
  <c r="AQ15" i="36"/>
  <c r="CW8" i="13"/>
  <c r="CX8" i="13"/>
  <c r="CY8" i="13"/>
  <c r="CZ8" i="13" s="1"/>
  <c r="DB8" i="13" s="1"/>
  <c r="DA8" i="13"/>
  <c r="CU8" i="13"/>
  <c r="DH8" i="13"/>
  <c r="DI8" i="13"/>
  <c r="DJ8" i="13"/>
  <c r="DK8" i="13"/>
  <c r="DL8" i="13"/>
  <c r="DO8" i="13"/>
  <c r="CW9" i="13"/>
  <c r="CX9" i="13"/>
  <c r="DB9" i="13" s="1"/>
  <c r="CY9" i="13"/>
  <c r="CZ9" i="13" s="1"/>
  <c r="DA9" i="13"/>
  <c r="CU9" i="13"/>
  <c r="DH9" i="13"/>
  <c r="DI9" i="13"/>
  <c r="DJ9" i="13"/>
  <c r="DK9" i="13"/>
  <c r="DL9" i="13"/>
  <c r="DO9" i="13"/>
  <c r="CW10" i="13"/>
  <c r="CX10" i="13"/>
  <c r="CY10" i="13"/>
  <c r="CZ10" i="13" s="1"/>
  <c r="DA10" i="13"/>
  <c r="CU10" i="13"/>
  <c r="DH10" i="13" s="1"/>
  <c r="DL10" i="13"/>
  <c r="DO10" i="13"/>
  <c r="BY14" i="13"/>
  <c r="BZ14" i="13"/>
  <c r="CA14" i="13"/>
  <c r="CB14" i="13"/>
  <c r="CC14" i="13"/>
  <c r="CD14" i="13" s="1"/>
  <c r="BW14" i="13"/>
  <c r="CL14" i="13" s="1"/>
  <c r="CJ14" i="13"/>
  <c r="CK14" i="13"/>
  <c r="CQ14" i="13"/>
  <c r="BY15" i="13"/>
  <c r="BZ15" i="13"/>
  <c r="CD15" i="13" s="1"/>
  <c r="CA15" i="13"/>
  <c r="CB15" i="13"/>
  <c r="CC15" i="13"/>
  <c r="BW15" i="13"/>
  <c r="CJ15" i="13" s="1"/>
  <c r="CQ15" i="13"/>
  <c r="BY16" i="13"/>
  <c r="BZ16" i="13"/>
  <c r="CA16" i="13"/>
  <c r="CB16" i="13" s="1"/>
  <c r="CC16" i="13"/>
  <c r="BW16" i="13"/>
  <c r="CJ16" i="13" s="1"/>
  <c r="CL16" i="13"/>
  <c r="CM16" i="13"/>
  <c r="CN16" i="13"/>
  <c r="CQ16" i="13"/>
  <c r="BY17" i="13"/>
  <c r="BZ17" i="13"/>
  <c r="CA17" i="13"/>
  <c r="CB17" i="13" s="1"/>
  <c r="CD17" i="13" s="1"/>
  <c r="CC17" i="13"/>
  <c r="BW17" i="13"/>
  <c r="CJ17" i="13" s="1"/>
  <c r="CM17" i="13"/>
  <c r="CN17" i="13"/>
  <c r="CQ17" i="13"/>
  <c r="BY18" i="13"/>
  <c r="BZ18" i="13"/>
  <c r="CA18" i="13"/>
  <c r="CB18" i="13" s="1"/>
  <c r="CC18" i="13"/>
  <c r="BW18" i="13"/>
  <c r="CJ18" i="13" s="1"/>
  <c r="CK18" i="13"/>
  <c r="CQ18" i="13"/>
  <c r="BY19" i="13"/>
  <c r="BZ19" i="13"/>
  <c r="CA19" i="13"/>
  <c r="CB19" i="13" s="1"/>
  <c r="CC19" i="13"/>
  <c r="BW19" i="13"/>
  <c r="CJ19" i="13" s="1"/>
  <c r="CN19" i="13"/>
  <c r="CQ19" i="13"/>
  <c r="BY23" i="13"/>
  <c r="BZ23" i="13"/>
  <c r="CA23" i="13"/>
  <c r="CB23" i="13"/>
  <c r="CC23" i="13"/>
  <c r="CD23" i="13"/>
  <c r="BW23" i="13"/>
  <c r="CL23" i="13" s="1"/>
  <c r="CJ23" i="13"/>
  <c r="CK23" i="13"/>
  <c r="CQ23" i="13"/>
  <c r="BY24" i="13"/>
  <c r="BZ24" i="13"/>
  <c r="CD24" i="13" s="1"/>
  <c r="CA24" i="13"/>
  <c r="CB24" i="13" s="1"/>
  <c r="CC24" i="13"/>
  <c r="BW24" i="13"/>
  <c r="CJ24" i="13" s="1"/>
  <c r="CK24" i="13"/>
  <c r="CM24" i="13"/>
  <c r="CQ24" i="13"/>
  <c r="BY25" i="13"/>
  <c r="BZ25" i="13"/>
  <c r="CA25" i="13"/>
  <c r="CB25" i="13" s="1"/>
  <c r="CC25" i="13"/>
  <c r="BW25" i="13"/>
  <c r="CJ25" i="13"/>
  <c r="CK25" i="13"/>
  <c r="CL25" i="13"/>
  <c r="CM25" i="13"/>
  <c r="CN25" i="13"/>
  <c r="CQ25" i="13"/>
  <c r="BY26" i="13"/>
  <c r="CD26" i="13" s="1"/>
  <c r="BZ26" i="13"/>
  <c r="CA26" i="13"/>
  <c r="CB26" i="13"/>
  <c r="CC26" i="13"/>
  <c r="BW26" i="13"/>
  <c r="CN26" i="13" s="1"/>
  <c r="CQ26" i="13"/>
  <c r="BY30" i="13"/>
  <c r="CD30" i="13" s="1"/>
  <c r="BZ30" i="13"/>
  <c r="CA30" i="13"/>
  <c r="CB30" i="13" s="1"/>
  <c r="CC30" i="13"/>
  <c r="BW30" i="13"/>
  <c r="CJ30" i="13" s="1"/>
  <c r="CL30" i="13"/>
  <c r="CQ30" i="13"/>
  <c r="BY31" i="13"/>
  <c r="BZ31" i="13"/>
  <c r="CA31" i="13"/>
  <c r="CB31" i="13"/>
  <c r="CD31" i="13" s="1"/>
  <c r="CC31" i="13"/>
  <c r="BW31" i="13"/>
  <c r="CJ31" i="13" s="1"/>
  <c r="CQ31" i="13"/>
  <c r="BY32" i="13"/>
  <c r="BZ32" i="13"/>
  <c r="CA32" i="13"/>
  <c r="CB32" i="13"/>
  <c r="CC32" i="13"/>
  <c r="BW32" i="13"/>
  <c r="CQ32" i="13"/>
  <c r="BY33" i="13"/>
  <c r="BZ33" i="13"/>
  <c r="CA33" i="13"/>
  <c r="CB33" i="13" s="1"/>
  <c r="CC33" i="13"/>
  <c r="CD33" i="13"/>
  <c r="BW33" i="13"/>
  <c r="CJ33" i="13"/>
  <c r="CL33" i="13"/>
  <c r="CQ33" i="13"/>
  <c r="BY34" i="13"/>
  <c r="BZ34" i="13"/>
  <c r="CA34" i="13"/>
  <c r="CB34" i="13"/>
  <c r="CC34" i="13"/>
  <c r="BW34" i="13"/>
  <c r="CJ34" i="13"/>
  <c r="CK34" i="13"/>
  <c r="CL34" i="13"/>
  <c r="CM34" i="13"/>
  <c r="CN34" i="13"/>
  <c r="CQ34" i="13"/>
  <c r="BY35" i="13"/>
  <c r="BZ35" i="13"/>
  <c r="CA35" i="13"/>
  <c r="CB35" i="13" s="1"/>
  <c r="CC35" i="13"/>
  <c r="BW35" i="13"/>
  <c r="CN35" i="13" s="1"/>
  <c r="CQ35" i="13"/>
  <c r="BY36" i="13"/>
  <c r="CD36" i="13" s="1"/>
  <c r="BZ36" i="13"/>
  <c r="CA36" i="13"/>
  <c r="CB36" i="13" s="1"/>
  <c r="CC36" i="13"/>
  <c r="BW36" i="13"/>
  <c r="CJ36" i="13" s="1"/>
  <c r="CK36" i="13"/>
  <c r="CL36" i="13"/>
  <c r="CQ36" i="13"/>
  <c r="BY40" i="13"/>
  <c r="BZ40" i="13"/>
  <c r="CA40" i="13"/>
  <c r="CB40" i="13" s="1"/>
  <c r="CD40" i="13" s="1"/>
  <c r="CC40" i="13"/>
  <c r="BW40" i="13"/>
  <c r="CM40" i="13" s="1"/>
  <c r="CN40" i="13"/>
  <c r="CQ40" i="13"/>
  <c r="BY41" i="13"/>
  <c r="BZ41" i="13"/>
  <c r="CA41" i="13"/>
  <c r="CB41" i="13" s="1"/>
  <c r="CD41" i="13" s="1"/>
  <c r="CC41" i="13"/>
  <c r="BW41" i="13"/>
  <c r="CJ41" i="13"/>
  <c r="CK41" i="13"/>
  <c r="CL41" i="13"/>
  <c r="CM41" i="13"/>
  <c r="CN41" i="13"/>
  <c r="CQ41" i="13"/>
  <c r="BY42" i="13"/>
  <c r="CD42" i="13" s="1"/>
  <c r="BZ42" i="13"/>
  <c r="CA42" i="13"/>
  <c r="CB42" i="13" s="1"/>
  <c r="CC42" i="13"/>
  <c r="BW42" i="13"/>
  <c r="CJ42" i="13"/>
  <c r="CK42" i="13"/>
  <c r="CL42" i="13"/>
  <c r="CM42" i="13"/>
  <c r="CN42" i="13"/>
  <c r="CO42" i="13"/>
  <c r="CQ42" i="13"/>
  <c r="BY43" i="13"/>
  <c r="CD43" i="13" s="1"/>
  <c r="BZ43" i="13"/>
  <c r="CA43" i="13"/>
  <c r="CB43" i="13" s="1"/>
  <c r="CC43" i="13"/>
  <c r="BW43" i="13"/>
  <c r="CK43" i="13" s="1"/>
  <c r="CO43" i="13" s="1"/>
  <c r="CJ43" i="13"/>
  <c r="CL43" i="13"/>
  <c r="CM43" i="13"/>
  <c r="CN43" i="13"/>
  <c r="CQ43" i="13"/>
  <c r="BY47" i="13"/>
  <c r="BZ47" i="13"/>
  <c r="CA47" i="13"/>
  <c r="CB47" i="13" s="1"/>
  <c r="CC47" i="13"/>
  <c r="CD47" i="13" s="1"/>
  <c r="BW47" i="13"/>
  <c r="CJ47" i="13" s="1"/>
  <c r="CN47" i="13"/>
  <c r="CQ47" i="13"/>
  <c r="BY48" i="13"/>
  <c r="BZ48" i="13"/>
  <c r="CA48" i="13"/>
  <c r="CB48" i="13"/>
  <c r="CC48" i="13"/>
  <c r="CD48" i="13" s="1"/>
  <c r="BW48" i="13"/>
  <c r="CL48" i="13" s="1"/>
  <c r="CJ48" i="13"/>
  <c r="CK48" i="13"/>
  <c r="CQ48" i="13"/>
  <c r="BY49" i="13"/>
  <c r="BZ49" i="13"/>
  <c r="CA49" i="13"/>
  <c r="CB49" i="13" s="1"/>
  <c r="CD49" i="13" s="1"/>
  <c r="CC49" i="13"/>
  <c r="BW49" i="13"/>
  <c r="CL49" i="13" s="1"/>
  <c r="CJ49" i="13"/>
  <c r="CQ49" i="13"/>
  <c r="BY50" i="13"/>
  <c r="BZ50" i="13"/>
  <c r="CA50" i="13"/>
  <c r="CB50" i="13" s="1"/>
  <c r="CD50" i="13" s="1"/>
  <c r="CC50" i="13"/>
  <c r="BW50" i="13"/>
  <c r="CJ50" i="13"/>
  <c r="CK50" i="13"/>
  <c r="CL50" i="13"/>
  <c r="CM50" i="13"/>
  <c r="CN50" i="13"/>
  <c r="CQ50" i="13"/>
  <c r="BY51" i="13"/>
  <c r="BZ51" i="13"/>
  <c r="CA51" i="13"/>
  <c r="CB51" i="13"/>
  <c r="CC51" i="13"/>
  <c r="CD51" i="13"/>
  <c r="BW51" i="13"/>
  <c r="CJ51" i="13" s="1"/>
  <c r="CK51" i="13"/>
  <c r="CL51" i="13"/>
  <c r="CM51" i="13"/>
  <c r="CN51" i="13"/>
  <c r="CQ51" i="13"/>
  <c r="BY52" i="13"/>
  <c r="BZ52" i="13"/>
  <c r="CA52" i="13"/>
  <c r="CB52" i="13" s="1"/>
  <c r="CC52" i="13"/>
  <c r="BW52" i="13"/>
  <c r="CJ52" i="13" s="1"/>
  <c r="CO52" i="13" s="1"/>
  <c r="CK52" i="13"/>
  <c r="CL52" i="13"/>
  <c r="CM52" i="13"/>
  <c r="CN52" i="13"/>
  <c r="CQ52" i="13"/>
  <c r="BY56" i="13"/>
  <c r="BZ56" i="13"/>
  <c r="CD56" i="13" s="1"/>
  <c r="CA56" i="13"/>
  <c r="CB56" i="13" s="1"/>
  <c r="CC56" i="13"/>
  <c r="BW56" i="13"/>
  <c r="CJ56" i="13" s="1"/>
  <c r="CN56" i="13"/>
  <c r="CQ56" i="13"/>
  <c r="BY57" i="13"/>
  <c r="BZ57" i="13"/>
  <c r="CA57" i="13"/>
  <c r="CB57" i="13"/>
  <c r="CD57" i="13" s="1"/>
  <c r="CC57" i="13"/>
  <c r="BW57" i="13"/>
  <c r="CL57" i="13" s="1"/>
  <c r="CJ57" i="13"/>
  <c r="CK57" i="13"/>
  <c r="CQ57" i="13"/>
  <c r="BY58" i="13"/>
  <c r="BZ58" i="13"/>
  <c r="CA58" i="13"/>
  <c r="CB58" i="13" s="1"/>
  <c r="CD58" i="13" s="1"/>
  <c r="CC58" i="13"/>
  <c r="BW58" i="13"/>
  <c r="CJ58" i="13" s="1"/>
  <c r="CN58" i="13"/>
  <c r="CQ58" i="13"/>
  <c r="BY59" i="13"/>
  <c r="BZ59" i="13"/>
  <c r="CA59" i="13"/>
  <c r="CB59" i="13"/>
  <c r="CD59" i="13" s="1"/>
  <c r="CC59" i="13"/>
  <c r="BW59" i="13"/>
  <c r="CJ59" i="13" s="1"/>
  <c r="CK59" i="13"/>
  <c r="CL59" i="13"/>
  <c r="CM59" i="13"/>
  <c r="CQ59" i="13"/>
  <c r="BY60" i="13"/>
  <c r="BZ60" i="13"/>
  <c r="CA60" i="13"/>
  <c r="CB60" i="13"/>
  <c r="CC60" i="13"/>
  <c r="CD60" i="13"/>
  <c r="BW60" i="13"/>
  <c r="CJ60" i="13" s="1"/>
  <c r="CK60" i="13"/>
  <c r="CL60" i="13"/>
  <c r="CM60" i="13"/>
  <c r="CN60" i="13"/>
  <c r="CO60" i="13" s="1"/>
  <c r="CR60" i="13" s="1"/>
  <c r="CQ60" i="13"/>
  <c r="BY61" i="13"/>
  <c r="BZ61" i="13"/>
  <c r="CA61" i="13"/>
  <c r="CB61" i="13" s="1"/>
  <c r="CC61" i="13"/>
  <c r="BW61" i="13"/>
  <c r="CJ61" i="13" s="1"/>
  <c r="CL61" i="13"/>
  <c r="CM61" i="13"/>
  <c r="CN61" i="13"/>
  <c r="CQ61" i="13"/>
  <c r="AG15" i="36"/>
  <c r="BY8" i="13"/>
  <c r="BZ8" i="13"/>
  <c r="CA8" i="13"/>
  <c r="CB8" i="13" s="1"/>
  <c r="CC8" i="13"/>
  <c r="BW8" i="13"/>
  <c r="CJ8" i="13" s="1"/>
  <c r="CK8" i="13"/>
  <c r="CL8" i="13"/>
  <c r="CM8" i="13"/>
  <c r="CN8" i="13"/>
  <c r="CQ8" i="13"/>
  <c r="BY9" i="13"/>
  <c r="BZ9" i="13"/>
  <c r="CA9" i="13"/>
  <c r="CB9" i="13" s="1"/>
  <c r="CC9" i="13"/>
  <c r="BW9" i="13"/>
  <c r="CJ9" i="13" s="1"/>
  <c r="CN9" i="13"/>
  <c r="CQ9" i="13"/>
  <c r="BY10" i="13"/>
  <c r="BZ10" i="13"/>
  <c r="CA10" i="13"/>
  <c r="CB10" i="13"/>
  <c r="CC10" i="13"/>
  <c r="CD10" i="13"/>
  <c r="BW10" i="13"/>
  <c r="CL10" i="13" s="1"/>
  <c r="CJ10" i="13"/>
  <c r="CK10" i="13"/>
  <c r="CQ10" i="13"/>
  <c r="BA14" i="13"/>
  <c r="BB14" i="13"/>
  <c r="BC14" i="13"/>
  <c r="BD14" i="13" s="1"/>
  <c r="BF14" i="13" s="1"/>
  <c r="BE14" i="13"/>
  <c r="AY14" i="13"/>
  <c r="BN14" i="13" s="1"/>
  <c r="BL14" i="13"/>
  <c r="BM14" i="13"/>
  <c r="BO14" i="13"/>
  <c r="BP14" i="13"/>
  <c r="BS14" i="13"/>
  <c r="BA15" i="13"/>
  <c r="BB15" i="13"/>
  <c r="BC15" i="13"/>
  <c r="BD15" i="13" s="1"/>
  <c r="BF15" i="13" s="1"/>
  <c r="BE15" i="13"/>
  <c r="AY15" i="13"/>
  <c r="BL15" i="13"/>
  <c r="BM15" i="13"/>
  <c r="BN15" i="13"/>
  <c r="BO15" i="13"/>
  <c r="BP15" i="13"/>
  <c r="BS15" i="13"/>
  <c r="BA16" i="13"/>
  <c r="BB16" i="13"/>
  <c r="BC16" i="13"/>
  <c r="BD16" i="13" s="1"/>
  <c r="BE16" i="13"/>
  <c r="AY16" i="13"/>
  <c r="BL16" i="13"/>
  <c r="BM16" i="13"/>
  <c r="BN16" i="13"/>
  <c r="BO16" i="13"/>
  <c r="BP16" i="13"/>
  <c r="BS16" i="13"/>
  <c r="BA17" i="13"/>
  <c r="BF17" i="13" s="1"/>
  <c r="BB17" i="13"/>
  <c r="BC17" i="13"/>
  <c r="BD17" i="13"/>
  <c r="BE17" i="13"/>
  <c r="AY17" i="13"/>
  <c r="BL17" i="13"/>
  <c r="BM17" i="13"/>
  <c r="BN17" i="13"/>
  <c r="BO17" i="13"/>
  <c r="BP17" i="13"/>
  <c r="BS17" i="13"/>
  <c r="BA18" i="13"/>
  <c r="BB18" i="13"/>
  <c r="BC18" i="13"/>
  <c r="BD18" i="13"/>
  <c r="BE18" i="13"/>
  <c r="AY18" i="13"/>
  <c r="BL18" i="13"/>
  <c r="BS18" i="13"/>
  <c r="BA19" i="13"/>
  <c r="BB19" i="13"/>
  <c r="BC19" i="13"/>
  <c r="BD19" i="13"/>
  <c r="BE19" i="13"/>
  <c r="BF19" i="13"/>
  <c r="AY19" i="13"/>
  <c r="BL19" i="13"/>
  <c r="BN19" i="13"/>
  <c r="BO19" i="13"/>
  <c r="BS19" i="13"/>
  <c r="BA23" i="13"/>
  <c r="BB23" i="13"/>
  <c r="BC23" i="13"/>
  <c r="BD23" i="13" s="1"/>
  <c r="BF23" i="13" s="1"/>
  <c r="BE23" i="13"/>
  <c r="AY23" i="13"/>
  <c r="BL23" i="13"/>
  <c r="BM23" i="13"/>
  <c r="BN23" i="13"/>
  <c r="BO23" i="13"/>
  <c r="BP23" i="13"/>
  <c r="BS23" i="13"/>
  <c r="BA24" i="13"/>
  <c r="BB24" i="13"/>
  <c r="BC24" i="13"/>
  <c r="BD24" i="13"/>
  <c r="BE24" i="13"/>
  <c r="BF24" i="13"/>
  <c r="AY24" i="13"/>
  <c r="BL24" i="13" s="1"/>
  <c r="BQ24" i="13" s="1"/>
  <c r="BT24" i="13" s="1"/>
  <c r="BM24" i="13"/>
  <c r="BN24" i="13"/>
  <c r="BO24" i="13"/>
  <c r="BP24" i="13"/>
  <c r="BS24" i="13"/>
  <c r="BA25" i="13"/>
  <c r="BF25" i="13" s="1"/>
  <c r="BB25" i="13"/>
  <c r="BC25" i="13"/>
  <c r="BD25" i="13" s="1"/>
  <c r="BE25" i="13"/>
  <c r="AY25" i="13"/>
  <c r="BL25" i="13" s="1"/>
  <c r="BM25" i="13"/>
  <c r="BN25" i="13"/>
  <c r="BP25" i="13"/>
  <c r="BS25" i="13"/>
  <c r="BA26" i="13"/>
  <c r="BF26" i="13" s="1"/>
  <c r="BB26" i="13"/>
  <c r="BC26" i="13"/>
  <c r="BD26" i="13" s="1"/>
  <c r="BE26" i="13"/>
  <c r="AY26" i="13"/>
  <c r="BL26" i="13" s="1"/>
  <c r="BP26" i="13"/>
  <c r="BS26" i="13"/>
  <c r="BA30" i="13"/>
  <c r="BB30" i="13"/>
  <c r="BC30" i="13"/>
  <c r="BD30" i="13"/>
  <c r="BE30" i="13"/>
  <c r="BF30" i="13"/>
  <c r="AY30" i="13"/>
  <c r="BN30" i="13" s="1"/>
  <c r="BL30" i="13"/>
  <c r="BM30" i="13"/>
  <c r="BS30" i="13"/>
  <c r="BA31" i="13"/>
  <c r="BB31" i="13"/>
  <c r="BC31" i="13"/>
  <c r="BD31" i="13" s="1"/>
  <c r="BE31" i="13"/>
  <c r="AY31" i="13"/>
  <c r="BN31" i="13" s="1"/>
  <c r="BL31" i="13"/>
  <c r="BM31" i="13"/>
  <c r="BO31" i="13"/>
  <c r="BP31" i="13"/>
  <c r="BS31" i="13"/>
  <c r="BA32" i="13"/>
  <c r="BB32" i="13"/>
  <c r="BC32" i="13"/>
  <c r="BD32" i="13" s="1"/>
  <c r="BF32" i="13" s="1"/>
  <c r="BE32" i="13"/>
  <c r="AY32" i="13"/>
  <c r="BL32" i="13"/>
  <c r="BQ32" i="13" s="1"/>
  <c r="BM32" i="13"/>
  <c r="BN32" i="13"/>
  <c r="BO32" i="13"/>
  <c r="BP32" i="13"/>
  <c r="BS32" i="13"/>
  <c r="BA33" i="13"/>
  <c r="BF33" i="13" s="1"/>
  <c r="BB33" i="13"/>
  <c r="BC33" i="13"/>
  <c r="BD33" i="13" s="1"/>
  <c r="BE33" i="13"/>
  <c r="AY33" i="13"/>
  <c r="BL33" i="13" s="1"/>
  <c r="BN33" i="13"/>
  <c r="BO33" i="13"/>
  <c r="BP33" i="13"/>
  <c r="BS33" i="13"/>
  <c r="BA34" i="13"/>
  <c r="BF34" i="13" s="1"/>
  <c r="BB34" i="13"/>
  <c r="BC34" i="13"/>
  <c r="BD34" i="13" s="1"/>
  <c r="BE34" i="13"/>
  <c r="AY34" i="13"/>
  <c r="BL34" i="13" s="1"/>
  <c r="BM34" i="13"/>
  <c r="BN34" i="13"/>
  <c r="BP34" i="13"/>
  <c r="BS34" i="13"/>
  <c r="BA35" i="13"/>
  <c r="BB35" i="13"/>
  <c r="BC35" i="13"/>
  <c r="BE35" i="13"/>
  <c r="AY35" i="13"/>
  <c r="BL35" i="13" s="1"/>
  <c r="BP35" i="13"/>
  <c r="BS35" i="13"/>
  <c r="BA36" i="13"/>
  <c r="BB36" i="13"/>
  <c r="BC36" i="13"/>
  <c r="BD36" i="13"/>
  <c r="BE36" i="13"/>
  <c r="BF36" i="13"/>
  <c r="AY36" i="13"/>
  <c r="BN36" i="13" s="1"/>
  <c r="BL36" i="13"/>
  <c r="BM36" i="13"/>
  <c r="BS36" i="13"/>
  <c r="BA40" i="13"/>
  <c r="BB40" i="13"/>
  <c r="BC40" i="13"/>
  <c r="BD40" i="13" s="1"/>
  <c r="BF40" i="13" s="1"/>
  <c r="BE40" i="13"/>
  <c r="AY40" i="13"/>
  <c r="BS40" i="13"/>
  <c r="BA41" i="13"/>
  <c r="BB41" i="13"/>
  <c r="BC41" i="13"/>
  <c r="BD41" i="13"/>
  <c r="BE41" i="13"/>
  <c r="BF41" i="13" s="1"/>
  <c r="AY41" i="13"/>
  <c r="BL41" i="13"/>
  <c r="BM41" i="13"/>
  <c r="BN41" i="13"/>
  <c r="BO41" i="13"/>
  <c r="BP41" i="13"/>
  <c r="BS41" i="13"/>
  <c r="BA42" i="13"/>
  <c r="BB42" i="13"/>
  <c r="BC42" i="13"/>
  <c r="BD42" i="13" s="1"/>
  <c r="BE42" i="13"/>
  <c r="AY42" i="13"/>
  <c r="BN42" i="13" s="1"/>
  <c r="BL42" i="13"/>
  <c r="BM42" i="13"/>
  <c r="BO42" i="13"/>
  <c r="BP42" i="13"/>
  <c r="BS42" i="13"/>
  <c r="BA43" i="13"/>
  <c r="BB43" i="13"/>
  <c r="BC43" i="13"/>
  <c r="BD43" i="13"/>
  <c r="BE43" i="13"/>
  <c r="AY43" i="13"/>
  <c r="BL43" i="13" s="1"/>
  <c r="BO43" i="13"/>
  <c r="BP43" i="13"/>
  <c r="BS43" i="13"/>
  <c r="BA47" i="13"/>
  <c r="BB47" i="13"/>
  <c r="BC47" i="13"/>
  <c r="BD47" i="13" s="1"/>
  <c r="BE47" i="13"/>
  <c r="AY47" i="13"/>
  <c r="BL47" i="13" s="1"/>
  <c r="BS47" i="13"/>
  <c r="BA48" i="13"/>
  <c r="BB48" i="13"/>
  <c r="BC48" i="13"/>
  <c r="BD48" i="13"/>
  <c r="BE48" i="13"/>
  <c r="BF48" i="13"/>
  <c r="AY48" i="13"/>
  <c r="BL48" i="13" s="1"/>
  <c r="BS48" i="13"/>
  <c r="BA49" i="13"/>
  <c r="BB49" i="13"/>
  <c r="BC49" i="13"/>
  <c r="BD49" i="13"/>
  <c r="BF49" i="13" s="1"/>
  <c r="BE49" i="13"/>
  <c r="AY49" i="13"/>
  <c r="BL49" i="13" s="1"/>
  <c r="BM49" i="13"/>
  <c r="BN49" i="13"/>
  <c r="BO49" i="13"/>
  <c r="BS49" i="13"/>
  <c r="BA50" i="13"/>
  <c r="BB50" i="13"/>
  <c r="BC50" i="13"/>
  <c r="BD50" i="13" s="1"/>
  <c r="BE50" i="13"/>
  <c r="AY50" i="13"/>
  <c r="BL50" i="13" s="1"/>
  <c r="BN50" i="13"/>
  <c r="BO50" i="13"/>
  <c r="BP50" i="13"/>
  <c r="BS50" i="13"/>
  <c r="BA51" i="13"/>
  <c r="BB51" i="13"/>
  <c r="BC51" i="13"/>
  <c r="BD51" i="13" s="1"/>
  <c r="BE51" i="13"/>
  <c r="AY51" i="13"/>
  <c r="BL51" i="13"/>
  <c r="BM51" i="13"/>
  <c r="BN51" i="13"/>
  <c r="BO51" i="13"/>
  <c r="BP51" i="13"/>
  <c r="BS51" i="13"/>
  <c r="BA52" i="13"/>
  <c r="BF52" i="13" s="1"/>
  <c r="BB52" i="13"/>
  <c r="BC52" i="13"/>
  <c r="BD52" i="13"/>
  <c r="BE52" i="13"/>
  <c r="AY52" i="13"/>
  <c r="BL52" i="13" s="1"/>
  <c r="BO52" i="13"/>
  <c r="BP52" i="13"/>
  <c r="BS52" i="13"/>
  <c r="BA56" i="13"/>
  <c r="BB56" i="13"/>
  <c r="BC56" i="13"/>
  <c r="BD56" i="13"/>
  <c r="BE56" i="13"/>
  <c r="AY56" i="13"/>
  <c r="BL56" i="13"/>
  <c r="BS56" i="13"/>
  <c r="BA57" i="13"/>
  <c r="BB57" i="13"/>
  <c r="BC57" i="13"/>
  <c r="BD57" i="13"/>
  <c r="BE57" i="13"/>
  <c r="BF57" i="13"/>
  <c r="AY57" i="13"/>
  <c r="BN57" i="13"/>
  <c r="BS57" i="13"/>
  <c r="BA58" i="13"/>
  <c r="BB58" i="13"/>
  <c r="BC58" i="13"/>
  <c r="BF58" i="13" s="1"/>
  <c r="BD58" i="13"/>
  <c r="BE58" i="13"/>
  <c r="AY58" i="13"/>
  <c r="BL58" i="13" s="1"/>
  <c r="BM58" i="13"/>
  <c r="BN58" i="13"/>
  <c r="BO58" i="13"/>
  <c r="BS58" i="13"/>
  <c r="BA59" i="13"/>
  <c r="BF59" i="13" s="1"/>
  <c r="BB59" i="13"/>
  <c r="BC59" i="13"/>
  <c r="BD59" i="13" s="1"/>
  <c r="BE59" i="13"/>
  <c r="AY59" i="13"/>
  <c r="BL59" i="13" s="1"/>
  <c r="BN59" i="13"/>
  <c r="BP59" i="13"/>
  <c r="BS59" i="13"/>
  <c r="BA60" i="13"/>
  <c r="BB60" i="13"/>
  <c r="BC60" i="13"/>
  <c r="BD60" i="13" s="1"/>
  <c r="BE60" i="13"/>
  <c r="AY60" i="13"/>
  <c r="BL60" i="13" s="1"/>
  <c r="BM60" i="13"/>
  <c r="BN60" i="13"/>
  <c r="BP60" i="13"/>
  <c r="BS60" i="13"/>
  <c r="BA61" i="13"/>
  <c r="BB61" i="13"/>
  <c r="BC61" i="13"/>
  <c r="BD61" i="13"/>
  <c r="BE61" i="13"/>
  <c r="AY61" i="13"/>
  <c r="BL61" i="13" s="1"/>
  <c r="BO61" i="13"/>
  <c r="BP61" i="13"/>
  <c r="BS61" i="13"/>
  <c r="W15" i="36"/>
  <c r="BA8" i="13"/>
  <c r="BB8" i="13"/>
  <c r="BC8" i="13"/>
  <c r="BD8" i="13"/>
  <c r="BE8" i="13"/>
  <c r="AY8" i="13"/>
  <c r="BL8" i="13" s="1"/>
  <c r="BO8" i="13"/>
  <c r="BP8" i="13"/>
  <c r="BS8" i="13"/>
  <c r="BA9" i="13"/>
  <c r="BB9" i="13"/>
  <c r="BC9" i="13"/>
  <c r="BD9" i="13" s="1"/>
  <c r="BE9" i="13"/>
  <c r="AY9" i="13"/>
  <c r="BL9" i="13" s="1"/>
  <c r="BS9" i="13"/>
  <c r="BA10" i="13"/>
  <c r="BB10" i="13"/>
  <c r="BC10" i="13"/>
  <c r="BD10" i="13"/>
  <c r="BE10" i="13"/>
  <c r="BF10" i="13"/>
  <c r="AY10" i="13"/>
  <c r="BS10" i="13"/>
  <c r="AC14" i="13"/>
  <c r="AD14" i="13"/>
  <c r="AE14" i="13"/>
  <c r="AF14" i="13"/>
  <c r="AH14" i="13" s="1"/>
  <c r="AG14" i="13"/>
  <c r="AA14" i="13"/>
  <c r="AN14" i="13" s="1"/>
  <c r="AO14" i="13"/>
  <c r="AP14" i="13"/>
  <c r="AQ14" i="13"/>
  <c r="AU14" i="13"/>
  <c r="AC15" i="13"/>
  <c r="AH15" i="13" s="1"/>
  <c r="AD15" i="13"/>
  <c r="AE15" i="13"/>
  <c r="AF15" i="13" s="1"/>
  <c r="AG15" i="13"/>
  <c r="AA15" i="13"/>
  <c r="AO15" i="13" s="1"/>
  <c r="AN15" i="13"/>
  <c r="AP15" i="13"/>
  <c r="AR15" i="13"/>
  <c r="AU15" i="13"/>
  <c r="AC16" i="13"/>
  <c r="AD16" i="13"/>
  <c r="AE16" i="13"/>
  <c r="AF16" i="13" s="1"/>
  <c r="AG16" i="13"/>
  <c r="AA16" i="13"/>
  <c r="AN16" i="13" s="1"/>
  <c r="AP16" i="13"/>
  <c r="AQ16" i="13"/>
  <c r="AU16" i="13"/>
  <c r="AC17" i="13"/>
  <c r="AH17" i="13" s="1"/>
  <c r="AD17" i="13"/>
  <c r="AE17" i="13"/>
  <c r="AF17" i="13" s="1"/>
  <c r="AG17" i="13"/>
  <c r="AA17" i="13"/>
  <c r="AO17" i="13" s="1"/>
  <c r="AN17" i="13"/>
  <c r="AR17" i="13"/>
  <c r="AU17" i="13"/>
  <c r="AC18" i="13"/>
  <c r="AD18" i="13"/>
  <c r="AE18" i="13"/>
  <c r="AF18" i="13"/>
  <c r="AG18" i="13"/>
  <c r="AA18" i="13"/>
  <c r="AU18" i="13"/>
  <c r="AC19" i="13"/>
  <c r="AD19" i="13"/>
  <c r="AE19" i="13"/>
  <c r="AF19" i="13" s="1"/>
  <c r="AG19" i="13"/>
  <c r="AH19" i="13"/>
  <c r="AA19" i="13"/>
  <c r="AO19" i="13" s="1"/>
  <c r="AU19" i="13"/>
  <c r="AC23" i="13"/>
  <c r="AD23" i="13"/>
  <c r="AE23" i="13"/>
  <c r="AF23" i="13"/>
  <c r="AH23" i="13" s="1"/>
  <c r="AG23" i="13"/>
  <c r="AA23" i="13"/>
  <c r="AN23" i="13"/>
  <c r="AO23" i="13"/>
  <c r="AP23" i="13"/>
  <c r="AQ23" i="13"/>
  <c r="AR23" i="13"/>
  <c r="AU23" i="13"/>
  <c r="AC24" i="13"/>
  <c r="AD24" i="13"/>
  <c r="AE24" i="13"/>
  <c r="AF24" i="13" s="1"/>
  <c r="AH24" i="13" s="1"/>
  <c r="AG24" i="13"/>
  <c r="AA24" i="13"/>
  <c r="AN24" i="13" s="1"/>
  <c r="AQ24" i="13"/>
  <c r="AR24" i="13"/>
  <c r="AU24" i="13"/>
  <c r="AC25" i="13"/>
  <c r="AD25" i="13"/>
  <c r="AE25" i="13"/>
  <c r="AF25" i="13" s="1"/>
  <c r="AG25" i="13"/>
  <c r="AA25" i="13"/>
  <c r="AN25" i="13" s="1"/>
  <c r="AO25" i="13"/>
  <c r="AP25" i="13"/>
  <c r="AR25" i="13"/>
  <c r="AU25" i="13"/>
  <c r="AC26" i="13"/>
  <c r="AD26" i="13"/>
  <c r="AE26" i="13"/>
  <c r="AF26" i="13" s="1"/>
  <c r="AG26" i="13"/>
  <c r="AH26" i="13"/>
  <c r="AA26" i="13"/>
  <c r="AN26" i="13" s="1"/>
  <c r="AO26" i="13"/>
  <c r="AR26" i="13"/>
  <c r="AU26" i="13"/>
  <c r="AC30" i="13"/>
  <c r="AD30" i="13"/>
  <c r="AE30" i="13"/>
  <c r="AF30" i="13"/>
  <c r="AG30" i="13"/>
  <c r="AH30" i="13"/>
  <c r="AA30" i="13"/>
  <c r="AP30" i="13" s="1"/>
  <c r="AN30" i="13"/>
  <c r="AO30" i="13"/>
  <c r="AU30" i="13"/>
  <c r="AC31" i="13"/>
  <c r="AD31" i="13"/>
  <c r="AE31" i="13"/>
  <c r="AF31" i="13" s="1"/>
  <c r="AG31" i="13"/>
  <c r="AA31" i="13"/>
  <c r="AP31" i="13" s="1"/>
  <c r="AN31" i="13"/>
  <c r="AU31" i="13"/>
  <c r="AC32" i="13"/>
  <c r="AH32" i="13" s="1"/>
  <c r="AD32" i="13"/>
  <c r="AE32" i="13"/>
  <c r="AF32" i="13"/>
  <c r="AG32" i="13"/>
  <c r="AA32" i="13"/>
  <c r="AN32" i="13" s="1"/>
  <c r="AO32" i="13"/>
  <c r="AP32" i="13"/>
  <c r="AQ32" i="13"/>
  <c r="AU32" i="13"/>
  <c r="AC33" i="13"/>
  <c r="AD33" i="13"/>
  <c r="AE33" i="13"/>
  <c r="AF33" i="13" s="1"/>
  <c r="AH33" i="13" s="1"/>
  <c r="AG33" i="13"/>
  <c r="AA33" i="13"/>
  <c r="AN33" i="13" s="1"/>
  <c r="AQ33" i="13"/>
  <c r="AR33" i="13"/>
  <c r="AU33" i="13"/>
  <c r="AC34" i="13"/>
  <c r="AH34" i="13" s="1"/>
  <c r="AD34" i="13"/>
  <c r="AE34" i="13"/>
  <c r="AF34" i="13"/>
  <c r="AG34" i="13"/>
  <c r="AA34" i="13"/>
  <c r="AN34" i="13" s="1"/>
  <c r="AR34" i="13"/>
  <c r="AU34" i="13"/>
  <c r="AC35" i="13"/>
  <c r="AD35" i="13"/>
  <c r="AE35" i="13"/>
  <c r="AF35" i="13" s="1"/>
  <c r="AG35" i="13"/>
  <c r="AA35" i="13"/>
  <c r="AN35" i="13" s="1"/>
  <c r="AP35" i="13"/>
  <c r="AQ35" i="13"/>
  <c r="AU35" i="13"/>
  <c r="AC36" i="13"/>
  <c r="AD36" i="13"/>
  <c r="AE36" i="13"/>
  <c r="AF36" i="13" s="1"/>
  <c r="AH36" i="13" s="1"/>
  <c r="AG36" i="13"/>
  <c r="AA36" i="13"/>
  <c r="AU36" i="13"/>
  <c r="AC40" i="13"/>
  <c r="AD40" i="13"/>
  <c r="AE40" i="13"/>
  <c r="AF40" i="13" s="1"/>
  <c r="AG40" i="13"/>
  <c r="AH40" i="13"/>
  <c r="AA40" i="13"/>
  <c r="AP40" i="13" s="1"/>
  <c r="AO40" i="13"/>
  <c r="AU40" i="13"/>
  <c r="AC41" i="13"/>
  <c r="AD41" i="13"/>
  <c r="AE41" i="13"/>
  <c r="AF41" i="13" s="1"/>
  <c r="AG41" i="13"/>
  <c r="AA41" i="13"/>
  <c r="AN41" i="13"/>
  <c r="AO41" i="13"/>
  <c r="AP41" i="13"/>
  <c r="AQ41" i="13"/>
  <c r="AR41" i="13"/>
  <c r="AU41" i="13"/>
  <c r="AC42" i="13"/>
  <c r="AD42" i="13"/>
  <c r="AE42" i="13"/>
  <c r="AF42" i="13" s="1"/>
  <c r="AH42" i="13" s="1"/>
  <c r="AG42" i="13"/>
  <c r="AA42" i="13"/>
  <c r="AN42" i="13" s="1"/>
  <c r="AQ42" i="13"/>
  <c r="AR42" i="13"/>
  <c r="AU42" i="13"/>
  <c r="AC43" i="13"/>
  <c r="AD43" i="13"/>
  <c r="AE43" i="13"/>
  <c r="AF43" i="13" s="1"/>
  <c r="AG43" i="13"/>
  <c r="AA43" i="13"/>
  <c r="AN43" i="13"/>
  <c r="AO43" i="13"/>
  <c r="AP43" i="13"/>
  <c r="AQ43" i="13"/>
  <c r="AR43" i="13"/>
  <c r="AU43" i="13"/>
  <c r="AC47" i="13"/>
  <c r="AD47" i="13"/>
  <c r="AE47" i="13"/>
  <c r="AF47" i="13" s="1"/>
  <c r="AG47" i="13"/>
  <c r="AH47" i="13"/>
  <c r="AA47" i="13"/>
  <c r="AN47" i="13" s="1"/>
  <c r="AO47" i="13"/>
  <c r="AQ47" i="13"/>
  <c r="AR47" i="13"/>
  <c r="AU47" i="13"/>
  <c r="AC48" i="13"/>
  <c r="AD48" i="13"/>
  <c r="AE48" i="13"/>
  <c r="AF48" i="13"/>
  <c r="AH48" i="13" s="1"/>
  <c r="AG48" i="13"/>
  <c r="AA48" i="13"/>
  <c r="AP48" i="13" s="1"/>
  <c r="AN48" i="13"/>
  <c r="AO48" i="13"/>
  <c r="AU48" i="13"/>
  <c r="AC49" i="13"/>
  <c r="AD49" i="13"/>
  <c r="AE49" i="13"/>
  <c r="AF49" i="13" s="1"/>
  <c r="AG49" i="13"/>
  <c r="AA49" i="13"/>
  <c r="AP49" i="13" s="1"/>
  <c r="AN49" i="13"/>
  <c r="AQ49" i="13"/>
  <c r="AU49" i="13"/>
  <c r="AC50" i="13"/>
  <c r="AH50" i="13" s="1"/>
  <c r="AD50" i="13"/>
  <c r="AE50" i="13"/>
  <c r="AF50" i="13"/>
  <c r="AG50" i="13"/>
  <c r="AA50" i="13"/>
  <c r="AN50" i="13" s="1"/>
  <c r="AO50" i="13"/>
  <c r="AP50" i="13"/>
  <c r="AQ50" i="13"/>
  <c r="AU50" i="13"/>
  <c r="AC51" i="13"/>
  <c r="AH51" i="13" s="1"/>
  <c r="AD51" i="13"/>
  <c r="AE51" i="13"/>
  <c r="AF51" i="13"/>
  <c r="AG51" i="13"/>
  <c r="AA51" i="13"/>
  <c r="AN51" i="13" s="1"/>
  <c r="AR51" i="13"/>
  <c r="AU51" i="13"/>
  <c r="AC52" i="13"/>
  <c r="AD52" i="13"/>
  <c r="AE52" i="13"/>
  <c r="AF52" i="13"/>
  <c r="AG52" i="13"/>
  <c r="AA52" i="13"/>
  <c r="AP52" i="13" s="1"/>
  <c r="AN52" i="13"/>
  <c r="AO52" i="13"/>
  <c r="AQ52" i="13"/>
  <c r="AR52" i="13"/>
  <c r="AU52" i="13"/>
  <c r="AC56" i="13"/>
  <c r="AD56" i="13"/>
  <c r="AE56" i="13"/>
  <c r="AF56" i="13"/>
  <c r="AG56" i="13"/>
  <c r="AA56" i="13"/>
  <c r="AO56" i="13" s="1"/>
  <c r="AN56" i="13"/>
  <c r="AP56" i="13"/>
  <c r="AQ56" i="13"/>
  <c r="AR56" i="13"/>
  <c r="AU56" i="13"/>
  <c r="AC57" i="13"/>
  <c r="AD57" i="13"/>
  <c r="AE57" i="13"/>
  <c r="AF57" i="13" s="1"/>
  <c r="AG57" i="13"/>
  <c r="AA57" i="13"/>
  <c r="AN57" i="13"/>
  <c r="AU57" i="13"/>
  <c r="AC58" i="13"/>
  <c r="AD58" i="13"/>
  <c r="AE58" i="13"/>
  <c r="AF58" i="13"/>
  <c r="AG58" i="13"/>
  <c r="AH58" i="13"/>
  <c r="AA58" i="13"/>
  <c r="AP58" i="13" s="1"/>
  <c r="AN58" i="13"/>
  <c r="AU58" i="13"/>
  <c r="AC59" i="13"/>
  <c r="AH59" i="13" s="1"/>
  <c r="AD59" i="13"/>
  <c r="AE59" i="13"/>
  <c r="AF59" i="13"/>
  <c r="AG59" i="13"/>
  <c r="AA59" i="13"/>
  <c r="AN59" i="13" s="1"/>
  <c r="AO59" i="13"/>
  <c r="AP59" i="13"/>
  <c r="AQ59" i="13"/>
  <c r="AU59" i="13"/>
  <c r="AC60" i="13"/>
  <c r="AH60" i="13" s="1"/>
  <c r="AD60" i="13"/>
  <c r="AE60" i="13"/>
  <c r="AF60" i="13" s="1"/>
  <c r="AG60" i="13"/>
  <c r="AA60" i="13"/>
  <c r="AN60" i="13" s="1"/>
  <c r="AR60" i="13"/>
  <c r="AU60" i="13"/>
  <c r="AC61" i="13"/>
  <c r="AD61" i="13"/>
  <c r="AE61" i="13"/>
  <c r="AF61" i="13" s="1"/>
  <c r="AG61" i="13"/>
  <c r="AA61" i="13"/>
  <c r="AN61" i="13" s="1"/>
  <c r="AO61" i="13"/>
  <c r="AP61" i="13"/>
  <c r="AQ61" i="13"/>
  <c r="AU61" i="13"/>
  <c r="M15" i="36"/>
  <c r="AC8" i="13"/>
  <c r="AH8" i="13" s="1"/>
  <c r="AD8" i="13"/>
  <c r="AE8" i="13"/>
  <c r="AF8" i="13"/>
  <c r="AG8" i="13"/>
  <c r="AA8" i="13"/>
  <c r="AN8" i="13" s="1"/>
  <c r="AP8" i="13"/>
  <c r="AQ8" i="13"/>
  <c r="AR8" i="13"/>
  <c r="AU8" i="13"/>
  <c r="AC9" i="13"/>
  <c r="AD9" i="13"/>
  <c r="AE9" i="13"/>
  <c r="AF9" i="13" s="1"/>
  <c r="AG9" i="13"/>
  <c r="AA9" i="13"/>
  <c r="AN9" i="13"/>
  <c r="AU9" i="13"/>
  <c r="AC10" i="13"/>
  <c r="AD10" i="13"/>
  <c r="AE10" i="13"/>
  <c r="AF10" i="13"/>
  <c r="AG10" i="13"/>
  <c r="AH10" i="13"/>
  <c r="AA10" i="13"/>
  <c r="AP10" i="13" s="1"/>
  <c r="AN10" i="13"/>
  <c r="AQ10" i="13"/>
  <c r="AU10" i="13"/>
  <c r="E14" i="13"/>
  <c r="J14" i="13" s="1"/>
  <c r="F14" i="13"/>
  <c r="G14" i="13"/>
  <c r="H14" i="13"/>
  <c r="I14" i="13"/>
  <c r="C14" i="13"/>
  <c r="P14" i="13" s="1"/>
  <c r="Q14" i="13"/>
  <c r="R14" i="13"/>
  <c r="S14" i="13"/>
  <c r="W14" i="13"/>
  <c r="E15" i="13"/>
  <c r="J15" i="13" s="1"/>
  <c r="F15" i="13"/>
  <c r="G15" i="13"/>
  <c r="H15" i="13" s="1"/>
  <c r="I15" i="13"/>
  <c r="C15" i="13"/>
  <c r="P15" i="13" s="1"/>
  <c r="T15" i="13"/>
  <c r="W15" i="13"/>
  <c r="E16" i="13"/>
  <c r="F16" i="13"/>
  <c r="G16" i="13"/>
  <c r="H16" i="13" s="1"/>
  <c r="I16" i="13"/>
  <c r="C16" i="13"/>
  <c r="P16" i="13" s="1"/>
  <c r="Q16" i="13"/>
  <c r="R16" i="13"/>
  <c r="S16" i="13"/>
  <c r="W16" i="13"/>
  <c r="E17" i="13"/>
  <c r="F17" i="13"/>
  <c r="G17" i="13"/>
  <c r="H17" i="13" s="1"/>
  <c r="I17" i="13"/>
  <c r="J17" i="13"/>
  <c r="C17" i="13"/>
  <c r="P17" i="13" s="1"/>
  <c r="S17" i="13"/>
  <c r="T17" i="13"/>
  <c r="W17" i="13"/>
  <c r="E18" i="13"/>
  <c r="F18" i="13"/>
  <c r="G18" i="13"/>
  <c r="H18" i="13" s="1"/>
  <c r="I18" i="13"/>
  <c r="C18" i="13"/>
  <c r="P18" i="13"/>
  <c r="W18" i="13"/>
  <c r="E19" i="13"/>
  <c r="F19" i="13"/>
  <c r="G19" i="13"/>
  <c r="H19" i="13" s="1"/>
  <c r="I19" i="13"/>
  <c r="J19" i="13"/>
  <c r="C19" i="13"/>
  <c r="R19" i="13"/>
  <c r="W19" i="13"/>
  <c r="E23" i="13"/>
  <c r="F23" i="13"/>
  <c r="G23" i="13"/>
  <c r="J23" i="13" s="1"/>
  <c r="H23" i="13"/>
  <c r="I23" i="13"/>
  <c r="C23" i="13"/>
  <c r="P23" i="13" s="1"/>
  <c r="Q23" i="13"/>
  <c r="R23" i="13"/>
  <c r="S23" i="13"/>
  <c r="W23" i="13"/>
  <c r="E24" i="13"/>
  <c r="J24" i="13" s="1"/>
  <c r="F24" i="13"/>
  <c r="G24" i="13"/>
  <c r="H24" i="13" s="1"/>
  <c r="I24" i="13"/>
  <c r="C24" i="13"/>
  <c r="P24" i="13" s="1"/>
  <c r="T24" i="13"/>
  <c r="W24" i="13"/>
  <c r="E25" i="13"/>
  <c r="F25" i="13"/>
  <c r="G25" i="13"/>
  <c r="H25" i="13"/>
  <c r="I25" i="13"/>
  <c r="C25" i="13"/>
  <c r="P25" i="13" s="1"/>
  <c r="U25" i="13" s="1"/>
  <c r="Q25" i="13"/>
  <c r="R25" i="13"/>
  <c r="S25" i="13"/>
  <c r="T25" i="13"/>
  <c r="W25" i="13"/>
  <c r="E26" i="13"/>
  <c r="F26" i="13"/>
  <c r="G26" i="13"/>
  <c r="H26" i="13" s="1"/>
  <c r="I26" i="13"/>
  <c r="C26" i="13"/>
  <c r="W26" i="13"/>
  <c r="E30" i="13"/>
  <c r="F30" i="13"/>
  <c r="G30" i="13"/>
  <c r="H30" i="13"/>
  <c r="I30" i="13"/>
  <c r="J30" i="13"/>
  <c r="C30" i="13"/>
  <c r="R30" i="13" s="1"/>
  <c r="P30" i="13"/>
  <c r="Q30" i="13"/>
  <c r="S30" i="13"/>
  <c r="T30" i="13"/>
  <c r="W30" i="13"/>
  <c r="E31" i="13"/>
  <c r="J31" i="13" s="1"/>
  <c r="F31" i="13"/>
  <c r="G31" i="13"/>
  <c r="H31" i="13" s="1"/>
  <c r="I31" i="13"/>
  <c r="C31" i="13"/>
  <c r="R31" i="13" s="1"/>
  <c r="W31" i="13"/>
  <c r="E32" i="13"/>
  <c r="J32" i="13" s="1"/>
  <c r="F32" i="13"/>
  <c r="G32" i="13"/>
  <c r="H32" i="13" s="1"/>
  <c r="I32" i="13"/>
  <c r="C32" i="13"/>
  <c r="P32" i="13"/>
  <c r="Q32" i="13"/>
  <c r="R32" i="13"/>
  <c r="S32" i="13"/>
  <c r="T32" i="13"/>
  <c r="W32" i="13"/>
  <c r="E33" i="13"/>
  <c r="F33" i="13"/>
  <c r="G33" i="13"/>
  <c r="H33" i="13" s="1"/>
  <c r="J33" i="13" s="1"/>
  <c r="I33" i="13"/>
  <c r="C33" i="13"/>
  <c r="P33" i="13" s="1"/>
  <c r="S33" i="13"/>
  <c r="T33" i="13"/>
  <c r="W33" i="13"/>
  <c r="E34" i="13"/>
  <c r="F34" i="13"/>
  <c r="J34" i="13" s="1"/>
  <c r="G34" i="13"/>
  <c r="H34" i="13" s="1"/>
  <c r="I34" i="13"/>
  <c r="C34" i="13"/>
  <c r="S34" i="13" s="1"/>
  <c r="P34" i="13"/>
  <c r="Q34" i="13"/>
  <c r="R34" i="13"/>
  <c r="W34" i="13"/>
  <c r="E35" i="13"/>
  <c r="F35" i="13"/>
  <c r="G35" i="13"/>
  <c r="H35" i="13" s="1"/>
  <c r="I35" i="13"/>
  <c r="J35" i="13"/>
  <c r="C35" i="13"/>
  <c r="P35" i="13"/>
  <c r="Q35" i="13"/>
  <c r="R35" i="13"/>
  <c r="S35" i="13"/>
  <c r="T35" i="13"/>
  <c r="W35" i="13"/>
  <c r="E36" i="13"/>
  <c r="F36" i="13"/>
  <c r="G36" i="13"/>
  <c r="H36" i="13"/>
  <c r="I36" i="13"/>
  <c r="J36" i="13" s="1"/>
  <c r="C36" i="13"/>
  <c r="R36" i="13" s="1"/>
  <c r="P36" i="13"/>
  <c r="Q36" i="13"/>
  <c r="S36" i="13"/>
  <c r="T36" i="13"/>
  <c r="W36" i="13"/>
  <c r="E40" i="13"/>
  <c r="F40" i="13"/>
  <c r="G40" i="13"/>
  <c r="H40" i="13" s="1"/>
  <c r="I40" i="13"/>
  <c r="C40" i="13"/>
  <c r="Q40" i="13" s="1"/>
  <c r="W40" i="13"/>
  <c r="E41" i="13"/>
  <c r="J41" i="13" s="1"/>
  <c r="F41" i="13"/>
  <c r="G41" i="13"/>
  <c r="H41" i="13" s="1"/>
  <c r="I41" i="13"/>
  <c r="C41" i="13"/>
  <c r="P41" i="13"/>
  <c r="Q41" i="13"/>
  <c r="R41" i="13"/>
  <c r="S41" i="13"/>
  <c r="T41" i="13"/>
  <c r="W41" i="13"/>
  <c r="E42" i="13"/>
  <c r="F42" i="13"/>
  <c r="G42" i="13"/>
  <c r="H42" i="13"/>
  <c r="I42" i="13"/>
  <c r="J42" i="13" s="1"/>
  <c r="C42" i="13"/>
  <c r="R42" i="13" s="1"/>
  <c r="P42" i="13"/>
  <c r="Q42" i="13"/>
  <c r="S42" i="13"/>
  <c r="T42" i="13"/>
  <c r="W42" i="13"/>
  <c r="E43" i="13"/>
  <c r="J43" i="13" s="1"/>
  <c r="F43" i="13"/>
  <c r="G43" i="13"/>
  <c r="H43" i="13" s="1"/>
  <c r="I43" i="13"/>
  <c r="C43" i="13"/>
  <c r="R43" i="13" s="1"/>
  <c r="T43" i="13"/>
  <c r="W43" i="13"/>
  <c r="E47" i="13"/>
  <c r="F47" i="13"/>
  <c r="T49" i="13" s="1"/>
  <c r="G47" i="13"/>
  <c r="H47" i="13" s="1"/>
  <c r="I47" i="13"/>
  <c r="C47" i="13"/>
  <c r="S47" i="13" s="1"/>
  <c r="W47" i="13"/>
  <c r="E48" i="13"/>
  <c r="F48" i="13"/>
  <c r="T50" i="13" s="1"/>
  <c r="G48" i="13"/>
  <c r="H48" i="13" s="1"/>
  <c r="I48" i="13"/>
  <c r="C48" i="13"/>
  <c r="P48" i="13"/>
  <c r="Q48" i="13"/>
  <c r="R48" i="13"/>
  <c r="S48" i="13"/>
  <c r="T48" i="13"/>
  <c r="W48" i="13"/>
  <c r="E49" i="13"/>
  <c r="F49" i="13"/>
  <c r="G49" i="13"/>
  <c r="H49" i="13"/>
  <c r="I49" i="13"/>
  <c r="J49" i="13"/>
  <c r="C49" i="13"/>
  <c r="R49" i="13" s="1"/>
  <c r="P49" i="13"/>
  <c r="Q49" i="13"/>
  <c r="S49" i="13"/>
  <c r="W49" i="13"/>
  <c r="E50" i="13"/>
  <c r="F50" i="13"/>
  <c r="G50" i="13"/>
  <c r="H50" i="13" s="1"/>
  <c r="I50" i="13"/>
  <c r="C50" i="13"/>
  <c r="S50" i="13" s="1"/>
  <c r="P50" i="13"/>
  <c r="Q50" i="13"/>
  <c r="R50" i="13"/>
  <c r="W50" i="13"/>
  <c r="E51" i="13"/>
  <c r="F51" i="13"/>
  <c r="G51" i="13"/>
  <c r="H51" i="13" s="1"/>
  <c r="I51" i="13"/>
  <c r="C51" i="13"/>
  <c r="P51" i="13" s="1"/>
  <c r="R51" i="13"/>
  <c r="S51" i="13"/>
  <c r="T51" i="13"/>
  <c r="W51" i="13"/>
  <c r="E52" i="13"/>
  <c r="F52" i="13"/>
  <c r="G52" i="13"/>
  <c r="H52" i="13" s="1"/>
  <c r="I52" i="13"/>
  <c r="C52" i="13"/>
  <c r="R52" i="13" s="1"/>
  <c r="P52" i="13"/>
  <c r="Q52" i="13"/>
  <c r="W52" i="13"/>
  <c r="E56" i="13"/>
  <c r="J56" i="13" s="1"/>
  <c r="F56" i="13"/>
  <c r="G56" i="13"/>
  <c r="H56" i="13" s="1"/>
  <c r="I56" i="13"/>
  <c r="C56" i="13"/>
  <c r="P56" i="13"/>
  <c r="Q56" i="13"/>
  <c r="R56" i="13"/>
  <c r="S56" i="13"/>
  <c r="T56" i="13"/>
  <c r="W56" i="13"/>
  <c r="E57" i="13"/>
  <c r="F57" i="13"/>
  <c r="G57" i="13"/>
  <c r="H57" i="13"/>
  <c r="J57" i="13" s="1"/>
  <c r="I57" i="13"/>
  <c r="C57" i="13"/>
  <c r="P57" i="13"/>
  <c r="Q57" i="13"/>
  <c r="U57" i="13" s="1"/>
  <c r="R57" i="13"/>
  <c r="S57" i="13"/>
  <c r="T57" i="13"/>
  <c r="W57" i="13"/>
  <c r="E58" i="13"/>
  <c r="F58" i="13"/>
  <c r="G58" i="13"/>
  <c r="H58" i="13" s="1"/>
  <c r="I58" i="13"/>
  <c r="C58" i="13"/>
  <c r="Q58" i="13"/>
  <c r="W58" i="13"/>
  <c r="E59" i="13"/>
  <c r="J59" i="13" s="1"/>
  <c r="F59" i="13"/>
  <c r="G59" i="13"/>
  <c r="H59" i="13"/>
  <c r="I59" i="13"/>
  <c r="C59" i="13"/>
  <c r="P59" i="13"/>
  <c r="Q59" i="13"/>
  <c r="R59" i="13"/>
  <c r="S59" i="13"/>
  <c r="T59" i="13"/>
  <c r="W59" i="13"/>
  <c r="E60" i="13"/>
  <c r="J60" i="13" s="1"/>
  <c r="F60" i="13"/>
  <c r="G60" i="13"/>
  <c r="H60" i="13"/>
  <c r="I60" i="13"/>
  <c r="C60" i="13"/>
  <c r="P60" i="13" s="1"/>
  <c r="T60" i="13"/>
  <c r="W60" i="13"/>
  <c r="E61" i="13"/>
  <c r="F61" i="13"/>
  <c r="G61" i="13"/>
  <c r="H61" i="13" s="1"/>
  <c r="I61" i="13"/>
  <c r="C61" i="13"/>
  <c r="R61" i="13" s="1"/>
  <c r="P61" i="13"/>
  <c r="Q61" i="13"/>
  <c r="W61" i="13"/>
  <c r="C15" i="36"/>
  <c r="E8" i="13"/>
  <c r="F8" i="13"/>
  <c r="G8" i="13"/>
  <c r="H8" i="13" s="1"/>
  <c r="I8" i="13"/>
  <c r="C8" i="13"/>
  <c r="R8" i="13" s="1"/>
  <c r="P8" i="13"/>
  <c r="Q8" i="13"/>
  <c r="W8" i="13"/>
  <c r="E9" i="13"/>
  <c r="F9" i="13"/>
  <c r="G9" i="13"/>
  <c r="H9" i="13" s="1"/>
  <c r="I9" i="13"/>
  <c r="C9" i="13"/>
  <c r="P9" i="13"/>
  <c r="Q9" i="13"/>
  <c r="R9" i="13"/>
  <c r="S9" i="13"/>
  <c r="T9" i="13"/>
  <c r="W9" i="13"/>
  <c r="E10" i="13"/>
  <c r="F10" i="13"/>
  <c r="G10" i="13"/>
  <c r="H10" i="13"/>
  <c r="I10" i="13"/>
  <c r="J10" i="13"/>
  <c r="C10" i="13"/>
  <c r="R10" i="13" s="1"/>
  <c r="P10" i="13"/>
  <c r="Q10" i="13"/>
  <c r="S10" i="13"/>
  <c r="T10" i="13"/>
  <c r="W10" i="13"/>
  <c r="JI80" i="13"/>
  <c r="JN80" i="13" s="1"/>
  <c r="JJ80" i="13"/>
  <c r="JK80" i="13"/>
  <c r="JL80" i="13" s="1"/>
  <c r="JM80" i="13"/>
  <c r="JG80" i="13"/>
  <c r="JV80" i="13" s="1"/>
  <c r="KA80" i="13"/>
  <c r="JI81" i="13"/>
  <c r="JN81" i="13" s="1"/>
  <c r="JJ81" i="13"/>
  <c r="JK81" i="13"/>
  <c r="JL81" i="13"/>
  <c r="JM81" i="13"/>
  <c r="JG81" i="13"/>
  <c r="JT81" i="13" s="1"/>
  <c r="JU81" i="13"/>
  <c r="JV81" i="13"/>
  <c r="JW81" i="13"/>
  <c r="JX81" i="13"/>
  <c r="KA81" i="13"/>
  <c r="JI82" i="13"/>
  <c r="JJ82" i="13"/>
  <c r="JK82" i="13"/>
  <c r="JL82" i="13"/>
  <c r="JM82" i="13"/>
  <c r="JG82" i="13"/>
  <c r="JT82" i="13" s="1"/>
  <c r="JX82" i="13"/>
  <c r="KA82" i="13"/>
  <c r="JI83" i="13"/>
  <c r="JN83" i="13" s="1"/>
  <c r="JJ83" i="13"/>
  <c r="JK83" i="13"/>
  <c r="JL83" i="13"/>
  <c r="JM83" i="13"/>
  <c r="JG83" i="13"/>
  <c r="JU83" i="13" s="1"/>
  <c r="JT83" i="13"/>
  <c r="JV83" i="13"/>
  <c r="JW83" i="13"/>
  <c r="KA83" i="13"/>
  <c r="JI84" i="13"/>
  <c r="JJ84" i="13"/>
  <c r="JK84" i="13"/>
  <c r="JL84" i="13"/>
  <c r="JM84" i="13"/>
  <c r="JG84" i="13"/>
  <c r="JT84" i="13"/>
  <c r="KA84" i="13"/>
  <c r="JI85" i="13"/>
  <c r="JJ85" i="13"/>
  <c r="JK85" i="13"/>
  <c r="JL85" i="13" s="1"/>
  <c r="JN85" i="13" s="1"/>
  <c r="JM85" i="13"/>
  <c r="JG85" i="13"/>
  <c r="JT85" i="13" s="1"/>
  <c r="KA85" i="13"/>
  <c r="JI86" i="13"/>
  <c r="JJ86" i="13"/>
  <c r="JK86" i="13"/>
  <c r="JL86" i="13" s="1"/>
  <c r="JM86" i="13"/>
  <c r="JG86" i="13"/>
  <c r="JW86" i="13" s="1"/>
  <c r="JT86" i="13"/>
  <c r="JU86" i="13"/>
  <c r="JV86" i="13"/>
  <c r="JX86" i="13"/>
  <c r="KA86" i="13"/>
  <c r="JL87" i="13"/>
  <c r="JN87" i="13" s="1"/>
  <c r="JG87" i="13"/>
  <c r="JU87" i="13" s="1"/>
  <c r="KA87" i="13"/>
  <c r="JL88" i="13"/>
  <c r="JN88" i="13" s="1"/>
  <c r="JG88" i="13"/>
  <c r="JW88" i="13" s="1"/>
  <c r="JU88" i="13"/>
  <c r="JV88" i="13"/>
  <c r="KA88" i="13"/>
  <c r="IK80" i="13"/>
  <c r="IL80" i="13"/>
  <c r="IM80" i="13"/>
  <c r="IN80" i="13" s="1"/>
  <c r="IO80" i="13"/>
  <c r="II80" i="13"/>
  <c r="IV80" i="13" s="1"/>
  <c r="IY80" i="13"/>
  <c r="IZ80" i="13"/>
  <c r="JC80" i="13"/>
  <c r="IK81" i="13"/>
  <c r="IL81" i="13"/>
  <c r="IM81" i="13"/>
  <c r="IN81" i="13"/>
  <c r="IO81" i="13"/>
  <c r="II81" i="13"/>
  <c r="IV81" i="13" s="1"/>
  <c r="IZ81" i="13"/>
  <c r="JC81" i="13"/>
  <c r="IK82" i="13"/>
  <c r="IL82" i="13"/>
  <c r="IM82" i="13"/>
  <c r="IN82" i="13" s="1"/>
  <c r="IO82" i="13"/>
  <c r="II82" i="13"/>
  <c r="JC82" i="13"/>
  <c r="IK83" i="13"/>
  <c r="IL83" i="13"/>
  <c r="IM83" i="13"/>
  <c r="IN83" i="13" s="1"/>
  <c r="IO83" i="13"/>
  <c r="IP83" i="13"/>
  <c r="II83" i="13"/>
  <c r="IW83" i="13"/>
  <c r="IX83" i="13"/>
  <c r="JC83" i="13"/>
  <c r="IK84" i="13"/>
  <c r="IL84" i="13"/>
  <c r="IM84" i="13"/>
  <c r="IN84" i="13" s="1"/>
  <c r="IP84" i="13" s="1"/>
  <c r="IO84" i="13"/>
  <c r="II84" i="13"/>
  <c r="IY84" i="13" s="1"/>
  <c r="IV84" i="13"/>
  <c r="IW84" i="13"/>
  <c r="IX84" i="13"/>
  <c r="IZ84" i="13"/>
  <c r="JA84" i="13" s="1"/>
  <c r="JD84" i="13" s="1"/>
  <c r="JC84" i="13"/>
  <c r="IK85" i="13"/>
  <c r="IL85" i="13"/>
  <c r="IM85" i="13"/>
  <c r="IN85" i="13" s="1"/>
  <c r="IO85" i="13"/>
  <c r="II85" i="13"/>
  <c r="IV85" i="13" s="1"/>
  <c r="IX85" i="13"/>
  <c r="IY85" i="13"/>
  <c r="IZ85" i="13"/>
  <c r="JC85" i="13"/>
  <c r="IK86" i="13"/>
  <c r="IP86" i="13" s="1"/>
  <c r="IL86" i="13"/>
  <c r="IM86" i="13"/>
  <c r="IN86" i="13" s="1"/>
  <c r="IO86" i="13"/>
  <c r="II86" i="13"/>
  <c r="IY86" i="13" s="1"/>
  <c r="IV86" i="13"/>
  <c r="IW86" i="13"/>
  <c r="IX86" i="13"/>
  <c r="JC86" i="13"/>
  <c r="IN87" i="13"/>
  <c r="IP87" i="13"/>
  <c r="II87" i="13"/>
  <c r="IY87" i="13" s="1"/>
  <c r="IW87" i="13"/>
  <c r="IX87" i="13"/>
  <c r="JC87" i="13"/>
  <c r="IN88" i="13"/>
  <c r="IP88" i="13"/>
  <c r="II88" i="13"/>
  <c r="IW88" i="13"/>
  <c r="JA88" i="13" s="1"/>
  <c r="JD88" i="13" s="1"/>
  <c r="IX88" i="13"/>
  <c r="IY88" i="13"/>
  <c r="JC88" i="13"/>
  <c r="HM80" i="13"/>
  <c r="HN80" i="13"/>
  <c r="HO80" i="13"/>
  <c r="HP80" i="13" s="1"/>
  <c r="HQ80" i="13"/>
  <c r="HR80" i="13"/>
  <c r="HK80" i="13"/>
  <c r="HX80" i="13"/>
  <c r="HY80" i="13"/>
  <c r="HZ80" i="13"/>
  <c r="IA80" i="13"/>
  <c r="IB80" i="13"/>
  <c r="IE80" i="13"/>
  <c r="HM81" i="13"/>
  <c r="HN81" i="13"/>
  <c r="HO81" i="13"/>
  <c r="HP81" i="13"/>
  <c r="HQ81" i="13"/>
  <c r="HR81" i="13"/>
  <c r="HK81" i="13"/>
  <c r="HZ81" i="13" s="1"/>
  <c r="HX81" i="13"/>
  <c r="HY81" i="13"/>
  <c r="IC81" i="13" s="1"/>
  <c r="IF81" i="13" s="1"/>
  <c r="IA81" i="13"/>
  <c r="IB81" i="13"/>
  <c r="IE81" i="13"/>
  <c r="HM82" i="13"/>
  <c r="HN82" i="13"/>
  <c r="HO82" i="13"/>
  <c r="HP82" i="13" s="1"/>
  <c r="HQ82" i="13"/>
  <c r="HK82" i="13"/>
  <c r="HZ82" i="13" s="1"/>
  <c r="HY82" i="13"/>
  <c r="IA82" i="13"/>
  <c r="IB82" i="13"/>
  <c r="IE82" i="13"/>
  <c r="HM83" i="13"/>
  <c r="HN83" i="13"/>
  <c r="HO83" i="13"/>
  <c r="HP83" i="13" s="1"/>
  <c r="HQ83" i="13"/>
  <c r="HK83" i="13"/>
  <c r="HX83" i="13" s="1"/>
  <c r="HY83" i="13"/>
  <c r="HZ83" i="13"/>
  <c r="IA83" i="13"/>
  <c r="IB83" i="13"/>
  <c r="IE83" i="13"/>
  <c r="HM84" i="13"/>
  <c r="HR84" i="13" s="1"/>
  <c r="HN84" i="13"/>
  <c r="HO84" i="13"/>
  <c r="HP84" i="13"/>
  <c r="HQ84" i="13"/>
  <c r="HK84" i="13"/>
  <c r="HX84" i="13" s="1"/>
  <c r="HY84" i="13"/>
  <c r="IB84" i="13"/>
  <c r="IE84" i="13"/>
  <c r="HM85" i="13"/>
  <c r="HR85" i="13" s="1"/>
  <c r="HN85" i="13"/>
  <c r="HO85" i="13"/>
  <c r="HP85" i="13"/>
  <c r="HQ85" i="13"/>
  <c r="HK85" i="13"/>
  <c r="HY85" i="13" s="1"/>
  <c r="HZ85" i="13"/>
  <c r="IB85" i="13"/>
  <c r="IE85" i="13"/>
  <c r="HM86" i="13"/>
  <c r="HN86" i="13"/>
  <c r="HO86" i="13"/>
  <c r="HP86" i="13"/>
  <c r="HQ86" i="13"/>
  <c r="HK86" i="13"/>
  <c r="IE86" i="13"/>
  <c r="HP87" i="13"/>
  <c r="HR87" i="13" s="1"/>
  <c r="HK87" i="13"/>
  <c r="HY87" i="13"/>
  <c r="HZ87" i="13"/>
  <c r="IA87" i="13"/>
  <c r="IC87" i="13" s="1"/>
  <c r="IF87" i="13" s="1"/>
  <c r="IE87" i="13"/>
  <c r="HP88" i="13"/>
  <c r="HR88" i="13"/>
  <c r="HK88" i="13"/>
  <c r="HY88" i="13" s="1"/>
  <c r="IE88" i="13"/>
  <c r="GO80" i="13"/>
  <c r="GP80" i="13"/>
  <c r="GT80" i="13" s="1"/>
  <c r="GQ80" i="13"/>
  <c r="GR80" i="13"/>
  <c r="GS80" i="13"/>
  <c r="GM80" i="13"/>
  <c r="GZ80" i="13"/>
  <c r="HA80" i="13"/>
  <c r="HC80" i="13"/>
  <c r="HG80" i="13"/>
  <c r="GO81" i="13"/>
  <c r="GP81" i="13"/>
  <c r="GQ81" i="13"/>
  <c r="GR81" i="13" s="1"/>
  <c r="GT81" i="13" s="1"/>
  <c r="GS81" i="13"/>
  <c r="GM81" i="13"/>
  <c r="GZ81" i="13"/>
  <c r="HA81" i="13"/>
  <c r="HB81" i="13"/>
  <c r="HC81" i="13"/>
  <c r="HD81" i="13"/>
  <c r="HG81" i="13"/>
  <c r="GO82" i="13"/>
  <c r="GP82" i="13"/>
  <c r="GQ82" i="13"/>
  <c r="GR82" i="13" s="1"/>
  <c r="GS82" i="13"/>
  <c r="GM82" i="13"/>
  <c r="GZ82" i="13" s="1"/>
  <c r="HD82" i="13"/>
  <c r="HG82" i="13"/>
  <c r="GO83" i="13"/>
  <c r="GP83" i="13"/>
  <c r="GQ83" i="13"/>
  <c r="GR83" i="13" s="1"/>
  <c r="GS83" i="13"/>
  <c r="GM83" i="13"/>
  <c r="GZ83" i="13" s="1"/>
  <c r="HE83" i="13" s="1"/>
  <c r="HA83" i="13"/>
  <c r="HB83" i="13"/>
  <c r="HC83" i="13"/>
  <c r="HD83" i="13"/>
  <c r="HG83" i="13"/>
  <c r="GO84" i="13"/>
  <c r="GP84" i="13"/>
  <c r="GQ84" i="13"/>
  <c r="GR84" i="13" s="1"/>
  <c r="GS84" i="13"/>
  <c r="GM84" i="13"/>
  <c r="HA84" i="13" s="1"/>
  <c r="GZ84" i="13"/>
  <c r="HB84" i="13"/>
  <c r="HC84" i="13"/>
  <c r="HD84" i="13"/>
  <c r="HG84" i="13"/>
  <c r="GO85" i="13"/>
  <c r="GP85" i="13"/>
  <c r="GQ85" i="13"/>
  <c r="GR85" i="13"/>
  <c r="GS85" i="13"/>
  <c r="GT85" i="13"/>
  <c r="GM85" i="13"/>
  <c r="GZ85" i="13" s="1"/>
  <c r="HG85" i="13"/>
  <c r="GO86" i="13"/>
  <c r="GP86" i="13"/>
  <c r="GQ86" i="13"/>
  <c r="GR86" i="13"/>
  <c r="GS86" i="13"/>
  <c r="GT86" i="13"/>
  <c r="GM86" i="13"/>
  <c r="HA86" i="13"/>
  <c r="HG86" i="13"/>
  <c r="GR87" i="13"/>
  <c r="GT87" i="13" s="1"/>
  <c r="GM87" i="13"/>
  <c r="HA87" i="13" s="1"/>
  <c r="HG87" i="13"/>
  <c r="GR88" i="13"/>
  <c r="GT88" i="13" s="1"/>
  <c r="GM88" i="13"/>
  <c r="HG88" i="13"/>
  <c r="FQ80" i="13"/>
  <c r="FR80" i="13"/>
  <c r="FS80" i="13"/>
  <c r="FT80" i="13" s="1"/>
  <c r="FU80" i="13"/>
  <c r="FO80" i="13"/>
  <c r="GB80" i="13"/>
  <c r="GG80" i="13" s="1"/>
  <c r="GC80" i="13"/>
  <c r="GD80" i="13"/>
  <c r="GE80" i="13"/>
  <c r="GF80" i="13"/>
  <c r="GI80" i="13"/>
  <c r="FQ81" i="13"/>
  <c r="FR81" i="13"/>
  <c r="FS81" i="13"/>
  <c r="FT81" i="13" s="1"/>
  <c r="FV81" i="13" s="1"/>
  <c r="FU81" i="13"/>
  <c r="FO81" i="13"/>
  <c r="GB81" i="13"/>
  <c r="GC81" i="13"/>
  <c r="GD81" i="13"/>
  <c r="GG81" i="13" s="1"/>
  <c r="GJ81" i="13" s="1"/>
  <c r="GE81" i="13"/>
  <c r="GF81" i="13"/>
  <c r="GI81" i="13"/>
  <c r="FQ82" i="13"/>
  <c r="FV82" i="13" s="1"/>
  <c r="FR82" i="13"/>
  <c r="FS82" i="13"/>
  <c r="FT82" i="13" s="1"/>
  <c r="FU82" i="13"/>
  <c r="FO82" i="13"/>
  <c r="GB82" i="13" s="1"/>
  <c r="GF82" i="13"/>
  <c r="GI82" i="13"/>
  <c r="FQ83" i="13"/>
  <c r="FR83" i="13"/>
  <c r="FS83" i="13"/>
  <c r="FT83" i="13" s="1"/>
  <c r="FU83" i="13"/>
  <c r="FO83" i="13"/>
  <c r="GB83" i="13"/>
  <c r="GG83" i="13" s="1"/>
  <c r="GC83" i="13"/>
  <c r="GD83" i="13"/>
  <c r="GE83" i="13"/>
  <c r="GF83" i="13"/>
  <c r="GI83" i="13"/>
  <c r="FQ84" i="13"/>
  <c r="FR84" i="13"/>
  <c r="FS84" i="13"/>
  <c r="FT84" i="13"/>
  <c r="FU84" i="13"/>
  <c r="FO84" i="13"/>
  <c r="GB84" i="13" s="1"/>
  <c r="GC84" i="13"/>
  <c r="GE84" i="13"/>
  <c r="GF84" i="13"/>
  <c r="GI84" i="13"/>
  <c r="FQ85" i="13"/>
  <c r="FR85" i="13"/>
  <c r="FS85" i="13"/>
  <c r="FU85" i="13"/>
  <c r="FO85" i="13"/>
  <c r="GI85" i="13"/>
  <c r="FQ86" i="13"/>
  <c r="FR86" i="13"/>
  <c r="FS86" i="13"/>
  <c r="FT86" i="13"/>
  <c r="FU86" i="13"/>
  <c r="FV86" i="13"/>
  <c r="FO86" i="13"/>
  <c r="GB86" i="13"/>
  <c r="GD86" i="13"/>
  <c r="GI86" i="13"/>
  <c r="FT87" i="13"/>
  <c r="FV87" i="13"/>
  <c r="FO87" i="13"/>
  <c r="GC87" i="13"/>
  <c r="GG87" i="13" s="1"/>
  <c r="GJ87" i="13" s="1"/>
  <c r="GD87" i="13"/>
  <c r="GE87" i="13"/>
  <c r="GI87" i="13"/>
  <c r="FT88" i="13"/>
  <c r="FV88" i="13"/>
  <c r="FO88" i="13"/>
  <c r="GD88" i="13" s="1"/>
  <c r="GC88" i="13"/>
  <c r="GE88" i="13"/>
  <c r="GI88" i="13"/>
  <c r="ES80" i="13"/>
  <c r="ET80" i="13"/>
  <c r="EU80" i="13"/>
  <c r="EV80" i="13" s="1"/>
  <c r="EX80" i="13" s="1"/>
  <c r="EW80" i="13"/>
  <c r="EQ80" i="13"/>
  <c r="FD80" i="13"/>
  <c r="FE80" i="13"/>
  <c r="FF80" i="13"/>
  <c r="FG80" i="13"/>
  <c r="FH80" i="13"/>
  <c r="FK80" i="13"/>
  <c r="ES81" i="13"/>
  <c r="ET81" i="13"/>
  <c r="EU81" i="13"/>
  <c r="EV81" i="13" s="1"/>
  <c r="EW81" i="13"/>
  <c r="EQ81" i="13"/>
  <c r="FD81" i="13"/>
  <c r="FE81" i="13"/>
  <c r="FF81" i="13"/>
  <c r="FG81" i="13"/>
  <c r="FH81" i="13"/>
  <c r="FK81" i="13"/>
  <c r="ES82" i="13"/>
  <c r="ET82" i="13"/>
  <c r="EU82" i="13"/>
  <c r="EV82" i="13"/>
  <c r="EW82" i="13"/>
  <c r="EQ82" i="13"/>
  <c r="FD82" i="13" s="1"/>
  <c r="FE82" i="13"/>
  <c r="FG82" i="13"/>
  <c r="FH82" i="13"/>
  <c r="FK82" i="13"/>
  <c r="ES83" i="13"/>
  <c r="ET83" i="13"/>
  <c r="EU83" i="13"/>
  <c r="EV83" i="13"/>
  <c r="EW83" i="13"/>
  <c r="EQ83" i="13"/>
  <c r="FK83" i="13"/>
  <c r="ES84" i="13"/>
  <c r="ET84" i="13"/>
  <c r="EU84" i="13"/>
  <c r="EV84" i="13"/>
  <c r="EW84" i="13"/>
  <c r="EX84" i="13" s="1"/>
  <c r="EQ84" i="13"/>
  <c r="FE84" i="13"/>
  <c r="FK84" i="13"/>
  <c r="ES85" i="13"/>
  <c r="ET85" i="13"/>
  <c r="EU85" i="13"/>
  <c r="EV85" i="13" s="1"/>
  <c r="EW85" i="13"/>
  <c r="EQ85" i="13"/>
  <c r="FD85" i="13"/>
  <c r="FE85" i="13"/>
  <c r="FF85" i="13"/>
  <c r="FG85" i="13"/>
  <c r="FH85" i="13"/>
  <c r="FK85" i="13"/>
  <c r="ES86" i="13"/>
  <c r="ET86" i="13"/>
  <c r="EU86" i="13"/>
  <c r="EV86" i="13"/>
  <c r="EW86" i="13"/>
  <c r="EX86" i="13"/>
  <c r="EQ86" i="13"/>
  <c r="FD86" i="13"/>
  <c r="FE86" i="13"/>
  <c r="FF86" i="13"/>
  <c r="FG86" i="13"/>
  <c r="FH86" i="13"/>
  <c r="FK86" i="13"/>
  <c r="EV87" i="13"/>
  <c r="EX87" i="13"/>
  <c r="EQ87" i="13"/>
  <c r="FE87" i="13" s="1"/>
  <c r="FK87" i="13"/>
  <c r="EV88" i="13"/>
  <c r="EX88" i="13"/>
  <c r="EQ88" i="13"/>
  <c r="FE88" i="13"/>
  <c r="FF88" i="13"/>
  <c r="FG88" i="13"/>
  <c r="FK88" i="13"/>
  <c r="DU80" i="13"/>
  <c r="DV80" i="13"/>
  <c r="DW80" i="13"/>
  <c r="DX80" i="13"/>
  <c r="DY80" i="13"/>
  <c r="DS80" i="13"/>
  <c r="EF80" i="13" s="1"/>
  <c r="EG80" i="13"/>
  <c r="EI80" i="13"/>
  <c r="EJ80" i="13"/>
  <c r="EM80" i="13"/>
  <c r="DU81" i="13"/>
  <c r="DV81" i="13"/>
  <c r="DW81" i="13"/>
  <c r="DX81" i="13"/>
  <c r="DY81" i="13"/>
  <c r="DS81" i="13"/>
  <c r="EM81" i="13"/>
  <c r="DU82" i="13"/>
  <c r="DV82" i="13"/>
  <c r="DW82" i="13"/>
  <c r="DX82" i="13"/>
  <c r="DY82" i="13"/>
  <c r="DZ82" i="13"/>
  <c r="DS82" i="13"/>
  <c r="EF82" i="13"/>
  <c r="EH82" i="13"/>
  <c r="EM82" i="13"/>
  <c r="DU83" i="13"/>
  <c r="DV83" i="13"/>
  <c r="DW83" i="13"/>
  <c r="DX83" i="13"/>
  <c r="DZ83" i="13" s="1"/>
  <c r="DY83" i="13"/>
  <c r="DS83" i="13"/>
  <c r="EF83" i="13"/>
  <c r="EG83" i="13"/>
  <c r="EH83" i="13"/>
  <c r="EK83" i="13" s="1"/>
  <c r="EI83" i="13"/>
  <c r="EJ83" i="13"/>
  <c r="EM83" i="13"/>
  <c r="DU84" i="13"/>
  <c r="DV84" i="13"/>
  <c r="DW84" i="13"/>
  <c r="DX84" i="13" s="1"/>
  <c r="DY84" i="13"/>
  <c r="DS84" i="13"/>
  <c r="EF84" i="13" s="1"/>
  <c r="EJ84" i="13"/>
  <c r="EM84" i="13"/>
  <c r="DU85" i="13"/>
  <c r="DZ85" i="13" s="1"/>
  <c r="DV85" i="13"/>
  <c r="DW85" i="13"/>
  <c r="DX85" i="13" s="1"/>
  <c r="DY85" i="13"/>
  <c r="DS85" i="13"/>
  <c r="EG85" i="13" s="1"/>
  <c r="EF85" i="13"/>
  <c r="EH85" i="13"/>
  <c r="EI85" i="13"/>
  <c r="EJ85" i="13"/>
  <c r="EM85" i="13"/>
  <c r="DU86" i="13"/>
  <c r="DV86" i="13"/>
  <c r="DW86" i="13"/>
  <c r="DX86" i="13"/>
  <c r="DY86" i="13"/>
  <c r="DZ86" i="13"/>
  <c r="DS86" i="13"/>
  <c r="EF86" i="13" s="1"/>
  <c r="EM86" i="13"/>
  <c r="DX87" i="13"/>
  <c r="DZ87" i="13"/>
  <c r="DS87" i="13"/>
  <c r="EG87" i="13"/>
  <c r="EH87" i="13"/>
  <c r="EI87" i="13"/>
  <c r="EM87" i="13"/>
  <c r="DX88" i="13"/>
  <c r="DZ88" i="13"/>
  <c r="DS88" i="13"/>
  <c r="EG88" i="13" s="1"/>
  <c r="EM88" i="13"/>
  <c r="CW80" i="13"/>
  <c r="CX80" i="13"/>
  <c r="DB80" i="13" s="1"/>
  <c r="CY80" i="13"/>
  <c r="CZ80" i="13"/>
  <c r="DA80" i="13"/>
  <c r="CU80" i="13"/>
  <c r="DH80" i="13"/>
  <c r="DO80" i="13"/>
  <c r="CW81" i="13"/>
  <c r="CX81" i="13"/>
  <c r="CY81" i="13"/>
  <c r="CZ81" i="13" s="1"/>
  <c r="DB81" i="13" s="1"/>
  <c r="DA81" i="13"/>
  <c r="CU81" i="13"/>
  <c r="DH81" i="13"/>
  <c r="DI81" i="13"/>
  <c r="DJ81" i="13"/>
  <c r="DK81" i="13"/>
  <c r="DL81" i="13"/>
  <c r="DO81" i="13"/>
  <c r="CW82" i="13"/>
  <c r="DB82" i="13" s="1"/>
  <c r="CX82" i="13"/>
  <c r="CY82" i="13"/>
  <c r="CZ82" i="13" s="1"/>
  <c r="DA82" i="13"/>
  <c r="CU82" i="13"/>
  <c r="DH82" i="13"/>
  <c r="DI82" i="13"/>
  <c r="DJ82" i="13"/>
  <c r="DK82" i="13"/>
  <c r="DL82" i="13"/>
  <c r="DO82" i="13"/>
  <c r="CW83" i="13"/>
  <c r="CX83" i="13"/>
  <c r="CY83" i="13"/>
  <c r="CZ83" i="13"/>
  <c r="DA83" i="13"/>
  <c r="CU83" i="13"/>
  <c r="DH83" i="13"/>
  <c r="DI83" i="13"/>
  <c r="DJ83" i="13"/>
  <c r="DK83" i="13"/>
  <c r="DL83" i="13"/>
  <c r="DO83" i="13"/>
  <c r="CW84" i="13"/>
  <c r="CX84" i="13"/>
  <c r="CY84" i="13"/>
  <c r="CZ84" i="13"/>
  <c r="DA84" i="13"/>
  <c r="CU84" i="13"/>
  <c r="DO84" i="13"/>
  <c r="CW85" i="13"/>
  <c r="CX85" i="13"/>
  <c r="CY85" i="13"/>
  <c r="CZ85" i="13"/>
  <c r="DA85" i="13"/>
  <c r="DB85" i="13"/>
  <c r="CU85" i="13"/>
  <c r="DH85" i="13"/>
  <c r="DJ85" i="13"/>
  <c r="DO85" i="13"/>
  <c r="CW86" i="13"/>
  <c r="CX86" i="13"/>
  <c r="CY86" i="13"/>
  <c r="CZ86" i="13"/>
  <c r="DB86" i="13" s="1"/>
  <c r="DA86" i="13"/>
  <c r="CU86" i="13"/>
  <c r="DH86" i="13"/>
  <c r="DI86" i="13"/>
  <c r="DJ86" i="13"/>
  <c r="DK86" i="13"/>
  <c r="DL86" i="13"/>
  <c r="DO86" i="13"/>
  <c r="CZ87" i="13"/>
  <c r="DB87" i="13" s="1"/>
  <c r="CU87" i="13"/>
  <c r="DI87" i="13" s="1"/>
  <c r="DO87" i="13"/>
  <c r="CZ88" i="13"/>
  <c r="DB88" i="13"/>
  <c r="CU88" i="13"/>
  <c r="DK88" i="13" s="1"/>
  <c r="DI88" i="13"/>
  <c r="DJ88" i="13"/>
  <c r="DM88" i="13" s="1"/>
  <c r="DP88" i="13" s="1"/>
  <c r="DO88" i="13"/>
  <c r="BY80" i="13"/>
  <c r="BZ80" i="13"/>
  <c r="CA80" i="13"/>
  <c r="CB80" i="13" s="1"/>
  <c r="CD80" i="13" s="1"/>
  <c r="CC80" i="13"/>
  <c r="BW80" i="13"/>
  <c r="CJ80" i="13"/>
  <c r="CK80" i="13"/>
  <c r="CL80" i="13"/>
  <c r="CM80" i="13"/>
  <c r="CN80" i="13"/>
  <c r="CQ80" i="13"/>
  <c r="BY81" i="13"/>
  <c r="BZ81" i="13"/>
  <c r="CA81" i="13"/>
  <c r="CB81" i="13" s="1"/>
  <c r="CC81" i="13"/>
  <c r="BW81" i="13"/>
  <c r="CJ81" i="13" s="1"/>
  <c r="CK81" i="13"/>
  <c r="CL81" i="13"/>
  <c r="CM81" i="13"/>
  <c r="CN81" i="13"/>
  <c r="CQ81" i="13"/>
  <c r="BY82" i="13"/>
  <c r="BZ82" i="13"/>
  <c r="CA82" i="13"/>
  <c r="CB82" i="13" s="1"/>
  <c r="CC82" i="13"/>
  <c r="BW82" i="13"/>
  <c r="CJ82" i="13"/>
  <c r="CO82" i="13" s="1"/>
  <c r="CK82" i="13"/>
  <c r="CL82" i="13"/>
  <c r="CM82" i="13"/>
  <c r="CN82" i="13"/>
  <c r="CQ82" i="13"/>
  <c r="BY83" i="13"/>
  <c r="BZ83" i="13"/>
  <c r="CA83" i="13"/>
  <c r="CB83" i="13"/>
  <c r="CC83" i="13"/>
  <c r="BW83" i="13"/>
  <c r="CQ83" i="13"/>
  <c r="BY84" i="13"/>
  <c r="BZ84" i="13"/>
  <c r="CA84" i="13"/>
  <c r="CB84" i="13"/>
  <c r="CC84" i="13"/>
  <c r="CD84" i="13"/>
  <c r="BW84" i="13"/>
  <c r="CJ84" i="13" s="1"/>
  <c r="CL84" i="13"/>
  <c r="CQ84" i="13"/>
  <c r="BY85" i="13"/>
  <c r="BZ85" i="13"/>
  <c r="CA85" i="13"/>
  <c r="CB85" i="13"/>
  <c r="CD85" i="13" s="1"/>
  <c r="CC85" i="13"/>
  <c r="BW85" i="13"/>
  <c r="CJ85" i="13"/>
  <c r="CK85" i="13"/>
  <c r="CL85" i="13"/>
  <c r="CM85" i="13"/>
  <c r="CN85" i="13"/>
  <c r="CO85" i="13"/>
  <c r="CR85" i="13" s="1"/>
  <c r="CQ85" i="13"/>
  <c r="BY86" i="13"/>
  <c r="BZ86" i="13"/>
  <c r="CA86" i="13"/>
  <c r="CB86" i="13" s="1"/>
  <c r="CD86" i="13" s="1"/>
  <c r="CC86" i="13"/>
  <c r="BW86" i="13"/>
  <c r="CJ86" i="13"/>
  <c r="CK86" i="13"/>
  <c r="CL86" i="13"/>
  <c r="CM86" i="13"/>
  <c r="CN86" i="13"/>
  <c r="CQ86" i="13"/>
  <c r="CB87" i="13"/>
  <c r="CD87" i="13"/>
  <c r="BW87" i="13"/>
  <c r="CK87" i="13" s="1"/>
  <c r="CL87" i="13"/>
  <c r="CQ87" i="13"/>
  <c r="CB88" i="13"/>
  <c r="CD88" i="13"/>
  <c r="BW88" i="13"/>
  <c r="CK88" i="13"/>
  <c r="CL88" i="13"/>
  <c r="CM88" i="13"/>
  <c r="CO88" i="13" s="1"/>
  <c r="CQ88" i="13"/>
  <c r="BA80" i="13"/>
  <c r="BB80" i="13"/>
  <c r="BC80" i="13"/>
  <c r="BD80" i="13"/>
  <c r="BE80" i="13"/>
  <c r="AY80" i="13"/>
  <c r="BL80" i="13" s="1"/>
  <c r="BO80" i="13"/>
  <c r="BS80" i="13"/>
  <c r="BA81" i="13"/>
  <c r="BB81" i="13"/>
  <c r="BC81" i="13"/>
  <c r="BD81" i="13"/>
  <c r="BE81" i="13"/>
  <c r="AY81" i="13"/>
  <c r="BS81" i="13"/>
  <c r="BA82" i="13"/>
  <c r="BB82" i="13"/>
  <c r="BC82" i="13"/>
  <c r="BD82" i="13"/>
  <c r="BE82" i="13"/>
  <c r="BF82" i="13"/>
  <c r="AY82" i="13"/>
  <c r="BL82" i="13" s="1"/>
  <c r="BN82" i="13"/>
  <c r="BS82" i="13"/>
  <c r="BA83" i="13"/>
  <c r="BB83" i="13"/>
  <c r="BC83" i="13"/>
  <c r="BD83" i="13"/>
  <c r="BF83" i="13" s="1"/>
  <c r="BE83" i="13"/>
  <c r="AY83" i="13"/>
  <c r="BL83" i="13"/>
  <c r="BM83" i="13"/>
  <c r="BN83" i="13"/>
  <c r="BO83" i="13"/>
  <c r="BP83" i="13"/>
  <c r="BS83" i="13"/>
  <c r="BA84" i="13"/>
  <c r="BB84" i="13"/>
  <c r="BC84" i="13"/>
  <c r="BD84" i="13" s="1"/>
  <c r="BE84" i="13"/>
  <c r="AY84" i="13"/>
  <c r="BL84" i="13" s="1"/>
  <c r="BP84" i="13"/>
  <c r="BS84" i="13"/>
  <c r="BA85" i="13"/>
  <c r="BB85" i="13"/>
  <c r="BC85" i="13"/>
  <c r="BD85" i="13" s="1"/>
  <c r="BE85" i="13"/>
  <c r="AY85" i="13"/>
  <c r="BL85" i="13" s="1"/>
  <c r="BN85" i="13"/>
  <c r="BP85" i="13"/>
  <c r="BS85" i="13"/>
  <c r="BA86" i="13"/>
  <c r="BB86" i="13"/>
  <c r="BC86" i="13"/>
  <c r="BD86" i="13"/>
  <c r="BE86" i="13"/>
  <c r="BF86" i="13"/>
  <c r="AY86" i="13"/>
  <c r="BL86" i="13" s="1"/>
  <c r="BM86" i="13"/>
  <c r="BS86" i="13"/>
  <c r="BD87" i="13"/>
  <c r="BF87" i="13"/>
  <c r="AY87" i="13"/>
  <c r="BM87" i="13"/>
  <c r="BN87" i="13"/>
  <c r="BO87" i="13"/>
  <c r="BQ87" i="13" s="1"/>
  <c r="BT87" i="13" s="1"/>
  <c r="BS87" i="13"/>
  <c r="BD88" i="13"/>
  <c r="BF88" i="13" s="1"/>
  <c r="AY88" i="13"/>
  <c r="BM88" i="13" s="1"/>
  <c r="BS88" i="13"/>
  <c r="AC80" i="13"/>
  <c r="AD80" i="13"/>
  <c r="AE80" i="13"/>
  <c r="AG80" i="13"/>
  <c r="AA80" i="13"/>
  <c r="AU80" i="13"/>
  <c r="AC81" i="13"/>
  <c r="AD81" i="13"/>
  <c r="AE81" i="13"/>
  <c r="AF81" i="13"/>
  <c r="AG81" i="13"/>
  <c r="AH81" i="13"/>
  <c r="AA81" i="13"/>
  <c r="AN81" i="13"/>
  <c r="AP81" i="13"/>
  <c r="AU81" i="13"/>
  <c r="AC82" i="13"/>
  <c r="AD82" i="13"/>
  <c r="AE82" i="13"/>
  <c r="AF82" i="13"/>
  <c r="AH82" i="13" s="1"/>
  <c r="AG82" i="13"/>
  <c r="AA82" i="13"/>
  <c r="AN82" i="13"/>
  <c r="AO82" i="13"/>
  <c r="AP82" i="13"/>
  <c r="AQ82" i="13"/>
  <c r="AR82" i="13"/>
  <c r="AU82" i="13"/>
  <c r="AC83" i="13"/>
  <c r="AD83" i="13"/>
  <c r="AE83" i="13"/>
  <c r="AF83" i="13" s="1"/>
  <c r="AG83" i="13"/>
  <c r="AA83" i="13"/>
  <c r="AN83" i="13" s="1"/>
  <c r="AR83" i="13"/>
  <c r="AU83" i="13"/>
  <c r="AC84" i="13"/>
  <c r="AH84" i="13" s="1"/>
  <c r="AD84" i="13"/>
  <c r="AE84" i="13"/>
  <c r="AF84" i="13" s="1"/>
  <c r="AG84" i="13"/>
  <c r="AA84" i="13"/>
  <c r="AN84" i="13" s="1"/>
  <c r="AP84" i="13"/>
  <c r="AU84" i="13"/>
  <c r="AC85" i="13"/>
  <c r="AD85" i="13"/>
  <c r="AE85" i="13"/>
  <c r="AF85" i="13"/>
  <c r="AG85" i="13"/>
  <c r="AH85" i="13"/>
  <c r="AA85" i="13"/>
  <c r="AN85" i="13" s="1"/>
  <c r="AO85" i="13"/>
  <c r="AU85" i="13"/>
  <c r="AC86" i="13"/>
  <c r="AD86" i="13"/>
  <c r="AE86" i="13"/>
  <c r="AF86" i="13"/>
  <c r="AG86" i="13"/>
  <c r="AH86" i="13"/>
  <c r="AA86" i="13"/>
  <c r="AO86" i="13" s="1"/>
  <c r="AU86" i="13"/>
  <c r="AF87" i="13"/>
  <c r="AH87" i="13"/>
  <c r="AA87" i="13"/>
  <c r="AO87" i="13" s="1"/>
  <c r="AU87" i="13"/>
  <c r="AF88" i="13"/>
  <c r="AH88" i="13"/>
  <c r="AA88" i="13"/>
  <c r="AP88" i="13"/>
  <c r="AU88" i="13"/>
  <c r="E80" i="13"/>
  <c r="J80" i="13" s="1"/>
  <c r="F80" i="13"/>
  <c r="G80" i="13"/>
  <c r="H80" i="13"/>
  <c r="I80" i="13"/>
  <c r="C80" i="13"/>
  <c r="P80" i="13"/>
  <c r="Q80" i="13"/>
  <c r="R80" i="13"/>
  <c r="S80" i="13"/>
  <c r="T80" i="13"/>
  <c r="W80" i="13"/>
  <c r="E81" i="13"/>
  <c r="J81" i="13" s="1"/>
  <c r="F81" i="13"/>
  <c r="G81" i="13"/>
  <c r="H81" i="13"/>
  <c r="I81" i="13"/>
  <c r="C81" i="13"/>
  <c r="Q81" i="13" s="1"/>
  <c r="P81" i="13"/>
  <c r="S81" i="13"/>
  <c r="T81" i="13"/>
  <c r="W81" i="13"/>
  <c r="E82" i="13"/>
  <c r="F82" i="13"/>
  <c r="G82" i="13"/>
  <c r="H82" i="13"/>
  <c r="I82" i="13"/>
  <c r="C82" i="13"/>
  <c r="P82" i="13" s="1"/>
  <c r="S82" i="13"/>
  <c r="W82" i="13"/>
  <c r="E83" i="13"/>
  <c r="F83" i="13"/>
  <c r="G83" i="13"/>
  <c r="H83" i="13"/>
  <c r="I83" i="13"/>
  <c r="C83" i="13"/>
  <c r="W83" i="13"/>
  <c r="E84" i="13"/>
  <c r="F84" i="13"/>
  <c r="G84" i="13"/>
  <c r="H84" i="13"/>
  <c r="I84" i="13"/>
  <c r="J84" i="13"/>
  <c r="C84" i="13"/>
  <c r="R84" i="13" s="1"/>
  <c r="P84" i="13"/>
  <c r="W84" i="13"/>
  <c r="E85" i="13"/>
  <c r="F85" i="13"/>
  <c r="G85" i="13"/>
  <c r="J85" i="13" s="1"/>
  <c r="H85" i="13"/>
  <c r="I85" i="13"/>
  <c r="C85" i="13"/>
  <c r="P85" i="13"/>
  <c r="Q85" i="13"/>
  <c r="R85" i="13"/>
  <c r="S85" i="13"/>
  <c r="T85" i="13"/>
  <c r="W85" i="13"/>
  <c r="E86" i="13"/>
  <c r="F86" i="13"/>
  <c r="J86" i="13" s="1"/>
  <c r="G86" i="13"/>
  <c r="H86" i="13" s="1"/>
  <c r="I86" i="13"/>
  <c r="C86" i="13"/>
  <c r="P86" i="13" s="1"/>
  <c r="T86" i="13"/>
  <c r="W86" i="13"/>
  <c r="H87" i="13"/>
  <c r="J87" i="13" s="1"/>
  <c r="C87" i="13"/>
  <c r="W87" i="13"/>
  <c r="H88" i="13"/>
  <c r="J88" i="13"/>
  <c r="C88" i="13"/>
  <c r="Q88" i="13"/>
  <c r="R88" i="13"/>
  <c r="S88" i="13"/>
  <c r="U88" i="13"/>
  <c r="W88" i="13"/>
  <c r="JX88" i="13"/>
  <c r="KA76" i="13"/>
  <c r="JG76" i="13"/>
  <c r="JM76" i="13"/>
  <c r="JK76" i="13"/>
  <c r="JL76" i="13" s="1"/>
  <c r="JI76" i="13"/>
  <c r="JJ76" i="13"/>
  <c r="KA75" i="13"/>
  <c r="JM75" i="13"/>
  <c r="JK75" i="13"/>
  <c r="JL75" i="13" s="1"/>
  <c r="JJ75" i="13"/>
  <c r="JI75" i="13"/>
  <c r="JG75" i="13"/>
  <c r="JW75" i="13"/>
  <c r="KA74" i="13"/>
  <c r="JG74" i="13"/>
  <c r="JT74" i="13"/>
  <c r="JY74" i="13" s="1"/>
  <c r="KB74" i="13" s="1"/>
  <c r="JW74" i="13"/>
  <c r="JM74" i="13"/>
  <c r="JK74" i="13"/>
  <c r="JL74" i="13"/>
  <c r="JJ74" i="13"/>
  <c r="JI74" i="13"/>
  <c r="KA71" i="13"/>
  <c r="JG71" i="13"/>
  <c r="JT71" i="13" s="1"/>
  <c r="JM71" i="13"/>
  <c r="JK71" i="13"/>
  <c r="JL71" i="13" s="1"/>
  <c r="JJ71" i="13"/>
  <c r="JI71" i="13"/>
  <c r="KA70" i="13"/>
  <c r="JG70" i="13"/>
  <c r="JT70" i="13"/>
  <c r="JM70" i="13"/>
  <c r="JK70" i="13"/>
  <c r="JL70" i="13" s="1"/>
  <c r="JI70" i="13"/>
  <c r="JJ70" i="13"/>
  <c r="JW70" i="13"/>
  <c r="KA69" i="13"/>
  <c r="JG69" i="13"/>
  <c r="JW69" i="13" s="1"/>
  <c r="JM69" i="13"/>
  <c r="JK69" i="13"/>
  <c r="JL69" i="13" s="1"/>
  <c r="JJ69" i="13"/>
  <c r="JI69" i="13"/>
  <c r="KA66" i="13"/>
  <c r="JG66" i="13"/>
  <c r="JW66" i="13"/>
  <c r="JT66" i="13"/>
  <c r="JY66" i="13" s="1"/>
  <c r="JM66" i="13"/>
  <c r="JK66" i="13"/>
  <c r="JL66" i="13"/>
  <c r="JI66" i="13"/>
  <c r="JJ66" i="13"/>
  <c r="JN66" i="13" s="1"/>
  <c r="KA65" i="13"/>
  <c r="JG65" i="13"/>
  <c r="JT65" i="13"/>
  <c r="JW65" i="13"/>
  <c r="JY65" i="13"/>
  <c r="JM65" i="13"/>
  <c r="JK65" i="13"/>
  <c r="JJ65" i="13"/>
  <c r="JI65" i="13"/>
  <c r="KA64" i="13"/>
  <c r="JG64" i="13"/>
  <c r="JW64" i="13" s="1"/>
  <c r="JM64" i="13"/>
  <c r="JK64" i="13"/>
  <c r="JL64" i="13"/>
  <c r="JN64" i="13" s="1"/>
  <c r="JJ64" i="13"/>
  <c r="JI64" i="13"/>
  <c r="IZ88" i="13"/>
  <c r="JC76" i="13"/>
  <c r="IO76" i="13"/>
  <c r="IM76" i="13"/>
  <c r="IL76" i="13"/>
  <c r="IK76" i="13"/>
  <c r="II76" i="13"/>
  <c r="IY76" i="13" s="1"/>
  <c r="JC75" i="13"/>
  <c r="IO75" i="13"/>
  <c r="IM75" i="13"/>
  <c r="IN75" i="13" s="1"/>
  <c r="IL75" i="13"/>
  <c r="IK75" i="13"/>
  <c r="II75" i="13"/>
  <c r="IY75" i="13"/>
  <c r="JC74" i="13"/>
  <c r="IO74" i="13"/>
  <c r="IM74" i="13"/>
  <c r="IN74" i="13"/>
  <c r="IL74" i="13"/>
  <c r="IK74" i="13"/>
  <c r="II74" i="13"/>
  <c r="IY74" i="13" s="1"/>
  <c r="JA74" i="13" s="1"/>
  <c r="JD74" i="13" s="1"/>
  <c r="JC71" i="13"/>
  <c r="IO71" i="13"/>
  <c r="IM71" i="13"/>
  <c r="IN71" i="13" s="1"/>
  <c r="IL71" i="13"/>
  <c r="IK71" i="13"/>
  <c r="II71" i="13"/>
  <c r="IV71" i="13"/>
  <c r="JC70" i="13"/>
  <c r="II70" i="13"/>
  <c r="IV70" i="13"/>
  <c r="JA70" i="13" s="1"/>
  <c r="IY70" i="13"/>
  <c r="IO70" i="13"/>
  <c r="IM70" i="13"/>
  <c r="IN70" i="13" s="1"/>
  <c r="IL70" i="13"/>
  <c r="IK70" i="13"/>
  <c r="JC69" i="13"/>
  <c r="II69" i="13"/>
  <c r="IY69" i="13" s="1"/>
  <c r="IO69" i="13"/>
  <c r="IM69" i="13"/>
  <c r="IL69" i="13"/>
  <c r="IK69" i="13"/>
  <c r="JC66" i="13"/>
  <c r="IO66" i="13"/>
  <c r="IM66" i="13"/>
  <c r="IN66" i="13" s="1"/>
  <c r="IL66" i="13"/>
  <c r="IK66" i="13"/>
  <c r="II66" i="13"/>
  <c r="JC65" i="13"/>
  <c r="IO65" i="13"/>
  <c r="IM65" i="13"/>
  <c r="IN65" i="13"/>
  <c r="IL65" i="13"/>
  <c r="IK65" i="13"/>
  <c r="II65" i="13"/>
  <c r="IY65" i="13" s="1"/>
  <c r="JC64" i="13"/>
  <c r="IO64" i="13"/>
  <c r="IM64" i="13"/>
  <c r="IN64" i="13"/>
  <c r="IL64" i="13"/>
  <c r="IK64" i="13"/>
  <c r="II64" i="13"/>
  <c r="IB88" i="13"/>
  <c r="IB87" i="13"/>
  <c r="IE76" i="13"/>
  <c r="HK76" i="13"/>
  <c r="HX76" i="13"/>
  <c r="HQ76" i="13"/>
  <c r="HO76" i="13"/>
  <c r="HN76" i="13"/>
  <c r="HR76" i="13" s="1"/>
  <c r="IF76" i="13" s="1"/>
  <c r="HM76" i="13"/>
  <c r="IA76" i="13"/>
  <c r="IE75" i="13"/>
  <c r="HQ75" i="13"/>
  <c r="HO75" i="13"/>
  <c r="HP75" i="13" s="1"/>
  <c r="HN75" i="13"/>
  <c r="HM75" i="13"/>
  <c r="HK75" i="13"/>
  <c r="IA75" i="13" s="1"/>
  <c r="IE74" i="13"/>
  <c r="HK74" i="13"/>
  <c r="HX74" i="13"/>
  <c r="HQ74" i="13"/>
  <c r="HO74" i="13"/>
  <c r="HN74" i="13"/>
  <c r="HM74" i="13"/>
  <c r="IA74" i="13"/>
  <c r="IC74" i="13" s="1"/>
  <c r="IE71" i="13"/>
  <c r="HQ71" i="13"/>
  <c r="HO71" i="13"/>
  <c r="HP71" i="13" s="1"/>
  <c r="HN71" i="13"/>
  <c r="HM71" i="13"/>
  <c r="HK71" i="13"/>
  <c r="HX71" i="13" s="1"/>
  <c r="IE70" i="13"/>
  <c r="HQ70" i="13"/>
  <c r="HO70" i="13"/>
  <c r="HP70" i="13"/>
  <c r="HN70" i="13"/>
  <c r="HM70" i="13"/>
  <c r="HK70" i="13"/>
  <c r="IE69" i="13"/>
  <c r="HQ69" i="13"/>
  <c r="HO69" i="13"/>
  <c r="HP69" i="13"/>
  <c r="HN69" i="13"/>
  <c r="HM69" i="13"/>
  <c r="HK69" i="13"/>
  <c r="HX69" i="13"/>
  <c r="IE66" i="13"/>
  <c r="HK66" i="13"/>
  <c r="HX66" i="13"/>
  <c r="HQ66" i="13"/>
  <c r="HO66" i="13"/>
  <c r="HP66" i="13" s="1"/>
  <c r="HN66" i="13"/>
  <c r="HM66" i="13"/>
  <c r="IA66" i="13"/>
  <c r="IE65" i="13"/>
  <c r="HQ65" i="13"/>
  <c r="HO65" i="13"/>
  <c r="HP65" i="13" s="1"/>
  <c r="HR65" i="13" s="1"/>
  <c r="HN65" i="13"/>
  <c r="HM65" i="13"/>
  <c r="HK65" i="13"/>
  <c r="IA65" i="13" s="1"/>
  <c r="IE64" i="13"/>
  <c r="HQ64" i="13"/>
  <c r="HO64" i="13"/>
  <c r="HP64" i="13" s="1"/>
  <c r="HN64" i="13"/>
  <c r="HM64" i="13"/>
  <c r="HR64" i="13" s="1"/>
  <c r="HK64" i="13"/>
  <c r="IA64" i="13"/>
  <c r="HG76" i="13"/>
  <c r="GM76" i="13"/>
  <c r="GZ76" i="13"/>
  <c r="HE76" i="13" s="1"/>
  <c r="HC76" i="13"/>
  <c r="GS76" i="13"/>
  <c r="GQ76" i="13"/>
  <c r="GP76" i="13"/>
  <c r="GO76" i="13"/>
  <c r="HG75" i="13"/>
  <c r="GS75" i="13"/>
  <c r="GQ75" i="13"/>
  <c r="GR75" i="13"/>
  <c r="GP75" i="13"/>
  <c r="GO75" i="13"/>
  <c r="GM75" i="13"/>
  <c r="HC75" i="13" s="1"/>
  <c r="HE75" i="13" s="1"/>
  <c r="HH75" i="13" s="1"/>
  <c r="HG74" i="13"/>
  <c r="GS74" i="13"/>
  <c r="GQ74" i="13"/>
  <c r="GR74" i="13" s="1"/>
  <c r="GP74" i="13"/>
  <c r="GO74" i="13"/>
  <c r="GM74" i="13"/>
  <c r="HG71" i="13"/>
  <c r="GM71" i="13"/>
  <c r="HC71" i="13" s="1"/>
  <c r="GS71" i="13"/>
  <c r="GQ71" i="13"/>
  <c r="GR71" i="13"/>
  <c r="GP71" i="13"/>
  <c r="GO71" i="13"/>
  <c r="HG70" i="13"/>
  <c r="GS70" i="13"/>
  <c r="GQ70" i="13"/>
  <c r="GR70" i="13" s="1"/>
  <c r="GT70" i="13" s="1"/>
  <c r="GP70" i="13"/>
  <c r="GO70" i="13"/>
  <c r="GM70" i="13"/>
  <c r="HG69" i="13"/>
  <c r="GS69" i="13"/>
  <c r="GQ69" i="13"/>
  <c r="GR69" i="13" s="1"/>
  <c r="GT69" i="13" s="1"/>
  <c r="GP69" i="13"/>
  <c r="GO69" i="13"/>
  <c r="GM69" i="13"/>
  <c r="HG66" i="13"/>
  <c r="GS66" i="13"/>
  <c r="GQ66" i="13"/>
  <c r="GR66" i="13"/>
  <c r="GP66" i="13"/>
  <c r="GO66" i="13"/>
  <c r="GM66" i="13"/>
  <c r="HG65" i="13"/>
  <c r="GS65" i="13"/>
  <c r="GQ65" i="13"/>
  <c r="GR65" i="13"/>
  <c r="GP65" i="13"/>
  <c r="GO65" i="13"/>
  <c r="GM65" i="13"/>
  <c r="HC65" i="13"/>
  <c r="HG64" i="13"/>
  <c r="GM64" i="13"/>
  <c r="GZ64" i="13" s="1"/>
  <c r="GS64" i="13"/>
  <c r="GQ64" i="13"/>
  <c r="GR64" i="13" s="1"/>
  <c r="GT64" i="13" s="1"/>
  <c r="HH64" i="13" s="1"/>
  <c r="GP64" i="13"/>
  <c r="GO64" i="13"/>
  <c r="HC64" i="13"/>
  <c r="GF88" i="13"/>
  <c r="GI76" i="13"/>
  <c r="FU76" i="13"/>
  <c r="FS76" i="13"/>
  <c r="FT76" i="13"/>
  <c r="FR76" i="13"/>
  <c r="FQ76" i="13"/>
  <c r="FO76" i="13"/>
  <c r="GI75" i="13"/>
  <c r="FU75" i="13"/>
  <c r="FS75" i="13"/>
  <c r="FT75" i="13"/>
  <c r="FR75" i="13"/>
  <c r="FQ75" i="13"/>
  <c r="FV75" i="13" s="1"/>
  <c r="FO75" i="13"/>
  <c r="GI74" i="13"/>
  <c r="FO74" i="13"/>
  <c r="FU74" i="13"/>
  <c r="FS74" i="13"/>
  <c r="FR74" i="13"/>
  <c r="FQ74" i="13"/>
  <c r="GI71" i="13"/>
  <c r="FU71" i="13"/>
  <c r="FS71" i="13"/>
  <c r="FT71" i="13" s="1"/>
  <c r="FR71" i="13"/>
  <c r="FQ71" i="13"/>
  <c r="FO71" i="13"/>
  <c r="GB71" i="13"/>
  <c r="GI70" i="13"/>
  <c r="FO70" i="13"/>
  <c r="FU70" i="13"/>
  <c r="FS70" i="13"/>
  <c r="FT70" i="13" s="1"/>
  <c r="FV70" i="13" s="1"/>
  <c r="FQ70" i="13"/>
  <c r="FR70" i="13"/>
  <c r="GI69" i="13"/>
  <c r="FO69" i="13"/>
  <c r="GE69" i="13"/>
  <c r="GB69" i="13"/>
  <c r="GG69" i="13" s="1"/>
  <c r="FU69" i="13"/>
  <c r="FS69" i="13"/>
  <c r="FR69" i="13"/>
  <c r="FQ69" i="13"/>
  <c r="GI66" i="13"/>
  <c r="FO66" i="13"/>
  <c r="GE66" i="13" s="1"/>
  <c r="FU66" i="13"/>
  <c r="FS66" i="13"/>
  <c r="FT66" i="13" s="1"/>
  <c r="FQ66" i="13"/>
  <c r="FR66" i="13"/>
  <c r="FV66" i="13"/>
  <c r="GI65" i="13"/>
  <c r="FO65" i="13"/>
  <c r="FU65" i="13"/>
  <c r="FS65" i="13"/>
  <c r="FT65" i="13" s="1"/>
  <c r="FR65" i="13"/>
  <c r="FQ65" i="13"/>
  <c r="GI64" i="13"/>
  <c r="FO64" i="13"/>
  <c r="GE64" i="13"/>
  <c r="GB64" i="13"/>
  <c r="GG64" i="13" s="1"/>
  <c r="FU64" i="13"/>
  <c r="FS64" i="13"/>
  <c r="FT64" i="13" s="1"/>
  <c r="FR64" i="13"/>
  <c r="FQ64" i="13"/>
  <c r="FH88" i="13"/>
  <c r="FK76" i="13"/>
  <c r="EQ76" i="13"/>
  <c r="FD76" i="13" s="1"/>
  <c r="FI76" i="13" s="1"/>
  <c r="FG76" i="13"/>
  <c r="EW76" i="13"/>
  <c r="EU76" i="13"/>
  <c r="ET76" i="13"/>
  <c r="ES76" i="13"/>
  <c r="EX76" i="13" s="1"/>
  <c r="FL76" i="13" s="1"/>
  <c r="FK75" i="13"/>
  <c r="EQ75" i="13"/>
  <c r="FD75" i="13" s="1"/>
  <c r="FI75" i="13" s="1"/>
  <c r="FG75" i="13"/>
  <c r="EW75" i="13"/>
  <c r="EU75" i="13"/>
  <c r="EV75" i="13" s="1"/>
  <c r="EX75" i="13" s="1"/>
  <c r="ET75" i="13"/>
  <c r="ES75" i="13"/>
  <c r="FK74" i="13"/>
  <c r="EW74" i="13"/>
  <c r="EU74" i="13"/>
  <c r="EV74" i="13"/>
  <c r="ET74" i="13"/>
  <c r="EX74" i="13" s="1"/>
  <c r="ES74" i="13"/>
  <c r="EQ74" i="13"/>
  <c r="FD74" i="13" s="1"/>
  <c r="FK71" i="13"/>
  <c r="EW71" i="13"/>
  <c r="EU71" i="13"/>
  <c r="EV71" i="13"/>
  <c r="ET71" i="13"/>
  <c r="ES71" i="13"/>
  <c r="EQ71" i="13"/>
  <c r="FK70" i="13"/>
  <c r="EQ70" i="13"/>
  <c r="FD70" i="13" s="1"/>
  <c r="EW70" i="13"/>
  <c r="EU70" i="13"/>
  <c r="EV70" i="13"/>
  <c r="ES70" i="13"/>
  <c r="ET70" i="13"/>
  <c r="FG70" i="13"/>
  <c r="FK69" i="13"/>
  <c r="EQ69" i="13"/>
  <c r="FD69" i="13" s="1"/>
  <c r="FI69" i="13" s="1"/>
  <c r="FG69" i="13"/>
  <c r="EW69" i="13"/>
  <c r="EU69" i="13"/>
  <c r="EV69" i="13" s="1"/>
  <c r="ET69" i="13"/>
  <c r="ES69" i="13"/>
  <c r="FK66" i="13"/>
  <c r="EQ66" i="13"/>
  <c r="FD66" i="13" s="1"/>
  <c r="FG66" i="13"/>
  <c r="EW66" i="13"/>
  <c r="EU66" i="13"/>
  <c r="EV66" i="13"/>
  <c r="EX66" i="13" s="1"/>
  <c r="ET66" i="13"/>
  <c r="ES66" i="13"/>
  <c r="FK65" i="13"/>
  <c r="EQ65" i="13"/>
  <c r="FD65" i="13" s="1"/>
  <c r="FI65" i="13" s="1"/>
  <c r="FL65" i="13" s="1"/>
  <c r="FG65" i="13"/>
  <c r="EW65" i="13"/>
  <c r="EU65" i="13"/>
  <c r="EV65" i="13"/>
  <c r="ET65" i="13"/>
  <c r="ES65" i="13"/>
  <c r="FK64" i="13"/>
  <c r="EQ64" i="13"/>
  <c r="FD64" i="13" s="1"/>
  <c r="FG64" i="13"/>
  <c r="EW64" i="13"/>
  <c r="EU64" i="13"/>
  <c r="EV64" i="13" s="1"/>
  <c r="EX64" i="13" s="1"/>
  <c r="ES64" i="13"/>
  <c r="ET64" i="13"/>
  <c r="EJ88" i="13"/>
  <c r="EJ87" i="13"/>
  <c r="EM76" i="13"/>
  <c r="DY76" i="13"/>
  <c r="DW76" i="13"/>
  <c r="DX76" i="13" s="1"/>
  <c r="DZ76" i="13" s="1"/>
  <c r="DV76" i="13"/>
  <c r="DU76" i="13"/>
  <c r="DS76" i="13"/>
  <c r="EM75" i="13"/>
  <c r="DY75" i="13"/>
  <c r="DW75" i="13"/>
  <c r="DX75" i="13" s="1"/>
  <c r="DZ75" i="13" s="1"/>
  <c r="DV75" i="13"/>
  <c r="DU75" i="13"/>
  <c r="DS75" i="13"/>
  <c r="EI75" i="13"/>
  <c r="EM74" i="13"/>
  <c r="DY74" i="13"/>
  <c r="DW74" i="13"/>
  <c r="DV74" i="13"/>
  <c r="DU74" i="13"/>
  <c r="DS74" i="13"/>
  <c r="EM71" i="13"/>
  <c r="DS71" i="13"/>
  <c r="EI71" i="13" s="1"/>
  <c r="DY71" i="13"/>
  <c r="DW71" i="13"/>
  <c r="DX71" i="13"/>
  <c r="DV71" i="13"/>
  <c r="DU71" i="13"/>
  <c r="EM70" i="13"/>
  <c r="DS70" i="13"/>
  <c r="EF70" i="13"/>
  <c r="EK70" i="13" s="1"/>
  <c r="EI70" i="13"/>
  <c r="DY70" i="13"/>
  <c r="DW70" i="13"/>
  <c r="DX70" i="13" s="1"/>
  <c r="DU70" i="13"/>
  <c r="DV70" i="13"/>
  <c r="EM69" i="13"/>
  <c r="DS69" i="13"/>
  <c r="EI69" i="13" s="1"/>
  <c r="DY69" i="13"/>
  <c r="DW69" i="13"/>
  <c r="DX69" i="13" s="1"/>
  <c r="DZ69" i="13" s="1"/>
  <c r="DV69" i="13"/>
  <c r="DU69" i="13"/>
  <c r="EM66" i="13"/>
  <c r="DS66" i="13"/>
  <c r="EI66" i="13" s="1"/>
  <c r="DU66" i="13"/>
  <c r="DV66" i="13"/>
  <c r="DZ66" i="13" s="1"/>
  <c r="DW66" i="13"/>
  <c r="DX66" i="13"/>
  <c r="DY66" i="13"/>
  <c r="EM65" i="13"/>
  <c r="DS65" i="13"/>
  <c r="EF65" i="13"/>
  <c r="EK65" i="13" s="1"/>
  <c r="EI65" i="13"/>
  <c r="DY65" i="13"/>
  <c r="DW65" i="13"/>
  <c r="DX65" i="13" s="1"/>
  <c r="DV65" i="13"/>
  <c r="DU65" i="13"/>
  <c r="EM64" i="13"/>
  <c r="DY64" i="13"/>
  <c r="DW64" i="13"/>
  <c r="DZ64" i="13" s="1"/>
  <c r="DX64" i="13"/>
  <c r="DU64" i="13"/>
  <c r="DV64" i="13"/>
  <c r="DS64" i="13"/>
  <c r="EI64" i="13"/>
  <c r="DO76" i="13"/>
  <c r="DA76" i="13"/>
  <c r="CY76" i="13"/>
  <c r="CZ76" i="13" s="1"/>
  <c r="DB76" i="13" s="1"/>
  <c r="CX76" i="13"/>
  <c r="CW76" i="13"/>
  <c r="CU76" i="13"/>
  <c r="DO75" i="13"/>
  <c r="DA75" i="13"/>
  <c r="CY75" i="13"/>
  <c r="DB75" i="13" s="1"/>
  <c r="DP75" i="13" s="1"/>
  <c r="CZ75" i="13"/>
  <c r="CX75" i="13"/>
  <c r="CW75" i="13"/>
  <c r="CU75" i="13"/>
  <c r="DO74" i="13"/>
  <c r="CU74" i="13"/>
  <c r="DH74" i="13" s="1"/>
  <c r="DM74" i="13" s="1"/>
  <c r="DK74" i="13"/>
  <c r="DA74" i="13"/>
  <c r="CY74" i="13"/>
  <c r="CX74" i="13"/>
  <c r="CW74" i="13"/>
  <c r="DO71" i="13"/>
  <c r="CU71" i="13"/>
  <c r="DH71" i="13" s="1"/>
  <c r="DM71" i="13" s="1"/>
  <c r="DK71" i="13"/>
  <c r="DA71" i="13"/>
  <c r="CY71" i="13"/>
  <c r="CZ71" i="13"/>
  <c r="CX71" i="13"/>
  <c r="DB71" i="13" s="1"/>
  <c r="DP71" i="13" s="1"/>
  <c r="CW71" i="13"/>
  <c r="DO70" i="13"/>
  <c r="CU70" i="13"/>
  <c r="DA70" i="13"/>
  <c r="CY70" i="13"/>
  <c r="CZ70" i="13"/>
  <c r="CW70" i="13"/>
  <c r="DB70" i="13" s="1"/>
  <c r="CX70" i="13"/>
  <c r="DO69" i="13"/>
  <c r="CU69" i="13"/>
  <c r="DK69" i="13"/>
  <c r="DH69" i="13"/>
  <c r="DM69" i="13"/>
  <c r="DA69" i="13"/>
  <c r="CY69" i="13"/>
  <c r="CZ69" i="13" s="1"/>
  <c r="CX69" i="13"/>
  <c r="CW69" i="13"/>
  <c r="DO66" i="13"/>
  <c r="CU66" i="13"/>
  <c r="DK66" i="13"/>
  <c r="DH66" i="13"/>
  <c r="DM66" i="13" s="1"/>
  <c r="DA66" i="13"/>
  <c r="CY66" i="13"/>
  <c r="CZ66" i="13" s="1"/>
  <c r="CW66" i="13"/>
  <c r="CX66" i="13"/>
  <c r="DB66" i="13"/>
  <c r="DP66" i="13" s="1"/>
  <c r="DO65" i="13"/>
  <c r="DA65" i="13"/>
  <c r="CY65" i="13"/>
  <c r="CZ65" i="13"/>
  <c r="CX65" i="13"/>
  <c r="CW65" i="13"/>
  <c r="CU65" i="13"/>
  <c r="DK65" i="13"/>
  <c r="DO64" i="13"/>
  <c r="DA64" i="13"/>
  <c r="CY64" i="13"/>
  <c r="CZ64" i="13" s="1"/>
  <c r="CX64" i="13"/>
  <c r="CW64" i="13"/>
  <c r="DB64" i="13"/>
  <c r="CU64" i="13"/>
  <c r="DK64" i="13" s="1"/>
  <c r="DM64" i="13" s="1"/>
  <c r="DP64" i="13" s="1"/>
  <c r="CN88" i="13"/>
  <c r="CQ76" i="13"/>
  <c r="BW76" i="13"/>
  <c r="CJ76" i="13" s="1"/>
  <c r="CC76" i="13"/>
  <c r="CA76" i="13"/>
  <c r="CB76" i="13" s="1"/>
  <c r="CD76" i="13" s="1"/>
  <c r="BZ76" i="13"/>
  <c r="BY76" i="13"/>
  <c r="CQ75" i="13"/>
  <c r="CC75" i="13"/>
  <c r="CA75" i="13"/>
  <c r="CB75" i="13" s="1"/>
  <c r="BZ75" i="13"/>
  <c r="BY75" i="13"/>
  <c r="BW75" i="13"/>
  <c r="CQ74" i="13"/>
  <c r="CC74" i="13"/>
  <c r="CA74" i="13"/>
  <c r="BZ74" i="13"/>
  <c r="BY74" i="13"/>
  <c r="BW74" i="13"/>
  <c r="CQ71" i="13"/>
  <c r="CC71" i="13"/>
  <c r="CA71" i="13"/>
  <c r="CB71" i="13" s="1"/>
  <c r="CD71" i="13" s="1"/>
  <c r="BZ71" i="13"/>
  <c r="BY71" i="13"/>
  <c r="BW71" i="13"/>
  <c r="CQ70" i="13"/>
  <c r="BW70" i="13"/>
  <c r="CJ70" i="13" s="1"/>
  <c r="CC70" i="13"/>
  <c r="CA70" i="13"/>
  <c r="CB70" i="13" s="1"/>
  <c r="BY70" i="13"/>
  <c r="BZ70" i="13"/>
  <c r="CQ69" i="13"/>
  <c r="BW69" i="13"/>
  <c r="CM69" i="13"/>
  <c r="CJ69" i="13"/>
  <c r="CO69" i="13" s="1"/>
  <c r="CC69" i="13"/>
  <c r="CA69" i="13"/>
  <c r="CB69" i="13" s="1"/>
  <c r="BZ69" i="13"/>
  <c r="BY69" i="13"/>
  <c r="CQ66" i="13"/>
  <c r="BW66" i="13"/>
  <c r="CJ66" i="13" s="1"/>
  <c r="CO66" i="13" s="1"/>
  <c r="CM66" i="13"/>
  <c r="CC66" i="13"/>
  <c r="CA66" i="13"/>
  <c r="CB66" i="13"/>
  <c r="BY66" i="13"/>
  <c r="BZ66" i="13"/>
  <c r="CQ65" i="13"/>
  <c r="BW65" i="13"/>
  <c r="CJ65" i="13" s="1"/>
  <c r="CC65" i="13"/>
  <c r="CA65" i="13"/>
  <c r="CB65" i="13"/>
  <c r="BZ65" i="13"/>
  <c r="BY65" i="13"/>
  <c r="CQ64" i="13"/>
  <c r="CC64" i="13"/>
  <c r="CA64" i="13"/>
  <c r="CB64" i="13"/>
  <c r="BZ64" i="13"/>
  <c r="CD64" i="13" s="1"/>
  <c r="BY64" i="13"/>
  <c r="BW64" i="13"/>
  <c r="CJ64" i="13" s="1"/>
  <c r="BP88" i="13"/>
  <c r="BP87" i="13"/>
  <c r="BS76" i="13"/>
  <c r="AY76" i="13"/>
  <c r="BL76" i="13"/>
  <c r="BQ76" i="13" s="1"/>
  <c r="BO76" i="13"/>
  <c r="BE76" i="13"/>
  <c r="BC76" i="13"/>
  <c r="BD76" i="13" s="1"/>
  <c r="BB76" i="13"/>
  <c r="BA76" i="13"/>
  <c r="BS75" i="13"/>
  <c r="BE75" i="13"/>
  <c r="BC75" i="13"/>
  <c r="BD75" i="13" s="1"/>
  <c r="BB75" i="13"/>
  <c r="BA75" i="13"/>
  <c r="BF75" i="13" s="1"/>
  <c r="AY75" i="13"/>
  <c r="BO75" i="13"/>
  <c r="BS74" i="13"/>
  <c r="BE74" i="13"/>
  <c r="BC74" i="13"/>
  <c r="BB74" i="13"/>
  <c r="BA74" i="13"/>
  <c r="AY74" i="13"/>
  <c r="BS71" i="13"/>
  <c r="BE71" i="13"/>
  <c r="BC71" i="13"/>
  <c r="BD71" i="13"/>
  <c r="BB71" i="13"/>
  <c r="BA71" i="13"/>
  <c r="AY71" i="13"/>
  <c r="BS70" i="13"/>
  <c r="AY70" i="13"/>
  <c r="BL70" i="13"/>
  <c r="BE70" i="13"/>
  <c r="BC70" i="13"/>
  <c r="BD70" i="13"/>
  <c r="BB70" i="13"/>
  <c r="BA70" i="13"/>
  <c r="BO70" i="13"/>
  <c r="BS69" i="13"/>
  <c r="AY69" i="13"/>
  <c r="BO69" i="13" s="1"/>
  <c r="BL69" i="13"/>
  <c r="BE69" i="13"/>
  <c r="BC69" i="13"/>
  <c r="BD69" i="13" s="1"/>
  <c r="BB69" i="13"/>
  <c r="BA69" i="13"/>
  <c r="BS66" i="13"/>
  <c r="AY66" i="13"/>
  <c r="BO66" i="13"/>
  <c r="BL66" i="13"/>
  <c r="BQ66" i="13" s="1"/>
  <c r="BE66" i="13"/>
  <c r="BC66" i="13"/>
  <c r="BD66" i="13" s="1"/>
  <c r="BF66" i="13" s="1"/>
  <c r="BT66" i="13" s="1"/>
  <c r="BB66" i="13"/>
  <c r="BA66" i="13"/>
  <c r="BS65" i="13"/>
  <c r="AY65" i="13"/>
  <c r="BL65" i="13" s="1"/>
  <c r="BE65" i="13"/>
  <c r="BC65" i="13"/>
  <c r="BD65" i="13" s="1"/>
  <c r="BB65" i="13"/>
  <c r="BA65" i="13"/>
  <c r="BS64" i="13"/>
  <c r="AY64" i="13"/>
  <c r="BL64" i="13" s="1"/>
  <c r="BO64" i="13"/>
  <c r="BE64" i="13"/>
  <c r="BC64" i="13"/>
  <c r="BD64" i="13"/>
  <c r="BF64" i="13" s="1"/>
  <c r="BB64" i="13"/>
  <c r="BA64" i="13"/>
  <c r="AU76" i="13"/>
  <c r="AA76" i="13"/>
  <c r="AN76" i="13"/>
  <c r="AS76" i="13" s="1"/>
  <c r="AQ76" i="13"/>
  <c r="AG76" i="13"/>
  <c r="AE76" i="13"/>
  <c r="AF76" i="13" s="1"/>
  <c r="AD76" i="13"/>
  <c r="AC76" i="13"/>
  <c r="AU75" i="13"/>
  <c r="AG75" i="13"/>
  <c r="AE75" i="13"/>
  <c r="AD75" i="13"/>
  <c r="AC75" i="13"/>
  <c r="AA75" i="13"/>
  <c r="AQ75" i="13" s="1"/>
  <c r="AS75" i="13" s="1"/>
  <c r="AU74" i="13"/>
  <c r="AG74" i="13"/>
  <c r="AE74" i="13"/>
  <c r="AF74" i="13"/>
  <c r="AD74" i="13"/>
  <c r="AC74" i="13"/>
  <c r="AA74" i="13"/>
  <c r="AU71" i="13"/>
  <c r="AG71" i="13"/>
  <c r="AE71" i="13"/>
  <c r="AF71" i="13" s="1"/>
  <c r="AD71" i="13"/>
  <c r="AC71" i="13"/>
  <c r="AH71" i="13" s="1"/>
  <c r="AV71" i="13" s="1"/>
  <c r="AA71" i="13"/>
  <c r="AN71" i="13" s="1"/>
  <c r="AU70" i="13"/>
  <c r="AA70" i="13"/>
  <c r="AN70" i="13" s="1"/>
  <c r="AG70" i="13"/>
  <c r="AE70" i="13"/>
  <c r="AF70" i="13" s="1"/>
  <c r="AH70" i="13" s="1"/>
  <c r="AD70" i="13"/>
  <c r="AC70" i="13"/>
  <c r="AU69" i="13"/>
  <c r="AA69" i="13"/>
  <c r="AQ69" i="13" s="1"/>
  <c r="AG69" i="13"/>
  <c r="AE69" i="13"/>
  <c r="AF69" i="13"/>
  <c r="AD69" i="13"/>
  <c r="AC69" i="13"/>
  <c r="AU66" i="13"/>
  <c r="AA66" i="13"/>
  <c r="AN66" i="13"/>
  <c r="AS66" i="13" s="1"/>
  <c r="AQ66" i="13"/>
  <c r="AG66" i="13"/>
  <c r="AE66" i="13"/>
  <c r="AF66" i="13" s="1"/>
  <c r="AD66" i="13"/>
  <c r="AC66" i="13"/>
  <c r="AU65" i="13"/>
  <c r="AA65" i="13"/>
  <c r="AN65" i="13"/>
  <c r="AS65" i="13" s="1"/>
  <c r="AQ65" i="13"/>
  <c r="AG65" i="13"/>
  <c r="AE65" i="13"/>
  <c r="AF65" i="13" s="1"/>
  <c r="AD65" i="13"/>
  <c r="AC65" i="13"/>
  <c r="AH65" i="13" s="1"/>
  <c r="AU64" i="13"/>
  <c r="AA64" i="13"/>
  <c r="AQ64" i="13" s="1"/>
  <c r="AN64" i="13"/>
  <c r="AS64" i="13" s="1"/>
  <c r="AV64" i="13" s="1"/>
  <c r="AG64" i="13"/>
  <c r="AE64" i="13"/>
  <c r="AF64" i="13" s="1"/>
  <c r="AD64" i="13"/>
  <c r="AC64" i="13"/>
  <c r="AN16" i="2"/>
  <c r="AN7" i="2"/>
  <c r="AN8" i="2"/>
  <c r="AN9" i="2"/>
  <c r="AN10" i="2"/>
  <c r="AN11" i="2"/>
  <c r="AN12" i="2"/>
  <c r="AN13" i="2"/>
  <c r="AN14" i="2"/>
  <c r="AN15" i="2"/>
  <c r="AK16" i="2"/>
  <c r="AK7" i="2"/>
  <c r="AK8" i="2"/>
  <c r="AK9" i="2"/>
  <c r="AK10" i="2"/>
  <c r="AK11" i="2"/>
  <c r="AK12" i="2"/>
  <c r="AK13" i="2"/>
  <c r="AK14" i="2"/>
  <c r="AK15" i="2"/>
  <c r="AK17" i="2"/>
  <c r="AH16" i="2"/>
  <c r="AH7" i="2"/>
  <c r="AH8" i="2"/>
  <c r="AH9" i="2"/>
  <c r="AH10" i="2"/>
  <c r="AH11" i="2"/>
  <c r="AH12" i="2"/>
  <c r="AH13" i="2"/>
  <c r="AH14" i="2"/>
  <c r="AH15" i="2"/>
  <c r="AE16" i="2"/>
  <c r="AE7" i="2"/>
  <c r="AE8" i="2"/>
  <c r="AE9" i="2"/>
  <c r="AE10" i="2"/>
  <c r="AE11" i="2"/>
  <c r="AE12" i="2"/>
  <c r="AE13" i="2"/>
  <c r="AE14" i="2"/>
  <c r="AE15" i="2"/>
  <c r="AB16" i="2"/>
  <c r="AB7" i="2"/>
  <c r="AB8" i="2"/>
  <c r="AB9" i="2"/>
  <c r="AB10" i="2"/>
  <c r="AB11" i="2"/>
  <c r="AB12" i="2"/>
  <c r="AB13" i="2"/>
  <c r="AB14" i="2"/>
  <c r="AB15" i="2"/>
  <c r="AB17" i="2" s="1"/>
  <c r="BT10" i="36" s="1"/>
  <c r="EM10" i="36" s="1"/>
  <c r="Y16" i="2"/>
  <c r="Y7" i="2"/>
  <c r="Y17" i="2" s="1"/>
  <c r="BJ10" i="36" s="1"/>
  <c r="EL10" i="36" s="1"/>
  <c r="Y8" i="2"/>
  <c r="Y9" i="2"/>
  <c r="Y10" i="2"/>
  <c r="Y11" i="2"/>
  <c r="Y12" i="2"/>
  <c r="Y13" i="2"/>
  <c r="Y14" i="2"/>
  <c r="Y15" i="2"/>
  <c r="V16" i="2"/>
  <c r="V7" i="2"/>
  <c r="V8" i="2"/>
  <c r="V9" i="2"/>
  <c r="V10" i="2"/>
  <c r="V11" i="2"/>
  <c r="V12" i="2"/>
  <c r="V13" i="2"/>
  <c r="V14" i="2"/>
  <c r="V15" i="2"/>
  <c r="S16" i="2"/>
  <c r="S7" i="2"/>
  <c r="S8" i="2"/>
  <c r="S9" i="2"/>
  <c r="S10" i="2"/>
  <c r="S11" i="2"/>
  <c r="S12" i="2"/>
  <c r="S13" i="2"/>
  <c r="S14" i="2"/>
  <c r="S15" i="2"/>
  <c r="S17" i="2"/>
  <c r="P16" i="2"/>
  <c r="P7" i="2"/>
  <c r="P8" i="2"/>
  <c r="P9" i="2"/>
  <c r="P10" i="2"/>
  <c r="P17" i="2" s="1"/>
  <c r="P11" i="2"/>
  <c r="P12" i="2"/>
  <c r="P13" i="2"/>
  <c r="P14" i="2"/>
  <c r="P15" i="2"/>
  <c r="M16" i="2"/>
  <c r="M7" i="2"/>
  <c r="M8" i="2"/>
  <c r="M9" i="2"/>
  <c r="M10" i="2"/>
  <c r="M11" i="2"/>
  <c r="M12" i="2"/>
  <c r="M13" i="2"/>
  <c r="M14" i="2"/>
  <c r="M15" i="2"/>
  <c r="J16" i="2"/>
  <c r="J7" i="2"/>
  <c r="J8" i="2"/>
  <c r="J9" i="2"/>
  <c r="J10" i="2"/>
  <c r="J11" i="2"/>
  <c r="J12" i="2"/>
  <c r="J17" i="2" s="1"/>
  <c r="J13" i="2"/>
  <c r="J14" i="2"/>
  <c r="J15" i="2"/>
  <c r="G16" i="2"/>
  <c r="G7" i="2"/>
  <c r="G8" i="2"/>
  <c r="G9" i="2"/>
  <c r="G10" i="2"/>
  <c r="G11" i="2"/>
  <c r="G12" i="2"/>
  <c r="G17" i="2" s="1"/>
  <c r="B10" i="36" s="1"/>
  <c r="EF10" i="36" s="1"/>
  <c r="G13" i="2"/>
  <c r="G14" i="2"/>
  <c r="G15" i="2"/>
  <c r="O43" i="51"/>
  <c r="M43" i="51"/>
  <c r="M22" i="51"/>
  <c r="XFC38" i="51"/>
  <c r="XFA38" i="51"/>
  <c r="XEM38" i="51"/>
  <c r="XEK38" i="51"/>
  <c r="XDW38" i="51"/>
  <c r="XDU38" i="51"/>
  <c r="XDG38" i="51"/>
  <c r="XDE38" i="51"/>
  <c r="XCQ38" i="51"/>
  <c r="XCO38" i="51"/>
  <c r="XCA38" i="51"/>
  <c r="XBY38" i="51"/>
  <c r="XBK38" i="51"/>
  <c r="XBI38" i="51"/>
  <c r="XAU38" i="51"/>
  <c r="XAS38" i="51"/>
  <c r="XAE38" i="51"/>
  <c r="XAC38" i="51"/>
  <c r="WZO38" i="51"/>
  <c r="WZM38" i="51"/>
  <c r="WYY38" i="51"/>
  <c r="WYW38" i="51"/>
  <c r="WYI38" i="51"/>
  <c r="WYG38" i="51"/>
  <c r="WXS38" i="51"/>
  <c r="WXQ38" i="51"/>
  <c r="WXC38" i="51"/>
  <c r="WXA38" i="51"/>
  <c r="WWM38" i="51"/>
  <c r="WWK38" i="51"/>
  <c r="WVW38" i="51"/>
  <c r="WVU38" i="51"/>
  <c r="WVG38" i="51"/>
  <c r="WVE38" i="51"/>
  <c r="WUQ38" i="51"/>
  <c r="WUO38" i="51"/>
  <c r="WUA38" i="51"/>
  <c r="WTY38" i="51"/>
  <c r="WTK38" i="51"/>
  <c r="WTI38" i="51"/>
  <c r="WSU38" i="51"/>
  <c r="WSS38" i="51"/>
  <c r="WSE38" i="51"/>
  <c r="WSC38" i="51"/>
  <c r="WRO38" i="51"/>
  <c r="WRM38" i="51"/>
  <c r="WQY38" i="51"/>
  <c r="WQW38" i="51"/>
  <c r="WQI38" i="51"/>
  <c r="WQG38" i="51"/>
  <c r="WPS38" i="51"/>
  <c r="WPQ38" i="51"/>
  <c r="WPC38" i="51"/>
  <c r="WPA38" i="51"/>
  <c r="WOM38" i="51"/>
  <c r="WOK38" i="51"/>
  <c r="WNW38" i="51"/>
  <c r="WNU38" i="51"/>
  <c r="WNG38" i="51"/>
  <c r="WNE38" i="51"/>
  <c r="WMQ38" i="51"/>
  <c r="WMO38" i="51"/>
  <c r="WMA38" i="51"/>
  <c r="WLY38" i="51"/>
  <c r="WLK38" i="51"/>
  <c r="WLI38" i="51"/>
  <c r="WKU38" i="51"/>
  <c r="WKS38" i="51"/>
  <c r="WKE38" i="51"/>
  <c r="WKC38" i="51"/>
  <c r="WJO38" i="51"/>
  <c r="WJM38" i="51"/>
  <c r="WIY38" i="51"/>
  <c r="WIW38" i="51"/>
  <c r="WII38" i="51"/>
  <c r="WIG38" i="51"/>
  <c r="WHS38" i="51"/>
  <c r="WHQ38" i="51"/>
  <c r="WHC38" i="51"/>
  <c r="WHA38" i="51"/>
  <c r="WGM38" i="51"/>
  <c r="WGK38" i="51"/>
  <c r="WFW38" i="51"/>
  <c r="WFU38" i="51"/>
  <c r="WFG38" i="51"/>
  <c r="WFE38" i="51"/>
  <c r="WEQ38" i="51"/>
  <c r="WEO38" i="51"/>
  <c r="WEA38" i="51"/>
  <c r="WDY38" i="51"/>
  <c r="WDK38" i="51"/>
  <c r="WDI38" i="51"/>
  <c r="WCU38" i="51"/>
  <c r="WCS38" i="51"/>
  <c r="WCE38" i="51"/>
  <c r="WCC38" i="51"/>
  <c r="WBO38" i="51"/>
  <c r="WBM38" i="51"/>
  <c r="WAY38" i="51"/>
  <c r="WAW38" i="51"/>
  <c r="WAI38" i="51"/>
  <c r="WAG38" i="51"/>
  <c r="VZS38" i="51"/>
  <c r="VZQ38" i="51"/>
  <c r="VZC38" i="51"/>
  <c r="VZA38" i="51"/>
  <c r="VYM38" i="51"/>
  <c r="VYK38" i="51"/>
  <c r="VXW38" i="51"/>
  <c r="VXU38" i="51"/>
  <c r="VXG38" i="51"/>
  <c r="VXE38" i="51"/>
  <c r="VWQ38" i="51"/>
  <c r="VWO38" i="51"/>
  <c r="VWA38" i="51"/>
  <c r="VVY38" i="51"/>
  <c r="VVK38" i="51"/>
  <c r="VVI38" i="51"/>
  <c r="VUU38" i="51"/>
  <c r="VUS38" i="51"/>
  <c r="VUE38" i="51"/>
  <c r="VUC38" i="51"/>
  <c r="VTO38" i="51"/>
  <c r="VTM38" i="51"/>
  <c r="VSY38" i="51"/>
  <c r="VSW38" i="51"/>
  <c r="VSI38" i="51"/>
  <c r="VSG38" i="51"/>
  <c r="VRS38" i="51"/>
  <c r="VRQ38" i="51"/>
  <c r="VRC38" i="51"/>
  <c r="VRA38" i="51"/>
  <c r="VQM38" i="51"/>
  <c r="VQK38" i="51"/>
  <c r="VPW38" i="51"/>
  <c r="VPU38" i="51"/>
  <c r="VPG38" i="51"/>
  <c r="VPE38" i="51"/>
  <c r="VOQ38" i="51"/>
  <c r="VOO38" i="51"/>
  <c r="VOA38" i="51"/>
  <c r="VNY38" i="51"/>
  <c r="VNK38" i="51"/>
  <c r="VNI38" i="51"/>
  <c r="VMU38" i="51"/>
  <c r="VMS38" i="51"/>
  <c r="VME38" i="51"/>
  <c r="VMC38" i="51"/>
  <c r="VLO38" i="51"/>
  <c r="VLM38" i="51"/>
  <c r="VKY38" i="51"/>
  <c r="VKW38" i="51"/>
  <c r="VKI38" i="51"/>
  <c r="VKG38" i="51"/>
  <c r="VJS38" i="51"/>
  <c r="VJQ38" i="51"/>
  <c r="VJC38" i="51"/>
  <c r="VJA38" i="51"/>
  <c r="VIM38" i="51"/>
  <c r="VIK38" i="51"/>
  <c r="VHW38" i="51"/>
  <c r="VHU38" i="51"/>
  <c r="VHG38" i="51"/>
  <c r="VHE38" i="51"/>
  <c r="VGQ38" i="51"/>
  <c r="VGO38" i="51"/>
  <c r="VGA38" i="51"/>
  <c r="VFY38" i="51"/>
  <c r="VFK38" i="51"/>
  <c r="VFI38" i="51"/>
  <c r="VEU38" i="51"/>
  <c r="VES38" i="51"/>
  <c r="VEE38" i="51"/>
  <c r="VEC38" i="51"/>
  <c r="VDO38" i="51"/>
  <c r="VDM38" i="51"/>
  <c r="VCY38" i="51"/>
  <c r="VCW38" i="51"/>
  <c r="VCI38" i="51"/>
  <c r="VCG38" i="51"/>
  <c r="VBS38" i="51"/>
  <c r="VBQ38" i="51"/>
  <c r="VBC38" i="51"/>
  <c r="VBA38" i="51"/>
  <c r="VAM38" i="51"/>
  <c r="VAK38" i="51"/>
  <c r="UZW38" i="51"/>
  <c r="UZU38" i="51"/>
  <c r="UZG38" i="51"/>
  <c r="UZE38" i="51"/>
  <c r="UYQ38" i="51"/>
  <c r="UYO38" i="51"/>
  <c r="UYA38" i="51"/>
  <c r="UXY38" i="51"/>
  <c r="UXK38" i="51"/>
  <c r="UXI38" i="51"/>
  <c r="UWU38" i="51"/>
  <c r="UWS38" i="51"/>
  <c r="UWE38" i="51"/>
  <c r="UWC38" i="51"/>
  <c r="UVO38" i="51"/>
  <c r="UVM38" i="51"/>
  <c r="UUY38" i="51"/>
  <c r="UUW38" i="51"/>
  <c r="UUI38" i="51"/>
  <c r="UUG38" i="51"/>
  <c r="UTS38" i="51"/>
  <c r="UTQ38" i="51"/>
  <c r="UTC38" i="51"/>
  <c r="UTA38" i="51"/>
  <c r="USM38" i="51"/>
  <c r="USK38" i="51"/>
  <c r="URW38" i="51"/>
  <c r="URU38" i="51"/>
  <c r="URG38" i="51"/>
  <c r="URE38" i="51"/>
  <c r="UQQ38" i="51"/>
  <c r="UQO38" i="51"/>
  <c r="UQA38" i="51"/>
  <c r="UPY38" i="51"/>
  <c r="UPK38" i="51"/>
  <c r="UPI38" i="51"/>
  <c r="UOU38" i="51"/>
  <c r="UOS38" i="51"/>
  <c r="UOE38" i="51"/>
  <c r="UOC38" i="51"/>
  <c r="UNO38" i="51"/>
  <c r="UNM38" i="51"/>
  <c r="UMY38" i="51"/>
  <c r="UMW38" i="51"/>
  <c r="UMI38" i="51"/>
  <c r="UMG38" i="51"/>
  <c r="ULS38" i="51"/>
  <c r="ULQ38" i="51"/>
  <c r="ULC38" i="51"/>
  <c r="ULA38" i="51"/>
  <c r="UKM38" i="51"/>
  <c r="UKK38" i="51"/>
  <c r="UJW38" i="51"/>
  <c r="UJU38" i="51"/>
  <c r="UJG38" i="51"/>
  <c r="UJE38" i="51"/>
  <c r="UIQ38" i="51"/>
  <c r="UIO38" i="51"/>
  <c r="UIA38" i="51"/>
  <c r="UHY38" i="51"/>
  <c r="UHK38" i="51"/>
  <c r="UHI38" i="51"/>
  <c r="UGU38" i="51"/>
  <c r="UGS38" i="51"/>
  <c r="UGE38" i="51"/>
  <c r="UGC38" i="51"/>
  <c r="UFO38" i="51"/>
  <c r="UFM38" i="51"/>
  <c r="UEY38" i="51"/>
  <c r="UEW38" i="51"/>
  <c r="UEI38" i="51"/>
  <c r="UEG38" i="51"/>
  <c r="UDS38" i="51"/>
  <c r="UDQ38" i="51"/>
  <c r="UDC38" i="51"/>
  <c r="UDA38" i="51"/>
  <c r="UCM38" i="51"/>
  <c r="UCK38" i="51"/>
  <c r="UBW38" i="51"/>
  <c r="UBU38" i="51"/>
  <c r="UBG38" i="51"/>
  <c r="UBE38" i="51"/>
  <c r="UAQ38" i="51"/>
  <c r="UAO38" i="51"/>
  <c r="UAA38" i="51"/>
  <c r="TZY38" i="51"/>
  <c r="TZK38" i="51"/>
  <c r="TZI38" i="51"/>
  <c r="TYU38" i="51"/>
  <c r="TYS38" i="51"/>
  <c r="TYE38" i="51"/>
  <c r="TYC38" i="51"/>
  <c r="TXO38" i="51"/>
  <c r="TXM38" i="51"/>
  <c r="TWY38" i="51"/>
  <c r="TWW38" i="51"/>
  <c r="TWI38" i="51"/>
  <c r="TWG38" i="51"/>
  <c r="TVS38" i="51"/>
  <c r="TVQ38" i="51"/>
  <c r="TVC38" i="51"/>
  <c r="TVA38" i="51"/>
  <c r="TUM38" i="51"/>
  <c r="TUK38" i="51"/>
  <c r="TTW38" i="51"/>
  <c r="TTU38" i="51"/>
  <c r="TTG38" i="51"/>
  <c r="TTE38" i="51"/>
  <c r="TSQ38" i="51"/>
  <c r="TSO38" i="51"/>
  <c r="TSA38" i="51"/>
  <c r="TRY38" i="51"/>
  <c r="TRK38" i="51"/>
  <c r="TRI38" i="51"/>
  <c r="TQU38" i="51"/>
  <c r="TQS38" i="51"/>
  <c r="TQE38" i="51"/>
  <c r="TQC38" i="51"/>
  <c r="TPO38" i="51"/>
  <c r="TPM38" i="51"/>
  <c r="TOY38" i="51"/>
  <c r="TOW38" i="51"/>
  <c r="TOI38" i="51"/>
  <c r="TOG38" i="51"/>
  <c r="TNS38" i="51"/>
  <c r="TNQ38" i="51"/>
  <c r="TNC38" i="51"/>
  <c r="TNA38" i="51"/>
  <c r="TMM38" i="51"/>
  <c r="TMK38" i="51"/>
  <c r="TLW38" i="51"/>
  <c r="TLU38" i="51"/>
  <c r="TLG38" i="51"/>
  <c r="TLE38" i="51"/>
  <c r="TKQ38" i="51"/>
  <c r="TKO38" i="51"/>
  <c r="TKA38" i="51"/>
  <c r="TJY38" i="51"/>
  <c r="TJK38" i="51"/>
  <c r="TJI38" i="51"/>
  <c r="TIU38" i="51"/>
  <c r="TIS38" i="51"/>
  <c r="TIE38" i="51"/>
  <c r="TIC38" i="51"/>
  <c r="THO38" i="51"/>
  <c r="THM38" i="51"/>
  <c r="TGY38" i="51"/>
  <c r="TGW38" i="51"/>
  <c r="TGI38" i="51"/>
  <c r="TGG38" i="51"/>
  <c r="TFS38" i="51"/>
  <c r="TFQ38" i="51"/>
  <c r="TFC38" i="51"/>
  <c r="TFA38" i="51"/>
  <c r="TEM38" i="51"/>
  <c r="TEK38" i="51"/>
  <c r="TDW38" i="51"/>
  <c r="TDU38" i="51"/>
  <c r="TDG38" i="51"/>
  <c r="TDE38" i="51"/>
  <c r="TCQ38" i="51"/>
  <c r="TCO38" i="51"/>
  <c r="TCA38" i="51"/>
  <c r="TBY38" i="51"/>
  <c r="TBK38" i="51"/>
  <c r="TBI38" i="51"/>
  <c r="TAU38" i="51"/>
  <c r="TAS38" i="51"/>
  <c r="TAE38" i="51"/>
  <c r="TAC38" i="51"/>
  <c r="SZO38" i="51"/>
  <c r="SZM38" i="51"/>
  <c r="SYY38" i="51"/>
  <c r="SYW38" i="51"/>
  <c r="SYI38" i="51"/>
  <c r="SYG38" i="51"/>
  <c r="SXS38" i="51"/>
  <c r="SXQ38" i="51"/>
  <c r="SXC38" i="51"/>
  <c r="SXA38" i="51"/>
  <c r="SWM38" i="51"/>
  <c r="SWK38" i="51"/>
  <c r="SVW38" i="51"/>
  <c r="SVU38" i="51"/>
  <c r="SVG38" i="51"/>
  <c r="SVE38" i="51"/>
  <c r="SUQ38" i="51"/>
  <c r="SUO38" i="51"/>
  <c r="SUA38" i="51"/>
  <c r="STY38" i="51"/>
  <c r="STK38" i="51"/>
  <c r="STI38" i="51"/>
  <c r="SSU38" i="51"/>
  <c r="SSS38" i="51"/>
  <c r="SSE38" i="51"/>
  <c r="SSC38" i="51"/>
  <c r="SRO38" i="51"/>
  <c r="SRM38" i="51"/>
  <c r="SQY38" i="51"/>
  <c r="SQW38" i="51"/>
  <c r="SQI38" i="51"/>
  <c r="SQG38" i="51"/>
  <c r="SPS38" i="51"/>
  <c r="SPQ38" i="51"/>
  <c r="SPC38" i="51"/>
  <c r="SPA38" i="51"/>
  <c r="SOM38" i="51"/>
  <c r="SOK38" i="51"/>
  <c r="SNW38" i="51"/>
  <c r="SNU38" i="51"/>
  <c r="SNG38" i="51"/>
  <c r="SNE38" i="51"/>
  <c r="SMQ38" i="51"/>
  <c r="SMO38" i="51"/>
  <c r="SMA38" i="51"/>
  <c r="SLY38" i="51"/>
  <c r="SLK38" i="51"/>
  <c r="SLI38" i="51"/>
  <c r="SKU38" i="51"/>
  <c r="SKS38" i="51"/>
  <c r="SKE38" i="51"/>
  <c r="SKC38" i="51"/>
  <c r="SJO38" i="51"/>
  <c r="SJM38" i="51"/>
  <c r="SIY38" i="51"/>
  <c r="SIW38" i="51"/>
  <c r="SII38" i="51"/>
  <c r="SIG38" i="51"/>
  <c r="SHS38" i="51"/>
  <c r="SHQ38" i="51"/>
  <c r="SHC38" i="51"/>
  <c r="SHA38" i="51"/>
  <c r="SGM38" i="51"/>
  <c r="SGK38" i="51"/>
  <c r="SFW38" i="51"/>
  <c r="SFU38" i="51"/>
  <c r="SFG38" i="51"/>
  <c r="SFE38" i="51"/>
  <c r="SEQ38" i="51"/>
  <c r="SEO38" i="51"/>
  <c r="SEA38" i="51"/>
  <c r="SDY38" i="51"/>
  <c r="SDK38" i="51"/>
  <c r="SDI38" i="51"/>
  <c r="SCU38" i="51"/>
  <c r="SCS38" i="51"/>
  <c r="SCE38" i="51"/>
  <c r="SCC38" i="51"/>
  <c r="SBO38" i="51"/>
  <c r="SBM38" i="51"/>
  <c r="SAY38" i="51"/>
  <c r="SAW38" i="51"/>
  <c r="SAI38" i="51"/>
  <c r="SAG38" i="51"/>
  <c r="RZS38" i="51"/>
  <c r="RZQ38" i="51"/>
  <c r="RZC38" i="51"/>
  <c r="RZA38" i="51"/>
  <c r="RYM38" i="51"/>
  <c r="RYK38" i="51"/>
  <c r="RXW38" i="51"/>
  <c r="RXU38" i="51"/>
  <c r="RXG38" i="51"/>
  <c r="RXE38" i="51"/>
  <c r="RWQ38" i="51"/>
  <c r="RWO38" i="51"/>
  <c r="RWA38" i="51"/>
  <c r="RVY38" i="51"/>
  <c r="RVK38" i="51"/>
  <c r="RVI38" i="51"/>
  <c r="RUU38" i="51"/>
  <c r="RUS38" i="51"/>
  <c r="RUE38" i="51"/>
  <c r="RUC38" i="51"/>
  <c r="RTO38" i="51"/>
  <c r="RTM38" i="51"/>
  <c r="RSY38" i="51"/>
  <c r="RSW38" i="51"/>
  <c r="RSI38" i="51"/>
  <c r="RSG38" i="51"/>
  <c r="RRS38" i="51"/>
  <c r="RRQ38" i="51"/>
  <c r="RRC38" i="51"/>
  <c r="RRA38" i="51"/>
  <c r="RQM38" i="51"/>
  <c r="RQK38" i="51"/>
  <c r="RPW38" i="51"/>
  <c r="RPU38" i="51"/>
  <c r="RPG38" i="51"/>
  <c r="RPE38" i="51"/>
  <c r="ROQ38" i="51"/>
  <c r="ROO38" i="51"/>
  <c r="ROA38" i="51"/>
  <c r="RNY38" i="51"/>
  <c r="RNK38" i="51"/>
  <c r="RNI38" i="51"/>
  <c r="RMU38" i="51"/>
  <c r="RMS38" i="51"/>
  <c r="RME38" i="51"/>
  <c r="RMC38" i="51"/>
  <c r="RLO38" i="51"/>
  <c r="RLM38" i="51"/>
  <c r="RKY38" i="51"/>
  <c r="RKW38" i="51"/>
  <c r="RKI38" i="51"/>
  <c r="RKG38" i="51"/>
  <c r="RJS38" i="51"/>
  <c r="RJQ38" i="51"/>
  <c r="RJC38" i="51"/>
  <c r="RJA38" i="51"/>
  <c r="RIM38" i="51"/>
  <c r="RIK38" i="51"/>
  <c r="RHW38" i="51"/>
  <c r="RHU38" i="51"/>
  <c r="RHG38" i="51"/>
  <c r="RHE38" i="51"/>
  <c r="RGQ38" i="51"/>
  <c r="RGO38" i="51"/>
  <c r="RGA38" i="51"/>
  <c r="RFY38" i="51"/>
  <c r="RFK38" i="51"/>
  <c r="RFI38" i="51"/>
  <c r="REU38" i="51"/>
  <c r="RES38" i="51"/>
  <c r="REE38" i="51"/>
  <c r="REC38" i="51"/>
  <c r="RDO38" i="51"/>
  <c r="RDM38" i="51"/>
  <c r="RCY38" i="51"/>
  <c r="RCW38" i="51"/>
  <c r="RCI38" i="51"/>
  <c r="RCG38" i="51"/>
  <c r="RBS38" i="51"/>
  <c r="RBQ38" i="51"/>
  <c r="RBC38" i="51"/>
  <c r="RBA38" i="51"/>
  <c r="RAM38" i="51"/>
  <c r="RAK38" i="51"/>
  <c r="QZW38" i="51"/>
  <c r="QZU38" i="51"/>
  <c r="QZG38" i="51"/>
  <c r="QZE38" i="51"/>
  <c r="QYQ38" i="51"/>
  <c r="QYO38" i="51"/>
  <c r="QYA38" i="51"/>
  <c r="QXY38" i="51"/>
  <c r="QXK38" i="51"/>
  <c r="QXI38" i="51"/>
  <c r="QWU38" i="51"/>
  <c r="QWS38" i="51"/>
  <c r="QWE38" i="51"/>
  <c r="QWC38" i="51"/>
  <c r="QVO38" i="51"/>
  <c r="QVM38" i="51"/>
  <c r="QUY38" i="51"/>
  <c r="QUW38" i="51"/>
  <c r="QUI38" i="51"/>
  <c r="QUG38" i="51"/>
  <c r="QTS38" i="51"/>
  <c r="QTQ38" i="51"/>
  <c r="QTC38" i="51"/>
  <c r="QTA38" i="51"/>
  <c r="QSM38" i="51"/>
  <c r="QSK38" i="51"/>
  <c r="QRW38" i="51"/>
  <c r="QRU38" i="51"/>
  <c r="QRG38" i="51"/>
  <c r="QRE38" i="51"/>
  <c r="QQQ38" i="51"/>
  <c r="QQO38" i="51"/>
  <c r="QQA38" i="51"/>
  <c r="QPY38" i="51"/>
  <c r="QPK38" i="51"/>
  <c r="QPI38" i="51"/>
  <c r="QOU38" i="51"/>
  <c r="QOS38" i="51"/>
  <c r="QOE38" i="51"/>
  <c r="QOC38" i="51"/>
  <c r="QNO38" i="51"/>
  <c r="QNM38" i="51"/>
  <c r="QMY38" i="51"/>
  <c r="QMW38" i="51"/>
  <c r="QMI38" i="51"/>
  <c r="QMG38" i="51"/>
  <c r="QLS38" i="51"/>
  <c r="QLQ38" i="51"/>
  <c r="QLC38" i="51"/>
  <c r="QLA38" i="51"/>
  <c r="QKM38" i="51"/>
  <c r="QKK38" i="51"/>
  <c r="QJW38" i="51"/>
  <c r="QJU38" i="51"/>
  <c r="QJG38" i="51"/>
  <c r="QJE38" i="51"/>
  <c r="QIQ38" i="51"/>
  <c r="QIO38" i="51"/>
  <c r="QIA38" i="51"/>
  <c r="QHY38" i="51"/>
  <c r="QHK38" i="51"/>
  <c r="QHI38" i="51"/>
  <c r="QGU38" i="51"/>
  <c r="QGS38" i="51"/>
  <c r="QGE38" i="51"/>
  <c r="QGC38" i="51"/>
  <c r="QFO38" i="51"/>
  <c r="QFM38" i="51"/>
  <c r="QEY38" i="51"/>
  <c r="QEW38" i="51"/>
  <c r="QEI38" i="51"/>
  <c r="QEG38" i="51"/>
  <c r="QDS38" i="51"/>
  <c r="QDQ38" i="51"/>
  <c r="QDC38" i="51"/>
  <c r="QDA38" i="51"/>
  <c r="QCM38" i="51"/>
  <c r="QCK38" i="51"/>
  <c r="QBW38" i="51"/>
  <c r="QBU38" i="51"/>
  <c r="QBG38" i="51"/>
  <c r="QBE38" i="51"/>
  <c r="QAQ38" i="51"/>
  <c r="QAO38" i="51"/>
  <c r="QAA38" i="51"/>
  <c r="PZY38" i="51"/>
  <c r="PZK38" i="51"/>
  <c r="PZI38" i="51"/>
  <c r="PYU38" i="51"/>
  <c r="PYS38" i="51"/>
  <c r="PYE38" i="51"/>
  <c r="PYC38" i="51"/>
  <c r="PXO38" i="51"/>
  <c r="PXM38" i="51"/>
  <c r="PWY38" i="51"/>
  <c r="PWW38" i="51"/>
  <c r="PWI38" i="51"/>
  <c r="PWG38" i="51"/>
  <c r="PVS38" i="51"/>
  <c r="PVQ38" i="51"/>
  <c r="PVC38" i="51"/>
  <c r="PVA38" i="51"/>
  <c r="PUM38" i="51"/>
  <c r="PUK38" i="51"/>
  <c r="PTW38" i="51"/>
  <c r="PTU38" i="51"/>
  <c r="PTG38" i="51"/>
  <c r="PTE38" i="51"/>
  <c r="PSQ38" i="51"/>
  <c r="PSO38" i="51"/>
  <c r="PSA38" i="51"/>
  <c r="PRY38" i="51"/>
  <c r="PRK38" i="51"/>
  <c r="PRI38" i="51"/>
  <c r="PQU38" i="51"/>
  <c r="PQS38" i="51"/>
  <c r="PQE38" i="51"/>
  <c r="PQC38" i="51"/>
  <c r="PPO38" i="51"/>
  <c r="PPM38" i="51"/>
  <c r="POY38" i="51"/>
  <c r="POW38" i="51"/>
  <c r="POI38" i="51"/>
  <c r="POG38" i="51"/>
  <c r="PNS38" i="51"/>
  <c r="PNQ38" i="51"/>
  <c r="PNC38" i="51"/>
  <c r="PNA38" i="51"/>
  <c r="PMM38" i="51"/>
  <c r="PMK38" i="51"/>
  <c r="PLW38" i="51"/>
  <c r="PLU38" i="51"/>
  <c r="PLG38" i="51"/>
  <c r="PLE38" i="51"/>
  <c r="PKQ38" i="51"/>
  <c r="PKO38" i="51"/>
  <c r="PKA38" i="51"/>
  <c r="PJY38" i="51"/>
  <c r="PJK38" i="51"/>
  <c r="PJI38" i="51"/>
  <c r="PIU38" i="51"/>
  <c r="PIS38" i="51"/>
  <c r="PIE38" i="51"/>
  <c r="PIC38" i="51"/>
  <c r="PHO38" i="51"/>
  <c r="PHM38" i="51"/>
  <c r="PGY38" i="51"/>
  <c r="PGW38" i="51"/>
  <c r="PGI38" i="51"/>
  <c r="PGG38" i="51"/>
  <c r="PFS38" i="51"/>
  <c r="PFQ38" i="51"/>
  <c r="PFC38" i="51"/>
  <c r="PFA38" i="51"/>
  <c r="PEM38" i="51"/>
  <c r="PEK38" i="51"/>
  <c r="PDW38" i="51"/>
  <c r="PDU38" i="51"/>
  <c r="PDG38" i="51"/>
  <c r="PDE38" i="51"/>
  <c r="PCQ38" i="51"/>
  <c r="PCO38" i="51"/>
  <c r="PCA38" i="51"/>
  <c r="PBY38" i="51"/>
  <c r="PBK38" i="51"/>
  <c r="PBI38" i="51"/>
  <c r="PAU38" i="51"/>
  <c r="PAS38" i="51"/>
  <c r="PAE38" i="51"/>
  <c r="PAC38" i="51"/>
  <c r="OZO38" i="51"/>
  <c r="OZM38" i="51"/>
  <c r="OYY38" i="51"/>
  <c r="OYW38" i="51"/>
  <c r="OYI38" i="51"/>
  <c r="OYG38" i="51"/>
  <c r="OXS38" i="51"/>
  <c r="OXQ38" i="51"/>
  <c r="OXC38" i="51"/>
  <c r="OXA38" i="51"/>
  <c r="OWM38" i="51"/>
  <c r="OWK38" i="51"/>
  <c r="OVW38" i="51"/>
  <c r="OVU38" i="51"/>
  <c r="OVG38" i="51"/>
  <c r="OVE38" i="51"/>
  <c r="OUQ38" i="51"/>
  <c r="OUO38" i="51"/>
  <c r="OUA38" i="51"/>
  <c r="OTY38" i="51"/>
  <c r="OTK38" i="51"/>
  <c r="OTI38" i="51"/>
  <c r="OSU38" i="51"/>
  <c r="OSS38" i="51"/>
  <c r="OSE38" i="51"/>
  <c r="OSC38" i="51"/>
  <c r="ORO38" i="51"/>
  <c r="ORM38" i="51"/>
  <c r="OQY38" i="51"/>
  <c r="OQW38" i="51"/>
  <c r="OQI38" i="51"/>
  <c r="OQG38" i="51"/>
  <c r="OPS38" i="51"/>
  <c r="OPQ38" i="51"/>
  <c r="OPC38" i="51"/>
  <c r="OPA38" i="51"/>
  <c r="OOM38" i="51"/>
  <c r="OOK38" i="51"/>
  <c r="ONW38" i="51"/>
  <c r="ONU38" i="51"/>
  <c r="ONG38" i="51"/>
  <c r="ONE38" i="51"/>
  <c r="OMQ38" i="51"/>
  <c r="OMO38" i="51"/>
  <c r="OMA38" i="51"/>
  <c r="OLY38" i="51"/>
  <c r="OLK38" i="51"/>
  <c r="OLI38" i="51"/>
  <c r="OKU38" i="51"/>
  <c r="OKS38" i="51"/>
  <c r="OKE38" i="51"/>
  <c r="OKC38" i="51"/>
  <c r="OJO38" i="51"/>
  <c r="OJM38" i="51"/>
  <c r="OIY38" i="51"/>
  <c r="OIW38" i="51"/>
  <c r="OII38" i="51"/>
  <c r="OIG38" i="51"/>
  <c r="OHS38" i="51"/>
  <c r="OHQ38" i="51"/>
  <c r="OHC38" i="51"/>
  <c r="OHA38" i="51"/>
  <c r="OGM38" i="51"/>
  <c r="OGK38" i="51"/>
  <c r="OFW38" i="51"/>
  <c r="OFU38" i="51"/>
  <c r="OFG38" i="51"/>
  <c r="OFE38" i="51"/>
  <c r="OEQ38" i="51"/>
  <c r="OEO38" i="51"/>
  <c r="OEA38" i="51"/>
  <c r="ODY38" i="51"/>
  <c r="ODK38" i="51"/>
  <c r="ODI38" i="51"/>
  <c r="OCU38" i="51"/>
  <c r="OCS38" i="51"/>
  <c r="OCE38" i="51"/>
  <c r="OCC38" i="51"/>
  <c r="OBO38" i="51"/>
  <c r="OBM38" i="51"/>
  <c r="OAY38" i="51"/>
  <c r="OAW38" i="51"/>
  <c r="OAI38" i="51"/>
  <c r="OAG38" i="51"/>
  <c r="NZS38" i="51"/>
  <c r="NZQ38" i="51"/>
  <c r="NZC38" i="51"/>
  <c r="NZA38" i="51"/>
  <c r="NYM38" i="51"/>
  <c r="NYK38" i="51"/>
  <c r="NXW38" i="51"/>
  <c r="NXU38" i="51"/>
  <c r="NXG38" i="51"/>
  <c r="NXE38" i="51"/>
  <c r="NWQ38" i="51"/>
  <c r="NWO38" i="51"/>
  <c r="NWA38" i="51"/>
  <c r="NVY38" i="51"/>
  <c r="NVK38" i="51"/>
  <c r="NVI38" i="51"/>
  <c r="NUU38" i="51"/>
  <c r="NUS38" i="51"/>
  <c r="NUE38" i="51"/>
  <c r="NUC38" i="51"/>
  <c r="NTO38" i="51"/>
  <c r="NTM38" i="51"/>
  <c r="NSY38" i="51"/>
  <c r="NSW38" i="51"/>
  <c r="NSI38" i="51"/>
  <c r="NSG38" i="51"/>
  <c r="NRS38" i="51"/>
  <c r="NRQ38" i="51"/>
  <c r="NRC38" i="51"/>
  <c r="NRA38" i="51"/>
  <c r="NQM38" i="51"/>
  <c r="NQK38" i="51"/>
  <c r="NPW38" i="51"/>
  <c r="NPU38" i="51"/>
  <c r="NPG38" i="51"/>
  <c r="NPE38" i="51"/>
  <c r="NOQ38" i="51"/>
  <c r="NOO38" i="51"/>
  <c r="NOA38" i="51"/>
  <c r="NNY38" i="51"/>
  <c r="NNK38" i="51"/>
  <c r="NNI38" i="51"/>
  <c r="NMU38" i="51"/>
  <c r="NMS38" i="51"/>
  <c r="NME38" i="51"/>
  <c r="NMC38" i="51"/>
  <c r="NLO38" i="51"/>
  <c r="NLM38" i="51"/>
  <c r="NKY38" i="51"/>
  <c r="NKW38" i="51"/>
  <c r="NKI38" i="51"/>
  <c r="NKG38" i="51"/>
  <c r="NJS38" i="51"/>
  <c r="NJQ38" i="51"/>
  <c r="NJC38" i="51"/>
  <c r="NJA38" i="51"/>
  <c r="NIM38" i="51"/>
  <c r="NIK38" i="51"/>
  <c r="NHW38" i="51"/>
  <c r="NHU38" i="51"/>
  <c r="NHG38" i="51"/>
  <c r="NHE38" i="51"/>
  <c r="NGQ38" i="51"/>
  <c r="NGO38" i="51"/>
  <c r="NGA38" i="51"/>
  <c r="NFY38" i="51"/>
  <c r="NFK38" i="51"/>
  <c r="NFI38" i="51"/>
  <c r="NEU38" i="51"/>
  <c r="NES38" i="51"/>
  <c r="NEE38" i="51"/>
  <c r="NEC38" i="51"/>
  <c r="NDO38" i="51"/>
  <c r="NDM38" i="51"/>
  <c r="NCY38" i="51"/>
  <c r="NCW38" i="51"/>
  <c r="NCI38" i="51"/>
  <c r="NCG38" i="51"/>
  <c r="NBS38" i="51"/>
  <c r="NBQ38" i="51"/>
  <c r="NBC38" i="51"/>
  <c r="NBA38" i="51"/>
  <c r="NAM38" i="51"/>
  <c r="NAK38" i="51"/>
  <c r="MZW38" i="51"/>
  <c r="MZU38" i="51"/>
  <c r="MZG38" i="51"/>
  <c r="MZE38" i="51"/>
  <c r="MYQ38" i="51"/>
  <c r="MYO38" i="51"/>
  <c r="MYA38" i="51"/>
  <c r="MXY38" i="51"/>
  <c r="MXK38" i="51"/>
  <c r="MXI38" i="51"/>
  <c r="MWU38" i="51"/>
  <c r="MWS38" i="51"/>
  <c r="MWE38" i="51"/>
  <c r="MWC38" i="51"/>
  <c r="MVO38" i="51"/>
  <c r="MVM38" i="51"/>
  <c r="MUY38" i="51"/>
  <c r="MUW38" i="51"/>
  <c r="MUI38" i="51"/>
  <c r="MUG38" i="51"/>
  <c r="MTS38" i="51"/>
  <c r="MTQ38" i="51"/>
  <c r="MTC38" i="51"/>
  <c r="MTA38" i="51"/>
  <c r="MSM38" i="51"/>
  <c r="MSK38" i="51"/>
  <c r="MRW38" i="51"/>
  <c r="MRU38" i="51"/>
  <c r="MRG38" i="51"/>
  <c r="MRE38" i="51"/>
  <c r="MQQ38" i="51"/>
  <c r="MQO38" i="51"/>
  <c r="MQA38" i="51"/>
  <c r="MPY38" i="51"/>
  <c r="MPK38" i="51"/>
  <c r="MPI38" i="51"/>
  <c r="MOU38" i="51"/>
  <c r="MOS38" i="51"/>
  <c r="MOE38" i="51"/>
  <c r="MOC38" i="51"/>
  <c r="MNO38" i="51"/>
  <c r="MNM38" i="51"/>
  <c r="MMY38" i="51"/>
  <c r="MMW38" i="51"/>
  <c r="MMI38" i="51"/>
  <c r="MMG38" i="51"/>
  <c r="MLS38" i="51"/>
  <c r="MLQ38" i="51"/>
  <c r="MLC38" i="51"/>
  <c r="MLA38" i="51"/>
  <c r="MKM38" i="51"/>
  <c r="MKK38" i="51"/>
  <c r="MJW38" i="51"/>
  <c r="MJU38" i="51"/>
  <c r="MJG38" i="51"/>
  <c r="MJE38" i="51"/>
  <c r="MIQ38" i="51"/>
  <c r="MIO38" i="51"/>
  <c r="MIA38" i="51"/>
  <c r="MHY38" i="51"/>
  <c r="MHK38" i="51"/>
  <c r="MHI38" i="51"/>
  <c r="MGU38" i="51"/>
  <c r="MGS38" i="51"/>
  <c r="MGE38" i="51"/>
  <c r="MGC38" i="51"/>
  <c r="MFO38" i="51"/>
  <c r="MFM38" i="51"/>
  <c r="MEY38" i="51"/>
  <c r="MEW38" i="51"/>
  <c r="MEI38" i="51"/>
  <c r="MEG38" i="51"/>
  <c r="MDS38" i="51"/>
  <c r="MDQ38" i="51"/>
  <c r="MDC38" i="51"/>
  <c r="MDA38" i="51"/>
  <c r="MCM38" i="51"/>
  <c r="MCK38" i="51"/>
  <c r="MBW38" i="51"/>
  <c r="MBU38" i="51"/>
  <c r="MBG38" i="51"/>
  <c r="MBE38" i="51"/>
  <c r="MAQ38" i="51"/>
  <c r="MAO38" i="51"/>
  <c r="MAA38" i="51"/>
  <c r="LZY38" i="51"/>
  <c r="LZK38" i="51"/>
  <c r="LZI38" i="51"/>
  <c r="LYU38" i="51"/>
  <c r="LYS38" i="51"/>
  <c r="LYE38" i="51"/>
  <c r="LYC38" i="51"/>
  <c r="LXO38" i="51"/>
  <c r="LXM38" i="51"/>
  <c r="LWY38" i="51"/>
  <c r="LWW38" i="51"/>
  <c r="LWI38" i="51"/>
  <c r="LWG38" i="51"/>
  <c r="LVS38" i="51"/>
  <c r="LVQ38" i="51"/>
  <c r="LVC38" i="51"/>
  <c r="LVA38" i="51"/>
  <c r="LUM38" i="51"/>
  <c r="LUK38" i="51"/>
  <c r="LTW38" i="51"/>
  <c r="LTU38" i="51"/>
  <c r="LTG38" i="51"/>
  <c r="LTE38" i="51"/>
  <c r="LSQ38" i="51"/>
  <c r="LSO38" i="51"/>
  <c r="LSA38" i="51"/>
  <c r="LRY38" i="51"/>
  <c r="LRK38" i="51"/>
  <c r="LRI38" i="51"/>
  <c r="LQU38" i="51"/>
  <c r="LQS38" i="51"/>
  <c r="LQE38" i="51"/>
  <c r="LQC38" i="51"/>
  <c r="LPO38" i="51"/>
  <c r="LPM38" i="51"/>
  <c r="LOY38" i="51"/>
  <c r="LOW38" i="51"/>
  <c r="LOI38" i="51"/>
  <c r="LOG38" i="51"/>
  <c r="LNS38" i="51"/>
  <c r="LNQ38" i="51"/>
  <c r="LNC38" i="51"/>
  <c r="LNA38" i="51"/>
  <c r="LMM38" i="51"/>
  <c r="LMK38" i="51"/>
  <c r="LLW38" i="51"/>
  <c r="LLU38" i="51"/>
  <c r="LLG38" i="51"/>
  <c r="LLE38" i="51"/>
  <c r="LKQ38" i="51"/>
  <c r="LKO38" i="51"/>
  <c r="LKA38" i="51"/>
  <c r="LJY38" i="51"/>
  <c r="LJK38" i="51"/>
  <c r="LJI38" i="51"/>
  <c r="LIU38" i="51"/>
  <c r="LIS38" i="51"/>
  <c r="LIE38" i="51"/>
  <c r="LIC38" i="51"/>
  <c r="LHO38" i="51"/>
  <c r="LHM38" i="51"/>
  <c r="LGY38" i="51"/>
  <c r="LGW38" i="51"/>
  <c r="LGI38" i="51"/>
  <c r="LGG38" i="51"/>
  <c r="LFS38" i="51"/>
  <c r="LFQ38" i="51"/>
  <c r="LFC38" i="51"/>
  <c r="LFA38" i="51"/>
  <c r="LEM38" i="51"/>
  <c r="LEK38" i="51"/>
  <c r="LDW38" i="51"/>
  <c r="LDU38" i="51"/>
  <c r="LDG38" i="51"/>
  <c r="LDE38" i="51"/>
  <c r="LCQ38" i="51"/>
  <c r="LCO38" i="51"/>
  <c r="LCA38" i="51"/>
  <c r="LBY38" i="51"/>
  <c r="LBK38" i="51"/>
  <c r="LBI38" i="51"/>
  <c r="LAU38" i="51"/>
  <c r="LAS38" i="51"/>
  <c r="LAE38" i="51"/>
  <c r="LAC38" i="51"/>
  <c r="KZO38" i="51"/>
  <c r="KZM38" i="51"/>
  <c r="KYY38" i="51"/>
  <c r="KYW38" i="51"/>
  <c r="KYI38" i="51"/>
  <c r="KYG38" i="51"/>
  <c r="KXS38" i="51"/>
  <c r="KXQ38" i="51"/>
  <c r="KXC38" i="51"/>
  <c r="KXA38" i="51"/>
  <c r="KWM38" i="51"/>
  <c r="KWK38" i="51"/>
  <c r="KVW38" i="51"/>
  <c r="KVU38" i="51"/>
  <c r="KVG38" i="51"/>
  <c r="KVE38" i="51"/>
  <c r="KUQ38" i="51"/>
  <c r="KUO38" i="51"/>
  <c r="KUA38" i="51"/>
  <c r="KTY38" i="51"/>
  <c r="KTK38" i="51"/>
  <c r="KTI38" i="51"/>
  <c r="KSU38" i="51"/>
  <c r="KSS38" i="51"/>
  <c r="KSE38" i="51"/>
  <c r="KSC38" i="51"/>
  <c r="KRO38" i="51"/>
  <c r="KRM38" i="51"/>
  <c r="KQY38" i="51"/>
  <c r="KQW38" i="51"/>
  <c r="KQI38" i="51"/>
  <c r="KQG38" i="51"/>
  <c r="KPS38" i="51"/>
  <c r="KPQ38" i="51"/>
  <c r="KPC38" i="51"/>
  <c r="KPA38" i="51"/>
  <c r="KOM38" i="51"/>
  <c r="KOK38" i="51"/>
  <c r="KNW38" i="51"/>
  <c r="KNU38" i="51"/>
  <c r="KNG38" i="51"/>
  <c r="KNE38" i="51"/>
  <c r="KMQ38" i="51"/>
  <c r="KMO38" i="51"/>
  <c r="KMA38" i="51"/>
  <c r="KLY38" i="51"/>
  <c r="KLK38" i="51"/>
  <c r="KLI38" i="51"/>
  <c r="KKU38" i="51"/>
  <c r="KKS38" i="51"/>
  <c r="KKE38" i="51"/>
  <c r="KKC38" i="51"/>
  <c r="KJO38" i="51"/>
  <c r="KJM38" i="51"/>
  <c r="KIY38" i="51"/>
  <c r="KIW38" i="51"/>
  <c r="KII38" i="51"/>
  <c r="KIG38" i="51"/>
  <c r="KHS38" i="51"/>
  <c r="KHQ38" i="51"/>
  <c r="KHC38" i="51"/>
  <c r="KHA38" i="51"/>
  <c r="KGM38" i="51"/>
  <c r="KGK38" i="51"/>
  <c r="KFW38" i="51"/>
  <c r="KFU38" i="51"/>
  <c r="KFG38" i="51"/>
  <c r="KFE38" i="51"/>
  <c r="KEQ38" i="51"/>
  <c r="KEO38" i="51"/>
  <c r="KEA38" i="51"/>
  <c r="KDY38" i="51"/>
  <c r="KDK38" i="51"/>
  <c r="KDI38" i="51"/>
  <c r="KCU38" i="51"/>
  <c r="KCS38" i="51"/>
  <c r="KCE38" i="51"/>
  <c r="KCC38" i="51"/>
  <c r="KBO38" i="51"/>
  <c r="KBM38" i="51"/>
  <c r="KAY38" i="51"/>
  <c r="KAW38" i="51"/>
  <c r="KAI38" i="51"/>
  <c r="KAG38" i="51"/>
  <c r="JZS38" i="51"/>
  <c r="JZQ38" i="51"/>
  <c r="JZC38" i="51"/>
  <c r="JZA38" i="51"/>
  <c r="JYM38" i="51"/>
  <c r="JYK38" i="51"/>
  <c r="JXW38" i="51"/>
  <c r="JXU38" i="51"/>
  <c r="JXG38" i="51"/>
  <c r="JXE38" i="51"/>
  <c r="JWQ38" i="51"/>
  <c r="JWO38" i="51"/>
  <c r="JWA38" i="51"/>
  <c r="JVY38" i="51"/>
  <c r="JVK38" i="51"/>
  <c r="JVI38" i="51"/>
  <c r="JUU38" i="51"/>
  <c r="JUS38" i="51"/>
  <c r="JUE38" i="51"/>
  <c r="JUC38" i="51"/>
  <c r="JTO38" i="51"/>
  <c r="JTM38" i="51"/>
  <c r="JSY38" i="51"/>
  <c r="JSW38" i="51"/>
  <c r="JSI38" i="51"/>
  <c r="JSG38" i="51"/>
  <c r="JRS38" i="51"/>
  <c r="JRQ38" i="51"/>
  <c r="JRC38" i="51"/>
  <c r="JRA38" i="51"/>
  <c r="JQM38" i="51"/>
  <c r="JQK38" i="51"/>
  <c r="JPW38" i="51"/>
  <c r="JPU38" i="51"/>
  <c r="JPG38" i="51"/>
  <c r="JPE38" i="51"/>
  <c r="JOQ38" i="51"/>
  <c r="JOO38" i="51"/>
  <c r="JOA38" i="51"/>
  <c r="JNY38" i="51"/>
  <c r="JNK38" i="51"/>
  <c r="JNI38" i="51"/>
  <c r="JMU38" i="51"/>
  <c r="JMS38" i="51"/>
  <c r="JME38" i="51"/>
  <c r="JMC38" i="51"/>
  <c r="JLO38" i="51"/>
  <c r="JLM38" i="51"/>
  <c r="JKY38" i="51"/>
  <c r="JKW38" i="51"/>
  <c r="JKI38" i="51"/>
  <c r="JKG38" i="51"/>
  <c r="JJS38" i="51"/>
  <c r="JJQ38" i="51"/>
  <c r="JJC38" i="51"/>
  <c r="JJA38" i="51"/>
  <c r="JIM38" i="51"/>
  <c r="JIK38" i="51"/>
  <c r="JHW38" i="51"/>
  <c r="JHU38" i="51"/>
  <c r="JHG38" i="51"/>
  <c r="JHE38" i="51"/>
  <c r="JGQ38" i="51"/>
  <c r="JGO38" i="51"/>
  <c r="JGA38" i="51"/>
  <c r="JFY38" i="51"/>
  <c r="JFK38" i="51"/>
  <c r="JFI38" i="51"/>
  <c r="JEU38" i="51"/>
  <c r="JES38" i="51"/>
  <c r="JEE38" i="51"/>
  <c r="JEC38" i="51"/>
  <c r="JDO38" i="51"/>
  <c r="JDM38" i="51"/>
  <c r="JCY38" i="51"/>
  <c r="JCW38" i="51"/>
  <c r="JCI38" i="51"/>
  <c r="JCG38" i="51"/>
  <c r="JBS38" i="51"/>
  <c r="JBQ38" i="51"/>
  <c r="JBC38" i="51"/>
  <c r="JBA38" i="51"/>
  <c r="JAM38" i="51"/>
  <c r="JAK38" i="51"/>
  <c r="IZW38" i="51"/>
  <c r="IZU38" i="51"/>
  <c r="IZG38" i="51"/>
  <c r="IZE38" i="51"/>
  <c r="IYQ38" i="51"/>
  <c r="IYO38" i="51"/>
  <c r="IYA38" i="51"/>
  <c r="IXY38" i="51"/>
  <c r="IXK38" i="51"/>
  <c r="IXI38" i="51"/>
  <c r="IWU38" i="51"/>
  <c r="IWS38" i="51"/>
  <c r="IWE38" i="51"/>
  <c r="IWC38" i="51"/>
  <c r="IVO38" i="51"/>
  <c r="IVM38" i="51"/>
  <c r="IUY38" i="51"/>
  <c r="IUW38" i="51"/>
  <c r="IUI38" i="51"/>
  <c r="IUG38" i="51"/>
  <c r="ITS38" i="51"/>
  <c r="ITQ38" i="51"/>
  <c r="ITC38" i="51"/>
  <c r="ITA38" i="51"/>
  <c r="ISM38" i="51"/>
  <c r="ISK38" i="51"/>
  <c r="IRW38" i="51"/>
  <c r="IRU38" i="51"/>
  <c r="IRG38" i="51"/>
  <c r="IRE38" i="51"/>
  <c r="IQQ38" i="51"/>
  <c r="IQO38" i="51"/>
  <c r="IQA38" i="51"/>
  <c r="IPY38" i="51"/>
  <c r="IPK38" i="51"/>
  <c r="IPI38" i="51"/>
  <c r="IOU38" i="51"/>
  <c r="IOS38" i="51"/>
  <c r="IOE38" i="51"/>
  <c r="IOC38" i="51"/>
  <c r="INO38" i="51"/>
  <c r="INM38" i="51"/>
  <c r="IMY38" i="51"/>
  <c r="IMW38" i="51"/>
  <c r="IMI38" i="51"/>
  <c r="IMG38" i="51"/>
  <c r="ILS38" i="51"/>
  <c r="ILQ38" i="51"/>
  <c r="ILC38" i="51"/>
  <c r="ILA38" i="51"/>
  <c r="IKM38" i="51"/>
  <c r="IKK38" i="51"/>
  <c r="IJW38" i="51"/>
  <c r="IJU38" i="51"/>
  <c r="IJG38" i="51"/>
  <c r="IJE38" i="51"/>
  <c r="IIQ38" i="51"/>
  <c r="IIO38" i="51"/>
  <c r="IIA38" i="51"/>
  <c r="IHY38" i="51"/>
  <c r="IHK38" i="51"/>
  <c r="IHI38" i="51"/>
  <c r="IGU38" i="51"/>
  <c r="IGS38" i="51"/>
  <c r="IGE38" i="51"/>
  <c r="IGC38" i="51"/>
  <c r="IFO38" i="51"/>
  <c r="IFM38" i="51"/>
  <c r="IEY38" i="51"/>
  <c r="IEW38" i="51"/>
  <c r="IEI38" i="51"/>
  <c r="IEG38" i="51"/>
  <c r="IDS38" i="51"/>
  <c r="IDQ38" i="51"/>
  <c r="IDC38" i="51"/>
  <c r="IDA38" i="51"/>
  <c r="ICM38" i="51"/>
  <c r="ICK38" i="51"/>
  <c r="IBW38" i="51"/>
  <c r="IBU38" i="51"/>
  <c r="IBG38" i="51"/>
  <c r="IBE38" i="51"/>
  <c r="IAQ38" i="51"/>
  <c r="IAO38" i="51"/>
  <c r="IAA38" i="51"/>
  <c r="HZY38" i="51"/>
  <c r="HZK38" i="51"/>
  <c r="HZI38" i="51"/>
  <c r="HYU38" i="51"/>
  <c r="HYS38" i="51"/>
  <c r="HYE38" i="51"/>
  <c r="HYC38" i="51"/>
  <c r="HXO38" i="51"/>
  <c r="HXM38" i="51"/>
  <c r="HWY38" i="51"/>
  <c r="HWW38" i="51"/>
  <c r="HWI38" i="51"/>
  <c r="HWG38" i="51"/>
  <c r="HVS38" i="51"/>
  <c r="HVQ38" i="51"/>
  <c r="HVC38" i="51"/>
  <c r="HVA38" i="51"/>
  <c r="HUM38" i="51"/>
  <c r="HUK38" i="51"/>
  <c r="HTW38" i="51"/>
  <c r="HTU38" i="51"/>
  <c r="HTG38" i="51"/>
  <c r="HTE38" i="51"/>
  <c r="HSQ38" i="51"/>
  <c r="HSO38" i="51"/>
  <c r="HSA38" i="51"/>
  <c r="HRY38" i="51"/>
  <c r="HRK38" i="51"/>
  <c r="HRI38" i="51"/>
  <c r="HQU38" i="51"/>
  <c r="HQS38" i="51"/>
  <c r="HQE38" i="51"/>
  <c r="HQC38" i="51"/>
  <c r="HPO38" i="51"/>
  <c r="HPM38" i="51"/>
  <c r="HOY38" i="51"/>
  <c r="HOW38" i="51"/>
  <c r="HOI38" i="51"/>
  <c r="HOG38" i="51"/>
  <c r="HNS38" i="51"/>
  <c r="HNQ38" i="51"/>
  <c r="HNC38" i="51"/>
  <c r="HNA38" i="51"/>
  <c r="HMM38" i="51"/>
  <c r="HMK38" i="51"/>
  <c r="HLW38" i="51"/>
  <c r="HLU38" i="51"/>
  <c r="HLG38" i="51"/>
  <c r="HLE38" i="51"/>
  <c r="HKQ38" i="51"/>
  <c r="HKO38" i="51"/>
  <c r="HKA38" i="51"/>
  <c r="HJY38" i="51"/>
  <c r="HJK38" i="51"/>
  <c r="HJI38" i="51"/>
  <c r="HIU38" i="51"/>
  <c r="HIS38" i="51"/>
  <c r="HIE38" i="51"/>
  <c r="HIC38" i="51"/>
  <c r="HHO38" i="51"/>
  <c r="HHM38" i="51"/>
  <c r="HGY38" i="51"/>
  <c r="HGW38" i="51"/>
  <c r="HGI38" i="51"/>
  <c r="HGG38" i="51"/>
  <c r="HFS38" i="51"/>
  <c r="HFQ38" i="51"/>
  <c r="HFC38" i="51"/>
  <c r="HFA38" i="51"/>
  <c r="HEM38" i="51"/>
  <c r="HEK38" i="51"/>
  <c r="HDW38" i="51"/>
  <c r="HDU38" i="51"/>
  <c r="HDG38" i="51"/>
  <c r="HDE38" i="51"/>
  <c r="HCQ38" i="51"/>
  <c r="HCO38" i="51"/>
  <c r="HCA38" i="51"/>
  <c r="HBY38" i="51"/>
  <c r="HBK38" i="51"/>
  <c r="HBI38" i="51"/>
  <c r="HAU38" i="51"/>
  <c r="HAS38" i="51"/>
  <c r="HAE38" i="51"/>
  <c r="HAC38" i="51"/>
  <c r="GZO38" i="51"/>
  <c r="GZM38" i="51"/>
  <c r="GYY38" i="51"/>
  <c r="GYW38" i="51"/>
  <c r="GYI38" i="51"/>
  <c r="GYG38" i="51"/>
  <c r="GXS38" i="51"/>
  <c r="GXQ38" i="51"/>
  <c r="GXC38" i="51"/>
  <c r="GXA38" i="51"/>
  <c r="GWM38" i="51"/>
  <c r="GWK38" i="51"/>
  <c r="GVW38" i="51"/>
  <c r="GVU38" i="51"/>
  <c r="GVG38" i="51"/>
  <c r="GVE38" i="51"/>
  <c r="GUQ38" i="51"/>
  <c r="GUO38" i="51"/>
  <c r="GUA38" i="51"/>
  <c r="GTY38" i="51"/>
  <c r="GTK38" i="51"/>
  <c r="GTI38" i="51"/>
  <c r="GSU38" i="51"/>
  <c r="GSS38" i="51"/>
  <c r="GSE38" i="51"/>
  <c r="GSC38" i="51"/>
  <c r="GRO38" i="51"/>
  <c r="GRM38" i="51"/>
  <c r="GQY38" i="51"/>
  <c r="GQW38" i="51"/>
  <c r="GQI38" i="51"/>
  <c r="GQG38" i="51"/>
  <c r="GPS38" i="51"/>
  <c r="GPQ38" i="51"/>
  <c r="GPC38" i="51"/>
  <c r="GPA38" i="51"/>
  <c r="GOM38" i="51"/>
  <c r="GOK38" i="51"/>
  <c r="GNW38" i="51"/>
  <c r="GNU38" i="51"/>
  <c r="GNG38" i="51"/>
  <c r="GNE38" i="51"/>
  <c r="GMQ38" i="51"/>
  <c r="GMO38" i="51"/>
  <c r="GMA38" i="51"/>
  <c r="GLY38" i="51"/>
  <c r="GLK38" i="51"/>
  <c r="GLI38" i="51"/>
  <c r="GKU38" i="51"/>
  <c r="GKS38" i="51"/>
  <c r="GKE38" i="51"/>
  <c r="GKC38" i="51"/>
  <c r="GJO38" i="51"/>
  <c r="GJM38" i="51"/>
  <c r="GIY38" i="51"/>
  <c r="GIW38" i="51"/>
  <c r="GII38" i="51"/>
  <c r="GIG38" i="51"/>
  <c r="GHS38" i="51"/>
  <c r="GHQ38" i="51"/>
  <c r="GHC38" i="51"/>
  <c r="GHA38" i="51"/>
  <c r="GGM38" i="51"/>
  <c r="GGK38" i="51"/>
  <c r="GFW38" i="51"/>
  <c r="GFU38" i="51"/>
  <c r="GFG38" i="51"/>
  <c r="GFE38" i="51"/>
  <c r="GEQ38" i="51"/>
  <c r="GEO38" i="51"/>
  <c r="GEA38" i="51"/>
  <c r="GDY38" i="51"/>
  <c r="GDK38" i="51"/>
  <c r="GDI38" i="51"/>
  <c r="GCU38" i="51"/>
  <c r="GCS38" i="51"/>
  <c r="GCE38" i="51"/>
  <c r="GCC38" i="51"/>
  <c r="GBO38" i="51"/>
  <c r="GBM38" i="51"/>
  <c r="GAY38" i="51"/>
  <c r="GAW38" i="51"/>
  <c r="GAI38" i="51"/>
  <c r="GAG38" i="51"/>
  <c r="FZS38" i="51"/>
  <c r="FZQ38" i="51"/>
  <c r="FZC38" i="51"/>
  <c r="FZA38" i="51"/>
  <c r="FYM38" i="51"/>
  <c r="FYK38" i="51"/>
  <c r="FXW38" i="51"/>
  <c r="FXU38" i="51"/>
  <c r="FXG38" i="51"/>
  <c r="FXE38" i="51"/>
  <c r="FWQ38" i="51"/>
  <c r="FWO38" i="51"/>
  <c r="FWA38" i="51"/>
  <c r="FVY38" i="51"/>
  <c r="FVK38" i="51"/>
  <c r="FVI38" i="51"/>
  <c r="FUU38" i="51"/>
  <c r="FUS38" i="51"/>
  <c r="FUE38" i="51"/>
  <c r="FUC38" i="51"/>
  <c r="FTO38" i="51"/>
  <c r="FTM38" i="51"/>
  <c r="FSY38" i="51"/>
  <c r="FSW38" i="51"/>
  <c r="FSI38" i="51"/>
  <c r="FSG38" i="51"/>
  <c r="FRS38" i="51"/>
  <c r="FRQ38" i="51"/>
  <c r="FRC38" i="51"/>
  <c r="FRA38" i="51"/>
  <c r="FQM38" i="51"/>
  <c r="FQK38" i="51"/>
  <c r="FPW38" i="51"/>
  <c r="FPU38" i="51"/>
  <c r="FPG38" i="51"/>
  <c r="FPE38" i="51"/>
  <c r="FOQ38" i="51"/>
  <c r="FOO38" i="51"/>
  <c r="FOA38" i="51"/>
  <c r="FNY38" i="51"/>
  <c r="FNK38" i="51"/>
  <c r="FNI38" i="51"/>
  <c r="FMU38" i="51"/>
  <c r="FMS38" i="51"/>
  <c r="FME38" i="51"/>
  <c r="FMC38" i="51"/>
  <c r="FLO38" i="51"/>
  <c r="FLM38" i="51"/>
  <c r="FKY38" i="51"/>
  <c r="FKW38" i="51"/>
  <c r="FKI38" i="51"/>
  <c r="FKG38" i="51"/>
  <c r="FJS38" i="51"/>
  <c r="FJQ38" i="51"/>
  <c r="FJC38" i="51"/>
  <c r="FJA38" i="51"/>
  <c r="FIM38" i="51"/>
  <c r="FIK38" i="51"/>
  <c r="FHW38" i="51"/>
  <c r="FHU38" i="51"/>
  <c r="FHG38" i="51"/>
  <c r="FHE38" i="51"/>
  <c r="FGQ38" i="51"/>
  <c r="FGO38" i="51"/>
  <c r="FGA38" i="51"/>
  <c r="FFY38" i="51"/>
  <c r="FFK38" i="51"/>
  <c r="FFI38" i="51"/>
  <c r="FEU38" i="51"/>
  <c r="FES38" i="51"/>
  <c r="FEE38" i="51"/>
  <c r="FEC38" i="51"/>
  <c r="FDO38" i="51"/>
  <c r="FDM38" i="51"/>
  <c r="FCY38" i="51"/>
  <c r="FCW38" i="51"/>
  <c r="FCI38" i="51"/>
  <c r="FCG38" i="51"/>
  <c r="FBS38" i="51"/>
  <c r="FBQ38" i="51"/>
  <c r="FBC38" i="51"/>
  <c r="FBA38" i="51"/>
  <c r="FAM38" i="51"/>
  <c r="FAK38" i="51"/>
  <c r="EZW38" i="51"/>
  <c r="EZU38" i="51"/>
  <c r="EZG38" i="51"/>
  <c r="EZE38" i="51"/>
  <c r="EYQ38" i="51"/>
  <c r="EYO38" i="51"/>
  <c r="EYA38" i="51"/>
  <c r="EXY38" i="51"/>
  <c r="EXK38" i="51"/>
  <c r="EXI38" i="51"/>
  <c r="EWU38" i="51"/>
  <c r="EWS38" i="51"/>
  <c r="EWE38" i="51"/>
  <c r="EWC38" i="51"/>
  <c r="EVO38" i="51"/>
  <c r="EVM38" i="51"/>
  <c r="EUY38" i="51"/>
  <c r="EUW38" i="51"/>
  <c r="EUI38" i="51"/>
  <c r="EUG38" i="51"/>
  <c r="ETS38" i="51"/>
  <c r="ETQ38" i="51"/>
  <c r="ETC38" i="51"/>
  <c r="ETA38" i="51"/>
  <c r="ESM38" i="51"/>
  <c r="ESK38" i="51"/>
  <c r="ERW38" i="51"/>
  <c r="ERU38" i="51"/>
  <c r="ERG38" i="51"/>
  <c r="ERE38" i="51"/>
  <c r="EQQ38" i="51"/>
  <c r="EQO38" i="51"/>
  <c r="EQA38" i="51"/>
  <c r="EPY38" i="51"/>
  <c r="EPK38" i="51"/>
  <c r="EPI38" i="51"/>
  <c r="EOU38" i="51"/>
  <c r="EOS38" i="51"/>
  <c r="EOE38" i="51"/>
  <c r="EOC38" i="51"/>
  <c r="ENO38" i="51"/>
  <c r="ENM38" i="51"/>
  <c r="EMY38" i="51"/>
  <c r="EMW38" i="51"/>
  <c r="EMI38" i="51"/>
  <c r="EMG38" i="51"/>
  <c r="ELS38" i="51"/>
  <c r="ELQ38" i="51"/>
  <c r="ELC38" i="51"/>
  <c r="ELA38" i="51"/>
  <c r="EKM38" i="51"/>
  <c r="EKK38" i="51"/>
  <c r="EJW38" i="51"/>
  <c r="EJU38" i="51"/>
  <c r="EJG38" i="51"/>
  <c r="EJE38" i="51"/>
  <c r="EIQ38" i="51"/>
  <c r="EIO38" i="51"/>
  <c r="EIA38" i="51"/>
  <c r="EHY38" i="51"/>
  <c r="EHK38" i="51"/>
  <c r="EHI38" i="51"/>
  <c r="EGU38" i="51"/>
  <c r="EGS38" i="51"/>
  <c r="EGE38" i="51"/>
  <c r="EGC38" i="51"/>
  <c r="EFO38" i="51"/>
  <c r="EFM38" i="51"/>
  <c r="EEY38" i="51"/>
  <c r="EEW38" i="51"/>
  <c r="EEI38" i="51"/>
  <c r="EEG38" i="51"/>
  <c r="EDS38" i="51"/>
  <c r="EDQ38" i="51"/>
  <c r="EDC38" i="51"/>
  <c r="EDA38" i="51"/>
  <c r="ECM38" i="51"/>
  <c r="ECK38" i="51"/>
  <c r="EBW38" i="51"/>
  <c r="EBU38" i="51"/>
  <c r="EBG38" i="51"/>
  <c r="EBE38" i="51"/>
  <c r="EAQ38" i="51"/>
  <c r="EAO38" i="51"/>
  <c r="EAA38" i="51"/>
  <c r="DZY38" i="51"/>
  <c r="DZK38" i="51"/>
  <c r="DZI38" i="51"/>
  <c r="DYU38" i="51"/>
  <c r="DYS38" i="51"/>
  <c r="DYE38" i="51"/>
  <c r="DYC38" i="51"/>
  <c r="DXO38" i="51"/>
  <c r="DXM38" i="51"/>
  <c r="DWY38" i="51"/>
  <c r="DWW38" i="51"/>
  <c r="DWI38" i="51"/>
  <c r="DWG38" i="51"/>
  <c r="DVS38" i="51"/>
  <c r="DVQ38" i="51"/>
  <c r="DVC38" i="51"/>
  <c r="DVA38" i="51"/>
  <c r="DUM38" i="51"/>
  <c r="DUK38" i="51"/>
  <c r="DTW38" i="51"/>
  <c r="DTU38" i="51"/>
  <c r="DTG38" i="51"/>
  <c r="DTE38" i="51"/>
  <c r="DSQ38" i="51"/>
  <c r="DSO38" i="51"/>
  <c r="DSA38" i="51"/>
  <c r="DRY38" i="51"/>
  <c r="DRK38" i="51"/>
  <c r="DRI38" i="51"/>
  <c r="DQU38" i="51"/>
  <c r="DQS38" i="51"/>
  <c r="DQE38" i="51"/>
  <c r="DQC38" i="51"/>
  <c r="DPO38" i="51"/>
  <c r="DPM38" i="51"/>
  <c r="DOY38" i="51"/>
  <c r="DOW38" i="51"/>
  <c r="DOI38" i="51"/>
  <c r="DOG38" i="51"/>
  <c r="DNS38" i="51"/>
  <c r="DNQ38" i="51"/>
  <c r="DNC38" i="51"/>
  <c r="DNA38" i="51"/>
  <c r="DMM38" i="51"/>
  <c r="DMK38" i="51"/>
  <c r="DLW38" i="51"/>
  <c r="DLU38" i="51"/>
  <c r="DLG38" i="51"/>
  <c r="DLE38" i="51"/>
  <c r="DKQ38" i="51"/>
  <c r="DKO38" i="51"/>
  <c r="DKA38" i="51"/>
  <c r="DJY38" i="51"/>
  <c r="DJK38" i="51"/>
  <c r="DJI38" i="51"/>
  <c r="DIU38" i="51"/>
  <c r="DIS38" i="51"/>
  <c r="DIE38" i="51"/>
  <c r="DIC38" i="51"/>
  <c r="DHO38" i="51"/>
  <c r="DHM38" i="51"/>
  <c r="DGY38" i="51"/>
  <c r="DGW38" i="51"/>
  <c r="DGI38" i="51"/>
  <c r="DGG38" i="51"/>
  <c r="DFS38" i="51"/>
  <c r="DFQ38" i="51"/>
  <c r="DFC38" i="51"/>
  <c r="DFA38" i="51"/>
  <c r="DEM38" i="51"/>
  <c r="DEK38" i="51"/>
  <c r="DDW38" i="51"/>
  <c r="DDU38" i="51"/>
  <c r="DDG38" i="51"/>
  <c r="DDE38" i="51"/>
  <c r="DCQ38" i="51"/>
  <c r="DCO38" i="51"/>
  <c r="DCA38" i="51"/>
  <c r="DBY38" i="51"/>
  <c r="DBK38" i="51"/>
  <c r="DBI38" i="51"/>
  <c r="DAU38" i="51"/>
  <c r="DAS38" i="51"/>
  <c r="DAE38" i="51"/>
  <c r="DAC38" i="51"/>
  <c r="CZO38" i="51"/>
  <c r="CZM38" i="51"/>
  <c r="CYY38" i="51"/>
  <c r="CYW38" i="51"/>
  <c r="CYI38" i="51"/>
  <c r="CYG38" i="51"/>
  <c r="CXS38" i="51"/>
  <c r="CXQ38" i="51"/>
  <c r="CXC38" i="51"/>
  <c r="CXA38" i="51"/>
  <c r="CWM38" i="51"/>
  <c r="CWK38" i="51"/>
  <c r="CVW38" i="51"/>
  <c r="CVU38" i="51"/>
  <c r="CVG38" i="51"/>
  <c r="CVE38" i="51"/>
  <c r="CUQ38" i="51"/>
  <c r="CUO38" i="51"/>
  <c r="CUA38" i="51"/>
  <c r="CTY38" i="51"/>
  <c r="CTK38" i="51"/>
  <c r="CTI38" i="51"/>
  <c r="CSU38" i="51"/>
  <c r="CSS38" i="51"/>
  <c r="CSE38" i="51"/>
  <c r="CSC38" i="51"/>
  <c r="CRO38" i="51"/>
  <c r="CRM38" i="51"/>
  <c r="CQY38" i="51"/>
  <c r="CQW38" i="51"/>
  <c r="CQI38" i="51"/>
  <c r="CQG38" i="51"/>
  <c r="CPS38" i="51"/>
  <c r="CPQ38" i="51"/>
  <c r="CPC38" i="51"/>
  <c r="CPA38" i="51"/>
  <c r="COM38" i="51"/>
  <c r="COK38" i="51"/>
  <c r="CNW38" i="51"/>
  <c r="CNU38" i="51"/>
  <c r="CNG38" i="51"/>
  <c r="CNE38" i="51"/>
  <c r="CMQ38" i="51"/>
  <c r="CMO38" i="51"/>
  <c r="CMA38" i="51"/>
  <c r="CLY38" i="51"/>
  <c r="CLK38" i="51"/>
  <c r="CLI38" i="51"/>
  <c r="CKU38" i="51"/>
  <c r="CKS38" i="51"/>
  <c r="CKE38" i="51"/>
  <c r="CKC38" i="51"/>
  <c r="CJO38" i="51"/>
  <c r="CJM38" i="51"/>
  <c r="CIY38" i="51"/>
  <c r="CIW38" i="51"/>
  <c r="CII38" i="51"/>
  <c r="CIG38" i="51"/>
  <c r="CHS38" i="51"/>
  <c r="CHQ38" i="51"/>
  <c r="CHC38" i="51"/>
  <c r="CHA38" i="51"/>
  <c r="CGM38" i="51"/>
  <c r="CGK38" i="51"/>
  <c r="CFW38" i="51"/>
  <c r="CFU38" i="51"/>
  <c r="CFG38" i="51"/>
  <c r="CFE38" i="51"/>
  <c r="CEQ38" i="51"/>
  <c r="CEO38" i="51"/>
  <c r="CEA38" i="51"/>
  <c r="CDY38" i="51"/>
  <c r="CDK38" i="51"/>
  <c r="CDI38" i="51"/>
  <c r="CCU38" i="51"/>
  <c r="CCS38" i="51"/>
  <c r="CCE38" i="51"/>
  <c r="CCC38" i="51"/>
  <c r="CBO38" i="51"/>
  <c r="CBM38" i="51"/>
  <c r="CAY38" i="51"/>
  <c r="CAW38" i="51"/>
  <c r="CAI38" i="51"/>
  <c r="CAG38" i="51"/>
  <c r="BZS38" i="51"/>
  <c r="BZQ38" i="51"/>
  <c r="BZC38" i="51"/>
  <c r="BZA38" i="51"/>
  <c r="BYM38" i="51"/>
  <c r="BYK38" i="51"/>
  <c r="BXW38" i="51"/>
  <c r="BXU38" i="51"/>
  <c r="BXG38" i="51"/>
  <c r="BXE38" i="51"/>
  <c r="BWQ38" i="51"/>
  <c r="BWO38" i="51"/>
  <c r="BWA38" i="51"/>
  <c r="BVY38" i="51"/>
  <c r="BVK38" i="51"/>
  <c r="BVI38" i="51"/>
  <c r="BUU38" i="51"/>
  <c r="BUS38" i="51"/>
  <c r="BUE38" i="51"/>
  <c r="BUC38" i="51"/>
  <c r="BTO38" i="51"/>
  <c r="BTM38" i="51"/>
  <c r="BSY38" i="51"/>
  <c r="BSW38" i="51"/>
  <c r="BSI38" i="51"/>
  <c r="BSG38" i="51"/>
  <c r="BRS38" i="51"/>
  <c r="BRQ38" i="51"/>
  <c r="BRC38" i="51"/>
  <c r="BRA38" i="51"/>
  <c r="BQM38" i="51"/>
  <c r="BQK38" i="51"/>
  <c r="BPW38" i="51"/>
  <c r="BPU38" i="51"/>
  <c r="BPG38" i="51"/>
  <c r="BPE38" i="51"/>
  <c r="BOQ38" i="51"/>
  <c r="BOO38" i="51"/>
  <c r="BOA38" i="51"/>
  <c r="BNY38" i="51"/>
  <c r="BNK38" i="51"/>
  <c r="BNI38" i="51"/>
  <c r="BMU38" i="51"/>
  <c r="BMS38" i="51"/>
  <c r="BME38" i="51"/>
  <c r="BMC38" i="51"/>
  <c r="BLO38" i="51"/>
  <c r="BLM38" i="51"/>
  <c r="BKY38" i="51"/>
  <c r="BKW38" i="51"/>
  <c r="BKI38" i="51"/>
  <c r="BKG38" i="51"/>
  <c r="BJS38" i="51"/>
  <c r="BJQ38" i="51"/>
  <c r="BJC38" i="51"/>
  <c r="BJA38" i="51"/>
  <c r="BIM38" i="51"/>
  <c r="BIK38" i="51"/>
  <c r="BHW38" i="51"/>
  <c r="BHU38" i="51"/>
  <c r="BHG38" i="51"/>
  <c r="BHE38" i="51"/>
  <c r="BGQ38" i="51"/>
  <c r="BGO38" i="51"/>
  <c r="BGA38" i="51"/>
  <c r="BFY38" i="51"/>
  <c r="BFK38" i="51"/>
  <c r="BFI38" i="51"/>
  <c r="BEU38" i="51"/>
  <c r="BES38" i="51"/>
  <c r="BEE38" i="51"/>
  <c r="BEC38" i="51"/>
  <c r="BDO38" i="51"/>
  <c r="BDM38" i="51"/>
  <c r="BCY38" i="51"/>
  <c r="BCW38" i="51"/>
  <c r="O38" i="51"/>
  <c r="M38" i="51"/>
  <c r="O33" i="51"/>
  <c r="M33" i="51"/>
  <c r="XFA28" i="51"/>
  <c r="XEK28" i="51"/>
  <c r="XDU28" i="51"/>
  <c r="XDE28" i="51"/>
  <c r="XCO28" i="51"/>
  <c r="XBY28" i="51"/>
  <c r="XBI28" i="51"/>
  <c r="XAS28" i="51"/>
  <c r="XAC28" i="51"/>
  <c r="WZM28" i="51"/>
  <c r="WYW28" i="51"/>
  <c r="WYG28" i="51"/>
  <c r="WXQ28" i="51"/>
  <c r="WXA28" i="51"/>
  <c r="WWK28" i="51"/>
  <c r="WVU28" i="51"/>
  <c r="WVE28" i="51"/>
  <c r="WUO28" i="51"/>
  <c r="WTY28" i="51"/>
  <c r="WTI28" i="51"/>
  <c r="WSS28" i="51"/>
  <c r="WSC28" i="51"/>
  <c r="WRM28" i="51"/>
  <c r="WQW28" i="51"/>
  <c r="WQG28" i="51"/>
  <c r="WPQ28" i="51"/>
  <c r="WPA28" i="51"/>
  <c r="WOK28" i="51"/>
  <c r="WNU28" i="51"/>
  <c r="WNE28" i="51"/>
  <c r="WMO28" i="51"/>
  <c r="WLY28" i="51"/>
  <c r="WLI28" i="51"/>
  <c r="WKS28" i="51"/>
  <c r="WKC28" i="51"/>
  <c r="WJM28" i="51"/>
  <c r="WIW28" i="51"/>
  <c r="WIG28" i="51"/>
  <c r="WHQ28" i="51"/>
  <c r="WHA28" i="51"/>
  <c r="WGK28" i="51"/>
  <c r="WFU28" i="51"/>
  <c r="WFE28" i="51"/>
  <c r="WEO28" i="51"/>
  <c r="WDY28" i="51"/>
  <c r="WDI28" i="51"/>
  <c r="WCS28" i="51"/>
  <c r="WCC28" i="51"/>
  <c r="WBM28" i="51"/>
  <c r="WAW28" i="51"/>
  <c r="WAG28" i="51"/>
  <c r="VZQ28" i="51"/>
  <c r="VZA28" i="51"/>
  <c r="VYK28" i="51"/>
  <c r="VXU28" i="51"/>
  <c r="VXE28" i="51"/>
  <c r="VWO28" i="51"/>
  <c r="VVY28" i="51"/>
  <c r="VVI28" i="51"/>
  <c r="VUS28" i="51"/>
  <c r="VUC28" i="51"/>
  <c r="VTM28" i="51"/>
  <c r="VSW28" i="51"/>
  <c r="VSG28" i="51"/>
  <c r="VRQ28" i="51"/>
  <c r="VRA28" i="51"/>
  <c r="VQK28" i="51"/>
  <c r="VPU28" i="51"/>
  <c r="VPE28" i="51"/>
  <c r="VOO28" i="51"/>
  <c r="VNY28" i="51"/>
  <c r="VNI28" i="51"/>
  <c r="VMS28" i="51"/>
  <c r="VMC28" i="51"/>
  <c r="VLM28" i="51"/>
  <c r="VKW28" i="51"/>
  <c r="VKG28" i="51"/>
  <c r="VJQ28" i="51"/>
  <c r="VJA28" i="51"/>
  <c r="VIK28" i="51"/>
  <c r="VHU28" i="51"/>
  <c r="VHE28" i="51"/>
  <c r="VGO28" i="51"/>
  <c r="VFY28" i="51"/>
  <c r="VFI28" i="51"/>
  <c r="VES28" i="51"/>
  <c r="VEC28" i="51"/>
  <c r="VDM28" i="51"/>
  <c r="VCW28" i="51"/>
  <c r="VCG28" i="51"/>
  <c r="VBQ28" i="51"/>
  <c r="VBA28" i="51"/>
  <c r="VAK28" i="51"/>
  <c r="UZU28" i="51"/>
  <c r="UZE28" i="51"/>
  <c r="UYO28" i="51"/>
  <c r="UXY28" i="51"/>
  <c r="UXI28" i="51"/>
  <c r="UWS28" i="51"/>
  <c r="UWC28" i="51"/>
  <c r="UVM28" i="51"/>
  <c r="UUW28" i="51"/>
  <c r="UUG28" i="51"/>
  <c r="UTQ28" i="51"/>
  <c r="UTA28" i="51"/>
  <c r="USK28" i="51"/>
  <c r="URU28" i="51"/>
  <c r="URE28" i="51"/>
  <c r="UQO28" i="51"/>
  <c r="UPY28" i="51"/>
  <c r="UPI28" i="51"/>
  <c r="UOS28" i="51"/>
  <c r="UOC28" i="51"/>
  <c r="UNM28" i="51"/>
  <c r="UMW28" i="51"/>
  <c r="UMG28" i="51"/>
  <c r="ULQ28" i="51"/>
  <c r="ULA28" i="51"/>
  <c r="UKK28" i="51"/>
  <c r="UJU28" i="51"/>
  <c r="UJE28" i="51"/>
  <c r="UIO28" i="51"/>
  <c r="UHY28" i="51"/>
  <c r="UHI28" i="51"/>
  <c r="UGS28" i="51"/>
  <c r="UGC28" i="51"/>
  <c r="UFM28" i="51"/>
  <c r="UEW28" i="51"/>
  <c r="UEG28" i="51"/>
  <c r="UDQ28" i="51"/>
  <c r="UDA28" i="51"/>
  <c r="UCK28" i="51"/>
  <c r="UBU28" i="51"/>
  <c r="UBE28" i="51"/>
  <c r="UAO28" i="51"/>
  <c r="TZY28" i="51"/>
  <c r="TZI28" i="51"/>
  <c r="TYS28" i="51"/>
  <c r="TYC28" i="51"/>
  <c r="TXM28" i="51"/>
  <c r="TWW28" i="51"/>
  <c r="TWG28" i="51"/>
  <c r="TVQ28" i="51"/>
  <c r="TVA28" i="51"/>
  <c r="TUK28" i="51"/>
  <c r="TTU28" i="51"/>
  <c r="TTE28" i="51"/>
  <c r="TSO28" i="51"/>
  <c r="TRY28" i="51"/>
  <c r="TRI28" i="51"/>
  <c r="TQS28" i="51"/>
  <c r="TQC28" i="51"/>
  <c r="TPM28" i="51"/>
  <c r="TOW28" i="51"/>
  <c r="TOG28" i="51"/>
  <c r="TNQ28" i="51"/>
  <c r="TNA28" i="51"/>
  <c r="TMK28" i="51"/>
  <c r="TLU28" i="51"/>
  <c r="TLE28" i="51"/>
  <c r="TKO28" i="51"/>
  <c r="TJY28" i="51"/>
  <c r="TJI28" i="51"/>
  <c r="TIS28" i="51"/>
  <c r="TIC28" i="51"/>
  <c r="THM28" i="51"/>
  <c r="TGW28" i="51"/>
  <c r="TGG28" i="51"/>
  <c r="TFQ28" i="51"/>
  <c r="TFA28" i="51"/>
  <c r="TEK28" i="51"/>
  <c r="TDU28" i="51"/>
  <c r="TDE28" i="51"/>
  <c r="TCO28" i="51"/>
  <c r="TBY28" i="51"/>
  <c r="TBI28" i="51"/>
  <c r="TAS28" i="51"/>
  <c r="TAC28" i="51"/>
  <c r="SZM28" i="51"/>
  <c r="SYW28" i="51"/>
  <c r="SYG28" i="51"/>
  <c r="SXQ28" i="51"/>
  <c r="SXA28" i="51"/>
  <c r="SWK28" i="51"/>
  <c r="SVU28" i="51"/>
  <c r="SVE28" i="51"/>
  <c r="SUO28" i="51"/>
  <c r="STY28" i="51"/>
  <c r="STI28" i="51"/>
  <c r="SSS28" i="51"/>
  <c r="SSC28" i="51"/>
  <c r="SRM28" i="51"/>
  <c r="SQW28" i="51"/>
  <c r="SQG28" i="51"/>
  <c r="SPQ28" i="51"/>
  <c r="SPA28" i="51"/>
  <c r="SOK28" i="51"/>
  <c r="SNU28" i="51"/>
  <c r="SNE28" i="51"/>
  <c r="SMO28" i="51"/>
  <c r="SLY28" i="51"/>
  <c r="SLI28" i="51"/>
  <c r="SKS28" i="51"/>
  <c r="SKC28" i="51"/>
  <c r="SJM28" i="51"/>
  <c r="SIW28" i="51"/>
  <c r="SIG28" i="51"/>
  <c r="SHQ28" i="51"/>
  <c r="SHA28" i="51"/>
  <c r="SGK28" i="51"/>
  <c r="SFU28" i="51"/>
  <c r="SFE28" i="51"/>
  <c r="SEO28" i="51"/>
  <c r="SDY28" i="51"/>
  <c r="SDI28" i="51"/>
  <c r="SCS28" i="51"/>
  <c r="SCC28" i="51"/>
  <c r="SBM28" i="51"/>
  <c r="SAW28" i="51"/>
  <c r="SAG28" i="51"/>
  <c r="RZQ28" i="51"/>
  <c r="RZA28" i="51"/>
  <c r="RYK28" i="51"/>
  <c r="RXU28" i="51"/>
  <c r="RXE28" i="51"/>
  <c r="RWO28" i="51"/>
  <c r="RVY28" i="51"/>
  <c r="RVI28" i="51"/>
  <c r="RUS28" i="51"/>
  <c r="RUC28" i="51"/>
  <c r="RTM28" i="51"/>
  <c r="RSW28" i="51"/>
  <c r="RSG28" i="51"/>
  <c r="RRQ28" i="51"/>
  <c r="RRA28" i="51"/>
  <c r="RQK28" i="51"/>
  <c r="RPU28" i="51"/>
  <c r="RPE28" i="51"/>
  <c r="ROO28" i="51"/>
  <c r="RNY28" i="51"/>
  <c r="RNI28" i="51"/>
  <c r="RMS28" i="51"/>
  <c r="RMC28" i="51"/>
  <c r="RLM28" i="51"/>
  <c r="RKW28" i="51"/>
  <c r="RKG28" i="51"/>
  <c r="RJQ28" i="51"/>
  <c r="RJA28" i="51"/>
  <c r="RIK28" i="51"/>
  <c r="RHU28" i="51"/>
  <c r="RHE28" i="51"/>
  <c r="RGO28" i="51"/>
  <c r="RFY28" i="51"/>
  <c r="RFI28" i="51"/>
  <c r="RES28" i="51"/>
  <c r="REC28" i="51"/>
  <c r="RDM28" i="51"/>
  <c r="RCW28" i="51"/>
  <c r="RCG28" i="51"/>
  <c r="RBQ28" i="51"/>
  <c r="RBA28" i="51"/>
  <c r="RAK28" i="51"/>
  <c r="QZU28" i="51"/>
  <c r="QZE28" i="51"/>
  <c r="QYO28" i="51"/>
  <c r="QXY28" i="51"/>
  <c r="QXI28" i="51"/>
  <c r="QWS28" i="51"/>
  <c r="QWC28" i="51"/>
  <c r="QVM28" i="51"/>
  <c r="QUW28" i="51"/>
  <c r="QUG28" i="51"/>
  <c r="QTQ28" i="51"/>
  <c r="QTA28" i="51"/>
  <c r="QSK28" i="51"/>
  <c r="QRU28" i="51"/>
  <c r="QRE28" i="51"/>
  <c r="QQO28" i="51"/>
  <c r="QPY28" i="51"/>
  <c r="QPI28" i="51"/>
  <c r="QOS28" i="51"/>
  <c r="QOC28" i="51"/>
  <c r="QNM28" i="51"/>
  <c r="QMW28" i="51"/>
  <c r="QMG28" i="51"/>
  <c r="QLQ28" i="51"/>
  <c r="QLA28" i="51"/>
  <c r="QKK28" i="51"/>
  <c r="QJU28" i="51"/>
  <c r="QJE28" i="51"/>
  <c r="QIO28" i="51"/>
  <c r="QHY28" i="51"/>
  <c r="QHI28" i="51"/>
  <c r="QGS28" i="51"/>
  <c r="QGC28" i="51"/>
  <c r="QFM28" i="51"/>
  <c r="QEW28" i="51"/>
  <c r="QEG28" i="51"/>
  <c r="QDQ28" i="51"/>
  <c r="QDA28" i="51"/>
  <c r="QCK28" i="51"/>
  <c r="QBU28" i="51"/>
  <c r="QBE28" i="51"/>
  <c r="QAO28" i="51"/>
  <c r="PZY28" i="51"/>
  <c r="PZI28" i="51"/>
  <c r="PYS28" i="51"/>
  <c r="PYC28" i="51"/>
  <c r="PXM28" i="51"/>
  <c r="PWW28" i="51"/>
  <c r="PWG28" i="51"/>
  <c r="PVQ28" i="51"/>
  <c r="PVA28" i="51"/>
  <c r="PUK28" i="51"/>
  <c r="PTU28" i="51"/>
  <c r="PTE28" i="51"/>
  <c r="PSO28" i="51"/>
  <c r="PRY28" i="51"/>
  <c r="PRI28" i="51"/>
  <c r="PQS28" i="51"/>
  <c r="PQC28" i="51"/>
  <c r="PPM28" i="51"/>
  <c r="POW28" i="51"/>
  <c r="POG28" i="51"/>
  <c r="PNQ28" i="51"/>
  <c r="PNA28" i="51"/>
  <c r="PMK28" i="51"/>
  <c r="PLU28" i="51"/>
  <c r="PLE28" i="51"/>
  <c r="PKO28" i="51"/>
  <c r="PJY28" i="51"/>
  <c r="PJI28" i="51"/>
  <c r="PIS28" i="51"/>
  <c r="PIC28" i="51"/>
  <c r="PHM28" i="51"/>
  <c r="PGW28" i="51"/>
  <c r="PGG28" i="51"/>
  <c r="PFQ28" i="51"/>
  <c r="PFA28" i="51"/>
  <c r="PEK28" i="51"/>
  <c r="PDU28" i="51"/>
  <c r="PDE28" i="51"/>
  <c r="PCO28" i="51"/>
  <c r="PBY28" i="51"/>
  <c r="PBI28" i="51"/>
  <c r="PAS28" i="51"/>
  <c r="PAC28" i="51"/>
  <c r="OZM28" i="51"/>
  <c r="OYW28" i="51"/>
  <c r="OYG28" i="51"/>
  <c r="OXQ28" i="51"/>
  <c r="OXA28" i="51"/>
  <c r="OWK28" i="51"/>
  <c r="OVU28" i="51"/>
  <c r="OVE28" i="51"/>
  <c r="OUO28" i="51"/>
  <c r="OTY28" i="51"/>
  <c r="OTI28" i="51"/>
  <c r="OSS28" i="51"/>
  <c r="OSC28" i="51"/>
  <c r="ORM28" i="51"/>
  <c r="OQW28" i="51"/>
  <c r="OQG28" i="51"/>
  <c r="OPQ28" i="51"/>
  <c r="OPA28" i="51"/>
  <c r="OOK28" i="51"/>
  <c r="ONU28" i="51"/>
  <c r="ONE28" i="51"/>
  <c r="OMO28" i="51"/>
  <c r="OLY28" i="51"/>
  <c r="OLI28" i="51"/>
  <c r="OKS28" i="51"/>
  <c r="OKC28" i="51"/>
  <c r="OJM28" i="51"/>
  <c r="OIW28" i="51"/>
  <c r="OIG28" i="51"/>
  <c r="OHQ28" i="51"/>
  <c r="OHA28" i="51"/>
  <c r="OGK28" i="51"/>
  <c r="OFU28" i="51"/>
  <c r="OFE28" i="51"/>
  <c r="OEO28" i="51"/>
  <c r="ODY28" i="51"/>
  <c r="ODI28" i="51"/>
  <c r="OCS28" i="51"/>
  <c r="OCC28" i="51"/>
  <c r="OBM28" i="51"/>
  <c r="OAW28" i="51"/>
  <c r="OAG28" i="51"/>
  <c r="NZQ28" i="51"/>
  <c r="NZA28" i="51"/>
  <c r="NYK28" i="51"/>
  <c r="NXU28" i="51"/>
  <c r="NXE28" i="51"/>
  <c r="NWO28" i="51"/>
  <c r="NVY28" i="51"/>
  <c r="NVI28" i="51"/>
  <c r="NUS28" i="51"/>
  <c r="NUC28" i="51"/>
  <c r="NTM28" i="51"/>
  <c r="NSW28" i="51"/>
  <c r="NSG28" i="51"/>
  <c r="NRQ28" i="51"/>
  <c r="NRA28" i="51"/>
  <c r="NQK28" i="51"/>
  <c r="NPU28" i="51"/>
  <c r="NPE28" i="51"/>
  <c r="NOO28" i="51"/>
  <c r="NNY28" i="51"/>
  <c r="NNI28" i="51"/>
  <c r="NMS28" i="51"/>
  <c r="NMC28" i="51"/>
  <c r="NLM28" i="51"/>
  <c r="NKW28" i="51"/>
  <c r="NKG28" i="51"/>
  <c r="NJQ28" i="51"/>
  <c r="NJA28" i="51"/>
  <c r="NIK28" i="51"/>
  <c r="NHU28" i="51"/>
  <c r="NHE28" i="51"/>
  <c r="NGO28" i="51"/>
  <c r="NFY28" i="51"/>
  <c r="NFI28" i="51"/>
  <c r="NES28" i="51"/>
  <c r="NEC28" i="51"/>
  <c r="NDM28" i="51"/>
  <c r="NCW28" i="51"/>
  <c r="NCG28" i="51"/>
  <c r="NBQ28" i="51"/>
  <c r="NBA28" i="51"/>
  <c r="NAK28" i="51"/>
  <c r="MZU28" i="51"/>
  <c r="MZE28" i="51"/>
  <c r="MYO28" i="51"/>
  <c r="MXY28" i="51"/>
  <c r="MXI28" i="51"/>
  <c r="MWS28" i="51"/>
  <c r="MWC28" i="51"/>
  <c r="MVM28" i="51"/>
  <c r="MUW28" i="51"/>
  <c r="MUG28" i="51"/>
  <c r="MTQ28" i="51"/>
  <c r="MTA28" i="51"/>
  <c r="MSK28" i="51"/>
  <c r="MRU28" i="51"/>
  <c r="MRE28" i="51"/>
  <c r="MQO28" i="51"/>
  <c r="MPY28" i="51"/>
  <c r="MPI28" i="51"/>
  <c r="MOS28" i="51"/>
  <c r="MOC28" i="51"/>
  <c r="MNM28" i="51"/>
  <c r="MMW28" i="51"/>
  <c r="MMG28" i="51"/>
  <c r="MLQ28" i="51"/>
  <c r="MLA28" i="51"/>
  <c r="MKK28" i="51"/>
  <c r="MJU28" i="51"/>
  <c r="MJE28" i="51"/>
  <c r="MIO28" i="51"/>
  <c r="MHY28" i="51"/>
  <c r="MHI28" i="51"/>
  <c r="MGS28" i="51"/>
  <c r="MGC28" i="51"/>
  <c r="MFM28" i="51"/>
  <c r="MEW28" i="51"/>
  <c r="MEG28" i="51"/>
  <c r="MDQ28" i="51"/>
  <c r="MDA28" i="51"/>
  <c r="MCK28" i="51"/>
  <c r="MBU28" i="51"/>
  <c r="MBE28" i="51"/>
  <c r="MAO28" i="51"/>
  <c r="LZY28" i="51"/>
  <c r="LZI28" i="51"/>
  <c r="LYS28" i="51"/>
  <c r="LYC28" i="51"/>
  <c r="LXM28" i="51"/>
  <c r="LWW28" i="51"/>
  <c r="LWG28" i="51"/>
  <c r="LVQ28" i="51"/>
  <c r="LVA28" i="51"/>
  <c r="LUK28" i="51"/>
  <c r="LTU28" i="51"/>
  <c r="LTE28" i="51"/>
  <c r="LSO28" i="51"/>
  <c r="LRY28" i="51"/>
  <c r="LRI28" i="51"/>
  <c r="LQS28" i="51"/>
  <c r="LQC28" i="51"/>
  <c r="LPM28" i="51"/>
  <c r="LOW28" i="51"/>
  <c r="LOG28" i="51"/>
  <c r="LNQ28" i="51"/>
  <c r="LNA28" i="51"/>
  <c r="LMK28" i="51"/>
  <c r="LLU28" i="51"/>
  <c r="LLE28" i="51"/>
  <c r="LKO28" i="51"/>
  <c r="LJY28" i="51"/>
  <c r="LJI28" i="51"/>
  <c r="LIS28" i="51"/>
  <c r="LIC28" i="51"/>
  <c r="LHM28" i="51"/>
  <c r="LGW28" i="51"/>
  <c r="LGG28" i="51"/>
  <c r="LFQ28" i="51"/>
  <c r="LFA28" i="51"/>
  <c r="LEK28" i="51"/>
  <c r="LDU28" i="51"/>
  <c r="LDE28" i="51"/>
  <c r="LCO28" i="51"/>
  <c r="LBY28" i="51"/>
  <c r="LBI28" i="51"/>
  <c r="LAS28" i="51"/>
  <c r="LAC28" i="51"/>
  <c r="KZM28" i="51"/>
  <c r="KYW28" i="51"/>
  <c r="KYG28" i="51"/>
  <c r="KXQ28" i="51"/>
  <c r="KXA28" i="51"/>
  <c r="KWK28" i="51"/>
  <c r="KVU28" i="51"/>
  <c r="KVE28" i="51"/>
  <c r="KUO28" i="51"/>
  <c r="KTY28" i="51"/>
  <c r="KTI28" i="51"/>
  <c r="KSS28" i="51"/>
  <c r="KSC28" i="51"/>
  <c r="KRM28" i="51"/>
  <c r="KQW28" i="51"/>
  <c r="KQG28" i="51"/>
  <c r="KPQ28" i="51"/>
  <c r="KPA28" i="51"/>
  <c r="KOK28" i="51"/>
  <c r="KNU28" i="51"/>
  <c r="KNE28" i="51"/>
  <c r="KMO28" i="51"/>
  <c r="KLY28" i="51"/>
  <c r="KLI28" i="51"/>
  <c r="KKS28" i="51"/>
  <c r="KKC28" i="51"/>
  <c r="KJM28" i="51"/>
  <c r="KIW28" i="51"/>
  <c r="KIG28" i="51"/>
  <c r="KHQ28" i="51"/>
  <c r="KHA28" i="51"/>
  <c r="KGK28" i="51"/>
  <c r="KFU28" i="51"/>
  <c r="KFE28" i="51"/>
  <c r="KEO28" i="51"/>
  <c r="KDY28" i="51"/>
  <c r="KDI28" i="51"/>
  <c r="KCS28" i="51"/>
  <c r="KCC28" i="51"/>
  <c r="KBM28" i="51"/>
  <c r="KAW28" i="51"/>
  <c r="KAG28" i="51"/>
  <c r="JZQ28" i="51"/>
  <c r="JZA28" i="51"/>
  <c r="JYK28" i="51"/>
  <c r="JXU28" i="51"/>
  <c r="JXE28" i="51"/>
  <c r="JWO28" i="51"/>
  <c r="JVY28" i="51"/>
  <c r="JVI28" i="51"/>
  <c r="JUS28" i="51"/>
  <c r="JUC28" i="51"/>
  <c r="JTM28" i="51"/>
  <c r="JSW28" i="51"/>
  <c r="JSG28" i="51"/>
  <c r="JRQ28" i="51"/>
  <c r="JRA28" i="51"/>
  <c r="JQK28" i="51"/>
  <c r="JPU28" i="51"/>
  <c r="JPE28" i="51"/>
  <c r="JOO28" i="51"/>
  <c r="JNY28" i="51"/>
  <c r="JNI28" i="51"/>
  <c r="JMS28" i="51"/>
  <c r="JMC28" i="51"/>
  <c r="JLM28" i="51"/>
  <c r="JKW28" i="51"/>
  <c r="JKG28" i="51"/>
  <c r="JJQ28" i="51"/>
  <c r="JJA28" i="51"/>
  <c r="JIK28" i="51"/>
  <c r="JHU28" i="51"/>
  <c r="JHE28" i="51"/>
  <c r="JGO28" i="51"/>
  <c r="JFY28" i="51"/>
  <c r="JFI28" i="51"/>
  <c r="JES28" i="51"/>
  <c r="JEC28" i="51"/>
  <c r="JDM28" i="51"/>
  <c r="JCW28" i="51"/>
  <c r="JCG28" i="51"/>
  <c r="JBQ28" i="51"/>
  <c r="JBA28" i="51"/>
  <c r="JAK28" i="51"/>
  <c r="IZU28" i="51"/>
  <c r="IZE28" i="51"/>
  <c r="IYO28" i="51"/>
  <c r="IXY28" i="51"/>
  <c r="IXI28" i="51"/>
  <c r="IWS28" i="51"/>
  <c r="IWC28" i="51"/>
  <c r="IVM28" i="51"/>
  <c r="IUW28" i="51"/>
  <c r="IUG28" i="51"/>
  <c r="ITQ28" i="51"/>
  <c r="ITA28" i="51"/>
  <c r="ISK28" i="51"/>
  <c r="IRU28" i="51"/>
  <c r="IRE28" i="51"/>
  <c r="IQO28" i="51"/>
  <c r="IPY28" i="51"/>
  <c r="IPI28" i="51"/>
  <c r="IOS28" i="51"/>
  <c r="IOC28" i="51"/>
  <c r="INM28" i="51"/>
  <c r="IMW28" i="51"/>
  <c r="IMG28" i="51"/>
  <c r="ILQ28" i="51"/>
  <c r="ILA28" i="51"/>
  <c r="IKK28" i="51"/>
  <c r="IJU28" i="51"/>
  <c r="IJE28" i="51"/>
  <c r="IIO28" i="51"/>
  <c r="IHY28" i="51"/>
  <c r="IHI28" i="51"/>
  <c r="IGS28" i="51"/>
  <c r="IGC28" i="51"/>
  <c r="IFM28" i="51"/>
  <c r="IEW28" i="51"/>
  <c r="IEG28" i="51"/>
  <c r="IDQ28" i="51"/>
  <c r="IDA28" i="51"/>
  <c r="ICK28" i="51"/>
  <c r="IBU28" i="51"/>
  <c r="IBE28" i="51"/>
  <c r="IAO28" i="51"/>
  <c r="HZY28" i="51"/>
  <c r="HZI28" i="51"/>
  <c r="HYS28" i="51"/>
  <c r="HYC28" i="51"/>
  <c r="HXM28" i="51"/>
  <c r="HWW28" i="51"/>
  <c r="HWG28" i="51"/>
  <c r="HVQ28" i="51"/>
  <c r="HVA28" i="51"/>
  <c r="HUK28" i="51"/>
  <c r="HTU28" i="51"/>
  <c r="HTE28" i="51"/>
  <c r="HSO28" i="51"/>
  <c r="HRY28" i="51"/>
  <c r="HRI28" i="51"/>
  <c r="HQS28" i="51"/>
  <c r="HQC28" i="51"/>
  <c r="HPM28" i="51"/>
  <c r="HOW28" i="51"/>
  <c r="HOG28" i="51"/>
  <c r="HNQ28" i="51"/>
  <c r="HNA28" i="51"/>
  <c r="HMK28" i="51"/>
  <c r="HLU28" i="51"/>
  <c r="HLE28" i="51"/>
  <c r="HKO28" i="51"/>
  <c r="HJY28" i="51"/>
  <c r="HJI28" i="51"/>
  <c r="HIS28" i="51"/>
  <c r="HIC28" i="51"/>
  <c r="HHM28" i="51"/>
  <c r="HGW28" i="51"/>
  <c r="HGG28" i="51"/>
  <c r="HFQ28" i="51"/>
  <c r="HFA28" i="51"/>
  <c r="HEK28" i="51"/>
  <c r="HDU28" i="51"/>
  <c r="HDE28" i="51"/>
  <c r="HCO28" i="51"/>
  <c r="HBY28" i="51"/>
  <c r="HBI28" i="51"/>
  <c r="HAS28" i="51"/>
  <c r="HAC28" i="51"/>
  <c r="GZM28" i="51"/>
  <c r="GYW28" i="51"/>
  <c r="GYG28" i="51"/>
  <c r="GXQ28" i="51"/>
  <c r="GXA28" i="51"/>
  <c r="GWK28" i="51"/>
  <c r="GVU28" i="51"/>
  <c r="GVE28" i="51"/>
  <c r="GUO28" i="51"/>
  <c r="GTY28" i="51"/>
  <c r="GTI28" i="51"/>
  <c r="GSS28" i="51"/>
  <c r="GSC28" i="51"/>
  <c r="GRM28" i="51"/>
  <c r="GQW28" i="51"/>
  <c r="GQG28" i="51"/>
  <c r="GPQ28" i="51"/>
  <c r="GPA28" i="51"/>
  <c r="GOK28" i="51"/>
  <c r="GNU28" i="51"/>
  <c r="GNE28" i="51"/>
  <c r="GMO28" i="51"/>
  <c r="GLY28" i="51"/>
  <c r="GLI28" i="51"/>
  <c r="GKS28" i="51"/>
  <c r="GKC28" i="51"/>
  <c r="GJM28" i="51"/>
  <c r="GIW28" i="51"/>
  <c r="GIG28" i="51"/>
  <c r="GHQ28" i="51"/>
  <c r="GHA28" i="51"/>
  <c r="GGK28" i="51"/>
  <c r="GFU28" i="51"/>
  <c r="GFE28" i="51"/>
  <c r="GEO28" i="51"/>
  <c r="GDY28" i="51"/>
  <c r="GDI28" i="51"/>
  <c r="GCS28" i="51"/>
  <c r="GCC28" i="51"/>
  <c r="GBM28" i="51"/>
  <c r="GAW28" i="51"/>
  <c r="GAG28" i="51"/>
  <c r="FZQ28" i="51"/>
  <c r="FZA28" i="51"/>
  <c r="FYK28" i="51"/>
  <c r="FXU28" i="51"/>
  <c r="FXE28" i="51"/>
  <c r="FWO28" i="51"/>
  <c r="FVY28" i="51"/>
  <c r="FVI28" i="51"/>
  <c r="FUS28" i="51"/>
  <c r="FUC28" i="51"/>
  <c r="FTM28" i="51"/>
  <c r="FSW28" i="51"/>
  <c r="FSG28" i="51"/>
  <c r="FRQ28" i="51"/>
  <c r="FRA28" i="51"/>
  <c r="FQK28" i="51"/>
  <c r="FPU28" i="51"/>
  <c r="FPE28" i="51"/>
  <c r="FOO28" i="51"/>
  <c r="FNY28" i="51"/>
  <c r="FNI28" i="51"/>
  <c r="FMS28" i="51"/>
  <c r="FMC28" i="51"/>
  <c r="FLM28" i="51"/>
  <c r="FKW28" i="51"/>
  <c r="FKG28" i="51"/>
  <c r="FJQ28" i="51"/>
  <c r="FJA28" i="51"/>
  <c r="FIK28" i="51"/>
  <c r="FHU28" i="51"/>
  <c r="FHE28" i="51"/>
  <c r="FGO28" i="51"/>
  <c r="FFY28" i="51"/>
  <c r="FFI28" i="51"/>
  <c r="FES28" i="51"/>
  <c r="FEC28" i="51"/>
  <c r="FDM28" i="51"/>
  <c r="FCW28" i="51"/>
  <c r="FCG28" i="51"/>
  <c r="FBQ28" i="51"/>
  <c r="FBA28" i="51"/>
  <c r="FAK28" i="51"/>
  <c r="EZU28" i="51"/>
  <c r="EZE28" i="51"/>
  <c r="EYO28" i="51"/>
  <c r="EXY28" i="51"/>
  <c r="EXI28" i="51"/>
  <c r="EWS28" i="51"/>
  <c r="EWC28" i="51"/>
  <c r="EVM28" i="51"/>
  <c r="EUW28" i="51"/>
  <c r="EUG28" i="51"/>
  <c r="ETQ28" i="51"/>
  <c r="ETA28" i="51"/>
  <c r="ESK28" i="51"/>
  <c r="ERU28" i="51"/>
  <c r="ERE28" i="51"/>
  <c r="EQO28" i="51"/>
  <c r="EPY28" i="51"/>
  <c r="EPI28" i="51"/>
  <c r="EOS28" i="51"/>
  <c r="EOC28" i="51"/>
  <c r="ENM28" i="51"/>
  <c r="EMW28" i="51"/>
  <c r="EMG28" i="51"/>
  <c r="ELQ28" i="51"/>
  <c r="ELA28" i="51"/>
  <c r="EKK28" i="51"/>
  <c r="EJU28" i="51"/>
  <c r="EJE28" i="51"/>
  <c r="EIO28" i="51"/>
  <c r="EHY28" i="51"/>
  <c r="EHI28" i="51"/>
  <c r="EGS28" i="51"/>
  <c r="EGC28" i="51"/>
  <c r="EFM28" i="51"/>
  <c r="EEW28" i="51"/>
  <c r="EEG28" i="51"/>
  <c r="EDQ28" i="51"/>
  <c r="EDA28" i="51"/>
  <c r="ECK28" i="51"/>
  <c r="EBU28" i="51"/>
  <c r="EBE28" i="51"/>
  <c r="EAO28" i="51"/>
  <c r="DZY28" i="51"/>
  <c r="DZI28" i="51"/>
  <c r="DYS28" i="51"/>
  <c r="DYC28" i="51"/>
  <c r="DXM28" i="51"/>
  <c r="DWW28" i="51"/>
  <c r="DWG28" i="51"/>
  <c r="DVQ28" i="51"/>
  <c r="DVA28" i="51"/>
  <c r="DUK28" i="51"/>
  <c r="DTU28" i="51"/>
  <c r="DTE28" i="51"/>
  <c r="DSO28" i="51"/>
  <c r="DRY28" i="51"/>
  <c r="DRI28" i="51"/>
  <c r="DQS28" i="51"/>
  <c r="DQC28" i="51"/>
  <c r="DPM28" i="51"/>
  <c r="DOW28" i="51"/>
  <c r="DOG28" i="51"/>
  <c r="DNQ28" i="51"/>
  <c r="DNA28" i="51"/>
  <c r="DMK28" i="51"/>
  <c r="DLU28" i="51"/>
  <c r="DLE28" i="51"/>
  <c r="DKO28" i="51"/>
  <c r="DJY28" i="51"/>
  <c r="DJI28" i="51"/>
  <c r="DIS28" i="51"/>
  <c r="DIC28" i="51"/>
  <c r="DHM28" i="51"/>
  <c r="DGW28" i="51"/>
  <c r="DGG28" i="51"/>
  <c r="DFQ28" i="51"/>
  <c r="DFA28" i="51"/>
  <c r="DEK28" i="51"/>
  <c r="DDU28" i="51"/>
  <c r="DDE28" i="51"/>
  <c r="DCO28" i="51"/>
  <c r="DBY28" i="51"/>
  <c r="DBI28" i="51"/>
  <c r="DAS28" i="51"/>
  <c r="DAC28" i="51"/>
  <c r="CZM28" i="51"/>
  <c r="CYW28" i="51"/>
  <c r="CYG28" i="51"/>
  <c r="CXQ28" i="51"/>
  <c r="CXA28" i="51"/>
  <c r="CWK28" i="51"/>
  <c r="CVU28" i="51"/>
  <c r="CVE28" i="51"/>
  <c r="CUO28" i="51"/>
  <c r="CTY28" i="51"/>
  <c r="CTI28" i="51"/>
  <c r="CSS28" i="51"/>
  <c r="CSC28" i="51"/>
  <c r="CRM28" i="51"/>
  <c r="CQW28" i="51"/>
  <c r="CQG28" i="51"/>
  <c r="CPQ28" i="51"/>
  <c r="CPA28" i="51"/>
  <c r="COK28" i="51"/>
  <c r="CNU28" i="51"/>
  <c r="CNE28" i="51"/>
  <c r="CMO28" i="51"/>
  <c r="CLY28" i="51"/>
  <c r="CLI28" i="51"/>
  <c r="CKS28" i="51"/>
  <c r="CKC28" i="51"/>
  <c r="CJM28" i="51"/>
  <c r="CIW28" i="51"/>
  <c r="CIG28" i="51"/>
  <c r="CHQ28" i="51"/>
  <c r="CHA28" i="51"/>
  <c r="CGK28" i="51"/>
  <c r="CFU28" i="51"/>
  <c r="CFE28" i="51"/>
  <c r="CEO28" i="51"/>
  <c r="CDY28" i="51"/>
  <c r="CDI28" i="51"/>
  <c r="CCS28" i="51"/>
  <c r="CCC28" i="51"/>
  <c r="CBM28" i="51"/>
  <c r="CAW28" i="51"/>
  <c r="CAG28" i="51"/>
  <c r="BZQ28" i="51"/>
  <c r="BZA28" i="51"/>
  <c r="BYK28" i="51"/>
  <c r="BXU28" i="51"/>
  <c r="BXE28" i="51"/>
  <c r="BWO28" i="51"/>
  <c r="BVY28" i="51"/>
  <c r="BVI28" i="51"/>
  <c r="BUS28" i="51"/>
  <c r="BUC28" i="51"/>
  <c r="BTM28" i="51"/>
  <c r="BSW28" i="51"/>
  <c r="BSG28" i="51"/>
  <c r="BRQ28" i="51"/>
  <c r="BRA28" i="51"/>
  <c r="BQK28" i="51"/>
  <c r="BPU28" i="51"/>
  <c r="BPE28" i="51"/>
  <c r="BOO28" i="51"/>
  <c r="BNY28" i="51"/>
  <c r="BNI28" i="51"/>
  <c r="BMS28" i="51"/>
  <c r="BMC28" i="51"/>
  <c r="BLM28" i="51"/>
  <c r="BKW28" i="51"/>
  <c r="BKG28" i="51"/>
  <c r="BJQ28" i="51"/>
  <c r="BJA28" i="51"/>
  <c r="BIK28" i="51"/>
  <c r="BHU28" i="51"/>
  <c r="BHE28" i="51"/>
  <c r="BGO28" i="51"/>
  <c r="BFY28" i="51"/>
  <c r="BFI28" i="51"/>
  <c r="BES28" i="51"/>
  <c r="BEC28" i="51"/>
  <c r="BDM28" i="51"/>
  <c r="BCW28" i="51"/>
  <c r="M28" i="51"/>
  <c r="DW4" i="34"/>
  <c r="DW5" i="34"/>
  <c r="DW6" i="34"/>
  <c r="DW7" i="34"/>
  <c r="DW8" i="34"/>
  <c r="DW9" i="34"/>
  <c r="DW10" i="34"/>
  <c r="DW11" i="34"/>
  <c r="DW12" i="34"/>
  <c r="DW13" i="34"/>
  <c r="DW14" i="34"/>
  <c r="DW15" i="34"/>
  <c r="DW16" i="34"/>
  <c r="DW17" i="34"/>
  <c r="DW18" i="34"/>
  <c r="DW19" i="34"/>
  <c r="DW20" i="34"/>
  <c r="DW21" i="34"/>
  <c r="DW22" i="34"/>
  <c r="DW23" i="34"/>
  <c r="DW24" i="34"/>
  <c r="DW25" i="34"/>
  <c r="DW26" i="34"/>
  <c r="DW27" i="34"/>
  <c r="DW28" i="34"/>
  <c r="DW29" i="34"/>
  <c r="DW30" i="34"/>
  <c r="DW31" i="34"/>
  <c r="DW32" i="34"/>
  <c r="DW33" i="34"/>
  <c r="DW34" i="34"/>
  <c r="DZ4" i="34"/>
  <c r="DZ5" i="34"/>
  <c r="DZ6" i="34"/>
  <c r="DZ7" i="34"/>
  <c r="DZ8" i="34"/>
  <c r="DZ9" i="34"/>
  <c r="DZ10" i="34"/>
  <c r="DZ11" i="34"/>
  <c r="DZ12" i="34"/>
  <c r="DZ13" i="34"/>
  <c r="DZ14" i="34"/>
  <c r="DZ15" i="34"/>
  <c r="DZ16" i="34"/>
  <c r="DZ17" i="34"/>
  <c r="DZ18" i="34"/>
  <c r="DZ19" i="34"/>
  <c r="DZ20" i="34"/>
  <c r="DZ21" i="34"/>
  <c r="DZ22" i="34"/>
  <c r="DZ23" i="34"/>
  <c r="DZ24" i="34"/>
  <c r="DZ25" i="34"/>
  <c r="DZ26" i="34"/>
  <c r="DZ27" i="34"/>
  <c r="DZ28" i="34"/>
  <c r="DZ29" i="34"/>
  <c r="DZ30" i="34"/>
  <c r="DZ31" i="34"/>
  <c r="DZ32" i="34"/>
  <c r="DZ33" i="34"/>
  <c r="DZ34" i="34"/>
  <c r="EC4" i="34"/>
  <c r="EC5" i="34"/>
  <c r="EC6" i="34"/>
  <c r="EC7" i="34"/>
  <c r="EC8" i="34"/>
  <c r="EC9" i="34"/>
  <c r="EC10" i="34"/>
  <c r="EC11" i="34"/>
  <c r="EC12" i="34"/>
  <c r="EC13" i="34"/>
  <c r="EC14" i="34"/>
  <c r="EC15" i="34"/>
  <c r="EC16" i="34"/>
  <c r="EC17" i="34"/>
  <c r="EC18" i="34"/>
  <c r="EC19" i="34"/>
  <c r="EC20" i="34"/>
  <c r="EC21" i="34"/>
  <c r="EC22" i="34"/>
  <c r="EC23" i="34"/>
  <c r="EC24" i="34"/>
  <c r="EC25" i="34"/>
  <c r="EC26" i="34"/>
  <c r="EC27" i="34"/>
  <c r="EC28" i="34"/>
  <c r="EC29" i="34"/>
  <c r="EC30" i="34"/>
  <c r="EC31" i="34"/>
  <c r="EC32" i="34"/>
  <c r="EC33" i="34"/>
  <c r="EC34" i="34"/>
  <c r="DL4" i="34"/>
  <c r="DL5" i="34"/>
  <c r="DL6" i="34"/>
  <c r="DL7" i="34"/>
  <c r="DL8" i="34"/>
  <c r="DL9" i="34"/>
  <c r="DL10" i="34"/>
  <c r="DL11" i="34"/>
  <c r="DL12" i="34"/>
  <c r="DL13" i="34"/>
  <c r="DL14" i="34"/>
  <c r="DL15" i="34"/>
  <c r="DL16" i="34"/>
  <c r="DL17" i="34"/>
  <c r="DL18" i="34"/>
  <c r="DL19" i="34"/>
  <c r="DL20" i="34"/>
  <c r="DL21" i="34"/>
  <c r="DL22" i="34"/>
  <c r="DL23" i="34"/>
  <c r="DL24" i="34"/>
  <c r="DL25" i="34"/>
  <c r="DL26" i="34"/>
  <c r="DL27" i="34"/>
  <c r="DL28" i="34"/>
  <c r="DL29" i="34"/>
  <c r="DL30" i="34"/>
  <c r="DL31" i="34"/>
  <c r="DL32" i="34"/>
  <c r="DL33" i="34"/>
  <c r="DL34" i="34"/>
  <c r="DO4" i="34"/>
  <c r="DO5" i="34"/>
  <c r="DO6" i="34"/>
  <c r="DO7" i="34"/>
  <c r="DO8" i="34"/>
  <c r="DO9" i="34"/>
  <c r="DO10" i="34"/>
  <c r="DO11" i="34"/>
  <c r="DO12" i="34"/>
  <c r="DO13" i="34"/>
  <c r="DO14" i="34"/>
  <c r="DO15" i="34"/>
  <c r="DO16" i="34"/>
  <c r="DO17" i="34"/>
  <c r="DO18" i="34"/>
  <c r="DO19" i="34"/>
  <c r="DO20" i="34"/>
  <c r="DO21" i="34"/>
  <c r="DO22" i="34"/>
  <c r="DO23" i="34"/>
  <c r="DO24" i="34"/>
  <c r="DO25" i="34"/>
  <c r="DO26" i="34"/>
  <c r="DO27" i="34"/>
  <c r="DO28" i="34"/>
  <c r="DO29" i="34"/>
  <c r="DO30" i="34"/>
  <c r="DO31" i="34"/>
  <c r="DO32" i="34"/>
  <c r="DO33" i="34"/>
  <c r="DO34" i="34"/>
  <c r="DR4" i="34"/>
  <c r="DR37" i="34" s="1"/>
  <c r="O6" i="32" s="1"/>
  <c r="DR5" i="34"/>
  <c r="DR6" i="34"/>
  <c r="DR7" i="34"/>
  <c r="DR8" i="34"/>
  <c r="DR9" i="34"/>
  <c r="DR10" i="34"/>
  <c r="DR11" i="34"/>
  <c r="DR12" i="34"/>
  <c r="DR13" i="34"/>
  <c r="DR14" i="34"/>
  <c r="DR15" i="34"/>
  <c r="DR16" i="34"/>
  <c r="DR17" i="34"/>
  <c r="DR18" i="34"/>
  <c r="DR19" i="34"/>
  <c r="DR20" i="34"/>
  <c r="DR21" i="34"/>
  <c r="DR22" i="34"/>
  <c r="DR23" i="34"/>
  <c r="DR24" i="34"/>
  <c r="DR25" i="34"/>
  <c r="DR26" i="34"/>
  <c r="DR27" i="34"/>
  <c r="DR28" i="34"/>
  <c r="DR29" i="34"/>
  <c r="DR30" i="34"/>
  <c r="DR31" i="34"/>
  <c r="DR32" i="34"/>
  <c r="DR33" i="34"/>
  <c r="DR34" i="34"/>
  <c r="CX35" i="34"/>
  <c r="DA35" i="34" s="1"/>
  <c r="N4" i="32" s="1"/>
  <c r="CY35" i="34"/>
  <c r="CZ35" i="34"/>
  <c r="DD4" i="34"/>
  <c r="DD5" i="34"/>
  <c r="DD6" i="34"/>
  <c r="DD7" i="34"/>
  <c r="DD8" i="34"/>
  <c r="DD9" i="34"/>
  <c r="DD10" i="34"/>
  <c r="DD11" i="34"/>
  <c r="DD12" i="34"/>
  <c r="DD37" i="34" s="1"/>
  <c r="DD13" i="34"/>
  <c r="DD14" i="34"/>
  <c r="DD15" i="34"/>
  <c r="DD16" i="34"/>
  <c r="DD17" i="34"/>
  <c r="DD18" i="34"/>
  <c r="DD19" i="34"/>
  <c r="DD20" i="34"/>
  <c r="DD21" i="34"/>
  <c r="DD22" i="34"/>
  <c r="DD23" i="34"/>
  <c r="DD24" i="34"/>
  <c r="DD25" i="34"/>
  <c r="DD26" i="34"/>
  <c r="DD27" i="34"/>
  <c r="DD28" i="34"/>
  <c r="DD29" i="34"/>
  <c r="DD30" i="34"/>
  <c r="DD31" i="34"/>
  <c r="DD32" i="34"/>
  <c r="DD33" i="34"/>
  <c r="DD34" i="34"/>
  <c r="DG4" i="34"/>
  <c r="DG35" i="34" s="1"/>
  <c r="N6" i="32" s="1"/>
  <c r="DG5" i="34"/>
  <c r="DG6" i="34"/>
  <c r="DG7" i="34"/>
  <c r="DG8" i="34"/>
  <c r="DG9" i="34"/>
  <c r="DG10" i="34"/>
  <c r="DG11" i="34"/>
  <c r="DG12" i="34"/>
  <c r="DG13" i="34"/>
  <c r="DG14" i="34"/>
  <c r="DG15" i="34"/>
  <c r="DG16" i="34"/>
  <c r="DG17" i="34"/>
  <c r="DG18" i="34"/>
  <c r="DG19" i="34"/>
  <c r="DG20" i="34"/>
  <c r="DG21" i="34"/>
  <c r="DG22" i="34"/>
  <c r="DG23" i="34"/>
  <c r="DG24" i="34"/>
  <c r="DG25" i="34"/>
  <c r="DG26" i="34"/>
  <c r="DG27" i="34"/>
  <c r="DG28" i="34"/>
  <c r="DG29" i="34"/>
  <c r="DG30" i="34"/>
  <c r="DG31" i="34"/>
  <c r="DG32" i="34"/>
  <c r="DG33" i="34"/>
  <c r="DG34" i="34"/>
  <c r="CM35" i="34"/>
  <c r="CN35" i="34"/>
  <c r="CO35" i="34"/>
  <c r="CP35" i="34"/>
  <c r="M4" i="32"/>
  <c r="CS4" i="34"/>
  <c r="CS5" i="34"/>
  <c r="CS6" i="34"/>
  <c r="CS7" i="34"/>
  <c r="CS8" i="34"/>
  <c r="CS9" i="34"/>
  <c r="CS10" i="34"/>
  <c r="CS11" i="34"/>
  <c r="CS12" i="34"/>
  <c r="CS13" i="34"/>
  <c r="CS14" i="34"/>
  <c r="CS15" i="34"/>
  <c r="CS16" i="34"/>
  <c r="CS17" i="34"/>
  <c r="CS18" i="34"/>
  <c r="CS19" i="34"/>
  <c r="CS20" i="34"/>
  <c r="CS21" i="34"/>
  <c r="CS22" i="34"/>
  <c r="CS23" i="34"/>
  <c r="CS24" i="34"/>
  <c r="CS25" i="34"/>
  <c r="CS26" i="34"/>
  <c r="CS27" i="34"/>
  <c r="CS28" i="34"/>
  <c r="CS29" i="34"/>
  <c r="CS30" i="34"/>
  <c r="CS31" i="34"/>
  <c r="CS32" i="34"/>
  <c r="CS33" i="34"/>
  <c r="CS34" i="34"/>
  <c r="CT35" i="34"/>
  <c r="CV35" i="34" s="1"/>
  <c r="M6" i="32" s="1"/>
  <c r="CU35" i="34"/>
  <c r="CB35" i="34"/>
  <c r="CC35" i="34"/>
  <c r="CE35" i="34" s="1"/>
  <c r="CD35" i="34"/>
  <c r="CH4" i="34"/>
  <c r="CH5" i="34"/>
  <c r="CH6" i="34"/>
  <c r="CH7" i="34"/>
  <c r="CH8" i="34"/>
  <c r="CH37" i="34" s="1"/>
  <c r="CH9" i="34"/>
  <c r="CH10" i="34"/>
  <c r="CH11" i="34"/>
  <c r="CH12" i="34"/>
  <c r="CH13" i="34"/>
  <c r="CH14" i="34"/>
  <c r="CH15" i="34"/>
  <c r="CH16" i="34"/>
  <c r="CH17" i="34"/>
  <c r="CH18" i="34"/>
  <c r="CH19" i="34"/>
  <c r="CH20" i="34"/>
  <c r="CH21" i="34"/>
  <c r="CH22" i="34"/>
  <c r="CH23" i="34"/>
  <c r="CH24" i="34"/>
  <c r="CH25" i="34"/>
  <c r="CH26" i="34"/>
  <c r="CH27" i="34"/>
  <c r="CH28" i="34"/>
  <c r="CH29" i="34"/>
  <c r="CH30" i="34"/>
  <c r="CH31" i="34"/>
  <c r="CH32" i="34"/>
  <c r="CH33" i="34"/>
  <c r="CH34" i="34"/>
  <c r="CI35" i="34"/>
  <c r="CJ35" i="34"/>
  <c r="CK35" i="34"/>
  <c r="L6" i="32"/>
  <c r="BQ35" i="34"/>
  <c r="BR35" i="34"/>
  <c r="BS35" i="34"/>
  <c r="BT35" i="34"/>
  <c r="K4" i="32" s="1"/>
  <c r="BW4" i="34"/>
  <c r="BW35" i="34" s="1"/>
  <c r="K5" i="32" s="1"/>
  <c r="BW5" i="34"/>
  <c r="BW6" i="34"/>
  <c r="BW7" i="34"/>
  <c r="BW8" i="34"/>
  <c r="BW9" i="34"/>
  <c r="BW10" i="34"/>
  <c r="BW37" i="34" s="1"/>
  <c r="BW11" i="34"/>
  <c r="BW12" i="34"/>
  <c r="BW13" i="34"/>
  <c r="BW14" i="34"/>
  <c r="BW15" i="34"/>
  <c r="BW16" i="34"/>
  <c r="BW17" i="34"/>
  <c r="BW18" i="34"/>
  <c r="BW19" i="34"/>
  <c r="BW20" i="34"/>
  <c r="BW21" i="34"/>
  <c r="BW22" i="34"/>
  <c r="BW23" i="34"/>
  <c r="BW24" i="34"/>
  <c r="BW25" i="34"/>
  <c r="BW26" i="34"/>
  <c r="BW27" i="34"/>
  <c r="BW28" i="34"/>
  <c r="BW29" i="34"/>
  <c r="BW30" i="34"/>
  <c r="BW31" i="34"/>
  <c r="BW32" i="34"/>
  <c r="BW33" i="34"/>
  <c r="BW34" i="34"/>
  <c r="BZ4" i="34"/>
  <c r="BZ5" i="34"/>
  <c r="BZ6" i="34"/>
  <c r="BZ7" i="34"/>
  <c r="BZ35" i="34" s="1"/>
  <c r="K6" i="32" s="1"/>
  <c r="BZ8" i="34"/>
  <c r="BZ9" i="34"/>
  <c r="BZ10" i="34"/>
  <c r="BZ11" i="34"/>
  <c r="BZ12" i="34"/>
  <c r="BZ13" i="34"/>
  <c r="BZ14" i="34"/>
  <c r="BZ15" i="34"/>
  <c r="BZ16" i="34"/>
  <c r="BZ17" i="34"/>
  <c r="BZ18" i="34"/>
  <c r="BZ19" i="34"/>
  <c r="BZ20" i="34"/>
  <c r="BZ21" i="34"/>
  <c r="BZ22" i="34"/>
  <c r="BZ23" i="34"/>
  <c r="BZ24" i="34"/>
  <c r="BZ25" i="34"/>
  <c r="BZ26" i="34"/>
  <c r="BZ27" i="34"/>
  <c r="BZ28" i="34"/>
  <c r="BZ29" i="34"/>
  <c r="BZ30" i="34"/>
  <c r="BZ31" i="34"/>
  <c r="BZ32" i="34"/>
  <c r="BZ33" i="34"/>
  <c r="BZ34" i="34"/>
  <c r="BF35" i="34"/>
  <c r="BG35" i="34"/>
  <c r="BH35" i="34"/>
  <c r="BI35" i="34"/>
  <c r="BL4" i="34"/>
  <c r="BL5" i="34"/>
  <c r="BL6" i="34"/>
  <c r="BL7" i="34"/>
  <c r="BL8" i="34"/>
  <c r="BL9" i="34"/>
  <c r="BL10" i="34"/>
  <c r="BL11" i="34"/>
  <c r="BL12" i="34"/>
  <c r="BL13" i="34"/>
  <c r="BL14" i="34"/>
  <c r="BL15" i="34"/>
  <c r="BL16" i="34"/>
  <c r="BL17" i="34"/>
  <c r="BL18" i="34"/>
  <c r="BL19" i="34"/>
  <c r="BL20" i="34"/>
  <c r="BL21" i="34"/>
  <c r="BL22" i="34"/>
  <c r="BL23" i="34"/>
  <c r="BL24" i="34"/>
  <c r="BL25" i="34"/>
  <c r="BL26" i="34"/>
  <c r="BL27" i="34"/>
  <c r="BL28" i="34"/>
  <c r="BL29" i="34"/>
  <c r="BL30" i="34"/>
  <c r="BL31" i="34"/>
  <c r="BL32" i="34"/>
  <c r="BL33" i="34"/>
  <c r="BL34" i="34"/>
  <c r="BM35" i="34"/>
  <c r="BO35" i="34" s="1"/>
  <c r="J6" i="32" s="1"/>
  <c r="BN35" i="34"/>
  <c r="AU35" i="34"/>
  <c r="AX35" i="34" s="1"/>
  <c r="I4" i="32" s="1"/>
  <c r="AV35" i="34"/>
  <c r="AW35" i="34"/>
  <c r="BA4" i="34"/>
  <c r="BA5" i="34"/>
  <c r="BA6" i="34"/>
  <c r="BA7" i="34"/>
  <c r="BA8" i="34"/>
  <c r="BA9" i="34"/>
  <c r="BA10" i="34"/>
  <c r="BA11" i="34"/>
  <c r="BA12" i="34"/>
  <c r="BA13" i="34"/>
  <c r="BA14" i="34"/>
  <c r="BA15" i="34"/>
  <c r="BA16" i="34"/>
  <c r="BA17" i="34"/>
  <c r="BA18" i="34"/>
  <c r="BA19" i="34"/>
  <c r="BA20" i="34"/>
  <c r="BA21" i="34"/>
  <c r="BA22" i="34"/>
  <c r="BA23" i="34"/>
  <c r="BA24" i="34"/>
  <c r="BA25" i="34"/>
  <c r="BA26" i="34"/>
  <c r="BA27" i="34"/>
  <c r="BA28" i="34"/>
  <c r="BA29" i="34"/>
  <c r="BA30" i="34"/>
  <c r="BA31" i="34"/>
  <c r="BA32" i="34"/>
  <c r="BA33" i="34"/>
  <c r="BA34" i="34"/>
  <c r="BB35" i="34"/>
  <c r="BC35" i="34"/>
  <c r="BD35" i="34"/>
  <c r="I6" i="32"/>
  <c r="AJ35" i="34"/>
  <c r="AM35" i="34" s="1"/>
  <c r="H4" i="32" s="1"/>
  <c r="AK35" i="34"/>
  <c r="AL35" i="34"/>
  <c r="AP4" i="34"/>
  <c r="AP5" i="34"/>
  <c r="AP6" i="34"/>
  <c r="AP7" i="34"/>
  <c r="AP8" i="34"/>
  <c r="AP9" i="34"/>
  <c r="AP10" i="34"/>
  <c r="AP11" i="34"/>
  <c r="AP12" i="34"/>
  <c r="AP13" i="34"/>
  <c r="AP14" i="34"/>
  <c r="AP15" i="34"/>
  <c r="AP16" i="34"/>
  <c r="AP17" i="34"/>
  <c r="AP18" i="34"/>
  <c r="AP19" i="34"/>
  <c r="AP20" i="34"/>
  <c r="AP21" i="34"/>
  <c r="AP22" i="34"/>
  <c r="AP23" i="34"/>
  <c r="AP24" i="34"/>
  <c r="AP25" i="34"/>
  <c r="AP26" i="34"/>
  <c r="AP27" i="34"/>
  <c r="AP28" i="34"/>
  <c r="AP29" i="34"/>
  <c r="AP30" i="34"/>
  <c r="AP31" i="34"/>
  <c r="AP32" i="34"/>
  <c r="AP33" i="34"/>
  <c r="AP34" i="34"/>
  <c r="AS4" i="34"/>
  <c r="AS5" i="34"/>
  <c r="AS6" i="34"/>
  <c r="AS7" i="34"/>
  <c r="AS8" i="34"/>
  <c r="AS37" i="34" s="1"/>
  <c r="AS9" i="34"/>
  <c r="AS10" i="34"/>
  <c r="AS11" i="34"/>
  <c r="AS12" i="34"/>
  <c r="AS13" i="34"/>
  <c r="AS14" i="34"/>
  <c r="AS15" i="34"/>
  <c r="AS16" i="34"/>
  <c r="AS17" i="34"/>
  <c r="AS18" i="34"/>
  <c r="AS19" i="34"/>
  <c r="AS20" i="34"/>
  <c r="AS21" i="34"/>
  <c r="AS22" i="34"/>
  <c r="AS23" i="34"/>
  <c r="AS24" i="34"/>
  <c r="AS25" i="34"/>
  <c r="AS26" i="34"/>
  <c r="AS27" i="34"/>
  <c r="AS28" i="34"/>
  <c r="AS29" i="34"/>
  <c r="AS30" i="34"/>
  <c r="AS31" i="34"/>
  <c r="AS32" i="34"/>
  <c r="AS33" i="34"/>
  <c r="AS34" i="34"/>
  <c r="Y35" i="34"/>
  <c r="Z35" i="34"/>
  <c r="AA35" i="34"/>
  <c r="AB35" i="34"/>
  <c r="AE4" i="34"/>
  <c r="AE5" i="34"/>
  <c r="AE6" i="34"/>
  <c r="AE7" i="34"/>
  <c r="AE8" i="34"/>
  <c r="AE9" i="34"/>
  <c r="AE10" i="34"/>
  <c r="AE11" i="34"/>
  <c r="AE12" i="34"/>
  <c r="AE13" i="34"/>
  <c r="AE14" i="34"/>
  <c r="AE15" i="34"/>
  <c r="AE16" i="34"/>
  <c r="AE17" i="34"/>
  <c r="AE35" i="34" s="1"/>
  <c r="AE18" i="34"/>
  <c r="AE19" i="34"/>
  <c r="AE20" i="34"/>
  <c r="AE21" i="34"/>
  <c r="AE22" i="34"/>
  <c r="AE23" i="34"/>
  <c r="AE24" i="34"/>
  <c r="AE25" i="34"/>
  <c r="AE26" i="34"/>
  <c r="AE27" i="34"/>
  <c r="AE28" i="34"/>
  <c r="AE29" i="34"/>
  <c r="AE30" i="34"/>
  <c r="AE31" i="34"/>
  <c r="AE32" i="34"/>
  <c r="AE33" i="34"/>
  <c r="AE34" i="34"/>
  <c r="AF35" i="34"/>
  <c r="AG35" i="34"/>
  <c r="AH35" i="34" s="1"/>
  <c r="G6" i="32" s="1"/>
  <c r="Q4" i="34"/>
  <c r="Q5" i="34"/>
  <c r="Q6" i="34"/>
  <c r="Q7" i="34"/>
  <c r="Q8" i="34"/>
  <c r="Q9" i="34"/>
  <c r="Q10" i="34"/>
  <c r="Q11" i="34"/>
  <c r="Q12" i="34"/>
  <c r="Q13" i="34"/>
  <c r="Q14" i="34"/>
  <c r="Q15" i="34"/>
  <c r="Q16" i="34"/>
  <c r="Q17" i="34"/>
  <c r="Q18" i="34"/>
  <c r="Q19" i="34"/>
  <c r="Q20" i="34"/>
  <c r="Q21" i="34"/>
  <c r="Q22" i="34"/>
  <c r="Q23" i="34"/>
  <c r="Q24" i="34"/>
  <c r="Q25" i="34"/>
  <c r="Q26" i="34"/>
  <c r="Q27" i="34"/>
  <c r="Q28" i="34"/>
  <c r="Q29" i="34"/>
  <c r="Q30" i="34"/>
  <c r="Q31" i="34"/>
  <c r="Q32" i="34"/>
  <c r="Q33" i="34"/>
  <c r="Q34" i="34"/>
  <c r="T4" i="34"/>
  <c r="T5" i="34"/>
  <c r="T6" i="34"/>
  <c r="T7" i="34"/>
  <c r="T8" i="34"/>
  <c r="T9" i="34"/>
  <c r="T10" i="34"/>
  <c r="T35" i="34" s="1"/>
  <c r="R36" i="34" s="1"/>
  <c r="T36" i="34" s="1"/>
  <c r="T11" i="34"/>
  <c r="T12" i="34"/>
  <c r="T13" i="34"/>
  <c r="T14" i="34"/>
  <c r="T15" i="34"/>
  <c r="T16" i="34"/>
  <c r="T17" i="34"/>
  <c r="T18" i="34"/>
  <c r="T19" i="34"/>
  <c r="T20" i="34"/>
  <c r="T21" i="34"/>
  <c r="T22" i="34"/>
  <c r="T23" i="34"/>
  <c r="T24" i="34"/>
  <c r="T25" i="34"/>
  <c r="T26" i="34"/>
  <c r="T27" i="34"/>
  <c r="T28" i="34"/>
  <c r="T29" i="34"/>
  <c r="T30" i="34"/>
  <c r="T31" i="34"/>
  <c r="T32" i="34"/>
  <c r="T33" i="34"/>
  <c r="T34" i="34"/>
  <c r="W4" i="34"/>
  <c r="W5" i="34"/>
  <c r="W6" i="34"/>
  <c r="W7" i="34"/>
  <c r="W8" i="34"/>
  <c r="W9" i="34"/>
  <c r="W10" i="34"/>
  <c r="W11" i="34"/>
  <c r="W12" i="34"/>
  <c r="W13" i="34"/>
  <c r="W14" i="34"/>
  <c r="W15" i="34"/>
  <c r="W16" i="34"/>
  <c r="W17" i="34"/>
  <c r="W18" i="34"/>
  <c r="W19" i="34"/>
  <c r="W20" i="34"/>
  <c r="W21" i="34"/>
  <c r="W22" i="34"/>
  <c r="W23" i="34"/>
  <c r="W24" i="34"/>
  <c r="W25" i="34"/>
  <c r="W26" i="34"/>
  <c r="W27" i="34"/>
  <c r="W28" i="34"/>
  <c r="W29" i="34"/>
  <c r="W30" i="34"/>
  <c r="W31" i="34"/>
  <c r="W32" i="34"/>
  <c r="W33" i="34"/>
  <c r="W34" i="34"/>
  <c r="F4" i="34"/>
  <c r="F5" i="34"/>
  <c r="F6" i="34"/>
  <c r="F7" i="34"/>
  <c r="F8" i="34"/>
  <c r="F9" i="34"/>
  <c r="F10" i="34"/>
  <c r="F11" i="34"/>
  <c r="F12" i="34"/>
  <c r="F13" i="34"/>
  <c r="F14" i="34"/>
  <c r="F15" i="34"/>
  <c r="F16" i="34"/>
  <c r="F17" i="34"/>
  <c r="F18" i="34"/>
  <c r="F19" i="34"/>
  <c r="F20" i="34"/>
  <c r="F21" i="34"/>
  <c r="F22" i="34"/>
  <c r="F23" i="34"/>
  <c r="F24" i="34"/>
  <c r="F25" i="34"/>
  <c r="F26" i="34"/>
  <c r="F27" i="34"/>
  <c r="F28" i="34"/>
  <c r="F29" i="34"/>
  <c r="F30" i="34"/>
  <c r="F31" i="34"/>
  <c r="F32" i="34"/>
  <c r="F33" i="34"/>
  <c r="F34" i="34"/>
  <c r="I4" i="34"/>
  <c r="I5" i="34"/>
  <c r="I6" i="34"/>
  <c r="I7" i="34"/>
  <c r="I8" i="34"/>
  <c r="I9" i="34"/>
  <c r="I10" i="34"/>
  <c r="I11" i="34"/>
  <c r="I12" i="34"/>
  <c r="I13" i="34"/>
  <c r="I14" i="34"/>
  <c r="I15" i="34"/>
  <c r="I16" i="34"/>
  <c r="I17" i="34"/>
  <c r="I18" i="34"/>
  <c r="I19" i="34"/>
  <c r="I20" i="34"/>
  <c r="I21" i="34"/>
  <c r="I22" i="34"/>
  <c r="I23" i="34"/>
  <c r="I24" i="34"/>
  <c r="I25" i="34"/>
  <c r="I26" i="34"/>
  <c r="I27" i="34"/>
  <c r="I28" i="34"/>
  <c r="I29" i="34"/>
  <c r="I30" i="34"/>
  <c r="I31" i="34"/>
  <c r="I32" i="34"/>
  <c r="I33" i="34"/>
  <c r="I34" i="34"/>
  <c r="I37" i="34"/>
  <c r="E5" i="32" s="1"/>
  <c r="L4" i="34"/>
  <c r="L37" i="34" s="1"/>
  <c r="E6" i="32" s="1"/>
  <c r="L5" i="34"/>
  <c r="L6" i="34"/>
  <c r="L7" i="34"/>
  <c r="L8" i="34"/>
  <c r="L9" i="34"/>
  <c r="L10" i="34"/>
  <c r="L11" i="34"/>
  <c r="L12" i="34"/>
  <c r="L13" i="34"/>
  <c r="L14" i="34"/>
  <c r="L15" i="34"/>
  <c r="L16" i="34"/>
  <c r="L17" i="34"/>
  <c r="L18" i="34"/>
  <c r="L19" i="34"/>
  <c r="L20" i="34"/>
  <c r="L21" i="34"/>
  <c r="L22" i="34"/>
  <c r="L23" i="34"/>
  <c r="L24" i="34"/>
  <c r="L25" i="34"/>
  <c r="L26" i="34"/>
  <c r="L27" i="34"/>
  <c r="L28" i="34"/>
  <c r="L29" i="34"/>
  <c r="L30" i="34"/>
  <c r="L31" i="34"/>
  <c r="L32" i="34"/>
  <c r="L33" i="34"/>
  <c r="L34" i="34"/>
  <c r="G5" i="51"/>
  <c r="OKV28" i="51" s="1"/>
  <c r="OKU28" i="51" s="1"/>
  <c r="V14" i="6"/>
  <c r="V14" i="3"/>
  <c r="S14" i="3"/>
  <c r="S14" i="6"/>
  <c r="M14" i="6"/>
  <c r="M14" i="3"/>
  <c r="N31" i="48"/>
  <c r="M31" i="48"/>
  <c r="L31" i="48"/>
  <c r="K31" i="48"/>
  <c r="J31" i="48"/>
  <c r="BX11" i="36" s="1"/>
  <c r="I31" i="48"/>
  <c r="BN9" i="36" s="1"/>
  <c r="H31" i="48"/>
  <c r="BD15" i="36" s="1"/>
  <c r="G31" i="48"/>
  <c r="AT14" i="36" s="1"/>
  <c r="F31" i="48"/>
  <c r="AJ9" i="36" s="1"/>
  <c r="E31" i="48"/>
  <c r="D31" i="48"/>
  <c r="C31" i="48"/>
  <c r="N21" i="49"/>
  <c r="M21" i="49"/>
  <c r="DD10" i="36" s="1"/>
  <c r="L21" i="49"/>
  <c r="CT11" i="36" s="1"/>
  <c r="K21" i="49"/>
  <c r="J21" i="49"/>
  <c r="I21" i="49"/>
  <c r="H21" i="49"/>
  <c r="BF10" i="36" s="1"/>
  <c r="G21" i="49"/>
  <c r="F21" i="49"/>
  <c r="AL13" i="36" s="1"/>
  <c r="E21" i="49"/>
  <c r="AB10" i="36" s="1"/>
  <c r="D21" i="49"/>
  <c r="R13" i="36" s="1"/>
  <c r="C21" i="49"/>
  <c r="H9" i="36" s="1"/>
  <c r="P14" i="6"/>
  <c r="P14" i="3"/>
  <c r="GO104" i="13"/>
  <c r="CK104" i="13"/>
  <c r="AU104" i="13"/>
  <c r="HY104" i="13"/>
  <c r="HG104" i="13"/>
  <c r="M7" i="1"/>
  <c r="M8" i="1"/>
  <c r="M9" i="1"/>
  <c r="M10" i="1"/>
  <c r="M11" i="1"/>
  <c r="M12" i="1"/>
  <c r="M13" i="1"/>
  <c r="M14" i="1"/>
  <c r="W76" i="13"/>
  <c r="I76" i="13"/>
  <c r="G76" i="13"/>
  <c r="H76" i="13"/>
  <c r="F76" i="13"/>
  <c r="E76" i="13"/>
  <c r="C76" i="13"/>
  <c r="S76" i="13" s="1"/>
  <c r="W75" i="13"/>
  <c r="I75" i="13"/>
  <c r="G75" i="13"/>
  <c r="H75" i="13"/>
  <c r="F75" i="13"/>
  <c r="E75" i="13"/>
  <c r="J75" i="13" s="1"/>
  <c r="X75" i="13" s="1"/>
  <c r="C75" i="13"/>
  <c r="S75" i="13"/>
  <c r="W74" i="13"/>
  <c r="I74" i="13"/>
  <c r="G74" i="13"/>
  <c r="H74" i="13"/>
  <c r="F74" i="13"/>
  <c r="E74" i="13"/>
  <c r="C74" i="13"/>
  <c r="P74" i="13" s="1"/>
  <c r="W71" i="13"/>
  <c r="I71" i="13"/>
  <c r="G71" i="13"/>
  <c r="H71" i="13" s="1"/>
  <c r="J71" i="13" s="1"/>
  <c r="F71" i="13"/>
  <c r="E71" i="13"/>
  <c r="C71" i="13"/>
  <c r="W70" i="13"/>
  <c r="I70" i="13"/>
  <c r="G70" i="13"/>
  <c r="H70" i="13"/>
  <c r="F70" i="13"/>
  <c r="E70" i="13"/>
  <c r="C70" i="13"/>
  <c r="S70" i="13"/>
  <c r="W69" i="13"/>
  <c r="I69" i="13"/>
  <c r="G69" i="13"/>
  <c r="H69" i="13" s="1"/>
  <c r="F69" i="13"/>
  <c r="J69" i="13" s="1"/>
  <c r="E69" i="13"/>
  <c r="C69" i="13"/>
  <c r="S69" i="13" s="1"/>
  <c r="W66" i="13"/>
  <c r="I66" i="13"/>
  <c r="G66" i="13"/>
  <c r="H66" i="13"/>
  <c r="F66" i="13"/>
  <c r="E66" i="13"/>
  <c r="C66" i="13"/>
  <c r="S66" i="13"/>
  <c r="W65" i="13"/>
  <c r="I65" i="13"/>
  <c r="G65" i="13"/>
  <c r="H65" i="13"/>
  <c r="F65" i="13"/>
  <c r="E65" i="13"/>
  <c r="J65" i="13" s="1"/>
  <c r="C65" i="13"/>
  <c r="S65" i="13"/>
  <c r="U65" i="13" s="1"/>
  <c r="X65" i="13" s="1"/>
  <c r="W64" i="13"/>
  <c r="I64" i="13"/>
  <c r="G64" i="13"/>
  <c r="H64" i="13"/>
  <c r="F64" i="13"/>
  <c r="E64" i="13"/>
  <c r="C64" i="13"/>
  <c r="S64" i="13"/>
  <c r="M42" i="51"/>
  <c r="M44" i="51"/>
  <c r="M37" i="51"/>
  <c r="M39" i="51"/>
  <c r="M32" i="51"/>
  <c r="M34" i="51"/>
  <c r="M27" i="51"/>
  <c r="M29" i="51"/>
  <c r="M23" i="51"/>
  <c r="M24" i="51"/>
  <c r="M18" i="51"/>
  <c r="M19" i="51"/>
  <c r="M17" i="51"/>
  <c r="M13" i="51"/>
  <c r="M14" i="51"/>
  <c r="M12" i="51"/>
  <c r="M8" i="51"/>
  <c r="M9" i="51"/>
  <c r="M7" i="51"/>
  <c r="E45" i="51"/>
  <c r="E46" i="51"/>
  <c r="E44" i="51"/>
  <c r="E40" i="51"/>
  <c r="E41" i="51"/>
  <c r="E39" i="51"/>
  <c r="E35" i="51"/>
  <c r="E36" i="51"/>
  <c r="E34" i="51"/>
  <c r="E30" i="51"/>
  <c r="E31" i="51"/>
  <c r="E29" i="51"/>
  <c r="E25" i="51"/>
  <c r="E26" i="51"/>
  <c r="E24" i="51"/>
  <c r="E18" i="51"/>
  <c r="E19" i="51"/>
  <c r="E17" i="51"/>
  <c r="E13" i="51"/>
  <c r="E14" i="51"/>
  <c r="E12" i="51"/>
  <c r="E8" i="51"/>
  <c r="E9" i="51"/>
  <c r="S15" i="36"/>
  <c r="AC15" i="36"/>
  <c r="AM15" i="36" s="1"/>
  <c r="AW15" i="36" s="1"/>
  <c r="BG15" i="36" s="1"/>
  <c r="BQ15" i="36" s="1"/>
  <c r="CA15" i="36" s="1"/>
  <c r="CK15" i="36" s="1"/>
  <c r="CU15" i="36" s="1"/>
  <c r="DE15" i="36" s="1"/>
  <c r="DO15" i="36" s="1"/>
  <c r="E31" i="52"/>
  <c r="F31" i="52" s="1"/>
  <c r="E33" i="52" s="1"/>
  <c r="F35" i="52"/>
  <c r="E15" i="52"/>
  <c r="F15" i="52" s="1"/>
  <c r="E7" i="52"/>
  <c r="F7" i="52" s="1"/>
  <c r="E9" i="52" s="1"/>
  <c r="E55" i="52"/>
  <c r="F55" i="52"/>
  <c r="E57" i="52" s="1"/>
  <c r="E47" i="52"/>
  <c r="F47" i="52" s="1"/>
  <c r="F51" i="52" s="1"/>
  <c r="E39" i="52"/>
  <c r="F39" i="52"/>
  <c r="E41" i="52" s="1"/>
  <c r="E23" i="52"/>
  <c r="F23" i="52" s="1"/>
  <c r="F59" i="52"/>
  <c r="C59" i="52" s="1"/>
  <c r="DN9" i="36"/>
  <c r="DN10" i="36"/>
  <c r="DN11" i="36"/>
  <c r="DN12" i="36"/>
  <c r="DN13" i="36"/>
  <c r="DN14" i="36"/>
  <c r="DN8" i="36"/>
  <c r="CJ9" i="36"/>
  <c r="CJ10" i="36"/>
  <c r="CJ11" i="36"/>
  <c r="CJ12" i="36"/>
  <c r="CJ13" i="36"/>
  <c r="CJ14" i="36"/>
  <c r="CJ8" i="36"/>
  <c r="BZ9" i="36"/>
  <c r="BZ10" i="36"/>
  <c r="BZ11" i="36"/>
  <c r="BZ12" i="36"/>
  <c r="BZ13" i="36"/>
  <c r="BZ14" i="36"/>
  <c r="BZ15" i="36"/>
  <c r="BZ8" i="36"/>
  <c r="BP9" i="36"/>
  <c r="BP10" i="36"/>
  <c r="BP11" i="36"/>
  <c r="BP12" i="36"/>
  <c r="BP13" i="36"/>
  <c r="BP14" i="36"/>
  <c r="BP15" i="36"/>
  <c r="BP8" i="36"/>
  <c r="BF9" i="36"/>
  <c r="BF13" i="36"/>
  <c r="BF15" i="36"/>
  <c r="BF8" i="36"/>
  <c r="AV9" i="36"/>
  <c r="AV10" i="36"/>
  <c r="AV11" i="36"/>
  <c r="AV12" i="36"/>
  <c r="AV13" i="36"/>
  <c r="AV14" i="36"/>
  <c r="AV15" i="36"/>
  <c r="AV8" i="36"/>
  <c r="AL9" i="36"/>
  <c r="AL15" i="36"/>
  <c r="AB9" i="36"/>
  <c r="AB14" i="36"/>
  <c r="AB8" i="36"/>
  <c r="R9" i="36"/>
  <c r="R15" i="36"/>
  <c r="R8" i="36"/>
  <c r="DL9" i="36"/>
  <c r="DL10" i="36"/>
  <c r="DL11" i="36"/>
  <c r="DL12" i="36"/>
  <c r="DL13" i="36"/>
  <c r="DL14" i="36"/>
  <c r="DL15" i="36"/>
  <c r="DL8" i="36"/>
  <c r="DB9" i="36"/>
  <c r="DB10" i="36"/>
  <c r="DB11" i="36"/>
  <c r="DB12" i="36"/>
  <c r="DB13" i="36"/>
  <c r="DB14" i="36"/>
  <c r="DB15" i="36"/>
  <c r="DB8" i="36"/>
  <c r="CR9" i="36"/>
  <c r="CR10" i="36"/>
  <c r="CR11" i="36"/>
  <c r="CR12" i="36"/>
  <c r="CR13" i="36"/>
  <c r="CR14" i="36"/>
  <c r="CR15" i="36"/>
  <c r="CR8" i="36"/>
  <c r="CH9" i="36"/>
  <c r="CH10" i="36"/>
  <c r="CH11" i="36"/>
  <c r="CH12" i="36"/>
  <c r="CH13" i="36"/>
  <c r="CH14" i="36"/>
  <c r="CH8" i="36"/>
  <c r="BX9" i="36"/>
  <c r="BX10" i="36"/>
  <c r="BX12" i="36"/>
  <c r="BX14" i="36"/>
  <c r="BN14" i="36"/>
  <c r="BD9" i="36"/>
  <c r="BD10" i="36"/>
  <c r="BD12" i="36"/>
  <c r="BD13" i="36"/>
  <c r="BD14" i="36"/>
  <c r="BD8" i="36"/>
  <c r="AT9" i="36"/>
  <c r="AT10" i="36"/>
  <c r="AJ11" i="36"/>
  <c r="AJ13" i="36"/>
  <c r="AJ14" i="36"/>
  <c r="AJ8" i="36"/>
  <c r="Z9" i="36"/>
  <c r="Z10" i="36"/>
  <c r="Z14" i="36"/>
  <c r="Z8" i="36"/>
  <c r="P9" i="36"/>
  <c r="P10" i="36"/>
  <c r="P11" i="36"/>
  <c r="P12" i="36"/>
  <c r="P13" i="36"/>
  <c r="P14" i="36"/>
  <c r="P15" i="36"/>
  <c r="P8" i="36"/>
  <c r="F9" i="36"/>
  <c r="F10" i="36"/>
  <c r="F11" i="36"/>
  <c r="F12" i="36"/>
  <c r="F13" i="36"/>
  <c r="F14" i="36"/>
  <c r="F15" i="36"/>
  <c r="F8" i="36"/>
  <c r="EB35" i="34"/>
  <c r="EA35" i="34"/>
  <c r="EA36" i="34" s="1"/>
  <c r="DY35" i="34"/>
  <c r="DX35" i="34"/>
  <c r="DV35" i="34"/>
  <c r="DU35" i="34"/>
  <c r="DU36" i="34" s="1"/>
  <c r="DT35" i="34"/>
  <c r="DQ35" i="34"/>
  <c r="DP35" i="34"/>
  <c r="DN35" i="34"/>
  <c r="DM35" i="34"/>
  <c r="DK35" i="34"/>
  <c r="DJ35" i="34"/>
  <c r="DL35" i="34" s="1"/>
  <c r="DI35" i="34"/>
  <c r="DF35" i="34"/>
  <c r="DG36" i="34" s="1"/>
  <c r="DE35" i="34"/>
  <c r="DC35" i="34"/>
  <c r="DB35" i="34"/>
  <c r="CR35" i="34"/>
  <c r="CQ35" i="34"/>
  <c r="CI36" i="34"/>
  <c r="CG35" i="34"/>
  <c r="CF35" i="34"/>
  <c r="BY35" i="34"/>
  <c r="BY36" i="34" s="1"/>
  <c r="BX35" i="34"/>
  <c r="BX36" i="34" s="1"/>
  <c r="BV35" i="34"/>
  <c r="BU35" i="34"/>
  <c r="DA34" i="34"/>
  <c r="CV34" i="34"/>
  <c r="CP34" i="34"/>
  <c r="CK34" i="34"/>
  <c r="CE34" i="34"/>
  <c r="BT34" i="34"/>
  <c r="DA33" i="34"/>
  <c r="CV33" i="34"/>
  <c r="CP33" i="34"/>
  <c r="CK33" i="34"/>
  <c r="CE33" i="34"/>
  <c r="BT33" i="34"/>
  <c r="DA32" i="34"/>
  <c r="CV32" i="34"/>
  <c r="CP32" i="34"/>
  <c r="CK32" i="34"/>
  <c r="CE32" i="34"/>
  <c r="BT32" i="34"/>
  <c r="DA31" i="34"/>
  <c r="CV31" i="34"/>
  <c r="CP31" i="34"/>
  <c r="CK31" i="34"/>
  <c r="CE31" i="34"/>
  <c r="BT31" i="34"/>
  <c r="DA30" i="34"/>
  <c r="CV30" i="34"/>
  <c r="CP30" i="34"/>
  <c r="CK30" i="34"/>
  <c r="CE30" i="34"/>
  <c r="BT30" i="34"/>
  <c r="DA29" i="34"/>
  <c r="CV29" i="34"/>
  <c r="CP29" i="34"/>
  <c r="CK29" i="34"/>
  <c r="CE29" i="34"/>
  <c r="BT29" i="34"/>
  <c r="DA28" i="34"/>
  <c r="CV28" i="34"/>
  <c r="CP28" i="34"/>
  <c r="CK28" i="34"/>
  <c r="CE28" i="34"/>
  <c r="BT28" i="34"/>
  <c r="DA27" i="34"/>
  <c r="CV27" i="34"/>
  <c r="CP27" i="34"/>
  <c r="CK27" i="34"/>
  <c r="CE27" i="34"/>
  <c r="BT27" i="34"/>
  <c r="DA26" i="34"/>
  <c r="CV26" i="34"/>
  <c r="CP26" i="34"/>
  <c r="CK26" i="34"/>
  <c r="CE26" i="34"/>
  <c r="BT26" i="34"/>
  <c r="DA25" i="34"/>
  <c r="CV25" i="34"/>
  <c r="CP25" i="34"/>
  <c r="CK25" i="34"/>
  <c r="CE25" i="34"/>
  <c r="BT25" i="34"/>
  <c r="DA24" i="34"/>
  <c r="CV24" i="34"/>
  <c r="CP24" i="34"/>
  <c r="CK24" i="34"/>
  <c r="CE24" i="34"/>
  <c r="BT24" i="34"/>
  <c r="DA23" i="34"/>
  <c r="CV23" i="34"/>
  <c r="CP23" i="34"/>
  <c r="CK23" i="34"/>
  <c r="CE23" i="34"/>
  <c r="BT23" i="34"/>
  <c r="DA22" i="34"/>
  <c r="CV22" i="34"/>
  <c r="CP22" i="34"/>
  <c r="CK22" i="34"/>
  <c r="CE22" i="34"/>
  <c r="BT22" i="34"/>
  <c r="DA21" i="34"/>
  <c r="CV21" i="34"/>
  <c r="CP21" i="34"/>
  <c r="CK21" i="34"/>
  <c r="CE21" i="34"/>
  <c r="BT21" i="34"/>
  <c r="DA20" i="34"/>
  <c r="CV20" i="34"/>
  <c r="CP20" i="34"/>
  <c r="CK20" i="34"/>
  <c r="CE20" i="34"/>
  <c r="BT20" i="34"/>
  <c r="DA19" i="34"/>
  <c r="CV19" i="34"/>
  <c r="CP19" i="34"/>
  <c r="CK19" i="34"/>
  <c r="CE19" i="34"/>
  <c r="BT19" i="34"/>
  <c r="DA18" i="34"/>
  <c r="CV18" i="34"/>
  <c r="CP18" i="34"/>
  <c r="CK18" i="34"/>
  <c r="CE18" i="34"/>
  <c r="BT18" i="34"/>
  <c r="DA17" i="34"/>
  <c r="CV17" i="34"/>
  <c r="CP17" i="34"/>
  <c r="CK17" i="34"/>
  <c r="CE17" i="34"/>
  <c r="BT17" i="34"/>
  <c r="DA16" i="34"/>
  <c r="CV16" i="34"/>
  <c r="CP16" i="34"/>
  <c r="CK16" i="34"/>
  <c r="CE16" i="34"/>
  <c r="BT16" i="34"/>
  <c r="DA15" i="34"/>
  <c r="CV15" i="34"/>
  <c r="CP15" i="34"/>
  <c r="CK15" i="34"/>
  <c r="CE15" i="34"/>
  <c r="BT15" i="34"/>
  <c r="DA14" i="34"/>
  <c r="CV14" i="34"/>
  <c r="CP14" i="34"/>
  <c r="CK14" i="34"/>
  <c r="CE14" i="34"/>
  <c r="BT14" i="34"/>
  <c r="DA13" i="34"/>
  <c r="CV13" i="34"/>
  <c r="CP13" i="34"/>
  <c r="CK13" i="34"/>
  <c r="CE13" i="34"/>
  <c r="BT13" i="34"/>
  <c r="DA12" i="34"/>
  <c r="CV12" i="34"/>
  <c r="CP12" i="34"/>
  <c r="CK12" i="34"/>
  <c r="CE12" i="34"/>
  <c r="BT12" i="34"/>
  <c r="DA11" i="34"/>
  <c r="CV11" i="34"/>
  <c r="CP11" i="34"/>
  <c r="CK11" i="34"/>
  <c r="CE11" i="34"/>
  <c r="BT11" i="34"/>
  <c r="DA10" i="34"/>
  <c r="CV10" i="34"/>
  <c r="CP10" i="34"/>
  <c r="CK10" i="34"/>
  <c r="CE10" i="34"/>
  <c r="BT10" i="34"/>
  <c r="DA9" i="34"/>
  <c r="CV9" i="34"/>
  <c r="CP9" i="34"/>
  <c r="CK9" i="34"/>
  <c r="CE9" i="34"/>
  <c r="BT9" i="34"/>
  <c r="DA8" i="34"/>
  <c r="CV8" i="34"/>
  <c r="CP8" i="34"/>
  <c r="CK8" i="34"/>
  <c r="CE8" i="34"/>
  <c r="BT8" i="34"/>
  <c r="DA7" i="34"/>
  <c r="CV7" i="34"/>
  <c r="CP7" i="34"/>
  <c r="CK7" i="34"/>
  <c r="CE7" i="34"/>
  <c r="BT7" i="34"/>
  <c r="DA6" i="34"/>
  <c r="CV6" i="34"/>
  <c r="CP6" i="34"/>
  <c r="CK6" i="34"/>
  <c r="CE6" i="34"/>
  <c r="BT6" i="34"/>
  <c r="DA5" i="34"/>
  <c r="CV5" i="34"/>
  <c r="CP5" i="34"/>
  <c r="CP37" i="34" s="1"/>
  <c r="CK5" i="34"/>
  <c r="CK37" i="34" s="1"/>
  <c r="CE5" i="34"/>
  <c r="BT5" i="34"/>
  <c r="DA4" i="34"/>
  <c r="CV4" i="34"/>
  <c r="CP4" i="34"/>
  <c r="CK4" i="34"/>
  <c r="CE4" i="34"/>
  <c r="BT4" i="34"/>
  <c r="BM36" i="34"/>
  <c r="BK35" i="34"/>
  <c r="BJ35" i="34"/>
  <c r="BB36" i="34"/>
  <c r="AZ35" i="34"/>
  <c r="AY35" i="34"/>
  <c r="AR35" i="34"/>
  <c r="AQ35" i="34"/>
  <c r="AQ36" i="34" s="1"/>
  <c r="AO35" i="34"/>
  <c r="AN35" i="34"/>
  <c r="BO34" i="34"/>
  <c r="BI34" i="34"/>
  <c r="BD34" i="34"/>
  <c r="AX34" i="34"/>
  <c r="AM34" i="34"/>
  <c r="BO33" i="34"/>
  <c r="BI33" i="34"/>
  <c r="BD33" i="34"/>
  <c r="AX33" i="34"/>
  <c r="AM33" i="34"/>
  <c r="BO32" i="34"/>
  <c r="BI32" i="34"/>
  <c r="BD32" i="34"/>
  <c r="AX32" i="34"/>
  <c r="AM32" i="34"/>
  <c r="BO31" i="34"/>
  <c r="BI31" i="34"/>
  <c r="BD31" i="34"/>
  <c r="AX31" i="34"/>
  <c r="AM31" i="34"/>
  <c r="BO30" i="34"/>
  <c r="BI30" i="34"/>
  <c r="BD30" i="34"/>
  <c r="AX30" i="34"/>
  <c r="AM30" i="34"/>
  <c r="BO29" i="34"/>
  <c r="BI29" i="34"/>
  <c r="BD29" i="34"/>
  <c r="AX29" i="34"/>
  <c r="AM29" i="34"/>
  <c r="BO28" i="34"/>
  <c r="BI28" i="34"/>
  <c r="BD28" i="34"/>
  <c r="AX28" i="34"/>
  <c r="AM28" i="34"/>
  <c r="BO27" i="34"/>
  <c r="BI27" i="34"/>
  <c r="BD27" i="34"/>
  <c r="AX27" i="34"/>
  <c r="AM27" i="34"/>
  <c r="BO26" i="34"/>
  <c r="BI26" i="34"/>
  <c r="BD26" i="34"/>
  <c r="AX26" i="34"/>
  <c r="AM26" i="34"/>
  <c r="BO25" i="34"/>
  <c r="BI25" i="34"/>
  <c r="BD25" i="34"/>
  <c r="AX25" i="34"/>
  <c r="AM25" i="34"/>
  <c r="BO24" i="34"/>
  <c r="BI24" i="34"/>
  <c r="BD24" i="34"/>
  <c r="AX24" i="34"/>
  <c r="AM24" i="34"/>
  <c r="BO23" i="34"/>
  <c r="BI23" i="34"/>
  <c r="BD23" i="34"/>
  <c r="AX23" i="34"/>
  <c r="AM23" i="34"/>
  <c r="BO22" i="34"/>
  <c r="BI22" i="34"/>
  <c r="BD22" i="34"/>
  <c r="AX22" i="34"/>
  <c r="AM22" i="34"/>
  <c r="BO21" i="34"/>
  <c r="BI21" i="34"/>
  <c r="BD21" i="34"/>
  <c r="AX21" i="34"/>
  <c r="AM21" i="34"/>
  <c r="BO20" i="34"/>
  <c r="BI20" i="34"/>
  <c r="BD20" i="34"/>
  <c r="AX20" i="34"/>
  <c r="AM20" i="34"/>
  <c r="BO19" i="34"/>
  <c r="BI19" i="34"/>
  <c r="BD19" i="34"/>
  <c r="AX19" i="34"/>
  <c r="AM19" i="34"/>
  <c r="BO18" i="34"/>
  <c r="BI18" i="34"/>
  <c r="BD18" i="34"/>
  <c r="AX18" i="34"/>
  <c r="AM18" i="34"/>
  <c r="BO17" i="34"/>
  <c r="BI17" i="34"/>
  <c r="BD17" i="34"/>
  <c r="AX17" i="34"/>
  <c r="AM17" i="34"/>
  <c r="BO16" i="34"/>
  <c r="BI16" i="34"/>
  <c r="BD16" i="34"/>
  <c r="AX16" i="34"/>
  <c r="AM16" i="34"/>
  <c r="BO15" i="34"/>
  <c r="BI15" i="34"/>
  <c r="BD15" i="34"/>
  <c r="AX15" i="34"/>
  <c r="AM15" i="34"/>
  <c r="BO14" i="34"/>
  <c r="BI14" i="34"/>
  <c r="BD14" i="34"/>
  <c r="AX14" i="34"/>
  <c r="AM14" i="34"/>
  <c r="BO13" i="34"/>
  <c r="BI13" i="34"/>
  <c r="BD13" i="34"/>
  <c r="AX13" i="34"/>
  <c r="AM13" i="34"/>
  <c r="BO12" i="34"/>
  <c r="BI12" i="34"/>
  <c r="BD12" i="34"/>
  <c r="AX12" i="34"/>
  <c r="AM12" i="34"/>
  <c r="BO11" i="34"/>
  <c r="BI11" i="34"/>
  <c r="BD11" i="34"/>
  <c r="AX11" i="34"/>
  <c r="AM11" i="34"/>
  <c r="BO10" i="34"/>
  <c r="BI10" i="34"/>
  <c r="BD10" i="34"/>
  <c r="AX10" i="34"/>
  <c r="AM10" i="34"/>
  <c r="BO9" i="34"/>
  <c r="BI9" i="34"/>
  <c r="BD9" i="34"/>
  <c r="AX9" i="34"/>
  <c r="AM9" i="34"/>
  <c r="BO8" i="34"/>
  <c r="BI8" i="34"/>
  <c r="BD8" i="34"/>
  <c r="AX8" i="34"/>
  <c r="AM8" i="34"/>
  <c r="BO7" i="34"/>
  <c r="BI7" i="34"/>
  <c r="BD7" i="34"/>
  <c r="AX7" i="34"/>
  <c r="AM7" i="34"/>
  <c r="BO6" i="34"/>
  <c r="BI6" i="34"/>
  <c r="BD6" i="34"/>
  <c r="AX6" i="34"/>
  <c r="AM6" i="34"/>
  <c r="BO5" i="34"/>
  <c r="BI5" i="34"/>
  <c r="BD5" i="34"/>
  <c r="AX5" i="34"/>
  <c r="AM5" i="34"/>
  <c r="BO4" i="34"/>
  <c r="BI4" i="34"/>
  <c r="BD4" i="34"/>
  <c r="AX4" i="34"/>
  <c r="AX37" i="34" s="1"/>
  <c r="AM4" i="34"/>
  <c r="AM37" i="34" s="1"/>
  <c r="AF36" i="34"/>
  <c r="AD35" i="34"/>
  <c r="AC35" i="34"/>
  <c r="AH34" i="34"/>
  <c r="AB34" i="34"/>
  <c r="AH33" i="34"/>
  <c r="AB33" i="34"/>
  <c r="AH32" i="34"/>
  <c r="AB32" i="34"/>
  <c r="AH31" i="34"/>
  <c r="AB31" i="34"/>
  <c r="AH30" i="34"/>
  <c r="AB30" i="34"/>
  <c r="AH29" i="34"/>
  <c r="AB29" i="34"/>
  <c r="AH28" i="34"/>
  <c r="AB28" i="34"/>
  <c r="AH27" i="34"/>
  <c r="AB27" i="34"/>
  <c r="AH26" i="34"/>
  <c r="AB26" i="34"/>
  <c r="AH25" i="34"/>
  <c r="AB25" i="34"/>
  <c r="AH24" i="34"/>
  <c r="AB24" i="34"/>
  <c r="AH23" i="34"/>
  <c r="AB23" i="34"/>
  <c r="AH22" i="34"/>
  <c r="AB22" i="34"/>
  <c r="AH21" i="34"/>
  <c r="AB21" i="34"/>
  <c r="AH20" i="34"/>
  <c r="AB20" i="34"/>
  <c r="AH19" i="34"/>
  <c r="AB19" i="34"/>
  <c r="AH18" i="34"/>
  <c r="AB18" i="34"/>
  <c r="AH17" i="34"/>
  <c r="AB17" i="34"/>
  <c r="AH16" i="34"/>
  <c r="AB16" i="34"/>
  <c r="AH15" i="34"/>
  <c r="AB15" i="34"/>
  <c r="AH14" i="34"/>
  <c r="AB14" i="34"/>
  <c r="AH13" i="34"/>
  <c r="AB13" i="34"/>
  <c r="AH12" i="34"/>
  <c r="AB12" i="34"/>
  <c r="AH11" i="34"/>
  <c r="AB11" i="34"/>
  <c r="AH10" i="34"/>
  <c r="AB10" i="34"/>
  <c r="AH9" i="34"/>
  <c r="AB9" i="34"/>
  <c r="AH8" i="34"/>
  <c r="AB8" i="34"/>
  <c r="AH7" i="34"/>
  <c r="AB7" i="34"/>
  <c r="AH6" i="34"/>
  <c r="AB6" i="34"/>
  <c r="AH5" i="34"/>
  <c r="AB5" i="34"/>
  <c r="AH4" i="34"/>
  <c r="AH37" i="34" s="1"/>
  <c r="AB4" i="34"/>
  <c r="DG37" i="34"/>
  <c r="CV37" i="34"/>
  <c r="DE36" i="34"/>
  <c r="DW35" i="34"/>
  <c r="DT36" i="34" s="1"/>
  <c r="DW36" i="34" s="1"/>
  <c r="BZ36" i="34"/>
  <c r="CD36" i="34"/>
  <c r="DO35" i="34"/>
  <c r="DM36" i="34" s="1"/>
  <c r="DO36" i="34" s="1"/>
  <c r="DN36" i="34"/>
  <c r="CB36" i="34"/>
  <c r="CE36" i="34" s="1"/>
  <c r="BZ37" i="34"/>
  <c r="BO36" i="34"/>
  <c r="AP37" i="34"/>
  <c r="AH36" i="34"/>
  <c r="AE37" i="34"/>
  <c r="J35" i="34"/>
  <c r="U35" i="34"/>
  <c r="W35" i="34" s="1"/>
  <c r="V35" i="34"/>
  <c r="V36" i="34" s="1"/>
  <c r="S35" i="34"/>
  <c r="R35" i="34"/>
  <c r="P35" i="34"/>
  <c r="O35" i="34"/>
  <c r="N35" i="34"/>
  <c r="CN36" i="34"/>
  <c r="CO36" i="34"/>
  <c r="CM36" i="34"/>
  <c r="CP36" i="34" s="1"/>
  <c r="BS36" i="34"/>
  <c r="BQ36" i="34"/>
  <c r="BT36" i="34"/>
  <c r="BR36" i="34"/>
  <c r="AC36" i="34"/>
  <c r="AE36" i="34" s="1"/>
  <c r="AU36" i="34"/>
  <c r="AX36" i="34" s="1"/>
  <c r="BC36" i="34"/>
  <c r="CK36" i="34"/>
  <c r="CU36" i="34"/>
  <c r="CY36" i="34"/>
  <c r="BU36" i="34"/>
  <c r="BW36" i="34" s="1"/>
  <c r="DF36" i="34"/>
  <c r="CJ36" i="34"/>
  <c r="AV36" i="34"/>
  <c r="U36" i="34"/>
  <c r="Q35" i="34"/>
  <c r="O36" i="34" s="1"/>
  <c r="N36" i="34"/>
  <c r="P36" i="34"/>
  <c r="Q36" i="34"/>
  <c r="H11" i="36"/>
  <c r="H13" i="36"/>
  <c r="H15" i="36"/>
  <c r="H10" i="36"/>
  <c r="H12" i="36"/>
  <c r="H14" i="36"/>
  <c r="H8" i="36"/>
  <c r="AN13" i="14"/>
  <c r="AK13" i="14"/>
  <c r="AH13" i="14"/>
  <c r="AE13" i="14"/>
  <c r="AB13" i="14"/>
  <c r="Y13" i="14"/>
  <c r="V13" i="14"/>
  <c r="S13" i="14"/>
  <c r="P13" i="14"/>
  <c r="M13" i="14"/>
  <c r="J13" i="14"/>
  <c r="G13" i="14"/>
  <c r="AN12" i="14"/>
  <c r="AK12" i="14"/>
  <c r="AH12" i="14"/>
  <c r="AE12" i="14"/>
  <c r="AB12" i="14"/>
  <c r="Y12" i="14"/>
  <c r="V12" i="14"/>
  <c r="S12" i="14"/>
  <c r="P12" i="14"/>
  <c r="M12" i="14"/>
  <c r="J12" i="14"/>
  <c r="G12" i="14"/>
  <c r="AN11" i="14"/>
  <c r="AK11" i="14"/>
  <c r="AH11" i="14"/>
  <c r="AE11" i="14"/>
  <c r="AB11" i="14"/>
  <c r="Y11" i="14"/>
  <c r="V11" i="14"/>
  <c r="S11" i="14"/>
  <c r="P11" i="14"/>
  <c r="M11" i="14"/>
  <c r="J11" i="14"/>
  <c r="G11" i="14"/>
  <c r="AN10" i="14"/>
  <c r="AK10" i="14"/>
  <c r="AH10" i="14"/>
  <c r="AE10" i="14"/>
  <c r="AB10" i="14"/>
  <c r="Y10" i="14"/>
  <c r="V10" i="14"/>
  <c r="S10" i="14"/>
  <c r="P10" i="14"/>
  <c r="M10" i="14"/>
  <c r="J10" i="14"/>
  <c r="G10" i="14"/>
  <c r="AN9" i="14"/>
  <c r="AK9" i="14"/>
  <c r="AH9" i="14"/>
  <c r="AE9" i="14"/>
  <c r="AB9" i="14"/>
  <c r="Y9" i="14"/>
  <c r="V9" i="14"/>
  <c r="S9" i="14"/>
  <c r="S14" i="14" s="1"/>
  <c r="P9" i="14"/>
  <c r="M9" i="14"/>
  <c r="J9" i="14"/>
  <c r="G9" i="14"/>
  <c r="AN8" i="14"/>
  <c r="AK8" i="14"/>
  <c r="AH8" i="14"/>
  <c r="AE8" i="14"/>
  <c r="AB8" i="14"/>
  <c r="Y8" i="14"/>
  <c r="V8" i="14"/>
  <c r="S8" i="14"/>
  <c r="P8" i="14"/>
  <c r="M8" i="14"/>
  <c r="M14" i="14" s="1"/>
  <c r="J8" i="14"/>
  <c r="G8" i="14"/>
  <c r="AN7" i="14"/>
  <c r="AK7" i="14"/>
  <c r="AH7" i="14"/>
  <c r="AH14" i="14" s="1"/>
  <c r="AE7" i="14"/>
  <c r="AB7" i="14"/>
  <c r="Y7" i="14"/>
  <c r="V7" i="14"/>
  <c r="S7" i="14"/>
  <c r="P7" i="14"/>
  <c r="M7" i="14"/>
  <c r="J7" i="14"/>
  <c r="G7" i="14"/>
  <c r="AN6" i="14"/>
  <c r="AN14" i="14" s="1"/>
  <c r="AK6" i="14"/>
  <c r="AK14" i="14"/>
  <c r="AH6" i="14"/>
  <c r="AE6" i="14"/>
  <c r="AB6" i="14"/>
  <c r="AB14" i="14" s="1"/>
  <c r="Y6" i="14"/>
  <c r="Y14" i="14" s="1"/>
  <c r="V6" i="14"/>
  <c r="S6" i="14"/>
  <c r="P6" i="14"/>
  <c r="P14" i="14" s="1"/>
  <c r="M6" i="14"/>
  <c r="J6" i="14"/>
  <c r="G6" i="14"/>
  <c r="N20" i="15"/>
  <c r="DM15" i="36"/>
  <c r="C20" i="15"/>
  <c r="G9" i="36" s="1"/>
  <c r="G15" i="36"/>
  <c r="L20" i="15"/>
  <c r="CS13" i="36" s="1"/>
  <c r="CS15" i="36"/>
  <c r="K20" i="15"/>
  <c r="CI15" i="36"/>
  <c r="CL15" i="36"/>
  <c r="M13" i="7"/>
  <c r="AN13" i="16"/>
  <c r="AK13" i="16"/>
  <c r="AH13" i="16"/>
  <c r="AE13" i="16"/>
  <c r="AB13" i="16"/>
  <c r="Y13" i="16"/>
  <c r="V13" i="16"/>
  <c r="S13" i="16"/>
  <c r="P13" i="16"/>
  <c r="M13" i="16"/>
  <c r="J13" i="16"/>
  <c r="G13" i="16"/>
  <c r="AN12" i="16"/>
  <c r="AK12" i="16"/>
  <c r="AH12" i="16"/>
  <c r="AE12" i="16"/>
  <c r="AB12" i="16"/>
  <c r="Y12" i="16"/>
  <c r="V12" i="16"/>
  <c r="S12" i="16"/>
  <c r="P12" i="16"/>
  <c r="M12" i="16"/>
  <c r="J12" i="16"/>
  <c r="G12" i="16"/>
  <c r="AN11" i="16"/>
  <c r="AK11" i="16"/>
  <c r="AH11" i="16"/>
  <c r="AE11" i="16"/>
  <c r="AB11" i="16"/>
  <c r="Y11" i="16"/>
  <c r="V11" i="16"/>
  <c r="S11" i="16"/>
  <c r="P11" i="16"/>
  <c r="M11" i="16"/>
  <c r="J11" i="16"/>
  <c r="G11" i="16"/>
  <c r="AN10" i="16"/>
  <c r="AK10" i="16"/>
  <c r="AH10" i="16"/>
  <c r="AE10" i="16"/>
  <c r="AB10" i="16"/>
  <c r="Y10" i="16"/>
  <c r="V10" i="16"/>
  <c r="S10" i="16"/>
  <c r="P10" i="16"/>
  <c r="M10" i="16"/>
  <c r="J10" i="16"/>
  <c r="G10" i="16"/>
  <c r="AN9" i="16"/>
  <c r="AK9" i="16"/>
  <c r="AH9" i="16"/>
  <c r="AE9" i="16"/>
  <c r="AB9" i="16"/>
  <c r="Y9" i="16"/>
  <c r="V9" i="16"/>
  <c r="S9" i="16"/>
  <c r="P9" i="16"/>
  <c r="M9" i="16"/>
  <c r="J9" i="16"/>
  <c r="G9" i="16"/>
  <c r="G15" i="16" s="1"/>
  <c r="B8" i="36" s="1"/>
  <c r="EF8" i="36" s="1"/>
  <c r="AN8" i="16"/>
  <c r="AK8" i="16"/>
  <c r="AH8" i="16"/>
  <c r="AE8" i="16"/>
  <c r="AB8" i="16"/>
  <c r="Y8" i="16"/>
  <c r="V8" i="16"/>
  <c r="S8" i="16"/>
  <c r="P8" i="16"/>
  <c r="M8" i="16"/>
  <c r="J8" i="16"/>
  <c r="G8" i="16"/>
  <c r="AN7" i="16"/>
  <c r="AN15" i="16" s="1"/>
  <c r="DH8" i="36" s="1"/>
  <c r="EQ8" i="36" s="1"/>
  <c r="AK7" i="16"/>
  <c r="AH7" i="16"/>
  <c r="AH15" i="16" s="1"/>
  <c r="CN8" i="36" s="1"/>
  <c r="EO8" i="36" s="1"/>
  <c r="AE7" i="16"/>
  <c r="AB7" i="16"/>
  <c r="AB15" i="16"/>
  <c r="BT8" i="36"/>
  <c r="EM8" i="36" s="1"/>
  <c r="Y7" i="16"/>
  <c r="Y15" i="16" s="1"/>
  <c r="BJ8" i="36" s="1"/>
  <c r="EL8" i="36" s="1"/>
  <c r="V7" i="16"/>
  <c r="S7" i="16"/>
  <c r="P7" i="16"/>
  <c r="M7" i="16"/>
  <c r="J7" i="16"/>
  <c r="G7" i="16"/>
  <c r="AK15" i="16"/>
  <c r="CX8" i="36" s="1"/>
  <c r="EP8" i="36" s="1"/>
  <c r="K35" i="34"/>
  <c r="M20" i="15"/>
  <c r="DC11" i="36" s="1"/>
  <c r="G20" i="15"/>
  <c r="AU14" i="36" s="1"/>
  <c r="J20" i="15"/>
  <c r="BY13" i="36" s="1"/>
  <c r="BY14" i="36"/>
  <c r="BY12" i="36"/>
  <c r="BY15" i="36"/>
  <c r="BY9" i="36"/>
  <c r="BY10" i="36"/>
  <c r="BY8" i="36"/>
  <c r="BY11" i="36"/>
  <c r="AU10" i="36"/>
  <c r="AU8" i="36"/>
  <c r="AU11" i="36"/>
  <c r="AU12" i="36"/>
  <c r="AU9" i="36"/>
  <c r="AU13" i="36"/>
  <c r="AU15" i="36"/>
  <c r="DC9" i="36"/>
  <c r="DC13" i="36"/>
  <c r="DC14" i="36"/>
  <c r="M14" i="4"/>
  <c r="K2" i="36"/>
  <c r="L2" i="36" s="1"/>
  <c r="K15" i="36" s="1"/>
  <c r="DS15" i="36" s="1"/>
  <c r="H35" i="34"/>
  <c r="G35" i="34"/>
  <c r="E35" i="34"/>
  <c r="D35" i="34"/>
  <c r="C35" i="34"/>
  <c r="F35" i="34" s="1"/>
  <c r="I35" i="34"/>
  <c r="C36" i="34"/>
  <c r="F36" i="34" s="1"/>
  <c r="H36" i="34"/>
  <c r="G36" i="34"/>
  <c r="I36" i="34" s="1"/>
  <c r="AN12" i="7"/>
  <c r="AK12" i="7"/>
  <c r="AH12" i="7"/>
  <c r="AH14" i="7" s="1"/>
  <c r="CN14" i="36" s="1"/>
  <c r="EO14" i="36" s="1"/>
  <c r="AE12" i="7"/>
  <c r="AB12" i="7"/>
  <c r="Y12" i="7"/>
  <c r="V12" i="7"/>
  <c r="S12" i="7"/>
  <c r="P12" i="7"/>
  <c r="M12" i="7"/>
  <c r="J12" i="7"/>
  <c r="AN11" i="7"/>
  <c r="AK11" i="7"/>
  <c r="AH11" i="7"/>
  <c r="AE11" i="7"/>
  <c r="AB11" i="7"/>
  <c r="Y11" i="7"/>
  <c r="V11" i="7"/>
  <c r="S11" i="7"/>
  <c r="S14" i="7" s="1"/>
  <c r="AP14" i="36" s="1"/>
  <c r="EJ14" i="36" s="1"/>
  <c r="P11" i="7"/>
  <c r="M11" i="7"/>
  <c r="J11" i="7"/>
  <c r="AN10" i="7"/>
  <c r="AK10" i="7"/>
  <c r="AH10" i="7"/>
  <c r="AE10" i="7"/>
  <c r="AB10" i="7"/>
  <c r="Y10" i="7"/>
  <c r="V10" i="7"/>
  <c r="S10" i="7"/>
  <c r="P10" i="7"/>
  <c r="M10" i="7"/>
  <c r="J10" i="7"/>
  <c r="AN9" i="7"/>
  <c r="AK9" i="7"/>
  <c r="AK14" i="7" s="1"/>
  <c r="CX14" i="36" s="1"/>
  <c r="EP14" i="36" s="1"/>
  <c r="AH9" i="7"/>
  <c r="AE9" i="7"/>
  <c r="AB9" i="7"/>
  <c r="Y9" i="7"/>
  <c r="V9" i="7"/>
  <c r="S9" i="7"/>
  <c r="P9" i="7"/>
  <c r="M9" i="7"/>
  <c r="J9" i="7"/>
  <c r="AN8" i="7"/>
  <c r="AK8" i="7"/>
  <c r="AH8" i="7"/>
  <c r="AE8" i="7"/>
  <c r="AB8" i="7"/>
  <c r="Y8" i="7"/>
  <c r="V8" i="7"/>
  <c r="S8" i="7"/>
  <c r="P8" i="7"/>
  <c r="M8" i="7"/>
  <c r="J8" i="7"/>
  <c r="AN7" i="7"/>
  <c r="AK7" i="7"/>
  <c r="AH7" i="7"/>
  <c r="AE7" i="7"/>
  <c r="AB7" i="7"/>
  <c r="Y7" i="7"/>
  <c r="V7" i="7"/>
  <c r="S7" i="7"/>
  <c r="P7" i="7"/>
  <c r="M7" i="7"/>
  <c r="J7" i="7"/>
  <c r="J14" i="7" s="1"/>
  <c r="L14" i="36" s="1"/>
  <c r="EG14" i="36" s="1"/>
  <c r="AN6" i="7"/>
  <c r="AN14" i="7" s="1"/>
  <c r="DH14" i="36" s="1"/>
  <c r="EQ14" i="36" s="1"/>
  <c r="AK6" i="7"/>
  <c r="AH6" i="7"/>
  <c r="AE6" i="7"/>
  <c r="AE14" i="7" s="1"/>
  <c r="CD14" i="36" s="1"/>
  <c r="EN14" i="36" s="1"/>
  <c r="AB6" i="7"/>
  <c r="Y6" i="7"/>
  <c r="V6" i="7"/>
  <c r="S6" i="7"/>
  <c r="P6" i="7"/>
  <c r="M6" i="7"/>
  <c r="J6" i="7"/>
  <c r="AN13" i="6"/>
  <c r="AK13" i="6"/>
  <c r="AH13" i="6"/>
  <c r="AE13" i="6"/>
  <c r="AB13" i="6"/>
  <c r="Y13" i="6"/>
  <c r="V13" i="6"/>
  <c r="S13" i="6"/>
  <c r="P13" i="6"/>
  <c r="M13" i="6"/>
  <c r="J13" i="6"/>
  <c r="AN12" i="6"/>
  <c r="AK12" i="6"/>
  <c r="AH12" i="6"/>
  <c r="AE12" i="6"/>
  <c r="AB12" i="6"/>
  <c r="Y12" i="6"/>
  <c r="V12" i="6"/>
  <c r="S12" i="6"/>
  <c r="P12" i="6"/>
  <c r="M12" i="6"/>
  <c r="J12" i="6"/>
  <c r="AN11" i="6"/>
  <c r="AK11" i="6"/>
  <c r="AH11" i="6"/>
  <c r="AE11" i="6"/>
  <c r="AB11" i="6"/>
  <c r="Y11" i="6"/>
  <c r="V11" i="6"/>
  <c r="S11" i="6"/>
  <c r="M11" i="6"/>
  <c r="J11" i="6"/>
  <c r="AN10" i="6"/>
  <c r="AK10" i="6"/>
  <c r="AH10" i="6"/>
  <c r="AE10" i="6"/>
  <c r="AB10" i="6"/>
  <c r="Y10" i="6"/>
  <c r="V10" i="6"/>
  <c r="S10" i="6"/>
  <c r="P10" i="6"/>
  <c r="M10" i="6"/>
  <c r="J10" i="6"/>
  <c r="AN9" i="6"/>
  <c r="AK9" i="6"/>
  <c r="AH9" i="6"/>
  <c r="AE9" i="6"/>
  <c r="AB9" i="6"/>
  <c r="Y9" i="6"/>
  <c r="V9" i="6"/>
  <c r="S9" i="6"/>
  <c r="P9" i="6"/>
  <c r="M9" i="6"/>
  <c r="J9" i="6"/>
  <c r="AN8" i="6"/>
  <c r="AK8" i="6"/>
  <c r="AH8" i="6"/>
  <c r="AE8" i="6"/>
  <c r="AB8" i="6"/>
  <c r="AB16" i="6" s="1"/>
  <c r="BT13" i="36" s="1"/>
  <c r="EM13" i="36" s="1"/>
  <c r="Y8" i="6"/>
  <c r="V8" i="6"/>
  <c r="S8" i="6"/>
  <c r="P8" i="6"/>
  <c r="M8" i="6"/>
  <c r="J8" i="6"/>
  <c r="AN7" i="6"/>
  <c r="AK7" i="6"/>
  <c r="AK16" i="6" s="1"/>
  <c r="CX13" i="36" s="1"/>
  <c r="EP13" i="36" s="1"/>
  <c r="AH7" i="6"/>
  <c r="AE7" i="6"/>
  <c r="AB7" i="6"/>
  <c r="Y7" i="6"/>
  <c r="V7" i="6"/>
  <c r="S7" i="6"/>
  <c r="P7" i="6"/>
  <c r="M7" i="6"/>
  <c r="J7" i="6"/>
  <c r="AN13" i="4"/>
  <c r="AK13" i="4"/>
  <c r="AH13" i="4"/>
  <c r="AE13" i="4"/>
  <c r="AB13" i="4"/>
  <c r="Y13" i="4"/>
  <c r="V13" i="4"/>
  <c r="S13" i="4"/>
  <c r="P13" i="4"/>
  <c r="M13" i="4"/>
  <c r="J13" i="4"/>
  <c r="AN12" i="4"/>
  <c r="AK12" i="4"/>
  <c r="AH12" i="4"/>
  <c r="AE12" i="4"/>
  <c r="AB12" i="4"/>
  <c r="Y12" i="4"/>
  <c r="V12" i="4"/>
  <c r="S12" i="4"/>
  <c r="P12" i="4"/>
  <c r="M12" i="4"/>
  <c r="J12" i="4"/>
  <c r="AN11" i="4"/>
  <c r="AK11" i="4"/>
  <c r="AH11" i="4"/>
  <c r="AE11" i="4"/>
  <c r="AB11" i="4"/>
  <c r="Y11" i="4"/>
  <c r="V11" i="4"/>
  <c r="S11" i="4"/>
  <c r="S15" i="4" s="1"/>
  <c r="AP12" i="36" s="1"/>
  <c r="EJ12" i="36" s="1"/>
  <c r="P11" i="4"/>
  <c r="M11" i="4"/>
  <c r="J11" i="4"/>
  <c r="AN10" i="4"/>
  <c r="AK10" i="4"/>
  <c r="AH10" i="4"/>
  <c r="AE10" i="4"/>
  <c r="AB10" i="4"/>
  <c r="Y10" i="4"/>
  <c r="V10" i="4"/>
  <c r="S10" i="4"/>
  <c r="P10" i="4"/>
  <c r="M10" i="4"/>
  <c r="J10" i="4"/>
  <c r="AN9" i="4"/>
  <c r="AK9" i="4"/>
  <c r="AH9" i="4"/>
  <c r="AE9" i="4"/>
  <c r="AB9" i="4"/>
  <c r="Y9" i="4"/>
  <c r="Y15" i="4" s="1"/>
  <c r="BJ12" i="36" s="1"/>
  <c r="EL12" i="36" s="1"/>
  <c r="V9" i="4"/>
  <c r="S9" i="4"/>
  <c r="P9" i="4"/>
  <c r="M9" i="4"/>
  <c r="J9" i="4"/>
  <c r="AN8" i="4"/>
  <c r="AK8" i="4"/>
  <c r="AH8" i="4"/>
  <c r="AE8" i="4"/>
  <c r="AB8" i="4"/>
  <c r="AB15" i="4" s="1"/>
  <c r="BT12" i="36" s="1"/>
  <c r="EM12" i="36" s="1"/>
  <c r="Y8" i="4"/>
  <c r="V8" i="4"/>
  <c r="V15" i="4" s="1"/>
  <c r="AZ12" i="36" s="1"/>
  <c r="EK12" i="36" s="1"/>
  <c r="S8" i="4"/>
  <c r="P8" i="4"/>
  <c r="M8" i="4"/>
  <c r="J8" i="4"/>
  <c r="AN7" i="4"/>
  <c r="AK7" i="4"/>
  <c r="AH7" i="4"/>
  <c r="AE7" i="4"/>
  <c r="AB7" i="4"/>
  <c r="Y7" i="4"/>
  <c r="V7" i="4"/>
  <c r="S7" i="4"/>
  <c r="P7" i="4"/>
  <c r="P15" i="4" s="1"/>
  <c r="AF12" i="36" s="1"/>
  <c r="EI12" i="36" s="1"/>
  <c r="M7" i="4"/>
  <c r="J7" i="4"/>
  <c r="J15" i="4"/>
  <c r="L12" i="36" s="1"/>
  <c r="EG12" i="36" s="1"/>
  <c r="AN13" i="3"/>
  <c r="AK13" i="3"/>
  <c r="AH13" i="3"/>
  <c r="AE13" i="3"/>
  <c r="AB13" i="3"/>
  <c r="Y13" i="3"/>
  <c r="V13" i="3"/>
  <c r="S13" i="3"/>
  <c r="P13" i="3"/>
  <c r="M13" i="3"/>
  <c r="J13" i="3"/>
  <c r="AN12" i="3"/>
  <c r="AK12" i="3"/>
  <c r="AH12" i="3"/>
  <c r="AE12" i="3"/>
  <c r="AB12" i="3"/>
  <c r="AB15" i="3" s="1"/>
  <c r="BT11" i="36" s="1"/>
  <c r="EM11" i="36" s="1"/>
  <c r="Y12" i="3"/>
  <c r="V12" i="3"/>
  <c r="S12" i="3"/>
  <c r="P12" i="3"/>
  <c r="M12" i="3"/>
  <c r="J12" i="3"/>
  <c r="AN11" i="3"/>
  <c r="AK11" i="3"/>
  <c r="AH11" i="3"/>
  <c r="AE11" i="3"/>
  <c r="AB11" i="3"/>
  <c r="Y11" i="3"/>
  <c r="V11" i="3"/>
  <c r="S11" i="3"/>
  <c r="P11" i="3"/>
  <c r="M11" i="3"/>
  <c r="J11" i="3"/>
  <c r="AN10" i="3"/>
  <c r="AK10" i="3"/>
  <c r="AK15" i="3" s="1"/>
  <c r="CX11" i="36" s="1"/>
  <c r="EP11" i="36" s="1"/>
  <c r="AH10" i="3"/>
  <c r="AE10" i="3"/>
  <c r="AB10" i="3"/>
  <c r="Y10" i="3"/>
  <c r="V10" i="3"/>
  <c r="S10" i="3"/>
  <c r="P10" i="3"/>
  <c r="M10" i="3"/>
  <c r="J10" i="3"/>
  <c r="AN9" i="3"/>
  <c r="AK9" i="3"/>
  <c r="AH9" i="3"/>
  <c r="AH15" i="3" s="1"/>
  <c r="CN11" i="36" s="1"/>
  <c r="EO11" i="36" s="1"/>
  <c r="AE9" i="3"/>
  <c r="AB9" i="3"/>
  <c r="Y9" i="3"/>
  <c r="V9" i="3"/>
  <c r="S9" i="3"/>
  <c r="P9" i="3"/>
  <c r="M9" i="3"/>
  <c r="J9" i="3"/>
  <c r="AN8" i="3"/>
  <c r="AK8" i="3"/>
  <c r="AH8" i="3"/>
  <c r="AE8" i="3"/>
  <c r="AB8" i="3"/>
  <c r="Y8" i="3"/>
  <c r="V8" i="3"/>
  <c r="S8" i="3"/>
  <c r="P8" i="3"/>
  <c r="P15" i="3" s="1"/>
  <c r="AF11" i="36" s="1"/>
  <c r="EI11" i="36" s="1"/>
  <c r="M8" i="3"/>
  <c r="J8" i="3"/>
  <c r="AN7" i="3"/>
  <c r="AN15" i="3" s="1"/>
  <c r="DH11" i="36" s="1"/>
  <c r="EQ11" i="36" s="1"/>
  <c r="AK7" i="3"/>
  <c r="AH7" i="3"/>
  <c r="AE7" i="3"/>
  <c r="AB7" i="3"/>
  <c r="Y7" i="3"/>
  <c r="V7" i="3"/>
  <c r="S7" i="3"/>
  <c r="P7" i="3"/>
  <c r="M7" i="3"/>
  <c r="J7" i="3"/>
  <c r="J15" i="3" s="1"/>
  <c r="L11" i="36" s="1"/>
  <c r="EG11" i="36" s="1"/>
  <c r="AN15" i="1"/>
  <c r="AN14" i="1"/>
  <c r="AN13" i="1"/>
  <c r="AN12" i="1"/>
  <c r="AN11" i="1"/>
  <c r="AN10" i="1"/>
  <c r="AN9" i="1"/>
  <c r="AN8" i="1"/>
  <c r="AN7" i="1"/>
  <c r="AK15" i="1"/>
  <c r="AK14" i="1"/>
  <c r="AK13" i="1"/>
  <c r="AK12" i="1"/>
  <c r="AK11" i="1"/>
  <c r="AK10" i="1"/>
  <c r="AK9" i="1"/>
  <c r="AK8" i="1"/>
  <c r="AK7" i="1"/>
  <c r="AK16" i="1" s="1"/>
  <c r="CX9" i="36" s="1"/>
  <c r="EP9" i="36" s="1"/>
  <c r="AH15" i="1"/>
  <c r="AH14" i="1"/>
  <c r="AH13" i="1"/>
  <c r="AH12" i="1"/>
  <c r="AH11" i="1"/>
  <c r="AH10" i="1"/>
  <c r="AH9" i="1"/>
  <c r="AH8" i="1"/>
  <c r="AH7" i="1"/>
  <c r="AE15" i="1"/>
  <c r="AE14" i="1"/>
  <c r="AE13" i="1"/>
  <c r="AE12" i="1"/>
  <c r="AE11" i="1"/>
  <c r="AE10" i="1"/>
  <c r="AE9" i="1"/>
  <c r="AE8" i="1"/>
  <c r="AE7" i="1"/>
  <c r="AB15" i="1"/>
  <c r="AB16" i="1" s="1"/>
  <c r="BT9" i="36" s="1"/>
  <c r="EM9" i="36" s="1"/>
  <c r="AB14" i="1"/>
  <c r="AB13" i="1"/>
  <c r="AB12" i="1"/>
  <c r="AB11" i="1"/>
  <c r="AB10" i="1"/>
  <c r="AB9" i="1"/>
  <c r="AB8" i="1"/>
  <c r="AB7" i="1"/>
  <c r="Y15" i="1"/>
  <c r="Y14" i="1"/>
  <c r="Y13" i="1"/>
  <c r="Y12" i="1"/>
  <c r="Y11" i="1"/>
  <c r="Y16" i="1" s="1"/>
  <c r="BJ9" i="36" s="1"/>
  <c r="EL9" i="36" s="1"/>
  <c r="Y10" i="1"/>
  <c r="Y9" i="1"/>
  <c r="Y8" i="1"/>
  <c r="Y7" i="1"/>
  <c r="V15" i="1"/>
  <c r="V14" i="1"/>
  <c r="V13" i="1"/>
  <c r="V12" i="1"/>
  <c r="V11" i="1"/>
  <c r="V10" i="1"/>
  <c r="V9" i="1"/>
  <c r="V8" i="1"/>
  <c r="V7" i="1"/>
  <c r="S15" i="1"/>
  <c r="S14" i="1"/>
  <c r="S13" i="1"/>
  <c r="S16" i="1" s="1"/>
  <c r="AP9" i="36" s="1"/>
  <c r="EJ9" i="36" s="1"/>
  <c r="S12" i="1"/>
  <c r="S11" i="1"/>
  <c r="S10" i="1"/>
  <c r="S9" i="1"/>
  <c r="S8" i="1"/>
  <c r="S7" i="1"/>
  <c r="P15" i="1"/>
  <c r="P14" i="1"/>
  <c r="P13" i="1"/>
  <c r="P12" i="1"/>
  <c r="P11" i="1"/>
  <c r="P10" i="1"/>
  <c r="P9" i="1"/>
  <c r="P8" i="1"/>
  <c r="P7" i="1"/>
  <c r="P16" i="1" s="1"/>
  <c r="AF9" i="36" s="1"/>
  <c r="EI9" i="36" s="1"/>
  <c r="M15" i="1"/>
  <c r="J12" i="1"/>
  <c r="J13" i="1"/>
  <c r="J16" i="1" s="1"/>
  <c r="L9" i="36" s="1"/>
  <c r="EG9" i="36" s="1"/>
  <c r="J14" i="1"/>
  <c r="J15" i="1"/>
  <c r="J11" i="1"/>
  <c r="J8" i="1"/>
  <c r="J9" i="1"/>
  <c r="J10" i="1"/>
  <c r="G15" i="1"/>
  <c r="J7" i="1"/>
  <c r="AN15" i="4"/>
  <c r="DH12" i="36" s="1"/>
  <c r="EQ12" i="36" s="1"/>
  <c r="AP10" i="36"/>
  <c r="EJ10" i="36" s="1"/>
  <c r="AF10" i="36"/>
  <c r="EI10" i="36" s="1"/>
  <c r="I20" i="15"/>
  <c r="BO12" i="36" s="1"/>
  <c r="H20" i="15"/>
  <c r="BE12" i="36" s="1"/>
  <c r="F20" i="15"/>
  <c r="E20" i="15"/>
  <c r="AA9" i="36" s="1"/>
  <c r="D19" i="15"/>
  <c r="D20" i="15"/>
  <c r="Q13" i="36" s="1"/>
  <c r="CS9" i="36"/>
  <c r="CS12" i="36"/>
  <c r="CS8" i="36"/>
  <c r="CS11" i="36"/>
  <c r="DM14" i="36"/>
  <c r="DM9" i="36"/>
  <c r="DM12" i="36"/>
  <c r="DM13" i="36"/>
  <c r="DM10" i="36"/>
  <c r="DM8" i="36"/>
  <c r="DM11" i="36"/>
  <c r="Q14" i="36"/>
  <c r="Q15" i="36"/>
  <c r="Q9" i="36"/>
  <c r="Q10" i="36"/>
  <c r="Q8" i="36"/>
  <c r="Q11" i="36"/>
  <c r="Q12" i="36"/>
  <c r="BO15" i="36"/>
  <c r="BO14" i="36"/>
  <c r="L10" i="36"/>
  <c r="EG10" i="36" s="1"/>
  <c r="CI10" i="36"/>
  <c r="CI8" i="36"/>
  <c r="CI9" i="36"/>
  <c r="CI11" i="36"/>
  <c r="CI12" i="36"/>
  <c r="CI13" i="36"/>
  <c r="CI14" i="36"/>
  <c r="AA10" i="36"/>
  <c r="AA8" i="36"/>
  <c r="AA11" i="36"/>
  <c r="AA12" i="36"/>
  <c r="AA13" i="36"/>
  <c r="AA15" i="36"/>
  <c r="AA14" i="36"/>
  <c r="AK14" i="36"/>
  <c r="AK13" i="36"/>
  <c r="AK15" i="36"/>
  <c r="AK9" i="36"/>
  <c r="AK12" i="36"/>
  <c r="AK10" i="36"/>
  <c r="AK8" i="36"/>
  <c r="AK11" i="36"/>
  <c r="BE14" i="36"/>
  <c r="BE15" i="36"/>
  <c r="BE9" i="36"/>
  <c r="BE10" i="36"/>
  <c r="BE8" i="36"/>
  <c r="BE13" i="36"/>
  <c r="BE11" i="36"/>
  <c r="CX10" i="36"/>
  <c r="EP10" i="36" s="1"/>
  <c r="G11" i="36"/>
  <c r="G10" i="36"/>
  <c r="G12" i="36"/>
  <c r="G8" i="36"/>
  <c r="G7" i="7"/>
  <c r="G8" i="7"/>
  <c r="G9" i="7"/>
  <c r="G10" i="7"/>
  <c r="G11" i="7"/>
  <c r="G12" i="7"/>
  <c r="G13" i="7"/>
  <c r="G6" i="7"/>
  <c r="G8" i="6"/>
  <c r="G9" i="6"/>
  <c r="G10" i="6"/>
  <c r="G11" i="6"/>
  <c r="G12" i="6"/>
  <c r="G13" i="6"/>
  <c r="G14" i="6"/>
  <c r="G7" i="6"/>
  <c r="G8" i="4"/>
  <c r="G9" i="4"/>
  <c r="G10" i="4"/>
  <c r="G11" i="4"/>
  <c r="G12" i="4"/>
  <c r="G13" i="4"/>
  <c r="G14" i="4"/>
  <c r="G7" i="4"/>
  <c r="G9" i="3"/>
  <c r="G10" i="3"/>
  <c r="G11" i="3"/>
  <c r="G12" i="3"/>
  <c r="G13" i="3"/>
  <c r="G14" i="3"/>
  <c r="G8" i="3"/>
  <c r="G7" i="3"/>
  <c r="G15" i="3" s="1"/>
  <c r="B11" i="36" s="1"/>
  <c r="EF11" i="36" s="1"/>
  <c r="G14" i="1"/>
  <c r="G13" i="1"/>
  <c r="G12" i="1"/>
  <c r="G11" i="1"/>
  <c r="G10" i="1"/>
  <c r="G9" i="1"/>
  <c r="G8" i="1"/>
  <c r="G7" i="1"/>
  <c r="JY70" i="13"/>
  <c r="JN69" i="13"/>
  <c r="JN71" i="13"/>
  <c r="JN74" i="13"/>
  <c r="JT75" i="13"/>
  <c r="JY75" i="13"/>
  <c r="JX87" i="13"/>
  <c r="HC70" i="13"/>
  <c r="HE70" i="13" s="1"/>
  <c r="GZ70" i="13"/>
  <c r="AR88" i="13"/>
  <c r="CM74" i="13"/>
  <c r="CO74" i="13" s="1"/>
  <c r="CJ74" i="13"/>
  <c r="BL71" i="13"/>
  <c r="BO71" i="13"/>
  <c r="BQ71" i="13"/>
  <c r="DK76" i="13"/>
  <c r="DM76" i="13" s="1"/>
  <c r="DH76" i="13"/>
  <c r="AH64" i="13"/>
  <c r="BF76" i="13"/>
  <c r="BT76" i="13"/>
  <c r="AQ74" i="13"/>
  <c r="AN74" i="13"/>
  <c r="AS74" i="13" s="1"/>
  <c r="AV74" i="13" s="1"/>
  <c r="BO74" i="13"/>
  <c r="BL74" i="13"/>
  <c r="BQ74" i="13" s="1"/>
  <c r="T88" i="13"/>
  <c r="AH76" i="13"/>
  <c r="AV76" i="13" s="1"/>
  <c r="CJ71" i="13"/>
  <c r="CM71" i="13"/>
  <c r="AH69" i="13"/>
  <c r="GE76" i="13"/>
  <c r="GB76" i="13"/>
  <c r="GG76" i="13" s="1"/>
  <c r="FG74" i="13"/>
  <c r="FI74" i="13" s="1"/>
  <c r="IY64" i="13"/>
  <c r="IV64" i="13"/>
  <c r="CD69" i="13"/>
  <c r="CR69" i="13" s="1"/>
  <c r="DL88" i="13"/>
  <c r="FI64" i="13"/>
  <c r="FL64" i="13"/>
  <c r="EX65" i="13"/>
  <c r="FI66" i="13"/>
  <c r="FL66" i="13"/>
  <c r="FD71" i="13"/>
  <c r="FI71" i="13" s="1"/>
  <c r="FG71" i="13"/>
  <c r="AR87" i="13"/>
  <c r="BF70" i="13"/>
  <c r="AH66" i="13"/>
  <c r="AV66" i="13" s="1"/>
  <c r="EI74" i="13"/>
  <c r="EF74" i="13"/>
  <c r="EK74" i="13"/>
  <c r="FV76" i="13"/>
  <c r="GJ76" i="13" s="1"/>
  <c r="GZ69" i="13"/>
  <c r="HC69" i="13"/>
  <c r="HE69" i="13" s="1"/>
  <c r="HC66" i="13"/>
  <c r="GZ66" i="13"/>
  <c r="GT66" i="13"/>
  <c r="FV71" i="13"/>
  <c r="HR69" i="13"/>
  <c r="EI76" i="13"/>
  <c r="EF76" i="13"/>
  <c r="EK76" i="13" s="1"/>
  <c r="FV64" i="13"/>
  <c r="GJ64" i="13" s="1"/>
  <c r="GT75" i="13"/>
  <c r="HR66" i="13"/>
  <c r="IF66" i="13" s="1"/>
  <c r="IC66" i="13"/>
  <c r="IY66" i="13"/>
  <c r="IV66" i="13"/>
  <c r="IP70" i="13"/>
  <c r="JD70" i="13" s="1"/>
  <c r="HC74" i="13"/>
  <c r="HE74" i="13" s="1"/>
  <c r="GZ74" i="13"/>
  <c r="HR75" i="13"/>
  <c r="HX64" i="13"/>
  <c r="HR71" i="13"/>
  <c r="IP71" i="13"/>
  <c r="JD71" i="13" s="1"/>
  <c r="IY71" i="13"/>
  <c r="JA71" i="13" s="1"/>
  <c r="IP66" i="13"/>
  <c r="JD66" i="13" s="1"/>
  <c r="IP64" i="13"/>
  <c r="IP65" i="13"/>
  <c r="IV75" i="13"/>
  <c r="JA75" i="13"/>
  <c r="JD75" i="13" s="1"/>
  <c r="IV76" i="13"/>
  <c r="JA76" i="13" s="1"/>
  <c r="IZ87" i="13"/>
  <c r="IV74" i="13"/>
  <c r="IP75" i="13"/>
  <c r="IN76" i="13"/>
  <c r="IP76" i="13" s="1"/>
  <c r="JD76" i="13" s="1"/>
  <c r="IP74" i="13"/>
  <c r="HR70" i="13"/>
  <c r="IC76" i="13"/>
  <c r="IA69" i="13"/>
  <c r="IC69" i="13"/>
  <c r="IF69" i="13" s="1"/>
  <c r="IA71" i="13"/>
  <c r="IC71" i="13" s="1"/>
  <c r="HX75" i="13"/>
  <c r="IC75" i="13"/>
  <c r="IF75" i="13" s="1"/>
  <c r="IC64" i="13"/>
  <c r="IF64" i="13"/>
  <c r="HX65" i="13"/>
  <c r="IC65" i="13"/>
  <c r="IF65" i="13"/>
  <c r="HP76" i="13"/>
  <c r="GT74" i="13"/>
  <c r="HE64" i="13"/>
  <c r="GZ75" i="13"/>
  <c r="GR76" i="13"/>
  <c r="GT76" i="13"/>
  <c r="HH76" i="13"/>
  <c r="GT71" i="13"/>
  <c r="HD87" i="13"/>
  <c r="GT65" i="13"/>
  <c r="GZ65" i="13"/>
  <c r="HE65" i="13"/>
  <c r="FV65" i="13"/>
  <c r="GE71" i="13"/>
  <c r="GG71" i="13" s="1"/>
  <c r="GJ71" i="13" s="1"/>
  <c r="FT74" i="13"/>
  <c r="FV74" i="13"/>
  <c r="GE75" i="13"/>
  <c r="GB75" i="13"/>
  <c r="GF87" i="13"/>
  <c r="FI70" i="13"/>
  <c r="EV76" i="13"/>
  <c r="EX71" i="13"/>
  <c r="FH87" i="13"/>
  <c r="EX69" i="13"/>
  <c r="FL69" i="13"/>
  <c r="DZ65" i="13"/>
  <c r="EN65" i="13"/>
  <c r="DX74" i="13"/>
  <c r="EF64" i="13"/>
  <c r="EK64" i="13" s="1"/>
  <c r="EF75" i="13"/>
  <c r="EK75" i="13"/>
  <c r="EN75" i="13" s="1"/>
  <c r="DZ71" i="13"/>
  <c r="DH64" i="13"/>
  <c r="DH75" i="13"/>
  <c r="DM75" i="13" s="1"/>
  <c r="DK75" i="13"/>
  <c r="DL87" i="13"/>
  <c r="CZ74" i="13"/>
  <c r="DB74" i="13"/>
  <c r="DP74" i="13" s="1"/>
  <c r="DB65" i="13"/>
  <c r="DH65" i="13"/>
  <c r="DM65" i="13" s="1"/>
  <c r="CM75" i="13"/>
  <c r="CJ75" i="13"/>
  <c r="CN87" i="13"/>
  <c r="CB74" i="13"/>
  <c r="CD74" i="13" s="1"/>
  <c r="CD65" i="13"/>
  <c r="BF69" i="13"/>
  <c r="BD74" i="13"/>
  <c r="BF74" i="13" s="1"/>
  <c r="BF65" i="13"/>
  <c r="BF71" i="13"/>
  <c r="BL75" i="13"/>
  <c r="BQ75" i="13" s="1"/>
  <c r="BT75" i="13" s="1"/>
  <c r="BQ70" i="13"/>
  <c r="BT70" i="13"/>
  <c r="AQ71" i="13"/>
  <c r="AS71" i="13"/>
  <c r="AH74" i="13"/>
  <c r="AN75" i="13"/>
  <c r="AV65" i="13"/>
  <c r="T87" i="13"/>
  <c r="P70" i="13"/>
  <c r="U70" i="13" s="1"/>
  <c r="P66" i="13"/>
  <c r="U66" i="13" s="1"/>
  <c r="P65" i="13"/>
  <c r="P75" i="13"/>
  <c r="U75" i="13"/>
  <c r="S74" i="13"/>
  <c r="J66" i="13"/>
  <c r="J64" i="13"/>
  <c r="X64" i="13" s="1"/>
  <c r="J70" i="13"/>
  <c r="X70" i="13" s="1"/>
  <c r="J76" i="13"/>
  <c r="J74" i="13"/>
  <c r="P64" i="13"/>
  <c r="U64" i="13"/>
  <c r="DP65" i="13"/>
  <c r="IF71" i="13"/>
  <c r="BT71" i="13"/>
  <c r="DP76" i="13"/>
  <c r="CO71" i="13"/>
  <c r="CR71" i="13"/>
  <c r="JA66" i="13"/>
  <c r="HH65" i="13"/>
  <c r="GG75" i="13"/>
  <c r="CO75" i="13"/>
  <c r="CS35" i="34" l="1"/>
  <c r="CS37" i="34"/>
  <c r="DI36" i="34"/>
  <c r="DL36" i="34" s="1"/>
  <c r="DK36" i="34"/>
  <c r="DJ36" i="34"/>
  <c r="S71" i="13"/>
  <c r="P71" i="13"/>
  <c r="U71" i="13" s="1"/>
  <c r="X71" i="13" s="1"/>
  <c r="AE14" i="14"/>
  <c r="AS36" i="34"/>
  <c r="BL37" i="34"/>
  <c r="IN69" i="13"/>
  <c r="IP69" i="13"/>
  <c r="FT69" i="13"/>
  <c r="FV69" i="13"/>
  <c r="GJ69" i="13" s="1"/>
  <c r="G15" i="4"/>
  <c r="B12" i="36" s="1"/>
  <c r="EF12" i="36" s="1"/>
  <c r="G14" i="7"/>
  <c r="B14" i="36" s="1"/>
  <c r="EF14" i="36" s="1"/>
  <c r="K91" i="45" s="1"/>
  <c r="K99" i="45" s="1"/>
  <c r="DR35" i="34"/>
  <c r="DP36" i="34"/>
  <c r="BL35" i="34"/>
  <c r="DP67" i="13"/>
  <c r="EN76" i="13"/>
  <c r="HH69" i="13"/>
  <c r="JD77" i="13"/>
  <c r="IN10" i="13"/>
  <c r="IP10" i="13"/>
  <c r="FL67" i="13"/>
  <c r="S36" i="34"/>
  <c r="U74" i="13"/>
  <c r="X74" i="13" s="1"/>
  <c r="G4" i="32"/>
  <c r="AA36" i="34"/>
  <c r="Z36" i="34"/>
  <c r="Y36" i="34"/>
  <c r="AB36" i="34" s="1"/>
  <c r="CD66" i="13"/>
  <c r="CR66" i="13" s="1"/>
  <c r="IA70" i="13"/>
  <c r="HX70" i="13"/>
  <c r="IC70" i="13" s="1"/>
  <c r="IF70" i="13" s="1"/>
  <c r="IF72" i="13" s="1"/>
  <c r="HP74" i="13"/>
  <c r="HR74" i="13" s="1"/>
  <c r="IF74" i="13" s="1"/>
  <c r="IF77" i="13" s="1"/>
  <c r="DQ36" i="34"/>
  <c r="X66" i="13"/>
  <c r="X67" i="13" s="1"/>
  <c r="FL71" i="13"/>
  <c r="JA64" i="13"/>
  <c r="JD64" i="13" s="1"/>
  <c r="Y15" i="3"/>
  <c r="BJ11" i="36" s="1"/>
  <c r="EL11" i="36" s="1"/>
  <c r="AE15" i="4"/>
  <c r="CD12" i="36" s="1"/>
  <c r="EN12" i="36" s="1"/>
  <c r="BO37" i="34"/>
  <c r="DZ74" i="13"/>
  <c r="EN74" i="13" s="1"/>
  <c r="BD35" i="13"/>
  <c r="BF35" i="13"/>
  <c r="J15" i="16"/>
  <c r="L8" i="36" s="1"/>
  <c r="EG8" i="36" s="1"/>
  <c r="BT37" i="34"/>
  <c r="G5" i="32"/>
  <c r="AD36" i="34"/>
  <c r="AV67" i="13"/>
  <c r="AF75" i="13"/>
  <c r="AH75" i="13"/>
  <c r="AV75" i="13" s="1"/>
  <c r="AV77" i="13" s="1"/>
  <c r="FL74" i="13"/>
  <c r="AO80" i="13"/>
  <c r="AP80" i="13"/>
  <c r="AQ80" i="13"/>
  <c r="AR80" i="13"/>
  <c r="AN80" i="13"/>
  <c r="BH36" i="34"/>
  <c r="AN16" i="1"/>
  <c r="DH9" i="36" s="1"/>
  <c r="EQ9" i="36" s="1"/>
  <c r="AK15" i="4"/>
  <c r="CX12" i="36" s="1"/>
  <c r="EP12" i="36" s="1"/>
  <c r="D36" i="34"/>
  <c r="G14" i="14"/>
  <c r="CE37" i="34"/>
  <c r="BQ64" i="13"/>
  <c r="EX70" i="13"/>
  <c r="FL70" i="13" s="1"/>
  <c r="FL72" i="13" s="1"/>
  <c r="JN70" i="13"/>
  <c r="KB70" i="13" s="1"/>
  <c r="JY84" i="13"/>
  <c r="KB84" i="13" s="1"/>
  <c r="BT64" i="13"/>
  <c r="BT67" i="13" s="1"/>
  <c r="AH15" i="4"/>
  <c r="CN12" i="36" s="1"/>
  <c r="EO12" i="36" s="1"/>
  <c r="E36" i="34"/>
  <c r="J14" i="14"/>
  <c r="BD37" i="34"/>
  <c r="CR36" i="34"/>
  <c r="GB74" i="13"/>
  <c r="GE74" i="13"/>
  <c r="HH70" i="13"/>
  <c r="JW76" i="13"/>
  <c r="JT76" i="13"/>
  <c r="AH80" i="13"/>
  <c r="AF80" i="13"/>
  <c r="CO58" i="13"/>
  <c r="CR58" i="13" s="1"/>
  <c r="AH16" i="6"/>
  <c r="CN13" i="36" s="1"/>
  <c r="EO13" i="36" s="1"/>
  <c r="Y14" i="7"/>
  <c r="BJ14" i="36" s="1"/>
  <c r="EL14" i="36" s="1"/>
  <c r="BI37" i="34"/>
  <c r="IF67" i="13"/>
  <c r="IV65" i="13"/>
  <c r="JA65" i="13" s="1"/>
  <c r="JD65" i="13" s="1"/>
  <c r="AH16" i="1"/>
  <c r="CN9" i="36" s="1"/>
  <c r="EO9" i="36" s="1"/>
  <c r="AB14" i="7"/>
  <c r="BT14" i="36" s="1"/>
  <c r="EM14" i="36" s="1"/>
  <c r="EC36" i="34"/>
  <c r="HH74" i="13"/>
  <c r="HH77" i="13" s="1"/>
  <c r="DA37" i="34"/>
  <c r="EN64" i="13"/>
  <c r="GE70" i="13"/>
  <c r="GB70" i="13"/>
  <c r="GG70" i="13" s="1"/>
  <c r="GJ70" i="13" s="1"/>
  <c r="GJ75" i="13"/>
  <c r="CR74" i="13"/>
  <c r="J4" i="32"/>
  <c r="BF36" i="34"/>
  <c r="BI36" i="34" s="1"/>
  <c r="BG36" i="34"/>
  <c r="JN65" i="13"/>
  <c r="KB65" i="13" s="1"/>
  <c r="JL65" i="13"/>
  <c r="DP77" i="13"/>
  <c r="BT74" i="13"/>
  <c r="BT77" i="13" s="1"/>
  <c r="HE66" i="13"/>
  <c r="HH66" i="13" s="1"/>
  <c r="HH67" i="13" s="1"/>
  <c r="G16" i="1"/>
  <c r="B9" i="36" s="1"/>
  <c r="EF9" i="36" s="1"/>
  <c r="V15" i="16"/>
  <c r="AZ8" i="36" s="1"/>
  <c r="EK8" i="36" s="1"/>
  <c r="V14" i="14"/>
  <c r="FV85" i="13"/>
  <c r="FT85" i="13"/>
  <c r="DZ37" i="34"/>
  <c r="P5" i="32" s="1"/>
  <c r="BM81" i="13"/>
  <c r="BN81" i="13"/>
  <c r="BO81" i="13"/>
  <c r="BP81" i="13"/>
  <c r="BL81" i="13"/>
  <c r="CD83" i="13"/>
  <c r="DJ80" i="13"/>
  <c r="DL80" i="13"/>
  <c r="DZ80" i="13"/>
  <c r="AN18" i="13"/>
  <c r="AO18" i="13"/>
  <c r="AP18" i="13"/>
  <c r="AQ18" i="13"/>
  <c r="AR18" i="13"/>
  <c r="P76" i="13"/>
  <c r="U76" i="13" s="1"/>
  <c r="X76" i="13" s="1"/>
  <c r="G14" i="36"/>
  <c r="BO9" i="36"/>
  <c r="CS10" i="36"/>
  <c r="DC15" i="36"/>
  <c r="AJ15" i="36"/>
  <c r="BD11" i="36"/>
  <c r="AS35" i="34"/>
  <c r="K20" i="32"/>
  <c r="K21" i="32" s="1"/>
  <c r="DD35" i="34"/>
  <c r="AO88" i="13"/>
  <c r="AQ88" i="13"/>
  <c r="BF85" i="13"/>
  <c r="EG81" i="13"/>
  <c r="EH81" i="13"/>
  <c r="EI81" i="13"/>
  <c r="EJ81" i="13"/>
  <c r="EF81" i="13"/>
  <c r="EX83" i="13"/>
  <c r="GT83" i="13"/>
  <c r="HH83" i="13" s="1"/>
  <c r="U36" i="13"/>
  <c r="X36" i="13" s="1"/>
  <c r="AS16" i="13"/>
  <c r="CR42" i="13"/>
  <c r="X88" i="13"/>
  <c r="T84" i="13"/>
  <c r="U84" i="13" s="1"/>
  <c r="X84" i="13" s="1"/>
  <c r="Q84" i="13"/>
  <c r="S84" i="13"/>
  <c r="BF81" i="13"/>
  <c r="J48" i="13"/>
  <c r="AH18" i="13"/>
  <c r="BF43" i="13"/>
  <c r="G13" i="36"/>
  <c r="BO13" i="36"/>
  <c r="CS14" i="36"/>
  <c r="M15" i="4"/>
  <c r="V12" i="36" s="1"/>
  <c r="EH12" i="36" s="1"/>
  <c r="M14" i="7"/>
  <c r="V14" i="36" s="1"/>
  <c r="EH14" i="36" s="1"/>
  <c r="L35" i="34"/>
  <c r="DC12" i="36"/>
  <c r="AJ36" i="34"/>
  <c r="AM36" i="34" s="1"/>
  <c r="BN36" i="34"/>
  <c r="AJ12" i="36"/>
  <c r="BN8" i="36"/>
  <c r="AB15" i="36"/>
  <c r="DW37" i="34"/>
  <c r="P4" i="32" s="1"/>
  <c r="AH17" i="2"/>
  <c r="CN10" i="36" s="1"/>
  <c r="EO10" i="36" s="1"/>
  <c r="CD70" i="13"/>
  <c r="DI84" i="13"/>
  <c r="DJ84" i="13"/>
  <c r="DK84" i="13"/>
  <c r="DL84" i="13"/>
  <c r="DH84" i="13"/>
  <c r="DM84" i="13" s="1"/>
  <c r="DP84" i="13" s="1"/>
  <c r="DZ81" i="13"/>
  <c r="GF86" i="13"/>
  <c r="GC86" i="13"/>
  <c r="GG86" i="13" s="1"/>
  <c r="GJ86" i="13" s="1"/>
  <c r="GE86" i="13"/>
  <c r="IP82" i="13"/>
  <c r="J16" i="13"/>
  <c r="GE65" i="13"/>
  <c r="GB65" i="13"/>
  <c r="GG65" i="13" s="1"/>
  <c r="GJ65" i="13" s="1"/>
  <c r="GJ67" i="13" s="1"/>
  <c r="JN75" i="13"/>
  <c r="KB75" i="13" s="1"/>
  <c r="CN84" i="13"/>
  <c r="CK84" i="13"/>
  <c r="CM84" i="13"/>
  <c r="DB83" i="13"/>
  <c r="IP80" i="13"/>
  <c r="AS26" i="13"/>
  <c r="AV26" i="13" s="1"/>
  <c r="DB69" i="13"/>
  <c r="DP69" i="13" s="1"/>
  <c r="BO11" i="36"/>
  <c r="AE16" i="1"/>
  <c r="CD9" i="36" s="1"/>
  <c r="EN9" i="36" s="1"/>
  <c r="K24" i="45" s="1"/>
  <c r="Y16" i="6"/>
  <c r="BJ13" i="36" s="1"/>
  <c r="EL13" i="36" s="1"/>
  <c r="DC8" i="36"/>
  <c r="AG36" i="34"/>
  <c r="AJ10" i="36"/>
  <c r="BN10" i="36"/>
  <c r="AB13" i="36"/>
  <c r="BA37" i="34"/>
  <c r="BA35" i="34"/>
  <c r="DL37" i="34"/>
  <c r="O4" i="32" s="1"/>
  <c r="EC37" i="34"/>
  <c r="P6" i="32" s="1"/>
  <c r="FG84" i="13"/>
  <c r="FH84" i="13"/>
  <c r="FD84" i="13"/>
  <c r="FF84" i="13"/>
  <c r="GG88" i="13"/>
  <c r="GJ88" i="13" s="1"/>
  <c r="FV83" i="13"/>
  <c r="HB88" i="13"/>
  <c r="HC88" i="13"/>
  <c r="HE88" i="13" s="1"/>
  <c r="HH88" i="13" s="1"/>
  <c r="HD88" i="13"/>
  <c r="HA88" i="13"/>
  <c r="GT84" i="13"/>
  <c r="JN86" i="13"/>
  <c r="J26" i="13"/>
  <c r="T19" i="13"/>
  <c r="Q19" i="13"/>
  <c r="P19" i="13"/>
  <c r="U19" i="13" s="1"/>
  <c r="X19" i="13" s="1"/>
  <c r="S19" i="13"/>
  <c r="AH31" i="13"/>
  <c r="CK58" i="13"/>
  <c r="CD52" i="13"/>
  <c r="CR52" i="13" s="1"/>
  <c r="AE15" i="3"/>
  <c r="CD11" i="36" s="1"/>
  <c r="EN11" i="36" s="1"/>
  <c r="K52" i="45" s="1"/>
  <c r="K60" i="45" s="1"/>
  <c r="V14" i="7"/>
  <c r="AZ14" i="36" s="1"/>
  <c r="EK14" i="36" s="1"/>
  <c r="DC10" i="36"/>
  <c r="W36" i="34"/>
  <c r="EC35" i="34"/>
  <c r="EB36" i="34" s="1"/>
  <c r="CT36" i="34"/>
  <c r="AB12" i="36"/>
  <c r="Q37" i="34"/>
  <c r="F4" i="32" s="1"/>
  <c r="BD36" i="34"/>
  <c r="JW71" i="13"/>
  <c r="JY71" i="13" s="1"/>
  <c r="KB71" i="13" s="1"/>
  <c r="U85" i="13"/>
  <c r="X85" i="13" s="1"/>
  <c r="AR81" i="13"/>
  <c r="AO81" i="13"/>
  <c r="AQ81" i="13"/>
  <c r="CD81" i="13"/>
  <c r="DB84" i="13"/>
  <c r="R58" i="13"/>
  <c r="T58" i="13"/>
  <c r="P58" i="13"/>
  <c r="U58" i="13" s="1"/>
  <c r="X58" i="13" s="1"/>
  <c r="S58" i="13"/>
  <c r="BP57" i="13"/>
  <c r="BM57" i="13"/>
  <c r="BL57" i="13"/>
  <c r="BO57" i="13"/>
  <c r="BO8" i="36"/>
  <c r="P69" i="13"/>
  <c r="U69" i="13" s="1"/>
  <c r="X69" i="13" s="1"/>
  <c r="X72" i="13" s="1"/>
  <c r="CM64" i="13"/>
  <c r="CO64" i="13" s="1"/>
  <c r="CR64" i="13" s="1"/>
  <c r="BO10" i="36"/>
  <c r="AW36" i="34"/>
  <c r="CX36" i="34"/>
  <c r="DA36" i="34" s="1"/>
  <c r="DR36" i="34"/>
  <c r="AT8" i="36"/>
  <c r="BX8" i="36"/>
  <c r="AB11" i="36"/>
  <c r="DO37" i="34"/>
  <c r="O5" i="32" s="1"/>
  <c r="AN17" i="2"/>
  <c r="DH10" i="36" s="1"/>
  <c r="EQ10" i="36" s="1"/>
  <c r="BQ69" i="13"/>
  <c r="BT69" i="13" s="1"/>
  <c r="BT72" i="13" s="1"/>
  <c r="CD75" i="13"/>
  <c r="CR75" i="13" s="1"/>
  <c r="J82" i="13"/>
  <c r="BP82" i="13"/>
  <c r="BM82" i="13"/>
  <c r="BO82" i="13"/>
  <c r="EX81" i="13"/>
  <c r="JA85" i="13"/>
  <c r="JD85" i="13" s="1"/>
  <c r="CL58" i="13"/>
  <c r="CM58" i="13"/>
  <c r="DM36" i="13"/>
  <c r="P14" i="7"/>
  <c r="AF14" i="36" s="1"/>
  <c r="EI14" i="36" s="1"/>
  <c r="DV36" i="34"/>
  <c r="BX15" i="36"/>
  <c r="B59" i="52"/>
  <c r="Z11" i="36"/>
  <c r="Z12" i="36"/>
  <c r="Z13" i="36"/>
  <c r="Z15" i="36"/>
  <c r="CH35" i="34"/>
  <c r="BQ65" i="13"/>
  <c r="BT65" i="13" s="1"/>
  <c r="FL75" i="13"/>
  <c r="GZ71" i="13"/>
  <c r="HE71" i="13" s="1"/>
  <c r="HH71" i="13" s="1"/>
  <c r="KB66" i="13"/>
  <c r="DZ84" i="13"/>
  <c r="EJ82" i="13"/>
  <c r="EG82" i="13"/>
  <c r="EK82" i="13" s="1"/>
  <c r="EN82" i="13" s="1"/>
  <c r="EI82" i="13"/>
  <c r="GT82" i="13"/>
  <c r="HB80" i="13"/>
  <c r="HD80" i="13"/>
  <c r="HE80" i="13" s="1"/>
  <c r="HH80" i="13" s="1"/>
  <c r="BF51" i="13"/>
  <c r="CD9" i="13"/>
  <c r="V15" i="3"/>
  <c r="AZ11" i="36" s="1"/>
  <c r="EK11" i="36" s="1"/>
  <c r="AL36" i="34"/>
  <c r="AE17" i="2"/>
  <c r="CD10" i="36" s="1"/>
  <c r="EN10" i="36" s="1"/>
  <c r="K39" i="45" s="1"/>
  <c r="AQ86" i="13"/>
  <c r="AR86" i="13"/>
  <c r="AN86" i="13"/>
  <c r="AP86" i="13"/>
  <c r="AS86" i="13" s="1"/>
  <c r="AV86" i="13" s="1"/>
  <c r="HE87" i="13"/>
  <c r="HH87" i="13" s="1"/>
  <c r="BP10" i="13"/>
  <c r="BM10" i="13"/>
  <c r="BN10" i="13"/>
  <c r="BO10" i="13"/>
  <c r="BL10" i="13"/>
  <c r="AN16" i="6"/>
  <c r="DH13" i="36" s="1"/>
  <c r="EQ13" i="36" s="1"/>
  <c r="CZ36" i="34"/>
  <c r="BX13" i="36"/>
  <c r="AL8" i="36"/>
  <c r="AT11" i="36"/>
  <c r="AT12" i="36"/>
  <c r="AT13" i="36"/>
  <c r="AT15" i="36"/>
  <c r="W37" i="34"/>
  <c r="F6" i="32" s="1"/>
  <c r="T37" i="34"/>
  <c r="F5" i="32" s="1"/>
  <c r="CC36" i="34"/>
  <c r="L4" i="32"/>
  <c r="V17" i="2"/>
  <c r="AZ10" i="36" s="1"/>
  <c r="EK10" i="36" s="1"/>
  <c r="R87" i="13"/>
  <c r="S87" i="13"/>
  <c r="Q87" i="13"/>
  <c r="U87" i="13" s="1"/>
  <c r="X87" i="13" s="1"/>
  <c r="Q83" i="13"/>
  <c r="R83" i="13"/>
  <c r="S83" i="13"/>
  <c r="T83" i="13"/>
  <c r="P83" i="13"/>
  <c r="U83" i="13" s="1"/>
  <c r="X83" i="13" s="1"/>
  <c r="EK80" i="13"/>
  <c r="EN80" i="13" s="1"/>
  <c r="FV84" i="13"/>
  <c r="HY86" i="13"/>
  <c r="HZ86" i="13"/>
  <c r="IA86" i="13"/>
  <c r="IB86" i="13"/>
  <c r="HX86" i="13"/>
  <c r="BN40" i="13"/>
  <c r="BM40" i="13"/>
  <c r="BO40" i="13"/>
  <c r="BP40" i="13"/>
  <c r="BL40" i="13"/>
  <c r="J16" i="6"/>
  <c r="L13" i="36" s="1"/>
  <c r="EG13" i="36" s="1"/>
  <c r="BV36" i="34"/>
  <c r="R10" i="36"/>
  <c r="R11" i="36"/>
  <c r="R12" i="36"/>
  <c r="R14" i="36"/>
  <c r="M17" i="2"/>
  <c r="V10" i="36" s="1"/>
  <c r="EH10" i="36" s="1"/>
  <c r="DK70" i="13"/>
  <c r="DH70" i="13"/>
  <c r="DM70" i="13" s="1"/>
  <c r="DP70" i="13" s="1"/>
  <c r="DZ70" i="13"/>
  <c r="EN70" i="13" s="1"/>
  <c r="JN76" i="13"/>
  <c r="DL85" i="13"/>
  <c r="DI85" i="13"/>
  <c r="DK85" i="13"/>
  <c r="DM85" i="13" s="1"/>
  <c r="DP85" i="13" s="1"/>
  <c r="GC85" i="13"/>
  <c r="GD85" i="13"/>
  <c r="GE85" i="13"/>
  <c r="GF85" i="13"/>
  <c r="GB85" i="13"/>
  <c r="BF18" i="13"/>
  <c r="M16" i="6"/>
  <c r="V13" i="36" s="1"/>
  <c r="EH13" i="36" s="1"/>
  <c r="CV36" i="34"/>
  <c r="AB37" i="34"/>
  <c r="BN11" i="36"/>
  <c r="BN12" i="36"/>
  <c r="BN13" i="36"/>
  <c r="BN15" i="36"/>
  <c r="F37" i="34"/>
  <c r="E4" i="32" s="1"/>
  <c r="E20" i="32" s="1"/>
  <c r="E21" i="32" s="1"/>
  <c r="AP35" i="34"/>
  <c r="BF80" i="13"/>
  <c r="CK83" i="13"/>
  <c r="CL83" i="13"/>
  <c r="CM83" i="13"/>
  <c r="CN83" i="13"/>
  <c r="CJ83" i="13"/>
  <c r="CO83" i="13" s="1"/>
  <c r="CR83" i="13" s="1"/>
  <c r="CD82" i="13"/>
  <c r="CR82" i="13" s="1"/>
  <c r="DK80" i="13"/>
  <c r="EN83" i="13"/>
  <c r="EX82" i="13"/>
  <c r="HE81" i="13"/>
  <c r="HH81" i="13" s="1"/>
  <c r="DB59" i="13"/>
  <c r="P16" i="6"/>
  <c r="AF13" i="36" s="1"/>
  <c r="EI13" i="36" s="1"/>
  <c r="AE15" i="16"/>
  <c r="CD8" i="36" s="1"/>
  <c r="EN8" i="36" s="1"/>
  <c r="K9" i="45" s="1"/>
  <c r="AK36" i="34"/>
  <c r="DZ35" i="34"/>
  <c r="AL10" i="36"/>
  <c r="AL11" i="36"/>
  <c r="AL12" i="36"/>
  <c r="AL14" i="36"/>
  <c r="J83" i="13"/>
  <c r="DI80" i="13"/>
  <c r="DM80" i="13" s="1"/>
  <c r="DP80" i="13" s="1"/>
  <c r="FI85" i="13"/>
  <c r="FL85" i="13" s="1"/>
  <c r="FE83" i="13"/>
  <c r="FF83" i="13"/>
  <c r="FG83" i="13"/>
  <c r="FH83" i="13"/>
  <c r="FD83" i="13"/>
  <c r="HC86" i="13"/>
  <c r="HD86" i="13"/>
  <c r="GZ86" i="13"/>
  <c r="HB86" i="13"/>
  <c r="HR86" i="13"/>
  <c r="J9" i="13"/>
  <c r="AS58" i="13"/>
  <c r="AV58" i="13" s="1"/>
  <c r="CO59" i="13"/>
  <c r="CR59" i="13" s="1"/>
  <c r="J18" i="13"/>
  <c r="AH57" i="13"/>
  <c r="AN36" i="13"/>
  <c r="AO36" i="13"/>
  <c r="AP36" i="13"/>
  <c r="AQ36" i="13"/>
  <c r="AR36" i="13"/>
  <c r="AO31" i="13"/>
  <c r="AS31" i="13" s="1"/>
  <c r="AV31" i="13" s="1"/>
  <c r="BT32" i="13"/>
  <c r="CK49" i="13"/>
  <c r="CO49" i="13" s="1"/>
  <c r="CR49" i="13" s="1"/>
  <c r="JA87" i="13"/>
  <c r="JD87" i="13" s="1"/>
  <c r="JU84" i="13"/>
  <c r="JV84" i="13"/>
  <c r="JW84" i="13"/>
  <c r="JX84" i="13"/>
  <c r="AO9" i="13"/>
  <c r="AP9" i="13"/>
  <c r="AQ9" i="13"/>
  <c r="AR9" i="13"/>
  <c r="AR58" i="13"/>
  <c r="AO58" i="13"/>
  <c r="AH49" i="13"/>
  <c r="AH43" i="13"/>
  <c r="AS34" i="13"/>
  <c r="AV34" i="13" s="1"/>
  <c r="AH25" i="13"/>
  <c r="BF61" i="13"/>
  <c r="BQ35" i="13"/>
  <c r="BT35" i="13" s="1"/>
  <c r="DM17" i="13"/>
  <c r="DP17" i="13" s="1"/>
  <c r="EK61" i="13"/>
  <c r="EN61" i="13" s="1"/>
  <c r="IC25" i="13"/>
  <c r="IF25" i="13" s="1"/>
  <c r="IW49" i="13"/>
  <c r="IX49" i="13"/>
  <c r="IY49" i="13"/>
  <c r="IZ49" i="13"/>
  <c r="IV49" i="13"/>
  <c r="JY8" i="13"/>
  <c r="KB8" i="13" s="1"/>
  <c r="JY32" i="13"/>
  <c r="KB32" i="13" s="1"/>
  <c r="JT14" i="13"/>
  <c r="JY14" i="13" s="1"/>
  <c r="KB14" i="13" s="1"/>
  <c r="JU14" i="13"/>
  <c r="JV14" i="13"/>
  <c r="JW14" i="13"/>
  <c r="JX14" i="13"/>
  <c r="EX30" i="13"/>
  <c r="FI23" i="13"/>
  <c r="FL23" i="13" s="1"/>
  <c r="BF14" i="36"/>
  <c r="JT64" i="13"/>
  <c r="JY64" i="13" s="1"/>
  <c r="KB64" i="13" s="1"/>
  <c r="KB67" i="13" s="1"/>
  <c r="S86" i="13"/>
  <c r="AQ83" i="13"/>
  <c r="BO84" i="13"/>
  <c r="CR88" i="13"/>
  <c r="EK87" i="13"/>
  <c r="EN87" i="13" s="1"/>
  <c r="EI84" i="13"/>
  <c r="EK84" i="13" s="1"/>
  <c r="EN84" i="13" s="1"/>
  <c r="GE82" i="13"/>
  <c r="HC82" i="13"/>
  <c r="HR83" i="13"/>
  <c r="IY83" i="13"/>
  <c r="IZ83" i="13"/>
  <c r="IV83" i="13"/>
  <c r="JY88" i="13"/>
  <c r="KB88" i="13" s="1"/>
  <c r="JN84" i="13"/>
  <c r="JX80" i="13"/>
  <c r="U50" i="13"/>
  <c r="X50" i="13" s="1"/>
  <c r="U42" i="13"/>
  <c r="X42" i="13" s="1"/>
  <c r="T31" i="13"/>
  <c r="AH52" i="13"/>
  <c r="BP19" i="13"/>
  <c r="BM19" i="13"/>
  <c r="BQ19" i="13" s="1"/>
  <c r="BT19" i="13" s="1"/>
  <c r="CD61" i="13"/>
  <c r="DB10" i="13"/>
  <c r="EG41" i="13"/>
  <c r="EH41" i="13"/>
  <c r="EI41" i="13"/>
  <c r="EJ41" i="13"/>
  <c r="EF41" i="13"/>
  <c r="FD52" i="13"/>
  <c r="FE52" i="13"/>
  <c r="FF52" i="13"/>
  <c r="FG52" i="13"/>
  <c r="FH52" i="13"/>
  <c r="CM70" i="13"/>
  <c r="CO70" i="13" s="1"/>
  <c r="IV69" i="13"/>
  <c r="JA69" i="13" s="1"/>
  <c r="R86" i="13"/>
  <c r="AQ87" i="13"/>
  <c r="AP83" i="13"/>
  <c r="BN84" i="13"/>
  <c r="BQ84" i="13" s="1"/>
  <c r="BT84" i="13" s="1"/>
  <c r="DM81" i="13"/>
  <c r="DP81" i="13" s="1"/>
  <c r="EH84" i="13"/>
  <c r="EX85" i="13"/>
  <c r="FI81" i="13"/>
  <c r="FL81" i="13" s="1"/>
  <c r="FI80" i="13"/>
  <c r="FL80" i="13" s="1"/>
  <c r="GD82" i="13"/>
  <c r="FV80" i="13"/>
  <c r="GJ80" i="13" s="1"/>
  <c r="HC87" i="13"/>
  <c r="HB82" i="13"/>
  <c r="IC84" i="13"/>
  <c r="IF84" i="13" s="1"/>
  <c r="IP85" i="13"/>
  <c r="JW85" i="13"/>
  <c r="JW80" i="13"/>
  <c r="J61" i="13"/>
  <c r="U59" i="13"/>
  <c r="X59" i="13" s="1"/>
  <c r="J58" i="13"/>
  <c r="J52" i="13"/>
  <c r="S31" i="13"/>
  <c r="AH9" i="13"/>
  <c r="AS61" i="13"/>
  <c r="AV61" i="13" s="1"/>
  <c r="BM47" i="13"/>
  <c r="BN47" i="13"/>
  <c r="BQ47" i="13" s="1"/>
  <c r="BT47" i="13" s="1"/>
  <c r="BO47" i="13"/>
  <c r="BP47" i="13"/>
  <c r="CO50" i="13"/>
  <c r="CR50" i="13" s="1"/>
  <c r="CD19" i="13"/>
  <c r="DI23" i="13"/>
  <c r="DM23" i="13" s="1"/>
  <c r="DP23" i="13" s="1"/>
  <c r="DJ23" i="13"/>
  <c r="DK23" i="13"/>
  <c r="DL23" i="13"/>
  <c r="DH23" i="13"/>
  <c r="EH33" i="13"/>
  <c r="EJ33" i="13"/>
  <c r="EF33" i="13"/>
  <c r="BF12" i="36"/>
  <c r="AQ70" i="13"/>
  <c r="AS70" i="13" s="1"/>
  <c r="AV70" i="13" s="1"/>
  <c r="EF69" i="13"/>
  <c r="EK69" i="13" s="1"/>
  <c r="EN69" i="13" s="1"/>
  <c r="Q86" i="13"/>
  <c r="U86" i="13" s="1"/>
  <c r="X86" i="13" s="1"/>
  <c r="R81" i="13"/>
  <c r="AP87" i="13"/>
  <c r="AS87" i="13" s="1"/>
  <c r="AV87" i="13" s="1"/>
  <c r="AR84" i="13"/>
  <c r="AS84" i="13" s="1"/>
  <c r="AV84" i="13" s="1"/>
  <c r="AO83" i="13"/>
  <c r="AS83" i="13" s="1"/>
  <c r="AV83" i="13" s="1"/>
  <c r="BM84" i="13"/>
  <c r="EG84" i="13"/>
  <c r="FI88" i="13"/>
  <c r="FL88" i="13" s="1"/>
  <c r="FI86" i="13"/>
  <c r="FL86" i="13" s="1"/>
  <c r="GC82" i="13"/>
  <c r="HB87" i="13"/>
  <c r="HA82" i="13"/>
  <c r="JV85" i="13"/>
  <c r="JU80" i="13"/>
  <c r="Q31" i="13"/>
  <c r="AS59" i="13"/>
  <c r="AV59" i="13" s="1"/>
  <c r="AP19" i="13"/>
  <c r="BF8" i="13"/>
  <c r="BQ58" i="13"/>
  <c r="BT58" i="13" s="1"/>
  <c r="BQ36" i="13"/>
  <c r="BT36" i="13" s="1"/>
  <c r="BQ31" i="13"/>
  <c r="BT31" i="13" s="1"/>
  <c r="EX57" i="13"/>
  <c r="EX35" i="13"/>
  <c r="GZ10" i="13"/>
  <c r="HA10" i="13"/>
  <c r="HB10" i="13"/>
  <c r="HC10" i="13"/>
  <c r="HD10" i="13"/>
  <c r="GZ58" i="13"/>
  <c r="HA58" i="13"/>
  <c r="HB58" i="13"/>
  <c r="HC58" i="13"/>
  <c r="HD58" i="13"/>
  <c r="BF11" i="36"/>
  <c r="T82" i="13"/>
  <c r="AQ84" i="13"/>
  <c r="BO85" i="13"/>
  <c r="BP80" i="13"/>
  <c r="FI82" i="13"/>
  <c r="FL82" i="13" s="1"/>
  <c r="JN82" i="13"/>
  <c r="JT80" i="13"/>
  <c r="P31" i="13"/>
  <c r="AR10" i="13"/>
  <c r="AO10" i="13"/>
  <c r="AQ40" i="13"/>
  <c r="AR40" i="13"/>
  <c r="AN40" i="13"/>
  <c r="AH16" i="13"/>
  <c r="FE36" i="13"/>
  <c r="FF36" i="13"/>
  <c r="FG36" i="13"/>
  <c r="FH36" i="13"/>
  <c r="FD36" i="13"/>
  <c r="FV43" i="13"/>
  <c r="HB8" i="13"/>
  <c r="HC8" i="13"/>
  <c r="HD8" i="13"/>
  <c r="HA8" i="13"/>
  <c r="GZ8" i="13"/>
  <c r="HH36" i="13"/>
  <c r="GJ83" i="13"/>
  <c r="JX85" i="13"/>
  <c r="JU85" i="13"/>
  <c r="JY85" i="13" s="1"/>
  <c r="KB85" i="13" s="1"/>
  <c r="AQ19" i="13"/>
  <c r="AR19" i="13"/>
  <c r="AN19" i="13"/>
  <c r="BM9" i="13"/>
  <c r="BN9" i="13"/>
  <c r="BO9" i="13"/>
  <c r="BP9" i="13"/>
  <c r="BQ9" i="13" s="1"/>
  <c r="BT9" i="13" s="1"/>
  <c r="FI60" i="13"/>
  <c r="GG56" i="13"/>
  <c r="GJ56" i="13" s="1"/>
  <c r="GB66" i="13"/>
  <c r="GG66" i="13" s="1"/>
  <c r="GJ66" i="13" s="1"/>
  <c r="R82" i="13"/>
  <c r="U82" i="13" s="1"/>
  <c r="X82" i="13" s="1"/>
  <c r="AR85" i="13"/>
  <c r="AS85" i="13" s="1"/>
  <c r="AV85" i="13" s="1"/>
  <c r="AO84" i="13"/>
  <c r="AH83" i="13"/>
  <c r="BO88" i="13"/>
  <c r="BP86" i="13"/>
  <c r="BM85" i="13"/>
  <c r="BF84" i="13"/>
  <c r="BN80" i="13"/>
  <c r="DK87" i="13"/>
  <c r="EJ86" i="13"/>
  <c r="EH80" i="13"/>
  <c r="FF82" i="13"/>
  <c r="GD84" i="13"/>
  <c r="GG84" i="13" s="1"/>
  <c r="GJ84" i="13" s="1"/>
  <c r="HD85" i="13"/>
  <c r="IA85" i="13"/>
  <c r="HX82" i="13"/>
  <c r="IC82" i="13" s="1"/>
  <c r="IF82" i="13" s="1"/>
  <c r="IP81" i="13"/>
  <c r="J50" i="13"/>
  <c r="S43" i="13"/>
  <c r="Q18" i="13"/>
  <c r="U18" i="13" s="1"/>
  <c r="X18" i="13" s="1"/>
  <c r="R18" i="13"/>
  <c r="S18" i="13"/>
  <c r="T18" i="13"/>
  <c r="AO57" i="13"/>
  <c r="AP57" i="13"/>
  <c r="AQ57" i="13"/>
  <c r="AR57" i="13"/>
  <c r="AH56" i="13"/>
  <c r="AR49" i="13"/>
  <c r="AS49" i="13" s="1"/>
  <c r="AV49" i="13" s="1"/>
  <c r="BF60" i="13"/>
  <c r="BO48" i="13"/>
  <c r="BQ48" i="13" s="1"/>
  <c r="BT48" i="13" s="1"/>
  <c r="BF16" i="13"/>
  <c r="CO51" i="13"/>
  <c r="CR51" i="13" s="1"/>
  <c r="EJ51" i="13"/>
  <c r="EG51" i="13"/>
  <c r="EI51" i="13"/>
  <c r="EH51" i="13"/>
  <c r="EX43" i="13"/>
  <c r="CM76" i="13"/>
  <c r="CO76" i="13" s="1"/>
  <c r="CR76" i="13" s="1"/>
  <c r="JT69" i="13"/>
  <c r="JY69" i="13" s="1"/>
  <c r="KB69" i="13" s="1"/>
  <c r="KB72" i="13" s="1"/>
  <c r="Q82" i="13"/>
  <c r="AQ85" i="13"/>
  <c r="BN88" i="13"/>
  <c r="BQ88" i="13" s="1"/>
  <c r="BT88" i="13" s="1"/>
  <c r="BO86" i="13"/>
  <c r="BM80" i="13"/>
  <c r="DJ87" i="13"/>
  <c r="DM87" i="13" s="1"/>
  <c r="DP87" i="13" s="1"/>
  <c r="EI86" i="13"/>
  <c r="HC85" i="13"/>
  <c r="HE84" i="13"/>
  <c r="HH84" i="13" s="1"/>
  <c r="X57" i="13"/>
  <c r="Q43" i="13"/>
  <c r="P26" i="13"/>
  <c r="Q26" i="13"/>
  <c r="R26" i="13"/>
  <c r="S26" i="13"/>
  <c r="T26" i="13"/>
  <c r="AH61" i="13"/>
  <c r="BM56" i="13"/>
  <c r="BN56" i="13"/>
  <c r="BO56" i="13"/>
  <c r="BP56" i="13"/>
  <c r="BN48" i="13"/>
  <c r="BF47" i="13"/>
  <c r="CD8" i="13"/>
  <c r="CD25" i="13"/>
  <c r="BO65" i="13"/>
  <c r="AP85" i="13"/>
  <c r="BN86" i="13"/>
  <c r="CM87" i="13"/>
  <c r="CO87" i="13" s="1"/>
  <c r="CR87" i="13" s="1"/>
  <c r="EI88" i="13"/>
  <c r="EK88" i="13" s="1"/>
  <c r="EN88" i="13" s="1"/>
  <c r="EH86" i="13"/>
  <c r="FG87" i="13"/>
  <c r="HB85" i="13"/>
  <c r="HE85" i="13" s="1"/>
  <c r="HH85" i="13" s="1"/>
  <c r="IA88" i="13"/>
  <c r="HX85" i="13"/>
  <c r="IC85" i="13" s="1"/>
  <c r="IF85" i="13" s="1"/>
  <c r="IV82" i="13"/>
  <c r="IW82" i="13"/>
  <c r="IX82" i="13"/>
  <c r="IY82" i="13"/>
  <c r="IZ82" i="13"/>
  <c r="J8" i="13"/>
  <c r="P43" i="13"/>
  <c r="U43" i="13" s="1"/>
  <c r="X43" i="13" s="1"/>
  <c r="J25" i="13"/>
  <c r="X25" i="13" s="1"/>
  <c r="AO49" i="13"/>
  <c r="BF9" i="13"/>
  <c r="DL51" i="13"/>
  <c r="DI51" i="13"/>
  <c r="DK51" i="13"/>
  <c r="DH51" i="13"/>
  <c r="DM51" i="13" s="1"/>
  <c r="DP51" i="13" s="1"/>
  <c r="DJ51" i="13"/>
  <c r="DZ43" i="13"/>
  <c r="AN69" i="13"/>
  <c r="AS69" i="13" s="1"/>
  <c r="AV69" i="13" s="1"/>
  <c r="CM65" i="13"/>
  <c r="CO65" i="13" s="1"/>
  <c r="CR65" i="13" s="1"/>
  <c r="EF66" i="13"/>
  <c r="EK66" i="13" s="1"/>
  <c r="EN66" i="13" s="1"/>
  <c r="EF71" i="13"/>
  <c r="EK71" i="13" s="1"/>
  <c r="EN71" i="13" s="1"/>
  <c r="EH88" i="13"/>
  <c r="EG86" i="13"/>
  <c r="FF87" i="13"/>
  <c r="FI87" i="13" s="1"/>
  <c r="FL87" i="13" s="1"/>
  <c r="HA85" i="13"/>
  <c r="HZ88" i="13"/>
  <c r="JY86" i="13"/>
  <c r="KB86" i="13" s="1"/>
  <c r="U16" i="13"/>
  <c r="X16" i="13" s="1"/>
  <c r="AR31" i="13"/>
  <c r="BP48" i="13"/>
  <c r="BM48" i="13"/>
  <c r="BF31" i="13"/>
  <c r="CN49" i="13"/>
  <c r="CR43" i="13"/>
  <c r="CJ40" i="13"/>
  <c r="CO40" i="13" s="1"/>
  <c r="CR40" i="13" s="1"/>
  <c r="CR44" i="13" s="1"/>
  <c r="F6" i="31" s="1"/>
  <c r="AG12" i="36" s="1"/>
  <c r="CL40" i="13"/>
  <c r="CK40" i="13"/>
  <c r="CJ35" i="13"/>
  <c r="CK35" i="13"/>
  <c r="CL35" i="13"/>
  <c r="CM35" i="13"/>
  <c r="DZ60" i="13"/>
  <c r="EX60" i="13"/>
  <c r="IC83" i="13"/>
  <c r="IF83" i="13" s="1"/>
  <c r="HR82" i="13"/>
  <c r="U32" i="13"/>
  <c r="X32" i="13" s="1"/>
  <c r="AQ58" i="13"/>
  <c r="AH35" i="13"/>
  <c r="AQ31" i="13"/>
  <c r="BF56" i="13"/>
  <c r="BF50" i="13"/>
  <c r="BF42" i="13"/>
  <c r="BM18" i="13"/>
  <c r="BN18" i="13"/>
  <c r="BQ18" i="13" s="1"/>
  <c r="BT18" i="13" s="1"/>
  <c r="BO18" i="13"/>
  <c r="BP18" i="13"/>
  <c r="CM49" i="13"/>
  <c r="DB48" i="13"/>
  <c r="DM41" i="13"/>
  <c r="DP41" i="13" s="1"/>
  <c r="T23" i="13"/>
  <c r="T14" i="13"/>
  <c r="AR59" i="13"/>
  <c r="AR50" i="13"/>
  <c r="AS50" i="13" s="1"/>
  <c r="AV50" i="13" s="1"/>
  <c r="AR32" i="13"/>
  <c r="AS32" i="13" s="1"/>
  <c r="AV32" i="13" s="1"/>
  <c r="AR14" i="13"/>
  <c r="AS14" i="13" s="1"/>
  <c r="AV14" i="13" s="1"/>
  <c r="BP58" i="13"/>
  <c r="BP49" i="13"/>
  <c r="BQ49" i="13" s="1"/>
  <c r="BT49" i="13" s="1"/>
  <c r="CN59" i="13"/>
  <c r="CD34" i="13"/>
  <c r="CD32" i="13"/>
  <c r="CO25" i="13"/>
  <c r="CR25" i="13" s="1"/>
  <c r="DI59" i="13"/>
  <c r="DJ59" i="13"/>
  <c r="DK59" i="13"/>
  <c r="DL59" i="13"/>
  <c r="DH59" i="13"/>
  <c r="DB43" i="13"/>
  <c r="DJ33" i="13"/>
  <c r="DM33" i="13" s="1"/>
  <c r="DP33" i="13" s="1"/>
  <c r="DL33" i="13"/>
  <c r="DZ58" i="13"/>
  <c r="DZ48" i="13"/>
  <c r="EH43" i="13"/>
  <c r="EJ43" i="13"/>
  <c r="EK43" i="13" s="1"/>
  <c r="EN43" i="13" s="1"/>
  <c r="EK25" i="13"/>
  <c r="EN25" i="13" s="1"/>
  <c r="EG23" i="13"/>
  <c r="EK23" i="13" s="1"/>
  <c r="EN23" i="13" s="1"/>
  <c r="EH23" i="13"/>
  <c r="EI23" i="13"/>
  <c r="EJ23" i="13"/>
  <c r="EF23" i="13"/>
  <c r="FG58" i="13"/>
  <c r="FH58" i="13"/>
  <c r="FD58" i="13"/>
  <c r="FF58" i="13"/>
  <c r="FH50" i="13"/>
  <c r="FE50" i="13"/>
  <c r="FI50" i="13" s="1"/>
  <c r="FL50" i="13" s="1"/>
  <c r="FG50" i="13"/>
  <c r="FE48" i="13"/>
  <c r="FF48" i="13"/>
  <c r="FG48" i="13"/>
  <c r="FH48" i="13"/>
  <c r="FD48" i="13"/>
  <c r="FI48" i="13" s="1"/>
  <c r="FL48" i="13" s="1"/>
  <c r="FI43" i="13"/>
  <c r="FL43" i="13" s="1"/>
  <c r="EX19" i="13"/>
  <c r="IC9" i="13"/>
  <c r="IZ86" i="13"/>
  <c r="JA86" i="13" s="1"/>
  <c r="JD86" i="13" s="1"/>
  <c r="IW85" i="13"/>
  <c r="JY81" i="13"/>
  <c r="KB81" i="13" s="1"/>
  <c r="S60" i="13"/>
  <c r="R33" i="13"/>
  <c r="S24" i="13"/>
  <c r="S15" i="13"/>
  <c r="AQ60" i="13"/>
  <c r="AQ51" i="13"/>
  <c r="AP42" i="13"/>
  <c r="AQ34" i="13"/>
  <c r="AP33" i="13"/>
  <c r="AP24" i="13"/>
  <c r="AS24" i="13" s="1"/>
  <c r="AV24" i="13" s="1"/>
  <c r="AQ15" i="13"/>
  <c r="AS15" i="13" s="1"/>
  <c r="AV15" i="13" s="1"/>
  <c r="BO59" i="13"/>
  <c r="DH47" i="13"/>
  <c r="DI47" i="13"/>
  <c r="DJ47" i="13"/>
  <c r="DK47" i="13"/>
  <c r="DB30" i="13"/>
  <c r="DM15" i="13"/>
  <c r="DP15" i="13" s="1"/>
  <c r="FI41" i="13"/>
  <c r="HX36" i="13"/>
  <c r="HY36" i="13"/>
  <c r="HZ36" i="13"/>
  <c r="IA36" i="13"/>
  <c r="IW35" i="13"/>
  <c r="IX35" i="13"/>
  <c r="IY35" i="13"/>
  <c r="IZ35" i="13"/>
  <c r="IV35" i="13"/>
  <c r="IA84" i="13"/>
  <c r="IX80" i="13"/>
  <c r="JW82" i="13"/>
  <c r="T8" i="13"/>
  <c r="T61" i="13"/>
  <c r="R60" i="13"/>
  <c r="T52" i="13"/>
  <c r="Q51" i="13"/>
  <c r="U51" i="13" s="1"/>
  <c r="X51" i="13" s="1"/>
  <c r="R47" i="13"/>
  <c r="T34" i="13"/>
  <c r="U34" i="13" s="1"/>
  <c r="X34" i="13" s="1"/>
  <c r="Q33" i="13"/>
  <c r="U33" i="13" s="1"/>
  <c r="X33" i="13" s="1"/>
  <c r="R24" i="13"/>
  <c r="R15" i="13"/>
  <c r="AP60" i="13"/>
  <c r="AP51" i="13"/>
  <c r="AO42" i="13"/>
  <c r="AS42" i="13" s="1"/>
  <c r="AV42" i="13" s="1"/>
  <c r="AH41" i="13"/>
  <c r="AP34" i="13"/>
  <c r="AO33" i="13"/>
  <c r="AO24" i="13"/>
  <c r="CO33" i="13"/>
  <c r="CR33" i="13" s="1"/>
  <c r="CJ26" i="13"/>
  <c r="CK26" i="13"/>
  <c r="CL26" i="13"/>
  <c r="CM26" i="13"/>
  <c r="DM52" i="13"/>
  <c r="DM42" i="13"/>
  <c r="DP42" i="13" s="1"/>
  <c r="DZ9" i="13"/>
  <c r="DZ49" i="13"/>
  <c r="DZ36" i="13"/>
  <c r="DZ33" i="13"/>
  <c r="DZ23" i="13"/>
  <c r="DZ18" i="13"/>
  <c r="EX48" i="13"/>
  <c r="IC48" i="13"/>
  <c r="IF48" i="13" s="1"/>
  <c r="HX41" i="13"/>
  <c r="HY41" i="13"/>
  <c r="HZ41" i="13"/>
  <c r="IA41" i="13"/>
  <c r="IB41" i="13"/>
  <c r="IC26" i="13"/>
  <c r="IV57" i="13"/>
  <c r="JA57" i="13" s="1"/>
  <c r="JD57" i="13" s="1"/>
  <c r="IW57" i="13"/>
  <c r="IX57" i="13"/>
  <c r="IY57" i="13"/>
  <c r="IZ57" i="13"/>
  <c r="JY16" i="13"/>
  <c r="KB16" i="13" s="1"/>
  <c r="HZ84" i="13"/>
  <c r="IW80" i="13"/>
  <c r="JV82" i="13"/>
  <c r="JY82" i="13" s="1"/>
  <c r="KB82" i="13" s="1"/>
  <c r="S8" i="13"/>
  <c r="U8" i="13" s="1"/>
  <c r="X8" i="13" s="1"/>
  <c r="S61" i="13"/>
  <c r="U61" i="13" s="1"/>
  <c r="Q60" i="13"/>
  <c r="U60" i="13" s="1"/>
  <c r="X60" i="13" s="1"/>
  <c r="S52" i="13"/>
  <c r="Q47" i="13"/>
  <c r="Q24" i="13"/>
  <c r="T16" i="13"/>
  <c r="Q15" i="13"/>
  <c r="U15" i="13" s="1"/>
  <c r="X15" i="13" s="1"/>
  <c r="AR61" i="13"/>
  <c r="AO60" i="13"/>
  <c r="AS60" i="13" s="1"/>
  <c r="AV60" i="13" s="1"/>
  <c r="AO51" i="13"/>
  <c r="AS51" i="13" s="1"/>
  <c r="AV51" i="13" s="1"/>
  <c r="AR35" i="13"/>
  <c r="AO34" i="13"/>
  <c r="AQ25" i="13"/>
  <c r="AS25" i="13" s="1"/>
  <c r="AV25" i="13" s="1"/>
  <c r="AR16" i="13"/>
  <c r="BO60" i="13"/>
  <c r="BQ60" i="13" s="1"/>
  <c r="BT60" i="13" s="1"/>
  <c r="BM59" i="13"/>
  <c r="BQ59" i="13" s="1"/>
  <c r="BT59" i="13" s="1"/>
  <c r="BM50" i="13"/>
  <c r="BQ50" i="13" s="1"/>
  <c r="BO34" i="13"/>
  <c r="BQ34" i="13" s="1"/>
  <c r="BT34" i="13" s="1"/>
  <c r="BM33" i="13"/>
  <c r="BQ33" i="13" s="1"/>
  <c r="BT33" i="13" s="1"/>
  <c r="BO25" i="13"/>
  <c r="BQ25" i="13" s="1"/>
  <c r="BT25" i="13" s="1"/>
  <c r="CK61" i="13"/>
  <c r="CO61" i="13" s="1"/>
  <c r="CR61" i="13" s="1"/>
  <c r="CD35" i="13"/>
  <c r="CN33" i="13"/>
  <c r="CK33" i="13"/>
  <c r="CM33" i="13"/>
  <c r="CD18" i="13"/>
  <c r="CD16" i="13"/>
  <c r="DJ52" i="13"/>
  <c r="DL52" i="13"/>
  <c r="DL42" i="13"/>
  <c r="DI42" i="13"/>
  <c r="DK42" i="13"/>
  <c r="DB36" i="13"/>
  <c r="DM34" i="13"/>
  <c r="DB23" i="13"/>
  <c r="DZ57" i="13"/>
  <c r="EG50" i="13"/>
  <c r="EH50" i="13"/>
  <c r="EI50" i="13"/>
  <c r="EJ50" i="13"/>
  <c r="EF50" i="13"/>
  <c r="EH42" i="13"/>
  <c r="EF26" i="13"/>
  <c r="EG26" i="13"/>
  <c r="EH26" i="13"/>
  <c r="EI26" i="13"/>
  <c r="DX15" i="13"/>
  <c r="DZ15" i="13" s="1"/>
  <c r="EX33" i="13"/>
  <c r="EX17" i="13"/>
  <c r="GG9" i="13"/>
  <c r="GJ9" i="13" s="1"/>
  <c r="GG19" i="13"/>
  <c r="GJ19" i="13" s="1"/>
  <c r="GT24" i="13"/>
  <c r="IP61" i="13"/>
  <c r="JA59" i="13"/>
  <c r="IY81" i="13"/>
  <c r="JX83" i="13"/>
  <c r="JU82" i="13"/>
  <c r="P47" i="13"/>
  <c r="BQ42" i="13"/>
  <c r="DH26" i="13"/>
  <c r="DI26" i="13"/>
  <c r="DJ26" i="13"/>
  <c r="DK26" i="13"/>
  <c r="DB18" i="13"/>
  <c r="EN17" i="13"/>
  <c r="EX9" i="13"/>
  <c r="EV41" i="13"/>
  <c r="EX41" i="13" s="1"/>
  <c r="EX23" i="13"/>
  <c r="HX10" i="13"/>
  <c r="HY10" i="13"/>
  <c r="HZ10" i="13"/>
  <c r="IA10" i="13"/>
  <c r="IB10" i="13"/>
  <c r="IC43" i="13"/>
  <c r="JA43" i="13"/>
  <c r="JD43" i="13" s="1"/>
  <c r="IX81" i="13"/>
  <c r="JA81" i="13" s="1"/>
  <c r="JD81" i="13" s="1"/>
  <c r="JW87" i="13"/>
  <c r="JY87" i="13" s="1"/>
  <c r="KB87" i="13" s="1"/>
  <c r="J51" i="13"/>
  <c r="AS52" i="13"/>
  <c r="BQ51" i="13"/>
  <c r="BT51" i="13" s="1"/>
  <c r="BQ16" i="13"/>
  <c r="EF8" i="13"/>
  <c r="EG8" i="13"/>
  <c r="EH8" i="13"/>
  <c r="EI8" i="13"/>
  <c r="EJ42" i="13"/>
  <c r="EG42" i="13"/>
  <c r="EK42" i="13" s="1"/>
  <c r="EN42" i="13" s="1"/>
  <c r="EI42" i="13"/>
  <c r="EI32" i="13"/>
  <c r="EJ32" i="13"/>
  <c r="EF32" i="13"/>
  <c r="EH32" i="13"/>
  <c r="EX36" i="13"/>
  <c r="FL34" i="13"/>
  <c r="FD24" i="13"/>
  <c r="FE24" i="13"/>
  <c r="FF24" i="13"/>
  <c r="FG24" i="13"/>
  <c r="EX14" i="13"/>
  <c r="GG61" i="13"/>
  <c r="GJ61" i="13" s="1"/>
  <c r="GE35" i="13"/>
  <c r="GF35" i="13"/>
  <c r="GC35" i="13"/>
  <c r="GD35" i="13"/>
  <c r="GB35" i="13"/>
  <c r="IP9" i="13"/>
  <c r="IV19" i="13"/>
  <c r="IW19" i="13"/>
  <c r="IX19" i="13"/>
  <c r="IY19" i="13"/>
  <c r="IZ19" i="13"/>
  <c r="JY30" i="13"/>
  <c r="KB30" i="13" s="1"/>
  <c r="JN24" i="13"/>
  <c r="IW81" i="13"/>
  <c r="JV87" i="13"/>
  <c r="U52" i="13"/>
  <c r="X52" i="13" s="1"/>
  <c r="AS43" i="13"/>
  <c r="AO35" i="13"/>
  <c r="AS35" i="13" s="1"/>
  <c r="AV35" i="13" s="1"/>
  <c r="AQ26" i="13"/>
  <c r="AQ17" i="13"/>
  <c r="AO16" i="13"/>
  <c r="BN8" i="13"/>
  <c r="BN61" i="13"/>
  <c r="BN52" i="13"/>
  <c r="BN43" i="13"/>
  <c r="BO35" i="13"/>
  <c r="BO26" i="13"/>
  <c r="CM9" i="13"/>
  <c r="CM56" i="13"/>
  <c r="CM47" i="13"/>
  <c r="DL60" i="13"/>
  <c r="DI60" i="13"/>
  <c r="DK60" i="13"/>
  <c r="DM60" i="13" s="1"/>
  <c r="DP60" i="13" s="1"/>
  <c r="CZ34" i="13"/>
  <c r="DB34" i="13" s="1"/>
  <c r="DL24" i="13"/>
  <c r="DI24" i="13"/>
  <c r="DM24" i="13" s="1"/>
  <c r="DP24" i="13" s="1"/>
  <c r="DK24" i="13"/>
  <c r="DB15" i="13"/>
  <c r="DZ47" i="13"/>
  <c r="EJ24" i="13"/>
  <c r="EG24" i="13"/>
  <c r="EK24" i="13" s="1"/>
  <c r="EN24" i="13" s="1"/>
  <c r="EI24" i="13"/>
  <c r="FF59" i="13"/>
  <c r="FI59" i="13" s="1"/>
  <c r="FL59" i="13" s="1"/>
  <c r="FH59" i="13"/>
  <c r="FG49" i="13"/>
  <c r="FH49" i="13"/>
  <c r="FD49" i="13"/>
  <c r="FF49" i="13"/>
  <c r="FG32" i="13"/>
  <c r="R17" i="13"/>
  <c r="AO8" i="13"/>
  <c r="AP47" i="13"/>
  <c r="AS47" i="13" s="1"/>
  <c r="AV47" i="13" s="1"/>
  <c r="AP26" i="13"/>
  <c r="AP17" i="13"/>
  <c r="AS17" i="13" s="1"/>
  <c r="AV17" i="13" s="1"/>
  <c r="BM8" i="13"/>
  <c r="BQ8" i="13" s="1"/>
  <c r="BT8" i="13" s="1"/>
  <c r="BM61" i="13"/>
  <c r="BQ61" i="13" s="1"/>
  <c r="BM52" i="13"/>
  <c r="BQ52" i="13" s="1"/>
  <c r="BT52" i="13" s="1"/>
  <c r="BM43" i="13"/>
  <c r="BQ43" i="13" s="1"/>
  <c r="BT43" i="13" s="1"/>
  <c r="BN35" i="13"/>
  <c r="BN26" i="13"/>
  <c r="CL9" i="13"/>
  <c r="CL56" i="13"/>
  <c r="CL47" i="13"/>
  <c r="CL24" i="13"/>
  <c r="CN24" i="13"/>
  <c r="CO24" i="13" s="1"/>
  <c r="CR24" i="13" s="1"/>
  <c r="CO17" i="13"/>
  <c r="CR17" i="13" s="1"/>
  <c r="CM15" i="13"/>
  <c r="DB52" i="13"/>
  <c r="EN34" i="13"/>
  <c r="FD8" i="13"/>
  <c r="FI8" i="13" s="1"/>
  <c r="FL8" i="13" s="1"/>
  <c r="FE8" i="13"/>
  <c r="FF8" i="13"/>
  <c r="FG8" i="13"/>
  <c r="FI57" i="13"/>
  <c r="FL57" i="13" s="1"/>
  <c r="FI42" i="13"/>
  <c r="FL42" i="13" s="1"/>
  <c r="EX26" i="13"/>
  <c r="FV33" i="13"/>
  <c r="HB35" i="13"/>
  <c r="HC35" i="13"/>
  <c r="HD35" i="13"/>
  <c r="GZ35" i="13"/>
  <c r="JV33" i="13"/>
  <c r="JW33" i="13"/>
  <c r="JX33" i="13"/>
  <c r="JT33" i="13"/>
  <c r="JY83" i="13"/>
  <c r="KB83" i="13" s="1"/>
  <c r="Q17" i="13"/>
  <c r="U17" i="13" s="1"/>
  <c r="X17" i="13" s="1"/>
  <c r="AR48" i="13"/>
  <c r="AR30" i="13"/>
  <c r="BP36" i="13"/>
  <c r="BM35" i="13"/>
  <c r="BP30" i="13"/>
  <c r="BM26" i="13"/>
  <c r="BQ17" i="13"/>
  <c r="BT17" i="13" s="1"/>
  <c r="CN10" i="13"/>
  <c r="CK9" i="13"/>
  <c r="CO9" i="13" s="1"/>
  <c r="CR9" i="13" s="1"/>
  <c r="CN57" i="13"/>
  <c r="CK56" i="13"/>
  <c r="CO56" i="13" s="1"/>
  <c r="CR56" i="13" s="1"/>
  <c r="CN48" i="13"/>
  <c r="CO48" i="13" s="1"/>
  <c r="CR48" i="13" s="1"/>
  <c r="CK47" i="13"/>
  <c r="CO47" i="13" s="1"/>
  <c r="CR47" i="13" s="1"/>
  <c r="CK15" i="13"/>
  <c r="EH60" i="13"/>
  <c r="EK60" i="13" s="1"/>
  <c r="EN60" i="13" s="1"/>
  <c r="EJ60" i="13"/>
  <c r="DZ50" i="13"/>
  <c r="EK35" i="13"/>
  <c r="EN35" i="13" s="1"/>
  <c r="EI14" i="13"/>
  <c r="EJ14" i="13"/>
  <c r="EF14" i="13"/>
  <c r="EH14" i="13"/>
  <c r="FE19" i="13"/>
  <c r="FI16" i="13"/>
  <c r="FL16" i="13" s="1"/>
  <c r="GC10" i="13"/>
  <c r="GG10" i="13" s="1"/>
  <c r="GJ10" i="13" s="1"/>
  <c r="HR57" i="13"/>
  <c r="IC15" i="13"/>
  <c r="IF15" i="13" s="1"/>
  <c r="IC80" i="13"/>
  <c r="IF80" i="13" s="1"/>
  <c r="U48" i="13"/>
  <c r="X48" i="13" s="1"/>
  <c r="U35" i="13"/>
  <c r="X35" i="13" s="1"/>
  <c r="AQ48" i="13"/>
  <c r="AQ30" i="13"/>
  <c r="BO36" i="13"/>
  <c r="BO30" i="13"/>
  <c r="BQ30" i="13" s="1"/>
  <c r="BT30" i="13" s="1"/>
  <c r="CM10" i="13"/>
  <c r="CM57" i="13"/>
  <c r="CO57" i="13" s="1"/>
  <c r="CR57" i="13" s="1"/>
  <c r="CM48" i="13"/>
  <c r="DK14" i="13"/>
  <c r="DL14" i="13"/>
  <c r="DH14" i="13"/>
  <c r="DJ14" i="13"/>
  <c r="DZ8" i="13"/>
  <c r="EX47" i="13"/>
  <c r="FG40" i="13"/>
  <c r="FH40" i="13"/>
  <c r="FD40" i="13"/>
  <c r="FF40" i="13"/>
  <c r="FF32" i="13"/>
  <c r="FI32" i="13" s="1"/>
  <c r="FL32" i="13" s="1"/>
  <c r="FH32" i="13"/>
  <c r="FE30" i="13"/>
  <c r="FF30" i="13"/>
  <c r="FG30" i="13"/>
  <c r="FH30" i="13"/>
  <c r="FD30" i="13"/>
  <c r="FI30" i="13" s="1"/>
  <c r="FV35" i="13"/>
  <c r="GD25" i="13"/>
  <c r="GE25" i="13"/>
  <c r="GF25" i="13"/>
  <c r="GB25" i="13"/>
  <c r="GC25" i="13"/>
  <c r="GR52" i="13"/>
  <c r="GT52" i="13" s="1"/>
  <c r="HX23" i="13"/>
  <c r="HY23" i="13"/>
  <c r="HZ23" i="13"/>
  <c r="IA23" i="13"/>
  <c r="IB23" i="13"/>
  <c r="IA15" i="13"/>
  <c r="IB15" i="13"/>
  <c r="HZ15" i="13"/>
  <c r="IP26" i="13"/>
  <c r="CK32" i="13"/>
  <c r="CL32" i="13"/>
  <c r="CM32" i="13"/>
  <c r="CN32" i="13"/>
  <c r="CJ32" i="13"/>
  <c r="CL15" i="13"/>
  <c r="CO15" i="13" s="1"/>
  <c r="CR15" i="13" s="1"/>
  <c r="CN15" i="13"/>
  <c r="DM61" i="13"/>
  <c r="DP61" i="13" s="1"/>
  <c r="DM43" i="13"/>
  <c r="DP43" i="13" s="1"/>
  <c r="DK33" i="13"/>
  <c r="EI43" i="13"/>
  <c r="DZ40" i="13"/>
  <c r="DZ19" i="13"/>
  <c r="FF19" i="13"/>
  <c r="FI19" i="13" s="1"/>
  <c r="FL19" i="13" s="1"/>
  <c r="FH19" i="13"/>
  <c r="GD10" i="13"/>
  <c r="GF10" i="13"/>
  <c r="FV52" i="13"/>
  <c r="GJ52" i="13" s="1"/>
  <c r="FT52" i="13"/>
  <c r="HR49" i="13"/>
  <c r="HR19" i="13"/>
  <c r="JN48" i="13"/>
  <c r="JX50" i="13"/>
  <c r="DI50" i="13"/>
  <c r="DM50" i="13" s="1"/>
  <c r="DP50" i="13" s="1"/>
  <c r="DI32" i="13"/>
  <c r="EG59" i="13"/>
  <c r="EK59" i="13" s="1"/>
  <c r="EN59" i="13" s="1"/>
  <c r="FE31" i="13"/>
  <c r="FI31" i="13" s="1"/>
  <c r="FL31" i="13" s="1"/>
  <c r="FE18" i="13"/>
  <c r="FI18" i="13" s="1"/>
  <c r="FL18" i="13" s="1"/>
  <c r="GC9" i="13"/>
  <c r="GE48" i="13"/>
  <c r="GF48" i="13"/>
  <c r="GG48" i="13" s="1"/>
  <c r="GJ48" i="13" s="1"/>
  <c r="HE42" i="13"/>
  <c r="HH42" i="13" s="1"/>
  <c r="HR59" i="13"/>
  <c r="IF59" i="13" s="1"/>
  <c r="IC33" i="13"/>
  <c r="IF33" i="13" s="1"/>
  <c r="IC17" i="13"/>
  <c r="IF17" i="13" s="1"/>
  <c r="HR16" i="13"/>
  <c r="JA26" i="13"/>
  <c r="JW48" i="13"/>
  <c r="JX48" i="13"/>
  <c r="JY24" i="13"/>
  <c r="DL61" i="13"/>
  <c r="DL43" i="13"/>
  <c r="DL25" i="13"/>
  <c r="DM25" i="13" s="1"/>
  <c r="DP25" i="13" s="1"/>
  <c r="EJ52" i="13"/>
  <c r="EK52" i="13" s="1"/>
  <c r="EN52" i="13" s="1"/>
  <c r="FH60" i="13"/>
  <c r="FH51" i="13"/>
  <c r="FI51" i="13" s="1"/>
  <c r="FL51" i="13" s="1"/>
  <c r="FV60" i="13"/>
  <c r="GD56" i="13"/>
  <c r="GE56" i="13"/>
  <c r="GF56" i="13"/>
  <c r="GC16" i="13"/>
  <c r="GD16" i="13"/>
  <c r="GG16" i="13" s="1"/>
  <c r="GJ16" i="13" s="1"/>
  <c r="GE16" i="13"/>
  <c r="GF16" i="13"/>
  <c r="FV15" i="13"/>
  <c r="GJ15" i="13" s="1"/>
  <c r="GT59" i="13"/>
  <c r="GT57" i="13"/>
  <c r="HE32" i="13"/>
  <c r="GT26" i="13"/>
  <c r="IA50" i="13"/>
  <c r="IB50" i="13"/>
  <c r="HR42" i="13"/>
  <c r="IP56" i="13"/>
  <c r="IV42" i="13"/>
  <c r="IW42" i="13"/>
  <c r="IX42" i="13"/>
  <c r="IY42" i="13"/>
  <c r="IZ42" i="13"/>
  <c r="JA36" i="13"/>
  <c r="IP18" i="13"/>
  <c r="JD18" i="13" s="1"/>
  <c r="JY49" i="13"/>
  <c r="KB49" i="13" s="1"/>
  <c r="CO34" i="13"/>
  <c r="CR34" i="13" s="1"/>
  <c r="CL17" i="13"/>
  <c r="CK16" i="13"/>
  <c r="CO16" i="13" s="1"/>
  <c r="DI56" i="13"/>
  <c r="DJ35" i="13"/>
  <c r="EG61" i="13"/>
  <c r="EH56" i="13"/>
  <c r="FV26" i="13"/>
  <c r="GZ43" i="13"/>
  <c r="HA43" i="13"/>
  <c r="HB43" i="13"/>
  <c r="HC43" i="13"/>
  <c r="GT19" i="13"/>
  <c r="HY61" i="13"/>
  <c r="IC61" i="13" s="1"/>
  <c r="IF61" i="13" s="1"/>
  <c r="HZ61" i="13"/>
  <c r="IA61" i="13"/>
  <c r="IB61" i="13"/>
  <c r="HR50" i="13"/>
  <c r="JA10" i="13"/>
  <c r="JT58" i="13"/>
  <c r="JU58" i="13"/>
  <c r="JV58" i="13"/>
  <c r="JW58" i="13"/>
  <c r="JY36" i="13"/>
  <c r="KB36" i="13" s="1"/>
  <c r="JN18" i="13"/>
  <c r="CN18" i="13"/>
  <c r="CK17" i="13"/>
  <c r="DM35" i="13"/>
  <c r="DP35" i="13" s="1"/>
  <c r="EJ57" i="13"/>
  <c r="EG56" i="13"/>
  <c r="EK56" i="13" s="1"/>
  <c r="EN56" i="13" s="1"/>
  <c r="EI36" i="13"/>
  <c r="FI61" i="13"/>
  <c r="FI33" i="13"/>
  <c r="FI14" i="13"/>
  <c r="GC61" i="13"/>
  <c r="GE61" i="13"/>
  <c r="GF61" i="13"/>
  <c r="GB34" i="13"/>
  <c r="GC34" i="13"/>
  <c r="GD34" i="13"/>
  <c r="GE34" i="13"/>
  <c r="GF34" i="13"/>
  <c r="GB30" i="13"/>
  <c r="GG30" i="13" s="1"/>
  <c r="GJ30" i="13" s="1"/>
  <c r="GC30" i="13"/>
  <c r="GD30" i="13"/>
  <c r="GE30" i="13"/>
  <c r="GG17" i="13"/>
  <c r="GT32" i="13"/>
  <c r="HE17" i="13"/>
  <c r="GT14" i="13"/>
  <c r="IC58" i="13"/>
  <c r="IP36" i="13"/>
  <c r="JY9" i="13"/>
  <c r="JN57" i="13"/>
  <c r="JN51" i="13"/>
  <c r="JY23" i="13"/>
  <c r="KB23" i="13" s="1"/>
  <c r="CN36" i="13"/>
  <c r="CN30" i="13"/>
  <c r="CM18" i="13"/>
  <c r="DM9" i="13"/>
  <c r="DP9" i="13" s="1"/>
  <c r="DM8" i="13"/>
  <c r="DP8" i="13" s="1"/>
  <c r="DK36" i="13"/>
  <c r="EI57" i="13"/>
  <c r="EH36" i="13"/>
  <c r="EK36" i="13" s="1"/>
  <c r="EN36" i="13" s="1"/>
  <c r="EJ18" i="13"/>
  <c r="FG43" i="13"/>
  <c r="FF25" i="13"/>
  <c r="FI25" i="13" s="1"/>
  <c r="FL25" i="13" s="1"/>
  <c r="GD47" i="13"/>
  <c r="GG47" i="13" s="1"/>
  <c r="GJ47" i="13" s="1"/>
  <c r="GE47" i="13"/>
  <c r="GF47" i="13"/>
  <c r="FV41" i="13"/>
  <c r="GG36" i="13"/>
  <c r="GJ36" i="13" s="1"/>
  <c r="HB56" i="13"/>
  <c r="HE56" i="13" s="1"/>
  <c r="HH56" i="13" s="1"/>
  <c r="HC56" i="13"/>
  <c r="HD56" i="13"/>
  <c r="HE48" i="13"/>
  <c r="HH48" i="13" s="1"/>
  <c r="HE33" i="13"/>
  <c r="HH33" i="13" s="1"/>
  <c r="HB25" i="13"/>
  <c r="HC25" i="13"/>
  <c r="HD25" i="13"/>
  <c r="HR9" i="13"/>
  <c r="HX49" i="13"/>
  <c r="HY49" i="13"/>
  <c r="HZ49" i="13"/>
  <c r="IA49" i="13"/>
  <c r="IB49" i="13"/>
  <c r="HR48" i="13"/>
  <c r="HZ34" i="13"/>
  <c r="IA34" i="13"/>
  <c r="IC34" i="13" s="1"/>
  <c r="IF34" i="13" s="1"/>
  <c r="IB34" i="13"/>
  <c r="HR25" i="13"/>
  <c r="IP59" i="13"/>
  <c r="IP34" i="13"/>
  <c r="IP32" i="13"/>
  <c r="IW25" i="13"/>
  <c r="IX25" i="13"/>
  <c r="IY25" i="13"/>
  <c r="IZ25" i="13"/>
  <c r="IP24" i="13"/>
  <c r="IY17" i="13"/>
  <c r="IZ17" i="13"/>
  <c r="JU23" i="13"/>
  <c r="JV23" i="13"/>
  <c r="JW23" i="13"/>
  <c r="JX23" i="13"/>
  <c r="CM36" i="13"/>
  <c r="CO36" i="13" s="1"/>
  <c r="CR36" i="13" s="1"/>
  <c r="CM30" i="13"/>
  <c r="CL18" i="13"/>
  <c r="CO18" i="13" s="1"/>
  <c r="CR18" i="13" s="1"/>
  <c r="DB56" i="13"/>
  <c r="DJ36" i="13"/>
  <c r="DL19" i="13"/>
  <c r="DK18" i="13"/>
  <c r="DZ61" i="13"/>
  <c r="EH57" i="13"/>
  <c r="EK57" i="13" s="1"/>
  <c r="EN57" i="13" s="1"/>
  <c r="EJ40" i="13"/>
  <c r="EK40" i="13" s="1"/>
  <c r="EN40" i="13" s="1"/>
  <c r="EI30" i="13"/>
  <c r="EK30" i="13" s="1"/>
  <c r="EN30" i="13" s="1"/>
  <c r="EJ19" i="13"/>
  <c r="EI18" i="13"/>
  <c r="EX61" i="13"/>
  <c r="FF43" i="13"/>
  <c r="FH26" i="13"/>
  <c r="FF16" i="13"/>
  <c r="GG57" i="13"/>
  <c r="GJ57" i="13" s="1"/>
  <c r="GT60" i="13"/>
  <c r="HB41" i="13"/>
  <c r="HE41" i="13" s="1"/>
  <c r="HH41" i="13" s="1"/>
  <c r="HC41" i="13"/>
  <c r="HD41" i="13"/>
  <c r="HR43" i="13"/>
  <c r="HR15" i="13"/>
  <c r="JA60" i="13"/>
  <c r="JD60" i="13" s="1"/>
  <c r="IP52" i="13"/>
  <c r="JA50" i="13"/>
  <c r="JD50" i="13" s="1"/>
  <c r="JN30" i="13"/>
  <c r="JN31" i="13"/>
  <c r="KB31" i="13" s="1"/>
  <c r="CN31" i="13"/>
  <c r="CK30" i="13"/>
  <c r="CM19" i="13"/>
  <c r="DK10" i="13"/>
  <c r="DJ58" i="13"/>
  <c r="DK40" i="13"/>
  <c r="DJ19" i="13"/>
  <c r="DM19" i="13" s="1"/>
  <c r="DP19" i="13" s="1"/>
  <c r="DI18" i="13"/>
  <c r="DM18" i="13" s="1"/>
  <c r="EK9" i="13"/>
  <c r="EN9" i="13" s="1"/>
  <c r="EI58" i="13"/>
  <c r="EH49" i="13"/>
  <c r="EK49" i="13" s="1"/>
  <c r="EN49" i="13" s="1"/>
  <c r="EH40" i="13"/>
  <c r="EH19" i="13"/>
  <c r="EG18" i="13"/>
  <c r="EK18" i="13" s="1"/>
  <c r="EX8" i="13"/>
  <c r="EX52" i="13"/>
  <c r="FG47" i="13"/>
  <c r="FF35" i="13"/>
  <c r="FI35" i="13" s="1"/>
  <c r="FL35" i="13" s="1"/>
  <c r="FF26" i="13"/>
  <c r="FI26" i="13" s="1"/>
  <c r="FL26" i="13" s="1"/>
  <c r="GD8" i="13"/>
  <c r="GT17" i="13"/>
  <c r="HY8" i="13"/>
  <c r="HR56" i="13"/>
  <c r="HY24" i="13"/>
  <c r="IC24" i="13" s="1"/>
  <c r="IF24" i="13" s="1"/>
  <c r="IC16" i="13"/>
  <c r="IF16" i="13" s="1"/>
  <c r="HX14" i="13"/>
  <c r="HY14" i="13"/>
  <c r="HZ14" i="13"/>
  <c r="IA14" i="13"/>
  <c r="IB14" i="13"/>
  <c r="IP8" i="13"/>
  <c r="IX43" i="13"/>
  <c r="IY43" i="13"/>
  <c r="IZ43" i="13"/>
  <c r="IP30" i="13"/>
  <c r="JD30" i="13" s="1"/>
  <c r="IP17" i="13"/>
  <c r="JY61" i="13"/>
  <c r="KB61" i="13" s="1"/>
  <c r="JN60" i="13"/>
  <c r="JV56" i="13"/>
  <c r="JY56" i="13" s="1"/>
  <c r="KB56" i="13" s="1"/>
  <c r="JW56" i="13"/>
  <c r="JX56" i="13"/>
  <c r="JN36" i="13"/>
  <c r="JV15" i="13"/>
  <c r="CM31" i="13"/>
  <c r="CL19" i="13"/>
  <c r="DJ10" i="13"/>
  <c r="DI58" i="13"/>
  <c r="DM58" i="13" s="1"/>
  <c r="DP58" i="13" s="1"/>
  <c r="DK49" i="13"/>
  <c r="DJ40" i="13"/>
  <c r="DI19" i="13"/>
  <c r="EH58" i="13"/>
  <c r="EG19" i="13"/>
  <c r="EK19" i="13" s="1"/>
  <c r="EN19" i="13" s="1"/>
  <c r="FI56" i="13"/>
  <c r="FL56" i="13" s="1"/>
  <c r="FF47" i="13"/>
  <c r="GC8" i="13"/>
  <c r="GG8" i="13" s="1"/>
  <c r="GJ8" i="13" s="1"/>
  <c r="FV59" i="13"/>
  <c r="FV32" i="13"/>
  <c r="HE34" i="13"/>
  <c r="HH34" i="13" s="1"/>
  <c r="GT33" i="13"/>
  <c r="HZ42" i="13"/>
  <c r="HR18" i="13"/>
  <c r="IX58" i="13"/>
  <c r="JA58" i="13" s="1"/>
  <c r="JD58" i="13" s="1"/>
  <c r="IY58" i="13"/>
  <c r="IZ58" i="13"/>
  <c r="IV31" i="13"/>
  <c r="IW31" i="13"/>
  <c r="IX31" i="13"/>
  <c r="IY31" i="13"/>
  <c r="JN9" i="13"/>
  <c r="JN41" i="13"/>
  <c r="KB41" i="13" s="1"/>
  <c r="JU32" i="13"/>
  <c r="JV32" i="13"/>
  <c r="JW32" i="13"/>
  <c r="JX32" i="13"/>
  <c r="CL31" i="13"/>
  <c r="CN23" i="13"/>
  <c r="CK19" i="13"/>
  <c r="CO19" i="13" s="1"/>
  <c r="CR19" i="13" s="1"/>
  <c r="CN14" i="13"/>
  <c r="DI10" i="13"/>
  <c r="DM10" i="13" s="1"/>
  <c r="DP10" i="13" s="1"/>
  <c r="DP11" i="13" s="1"/>
  <c r="G2" i="31" s="1"/>
  <c r="DJ49" i="13"/>
  <c r="DI40" i="13"/>
  <c r="DL32" i="13"/>
  <c r="DJ31" i="13"/>
  <c r="EH10" i="13"/>
  <c r="EJ59" i="13"/>
  <c r="EG58" i="13"/>
  <c r="EK58" i="13" s="1"/>
  <c r="EN58" i="13" s="1"/>
  <c r="FF57" i="13"/>
  <c r="FE47" i="13"/>
  <c r="FI47" i="13" s="1"/>
  <c r="FL47" i="13" s="1"/>
  <c r="HA61" i="13"/>
  <c r="HE61" i="13" s="1"/>
  <c r="HH61" i="13" s="1"/>
  <c r="HB61" i="13"/>
  <c r="HC61" i="13"/>
  <c r="HD61" i="13"/>
  <c r="HZ8" i="13"/>
  <c r="IC8" i="13" s="1"/>
  <c r="IF8" i="13" s="1"/>
  <c r="IA8" i="13"/>
  <c r="IB8" i="13"/>
  <c r="HR58" i="13"/>
  <c r="HR51" i="13"/>
  <c r="IC30" i="13"/>
  <c r="IF30" i="13" s="1"/>
  <c r="IA24" i="13"/>
  <c r="IB24" i="13"/>
  <c r="IP15" i="13"/>
  <c r="JY15" i="13"/>
  <c r="KB15" i="13" s="1"/>
  <c r="CK31" i="13"/>
  <c r="CO31" i="13" s="1"/>
  <c r="CR31" i="13" s="1"/>
  <c r="CM23" i="13"/>
  <c r="CO23" i="13" s="1"/>
  <c r="CR23" i="13" s="1"/>
  <c r="CM14" i="13"/>
  <c r="DK50" i="13"/>
  <c r="DI49" i="13"/>
  <c r="DM49" i="13" s="1"/>
  <c r="DP49" i="13" s="1"/>
  <c r="DK32" i="13"/>
  <c r="DM32" i="13" s="1"/>
  <c r="DP32" i="13" s="1"/>
  <c r="DI31" i="13"/>
  <c r="DM31" i="13" s="1"/>
  <c r="DP31" i="13" s="1"/>
  <c r="EG10" i="13"/>
  <c r="EK31" i="13"/>
  <c r="EN31" i="13" s="1"/>
  <c r="FG31" i="13"/>
  <c r="FG18" i="13"/>
  <c r="FI17" i="13"/>
  <c r="FL17" i="13" s="1"/>
  <c r="GE9" i="13"/>
  <c r="GB60" i="13"/>
  <c r="GC60" i="13"/>
  <c r="GD60" i="13"/>
  <c r="GE60" i="13"/>
  <c r="GF60" i="13"/>
  <c r="FV42" i="13"/>
  <c r="FV14" i="13"/>
  <c r="GT9" i="13"/>
  <c r="HH9" i="13" s="1"/>
  <c r="HE57" i="13"/>
  <c r="HH57" i="13" s="1"/>
  <c r="GT51" i="13"/>
  <c r="GT36" i="13"/>
  <c r="GT15" i="13"/>
  <c r="IP50" i="13"/>
  <c r="IV16" i="13"/>
  <c r="IW16" i="13"/>
  <c r="IX16" i="13"/>
  <c r="IY16" i="13"/>
  <c r="JA16" i="13" s="1"/>
  <c r="JD16" i="13" s="1"/>
  <c r="IZ16" i="13"/>
  <c r="JU48" i="13"/>
  <c r="JT35" i="13"/>
  <c r="JU35" i="13"/>
  <c r="JV35" i="13"/>
  <c r="JW35" i="13"/>
  <c r="JW15" i="13"/>
  <c r="JX15" i="13"/>
  <c r="GB58" i="13"/>
  <c r="GG58" i="13" s="1"/>
  <c r="GJ58" i="13" s="1"/>
  <c r="GC58" i="13"/>
  <c r="GD58" i="13"/>
  <c r="GE58" i="13"/>
  <c r="GG26" i="13"/>
  <c r="GJ26" i="13" s="1"/>
  <c r="FV23" i="13"/>
  <c r="GG18" i="13"/>
  <c r="GJ18" i="13" s="1"/>
  <c r="FV17" i="13"/>
  <c r="HE26" i="13"/>
  <c r="HH26" i="13" s="1"/>
  <c r="GT23" i="13"/>
  <c r="HA16" i="13"/>
  <c r="HB16" i="13"/>
  <c r="HC16" i="13"/>
  <c r="HD16" i="13"/>
  <c r="HX60" i="13"/>
  <c r="HY60" i="13"/>
  <c r="HZ60" i="13"/>
  <c r="IA60" i="13"/>
  <c r="IB60" i="13"/>
  <c r="HX52" i="13"/>
  <c r="HY52" i="13"/>
  <c r="HZ52" i="13"/>
  <c r="IA52" i="13"/>
  <c r="HZ50" i="13"/>
  <c r="IC50" i="13" s="1"/>
  <c r="IF50" i="13" s="1"/>
  <c r="IA42" i="13"/>
  <c r="IC42" i="13" s="1"/>
  <c r="IF42" i="13" s="1"/>
  <c r="IB42" i="13"/>
  <c r="IC35" i="13"/>
  <c r="IF35" i="13" s="1"/>
  <c r="HR32" i="13"/>
  <c r="IV61" i="13"/>
  <c r="JA61" i="13" s="1"/>
  <c r="JD61" i="13" s="1"/>
  <c r="IW61" i="13"/>
  <c r="IX61" i="13"/>
  <c r="IY61" i="13"/>
  <c r="JU8" i="13"/>
  <c r="JV8" i="13"/>
  <c r="JW8" i="13"/>
  <c r="JX8" i="13"/>
  <c r="JY57" i="13"/>
  <c r="JT48" i="13"/>
  <c r="JY48" i="13" s="1"/>
  <c r="KB48" i="13" s="1"/>
  <c r="JU40" i="13"/>
  <c r="JT40" i="13"/>
  <c r="JV40" i="13"/>
  <c r="JN34" i="13"/>
  <c r="GF50" i="13"/>
  <c r="GC49" i="13"/>
  <c r="GG49" i="13" s="1"/>
  <c r="GC36" i="13"/>
  <c r="GD18" i="13"/>
  <c r="HB49" i="13"/>
  <c r="HD31" i="13"/>
  <c r="HB30" i="13"/>
  <c r="HD19" i="13"/>
  <c r="HB18" i="13"/>
  <c r="HE18" i="13" s="1"/>
  <c r="HH18" i="13" s="1"/>
  <c r="HY51" i="13"/>
  <c r="IC51" i="13" s="1"/>
  <c r="IF51" i="13" s="1"/>
  <c r="HZ30" i="13"/>
  <c r="HY26" i="13"/>
  <c r="HZ17" i="13"/>
  <c r="JY34" i="13"/>
  <c r="KB34" i="13" s="1"/>
  <c r="GF31" i="13"/>
  <c r="GG31" i="13" s="1"/>
  <c r="GJ31" i="13" s="1"/>
  <c r="HA49" i="13"/>
  <c r="HE49" i="13" s="1"/>
  <c r="HH49" i="13" s="1"/>
  <c r="HC31" i="13"/>
  <c r="HA30" i="13"/>
  <c r="HC19" i="13"/>
  <c r="IB56" i="13"/>
  <c r="IB47" i="13"/>
  <c r="IC31" i="13"/>
  <c r="IF31" i="13" s="1"/>
  <c r="IB18" i="13"/>
  <c r="HY17" i="13"/>
  <c r="IZ8" i="13"/>
  <c r="IZ52" i="13"/>
  <c r="IW51" i="13"/>
  <c r="JA51" i="13" s="1"/>
  <c r="JD51" i="13" s="1"/>
  <c r="IZ32" i="13"/>
  <c r="IZ14" i="13"/>
  <c r="JX43" i="13"/>
  <c r="JX26" i="13"/>
  <c r="JU25" i="13"/>
  <c r="JY25" i="13" s="1"/>
  <c r="KB25" i="13" s="1"/>
  <c r="JW17" i="13"/>
  <c r="JY17" i="13" s="1"/>
  <c r="KB17" i="13" s="1"/>
  <c r="GF59" i="13"/>
  <c r="GD50" i="13"/>
  <c r="GG50" i="13" s="1"/>
  <c r="GJ50" i="13" s="1"/>
  <c r="GE31" i="13"/>
  <c r="HD59" i="13"/>
  <c r="HB31" i="13"/>
  <c r="HE31" i="13" s="1"/>
  <c r="HH31" i="13" s="1"/>
  <c r="HB19" i="13"/>
  <c r="HE19" i="13" s="1"/>
  <c r="HH19" i="13" s="1"/>
  <c r="HD14" i="13"/>
  <c r="IA56" i="13"/>
  <c r="IA47" i="13"/>
  <c r="IA18" i="13"/>
  <c r="IY8" i="13"/>
  <c r="IY52" i="13"/>
  <c r="IZ33" i="13"/>
  <c r="IY32" i="13"/>
  <c r="JA32" i="13" s="1"/>
  <c r="IZ23" i="13"/>
  <c r="JA23" i="13" s="1"/>
  <c r="JD23" i="13" s="1"/>
  <c r="IY14" i="13"/>
  <c r="JY10" i="13"/>
  <c r="KB10" i="13" s="1"/>
  <c r="JX59" i="13"/>
  <c r="JY59" i="13" s="1"/>
  <c r="KB59" i="13" s="1"/>
  <c r="JW43" i="13"/>
  <c r="JX36" i="13"/>
  <c r="JW26" i="13"/>
  <c r="GE59" i="13"/>
  <c r="GG59" i="13" s="1"/>
  <c r="GJ59" i="13" s="1"/>
  <c r="GF51" i="13"/>
  <c r="FV49" i="13"/>
  <c r="GF42" i="13"/>
  <c r="GG42" i="13" s="1"/>
  <c r="GJ42" i="13" s="1"/>
  <c r="GE41" i="13"/>
  <c r="GG41" i="13" s="1"/>
  <c r="GF32" i="13"/>
  <c r="GD31" i="13"/>
  <c r="GF23" i="13"/>
  <c r="HC59" i="13"/>
  <c r="HE59" i="13" s="1"/>
  <c r="HH59" i="13" s="1"/>
  <c r="HD23" i="13"/>
  <c r="HC14" i="13"/>
  <c r="IB57" i="13"/>
  <c r="HZ56" i="13"/>
  <c r="IC56" i="13" s="1"/>
  <c r="IF56" i="13" s="1"/>
  <c r="HZ47" i="13"/>
  <c r="HR26" i="13"/>
  <c r="HZ18" i="13"/>
  <c r="IC18" i="13" s="1"/>
  <c r="IF18" i="13" s="1"/>
  <c r="IX8" i="13"/>
  <c r="IX52" i="13"/>
  <c r="JA52" i="13" s="1"/>
  <c r="JD52" i="13" s="1"/>
  <c r="IY33" i="13"/>
  <c r="JA33" i="13" s="1"/>
  <c r="JD33" i="13" s="1"/>
  <c r="IX32" i="13"/>
  <c r="IY23" i="13"/>
  <c r="IX14" i="13"/>
  <c r="JA14" i="13" s="1"/>
  <c r="JD14" i="13" s="1"/>
  <c r="JW59" i="13"/>
  <c r="JX51" i="13"/>
  <c r="JY50" i="13"/>
  <c r="KB50" i="13" s="1"/>
  <c r="JV43" i="13"/>
  <c r="JY43" i="13" s="1"/>
  <c r="KB43" i="13" s="1"/>
  <c r="JW36" i="13"/>
  <c r="JV26" i="13"/>
  <c r="JY26" i="13" s="1"/>
  <c r="KB26" i="13" s="1"/>
  <c r="GD51" i="13"/>
  <c r="GD42" i="13"/>
  <c r="GE33" i="13"/>
  <c r="GD32" i="13"/>
  <c r="FV30" i="13"/>
  <c r="GD23" i="13"/>
  <c r="HE14" i="13"/>
  <c r="HH14" i="13" s="1"/>
  <c r="HZ57" i="13"/>
  <c r="IC57" i="13" s="1"/>
  <c r="HR52" i="13"/>
  <c r="IC47" i="13"/>
  <c r="IA40" i="13"/>
  <c r="IY9" i="13"/>
  <c r="IY56" i="13"/>
  <c r="JA41" i="13"/>
  <c r="JD41" i="13" s="1"/>
  <c r="IZ34" i="13"/>
  <c r="IZ24" i="13"/>
  <c r="IY15" i="13"/>
  <c r="JA15" i="13" s="1"/>
  <c r="JD15" i="13" s="1"/>
  <c r="JW60" i="13"/>
  <c r="JY60" i="13" s="1"/>
  <c r="KB60" i="13" s="1"/>
  <c r="JU36" i="13"/>
  <c r="JW30" i="13"/>
  <c r="GC51" i="13"/>
  <c r="GG51" i="13" s="1"/>
  <c r="GJ51" i="13" s="1"/>
  <c r="FV50" i="13"/>
  <c r="GD33" i="13"/>
  <c r="GC32" i="13"/>
  <c r="GG32" i="13" s="1"/>
  <c r="GF24" i="13"/>
  <c r="GC23" i="13"/>
  <c r="GG23" i="13" s="1"/>
  <c r="GJ23" i="13" s="1"/>
  <c r="GG14" i="13"/>
  <c r="HC60" i="13"/>
  <c r="HD52" i="13"/>
  <c r="HA51" i="13"/>
  <c r="HE51" i="13" s="1"/>
  <c r="HH51" i="13" s="1"/>
  <c r="GT31" i="13"/>
  <c r="HD24" i="13"/>
  <c r="HA23" i="13"/>
  <c r="HE23" i="13" s="1"/>
  <c r="HH23" i="13" s="1"/>
  <c r="HY57" i="13"/>
  <c r="HZ40" i="13"/>
  <c r="HZ32" i="13"/>
  <c r="IX9" i="13"/>
  <c r="JA24" i="13"/>
  <c r="GE43" i="13"/>
  <c r="GC33" i="13"/>
  <c r="GG33" i="13" s="1"/>
  <c r="GJ33" i="13" s="1"/>
  <c r="GE24" i="13"/>
  <c r="HB60" i="13"/>
  <c r="HC52" i="13"/>
  <c r="HC34" i="13"/>
  <c r="HC24" i="13"/>
  <c r="HE15" i="13"/>
  <c r="HH15" i="13" s="1"/>
  <c r="HY48" i="13"/>
  <c r="HY40" i="13"/>
  <c r="IA33" i="13"/>
  <c r="HY32" i="13"/>
  <c r="IC32" i="13" s="1"/>
  <c r="IF32" i="13" s="1"/>
  <c r="IW9" i="13"/>
  <c r="JA9" i="13" s="1"/>
  <c r="JD9" i="13" s="1"/>
  <c r="IW56" i="13"/>
  <c r="JA56" i="13" s="1"/>
  <c r="JD56" i="13" s="1"/>
  <c r="IY48" i="13"/>
  <c r="IP40" i="13"/>
  <c r="IX34" i="13"/>
  <c r="IW15" i="13"/>
  <c r="JY51" i="13"/>
  <c r="JY18" i="13"/>
  <c r="KB18" i="13" s="1"/>
  <c r="GD43" i="13"/>
  <c r="HA60" i="13"/>
  <c r="HE60" i="13" s="1"/>
  <c r="HH60" i="13" s="1"/>
  <c r="HB52" i="13"/>
  <c r="GZ47" i="13"/>
  <c r="HB34" i="13"/>
  <c r="HB24" i="13"/>
  <c r="HZ33" i="13"/>
  <c r="IC19" i="13"/>
  <c r="IF19" i="13" s="1"/>
  <c r="IX10" i="13"/>
  <c r="IX48" i="13"/>
  <c r="JA48" i="13" s="1"/>
  <c r="JD48" i="13" s="1"/>
  <c r="IW34" i="13"/>
  <c r="JA34" i="13" s="1"/>
  <c r="JD34" i="13" s="1"/>
  <c r="JV61" i="13"/>
  <c r="GC43" i="13"/>
  <c r="GG43" i="13" s="1"/>
  <c r="GJ43" i="13" s="1"/>
  <c r="GC24" i="13"/>
  <c r="GG24" i="13" s="1"/>
  <c r="GJ24" i="13" s="1"/>
  <c r="HA52" i="13"/>
  <c r="HE52" i="13" s="1"/>
  <c r="HH52" i="13" s="1"/>
  <c r="HR47" i="13"/>
  <c r="IF47" i="13" s="1"/>
  <c r="HY33" i="13"/>
  <c r="JY52" i="13"/>
  <c r="KB52" i="13" s="1"/>
  <c r="JY47" i="13"/>
  <c r="F27" i="52"/>
  <c r="E25" i="52"/>
  <c r="F19" i="52"/>
  <c r="C19" i="52" s="1"/>
  <c r="F24" i="45" s="1"/>
  <c r="F35" i="45" s="1"/>
  <c r="E17" i="52"/>
  <c r="E49" i="52"/>
  <c r="B43" i="52"/>
  <c r="E24" i="45"/>
  <c r="E91" i="45"/>
  <c r="E100" i="45" s="1"/>
  <c r="F91" i="45"/>
  <c r="F100" i="45" s="1"/>
  <c r="K18" i="45"/>
  <c r="K33" i="45"/>
  <c r="K47" i="45"/>
  <c r="E35" i="45"/>
  <c r="DM48" i="13"/>
  <c r="DP48" i="13" s="1"/>
  <c r="CO81" i="13"/>
  <c r="CR81" i="13" s="1"/>
  <c r="CO41" i="13"/>
  <c r="CR41" i="13" s="1"/>
  <c r="CO30" i="13"/>
  <c r="CR30" i="13" s="1"/>
  <c r="CO14" i="13"/>
  <c r="CR14" i="13" s="1"/>
  <c r="BQ23" i="13"/>
  <c r="BT23" i="13" s="1"/>
  <c r="U49" i="13"/>
  <c r="X49" i="13" s="1"/>
  <c r="U41" i="13"/>
  <c r="X41" i="13" s="1"/>
  <c r="U10" i="13"/>
  <c r="X10" i="13" s="1"/>
  <c r="DD9" i="36"/>
  <c r="DD14" i="36"/>
  <c r="DD13" i="36"/>
  <c r="DD8" i="36"/>
  <c r="DD12" i="36"/>
  <c r="DD11" i="36"/>
  <c r="CT9" i="36"/>
  <c r="CT8" i="36"/>
  <c r="CT14" i="36"/>
  <c r="CT13" i="36"/>
  <c r="CT12" i="36"/>
  <c r="CT10" i="36"/>
  <c r="JA40" i="13"/>
  <c r="JD40" i="13" s="1"/>
  <c r="FI10" i="13"/>
  <c r="FL10" i="13" s="1"/>
  <c r="FI9" i="13"/>
  <c r="FL9" i="13" s="1"/>
  <c r="EK85" i="13"/>
  <c r="EN85" i="13" s="1"/>
  <c r="EK81" i="13"/>
  <c r="EN81" i="13" s="1"/>
  <c r="EK48" i="13"/>
  <c r="EN48" i="13" s="1"/>
  <c r="EK47" i="13"/>
  <c r="EK41" i="13"/>
  <c r="EN41" i="13" s="1"/>
  <c r="EK15" i="13"/>
  <c r="EK14" i="13"/>
  <c r="EN14" i="13" s="1"/>
  <c r="EK10" i="13"/>
  <c r="EN10" i="13" s="1"/>
  <c r="EK8" i="13"/>
  <c r="DM86" i="13"/>
  <c r="DP86" i="13" s="1"/>
  <c r="DM83" i="13"/>
  <c r="DP83" i="13" s="1"/>
  <c r="DM82" i="13"/>
  <c r="DP82" i="13" s="1"/>
  <c r="DM56" i="13"/>
  <c r="DM47" i="13"/>
  <c r="DP47" i="13" s="1"/>
  <c r="DM40" i="13"/>
  <c r="DP40" i="13" s="1"/>
  <c r="DM30" i="13"/>
  <c r="DP30" i="13" s="1"/>
  <c r="DM14" i="13"/>
  <c r="DP14" i="13" s="1"/>
  <c r="CO86" i="13"/>
  <c r="CR86" i="13" s="1"/>
  <c r="CO84" i="13"/>
  <c r="CR84" i="13" s="1"/>
  <c r="CO80" i="13"/>
  <c r="CR80" i="13" s="1"/>
  <c r="CO10" i="13"/>
  <c r="CR10" i="13" s="1"/>
  <c r="CO8" i="13"/>
  <c r="CR8" i="13" s="1"/>
  <c r="BQ86" i="13"/>
  <c r="BT86" i="13" s="1"/>
  <c r="BQ85" i="13"/>
  <c r="BT85" i="13" s="1"/>
  <c r="BQ83" i="13"/>
  <c r="BT83" i="13" s="1"/>
  <c r="BQ82" i="13"/>
  <c r="BT82" i="13" s="1"/>
  <c r="BQ80" i="13"/>
  <c r="BT80" i="13" s="1"/>
  <c r="BQ56" i="13"/>
  <c r="BT56" i="13" s="1"/>
  <c r="BQ41" i="13"/>
  <c r="BT41" i="13" s="1"/>
  <c r="BQ40" i="13"/>
  <c r="BT40" i="13" s="1"/>
  <c r="BQ15" i="13"/>
  <c r="BT15" i="13" s="1"/>
  <c r="BQ14" i="13"/>
  <c r="BT14" i="13" s="1"/>
  <c r="BQ10" i="13"/>
  <c r="BT10" i="13" s="1"/>
  <c r="AS82" i="13"/>
  <c r="AV82" i="13" s="1"/>
  <c r="AS81" i="13"/>
  <c r="AV81" i="13" s="1"/>
  <c r="AS56" i="13"/>
  <c r="AV56" i="13" s="1"/>
  <c r="AS48" i="13"/>
  <c r="AV48" i="13" s="1"/>
  <c r="AS41" i="13"/>
  <c r="AV41" i="13" s="1"/>
  <c r="AS30" i="13"/>
  <c r="AV30" i="13" s="1"/>
  <c r="AS23" i="13"/>
  <c r="AV23" i="13" s="1"/>
  <c r="AS10" i="13"/>
  <c r="AV10" i="13" s="1"/>
  <c r="AS8" i="13"/>
  <c r="AV8" i="13" s="1"/>
  <c r="U80" i="13"/>
  <c r="X80" i="13" s="1"/>
  <c r="U81" i="13"/>
  <c r="X81" i="13" s="1"/>
  <c r="U56" i="13"/>
  <c r="X56" i="13" s="1"/>
  <c r="U30" i="13"/>
  <c r="X30" i="13" s="1"/>
  <c r="U23" i="13"/>
  <c r="X23" i="13" s="1"/>
  <c r="U14" i="13"/>
  <c r="X14" i="13" s="1"/>
  <c r="U9" i="13"/>
  <c r="X9" i="13" s="1"/>
  <c r="HR40" i="13"/>
  <c r="IC40" i="13"/>
  <c r="JN47" i="13"/>
  <c r="KB47" i="13" s="1"/>
  <c r="JN40" i="13"/>
  <c r="JX40" i="13"/>
  <c r="JW40" i="13"/>
  <c r="IP47" i="13"/>
  <c r="IZ47" i="13"/>
  <c r="IY47" i="13"/>
  <c r="IX47" i="13"/>
  <c r="IW47" i="13"/>
  <c r="J47" i="13"/>
  <c r="P40" i="13"/>
  <c r="J40" i="13"/>
  <c r="DQ15" i="36"/>
  <c r="ED15" i="36" s="1"/>
  <c r="CC15" i="36"/>
  <c r="DZ15" i="36" s="1"/>
  <c r="BS15" i="36"/>
  <c r="DY15" i="36" s="1"/>
  <c r="BI15" i="36"/>
  <c r="DX15" i="36" s="1"/>
  <c r="AY15" i="36"/>
  <c r="DW15" i="36" s="1"/>
  <c r="AO15" i="36"/>
  <c r="DV15" i="36" s="1"/>
  <c r="V16" i="6"/>
  <c r="AZ13" i="36" s="1"/>
  <c r="EK13" i="36" s="1"/>
  <c r="S16" i="6"/>
  <c r="AP13" i="36" s="1"/>
  <c r="EJ13" i="36" s="1"/>
  <c r="G16" i="6"/>
  <c r="B13" i="36" s="1"/>
  <c r="EF13" i="36" s="1"/>
  <c r="S15" i="3"/>
  <c r="AP11" i="36" s="1"/>
  <c r="EJ11" i="36" s="1"/>
  <c r="M15" i="3"/>
  <c r="V11" i="36" s="1"/>
  <c r="EH11" i="36" s="1"/>
  <c r="V16" i="1"/>
  <c r="AZ9" i="36" s="1"/>
  <c r="EK9" i="36" s="1"/>
  <c r="M16" i="1"/>
  <c r="V9" i="36" s="1"/>
  <c r="EH9" i="36" s="1"/>
  <c r="S15" i="16"/>
  <c r="AP8" i="36" s="1"/>
  <c r="EJ8" i="36" s="1"/>
  <c r="P15" i="16"/>
  <c r="AF8" i="36" s="1"/>
  <c r="EI8" i="36" s="1"/>
  <c r="M15" i="16"/>
  <c r="V8" i="36" s="1"/>
  <c r="EH8" i="36" s="1"/>
  <c r="HE40" i="13"/>
  <c r="HH40" i="13" s="1"/>
  <c r="HD40" i="13"/>
  <c r="HC40" i="13"/>
  <c r="HB40" i="13"/>
  <c r="HA40" i="13"/>
  <c r="GT47" i="13"/>
  <c r="HD47" i="13"/>
  <c r="HC47" i="13"/>
  <c r="HB47" i="13"/>
  <c r="AE16" i="6"/>
  <c r="CD13" i="36" s="1"/>
  <c r="EN13" i="36" s="1"/>
  <c r="T47" i="13"/>
  <c r="S40" i="13"/>
  <c r="T40" i="13"/>
  <c r="R40" i="13"/>
  <c r="C51" i="52"/>
  <c r="B51" i="52"/>
  <c r="B35" i="52"/>
  <c r="E52" i="45" s="1"/>
  <c r="E61" i="45" s="1"/>
  <c r="C35" i="52"/>
  <c r="F52" i="45" s="1"/>
  <c r="F61" i="45" s="1"/>
  <c r="C27" i="52"/>
  <c r="F39" i="45" s="1"/>
  <c r="F48" i="45" s="1"/>
  <c r="B27" i="52"/>
  <c r="E39" i="45" s="1"/>
  <c r="E48" i="45" s="1"/>
  <c r="B19" i="52"/>
  <c r="C43" i="52"/>
  <c r="EA15" i="36"/>
  <c r="EUJ28" i="51"/>
  <c r="EUI28" i="51" s="1"/>
  <c r="MRH28" i="51"/>
  <c r="MRG28" i="51" s="1"/>
  <c r="HQV28" i="51"/>
  <c r="HQU28" i="51" s="1"/>
  <c r="HOJ28" i="51"/>
  <c r="HOI28" i="51" s="1"/>
  <c r="DCB28" i="51"/>
  <c r="DCA28" i="51" s="1"/>
  <c r="WFX28" i="51"/>
  <c r="WFW28" i="51" s="1"/>
  <c r="MOV28" i="51"/>
  <c r="MOU28" i="51" s="1"/>
  <c r="RSZ28" i="51"/>
  <c r="RSY28" i="51" s="1"/>
  <c r="WEB28" i="51"/>
  <c r="WEA28" i="51" s="1"/>
  <c r="DYV28" i="51"/>
  <c r="DYU28" i="51" s="1"/>
  <c r="JHH28" i="51"/>
  <c r="JHG28" i="51" s="1"/>
  <c r="CON28" i="51"/>
  <c r="COM28" i="51" s="1"/>
  <c r="NRD28" i="51"/>
  <c r="NRC28" i="51" s="1"/>
  <c r="DAV28" i="51"/>
  <c r="DAU28" i="51" s="1"/>
  <c r="EWV28" i="51"/>
  <c r="EWU28" i="51" s="1"/>
  <c r="HRL28" i="51"/>
  <c r="HRK28" i="51" s="1"/>
  <c r="TAF28" i="51"/>
  <c r="TAE28" i="51" s="1"/>
  <c r="RJD28" i="51"/>
  <c r="RJC28" i="51" s="1"/>
  <c r="GBP28" i="51"/>
  <c r="GBO28" i="51" s="1"/>
  <c r="LGJ28" i="51"/>
  <c r="LGI28" i="51" s="1"/>
  <c r="QXL28" i="51"/>
  <c r="QXK28" i="51" s="1"/>
  <c r="FRT28" i="51"/>
  <c r="FRS28" i="51" s="1"/>
  <c r="RDP28" i="51"/>
  <c r="RDO28" i="51" s="1"/>
  <c r="KHT28" i="51"/>
  <c r="KHS28" i="51" s="1"/>
  <c r="MOF28" i="51"/>
  <c r="MOE28" i="51" s="1"/>
  <c r="NWR28" i="51"/>
  <c r="NWQ28" i="51" s="1"/>
  <c r="TTX28" i="51"/>
  <c r="TTW28" i="51" s="1"/>
  <c r="PFD28" i="51"/>
  <c r="PFC28" i="51" s="1"/>
  <c r="EDD28" i="51"/>
  <c r="EDC28" i="51" s="1"/>
  <c r="GMR28" i="51"/>
  <c r="GMQ28" i="51" s="1"/>
  <c r="RTP28" i="51"/>
  <c r="RTO28" i="51" s="1"/>
  <c r="NXX28" i="51"/>
  <c r="NXW28" i="51" s="1"/>
  <c r="LND28" i="51"/>
  <c r="LNC28" i="51" s="1"/>
  <c r="GPD28" i="51"/>
  <c r="GPC28" i="51" s="1"/>
  <c r="HGJ28" i="51"/>
  <c r="HGI28" i="51" s="1"/>
  <c r="PKR28" i="51"/>
  <c r="PKQ28" i="51" s="1"/>
  <c r="EGF28" i="51"/>
  <c r="EGE28" i="51" s="1"/>
  <c r="POJ28" i="51"/>
  <c r="POI28" i="51" s="1"/>
  <c r="MYB28" i="51"/>
  <c r="MYA28" i="51" s="1"/>
  <c r="JZD28" i="51"/>
  <c r="JZC28" i="51" s="1"/>
  <c r="HTX28" i="51"/>
  <c r="HTW28" i="51" s="1"/>
  <c r="DQF28" i="51"/>
  <c r="DQE28" i="51" s="1"/>
  <c r="FFL28" i="51"/>
  <c r="FFK28" i="51" s="1"/>
  <c r="WAJ28" i="51"/>
  <c r="WAI28" i="51" s="1"/>
  <c r="TND28" i="51"/>
  <c r="TNC28" i="51" s="1"/>
  <c r="FYN28" i="51"/>
  <c r="FYM28" i="51" s="1"/>
  <c r="TOZ28" i="51"/>
  <c r="TOY28" i="51" s="1"/>
  <c r="GYZ28" i="51"/>
  <c r="GYY28" i="51" s="1"/>
  <c r="NTP28" i="51"/>
  <c r="NTO28" i="51" s="1"/>
  <c r="BRT28" i="51"/>
  <c r="BRS28" i="51" s="1"/>
  <c r="FEV28" i="51"/>
  <c r="FEU28" i="51" s="1"/>
  <c r="OHD28" i="51"/>
  <c r="OHC28" i="51" s="1"/>
  <c r="PTH28" i="51"/>
  <c r="PTG28" i="51" s="1"/>
  <c r="IHL28" i="51"/>
  <c r="IHK28" i="51" s="1"/>
  <c r="RFL28" i="51"/>
  <c r="RFK28" i="51" s="1"/>
  <c r="PIV28" i="51"/>
  <c r="PIU28" i="51" s="1"/>
  <c r="JQN28" i="51"/>
  <c r="JQM28" i="51" s="1"/>
  <c r="PFT28" i="51"/>
  <c r="PFS28" i="51" s="1"/>
  <c r="GQJ28" i="51"/>
  <c r="GQI28" i="51" s="1"/>
  <c r="PLX28" i="51"/>
  <c r="PLW28" i="51" s="1"/>
  <c r="KAJ28" i="51"/>
  <c r="KAI28" i="51" s="1"/>
  <c r="RZD28" i="51"/>
  <c r="RZC28" i="51" s="1"/>
  <c r="TDX28" i="51"/>
  <c r="TDW28" i="51" s="1"/>
  <c r="H31" i="51"/>
  <c r="G31" i="51" s="1"/>
  <c r="KKV28" i="51"/>
  <c r="KKU28" i="51" s="1"/>
  <c r="EMZ28" i="51"/>
  <c r="EMY28" i="51" s="1"/>
  <c r="DFD28" i="51"/>
  <c r="DFC28" i="51" s="1"/>
  <c r="KRP28" i="51"/>
  <c r="KRO28" i="51" s="1"/>
  <c r="WNH28" i="51"/>
  <c r="WNG28" i="51" s="1"/>
  <c r="EDT28" i="51"/>
  <c r="EDS28" i="51" s="1"/>
  <c r="JZT28" i="51"/>
  <c r="JZS28" i="51" s="1"/>
  <c r="TZL28" i="51"/>
  <c r="TZK28" i="51" s="1"/>
  <c r="GXD28" i="51"/>
  <c r="GXC28" i="51" s="1"/>
  <c r="H44" i="51"/>
  <c r="G44" i="51" s="1"/>
  <c r="FXH28" i="51"/>
  <c r="FXG28" i="51" s="1"/>
  <c r="P27" i="51"/>
  <c r="O27" i="51" s="1"/>
  <c r="LSR28" i="51"/>
  <c r="LSQ28" i="51" s="1"/>
  <c r="VSZ28" i="51"/>
  <c r="VSY28" i="51" s="1"/>
  <c r="HDX28" i="51"/>
  <c r="HDW28" i="51" s="1"/>
  <c r="XEN28" i="51"/>
  <c r="XEM28" i="51" s="1"/>
  <c r="ERH28" i="51"/>
  <c r="ERG28" i="51" s="1"/>
  <c r="SNH28" i="51"/>
  <c r="SNG28" i="51" s="1"/>
  <c r="GAZ28" i="51"/>
  <c r="GAY28" i="51" s="1"/>
  <c r="H41" i="51"/>
  <c r="G41" i="51" s="1"/>
  <c r="KPT28" i="51"/>
  <c r="KPS28" i="51" s="1"/>
  <c r="DLX28" i="51"/>
  <c r="DLW28" i="51" s="1"/>
  <c r="MWV28" i="51"/>
  <c r="MWU28" i="51" s="1"/>
  <c r="JKJ28" i="51"/>
  <c r="JKI28" i="51" s="1"/>
  <c r="NJT28" i="51"/>
  <c r="NJS28" i="51" s="1"/>
  <c r="DTH28" i="51"/>
  <c r="DTG28" i="51" s="1"/>
  <c r="PEN28" i="51"/>
  <c r="PEM28" i="51" s="1"/>
  <c r="IXL28" i="51"/>
  <c r="IXK28" i="51" s="1"/>
  <c r="UZX28" i="51"/>
  <c r="UZW28" i="51" s="1"/>
  <c r="CHD28" i="51"/>
  <c r="CHC28" i="51" s="1"/>
  <c r="NVL28" i="51"/>
  <c r="NVK28" i="51" s="1"/>
  <c r="IUZ28" i="51"/>
  <c r="IUY28" i="51" s="1"/>
  <c r="RHX28" i="51"/>
  <c r="RHW28" i="51" s="1"/>
  <c r="WLL28" i="51"/>
  <c r="WLK28" i="51" s="1"/>
  <c r="NSZ28" i="51"/>
  <c r="NSY28" i="51" s="1"/>
  <c r="TSB28" i="51"/>
  <c r="TSA28" i="51" s="1"/>
  <c r="QUZ28" i="51"/>
  <c r="QUY28" i="51" s="1"/>
  <c r="HOZ28" i="51"/>
  <c r="HOY28" i="51" s="1"/>
  <c r="WGN28" i="51"/>
  <c r="WGM28" i="51" s="1"/>
  <c r="LKB28" i="51"/>
  <c r="LKA28" i="51" s="1"/>
  <c r="BIN28" i="51"/>
  <c r="BIM28" i="51" s="1"/>
  <c r="TTH28" i="51"/>
  <c r="TTG28" i="51" s="1"/>
  <c r="MRX28" i="51"/>
  <c r="MRW28" i="51" s="1"/>
  <c r="RZT28" i="51"/>
  <c r="RZS28" i="51" s="1"/>
  <c r="GAJ28" i="51"/>
  <c r="GAI28" i="51" s="1"/>
  <c r="PKB28" i="51"/>
  <c r="PKA28" i="51" s="1"/>
  <c r="CQZ28" i="51"/>
  <c r="CQY28" i="51" s="1"/>
  <c r="VEF28" i="51"/>
  <c r="VEE28" i="51" s="1"/>
  <c r="JMF28" i="51"/>
  <c r="JME28" i="51" s="1"/>
  <c r="MMZ28" i="51"/>
  <c r="MMY28" i="51" s="1"/>
  <c r="P9" i="51"/>
  <c r="O9" i="51" s="1"/>
  <c r="CFH28" i="51"/>
  <c r="CFG28" i="51" s="1"/>
  <c r="PXP28" i="51"/>
  <c r="PXO28" i="51" s="1"/>
  <c r="JBD28" i="51"/>
  <c r="JBC28" i="51" s="1"/>
  <c r="SMB28" i="51"/>
  <c r="SMA28" i="51" s="1"/>
  <c r="CGN28" i="51"/>
  <c r="CGM28" i="51" s="1"/>
  <c r="EAR28" i="51"/>
  <c r="EAQ28" i="51" s="1"/>
  <c r="POZ28" i="51"/>
  <c r="POY28" i="51" s="1"/>
  <c r="EIB28" i="51"/>
  <c r="EIA28" i="51" s="1"/>
  <c r="MJH28" i="51"/>
  <c r="MJG28" i="51" s="1"/>
  <c r="WUB28" i="51"/>
  <c r="WUA28" i="51" s="1"/>
  <c r="EIR28" i="51"/>
  <c r="EIQ28" i="51" s="1"/>
  <c r="VCJ28" i="51"/>
  <c r="VCI28" i="51" s="1"/>
  <c r="UVP28" i="51"/>
  <c r="UVO28" i="51" s="1"/>
  <c r="IOV28" i="51"/>
  <c r="IOU28" i="51" s="1"/>
  <c r="TNT28" i="51"/>
  <c r="TNS28" i="51" s="1"/>
  <c r="PBL28" i="51"/>
  <c r="PBK28" i="51" s="1"/>
  <c r="UUZ28" i="51"/>
  <c r="UUY28" i="51" s="1"/>
  <c r="KEB28" i="51"/>
  <c r="KEA28" i="51" s="1"/>
  <c r="FTP28" i="51"/>
  <c r="FTO28" i="51" s="1"/>
  <c r="DQV28" i="51"/>
  <c r="DQU28" i="51" s="1"/>
  <c r="OMB28" i="51"/>
  <c r="OMA28" i="51" s="1"/>
  <c r="JYN28" i="51"/>
  <c r="JYM28" i="51" s="1"/>
  <c r="H40" i="51"/>
  <c r="G40" i="51" s="1"/>
  <c r="UMZ28" i="51"/>
  <c r="UMY28" i="51" s="1"/>
  <c r="WYJ28" i="51"/>
  <c r="WYI28" i="51" s="1"/>
  <c r="QDT28" i="51"/>
  <c r="QDS28" i="51" s="1"/>
  <c r="PUN28" i="51"/>
  <c r="PUM28" i="51" s="1"/>
  <c r="PHP28" i="51"/>
  <c r="PHO28" i="51" s="1"/>
  <c r="KMR28" i="51"/>
  <c r="KMQ28" i="51" s="1"/>
  <c r="LMN28" i="51"/>
  <c r="LMM28" i="51" s="1"/>
  <c r="DOJ28" i="51"/>
  <c r="DOI28" i="51" s="1"/>
  <c r="FJT28" i="51"/>
  <c r="FJS28" i="51" s="1"/>
  <c r="SEB28" i="51"/>
  <c r="SEA28" i="51" s="1"/>
  <c r="TMN28" i="51"/>
  <c r="TMM28" i="51" s="1"/>
  <c r="CIJ28" i="51"/>
  <c r="CII28" i="51" s="1"/>
  <c r="BXX28" i="51"/>
  <c r="BXW28" i="51" s="1"/>
  <c r="JKZ28" i="51"/>
  <c r="JKY28" i="51" s="1"/>
  <c r="PZL28" i="51"/>
  <c r="PZK28" i="51" s="1"/>
  <c r="IDT28" i="51"/>
  <c r="IDS28" i="51" s="1"/>
  <c r="OMR28" i="51"/>
  <c r="OMQ28" i="51" s="1"/>
  <c r="SVH28" i="51"/>
  <c r="SVG28" i="51" s="1"/>
  <c r="NXH28" i="51"/>
  <c r="NXG28" i="51" s="1"/>
  <c r="KDL28" i="51"/>
  <c r="KDK28" i="51" s="1"/>
  <c r="LYF28" i="51"/>
  <c r="LYE28" i="51" s="1"/>
  <c r="RWB28" i="51"/>
  <c r="RWA28" i="51" s="1"/>
  <c r="XAV28" i="51"/>
  <c r="XAU28" i="51" s="1"/>
  <c r="RJT28" i="51"/>
  <c r="RJS28" i="51" s="1"/>
  <c r="CPD28" i="51"/>
  <c r="CPC28" i="51" s="1"/>
  <c r="KZP28" i="51"/>
  <c r="KZO28" i="51" s="1"/>
  <c r="DCR28" i="51"/>
  <c r="DCQ28" i="51" s="1"/>
  <c r="DHP28" i="51"/>
  <c r="DHO28" i="51" s="1"/>
  <c r="GWN28" i="51"/>
  <c r="GWM28" i="51" s="1"/>
  <c r="BLP28" i="51"/>
  <c r="BLO28" i="51" s="1"/>
  <c r="KSF28" i="51"/>
  <c r="KSE28" i="51" s="1"/>
  <c r="GGN28" i="51"/>
  <c r="GGM28" i="51" s="1"/>
  <c r="TDH28" i="51"/>
  <c r="TDG28" i="51" s="1"/>
  <c r="GXT28" i="51"/>
  <c r="GXS28" i="51" s="1"/>
  <c r="QTD28" i="51"/>
  <c r="QTC28" i="51" s="1"/>
  <c r="QSN28" i="51"/>
  <c r="QSM28" i="51" s="1"/>
  <c r="UGF28" i="51"/>
  <c r="UGE28" i="51" s="1"/>
  <c r="CMB28" i="51"/>
  <c r="CMA28" i="51" s="1"/>
  <c r="JUV28" i="51"/>
  <c r="JUU28" i="51" s="1"/>
  <c r="VSJ28" i="51"/>
  <c r="VSI28" i="51" s="1"/>
  <c r="QWV28" i="51"/>
  <c r="QWU28" i="51" s="1"/>
  <c r="FVL28" i="51"/>
  <c r="FVK28" i="51" s="1"/>
  <c r="LWJ28" i="51"/>
  <c r="LWI28" i="51" s="1"/>
  <c r="TPP28" i="51"/>
  <c r="TPO28" i="51" s="1"/>
  <c r="QTT28" i="51"/>
  <c r="QTS28" i="51" s="1"/>
  <c r="VGB28" i="51"/>
  <c r="VGA28" i="51" s="1"/>
  <c r="IUJ28" i="51"/>
  <c r="IUI28" i="51" s="1"/>
  <c r="NDP28" i="51"/>
  <c r="NDO28" i="51" s="1"/>
  <c r="VPX28" i="51"/>
  <c r="VPW28" i="51" s="1"/>
  <c r="KSV28" i="51"/>
  <c r="KSU28" i="51" s="1"/>
  <c r="VZD28" i="51"/>
  <c r="VZC28" i="51" s="1"/>
  <c r="IYR28" i="51"/>
  <c r="IYQ28" i="51" s="1"/>
  <c r="KER28" i="51"/>
  <c r="KEQ28" i="51" s="1"/>
  <c r="WSF28" i="51"/>
  <c r="WSE28" i="51" s="1"/>
  <c r="UYR28" i="51"/>
  <c r="UYQ28" i="51" s="1"/>
  <c r="LSB28" i="51"/>
  <c r="LSA28" i="51" s="1"/>
  <c r="AE15" i="36"/>
  <c r="DU15" i="36" s="1"/>
  <c r="KNX28" i="51"/>
  <c r="KNW28" i="51" s="1"/>
  <c r="CAJ28" i="51"/>
  <c r="CAI28" i="51" s="1"/>
  <c r="U15" i="36"/>
  <c r="DT15" i="36" s="1"/>
  <c r="CSF28" i="51"/>
  <c r="CSE28" i="51" s="1"/>
  <c r="ESN28" i="51"/>
  <c r="ESM28" i="51" s="1"/>
  <c r="CUR28" i="51"/>
  <c r="CUQ28" i="51" s="1"/>
  <c r="LOJ28" i="51"/>
  <c r="LOI28" i="51" s="1"/>
  <c r="USN28" i="51"/>
  <c r="USM28" i="51" s="1"/>
  <c r="QBX28" i="51"/>
  <c r="QBW28" i="51" s="1"/>
  <c r="TQF28" i="51"/>
  <c r="TQE28" i="51" s="1"/>
  <c r="BGR28" i="51"/>
  <c r="BGQ28" i="51" s="1"/>
  <c r="WPT28" i="51"/>
  <c r="WPS28" i="51" s="1"/>
  <c r="WXT28" i="51"/>
  <c r="WXS28" i="51" s="1"/>
  <c r="H25" i="51"/>
  <c r="G25" i="51" s="1"/>
  <c r="HFD28" i="51"/>
  <c r="HFC28" i="51" s="1"/>
  <c r="H46" i="51"/>
  <c r="G46" i="51" s="1"/>
  <c r="GMB28" i="51"/>
  <c r="GMA28" i="51" s="1"/>
  <c r="NMV28" i="51"/>
  <c r="NMU28" i="51" s="1"/>
  <c r="URX28" i="51"/>
  <c r="URW28" i="51" s="1"/>
  <c r="CPT28" i="51"/>
  <c r="CPS28" i="51" s="1"/>
  <c r="JFL28" i="51"/>
  <c r="JFK28" i="51" s="1"/>
  <c r="BHH28" i="51"/>
  <c r="BHG28" i="51" s="1"/>
  <c r="SWN28" i="51"/>
  <c r="SWM28" i="51" s="1"/>
  <c r="QGF28" i="51"/>
  <c r="QGE28" i="51" s="1"/>
  <c r="OIJ28" i="51"/>
  <c r="OII28" i="51" s="1"/>
  <c r="VRD28" i="51"/>
  <c r="VRC28" i="51" s="1"/>
  <c r="WNX28" i="51"/>
  <c r="WNW28" i="51" s="1"/>
  <c r="VEV28" i="51"/>
  <c r="VEU28" i="51" s="1"/>
  <c r="BTP28" i="51"/>
  <c r="BTO28" i="51" s="1"/>
  <c r="RVL28" i="51"/>
  <c r="RVK28" i="51" s="1"/>
  <c r="KAZ28" i="51"/>
  <c r="KAY28" i="51" s="1"/>
  <c r="VYN28" i="51"/>
  <c r="VYM28" i="51" s="1"/>
  <c r="OVH28" i="51"/>
  <c r="OVG28" i="51" s="1"/>
  <c r="RUF28" i="51"/>
  <c r="RUE28" i="51" s="1"/>
  <c r="TSR28" i="51"/>
  <c r="TSQ28" i="51" s="1"/>
  <c r="EEJ28" i="51"/>
  <c r="EEI28" i="51" s="1"/>
  <c r="CMR28" i="51"/>
  <c r="CMQ28" i="51" s="1"/>
  <c r="IWV28" i="51"/>
  <c r="IWU28" i="51" s="1"/>
  <c r="MLT28" i="51"/>
  <c r="MLS28" i="51" s="1"/>
  <c r="GDL28" i="51"/>
  <c r="GDK28" i="51" s="1"/>
  <c r="IQR28" i="51"/>
  <c r="IQQ28" i="51" s="1"/>
  <c r="SZP28" i="51"/>
  <c r="SZO28" i="51" s="1"/>
  <c r="JEF28" i="51"/>
  <c r="JEE28" i="51" s="1"/>
  <c r="DYF28" i="51"/>
  <c r="DYE28" i="51" s="1"/>
  <c r="OAJ28" i="51"/>
  <c r="OAI28" i="51" s="1"/>
  <c r="LWZ28" i="51"/>
  <c r="LWY28" i="51" s="1"/>
  <c r="UJX28" i="51"/>
  <c r="UJW28" i="51" s="1"/>
  <c r="EVP28" i="51"/>
  <c r="EVO28" i="51" s="1"/>
  <c r="NOB28" i="51"/>
  <c r="NOA28" i="51" s="1"/>
  <c r="TYF28" i="51"/>
  <c r="TYE28" i="51" s="1"/>
  <c r="VIN28" i="51"/>
  <c r="VIM28" i="51" s="1"/>
  <c r="NHX28" i="51"/>
  <c r="NHW28" i="51" s="1"/>
  <c r="QPL28" i="51"/>
  <c r="QPK28" i="51" s="1"/>
  <c r="GCF28" i="51"/>
  <c r="GCE28" i="51" s="1"/>
  <c r="KIJ28" i="51"/>
  <c r="KII28" i="51" s="1"/>
  <c r="IJH28" i="51"/>
  <c r="IJG28" i="51" s="1"/>
  <c r="GVH28" i="51"/>
  <c r="GVG28" i="51" s="1"/>
  <c r="ONH28" i="51"/>
  <c r="ONG28" i="51" s="1"/>
  <c r="IRX28" i="51"/>
  <c r="IRW28" i="51" s="1"/>
  <c r="KVH28" i="51"/>
  <c r="KVG28" i="51" s="1"/>
  <c r="HND28" i="51"/>
  <c r="HNC28" i="51" s="1"/>
  <c r="UJH28" i="51"/>
  <c r="UJG28" i="51" s="1"/>
  <c r="FLP28" i="51"/>
  <c r="FLO28" i="51" s="1"/>
  <c r="QJX28" i="51"/>
  <c r="QJW28" i="51" s="1"/>
  <c r="QUJ28" i="51"/>
  <c r="QUI28" i="51" s="1"/>
  <c r="OYZ28" i="51"/>
  <c r="OYY28" i="51" s="1"/>
  <c r="REF28" i="51"/>
  <c r="REE28" i="51" s="1"/>
  <c r="WMR28" i="51"/>
  <c r="WMQ28" i="51" s="1"/>
  <c r="DFT28" i="51"/>
  <c r="DFS28" i="51" s="1"/>
  <c r="FPH28" i="51"/>
  <c r="FPG28" i="51" s="1"/>
  <c r="HUN28" i="51"/>
  <c r="HUM28" i="51" s="1"/>
  <c r="RUV28" i="51"/>
  <c r="RUU28" i="51" s="1"/>
  <c r="TEN28" i="51"/>
  <c r="TEM28" i="51" s="1"/>
  <c r="QLT28" i="51"/>
  <c r="QLS28" i="51" s="1"/>
  <c r="DLH28" i="51"/>
  <c r="DLG28" i="51" s="1"/>
  <c r="KYJ28" i="51"/>
  <c r="KYI28" i="51" s="1"/>
  <c r="MHL28" i="51"/>
  <c r="MHK28" i="51" s="1"/>
  <c r="DTX28" i="51"/>
  <c r="DTW28" i="51" s="1"/>
  <c r="DPP28" i="51"/>
  <c r="DPO28" i="51" s="1"/>
  <c r="BKZ28" i="51"/>
  <c r="BKY28" i="51" s="1"/>
  <c r="ULT28" i="51"/>
  <c r="ULS28" i="51" s="1"/>
  <c r="JPH28" i="51"/>
  <c r="JPG28" i="51" s="1"/>
  <c r="VAN28" i="51"/>
  <c r="VAM28" i="51" s="1"/>
  <c r="RCZ28" i="51"/>
  <c r="RCY28" i="51" s="1"/>
  <c r="OTL28" i="51"/>
  <c r="OTK28" i="51" s="1"/>
  <c r="SMR28" i="51"/>
  <c r="SMQ28" i="51" s="1"/>
  <c r="VRT28" i="51"/>
  <c r="VRS28" i="51" s="1"/>
  <c r="GON28" i="51"/>
  <c r="GOM28" i="51" s="1"/>
  <c r="IDD28" i="51"/>
  <c r="IDC28" i="51" s="1"/>
  <c r="MGV28" i="51"/>
  <c r="MGU28" i="51" s="1"/>
  <c r="QIB28" i="51"/>
  <c r="QIA28" i="51" s="1"/>
  <c r="CRP28" i="51"/>
  <c r="CRO28" i="51" s="1"/>
  <c r="CVH28" i="51"/>
  <c r="CVG28" i="51" s="1"/>
  <c r="GLL28" i="51"/>
  <c r="GLK28" i="51" s="1"/>
  <c r="RSJ28" i="51"/>
  <c r="RSI28" i="51" s="1"/>
  <c r="H8" i="51"/>
  <c r="G8" i="51" s="1"/>
  <c r="PYF28" i="51"/>
  <c r="PYE28" i="51" s="1"/>
  <c r="OPT28" i="51"/>
  <c r="OPS28" i="51" s="1"/>
  <c r="H18" i="51"/>
  <c r="G18" i="51" s="1"/>
  <c r="FNL28" i="51"/>
  <c r="FNK28" i="51" s="1"/>
  <c r="P13" i="51"/>
  <c r="O13" i="51" s="1"/>
  <c r="OEB28" i="51"/>
  <c r="OEA28" i="51" s="1"/>
  <c r="H30" i="51"/>
  <c r="G30" i="51" s="1"/>
  <c r="RNL28" i="51"/>
  <c r="RNK28" i="51" s="1"/>
  <c r="RQN28" i="51"/>
  <c r="RQM28" i="51" s="1"/>
  <c r="QRX28" i="51"/>
  <c r="QRW28" i="51" s="1"/>
  <c r="UTT28" i="51"/>
  <c r="UTS28" i="51" s="1"/>
  <c r="QWF28" i="51"/>
  <c r="QWE28" i="51" s="1"/>
  <c r="TYV28" i="51"/>
  <c r="TYU28" i="51" s="1"/>
  <c r="DVD28" i="51"/>
  <c r="DVC28" i="51" s="1"/>
  <c r="WYZ28" i="51"/>
  <c r="WYY28" i="51" s="1"/>
  <c r="NCZ28" i="51"/>
  <c r="NCY28" i="51" s="1"/>
  <c r="QGV28" i="51"/>
  <c r="QGU28" i="51" s="1"/>
  <c r="KPD28" i="51"/>
  <c r="KPC28" i="51" s="1"/>
  <c r="FCZ28" i="51"/>
  <c r="FCY28" i="51" s="1"/>
  <c r="OCV28" i="51"/>
  <c r="OCU28" i="51" s="1"/>
  <c r="OUR28" i="51"/>
  <c r="OUQ28" i="51" s="1"/>
  <c r="OHT28" i="51"/>
  <c r="OHS28" i="51" s="1"/>
  <c r="SKV28" i="51"/>
  <c r="SKU28" i="51" s="1"/>
  <c r="OYJ28" i="51"/>
  <c r="OYI28" i="51" s="1"/>
  <c r="TWJ28" i="51"/>
  <c r="TWI28" i="51" s="1"/>
  <c r="QZX28" i="51"/>
  <c r="QZW28" i="51" s="1"/>
  <c r="FOR28" i="51"/>
  <c r="FOQ28" i="51" s="1"/>
  <c r="IOF28" i="51"/>
  <c r="IOE28" i="51" s="1"/>
  <c r="BMV28" i="51"/>
  <c r="BMU28" i="51" s="1"/>
  <c r="FDP28" i="51"/>
  <c r="FDO28" i="51" s="1"/>
  <c r="ETT28" i="51"/>
  <c r="ETS28" i="51" s="1"/>
  <c r="JTP28" i="51"/>
  <c r="JTO28" i="51" s="1"/>
  <c r="FUV28" i="51"/>
  <c r="FUU28" i="51" s="1"/>
  <c r="SJP28" i="51"/>
  <c r="SJO28" i="51" s="1"/>
  <c r="QZH28" i="51"/>
  <c r="QZG28" i="51" s="1"/>
  <c r="WVH28" i="51"/>
  <c r="WVG28" i="51" s="1"/>
  <c r="TOJ28" i="51"/>
  <c r="TOI28" i="51" s="1"/>
  <c r="JWB28" i="51"/>
  <c r="JWA28" i="51" s="1"/>
  <c r="UNP28" i="51"/>
  <c r="UNO28" i="51" s="1"/>
  <c r="UPL28" i="51"/>
  <c r="UPK28" i="51" s="1"/>
  <c r="BOR28" i="51"/>
  <c r="BOQ28" i="51" s="1"/>
  <c r="HBL28" i="51"/>
  <c r="HBK28" i="51" s="1"/>
  <c r="NKJ28" i="51"/>
  <c r="NKI28" i="51" s="1"/>
  <c r="JOB28" i="51"/>
  <c r="JOA28" i="51" s="1"/>
  <c r="SQJ28" i="51"/>
  <c r="SQI28" i="51" s="1"/>
  <c r="VLP28" i="51"/>
  <c r="VLO28" i="51" s="1"/>
  <c r="XCB28" i="51"/>
  <c r="XCA28" i="51" s="1"/>
  <c r="TJL28" i="51"/>
  <c r="TJK28" i="51" s="1"/>
  <c r="FEF28" i="51"/>
  <c r="FEE28" i="51" s="1"/>
  <c r="BEF28" i="51"/>
  <c r="BEE28" i="51" s="1"/>
  <c r="GKV28" i="51"/>
  <c r="GKU28" i="51" s="1"/>
  <c r="HSR28" i="51"/>
  <c r="HSQ28" i="51" s="1"/>
  <c r="P28" i="51"/>
  <c r="O28" i="51" s="1"/>
  <c r="OUB28" i="51"/>
  <c r="OUA28" i="51" s="1"/>
  <c r="QOV28" i="51"/>
  <c r="QOU28" i="51" s="1"/>
  <c r="SIJ28" i="51"/>
  <c r="SII28" i="51" s="1"/>
  <c r="WHT28" i="51"/>
  <c r="WHS28" i="51" s="1"/>
  <c r="FMF28" i="51"/>
  <c r="FME28" i="51" s="1"/>
  <c r="BDP28" i="51"/>
  <c r="BDO28" i="51" s="1"/>
  <c r="QAB28" i="51"/>
  <c r="QAA28" i="51" s="1"/>
  <c r="PCR28" i="51"/>
  <c r="PCQ28" i="51" s="1"/>
  <c r="JLP28" i="51"/>
  <c r="JLO28" i="51" s="1"/>
  <c r="FRD28" i="51"/>
  <c r="FRC28" i="51" s="1"/>
  <c r="ROR28" i="51"/>
  <c r="ROQ28" i="51" s="1"/>
  <c r="OFX28" i="51"/>
  <c r="OFW28" i="51" s="1"/>
  <c r="MAR28" i="51"/>
  <c r="MAQ28" i="51" s="1"/>
  <c r="UBH28" i="51"/>
  <c r="UBG28" i="51" s="1"/>
  <c r="SHT28" i="51"/>
  <c r="SHS28" i="51" s="1"/>
  <c r="ELD28" i="51"/>
  <c r="ELC28" i="51" s="1"/>
  <c r="ILD28" i="51"/>
  <c r="ILC28" i="51" s="1"/>
  <c r="EKN28" i="51"/>
  <c r="EKM28" i="51" s="1"/>
  <c r="CJP28" i="51"/>
  <c r="CJO28" i="51" s="1"/>
  <c r="NQN28" i="51"/>
  <c r="NQM28" i="51" s="1"/>
  <c r="KIZ28" i="51"/>
  <c r="KIY28" i="51" s="1"/>
  <c r="CQJ28" i="51"/>
  <c r="CQI28" i="51" s="1"/>
  <c r="SPT28" i="51"/>
  <c r="SPS28" i="51" s="1"/>
  <c r="NYN28" i="51"/>
  <c r="NYM28" i="51" s="1"/>
  <c r="FGR28" i="51"/>
  <c r="FGQ28" i="51" s="1"/>
  <c r="HMN28" i="51"/>
  <c r="HMM28" i="51" s="1"/>
  <c r="GER28" i="51"/>
  <c r="GEQ28" i="51" s="1"/>
  <c r="RKZ28" i="51"/>
  <c r="RKY28" i="51" s="1"/>
  <c r="LCB28" i="51"/>
  <c r="LCA28" i="51" s="1"/>
  <c r="HAF28" i="51"/>
  <c r="HAE28" i="51" s="1"/>
  <c r="NOR28" i="51"/>
  <c r="NOQ28" i="51" s="1"/>
  <c r="MNP28" i="51"/>
  <c r="MNO28" i="51" s="1"/>
  <c r="NJD28" i="51"/>
  <c r="NJC28" i="51" s="1"/>
  <c r="MBH28" i="51"/>
  <c r="MBG28" i="51" s="1"/>
  <c r="KWN28" i="51"/>
  <c r="KWM28" i="51" s="1"/>
  <c r="WJP28" i="51"/>
  <c r="WJO28" i="51" s="1"/>
  <c r="UCN28" i="51"/>
  <c r="UCM28" i="51" s="1"/>
  <c r="VHX28" i="51"/>
  <c r="VHW28" i="51" s="1"/>
  <c r="FHH28" i="51"/>
  <c r="FHG28" i="51" s="1"/>
  <c r="IBH28" i="51"/>
  <c r="IBG28" i="51" s="1"/>
  <c r="RHH28" i="51"/>
  <c r="RHG28" i="51" s="1"/>
  <c r="HNT28" i="51"/>
  <c r="HNS28" i="51" s="1"/>
  <c r="EEZ28" i="51"/>
  <c r="EEY28" i="51" s="1"/>
  <c r="SRP28" i="51"/>
  <c r="SRO28" i="51" s="1"/>
  <c r="NUV28" i="51"/>
  <c r="NUU28" i="51" s="1"/>
  <c r="VJT28" i="51"/>
  <c r="VJS28" i="51" s="1"/>
  <c r="EXL28" i="51"/>
  <c r="EXK28" i="51" s="1"/>
  <c r="UFP28" i="51"/>
  <c r="UFO28" i="51" s="1"/>
  <c r="LPP28" i="51"/>
  <c r="LPO28" i="51" s="1"/>
  <c r="JEV28" i="51"/>
  <c r="JEU28" i="51" s="1"/>
  <c r="MIB28" i="51"/>
  <c r="MIA28" i="51" s="1"/>
  <c r="BCZ28" i="51"/>
  <c r="BCY28" i="51" s="1"/>
  <c r="KMB28" i="51"/>
  <c r="KMA28" i="51" s="1"/>
  <c r="RLP28" i="51"/>
  <c r="RLO28" i="51" s="1"/>
  <c r="KYZ28" i="51"/>
  <c r="KYY28" i="51" s="1"/>
  <c r="HZL28" i="51"/>
  <c r="HZK28" i="51" s="1"/>
  <c r="VKZ28" i="51"/>
  <c r="VKY28" i="51" s="1"/>
  <c r="SER28" i="51"/>
  <c r="SEQ28" i="51" s="1"/>
  <c r="LUN28" i="51"/>
  <c r="LUM28" i="51" s="1"/>
  <c r="IZH28" i="51"/>
  <c r="IZG28" i="51" s="1"/>
  <c r="GQZ28" i="51"/>
  <c r="GQY28" i="51" s="1"/>
  <c r="VXH28" i="51"/>
  <c r="VXG28" i="51" s="1"/>
  <c r="VMV28" i="51"/>
  <c r="VMU28" i="51" s="1"/>
  <c r="H26" i="51"/>
  <c r="G26" i="51" s="1"/>
  <c r="BKJ28" i="51"/>
  <c r="BKI28" i="51" s="1"/>
  <c r="GUB28" i="51"/>
  <c r="GUA28" i="51" s="1"/>
  <c r="CNH28" i="51"/>
  <c r="CNG28" i="51" s="1"/>
  <c r="BMF28" i="51"/>
  <c r="BME28" i="51" s="1"/>
  <c r="CKF28" i="51"/>
  <c r="CKE28" i="51" s="1"/>
  <c r="LAF28" i="51"/>
  <c r="LAE28" i="51" s="1"/>
  <c r="FSZ28" i="51"/>
  <c r="FSY28" i="51" s="1"/>
  <c r="RXH28" i="51"/>
  <c r="RXG28" i="51" s="1"/>
  <c r="P8" i="51"/>
  <c r="O8" i="51" s="1"/>
  <c r="QAR28" i="51"/>
  <c r="QAQ28" i="51" s="1"/>
  <c r="QVP28" i="51"/>
  <c r="QVO28" i="51" s="1"/>
  <c r="QKN28" i="51"/>
  <c r="QKM28" i="51" s="1"/>
  <c r="CIZ28" i="51"/>
  <c r="CIY28" i="51" s="1"/>
  <c r="CFX28" i="51"/>
  <c r="CFW28" i="51" s="1"/>
  <c r="MBX28" i="51"/>
  <c r="MBW28" i="51" s="1"/>
  <c r="HHP28" i="51"/>
  <c r="HHO28" i="51" s="1"/>
  <c r="CAZ28" i="51"/>
  <c r="CAY28" i="51" s="1"/>
  <c r="CWN28" i="51"/>
  <c r="CWM28" i="51" s="1"/>
  <c r="HXP28" i="51"/>
  <c r="HXO28" i="51" s="1"/>
  <c r="MLD28" i="51"/>
  <c r="MLC28" i="51" s="1"/>
  <c r="IEJ28" i="51"/>
  <c r="IEI28" i="51" s="1"/>
  <c r="ECN28" i="51"/>
  <c r="ECM28" i="51" s="1"/>
  <c r="KHD28" i="51"/>
  <c r="KHC28" i="51" s="1"/>
  <c r="H24" i="51"/>
  <c r="G24" i="51" s="1"/>
  <c r="SQZ28" i="51"/>
  <c r="SQY28" i="51" s="1"/>
  <c r="WMB28" i="51"/>
  <c r="WMA28" i="51" s="1"/>
  <c r="MUZ28" i="51"/>
  <c r="MUY28" i="51" s="1"/>
  <c r="NBT28" i="51"/>
  <c r="NBS28" i="51" s="1"/>
  <c r="CER28" i="51"/>
  <c r="CEQ28" i="51" s="1"/>
  <c r="SXD28" i="51"/>
  <c r="SXC28" i="51" s="1"/>
  <c r="SIZ28" i="51"/>
  <c r="SIY28" i="51" s="1"/>
  <c r="P34" i="51"/>
  <c r="O34" i="51" s="1"/>
  <c r="TKB28" i="51"/>
  <c r="TKA28" i="51" s="1"/>
  <c r="EWF28" i="51"/>
  <c r="EWE28" i="51" s="1"/>
  <c r="FHX28" i="51"/>
  <c r="FHW28" i="51" s="1"/>
  <c r="JWR28" i="51"/>
  <c r="JWQ28" i="51" s="1"/>
  <c r="SFH28" i="51"/>
  <c r="SFG28" i="51" s="1"/>
  <c r="TCB28" i="51"/>
  <c r="TCA28" i="51" s="1"/>
  <c r="RXX28" i="51"/>
  <c r="RXW28" i="51" s="1"/>
  <c r="TLH28" i="51"/>
  <c r="TLG28" i="51" s="1"/>
  <c r="KJP28" i="51"/>
  <c r="KJO28" i="51" s="1"/>
  <c r="DZL28" i="51"/>
  <c r="DZK28" i="51" s="1"/>
  <c r="PLH28" i="51"/>
  <c r="PLG28" i="51" s="1"/>
  <c r="QCN28" i="51"/>
  <c r="QCM28" i="51" s="1"/>
  <c r="PSR28" i="51"/>
  <c r="PSQ28" i="51" s="1"/>
  <c r="OXT28" i="51"/>
  <c r="OXS28" i="51" s="1"/>
  <c r="CYJ28" i="51"/>
  <c r="CYI28" i="51" s="1"/>
  <c r="SAJ28" i="51"/>
  <c r="SAI28" i="51" s="1"/>
  <c r="VHH28" i="51"/>
  <c r="VHG28" i="51" s="1"/>
  <c r="EMJ28" i="51"/>
  <c r="EMI28" i="51" s="1"/>
  <c r="FKZ28" i="51"/>
  <c r="FKY28" i="51" s="1"/>
  <c r="PWJ28" i="51"/>
  <c r="PWI28" i="51" s="1"/>
  <c r="OON28" i="51"/>
  <c r="OOM28" i="51" s="1"/>
  <c r="BXH28" i="51"/>
  <c r="BXG28" i="51" s="1"/>
  <c r="NZD28" i="51"/>
  <c r="NZC28" i="51" s="1"/>
  <c r="DMN28" i="51"/>
  <c r="DMM28" i="51" s="1"/>
  <c r="VQN28" i="51"/>
  <c r="VQM28" i="51" s="1"/>
  <c r="BFL28" i="51"/>
  <c r="BFK28" i="51" s="1"/>
  <c r="P18" i="51"/>
  <c r="O18" i="51" s="1"/>
  <c r="TAV28" i="51"/>
  <c r="TAU28" i="51" s="1"/>
  <c r="NWB28" i="51"/>
  <c r="NWA28" i="51" s="1"/>
  <c r="IBX28" i="51"/>
  <c r="IBW28" i="51" s="1"/>
  <c r="PNT28" i="51"/>
  <c r="PNS28" i="51" s="1"/>
  <c r="QBH28" i="51"/>
  <c r="QBG28" i="51" s="1"/>
  <c r="DNT28" i="51"/>
  <c r="DNS28" i="51" s="1"/>
  <c r="FBD28" i="51"/>
  <c r="FBC28" i="51" s="1"/>
  <c r="DXP28" i="51"/>
  <c r="DXO28" i="51" s="1"/>
  <c r="IPL28" i="51"/>
  <c r="IPK28" i="51" s="1"/>
  <c r="CNX28" i="51"/>
  <c r="CNW28" i="51" s="1"/>
  <c r="OZP28" i="51"/>
  <c r="OZO28" i="51" s="1"/>
  <c r="RPH28" i="51"/>
  <c r="RPG28" i="51" s="1"/>
  <c r="PAV28" i="51"/>
  <c r="PAU28" i="51" s="1"/>
  <c r="KKF28" i="51"/>
  <c r="KKE28" i="51" s="1"/>
  <c r="SAZ28" i="51"/>
  <c r="SAY28" i="51" s="1"/>
  <c r="H7" i="51"/>
  <c r="G7" i="51" s="1"/>
  <c r="JUF28" i="51"/>
  <c r="JUE28" i="51" s="1"/>
  <c r="MFP28" i="51"/>
  <c r="MFO28" i="51" s="1"/>
  <c r="KQJ28" i="51"/>
  <c r="KQI28" i="51" s="1"/>
  <c r="VJD28" i="51"/>
  <c r="VJC28" i="51" s="1"/>
  <c r="DJL28" i="51"/>
  <c r="DJK28" i="51" s="1"/>
  <c r="UEJ28" i="51"/>
  <c r="UEI28" i="51" s="1"/>
  <c r="SKF28" i="51"/>
  <c r="SKE28" i="51" s="1"/>
  <c r="QOF28" i="51"/>
  <c r="QOE28" i="51" s="1"/>
  <c r="PPP28" i="51"/>
  <c r="PPO28" i="51" s="1"/>
  <c r="JSZ28" i="51"/>
  <c r="JSY28" i="51" s="1"/>
  <c r="NKZ28" i="51"/>
  <c r="NKY28" i="51" s="1"/>
  <c r="H12" i="51"/>
  <c r="G12" i="51" s="1"/>
  <c r="UYB28" i="51"/>
  <c r="UYA28" i="51" s="1"/>
  <c r="UBX28" i="51"/>
  <c r="UBW28" i="51" s="1"/>
  <c r="HIF28" i="51"/>
  <c r="HIE28" i="51" s="1"/>
  <c r="MIR28" i="51"/>
  <c r="MIQ28" i="51" s="1"/>
  <c r="PCB28" i="51"/>
  <c r="PCA28" i="51" s="1"/>
  <c r="BUV28" i="51"/>
  <c r="BUU28" i="51" s="1"/>
  <c r="BGB28" i="51"/>
  <c r="BGA28" i="51" s="1"/>
  <c r="DOZ28" i="51"/>
  <c r="DOY28" i="51" s="1"/>
  <c r="CXD28" i="51"/>
  <c r="CXC28" i="51" s="1"/>
  <c r="CXT28" i="51"/>
  <c r="CXS28" i="51" s="1"/>
  <c r="VGR28" i="51"/>
  <c r="VGQ28" i="51" s="1"/>
  <c r="FWB28" i="51"/>
  <c r="FWA28" i="51" s="1"/>
  <c r="SUB28" i="51"/>
  <c r="SUA28" i="51" s="1"/>
  <c r="PGJ28" i="51"/>
  <c r="PGI28" i="51" s="1"/>
  <c r="H36" i="51"/>
  <c r="G36" i="51" s="1"/>
  <c r="RMV28" i="51"/>
  <c r="RMU28" i="51" s="1"/>
  <c r="H14" i="51"/>
  <c r="G14" i="51" s="1"/>
  <c r="QEZ28" i="51"/>
  <c r="QEY28" i="51" s="1"/>
  <c r="QHL28" i="51"/>
  <c r="QHK28" i="51" s="1"/>
  <c r="BQN28" i="51"/>
  <c r="BQM28" i="51" s="1"/>
  <c r="PIF28" i="51"/>
  <c r="PIE28" i="51" s="1"/>
  <c r="WIJ28" i="51"/>
  <c r="WII28" i="51" s="1"/>
  <c r="GKF28" i="51"/>
  <c r="GKE28" i="51" s="1"/>
  <c r="HQF28" i="51"/>
  <c r="HQE28" i="51" s="1"/>
  <c r="PJL28" i="51"/>
  <c r="PJK28" i="51" s="1"/>
  <c r="EZH28" i="51"/>
  <c r="EZG28" i="51" s="1"/>
  <c r="QLD28" i="51"/>
  <c r="QLC28" i="51" s="1"/>
  <c r="PVT28" i="51"/>
  <c r="PVS28" i="51" s="1"/>
  <c r="UWV28" i="51"/>
  <c r="UWU28" i="51" s="1"/>
  <c r="OFH28" i="51"/>
  <c r="OFG28" i="51" s="1"/>
  <c r="VCZ28" i="51"/>
  <c r="VCY28" i="51" s="1"/>
  <c r="IGF28" i="51"/>
  <c r="IGE28" i="51" s="1"/>
  <c r="WWN28" i="51"/>
  <c r="WWM28" i="51" s="1"/>
  <c r="KTL28" i="51"/>
  <c r="KTK28" i="51" s="1"/>
  <c r="NAN28" i="51"/>
  <c r="NAM28" i="51" s="1"/>
  <c r="SPD28" i="51"/>
  <c r="SPC28" i="51" s="1"/>
  <c r="RRD28" i="51"/>
  <c r="RRC28" i="51" s="1"/>
  <c r="MXL28" i="51"/>
  <c r="MXK28" i="51" s="1"/>
  <c r="KUB28" i="51"/>
  <c r="KUA28" i="51" s="1"/>
  <c r="LDX28" i="51"/>
  <c r="LDW28" i="51" s="1"/>
  <c r="GNH28" i="51"/>
  <c r="GNG28" i="51" s="1"/>
  <c r="INP28" i="51"/>
  <c r="INO28" i="51" s="1"/>
  <c r="GTL28" i="51"/>
  <c r="GTK28" i="51" s="1"/>
  <c r="CDL28" i="51"/>
  <c r="CDK28" i="51" s="1"/>
  <c r="LVD28" i="51"/>
  <c r="LVC28" i="51" s="1"/>
  <c r="IFP28" i="51"/>
  <c r="IFO28" i="51" s="1"/>
  <c r="EFP28" i="51"/>
  <c r="EFO28" i="51" s="1"/>
  <c r="JBT28" i="51"/>
  <c r="JBS28" i="51" s="1"/>
  <c r="VWR28" i="51"/>
  <c r="VWQ28" i="51" s="1"/>
  <c r="KXT28" i="51"/>
  <c r="KXS28" i="51" s="1"/>
  <c r="WDL28" i="51"/>
  <c r="WDK28" i="51" s="1"/>
  <c r="EGV28" i="51"/>
  <c r="EGU28" i="51" s="1"/>
  <c r="KLL28" i="51"/>
  <c r="KLK28" i="51" s="1"/>
  <c r="CBP28" i="51"/>
  <c r="CBO28" i="51" s="1"/>
  <c r="WER28" i="51"/>
  <c r="WEQ28" i="51" s="1"/>
  <c r="JRT28" i="51"/>
  <c r="JRS28" i="51" s="1"/>
  <c r="LLX28" i="51"/>
  <c r="LLW28" i="51" s="1"/>
  <c r="TKR28" i="51"/>
  <c r="TKQ28" i="51" s="1"/>
  <c r="H17" i="51"/>
  <c r="G17" i="51" s="1"/>
  <c r="CYZ28" i="51"/>
  <c r="CYY28" i="51" s="1"/>
  <c r="RGR28" i="51"/>
  <c r="RGQ28" i="51" s="1"/>
  <c r="UDD28" i="51"/>
  <c r="UDC28" i="51" s="1"/>
  <c r="TXP28" i="51"/>
  <c r="TXO28" i="51" s="1"/>
  <c r="SON28" i="51"/>
  <c r="SOM28" i="51" s="1"/>
  <c r="WTL28" i="51"/>
  <c r="WTK28" i="51" s="1"/>
  <c r="WON28" i="51"/>
  <c r="WOM28" i="51" s="1"/>
  <c r="ITT28" i="51"/>
  <c r="ITS28" i="51" s="1"/>
  <c r="CUB28" i="51"/>
  <c r="CUA28" i="51" s="1"/>
  <c r="HTH28" i="51"/>
  <c r="HTG28" i="51" s="1"/>
  <c r="UQB28" i="51"/>
  <c r="UQA28" i="51" s="1"/>
  <c r="IJX28" i="51"/>
  <c r="IJW28" i="51" s="1"/>
  <c r="ULD28" i="51"/>
  <c r="ULC28" i="51" s="1"/>
  <c r="PYV28" i="51"/>
  <c r="PYU28" i="51" s="1"/>
  <c r="EJX28" i="51"/>
  <c r="EJW28" i="51" s="1"/>
  <c r="JXH28" i="51"/>
  <c r="JXG28" i="51" s="1"/>
  <c r="BOB28" i="51"/>
  <c r="BOA28" i="51" s="1"/>
  <c r="TGZ28" i="51"/>
  <c r="TGY28" i="51" s="1"/>
  <c r="ELT28" i="51"/>
  <c r="ELS28" i="51" s="1"/>
  <c r="TQV28" i="51"/>
  <c r="TQU28" i="51" s="1"/>
  <c r="EQR28" i="51"/>
  <c r="EQQ28" i="51" s="1"/>
  <c r="FQN28" i="51"/>
  <c r="FQM28" i="51" s="1"/>
  <c r="GFX28" i="51"/>
  <c r="GFW28" i="51" s="1"/>
  <c r="TVT28" i="51"/>
  <c r="TVS28" i="51" s="1"/>
  <c r="P7" i="51"/>
  <c r="O7" i="51" s="1"/>
  <c r="P19" i="51"/>
  <c r="O19" i="51" s="1"/>
  <c r="JOR28" i="51"/>
  <c r="JOQ28" i="51" s="1"/>
  <c r="HLX28" i="51"/>
  <c r="HLW28" i="51" s="1"/>
  <c r="BRD28" i="51"/>
  <c r="BRC28" i="51" s="1"/>
  <c r="SUR28" i="51"/>
  <c r="SUQ28" i="51" s="1"/>
  <c r="HFT28" i="51"/>
  <c r="HFS28" i="51" s="1"/>
  <c r="EUZ28" i="51"/>
  <c r="EUY28" i="51" s="1"/>
  <c r="NGR28" i="51"/>
  <c r="NGQ28" i="51" s="1"/>
  <c r="HKR28" i="51"/>
  <c r="HKQ28" i="51" s="1"/>
  <c r="CSV28" i="51"/>
  <c r="CSU28" i="51" s="1"/>
  <c r="EYR28" i="51"/>
  <c r="EYQ28" i="51" s="1"/>
  <c r="QIR28" i="51"/>
  <c r="QIQ28" i="51" s="1"/>
  <c r="UTD28" i="51"/>
  <c r="UTC28" i="51" s="1"/>
  <c r="DKR28" i="51"/>
  <c r="DKQ28" i="51" s="1"/>
  <c r="JIN28" i="51"/>
  <c r="JIM28" i="51" s="1"/>
  <c r="TUN28" i="51"/>
  <c r="TUM28" i="51" s="1"/>
  <c r="UKN28" i="51"/>
  <c r="UKM28" i="51" s="1"/>
  <c r="CKV28" i="51"/>
  <c r="CKU28" i="51" s="1"/>
  <c r="IWF28" i="51"/>
  <c r="IWE28" i="51" s="1"/>
  <c r="JCZ28" i="51"/>
  <c r="JCY28" i="51" s="1"/>
  <c r="NFL28" i="51"/>
  <c r="NFK28" i="51" s="1"/>
  <c r="FWR28" i="51"/>
  <c r="FWQ28" i="51" s="1"/>
  <c r="FCJ28" i="51"/>
  <c r="FCI28" i="51" s="1"/>
  <c r="HCB28" i="51"/>
  <c r="HCA28" i="51" s="1"/>
  <c r="LIF28" i="51"/>
  <c r="LIE28" i="51" s="1"/>
  <c r="UQR28" i="51"/>
  <c r="UQQ28" i="51" s="1"/>
  <c r="LTH28" i="51"/>
  <c r="LTG28" i="51" s="1"/>
  <c r="UEZ28" i="51"/>
  <c r="UEY28" i="51" s="1"/>
  <c r="TIV28" i="51"/>
  <c r="TIU28" i="51" s="1"/>
  <c r="OXD28" i="51"/>
  <c r="OXC28" i="51" s="1"/>
  <c r="HVD28" i="51"/>
  <c r="HVC28" i="51" s="1"/>
  <c r="MMJ28" i="51"/>
  <c r="MMI28" i="51" s="1"/>
  <c r="HJL28" i="51"/>
  <c r="HJK28" i="51" s="1"/>
  <c r="WKV28" i="51"/>
  <c r="WKU28" i="51" s="1"/>
  <c r="P24" i="51"/>
  <c r="O24" i="51" s="1"/>
  <c r="OSF28" i="51"/>
  <c r="OSE28" i="51" s="1"/>
  <c r="CTL28" i="51"/>
  <c r="CTK28" i="51" s="1"/>
  <c r="H19" i="51"/>
  <c r="G19" i="51" s="1"/>
  <c r="OWN28" i="51"/>
  <c r="OWM28" i="51" s="1"/>
  <c r="XAF28" i="51"/>
  <c r="XAE28" i="51" s="1"/>
  <c r="EOF28" i="51"/>
  <c r="EOE28" i="51" s="1"/>
  <c r="IEZ28" i="51"/>
  <c r="IEY28" i="51" s="1"/>
  <c r="MQB28" i="51"/>
  <c r="MQA28" i="51" s="1"/>
  <c r="VNL28" i="51"/>
  <c r="VNK28" i="51" s="1"/>
  <c r="GNX28" i="51"/>
  <c r="GNW28" i="51" s="1"/>
  <c r="OLL28" i="51"/>
  <c r="OLK28" i="51" s="1"/>
  <c r="HGZ28" i="51"/>
  <c r="HGY28" i="51" s="1"/>
  <c r="P42" i="51"/>
  <c r="O42" i="51" s="1"/>
  <c r="VDP28" i="51"/>
  <c r="VDO28" i="51" s="1"/>
  <c r="SVX28" i="51"/>
  <c r="SVW28" i="51" s="1"/>
  <c r="TVD28" i="51"/>
  <c r="TVC28" i="51" s="1"/>
  <c r="JRD28" i="51"/>
  <c r="JRC28" i="51" s="1"/>
  <c r="REV28" i="51"/>
  <c r="REU28" i="51" s="1"/>
  <c r="UMJ28" i="51"/>
  <c r="UMI28" i="51" s="1"/>
  <c r="PDH28" i="51"/>
  <c r="PDG28" i="51" s="1"/>
  <c r="QQR28" i="51"/>
  <c r="QQQ28" i="51" s="1"/>
  <c r="ITD28" i="51"/>
  <c r="ITC28" i="51" s="1"/>
  <c r="OQJ28" i="51"/>
  <c r="OQI28" i="51" s="1"/>
  <c r="H13" i="51"/>
  <c r="G13" i="51" s="1"/>
  <c r="HCR28" i="51"/>
  <c r="HCQ28" i="51" s="1"/>
  <c r="GRP28" i="51"/>
  <c r="GRO28" i="51" s="1"/>
  <c r="OCF28" i="51"/>
  <c r="OCE28" i="51" s="1"/>
  <c r="BYN28" i="51"/>
  <c r="BYM28" i="51" s="1"/>
  <c r="P22" i="51"/>
  <c r="O22" i="51" s="1"/>
  <c r="IIB28" i="51"/>
  <c r="IIA28" i="51" s="1"/>
  <c r="BSZ28" i="51"/>
  <c r="BSY28" i="51" s="1"/>
  <c r="BJD28" i="51"/>
  <c r="BJC28" i="51" s="1"/>
  <c r="FXX28" i="51"/>
  <c r="FXW28" i="51" s="1"/>
  <c r="VTP28" i="51"/>
  <c r="VTO28" i="51" s="1"/>
  <c r="SSV28" i="51"/>
  <c r="SSU28" i="51" s="1"/>
  <c r="UUJ28" i="51"/>
  <c r="UUI28" i="51" s="1"/>
  <c r="MTD28" i="51"/>
  <c r="MTC28" i="51" s="1"/>
  <c r="QYB28" i="51"/>
  <c r="QYA28" i="51" s="1"/>
  <c r="JXX28" i="51"/>
  <c r="JXW28" i="51" s="1"/>
  <c r="IKN28" i="51"/>
  <c r="IKM28" i="51" s="1"/>
  <c r="IMZ28" i="51"/>
  <c r="IMY28" i="51" s="1"/>
  <c r="FBT28" i="51"/>
  <c r="FBS28" i="51" s="1"/>
  <c r="XDX28" i="51"/>
  <c r="XDW28" i="51" s="1"/>
  <c r="ROB28" i="51"/>
  <c r="ROA28" i="51" s="1"/>
  <c r="NNL28" i="51"/>
  <c r="NNK28" i="51" s="1"/>
  <c r="DRL28" i="51"/>
  <c r="DRK28" i="51" s="1"/>
  <c r="WKF28" i="51"/>
  <c r="WKE28" i="51" s="1"/>
  <c r="NPX28" i="51"/>
  <c r="NPW28" i="51" s="1"/>
  <c r="FJD28" i="51"/>
  <c r="FJC28" i="51" s="1"/>
  <c r="OER28" i="51"/>
  <c r="OEQ28" i="51" s="1"/>
  <c r="DSB28" i="51"/>
  <c r="DSA28" i="51" s="1"/>
  <c r="EOV28" i="51"/>
  <c r="EOU28" i="51" s="1"/>
  <c r="BNL28" i="51"/>
  <c r="BNK28" i="51" s="1"/>
  <c r="WZP28" i="51"/>
  <c r="WZO28" i="51" s="1"/>
  <c r="KCF28" i="51"/>
  <c r="KCE28" i="51" s="1"/>
  <c r="QQB28" i="51"/>
  <c r="QQA28" i="51" s="1"/>
  <c r="P39" i="51"/>
  <c r="O39" i="51" s="1"/>
  <c r="EAB28" i="51"/>
  <c r="EAA28" i="51" s="1"/>
  <c r="UAR28" i="51"/>
  <c r="UAQ28" i="51" s="1"/>
  <c r="VUF28" i="51"/>
  <c r="VUE28" i="51" s="1"/>
  <c r="STL28" i="51"/>
  <c r="STK28" i="51" s="1"/>
  <c r="DDH28" i="51"/>
  <c r="DDG28" i="51" s="1"/>
  <c r="MGF28" i="51"/>
  <c r="MGE28" i="51" s="1"/>
  <c r="UDT28" i="51"/>
  <c r="UDS28" i="51" s="1"/>
  <c r="DKB28" i="51"/>
  <c r="DKA28" i="51" s="1"/>
  <c r="VVL28" i="51"/>
  <c r="VVK28" i="51" s="1"/>
  <c r="SLL28" i="51"/>
  <c r="SLK28" i="51" s="1"/>
  <c r="TFT28" i="51"/>
  <c r="TFS28" i="51" s="1"/>
  <c r="FZT28" i="51"/>
  <c r="FZS28" i="51" s="1"/>
  <c r="HYF28" i="51"/>
  <c r="HYE28" i="51" s="1"/>
  <c r="WHD28" i="51"/>
  <c r="WHC28" i="51" s="1"/>
  <c r="KON28" i="51"/>
  <c r="KOM28" i="51" s="1"/>
  <c r="MVP28" i="51"/>
  <c r="MVO28" i="51" s="1"/>
  <c r="NGB28" i="51"/>
  <c r="NGA28" i="51" s="1"/>
  <c r="LVT28" i="51"/>
  <c r="LVS28" i="51" s="1"/>
  <c r="WFH28" i="51"/>
  <c r="WFG28" i="51" s="1"/>
  <c r="SBP28" i="51"/>
  <c r="SBO28" i="51" s="1"/>
  <c r="PDX28" i="51"/>
  <c r="PDW28" i="51" s="1"/>
  <c r="ORP28" i="51"/>
  <c r="ORO28" i="51" s="1"/>
  <c r="XDH28" i="51"/>
  <c r="XDG28" i="51" s="1"/>
  <c r="P36" i="51"/>
  <c r="RGB28" i="51"/>
  <c r="RGA28" i="51" s="1"/>
  <c r="OPD28" i="51"/>
  <c r="OPC28" i="51" s="1"/>
  <c r="VFL28" i="51"/>
  <c r="VFK28" i="51" s="1"/>
  <c r="JAN28" i="51"/>
  <c r="JAM28" i="51" s="1"/>
  <c r="JHX28" i="51"/>
  <c r="JHW28" i="51" s="1"/>
  <c r="PQV28" i="51"/>
  <c r="PQU28" i="51" s="1"/>
  <c r="VPH28" i="51"/>
  <c r="VPG28" i="51" s="1"/>
  <c r="H29" i="51"/>
  <c r="G29" i="51" s="1"/>
  <c r="IZX28" i="51"/>
  <c r="IZW28" i="51" s="1"/>
  <c r="MEJ28" i="51"/>
  <c r="MEI28" i="51" s="1"/>
  <c r="NHH28" i="51"/>
  <c r="NHG28" i="51" s="1"/>
  <c r="MQR28" i="51"/>
  <c r="MQQ28" i="51" s="1"/>
  <c r="UZH28" i="51"/>
  <c r="UZG28" i="51" s="1"/>
  <c r="LNT28" i="51"/>
  <c r="LNS28" i="51" s="1"/>
  <c r="NMF28" i="51"/>
  <c r="NME28" i="51" s="1"/>
  <c r="HWJ28" i="51"/>
  <c r="HWI28" i="51" s="1"/>
  <c r="MCN28" i="51"/>
  <c r="MCM28" i="51" s="1"/>
  <c r="KQZ28" i="51"/>
  <c r="KQY28" i="51" s="1"/>
  <c r="H35" i="51"/>
  <c r="G35" i="51" s="1"/>
  <c r="HDH28" i="51"/>
  <c r="HDG28" i="51" s="1"/>
  <c r="MYR28" i="51"/>
  <c r="MYQ28" i="51" s="1"/>
  <c r="QEJ28" i="51"/>
  <c r="QEI28" i="51" s="1"/>
  <c r="OAZ28" i="51"/>
  <c r="OAY28" i="51" s="1"/>
  <c r="P32" i="51"/>
  <c r="O32" i="51" s="1"/>
  <c r="LGZ28" i="51"/>
  <c r="LGY28" i="51" s="1"/>
  <c r="IMJ28" i="51"/>
  <c r="IMI28" i="51" s="1"/>
  <c r="MDT28" i="51"/>
  <c r="MDS28" i="51" s="1"/>
  <c r="UIB28" i="51"/>
  <c r="UIA28" i="51" s="1"/>
  <c r="TIF28" i="51"/>
  <c r="TIE28" i="51" s="1"/>
  <c r="EPL28" i="51"/>
  <c r="EPK28" i="51" s="1"/>
  <c r="OVX28" i="51"/>
  <c r="OVW28" i="51" s="1"/>
  <c r="HYV28" i="51"/>
  <c r="HYU28" i="51" s="1"/>
  <c r="RBD28" i="51"/>
  <c r="RBC28" i="51" s="1"/>
  <c r="MPL28" i="51"/>
  <c r="MPK28" i="51" s="1"/>
  <c r="BJT28" i="51"/>
  <c r="BJS28" i="51" s="1"/>
  <c r="SFX28" i="51"/>
  <c r="SFW28" i="51" s="1"/>
  <c r="LFT28" i="51"/>
  <c r="LFS28" i="51" s="1"/>
  <c r="WPD28" i="51"/>
  <c r="WPC28" i="51" s="1"/>
  <c r="QYR28" i="51"/>
  <c r="QYQ28" i="51" s="1"/>
  <c r="GIJ28" i="51"/>
  <c r="GII28" i="51" s="1"/>
  <c r="LOZ28" i="51"/>
  <c r="LOY28" i="51" s="1"/>
  <c r="TRL28" i="51"/>
  <c r="TRK28" i="51" s="1"/>
  <c r="HEN28" i="51"/>
  <c r="HEM28" i="51" s="1"/>
  <c r="JPX28" i="51"/>
  <c r="JPW28" i="51" s="1"/>
  <c r="BZT28" i="51"/>
  <c r="BZS28" i="51" s="1"/>
  <c r="SCV28" i="51"/>
  <c r="SCU28" i="51" s="1"/>
  <c r="MTT28" i="51"/>
  <c r="MTS28" i="51" s="1"/>
  <c r="P29" i="51"/>
  <c r="O29" i="51" s="1"/>
  <c r="URH28" i="51"/>
  <c r="URG28" i="51" s="1"/>
  <c r="MKN28" i="51"/>
  <c r="MKM28" i="51" s="1"/>
  <c r="ENP28" i="51"/>
  <c r="ENO28" i="51" s="1"/>
  <c r="VOB28" i="51"/>
  <c r="VOA28" i="51" s="1"/>
  <c r="GSV28" i="51"/>
  <c r="GSU28" i="51" s="1"/>
  <c r="QNP28" i="51"/>
  <c r="QNO28" i="51" s="1"/>
  <c r="LFD28" i="51"/>
  <c r="LFC28" i="51" s="1"/>
  <c r="TFD28" i="51"/>
  <c r="TFC28" i="51" s="1"/>
  <c r="VOR28" i="51"/>
  <c r="VOQ28" i="51" s="1"/>
  <c r="BUF28" i="51"/>
  <c r="BUE28" i="51" s="1"/>
  <c r="DIF28" i="51"/>
  <c r="DIE28" i="51" s="1"/>
  <c r="LJL28" i="51"/>
  <c r="LJK28" i="51" s="1"/>
  <c r="PVD28" i="51"/>
  <c r="PVC28" i="51" s="1"/>
  <c r="GZP28" i="51"/>
  <c r="GZO28" i="51" s="1"/>
  <c r="WCF28" i="51"/>
  <c r="WCE28" i="51" s="1"/>
  <c r="IAB28" i="51"/>
  <c r="IAA28" i="51" s="1"/>
  <c r="NEV28" i="51"/>
  <c r="NEU28" i="51" s="1"/>
  <c r="UHL28" i="51"/>
  <c r="UHK28" i="51" s="1"/>
  <c r="CCV28" i="51"/>
  <c r="CCU28" i="51" s="1"/>
  <c r="IAR28" i="51"/>
  <c r="IAQ28" i="51" s="1"/>
  <c r="MJX28" i="51"/>
  <c r="MJW28" i="51" s="1"/>
  <c r="BWR28" i="51"/>
  <c r="BWQ28" i="51" s="1"/>
  <c r="EJH28" i="51"/>
  <c r="EJG28" i="51" s="1"/>
  <c r="LDH28" i="51"/>
  <c r="LDG28" i="51" s="1"/>
  <c r="QMZ28" i="51"/>
  <c r="QMY28" i="51" s="1"/>
  <c r="PRL28" i="51"/>
  <c r="PRK28" i="51" s="1"/>
  <c r="OQZ28" i="51"/>
  <c r="OQY28" i="51" s="1"/>
  <c r="UGV28" i="51"/>
  <c r="UGU28" i="51" s="1"/>
  <c r="VKJ28" i="51"/>
  <c r="VKI28" i="51" s="1"/>
  <c r="KFH28" i="51"/>
  <c r="KFG28" i="51" s="1"/>
  <c r="NEF28" i="51"/>
  <c r="NEE28" i="51" s="1"/>
  <c r="IYB28" i="51"/>
  <c r="IYA28" i="51" s="1"/>
  <c r="GEB28" i="51"/>
  <c r="GEA28" i="51" s="1"/>
  <c r="LEN28" i="51"/>
  <c r="LEM28" i="51" s="1"/>
  <c r="GYJ28" i="51"/>
  <c r="GYI28" i="51" s="1"/>
  <c r="ILT28" i="51"/>
  <c r="ILS28" i="51" s="1"/>
  <c r="FAN28" i="51"/>
  <c r="FAM28" i="51" s="1"/>
  <c r="UOF28" i="51"/>
  <c r="UOE28" i="51" s="1"/>
  <c r="NCJ28" i="51"/>
  <c r="NCI28" i="51" s="1"/>
  <c r="HAV28" i="51"/>
  <c r="HAU28" i="51" s="1"/>
  <c r="MZH28" i="51"/>
  <c r="MZG28" i="51" s="1"/>
  <c r="GIZ28" i="51"/>
  <c r="GIY28" i="51" s="1"/>
  <c r="EHL28" i="51"/>
  <c r="EHK28" i="51" s="1"/>
  <c r="WRP28" i="51"/>
  <c r="WRO28" i="51" s="1"/>
  <c r="HKB28" i="51"/>
  <c r="HKA28" i="51" s="1"/>
  <c r="SNX28" i="51"/>
  <c r="SNW28" i="51" s="1"/>
  <c r="PWZ28" i="51"/>
  <c r="PWY28" i="51" s="1"/>
  <c r="PTX28" i="51"/>
  <c r="PTW28" i="51" s="1"/>
  <c r="MSN28" i="51"/>
  <c r="MSM28" i="51" s="1"/>
  <c r="VBD28" i="51"/>
  <c r="VBC28" i="51" s="1"/>
  <c r="VUV28" i="51"/>
  <c r="VUU28" i="51" s="1"/>
  <c r="JDP28" i="51"/>
  <c r="JDO28" i="51" s="1"/>
  <c r="RPX28" i="51"/>
  <c r="RPW28" i="51" s="1"/>
  <c r="FOB28" i="51"/>
  <c r="FOA28" i="51" s="1"/>
  <c r="KGN28" i="51"/>
  <c r="KGM28" i="51" s="1"/>
  <c r="RWR28" i="51"/>
  <c r="RWQ28" i="51" s="1"/>
  <c r="P44" i="51"/>
  <c r="O44" i="51" s="1"/>
  <c r="LBL28" i="51"/>
  <c r="LBK28" i="51" s="1"/>
  <c r="CZP28" i="51"/>
  <c r="CZO28" i="51" s="1"/>
  <c r="ETD28" i="51"/>
  <c r="ETC28" i="51" s="1"/>
  <c r="WQZ28" i="51"/>
  <c r="WQY28" i="51" s="1"/>
  <c r="UWF28" i="51"/>
  <c r="UWE28" i="51" s="1"/>
  <c r="CLL28" i="51"/>
  <c r="CLK28" i="51" s="1"/>
  <c r="HVT28" i="51"/>
  <c r="HVS28" i="51" s="1"/>
  <c r="NSJ28" i="51"/>
  <c r="NSI28" i="51" s="1"/>
  <c r="LIV28" i="51"/>
  <c r="LIU28" i="51" s="1"/>
  <c r="NUF28" i="51"/>
  <c r="NUE28" i="51" s="1"/>
  <c r="GCV28" i="51"/>
  <c r="GCU28" i="51" s="1"/>
  <c r="HPP28" i="51"/>
  <c r="HPO28" i="51" s="1"/>
  <c r="SHD28" i="51"/>
  <c r="SHC28" i="51" s="1"/>
  <c r="UIR28" i="51"/>
  <c r="UIQ28" i="51" s="1"/>
  <c r="DND28" i="51"/>
  <c r="DNC28" i="51" s="1"/>
  <c r="RKJ28" i="51"/>
  <c r="RKI28" i="51" s="1"/>
  <c r="KVX28" i="51"/>
  <c r="KVW28" i="51" s="1"/>
  <c r="GFH28" i="51"/>
  <c r="GFG28" i="51" s="1"/>
  <c r="JCJ28" i="51"/>
  <c r="JCI28" i="51" s="1"/>
  <c r="SXT28" i="51"/>
  <c r="SXS28" i="51" s="1"/>
  <c r="QJH28" i="51"/>
  <c r="QJG28" i="51" s="1"/>
  <c r="IGV28" i="51"/>
  <c r="IGU28" i="51" s="1"/>
  <c r="H9" i="51"/>
  <c r="G9" i="51" s="1"/>
  <c r="VXX28" i="51"/>
  <c r="VXW28" i="51" s="1"/>
  <c r="NPH28" i="51"/>
  <c r="NPG28" i="51" s="1"/>
  <c r="H45" i="51"/>
  <c r="G45" i="51" s="1"/>
  <c r="DDX28" i="51"/>
  <c r="DDW28" i="51" s="1"/>
  <c r="QFP28" i="51"/>
  <c r="QFO28" i="51" s="1"/>
  <c r="HSB28" i="51"/>
  <c r="HSA28" i="51" s="1"/>
  <c r="WAZ28" i="51"/>
  <c r="WAY28" i="51" s="1"/>
  <c r="MAB28" i="51"/>
  <c r="MAA28" i="51" s="1"/>
  <c r="PSB28" i="51"/>
  <c r="PSA28" i="51" s="1"/>
  <c r="ICN28" i="51"/>
  <c r="ICM28" i="51" s="1"/>
  <c r="JNL28" i="51"/>
  <c r="JNK28" i="51" s="1"/>
  <c r="FSJ28" i="51"/>
  <c r="FSI28" i="51" s="1"/>
  <c r="DEN28" i="51"/>
  <c r="DEM28" i="51" s="1"/>
  <c r="FIN28" i="51"/>
  <c r="FIM28" i="51" s="1"/>
  <c r="CHT28" i="51"/>
  <c r="CHS28" i="51" s="1"/>
  <c r="FPX28" i="51"/>
  <c r="FPW28" i="51" s="1"/>
  <c r="DUN28" i="51"/>
  <c r="DUM28" i="51" s="1"/>
  <c r="VZT28" i="51"/>
  <c r="VZS28" i="51" s="1"/>
  <c r="EBH28" i="51"/>
  <c r="EBG28" i="51" s="1"/>
  <c r="JJD28" i="51"/>
  <c r="JJC28" i="51" s="1"/>
  <c r="EBX28" i="51"/>
  <c r="EBW28" i="51" s="1"/>
  <c r="WBP28" i="51"/>
  <c r="WBO28" i="51" s="1"/>
  <c r="EYB28" i="51"/>
  <c r="EYA28" i="51" s="1"/>
  <c r="LRL28" i="51"/>
  <c r="LRK28" i="51" s="1"/>
  <c r="LCR28" i="51"/>
  <c r="LCQ28" i="51" s="1"/>
  <c r="IIR28" i="51"/>
  <c r="IIQ28" i="51" s="1"/>
  <c r="FZD28" i="51"/>
  <c r="FZC28" i="51" s="1"/>
  <c r="BVL28" i="51"/>
  <c r="BVK28" i="51" s="1"/>
  <c r="P17" i="51"/>
  <c r="O17" i="51" s="1"/>
  <c r="UAB28" i="51"/>
  <c r="UAA28" i="51" s="1"/>
  <c r="DAF28" i="51"/>
  <c r="DAE28" i="51" s="1"/>
  <c r="SYJ28" i="51"/>
  <c r="SYI28" i="51" s="1"/>
  <c r="ERX28" i="51"/>
  <c r="ERW28" i="51" s="1"/>
  <c r="LKR28" i="51"/>
  <c r="LKQ28" i="51" s="1"/>
  <c r="P12" i="51"/>
  <c r="O12" i="51" s="1"/>
  <c r="CEB28" i="51"/>
  <c r="CEA28" i="51" s="1"/>
  <c r="BWB28" i="51"/>
  <c r="BWA28" i="51" s="1"/>
  <c r="LLH28" i="51"/>
  <c r="LLG28" i="51" s="1"/>
  <c r="TBL28" i="51"/>
  <c r="TBK28" i="51" s="1"/>
  <c r="SDL28" i="51"/>
  <c r="SDK28" i="51" s="1"/>
  <c r="LZL28" i="51"/>
  <c r="LZK28" i="51" s="1"/>
  <c r="RBT28" i="51"/>
  <c r="RBS28" i="51" s="1"/>
  <c r="P31" i="51"/>
  <c r="DVT28" i="51"/>
  <c r="DVS28" i="51" s="1"/>
  <c r="TLX28" i="51"/>
  <c r="TLW28" i="51" s="1"/>
  <c r="GSF28" i="51"/>
  <c r="GSE28" i="51" s="1"/>
  <c r="LAV28" i="51"/>
  <c r="LAU28" i="51" s="1"/>
  <c r="BEV28" i="51"/>
  <c r="BEU28" i="51" s="1"/>
  <c r="KFX28" i="51"/>
  <c r="KFW28" i="51" s="1"/>
  <c r="UXL28" i="51"/>
  <c r="UXK28" i="51" s="1"/>
  <c r="ONX28" i="51"/>
  <c r="ONW28" i="51" s="1"/>
  <c r="GHT28" i="51"/>
  <c r="GHS28" i="51" s="1"/>
  <c r="WCV28" i="51"/>
  <c r="WCU28" i="51" s="1"/>
  <c r="LTX28" i="51"/>
  <c r="LTW28" i="51" s="1"/>
  <c r="MWF28" i="51"/>
  <c r="MWE28" i="51" s="1"/>
  <c r="VWB28" i="51"/>
  <c r="VWA28" i="51" s="1"/>
  <c r="P23" i="51"/>
  <c r="O23" i="51" s="1"/>
  <c r="RRT28" i="51"/>
  <c r="RRS28" i="51" s="1"/>
  <c r="OBP28" i="51"/>
  <c r="OBO28" i="51" s="1"/>
  <c r="SSF28" i="51"/>
  <c r="SSE28" i="51" s="1"/>
  <c r="GHD28" i="51"/>
  <c r="GHC28" i="51" s="1"/>
  <c r="XFD28" i="51"/>
  <c r="XFC28" i="51" s="1"/>
  <c r="LQF28" i="51"/>
  <c r="LQE28" i="51" s="1"/>
  <c r="GVX28" i="51"/>
  <c r="GVW28" i="51" s="1"/>
  <c r="KUR28" i="51"/>
  <c r="KUQ28" i="51" s="1"/>
  <c r="DGJ28" i="51"/>
  <c r="DGI28" i="51" s="1"/>
  <c r="PQF28" i="51"/>
  <c r="PQE28" i="51" s="1"/>
  <c r="LYV28" i="51"/>
  <c r="LYU28" i="51" s="1"/>
  <c r="XCR28" i="51"/>
  <c r="XCQ28" i="51" s="1"/>
  <c r="NZT28" i="51"/>
  <c r="NZS28" i="51" s="1"/>
  <c r="VMF28" i="51"/>
  <c r="VME28" i="51" s="1"/>
  <c r="DBL28" i="51"/>
  <c r="DBK28" i="51" s="1"/>
  <c r="IVP28" i="51"/>
  <c r="IVO28" i="51" s="1"/>
  <c r="KBP28" i="51"/>
  <c r="KBO28" i="51" s="1"/>
  <c r="LXP28" i="51"/>
  <c r="LXO28" i="51" s="1"/>
  <c r="BPX28" i="51"/>
  <c r="BPW28" i="51" s="1"/>
  <c r="DIV28" i="51"/>
  <c r="DIU28" i="51" s="1"/>
  <c r="HWZ28" i="51"/>
  <c r="HWY28" i="51" s="1"/>
  <c r="DGZ28" i="51"/>
  <c r="DGY28" i="51" s="1"/>
  <c r="IQB28" i="51"/>
  <c r="IQA28" i="51" s="1"/>
  <c r="SGN28" i="51"/>
  <c r="SGM28" i="51" s="1"/>
  <c r="QMJ28" i="51"/>
  <c r="QMI28" i="51" s="1"/>
  <c r="GUR28" i="51"/>
  <c r="GUQ28" i="51" s="1"/>
  <c r="GPT28" i="51"/>
  <c r="GPS28" i="51" s="1"/>
  <c r="WXD28" i="51"/>
  <c r="WXC28" i="51" s="1"/>
  <c r="KCV28" i="51"/>
  <c r="KCU28" i="51" s="1"/>
  <c r="BSJ28" i="51"/>
  <c r="BSI28" i="51" s="1"/>
  <c r="CVX28" i="51"/>
  <c r="CVW28" i="51" s="1"/>
  <c r="EQB28" i="51"/>
  <c r="EQA28" i="51" s="1"/>
  <c r="OIZ28" i="51"/>
  <c r="OIY28" i="51" s="1"/>
  <c r="TGJ28" i="51"/>
  <c r="TGI28" i="51" s="1"/>
  <c r="KXD28" i="51"/>
  <c r="KXC28" i="51" s="1"/>
  <c r="PMN28" i="51"/>
  <c r="PMM28" i="51" s="1"/>
  <c r="DWZ28" i="51"/>
  <c r="DWY28" i="51" s="1"/>
  <c r="HLH28" i="51"/>
  <c r="HLG28" i="51" s="1"/>
  <c r="MZX28" i="51"/>
  <c r="MZW28" i="51" s="1"/>
  <c r="EZX28" i="51"/>
  <c r="EZW28" i="51" s="1"/>
  <c r="FMV28" i="51"/>
  <c r="FMU28" i="51" s="1"/>
  <c r="KNH28" i="51"/>
  <c r="KNG28" i="51" s="1"/>
  <c r="SCF28" i="51"/>
  <c r="SCE28" i="51" s="1"/>
  <c r="P37" i="51"/>
  <c r="O37" i="51" s="1"/>
  <c r="TCR28" i="51"/>
  <c r="TCQ28" i="51" s="1"/>
  <c r="NRT28" i="51"/>
  <c r="NRS28" i="51" s="1"/>
  <c r="OKF28" i="51"/>
  <c r="OKE28" i="51" s="1"/>
  <c r="WSV28" i="51"/>
  <c r="WSU28" i="51" s="1"/>
  <c r="MEZ28" i="51"/>
  <c r="MEY28" i="51" s="1"/>
  <c r="RAN28" i="51"/>
  <c r="RAM28" i="51" s="1"/>
  <c r="MDD28" i="51"/>
  <c r="MDC28" i="51" s="1"/>
  <c r="JGB28" i="51"/>
  <c r="JGA28" i="51" s="1"/>
  <c r="QDD28" i="51"/>
  <c r="QDC28" i="51" s="1"/>
  <c r="PGZ28" i="51"/>
  <c r="PGY28" i="51" s="1"/>
  <c r="QRH28" i="51"/>
  <c r="QRG28" i="51" s="1"/>
  <c r="ODL28" i="51"/>
  <c r="ODK28" i="51" s="1"/>
  <c r="LQV28" i="51"/>
  <c r="LQU28" i="51" s="1"/>
  <c r="TWZ28" i="51"/>
  <c r="TWY28" i="51" s="1"/>
  <c r="ISN28" i="51"/>
  <c r="ISM28" i="51" s="1"/>
  <c r="WVX28" i="51"/>
  <c r="WVW28" i="51" s="1"/>
  <c r="XBL28" i="51"/>
  <c r="XBK28" i="51" s="1"/>
  <c r="BZD28" i="51"/>
  <c r="BZC28" i="51" s="1"/>
  <c r="H34" i="51"/>
  <c r="G34" i="51" s="1"/>
  <c r="P14" i="51"/>
  <c r="O14" i="51" s="1"/>
  <c r="SYZ28" i="51"/>
  <c r="SYY28" i="51" s="1"/>
  <c r="BHX28" i="51"/>
  <c r="BHW28" i="51" s="1"/>
  <c r="UOV28" i="51"/>
  <c r="UOU28" i="51" s="1"/>
  <c r="VBT28" i="51"/>
  <c r="VBS28" i="51" s="1"/>
  <c r="JVL28" i="51"/>
  <c r="JVK28" i="51" s="1"/>
  <c r="OGN28" i="51"/>
  <c r="OGM28" i="51" s="1"/>
  <c r="JSJ28" i="51"/>
  <c r="JSI28" i="51" s="1"/>
  <c r="JJT28" i="51"/>
  <c r="JJS28" i="51" s="1"/>
  <c r="OJP28" i="51"/>
  <c r="OJO28" i="51" s="1"/>
  <c r="LHP28" i="51"/>
  <c r="LHO28" i="51" s="1"/>
  <c r="THP28" i="51"/>
  <c r="THO28" i="51" s="1"/>
  <c r="FUF28" i="51"/>
  <c r="FUE28" i="51" s="1"/>
  <c r="RYN28" i="51"/>
  <c r="RYM28" i="51" s="1"/>
  <c r="RCJ28" i="51"/>
  <c r="RCI28" i="51" s="1"/>
  <c r="DWJ28" i="51"/>
  <c r="DWI28" i="51" s="1"/>
  <c r="NIN28" i="51"/>
  <c r="NIM28" i="51" s="1"/>
  <c r="WQJ28" i="51"/>
  <c r="WQI28" i="51" s="1"/>
  <c r="CCF28" i="51"/>
  <c r="CCE28" i="51" s="1"/>
  <c r="WIZ28" i="51"/>
  <c r="WIY28" i="51" s="1"/>
  <c r="MUJ28" i="51"/>
  <c r="MUI28" i="51" s="1"/>
  <c r="H39" i="51"/>
  <c r="G39" i="51" s="1"/>
  <c r="HIV28" i="51"/>
  <c r="HIU28" i="51" s="1"/>
  <c r="RIN28" i="51"/>
  <c r="RIM28" i="51" s="1"/>
  <c r="BPH28" i="51"/>
  <c r="BPG28" i="51" s="1"/>
  <c r="RMF28" i="51"/>
  <c r="RME28" i="51" s="1"/>
  <c r="NLP28" i="51"/>
  <c r="NLO28" i="51" s="1"/>
  <c r="NBD28" i="51"/>
  <c r="NBC28" i="51" s="1"/>
  <c r="P41" i="51"/>
  <c r="OSV28" i="51"/>
  <c r="OSU28" i="51" s="1"/>
  <c r="FKJ28" i="51"/>
  <c r="FKI28" i="51" s="1"/>
  <c r="FGB28" i="51"/>
  <c r="FGA28" i="51" s="1"/>
  <c r="DSR28" i="51"/>
  <c r="DSQ28" i="51" s="1"/>
  <c r="IRH28" i="51"/>
  <c r="IRG28" i="51" s="1"/>
  <c r="PAF28" i="51"/>
  <c r="PAE28" i="51" s="1"/>
  <c r="WUR28" i="51"/>
  <c r="WUQ28" i="51" s="1"/>
  <c r="JGR28" i="51"/>
  <c r="JGQ28" i="51" s="1"/>
  <c r="JMV28" i="51"/>
  <c r="JMU28" i="51" s="1"/>
  <c r="PND28" i="51"/>
  <c r="PNC28" i="51" s="1"/>
  <c r="GJP28" i="51"/>
  <c r="GJO28" i="51" s="1"/>
  <c r="CR67" i="13" l="1"/>
  <c r="X77" i="13"/>
  <c r="BT37" i="13"/>
  <c r="E5" i="31" s="1"/>
  <c r="W11" i="36" s="1"/>
  <c r="KB11" i="13"/>
  <c r="N2" i="31" s="1"/>
  <c r="DI8" i="36" s="1"/>
  <c r="IF11" i="13"/>
  <c r="L2" i="31" s="1"/>
  <c r="CO8" i="36" s="1"/>
  <c r="CR53" i="13"/>
  <c r="F7" i="31" s="1"/>
  <c r="AG13" i="36" s="1"/>
  <c r="CR27" i="13"/>
  <c r="F4" i="31" s="1"/>
  <c r="AG10" i="36" s="1"/>
  <c r="EN62" i="13"/>
  <c r="H8" i="31" s="1"/>
  <c r="BA14" i="36" s="1"/>
  <c r="CR62" i="13"/>
  <c r="F8" i="31" s="1"/>
  <c r="AG14" i="36" s="1"/>
  <c r="HH62" i="13"/>
  <c r="K8" i="31" s="1"/>
  <c r="CE14" i="36" s="1"/>
  <c r="GJ11" i="13"/>
  <c r="J2" i="31" s="1"/>
  <c r="BU8" i="36" s="1"/>
  <c r="IF57" i="13"/>
  <c r="DP52" i="13"/>
  <c r="BT61" i="13"/>
  <c r="GG85" i="13"/>
  <c r="GJ85" i="13" s="1"/>
  <c r="F20" i="32"/>
  <c r="F21" i="32" s="1"/>
  <c r="BM10" i="36"/>
  <c r="BM12" i="36"/>
  <c r="BM14" i="36"/>
  <c r="BM15" i="36"/>
  <c r="BR15" i="36" s="1"/>
  <c r="BM11" i="36"/>
  <c r="BM13" i="36"/>
  <c r="BM9" i="36"/>
  <c r="BM8" i="36"/>
  <c r="N5" i="32"/>
  <c r="N20" i="32" s="1"/>
  <c r="N21" i="32" s="1"/>
  <c r="DB36" i="34"/>
  <c r="DD36" i="34" s="1"/>
  <c r="KB51" i="13"/>
  <c r="IC41" i="13"/>
  <c r="IF41" i="13" s="1"/>
  <c r="U47" i="13"/>
  <c r="X47" i="13" s="1"/>
  <c r="X53" i="13" s="1"/>
  <c r="C7" i="31" s="1"/>
  <c r="C13" i="36" s="1"/>
  <c r="EN15" i="13"/>
  <c r="GJ14" i="13"/>
  <c r="JY35" i="13"/>
  <c r="KB35" i="13" s="1"/>
  <c r="JA25" i="13"/>
  <c r="JD25" i="13" s="1"/>
  <c r="KB9" i="13"/>
  <c r="JD36" i="13"/>
  <c r="DP34" i="13"/>
  <c r="IC88" i="13"/>
  <c r="IF88" i="13" s="1"/>
  <c r="JA49" i="13"/>
  <c r="JD49" i="13" s="1"/>
  <c r="L36" i="34"/>
  <c r="K36" i="34"/>
  <c r="J36" i="34"/>
  <c r="H6" i="32"/>
  <c r="AR36" i="34"/>
  <c r="EN67" i="13"/>
  <c r="FL77" i="13"/>
  <c r="G20" i="32"/>
  <c r="G21" i="32" s="1"/>
  <c r="CO35" i="13"/>
  <c r="CR35" i="13" s="1"/>
  <c r="DP36" i="13"/>
  <c r="DP37" i="13" s="1"/>
  <c r="G5" i="31" s="1"/>
  <c r="AQ11" i="36" s="1"/>
  <c r="AV16" i="13"/>
  <c r="AV20" i="13" s="1"/>
  <c r="D3" i="31" s="1"/>
  <c r="M9" i="36" s="1"/>
  <c r="IC36" i="13"/>
  <c r="IF36" i="13" s="1"/>
  <c r="IF37" i="13" s="1"/>
  <c r="L5" i="31" s="1"/>
  <c r="CO11" i="36" s="1"/>
  <c r="K78" i="45"/>
  <c r="KB57" i="13"/>
  <c r="KB62" i="13" s="1"/>
  <c r="N8" i="31" s="1"/>
  <c r="DI14" i="36" s="1"/>
  <c r="HE35" i="13"/>
  <c r="HH35" i="13" s="1"/>
  <c r="IF43" i="13"/>
  <c r="DM26" i="13"/>
  <c r="DP26" i="13" s="1"/>
  <c r="DP27" i="13" s="1"/>
  <c r="G4" i="31" s="1"/>
  <c r="AQ10" i="36" s="1"/>
  <c r="BT50" i="13"/>
  <c r="AS40" i="13"/>
  <c r="AV40" i="13" s="1"/>
  <c r="HE58" i="13"/>
  <c r="HH58" i="13" s="1"/>
  <c r="EN72" i="13"/>
  <c r="O20" i="32"/>
  <c r="O21" i="32" s="1"/>
  <c r="JY76" i="13"/>
  <c r="KB76" i="13" s="1"/>
  <c r="KB77" i="13" s="1"/>
  <c r="GJ41" i="13"/>
  <c r="GJ44" i="13" s="1"/>
  <c r="J6" i="31" s="1"/>
  <c r="BU12" i="36" s="1"/>
  <c r="J5" i="32"/>
  <c r="J20" i="32" s="1"/>
  <c r="J21" i="32" s="1"/>
  <c r="BJ36" i="34"/>
  <c r="BL36" i="34" s="1"/>
  <c r="BK36" i="34"/>
  <c r="EN44" i="13"/>
  <c r="H6" i="31" s="1"/>
  <c r="BA12" i="36" s="1"/>
  <c r="JA31" i="13"/>
  <c r="JD31" i="13" s="1"/>
  <c r="JD37" i="13" s="1"/>
  <c r="M5" i="31" s="1"/>
  <c r="CY11" i="36" s="1"/>
  <c r="GG34" i="13"/>
  <c r="GJ34" i="13" s="1"/>
  <c r="CO26" i="13"/>
  <c r="CR26" i="13" s="1"/>
  <c r="EK86" i="13"/>
  <c r="EN86" i="13" s="1"/>
  <c r="HE8" i="13"/>
  <c r="HH8" i="13" s="1"/>
  <c r="HE86" i="13"/>
  <c r="HH86" i="13" s="1"/>
  <c r="DX36" i="34"/>
  <c r="DZ36" i="34" s="1"/>
  <c r="DY36" i="34"/>
  <c r="I5" i="32"/>
  <c r="I20" i="32" s="1"/>
  <c r="I21" i="32" s="1"/>
  <c r="AY36" i="34"/>
  <c r="BA36" i="34" s="1"/>
  <c r="BQ81" i="13"/>
  <c r="BT81" i="13" s="1"/>
  <c r="BT89" i="13" s="1"/>
  <c r="E12" i="31" s="1"/>
  <c r="E13" i="31" s="1"/>
  <c r="X9" i="36" s="1"/>
  <c r="IC49" i="13"/>
  <c r="IF49" i="13" s="1"/>
  <c r="IF53" i="13" s="1"/>
  <c r="L7" i="31" s="1"/>
  <c r="CO13" i="36" s="1"/>
  <c r="DP44" i="13"/>
  <c r="G6" i="31" s="1"/>
  <c r="AQ12" i="36" s="1"/>
  <c r="EN47" i="13"/>
  <c r="JD24" i="13"/>
  <c r="JD27" i="13" s="1"/>
  <c r="M4" i="31" s="1"/>
  <c r="CY10" i="36" s="1"/>
  <c r="JA8" i="13"/>
  <c r="JD8" i="13" s="1"/>
  <c r="JD11" i="13" s="1"/>
  <c r="M2" i="31" s="1"/>
  <c r="CY8" i="36" s="1"/>
  <c r="IC52" i="13"/>
  <c r="IF52" i="13" s="1"/>
  <c r="JD32" i="13"/>
  <c r="HE43" i="13"/>
  <c r="HH43" i="13" s="1"/>
  <c r="JA19" i="13"/>
  <c r="JD19" i="13" s="1"/>
  <c r="FI24" i="13"/>
  <c r="FL24" i="13" s="1"/>
  <c r="FL27" i="13" s="1"/>
  <c r="I4" i="31" s="1"/>
  <c r="BK10" i="36" s="1"/>
  <c r="FL41" i="13"/>
  <c r="DP53" i="13"/>
  <c r="G7" i="31" s="1"/>
  <c r="AQ13" i="36" s="1"/>
  <c r="GG60" i="13"/>
  <c r="GJ60" i="13" s="1"/>
  <c r="GJ62" i="13" s="1"/>
  <c r="J8" i="31" s="1"/>
  <c r="BU14" i="36" s="1"/>
  <c r="HE25" i="13"/>
  <c r="HH25" i="13" s="1"/>
  <c r="JY58" i="13"/>
  <c r="KB58" i="13" s="1"/>
  <c r="JA42" i="13"/>
  <c r="JD42" i="13" s="1"/>
  <c r="JD44" i="13" s="1"/>
  <c r="M6" i="31" s="1"/>
  <c r="CY12" i="36" s="1"/>
  <c r="IC10" i="13"/>
  <c r="IF10" i="13" s="1"/>
  <c r="BT42" i="13"/>
  <c r="JA80" i="13"/>
  <c r="JD80" i="13" s="1"/>
  <c r="U24" i="13"/>
  <c r="X24" i="13" s="1"/>
  <c r="FI52" i="13"/>
  <c r="FL52" i="13" s="1"/>
  <c r="H5" i="32"/>
  <c r="H20" i="32" s="1"/>
  <c r="H21" i="32" s="1"/>
  <c r="AN36" i="34"/>
  <c r="AP36" i="34" s="1"/>
  <c r="DC36" i="34"/>
  <c r="AZ36" i="34"/>
  <c r="JD67" i="13"/>
  <c r="KB53" i="13"/>
  <c r="N7" i="31" s="1"/>
  <c r="DI13" i="36" s="1"/>
  <c r="DP56" i="13"/>
  <c r="JD59" i="13"/>
  <c r="JD62" i="13" s="1"/>
  <c r="M8" i="31" s="1"/>
  <c r="CY14" i="36" s="1"/>
  <c r="AS33" i="13"/>
  <c r="AV33" i="13" s="1"/>
  <c r="AS57" i="13"/>
  <c r="AV57" i="13" s="1"/>
  <c r="AV62" i="13" s="1"/>
  <c r="D8" i="31" s="1"/>
  <c r="M14" i="36" s="1"/>
  <c r="HE82" i="13"/>
  <c r="HH82" i="13" s="1"/>
  <c r="HH89" i="13" s="1"/>
  <c r="K12" i="31" s="1"/>
  <c r="K13" i="31" s="1"/>
  <c r="E15" i="36"/>
  <c r="J15" i="36" s="1"/>
  <c r="E12" i="36"/>
  <c r="E14" i="36"/>
  <c r="E9" i="36"/>
  <c r="E11" i="36"/>
  <c r="E13" i="36"/>
  <c r="E8" i="36"/>
  <c r="E10" i="36"/>
  <c r="L5" i="32"/>
  <c r="CF36" i="34"/>
  <c r="CH36" i="34" s="1"/>
  <c r="CG36" i="34"/>
  <c r="GG74" i="13"/>
  <c r="GJ74" i="13" s="1"/>
  <c r="GJ77" i="13" s="1"/>
  <c r="K65" i="45"/>
  <c r="HH17" i="13"/>
  <c r="IC23" i="13"/>
  <c r="IF23" i="13" s="1"/>
  <c r="IF27" i="13" s="1"/>
  <c r="L4" i="31" s="1"/>
  <c r="CO10" i="36" s="1"/>
  <c r="FI49" i="13"/>
  <c r="FL49" i="13" s="1"/>
  <c r="FL53" i="13" s="1"/>
  <c r="I7" i="31" s="1"/>
  <c r="BK13" i="36" s="1"/>
  <c r="EK26" i="13"/>
  <c r="EN26" i="13" s="1"/>
  <c r="EN27" i="13" s="1"/>
  <c r="H4" i="31" s="1"/>
  <c r="BA10" i="36" s="1"/>
  <c r="EN18" i="13"/>
  <c r="FI58" i="13"/>
  <c r="FL58" i="13" s="1"/>
  <c r="FL62" i="13" s="1"/>
  <c r="I8" i="31" s="1"/>
  <c r="BK14" i="36" s="1"/>
  <c r="U26" i="13"/>
  <c r="X26" i="13" s="1"/>
  <c r="U31" i="13"/>
  <c r="X31" i="13" s="1"/>
  <c r="X37" i="13" s="1"/>
  <c r="C5" i="31" s="1"/>
  <c r="C11" i="36" s="1"/>
  <c r="HE10" i="13"/>
  <c r="HH10" i="13" s="1"/>
  <c r="FI83" i="13"/>
  <c r="FL83" i="13" s="1"/>
  <c r="CR70" i="13"/>
  <c r="CR72" i="13" s="1"/>
  <c r="JD10" i="13"/>
  <c r="AV27" i="13"/>
  <c r="D4" i="31" s="1"/>
  <c r="M10" i="36" s="1"/>
  <c r="IF26" i="13"/>
  <c r="HH32" i="13"/>
  <c r="CO32" i="13"/>
  <c r="CR32" i="13" s="1"/>
  <c r="CR37" i="13" s="1"/>
  <c r="F5" i="31" s="1"/>
  <c r="AG11" i="36" s="1"/>
  <c r="AV43" i="13"/>
  <c r="CR16" i="13"/>
  <c r="CR20" i="13" s="1"/>
  <c r="F3" i="31" s="1"/>
  <c r="AS19" i="13"/>
  <c r="AV19" i="13" s="1"/>
  <c r="JY80" i="13"/>
  <c r="KB80" i="13" s="1"/>
  <c r="KB89" i="13" s="1"/>
  <c r="N12" i="31" s="1"/>
  <c r="N13" i="31" s="1"/>
  <c r="GG82" i="13"/>
  <c r="GJ82" i="13" s="1"/>
  <c r="GJ89" i="13" s="1"/>
  <c r="J12" i="31" s="1"/>
  <c r="J13" i="31" s="1"/>
  <c r="EK33" i="13"/>
  <c r="EN33" i="13" s="1"/>
  <c r="FL30" i="13"/>
  <c r="FL37" i="13" s="1"/>
  <c r="I5" i="31" s="1"/>
  <c r="BK11" i="36" s="1"/>
  <c r="AS9" i="13"/>
  <c r="AV9" i="13" s="1"/>
  <c r="AV11" i="13" s="1"/>
  <c r="D2" i="31" s="1"/>
  <c r="GJ72" i="13"/>
  <c r="CQ36" i="34"/>
  <c r="CS36" i="34" s="1"/>
  <c r="M5" i="32"/>
  <c r="M20" i="32" s="1"/>
  <c r="M21" i="32" s="1"/>
  <c r="IC60" i="13"/>
  <c r="IF60" i="13" s="1"/>
  <c r="IC14" i="13"/>
  <c r="IF14" i="13" s="1"/>
  <c r="IF20" i="13" s="1"/>
  <c r="L3" i="31" s="1"/>
  <c r="CO9" i="36" s="1"/>
  <c r="FL14" i="13"/>
  <c r="FL20" i="13" s="1"/>
  <c r="I3" i="31" s="1"/>
  <c r="BK9" i="36" s="1"/>
  <c r="FI40" i="13"/>
  <c r="FL40" i="13" s="1"/>
  <c r="FL44" i="13" s="1"/>
  <c r="I6" i="31" s="1"/>
  <c r="BK12" i="36" s="1"/>
  <c r="BQ26" i="13"/>
  <c r="BT26" i="13" s="1"/>
  <c r="BT27" i="13" s="1"/>
  <c r="E4" i="31" s="1"/>
  <c r="W10" i="36" s="1"/>
  <c r="GG35" i="13"/>
  <c r="GJ35" i="13" s="1"/>
  <c r="BT16" i="13"/>
  <c r="BT20" i="13" s="1"/>
  <c r="E3" i="31" s="1"/>
  <c r="W9" i="36" s="1"/>
  <c r="EK50" i="13"/>
  <c r="EN50" i="13" s="1"/>
  <c r="JA35" i="13"/>
  <c r="JD35" i="13" s="1"/>
  <c r="DM59" i="13"/>
  <c r="DP59" i="13" s="1"/>
  <c r="AV72" i="13"/>
  <c r="EK51" i="13"/>
  <c r="EN51" i="13" s="1"/>
  <c r="JA83" i="13"/>
  <c r="JD83" i="13" s="1"/>
  <c r="IC86" i="13"/>
  <c r="IF86" i="13" s="1"/>
  <c r="IF89" i="13" s="1"/>
  <c r="L12" i="31" s="1"/>
  <c r="L13" i="31" s="1"/>
  <c r="P20" i="32"/>
  <c r="P21" i="32" s="1"/>
  <c r="AO36" i="34"/>
  <c r="HH44" i="13"/>
  <c r="K6" i="31" s="1"/>
  <c r="CE12" i="36" s="1"/>
  <c r="X11" i="13"/>
  <c r="C2" i="31" s="1"/>
  <c r="C8" i="36" s="1"/>
  <c r="BT44" i="13"/>
  <c r="E6" i="31" s="1"/>
  <c r="W12" i="36" s="1"/>
  <c r="GJ17" i="13"/>
  <c r="FL33" i="13"/>
  <c r="FI36" i="13"/>
  <c r="FL36" i="13" s="1"/>
  <c r="CR77" i="13"/>
  <c r="DP18" i="13"/>
  <c r="DP20" i="13" s="1"/>
  <c r="G3" i="31" s="1"/>
  <c r="JD26" i="13"/>
  <c r="E78" i="45"/>
  <c r="E87" i="45" s="1"/>
  <c r="X20" i="13"/>
  <c r="C3" i="31" s="1"/>
  <c r="C9" i="36" s="1"/>
  <c r="HE24" i="13"/>
  <c r="HH24" i="13" s="1"/>
  <c r="HH27" i="13" s="1"/>
  <c r="K4" i="31" s="1"/>
  <c r="CE10" i="36" s="1"/>
  <c r="HE30" i="13"/>
  <c r="HH30" i="13" s="1"/>
  <c r="HH37" i="13" s="1"/>
  <c r="K5" i="31" s="1"/>
  <c r="CE11" i="36" s="1"/>
  <c r="GJ49" i="13"/>
  <c r="GJ53" i="13" s="1"/>
  <c r="J7" i="31" s="1"/>
  <c r="BU13" i="36" s="1"/>
  <c r="HE16" i="13"/>
  <c r="HH16" i="13" s="1"/>
  <c r="HH20" i="13" s="1"/>
  <c r="K3" i="31" s="1"/>
  <c r="CE9" i="36" s="1"/>
  <c r="GJ32" i="13"/>
  <c r="GJ37" i="13" s="1"/>
  <c r="J5" i="31" s="1"/>
  <c r="BU11" i="36" s="1"/>
  <c r="FL61" i="13"/>
  <c r="GG25" i="13"/>
  <c r="GJ25" i="13" s="1"/>
  <c r="GJ27" i="13" s="1"/>
  <c r="J4" i="31" s="1"/>
  <c r="BU10" i="36" s="1"/>
  <c r="IF9" i="13"/>
  <c r="JA82" i="13"/>
  <c r="JD82" i="13" s="1"/>
  <c r="AS36" i="13"/>
  <c r="AV36" i="13" s="1"/>
  <c r="AV37" i="13" s="1"/>
  <c r="D5" i="31" s="1"/>
  <c r="M11" i="36" s="1"/>
  <c r="L20" i="32"/>
  <c r="L21" i="32" s="1"/>
  <c r="AS80" i="13"/>
  <c r="AV80" i="13" s="1"/>
  <c r="JD69" i="13"/>
  <c r="JD72" i="13" s="1"/>
  <c r="X27" i="13"/>
  <c r="C4" i="31" s="1"/>
  <c r="C10" i="36" s="1"/>
  <c r="IF58" i="13"/>
  <c r="IF62" i="13" s="1"/>
  <c r="L8" i="31" s="1"/>
  <c r="CO14" i="36" s="1"/>
  <c r="JY33" i="13"/>
  <c r="KB33" i="13" s="1"/>
  <c r="KB37" i="13" s="1"/>
  <c r="N5" i="31" s="1"/>
  <c r="DI11" i="36" s="1"/>
  <c r="EK32" i="13"/>
  <c r="EN32" i="13" s="1"/>
  <c r="EN37" i="13" s="1"/>
  <c r="H5" i="31" s="1"/>
  <c r="BA11" i="36" s="1"/>
  <c r="AV52" i="13"/>
  <c r="FL60" i="13"/>
  <c r="AS88" i="13"/>
  <c r="AV88" i="13" s="1"/>
  <c r="EN77" i="13"/>
  <c r="X62" i="13"/>
  <c r="C8" i="31" s="1"/>
  <c r="C14" i="36" s="1"/>
  <c r="EN8" i="13"/>
  <c r="EN11" i="13" s="1"/>
  <c r="H2" i="31" s="1"/>
  <c r="JA17" i="13"/>
  <c r="JD17" i="13" s="1"/>
  <c r="JD20" i="13" s="1"/>
  <c r="M3" i="31" s="1"/>
  <c r="CY9" i="36" s="1"/>
  <c r="KB24" i="13"/>
  <c r="KB27" i="13" s="1"/>
  <c r="N4" i="31" s="1"/>
  <c r="DI10" i="36" s="1"/>
  <c r="X61" i="13"/>
  <c r="KB20" i="13"/>
  <c r="N3" i="31" s="1"/>
  <c r="DI9" i="36" s="1"/>
  <c r="BQ57" i="13"/>
  <c r="BT57" i="13" s="1"/>
  <c r="BT62" i="13" s="1"/>
  <c r="E8" i="31" s="1"/>
  <c r="W14" i="36" s="1"/>
  <c r="FI84" i="13"/>
  <c r="FL84" i="13" s="1"/>
  <c r="DP72" i="13"/>
  <c r="AS18" i="13"/>
  <c r="AV18" i="13" s="1"/>
  <c r="HH72" i="13"/>
  <c r="JY40" i="13"/>
  <c r="KB40" i="13" s="1"/>
  <c r="KB44" i="13" s="1"/>
  <c r="N6" i="31" s="1"/>
  <c r="JA47" i="13"/>
  <c r="JD47" i="13" s="1"/>
  <c r="IF40" i="13"/>
  <c r="IF44" i="13" s="1"/>
  <c r="L6" i="31" s="1"/>
  <c r="FL11" i="13"/>
  <c r="I2" i="31" s="1"/>
  <c r="BK8" i="36"/>
  <c r="EN89" i="13"/>
  <c r="H12" i="31" s="1"/>
  <c r="H13" i="31" s="1"/>
  <c r="BB14" i="36" s="1"/>
  <c r="EN53" i="13"/>
  <c r="H7" i="31" s="1"/>
  <c r="BA13" i="36" s="1"/>
  <c r="EN20" i="13"/>
  <c r="H3" i="31" s="1"/>
  <c r="BA9" i="36" s="1"/>
  <c r="BA8" i="36"/>
  <c r="DP89" i="13"/>
  <c r="G12" i="31" s="1"/>
  <c r="G13" i="31" s="1"/>
  <c r="AR14" i="36" s="1"/>
  <c r="AQ8" i="36"/>
  <c r="CR89" i="13"/>
  <c r="F12" i="31" s="1"/>
  <c r="F13" i="31" s="1"/>
  <c r="AH9" i="36" s="1"/>
  <c r="CR11" i="13"/>
  <c r="F2" i="31" s="1"/>
  <c r="AG8" i="36" s="1"/>
  <c r="BT53" i="13"/>
  <c r="E7" i="31" s="1"/>
  <c r="W13" i="36" s="1"/>
  <c r="BT11" i="13"/>
  <c r="E2" i="31" s="1"/>
  <c r="W8" i="36" s="1"/>
  <c r="AV89" i="13"/>
  <c r="D12" i="31" s="1"/>
  <c r="D13" i="31" s="1"/>
  <c r="N8" i="36" s="1"/>
  <c r="AV53" i="13"/>
  <c r="D7" i="31" s="1"/>
  <c r="M13" i="36" s="1"/>
  <c r="X89" i="13"/>
  <c r="C12" i="31" s="1"/>
  <c r="C13" i="31" s="1"/>
  <c r="D11" i="36" s="1"/>
  <c r="U40" i="13"/>
  <c r="X40" i="13" s="1"/>
  <c r="X44" i="13" s="1"/>
  <c r="C6" i="31" s="1"/>
  <c r="HE47" i="13"/>
  <c r="HH47" i="13" s="1"/>
  <c r="HH53" i="13" s="1"/>
  <c r="K7" i="31" s="1"/>
  <c r="G42" i="51"/>
  <c r="I14" i="36" s="1"/>
  <c r="O15" i="51"/>
  <c r="G47" i="51"/>
  <c r="G20" i="51"/>
  <c r="I10" i="36" s="1"/>
  <c r="S10" i="36" s="1"/>
  <c r="AC10" i="36" s="1"/>
  <c r="G37" i="51"/>
  <c r="I13" i="36" s="1"/>
  <c r="O35" i="51"/>
  <c r="G27" i="51"/>
  <c r="I11" i="36" s="1"/>
  <c r="O25" i="51"/>
  <c r="O45" i="51"/>
  <c r="G10" i="51"/>
  <c r="I8" i="36" s="1"/>
  <c r="S8" i="36" s="1"/>
  <c r="AC8" i="36" s="1"/>
  <c r="O30" i="51"/>
  <c r="G32" i="51"/>
  <c r="I12" i="36" s="1"/>
  <c r="G15" i="51"/>
  <c r="I9" i="36" s="1"/>
  <c r="O10" i="51"/>
  <c r="O40" i="51"/>
  <c r="O20" i="51"/>
  <c r="AQ9" i="36" l="1"/>
  <c r="AG9" i="36"/>
  <c r="F11" i="31"/>
  <c r="BV12" i="36"/>
  <c r="BV8" i="36"/>
  <c r="BV9" i="36"/>
  <c r="BV10" i="36"/>
  <c r="BV11" i="36"/>
  <c r="BV14" i="36"/>
  <c r="BV13" i="36"/>
  <c r="BC9" i="36"/>
  <c r="BC11" i="36"/>
  <c r="BC13" i="36"/>
  <c r="BC8" i="36"/>
  <c r="BC12" i="36"/>
  <c r="BC10" i="36"/>
  <c r="BC14" i="36"/>
  <c r="BC15" i="36"/>
  <c r="BH15" i="36" s="1"/>
  <c r="CP11" i="36"/>
  <c r="CP14" i="36"/>
  <c r="CP12" i="36"/>
  <c r="CP9" i="36"/>
  <c r="CP8" i="36"/>
  <c r="CP10" i="36"/>
  <c r="CP13" i="36"/>
  <c r="CF8" i="36"/>
  <c r="CF13" i="36"/>
  <c r="CF9" i="36"/>
  <c r="CF14" i="36"/>
  <c r="CF10" i="36"/>
  <c r="CF12" i="36"/>
  <c r="CF11" i="36"/>
  <c r="K86" i="45"/>
  <c r="F78" i="45"/>
  <c r="F87" i="45" s="1"/>
  <c r="JD53" i="13"/>
  <c r="M7" i="31" s="1"/>
  <c r="JD89" i="13"/>
  <c r="M12" i="31" s="1"/>
  <c r="M13" i="31" s="1"/>
  <c r="AI9" i="36"/>
  <c r="AI11" i="36"/>
  <c r="AI12" i="36"/>
  <c r="AI13" i="36"/>
  <c r="AI8" i="36"/>
  <c r="AI10" i="36"/>
  <c r="AI14" i="36"/>
  <c r="AI15" i="36"/>
  <c r="AN15" i="36" s="1"/>
  <c r="BW12" i="36"/>
  <c r="BW14" i="36"/>
  <c r="BW15" i="36"/>
  <c r="CB15" i="36" s="1"/>
  <c r="BW9" i="36"/>
  <c r="BW11" i="36"/>
  <c r="BW13" i="36"/>
  <c r="BW8" i="36"/>
  <c r="BW10" i="36"/>
  <c r="DJ13" i="36"/>
  <c r="DJ8" i="36"/>
  <c r="DJ10" i="36"/>
  <c r="DJ9" i="36"/>
  <c r="DJ11" i="36"/>
  <c r="DJ14" i="36"/>
  <c r="DJ12" i="36"/>
  <c r="GJ20" i="13"/>
  <c r="J3" i="31" s="1"/>
  <c r="BU9" i="36" s="1"/>
  <c r="O8" i="36"/>
  <c r="O12" i="36"/>
  <c r="O15" i="36"/>
  <c r="T15" i="36" s="1"/>
  <c r="O9" i="36"/>
  <c r="O11" i="36"/>
  <c r="O14" i="36"/>
  <c r="O13" i="36"/>
  <c r="O10" i="36"/>
  <c r="AS13" i="36"/>
  <c r="AS8" i="36"/>
  <c r="AS10" i="36"/>
  <c r="AS15" i="36"/>
  <c r="AX15" i="36" s="1"/>
  <c r="AS12" i="36"/>
  <c r="AS14" i="36"/>
  <c r="AS9" i="36"/>
  <c r="AS11" i="36"/>
  <c r="DA9" i="36"/>
  <c r="DA11" i="36"/>
  <c r="DA13" i="36"/>
  <c r="DA8" i="36"/>
  <c r="DA10" i="36"/>
  <c r="DA12" i="36"/>
  <c r="DA14" i="36"/>
  <c r="DA15" i="36"/>
  <c r="DF15" i="36" s="1"/>
  <c r="DG15" i="36" s="1"/>
  <c r="EC15" i="36" s="1"/>
  <c r="Y9" i="36"/>
  <c r="Y11" i="36"/>
  <c r="Y13" i="36"/>
  <c r="Y8" i="36"/>
  <c r="Y12" i="36"/>
  <c r="Y14" i="36"/>
  <c r="Y15" i="36"/>
  <c r="AD15" i="36" s="1"/>
  <c r="Y10" i="36"/>
  <c r="I11" i="31"/>
  <c r="K73" i="45"/>
  <c r="E65" i="45"/>
  <c r="E74" i="45" s="1"/>
  <c r="F65" i="45"/>
  <c r="F74" i="45" s="1"/>
  <c r="DP62" i="13"/>
  <c r="G8" i="31" s="1"/>
  <c r="AQ14" i="36" s="1"/>
  <c r="L10" i="31"/>
  <c r="CO12" i="36"/>
  <c r="L11" i="31"/>
  <c r="AV44" i="13"/>
  <c r="D6" i="31" s="1"/>
  <c r="M12" i="36" s="1"/>
  <c r="DK10" i="36"/>
  <c r="DK12" i="36"/>
  <c r="DK14" i="36"/>
  <c r="DK13" i="36"/>
  <c r="DK9" i="36"/>
  <c r="DK11" i="36"/>
  <c r="DK8" i="36"/>
  <c r="DK15" i="36"/>
  <c r="DP15" i="36" s="1"/>
  <c r="CG9" i="36"/>
  <c r="CG11" i="36"/>
  <c r="CG13" i="36"/>
  <c r="CG14" i="36"/>
  <c r="CG8" i="36"/>
  <c r="CG10" i="36"/>
  <c r="CG12" i="36"/>
  <c r="HH11" i="13"/>
  <c r="K2" i="31" s="1"/>
  <c r="CE8" i="36" s="1"/>
  <c r="CQ10" i="36"/>
  <c r="CQ12" i="36"/>
  <c r="CQ14" i="36"/>
  <c r="CQ8" i="36"/>
  <c r="CQ9" i="36"/>
  <c r="CQ11" i="36"/>
  <c r="CQ13" i="36"/>
  <c r="CQ15" i="36"/>
  <c r="CV15" i="36" s="1"/>
  <c r="CW15" i="36" s="1"/>
  <c r="EB15" i="36" s="1"/>
  <c r="C11" i="31"/>
  <c r="FL89" i="13"/>
  <c r="I12" i="31" s="1"/>
  <c r="I13" i="31" s="1"/>
  <c r="D10" i="31"/>
  <c r="I10" i="31"/>
  <c r="BB13" i="36"/>
  <c r="BB8" i="36"/>
  <c r="BB11" i="36"/>
  <c r="BB9" i="36"/>
  <c r="BB10" i="36"/>
  <c r="BB12" i="36"/>
  <c r="H11" i="31"/>
  <c r="H10" i="31"/>
  <c r="AR8" i="36"/>
  <c r="AR13" i="36"/>
  <c r="AR10" i="36"/>
  <c r="AR11" i="36"/>
  <c r="AR12" i="36"/>
  <c r="AR9" i="36"/>
  <c r="AH13" i="36"/>
  <c r="AH8" i="36"/>
  <c r="AH11" i="36"/>
  <c r="AH12" i="36"/>
  <c r="AH10" i="36"/>
  <c r="AH14" i="36"/>
  <c r="F10" i="31"/>
  <c r="X13" i="36"/>
  <c r="X14" i="36"/>
  <c r="X10" i="36"/>
  <c r="X8" i="36"/>
  <c r="AD8" i="36" s="1"/>
  <c r="AE8" i="36" s="1"/>
  <c r="DU8" i="36" s="1"/>
  <c r="X12" i="36"/>
  <c r="X11" i="36"/>
  <c r="E11" i="31"/>
  <c r="E10" i="31"/>
  <c r="N14" i="36"/>
  <c r="N10" i="36"/>
  <c r="T10" i="36" s="1"/>
  <c r="U10" i="36" s="1"/>
  <c r="DT10" i="36" s="1"/>
  <c r="N9" i="36"/>
  <c r="N13" i="36"/>
  <c r="N11" i="36"/>
  <c r="N12" i="36"/>
  <c r="D11" i="31"/>
  <c r="M8" i="36"/>
  <c r="T8" i="36" s="1"/>
  <c r="U8" i="36" s="1"/>
  <c r="DT8" i="36" s="1"/>
  <c r="J11" i="36"/>
  <c r="K11" i="36" s="1"/>
  <c r="DS11" i="36" s="1"/>
  <c r="D14" i="36"/>
  <c r="J14" i="36" s="1"/>
  <c r="K14" i="36" s="1"/>
  <c r="DS14" i="36" s="1"/>
  <c r="D12" i="36"/>
  <c r="D8" i="36"/>
  <c r="J8" i="36" s="1"/>
  <c r="K8" i="36" s="1"/>
  <c r="DS8" i="36" s="1"/>
  <c r="D9" i="36"/>
  <c r="J9" i="36" s="1"/>
  <c r="K9" i="36" s="1"/>
  <c r="DS9" i="36" s="1"/>
  <c r="D10" i="36"/>
  <c r="J10" i="36" s="1"/>
  <c r="K10" i="36" s="1"/>
  <c r="DS10" i="36" s="1"/>
  <c r="D13" i="36"/>
  <c r="J13" i="36" s="1"/>
  <c r="K13" i="36" s="1"/>
  <c r="DS13" i="36" s="1"/>
  <c r="N11" i="31"/>
  <c r="DI12" i="36"/>
  <c r="N10" i="31"/>
  <c r="M11" i="31"/>
  <c r="CY13" i="36"/>
  <c r="M10" i="31"/>
  <c r="C12" i="36"/>
  <c r="C10" i="31"/>
  <c r="CE13" i="36"/>
  <c r="S13" i="36"/>
  <c r="S14" i="36"/>
  <c r="AC14" i="36" s="1"/>
  <c r="S11" i="36"/>
  <c r="T11" i="36" s="1"/>
  <c r="U11" i="36" s="1"/>
  <c r="DT11" i="36" s="1"/>
  <c r="S9" i="36"/>
  <c r="S12" i="36"/>
  <c r="AM8" i="36"/>
  <c r="AM10" i="36"/>
  <c r="J11" i="31" l="1"/>
  <c r="K11" i="31"/>
  <c r="K10" i="31"/>
  <c r="CZ8" i="36"/>
  <c r="CZ12" i="36"/>
  <c r="CZ14" i="36"/>
  <c r="CZ10" i="36"/>
  <c r="CZ13" i="36"/>
  <c r="CZ9" i="36"/>
  <c r="CZ11" i="36"/>
  <c r="J10" i="31"/>
  <c r="AD10" i="36"/>
  <c r="AE10" i="36" s="1"/>
  <c r="DU10" i="36" s="1"/>
  <c r="G10" i="31"/>
  <c r="G11" i="31"/>
  <c r="BL14" i="36"/>
  <c r="BL11" i="36"/>
  <c r="BL9" i="36"/>
  <c r="BL13" i="36"/>
  <c r="BL12" i="36"/>
  <c r="BL8" i="36"/>
  <c r="BL10" i="36"/>
  <c r="T13" i="36"/>
  <c r="U13" i="36" s="1"/>
  <c r="DT13" i="36" s="1"/>
  <c r="J12" i="36"/>
  <c r="K12" i="36" s="1"/>
  <c r="DS12" i="36" s="1"/>
  <c r="AC13" i="36"/>
  <c r="T14" i="36"/>
  <c r="U14" i="36" s="1"/>
  <c r="DT14" i="36" s="1"/>
  <c r="AC11" i="36"/>
  <c r="AM11" i="36" s="1"/>
  <c r="T12" i="36"/>
  <c r="U12" i="36" s="1"/>
  <c r="DT12" i="36" s="1"/>
  <c r="AC12" i="36"/>
  <c r="T9" i="36"/>
  <c r="U9" i="36" s="1"/>
  <c r="DT9" i="36" s="1"/>
  <c r="AC9" i="36"/>
  <c r="AW8" i="36"/>
  <c r="AN8" i="36"/>
  <c r="AO8" i="36" s="1"/>
  <c r="DV8" i="36" s="1"/>
  <c r="AN10" i="36"/>
  <c r="AO10" i="36" s="1"/>
  <c r="DV10" i="36" s="1"/>
  <c r="AW10" i="36"/>
  <c r="AM14" i="36"/>
  <c r="AD14" i="36"/>
  <c r="AE14" i="36" s="1"/>
  <c r="DU14" i="36" s="1"/>
  <c r="AM13" i="36" l="1"/>
  <c r="AD13" i="36"/>
  <c r="AE13" i="36" s="1"/>
  <c r="DU13" i="36" s="1"/>
  <c r="AD11" i="36"/>
  <c r="AE11" i="36" s="1"/>
  <c r="DU11" i="36" s="1"/>
  <c r="AD12" i="36"/>
  <c r="AE12" i="36" s="1"/>
  <c r="DU12" i="36" s="1"/>
  <c r="AM12" i="36"/>
  <c r="AD9" i="36"/>
  <c r="AE9" i="36" s="1"/>
  <c r="DU9" i="36" s="1"/>
  <c r="AM9" i="36"/>
  <c r="AW11" i="36"/>
  <c r="AN11" i="36"/>
  <c r="AO11" i="36" s="1"/>
  <c r="DV11" i="36" s="1"/>
  <c r="AW14" i="36"/>
  <c r="AN14" i="36"/>
  <c r="BG10" i="36"/>
  <c r="AX10" i="36"/>
  <c r="AY10" i="36" s="1"/>
  <c r="DW10" i="36" s="1"/>
  <c r="BG8" i="36"/>
  <c r="AX8" i="36"/>
  <c r="AY8" i="36" s="1"/>
  <c r="DW8" i="36" s="1"/>
  <c r="AO14" i="36" l="1"/>
  <c r="DV14" i="36" s="1"/>
  <c r="AW13" i="36"/>
  <c r="AN13" i="36"/>
  <c r="BG11" i="36"/>
  <c r="AX11" i="36"/>
  <c r="AY11" i="36" s="1"/>
  <c r="DW11" i="36" s="1"/>
  <c r="AW9" i="36"/>
  <c r="AN9" i="36"/>
  <c r="AO9" i="36" s="1"/>
  <c r="DV9" i="36" s="1"/>
  <c r="AW12" i="36"/>
  <c r="AN12" i="36"/>
  <c r="AO12" i="36" s="1"/>
  <c r="DV12" i="36" s="1"/>
  <c r="BG14" i="36"/>
  <c r="AX14" i="36"/>
  <c r="BH8" i="36"/>
  <c r="BI8" i="36" s="1"/>
  <c r="DX8" i="36" s="1"/>
  <c r="BQ8" i="36"/>
  <c r="BQ10" i="36"/>
  <c r="BH10" i="36"/>
  <c r="BI10" i="36" s="1"/>
  <c r="DX10" i="36" s="1"/>
  <c r="AY14" i="36" l="1"/>
  <c r="DW14" i="36" s="1"/>
  <c r="AO13" i="36"/>
  <c r="DV13" i="36" s="1"/>
  <c r="BQ14" i="36"/>
  <c r="CA14" i="36" s="1"/>
  <c r="BH14" i="36"/>
  <c r="BG13" i="36"/>
  <c r="AX13" i="36"/>
  <c r="AX9" i="36"/>
  <c r="AY9" i="36" s="1"/>
  <c r="DW9" i="36" s="1"/>
  <c r="BG9" i="36"/>
  <c r="BG12" i="36"/>
  <c r="AX12" i="36"/>
  <c r="AY12" i="36" s="1"/>
  <c r="DW12" i="36" s="1"/>
  <c r="BQ11" i="36"/>
  <c r="BH11" i="36"/>
  <c r="BI11" i="36" s="1"/>
  <c r="DX11" i="36" s="1"/>
  <c r="CA10" i="36"/>
  <c r="BR10" i="36"/>
  <c r="BS10" i="36" s="1"/>
  <c r="DY10" i="36" s="1"/>
  <c r="BR8" i="36"/>
  <c r="BS8" i="36" s="1"/>
  <c r="DY8" i="36" s="1"/>
  <c r="CA8" i="36"/>
  <c r="BI14" i="36" l="1"/>
  <c r="DX14" i="36" s="1"/>
  <c r="AY13" i="36"/>
  <c r="DW13" i="36" s="1"/>
  <c r="BR14" i="36"/>
  <c r="BQ9" i="36"/>
  <c r="CA9" i="36" s="1"/>
  <c r="BH9" i="36"/>
  <c r="BI9" i="36" s="1"/>
  <c r="DX9" i="36" s="1"/>
  <c r="BQ13" i="36"/>
  <c r="BH13" i="36"/>
  <c r="BI13" i="36" s="1"/>
  <c r="BQ12" i="36"/>
  <c r="BH12" i="36"/>
  <c r="CA11" i="36"/>
  <c r="BR11" i="36"/>
  <c r="BS11" i="36" s="1"/>
  <c r="DY11" i="36" s="1"/>
  <c r="CB14" i="36"/>
  <c r="CK14" i="36"/>
  <c r="CK10" i="36"/>
  <c r="CB10" i="36"/>
  <c r="CC10" i="36" s="1"/>
  <c r="DZ10" i="36" s="1"/>
  <c r="CB8" i="36"/>
  <c r="CC8" i="36" s="1"/>
  <c r="DZ8" i="36" s="1"/>
  <c r="CK8" i="36"/>
  <c r="CC14" i="36" l="1"/>
  <c r="DZ14" i="36" s="1"/>
  <c r="BS14" i="36"/>
  <c r="DY14" i="36" s="1"/>
  <c r="BI12" i="36"/>
  <c r="DX12" i="36" s="1"/>
  <c r="DX13" i="36"/>
  <c r="BR9" i="36"/>
  <c r="BS9" i="36" s="1"/>
  <c r="DY9" i="36" s="1"/>
  <c r="CA13" i="36"/>
  <c r="BR13" i="36"/>
  <c r="CB9" i="36"/>
  <c r="CC9" i="36" s="1"/>
  <c r="DZ9" i="36" s="1"/>
  <c r="CK9" i="36"/>
  <c r="CB11" i="36"/>
  <c r="CC11" i="36" s="1"/>
  <c r="DZ11" i="36" s="1"/>
  <c r="CK11" i="36"/>
  <c r="CA12" i="36"/>
  <c r="BR12" i="36"/>
  <c r="CL10" i="36"/>
  <c r="CM10" i="36" s="1"/>
  <c r="EA10" i="36" s="1"/>
  <c r="I39" i="45" s="1"/>
  <c r="CU10" i="36"/>
  <c r="CU8" i="36"/>
  <c r="CL8" i="36"/>
  <c r="CM8" i="36" s="1"/>
  <c r="EA8" i="36" s="1"/>
  <c r="I9" i="45" s="1"/>
  <c r="I18" i="45" s="1"/>
  <c r="CL14" i="36"/>
  <c r="CM14" i="36" s="1"/>
  <c r="CU14" i="36"/>
  <c r="C39" i="45" l="1"/>
  <c r="D39" i="45"/>
  <c r="I47" i="45"/>
  <c r="BS13" i="36"/>
  <c r="DY13" i="36" s="1"/>
  <c r="BS12" i="36"/>
  <c r="DY12" i="36" s="1"/>
  <c r="EA14" i="36"/>
  <c r="I91" i="45" s="1"/>
  <c r="CB13" i="36"/>
  <c r="CK13" i="36"/>
  <c r="CL13" i="36" s="1"/>
  <c r="CM13" i="36" s="1"/>
  <c r="CB12" i="36"/>
  <c r="CK12" i="36"/>
  <c r="CU11" i="36"/>
  <c r="CL11" i="36"/>
  <c r="CM11" i="36" s="1"/>
  <c r="EA11" i="36" s="1"/>
  <c r="I52" i="45" s="1"/>
  <c r="CL9" i="36"/>
  <c r="CM9" i="36" s="1"/>
  <c r="EA9" i="36" s="1"/>
  <c r="I24" i="45" s="1"/>
  <c r="CU9" i="36"/>
  <c r="DE10" i="36"/>
  <c r="CV10" i="36"/>
  <c r="CW10" i="36" s="1"/>
  <c r="EB10" i="36" s="1"/>
  <c r="DE8" i="36"/>
  <c r="CV8" i="36"/>
  <c r="CW8" i="36" s="1"/>
  <c r="EB8" i="36" s="1"/>
  <c r="CV14" i="36"/>
  <c r="DE14" i="36"/>
  <c r="D24" i="45" l="1"/>
  <c r="D35" i="45" s="1"/>
  <c r="P24" i="45" s="1"/>
  <c r="P25" i="45" s="1"/>
  <c r="P33" i="45" s="1"/>
  <c r="C24" i="45"/>
  <c r="I33" i="45"/>
  <c r="D91" i="45"/>
  <c r="D100" i="45" s="1"/>
  <c r="P91" i="45" s="1"/>
  <c r="P92" i="45" s="1"/>
  <c r="P100" i="45" s="1"/>
  <c r="I99" i="45"/>
  <c r="C91" i="45"/>
  <c r="C100" i="45" s="1"/>
  <c r="O91" i="45" s="1"/>
  <c r="O92" i="45" s="1"/>
  <c r="O100" i="45" s="1"/>
  <c r="I60" i="45"/>
  <c r="C52" i="45"/>
  <c r="C61" i="45" s="1"/>
  <c r="O52" i="45" s="1"/>
  <c r="O53" i="45" s="1"/>
  <c r="O61" i="45" s="1"/>
  <c r="D52" i="45"/>
  <c r="D61" i="45" s="1"/>
  <c r="P52" i="45" s="1"/>
  <c r="P53" i="45" s="1"/>
  <c r="P61" i="45" s="1"/>
  <c r="CW14" i="36"/>
  <c r="EB14" i="36" s="1"/>
  <c r="CC13" i="36"/>
  <c r="DZ13" i="36" s="1"/>
  <c r="CC12" i="36"/>
  <c r="DZ12" i="36" s="1"/>
  <c r="CU13" i="36"/>
  <c r="EA13" i="36"/>
  <c r="I78" i="45" s="1"/>
  <c r="DE9" i="36"/>
  <c r="CV9" i="36"/>
  <c r="CW9" i="36" s="1"/>
  <c r="EB9" i="36" s="1"/>
  <c r="DE11" i="36"/>
  <c r="CV11" i="36"/>
  <c r="CW11" i="36" s="1"/>
  <c r="EB11" i="36" s="1"/>
  <c r="CU12" i="36"/>
  <c r="CL12" i="36"/>
  <c r="CM12" i="36" s="1"/>
  <c r="EA12" i="36" s="1"/>
  <c r="I65" i="45" s="1"/>
  <c r="DO8" i="36"/>
  <c r="DP8" i="36" s="1"/>
  <c r="DQ8" i="36" s="1"/>
  <c r="ED8" i="36" s="1"/>
  <c r="DF8" i="36"/>
  <c r="DG8" i="36" s="1"/>
  <c r="EC8" i="36" s="1"/>
  <c r="DF10" i="36"/>
  <c r="DG10" i="36" s="1"/>
  <c r="EC10" i="36" s="1"/>
  <c r="DO10" i="36"/>
  <c r="DP10" i="36" s="1"/>
  <c r="DQ10" i="36" s="1"/>
  <c r="ED10" i="36" s="1"/>
  <c r="DO14" i="36"/>
  <c r="DP14" i="36" s="1"/>
  <c r="DF14" i="36"/>
  <c r="C78" i="45" l="1"/>
  <c r="C87" i="45" s="1"/>
  <c r="O78" i="45" s="1"/>
  <c r="O79" i="45" s="1"/>
  <c r="O87" i="45" s="1"/>
  <c r="I86" i="45"/>
  <c r="D78" i="45"/>
  <c r="D87" i="45" s="1"/>
  <c r="P78" i="45" s="1"/>
  <c r="P79" i="45" s="1"/>
  <c r="P87" i="45" s="1"/>
  <c r="D65" i="45"/>
  <c r="D74" i="45" s="1"/>
  <c r="P65" i="45" s="1"/>
  <c r="P66" i="45" s="1"/>
  <c r="P74" i="45" s="1"/>
  <c r="C65" i="45"/>
  <c r="C74" i="45" s="1"/>
  <c r="O65" i="45" s="1"/>
  <c r="O66" i="45" s="1"/>
  <c r="O74" i="45" s="1"/>
  <c r="I73" i="45"/>
  <c r="DQ14" i="36"/>
  <c r="ED14" i="36" s="1"/>
  <c r="DG14" i="36"/>
  <c r="EC14" i="36" s="1"/>
  <c r="DE13" i="36"/>
  <c r="CV13" i="36"/>
  <c r="DF9" i="36"/>
  <c r="DG9" i="36" s="1"/>
  <c r="EC9" i="36" s="1"/>
  <c r="DO9" i="36"/>
  <c r="DP9" i="36" s="1"/>
  <c r="DQ9" i="36" s="1"/>
  <c r="ED9" i="36" s="1"/>
  <c r="CV12" i="36"/>
  <c r="DE12" i="36"/>
  <c r="DO11" i="36"/>
  <c r="DP11" i="36" s="1"/>
  <c r="DQ11" i="36" s="1"/>
  <c r="ED11" i="36" s="1"/>
  <c r="DF11" i="36"/>
  <c r="DG11" i="36" s="1"/>
  <c r="EC11" i="36" s="1"/>
  <c r="CW13" i="36" l="1"/>
  <c r="EB13" i="36" s="1"/>
  <c r="CW12" i="36"/>
  <c r="EB12" i="36" s="1"/>
  <c r="DO13" i="36"/>
  <c r="DP13" i="36" s="1"/>
  <c r="DF13" i="36"/>
  <c r="DF12" i="36"/>
  <c r="DO12" i="36"/>
  <c r="DP12" i="36" s="1"/>
  <c r="DQ13" i="36" l="1"/>
  <c r="ED13" i="36" s="1"/>
  <c r="DQ12" i="36"/>
  <c r="ED12" i="36" s="1"/>
  <c r="DG13" i="36"/>
  <c r="EC13" i="36" s="1"/>
  <c r="DG12" i="36"/>
  <c r="EC12" i="36" s="1"/>
  <c r="F11" i="52"/>
  <c r="B11" i="52" s="1"/>
  <c r="E9" i="45" l="1"/>
  <c r="E20" i="45" s="1"/>
  <c r="C9" i="45"/>
  <c r="C20" i="45" s="1"/>
  <c r="O9" i="45" s="1"/>
  <c r="C11" i="52"/>
  <c r="C35" i="45"/>
  <c r="O24" i="45" s="1"/>
  <c r="C48" i="45"/>
  <c r="O39" i="45" s="1"/>
  <c r="O40" i="45" s="1"/>
  <c r="O48" i="45" s="1"/>
  <c r="D48" i="45"/>
  <c r="P39" i="45" s="1"/>
  <c r="P40" i="45" s="1"/>
  <c r="P48" i="45" s="1"/>
  <c r="O25" i="45" l="1"/>
  <c r="O33" i="45" s="1"/>
  <c r="O10" i="45"/>
  <c r="O18" i="45" s="1"/>
  <c r="F9" i="45"/>
  <c r="F20" i="45" s="1"/>
  <c r="D9" i="45"/>
  <c r="D20" i="45" s="1"/>
  <c r="P9" i="45" s="1"/>
  <c r="P10" i="45" l="1"/>
  <c r="P18" i="4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Geraldo</author>
  </authors>
  <commentList>
    <comment ref="E11" authorId="0" shapeId="0" xr:uid="{90D091F0-253E-4E3F-9BDA-019A1F09CB91}">
      <text>
        <r>
          <rPr>
            <b/>
            <sz val="9"/>
            <color indexed="81"/>
            <rFont val="Tahoma"/>
            <family val="2"/>
          </rPr>
          <t>Geraldo:</t>
        </r>
        <r>
          <rPr>
            <sz val="9"/>
            <color indexed="81"/>
            <rFont val="Tahoma"/>
            <family val="2"/>
          </rPr>
          <t xml:space="preserve">
0,5 á 1,0 A/dm²</t>
        </r>
      </text>
    </comment>
    <comment ref="E19" authorId="0" shapeId="0" xr:uid="{00000000-0006-0000-0500-000001000000}">
      <text>
        <r>
          <rPr>
            <b/>
            <sz val="9"/>
            <color indexed="81"/>
            <rFont val="Tahoma"/>
            <family val="2"/>
          </rPr>
          <t>Geraldo:</t>
        </r>
        <r>
          <rPr>
            <sz val="9"/>
            <color indexed="81"/>
            <rFont val="Tahoma"/>
            <family val="2"/>
          </rPr>
          <t xml:space="preserve">
0,5 á 1,0 A/dm²</t>
        </r>
      </text>
    </comment>
    <comment ref="E27" authorId="0" shapeId="0" xr:uid="{00000000-0006-0000-0500-000002000000}">
      <text>
        <r>
          <rPr>
            <b/>
            <sz val="9"/>
            <color indexed="81"/>
            <rFont val="Tahoma"/>
            <family val="2"/>
          </rPr>
          <t>Geraldo:</t>
        </r>
        <r>
          <rPr>
            <sz val="9"/>
            <color indexed="81"/>
            <rFont val="Tahoma"/>
            <family val="2"/>
          </rPr>
          <t xml:space="preserve">
1,5 á 3,0 Amp/dm²</t>
        </r>
      </text>
    </comment>
    <comment ref="E43" authorId="0" shapeId="0" xr:uid="{00000000-0006-0000-0500-000003000000}">
      <text>
        <r>
          <rPr>
            <b/>
            <sz val="9"/>
            <color indexed="81"/>
            <rFont val="Tahoma"/>
            <family val="2"/>
          </rPr>
          <t>Geraldo:</t>
        </r>
        <r>
          <rPr>
            <sz val="9"/>
            <color indexed="81"/>
            <rFont val="Tahoma"/>
            <family val="2"/>
          </rPr>
          <t xml:space="preserve">
0,1 á 5,0 Amp/dm²</t>
        </r>
      </text>
    </comment>
    <comment ref="E51" authorId="0" shapeId="0" xr:uid="{00000000-0006-0000-0500-000004000000}">
      <text>
        <r>
          <rPr>
            <b/>
            <sz val="9"/>
            <color indexed="81"/>
            <rFont val="Tahoma"/>
            <family val="2"/>
          </rPr>
          <t>Geraldo:</t>
        </r>
        <r>
          <rPr>
            <sz val="9"/>
            <color indexed="81"/>
            <rFont val="Tahoma"/>
            <family val="2"/>
          </rPr>
          <t xml:space="preserve">
1,0 á 5,0 Amp/dm²</t>
        </r>
      </text>
    </comment>
    <comment ref="E59" authorId="0" shapeId="0" xr:uid="{00000000-0006-0000-0500-000005000000}">
      <text>
        <r>
          <rPr>
            <b/>
            <sz val="9"/>
            <color indexed="81"/>
            <rFont val="Tahoma"/>
            <family val="2"/>
          </rPr>
          <t>Geraldo:</t>
        </r>
        <r>
          <rPr>
            <sz val="9"/>
            <color indexed="81"/>
            <rFont val="Tahoma"/>
            <family val="2"/>
          </rPr>
          <t xml:space="preserve">
2,0 á 5,0 Amp/dm²</t>
        </r>
      </text>
    </comment>
  </commentList>
</comments>
</file>

<file path=xl/sharedStrings.xml><?xml version="1.0" encoding="utf-8"?>
<sst xmlns="http://schemas.openxmlformats.org/spreadsheetml/2006/main" count="44242" uniqueCount="310">
  <si>
    <t>Produto</t>
  </si>
  <si>
    <t>ID</t>
  </si>
  <si>
    <t>Volume tanque / lts</t>
  </si>
  <si>
    <t>Concentração /%</t>
  </si>
  <si>
    <t>Consumo Kg/lt</t>
  </si>
  <si>
    <t>Custo/Kg</t>
  </si>
  <si>
    <t>Custo Total</t>
  </si>
  <si>
    <t>Total</t>
  </si>
  <si>
    <t>Concentração g/lt</t>
  </si>
  <si>
    <t>Verniz Cataforético</t>
  </si>
  <si>
    <t>Hrs Trab</t>
  </si>
  <si>
    <t>Mês</t>
  </si>
  <si>
    <t>Janeiro</t>
  </si>
  <si>
    <t>INSS</t>
  </si>
  <si>
    <t>FGTS</t>
  </si>
  <si>
    <t>Férias</t>
  </si>
  <si>
    <t>1/3 Férias</t>
  </si>
  <si>
    <t>13°</t>
  </si>
  <si>
    <t>Hrs Extra</t>
  </si>
  <si>
    <t>Total Extra</t>
  </si>
  <si>
    <t>Hrs Extra Mês</t>
  </si>
  <si>
    <t>Por fora</t>
  </si>
  <si>
    <t>Insalubridade</t>
  </si>
  <si>
    <t>Total Geral</t>
  </si>
  <si>
    <t>Fevereiro</t>
  </si>
  <si>
    <t>Março</t>
  </si>
  <si>
    <t>Abril</t>
  </si>
  <si>
    <t>Maio</t>
  </si>
  <si>
    <t>Junho</t>
  </si>
  <si>
    <t>Agosto</t>
  </si>
  <si>
    <t>Setembro</t>
  </si>
  <si>
    <t>Outubro</t>
  </si>
  <si>
    <t>Novembro</t>
  </si>
  <si>
    <t>Dezembro</t>
  </si>
  <si>
    <t>Funcionário</t>
  </si>
  <si>
    <t>Sal/Hora</t>
  </si>
  <si>
    <t>Salario Mensal</t>
  </si>
  <si>
    <t>12</t>
  </si>
  <si>
    <t>-</t>
  </si>
  <si>
    <t>Transporte</t>
  </si>
  <si>
    <t>E.T.E</t>
  </si>
  <si>
    <t>Jan
Custo Total</t>
  </si>
  <si>
    <t>Fev
Custo Total</t>
  </si>
  <si>
    <t>Mar
Custo Total</t>
  </si>
  <si>
    <t>Abr
Custo Total</t>
  </si>
  <si>
    <t>Mai
Custo Total</t>
  </si>
  <si>
    <t>Jun
Custo Total</t>
  </si>
  <si>
    <t>Jul
Custo Total</t>
  </si>
  <si>
    <t>Ago
Custo Total</t>
  </si>
  <si>
    <t>Set
Custo Total</t>
  </si>
  <si>
    <t>Out
Custo Total</t>
  </si>
  <si>
    <t>Nov
Custo Total</t>
  </si>
  <si>
    <t>Dez
Custo Total</t>
  </si>
  <si>
    <t>Agua</t>
  </si>
  <si>
    <t>Energia</t>
  </si>
  <si>
    <t>Data</t>
  </si>
  <si>
    <t>Total diário</t>
  </si>
  <si>
    <t>Total mensal de cada item</t>
  </si>
  <si>
    <t>% do custo</t>
  </si>
  <si>
    <t>Total mensal</t>
  </si>
  <si>
    <t>Julho</t>
  </si>
  <si>
    <t>Jan</t>
  </si>
  <si>
    <t>Fev</t>
  </si>
  <si>
    <t>Mar</t>
  </si>
  <si>
    <t>Abr</t>
  </si>
  <si>
    <t>Mai</t>
  </si>
  <si>
    <t>Jun</t>
  </si>
  <si>
    <t>Jul</t>
  </si>
  <si>
    <t>Ago</t>
  </si>
  <si>
    <t>Set</t>
  </si>
  <si>
    <t>Out</t>
  </si>
  <si>
    <t>Nov</t>
  </si>
  <si>
    <t>Dez</t>
  </si>
  <si>
    <t>ÁGUA</t>
  </si>
  <si>
    <t xml:space="preserve">Total </t>
  </si>
  <si>
    <t>Outros Custos / Investimentos</t>
  </si>
  <si>
    <t>Linha</t>
  </si>
  <si>
    <t>Equipamento</t>
  </si>
  <si>
    <t>Depreciaçao/Meses</t>
  </si>
  <si>
    <t>Vencimento</t>
  </si>
  <si>
    <t>Investimento/R$</t>
  </si>
  <si>
    <t>Valor /Mês</t>
  </si>
  <si>
    <t>Retificador</t>
  </si>
  <si>
    <t>Tanque</t>
  </si>
  <si>
    <t>Horas Trabalhadas</t>
  </si>
  <si>
    <t>Produto Químico</t>
  </si>
  <si>
    <t>M.O.D</t>
  </si>
  <si>
    <t>M.O.I</t>
  </si>
  <si>
    <t>Investimentos</t>
  </si>
  <si>
    <t>Outros Custos</t>
  </si>
  <si>
    <t>Custo Hora</t>
  </si>
  <si>
    <t>Custo Variáveis</t>
  </si>
  <si>
    <t>Área de 1 peça (dm²)</t>
  </si>
  <si>
    <t>Custo / Peça</t>
  </si>
  <si>
    <t>Custo/ Peça P.Q</t>
  </si>
  <si>
    <t xml:space="preserve">Jun </t>
  </si>
  <si>
    <t>Menu</t>
  </si>
  <si>
    <t>CustoKg/lt</t>
  </si>
  <si>
    <t>Custo Kg/lt</t>
  </si>
  <si>
    <t>Eletro Paulo</t>
  </si>
  <si>
    <t>Telefônia</t>
  </si>
  <si>
    <t>Telefone</t>
  </si>
  <si>
    <t xml:space="preserve">Mão De Obra Indireta Galvano </t>
  </si>
  <si>
    <t xml:space="preserve">Custo Por Peça Galvanoplastia </t>
  </si>
  <si>
    <t>Prod. Químico</t>
  </si>
  <si>
    <t>Custo/ Total</t>
  </si>
  <si>
    <t>pe</t>
  </si>
  <si>
    <t>E Q</t>
  </si>
  <si>
    <t>Salario Minimo</t>
  </si>
  <si>
    <t>Linha 1</t>
  </si>
  <si>
    <t>Linha 2</t>
  </si>
  <si>
    <t>Linha 3</t>
  </si>
  <si>
    <t>Linha 4</t>
  </si>
  <si>
    <t>Linha 5</t>
  </si>
  <si>
    <t>Linha 6</t>
  </si>
  <si>
    <t>Linha 9</t>
  </si>
  <si>
    <t>Linha 10</t>
  </si>
  <si>
    <t>Manutenção</t>
  </si>
  <si>
    <t>Custo ADM</t>
  </si>
  <si>
    <t>Alimentação</t>
  </si>
  <si>
    <t xml:space="preserve">Operador </t>
  </si>
  <si>
    <t xml:space="preserve">linha 11 </t>
  </si>
  <si>
    <t>Água</t>
  </si>
  <si>
    <t>Total Custos Variáveis / Pelo n° de linhas</t>
  </si>
  <si>
    <t>Soma</t>
  </si>
  <si>
    <t xml:space="preserve">Peso de 1 peça (Kg) </t>
  </si>
  <si>
    <t>Kg / Carga</t>
  </si>
  <si>
    <t>Peças/carga</t>
  </si>
  <si>
    <t>Area da Carga / Dm²</t>
  </si>
  <si>
    <t>Peças por hora</t>
  </si>
  <si>
    <t>Kg por hora</t>
  </si>
  <si>
    <t>Peças por carga</t>
  </si>
  <si>
    <t>Rendimento de corrente (%)</t>
  </si>
  <si>
    <r>
      <t>Espessura (</t>
    </r>
    <r>
      <rPr>
        <b/>
        <sz val="14"/>
        <color theme="1"/>
        <rFont val="Symbol"/>
        <family val="1"/>
        <charset val="2"/>
      </rPr>
      <t>m</t>
    </r>
    <r>
      <rPr>
        <b/>
        <sz val="14"/>
        <color theme="1"/>
        <rFont val="Calibri"/>
        <family val="2"/>
        <scheme val="minor"/>
      </rPr>
      <t>m)</t>
    </r>
  </si>
  <si>
    <t>Número de Tambores</t>
  </si>
  <si>
    <t>Tempo de banho</t>
  </si>
  <si>
    <t>Kg/ Carga</t>
  </si>
  <si>
    <t>Peças por Hora Galvanoplastia</t>
  </si>
  <si>
    <t>Amperagem</t>
  </si>
  <si>
    <t>Densidade de Corrente</t>
  </si>
  <si>
    <t>Retificado</t>
  </si>
  <si>
    <t>Linha 12</t>
  </si>
  <si>
    <t>Soda 50%</t>
  </si>
  <si>
    <t>Ácido Cloridrico</t>
  </si>
  <si>
    <t>Metabissulfito de Sódio</t>
  </si>
  <si>
    <t xml:space="preserve">Carbonato de Calcio </t>
  </si>
  <si>
    <t>Anti espumante</t>
  </si>
  <si>
    <t>Polieletrólito</t>
  </si>
  <si>
    <t>Mão de Obra</t>
  </si>
  <si>
    <t>Resumo de Custo</t>
  </si>
  <si>
    <t>Zn/Alcalino Rotativo Aut</t>
  </si>
  <si>
    <t>Zn/Alcalino Rotativo Manu.</t>
  </si>
  <si>
    <t>.</t>
  </si>
  <si>
    <t>Zn/Alcalino Parado Semi Aut.</t>
  </si>
  <si>
    <t>Zn/Ní Parado Semi Aut.</t>
  </si>
  <si>
    <t>Pré-Trtamento/Fosfato Aut.</t>
  </si>
  <si>
    <t xml:space="preserve">Invest. Gerais </t>
  </si>
  <si>
    <t>EPI</t>
  </si>
  <si>
    <t>Prod.Manut.Corretiva</t>
  </si>
  <si>
    <t>Vale Refeição</t>
  </si>
  <si>
    <t>Material de Escritório</t>
  </si>
  <si>
    <t>Equip. para Lab. (Reagentes,Vidrarias,Calibração)</t>
  </si>
  <si>
    <t>Linha 1 Zn/Alc. Aut</t>
  </si>
  <si>
    <t>Linha 2 Zn/Alc. Aut</t>
  </si>
  <si>
    <t>Linha 3 Zn/Alc. Aut</t>
  </si>
  <si>
    <t>Linha 5 Zn /Alc Semi. Aut</t>
  </si>
  <si>
    <t>Linha 4 Zn/Alc. Manual</t>
  </si>
  <si>
    <t>Linha 6 ZnNí/ Semi. Aut</t>
  </si>
  <si>
    <t>Linha 9 Pré Trat. Fosfato Aut.</t>
  </si>
  <si>
    <t xml:space="preserve">Linha 9 </t>
  </si>
  <si>
    <t xml:space="preserve">Linha </t>
  </si>
  <si>
    <t>Composto C-40 (soda cáustica)</t>
  </si>
  <si>
    <t>Zincoat Plus Carrier</t>
  </si>
  <si>
    <t>Zincoat Plus Brightener</t>
  </si>
  <si>
    <t>Spectra Matte 255</t>
  </si>
  <si>
    <t>Active MC-20</t>
  </si>
  <si>
    <t>Metal Clean FE 01</t>
  </si>
  <si>
    <t xml:space="preserve">Desengraxante Eletrolitico </t>
  </si>
  <si>
    <t>Linha 1 Zn Alc. Aut</t>
  </si>
  <si>
    <t>Linha 2 Zn Alc. Aut</t>
  </si>
  <si>
    <t>Linha 3 Zn Alc. Aut</t>
  </si>
  <si>
    <t>Linha 4 Zn Alc. Manual</t>
  </si>
  <si>
    <t>Linha 5 Zn Alc.Semi Aut</t>
  </si>
  <si>
    <t>Linha 6 ZnNí Alc.Semi Aut</t>
  </si>
  <si>
    <t>Linha 1 Zn Alc.Aut</t>
  </si>
  <si>
    <t>Linha 2 Zn Alc.Aut</t>
  </si>
  <si>
    <t>Linha 3 Zn Alc.Aut</t>
  </si>
  <si>
    <t>Linha 5 Zn Alc. Semi Aut.</t>
  </si>
  <si>
    <t>Linha 6 ZnNí Semi Aut.</t>
  </si>
  <si>
    <t>Linha 9 Pré-Trat. Fosfato Aut.</t>
  </si>
  <si>
    <t>Valdeir Op. A</t>
  </si>
  <si>
    <t>Josiel Op. B</t>
  </si>
  <si>
    <t>Sérgio Op. A</t>
  </si>
  <si>
    <t xml:space="preserve">Laércio Op. A </t>
  </si>
  <si>
    <t>José Arnaldo Lider de Produção</t>
  </si>
  <si>
    <t>Ramon Auxiliar de Produção</t>
  </si>
  <si>
    <t>Josivan Op. A</t>
  </si>
  <si>
    <t xml:space="preserve">Jefferson Auxiliar de Produção </t>
  </si>
  <si>
    <t>Alberico Auxiliar de Produção</t>
  </si>
  <si>
    <t>Claudio Operador A</t>
  </si>
  <si>
    <t>Anderson Rec/Exp</t>
  </si>
  <si>
    <t>Gabriel PCP</t>
  </si>
  <si>
    <t>Cecilia Insp. Qualidade</t>
  </si>
  <si>
    <t>Emilly Aux. Laboratório</t>
  </si>
  <si>
    <t xml:space="preserve">Aldo Sup. Manutenção </t>
  </si>
  <si>
    <t>Maria Faxineira</t>
  </si>
  <si>
    <t>Renê Coordenador Geral</t>
  </si>
  <si>
    <t>Bruno</t>
  </si>
  <si>
    <t>Kleber</t>
  </si>
  <si>
    <t xml:space="preserve">Mão De Obra Indireta </t>
  </si>
  <si>
    <t>Junhp</t>
  </si>
  <si>
    <t>Total Dividido por n° de Linha 7</t>
  </si>
  <si>
    <t>M.O.I / Pelo n° de Linhas  7</t>
  </si>
  <si>
    <t xml:space="preserve">Total  </t>
  </si>
  <si>
    <t>Peso Especifico</t>
  </si>
  <si>
    <t xml:space="preserve">Equivalente Eletroquimico  </t>
  </si>
  <si>
    <t>Linha 1 Zn Alcalino Rotativo</t>
  </si>
  <si>
    <t>Linha 2 Zn Alcalino Rotativo</t>
  </si>
  <si>
    <t>Linha 3 Zn Alcalino Automático</t>
  </si>
  <si>
    <t>Linha 6 ZnNí  Aut.</t>
  </si>
  <si>
    <t>Linha 4 ZnNí Alcalino Manual</t>
  </si>
  <si>
    <t>Número de Gancheira</t>
  </si>
  <si>
    <t xml:space="preserve">Linha 5 Zn Alcalino Semi Parado . </t>
  </si>
  <si>
    <t>José</t>
  </si>
  <si>
    <t xml:space="preserve">José </t>
  </si>
  <si>
    <t>Composto C-40</t>
  </si>
  <si>
    <t>Zincoat Premium Make Up</t>
  </si>
  <si>
    <t>Zincoat Premium Replenisher</t>
  </si>
  <si>
    <t>Spectra Silver ZNI</t>
  </si>
  <si>
    <t>Spectra Seal 050</t>
  </si>
  <si>
    <t>Zicoat Plus Brightener</t>
  </si>
  <si>
    <t>Spectra Mate 255</t>
  </si>
  <si>
    <t>Ácido Nítrico Active MC-20</t>
  </si>
  <si>
    <t>Metal Clean FE LT</t>
  </si>
  <si>
    <t>Zncoat Premium Replenisher</t>
  </si>
  <si>
    <t>Metal Clean FT 13 A</t>
  </si>
  <si>
    <t xml:space="preserve">Anodo  </t>
  </si>
  <si>
    <t>Ácido Decapante 1</t>
  </si>
  <si>
    <t>Ácido Decapante 2</t>
  </si>
  <si>
    <t>Refimador 1</t>
  </si>
  <si>
    <t>Fosfato 1</t>
  </si>
  <si>
    <t>Refimador 2</t>
  </si>
  <si>
    <t>Fosfato 2</t>
  </si>
  <si>
    <t>Neutralizador</t>
  </si>
  <si>
    <t>Anodo</t>
  </si>
  <si>
    <t>josé</t>
  </si>
  <si>
    <t>B</t>
  </si>
  <si>
    <t>Zn Alc. Aut</t>
  </si>
  <si>
    <t xml:space="preserve">Linha 2 </t>
  </si>
  <si>
    <t>Zn Alc. Manual</t>
  </si>
  <si>
    <t>Zn Alc. Semi Aut.</t>
  </si>
  <si>
    <t>Zn Ní. Semi Aut.</t>
  </si>
  <si>
    <t xml:space="preserve"> </t>
  </si>
  <si>
    <t>Pré Trat. Fosfato</t>
  </si>
  <si>
    <t>Cálculo de Área</t>
  </si>
  <si>
    <t>Retângulo/Quadrado</t>
  </si>
  <si>
    <t>Cilindro Oco/ Arruela</t>
  </si>
  <si>
    <t>Comprimento</t>
  </si>
  <si>
    <t>cm</t>
  </si>
  <si>
    <t>Diâmetro externo</t>
  </si>
  <si>
    <t>Largura</t>
  </si>
  <si>
    <t>Diâmetro interno</t>
  </si>
  <si>
    <t>Espessura</t>
  </si>
  <si>
    <t>Altura</t>
  </si>
  <si>
    <t>ÁREA</t>
  </si>
  <si>
    <t>dm²</t>
  </si>
  <si>
    <t>Cilindro</t>
  </si>
  <si>
    <t>Círculo</t>
  </si>
  <si>
    <t>Diâmetro</t>
  </si>
  <si>
    <t>Arame (aço)</t>
  </si>
  <si>
    <t>Chapa (aço)</t>
  </si>
  <si>
    <t>Peso</t>
  </si>
  <si>
    <t>kg</t>
  </si>
  <si>
    <t>Cone</t>
  </si>
  <si>
    <t>Esfera</t>
  </si>
  <si>
    <t>Hexágono</t>
  </si>
  <si>
    <t>Extremos do cilindro</t>
  </si>
  <si>
    <t>Flange</t>
  </si>
  <si>
    <t>Rosca</t>
  </si>
  <si>
    <t>R - diâmetro</t>
  </si>
  <si>
    <t>S</t>
  </si>
  <si>
    <t>d - espessura</t>
  </si>
  <si>
    <t>M</t>
  </si>
  <si>
    <t>H</t>
  </si>
  <si>
    <t>p</t>
  </si>
  <si>
    <t>Porca Quadrada</t>
  </si>
  <si>
    <t>Porca Hexagonal</t>
  </si>
  <si>
    <t>A</t>
  </si>
  <si>
    <t>D</t>
  </si>
  <si>
    <t>M - diâmetro</t>
  </si>
  <si>
    <t>GRUPO 110 - Zinco Parado</t>
  </si>
  <si>
    <t>GRUPO 120 - Zinco Rotativo</t>
  </si>
  <si>
    <t>GRUPO 130 - Estanho Brilhante Parado</t>
  </si>
  <si>
    <t>GRUPO 140 - Estanho Brilhante Rotativo</t>
  </si>
  <si>
    <t>GRUPO 150 - Prata Rotativo</t>
  </si>
  <si>
    <t>GRUPO 160 - Prata Parado</t>
  </si>
  <si>
    <t>GRUPO 170 - Cobre Rotativo</t>
  </si>
  <si>
    <t>GRUPO 210 - Cobre Parado</t>
  </si>
  <si>
    <t>GRUPO 240 - Estanho Fosco Rotativo</t>
  </si>
  <si>
    <t>GRUPO 220 - Estanho Fosco Parado</t>
  </si>
  <si>
    <t>GRUPO 180 - Níquel Rotativo</t>
  </si>
  <si>
    <t>Custo/Kilo</t>
  </si>
  <si>
    <t>Custo/ Kilo P.Q</t>
  </si>
  <si>
    <t>Custo Produto Químico</t>
  </si>
  <si>
    <t>Peça</t>
  </si>
  <si>
    <t>%</t>
  </si>
  <si>
    <t>Kilo</t>
  </si>
  <si>
    <t>Item</t>
  </si>
  <si>
    <t>Imposto  Único</t>
  </si>
  <si>
    <t>Custo Liquido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</si>
</sst>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7" formatCode="&quot;R$&quot;\ #,##0.00;\-&quot;R$&quot;\ #,##0.00"/>
    <numFmt numFmtId="8" formatCode="&quot;R$&quot;\ #,##0.00;[Red]\-&quot;R$&quot;\ #,##0.00"/>
    <numFmt numFmtId="44" formatCode="_-&quot;R$&quot;\ * #,##0.00_-;\-&quot;R$&quot;\ * #,##0.00_-;_-&quot;R$&quot;\ * &quot;-&quot;??_-;_-@_-"/>
    <numFmt numFmtId="164" formatCode="&quot;R$&quot;\ #,##0.00"/>
    <numFmt numFmtId="165" formatCode="&quot;R$&quot;\ #,##0.000"/>
    <numFmt numFmtId="166" formatCode="0.0"/>
    <numFmt numFmtId="167" formatCode="&quot;R$ &quot;#,##0.00"/>
    <numFmt numFmtId="168" formatCode="&quot;R$&quot;\ #,##0.00000"/>
    <numFmt numFmtId="169" formatCode="0.00000"/>
    <numFmt numFmtId="170" formatCode="&quot;R$&quot;\ #,##0.0000"/>
    <numFmt numFmtId="171" formatCode="#,##0.0000"/>
    <numFmt numFmtId="172" formatCode="#,##0;[Red]#,##0"/>
    <numFmt numFmtId="173" formatCode="0.000"/>
    <numFmt numFmtId="174" formatCode="0.0000"/>
  </numFmts>
  <fonts count="64" x14ac:knownFonts="1">
    <font>
      <sz val="11"/>
      <color theme="1"/>
      <name val="Calibri"/>
      <family val="2"/>
      <scheme val="minor"/>
    </font>
    <font>
      <sz val="11"/>
      <color theme="1"/>
      <name val="Calibri"/>
      <family val="2"/>
      <scheme val="minor"/>
    </font>
    <font>
      <sz val="11"/>
      <color theme="0"/>
      <name val="Calibri"/>
      <family val="2"/>
      <scheme val="minor"/>
    </font>
    <font>
      <sz val="22"/>
      <color theme="0"/>
      <name val="Calibri"/>
      <family val="2"/>
      <scheme val="minor"/>
    </font>
    <font>
      <u/>
      <sz val="11"/>
      <color theme="10"/>
      <name val="Calibri"/>
      <family val="2"/>
      <scheme val="minor"/>
    </font>
    <font>
      <b/>
      <u/>
      <sz val="16"/>
      <color theme="0"/>
      <name val="Calibri"/>
      <family val="2"/>
      <scheme val="minor"/>
    </font>
    <font>
      <b/>
      <u/>
      <sz val="18"/>
      <color theme="0"/>
      <name val="Calibri"/>
      <family val="2"/>
      <scheme val="minor"/>
    </font>
    <font>
      <b/>
      <u/>
      <sz val="20"/>
      <color theme="0"/>
      <name val="Calibri"/>
      <family val="2"/>
      <scheme val="minor"/>
    </font>
    <font>
      <sz val="11"/>
      <color indexed="8"/>
      <name val="Calibri"/>
      <family val="2"/>
    </font>
    <font>
      <b/>
      <sz val="11"/>
      <color theme="0"/>
      <name val="Calibri"/>
      <family val="2"/>
      <scheme val="minor"/>
    </font>
    <font>
      <b/>
      <sz val="24"/>
      <color theme="0"/>
      <name val="Arial"/>
      <family val="2"/>
    </font>
    <font>
      <sz val="24"/>
      <color theme="0"/>
      <name val="Arial"/>
      <family val="2"/>
    </font>
    <font>
      <sz val="16"/>
      <color theme="0"/>
      <name val="Calibri"/>
      <family val="2"/>
      <scheme val="minor"/>
    </font>
    <font>
      <b/>
      <u/>
      <sz val="11"/>
      <color theme="0"/>
      <name val="Calibri"/>
      <family val="2"/>
      <scheme val="minor"/>
    </font>
    <font>
      <b/>
      <u/>
      <sz val="12"/>
      <color theme="0"/>
      <name val="Calibri"/>
      <family val="2"/>
      <scheme val="minor"/>
    </font>
    <font>
      <sz val="12"/>
      <color theme="0"/>
      <name val="Calibri"/>
      <family val="2"/>
      <scheme val="minor"/>
    </font>
    <font>
      <u/>
      <sz val="12"/>
      <color theme="0"/>
      <name val="Calibri"/>
      <family val="2"/>
      <scheme val="minor"/>
    </font>
    <font>
      <b/>
      <i/>
      <sz val="11"/>
      <color theme="0"/>
      <name val="Calibri"/>
      <family val="2"/>
      <scheme val="minor"/>
    </font>
    <font>
      <sz val="10"/>
      <name val="Arial"/>
      <family val="2"/>
    </font>
    <font>
      <sz val="10"/>
      <color theme="1"/>
      <name val="Calibri"/>
      <family val="2"/>
      <scheme val="minor"/>
    </font>
    <font>
      <b/>
      <i/>
      <sz val="11"/>
      <color theme="0"/>
      <name val="Calibri"/>
      <family val="2"/>
    </font>
    <font>
      <i/>
      <sz val="11"/>
      <color theme="0"/>
      <name val="Calibri"/>
      <family val="2"/>
      <scheme val="minor"/>
    </font>
    <font>
      <sz val="11"/>
      <color theme="0"/>
      <name val="Calibri"/>
      <family val="2"/>
    </font>
    <font>
      <sz val="11"/>
      <color rgb="FFFA7D00"/>
      <name val="Calibri"/>
      <family val="2"/>
      <scheme val="minor"/>
    </font>
    <font>
      <b/>
      <u/>
      <sz val="14"/>
      <color theme="0"/>
      <name val="Calibri"/>
      <family val="2"/>
      <scheme val="minor"/>
    </font>
    <font>
      <b/>
      <u/>
      <sz val="11"/>
      <color theme="0"/>
      <name val="Arial"/>
      <family val="2"/>
    </font>
    <font>
      <b/>
      <sz val="11"/>
      <color theme="0"/>
      <name val="Arial"/>
      <family val="2"/>
    </font>
    <font>
      <b/>
      <sz val="12"/>
      <color theme="0"/>
      <name val="Arial"/>
      <family val="2"/>
    </font>
    <font>
      <sz val="11"/>
      <color theme="0"/>
      <name val="Arial"/>
      <family val="2"/>
    </font>
    <font>
      <sz val="10"/>
      <color theme="0"/>
      <name val="Arial"/>
      <family val="2"/>
    </font>
    <font>
      <sz val="14"/>
      <color theme="0"/>
      <name val="Arial"/>
      <family val="2"/>
    </font>
    <font>
      <sz val="12"/>
      <color theme="0"/>
      <name val="Arial"/>
      <family val="2"/>
    </font>
    <font>
      <sz val="11"/>
      <color theme="4" tint="-0.249977111117893"/>
      <name val="Calibri"/>
      <family val="2"/>
      <scheme val="minor"/>
    </font>
    <font>
      <sz val="11"/>
      <name val="Calibri"/>
      <family val="2"/>
      <scheme val="minor"/>
    </font>
    <font>
      <sz val="14"/>
      <color theme="0"/>
      <name val="Calibri"/>
      <family val="2"/>
      <scheme val="minor"/>
    </font>
    <font>
      <sz val="14"/>
      <color theme="1"/>
      <name val="Calibri"/>
      <family val="2"/>
      <scheme val="minor"/>
    </font>
    <font>
      <b/>
      <sz val="16"/>
      <color theme="0"/>
      <name val="Calibri"/>
      <family val="2"/>
      <scheme val="minor"/>
    </font>
    <font>
      <b/>
      <i/>
      <u/>
      <sz val="16"/>
      <color theme="0"/>
      <name val="Calibri"/>
      <family val="2"/>
      <scheme val="minor"/>
    </font>
    <font>
      <b/>
      <u/>
      <sz val="12"/>
      <color theme="1"/>
      <name val="Calibri"/>
      <family val="2"/>
      <scheme val="minor"/>
    </font>
    <font>
      <b/>
      <u/>
      <sz val="11"/>
      <color theme="1"/>
      <name val="Calibri"/>
      <family val="2"/>
      <scheme val="minor"/>
    </font>
    <font>
      <b/>
      <u val="singleAccounting"/>
      <sz val="11"/>
      <color theme="0"/>
      <name val="Calibri"/>
      <family val="2"/>
      <scheme val="minor"/>
    </font>
    <font>
      <u/>
      <sz val="11"/>
      <color theme="0"/>
      <name val="Calibri"/>
      <family val="2"/>
      <scheme val="minor"/>
    </font>
    <font>
      <sz val="16"/>
      <color theme="1"/>
      <name val="Calibri"/>
      <family val="2"/>
      <scheme val="minor"/>
    </font>
    <font>
      <b/>
      <i/>
      <sz val="12"/>
      <color theme="4" tint="-0.249977111117893"/>
      <name val="Calibri"/>
      <family val="2"/>
      <scheme val="minor"/>
    </font>
    <font>
      <b/>
      <u/>
      <sz val="22"/>
      <color theme="0"/>
      <name val="Calibri"/>
      <family val="2"/>
      <scheme val="minor"/>
    </font>
    <font>
      <b/>
      <sz val="22"/>
      <color theme="0"/>
      <name val="Calibri"/>
      <family val="2"/>
      <scheme val="minor"/>
    </font>
    <font>
      <b/>
      <u/>
      <sz val="14"/>
      <color theme="0"/>
      <name val="Arial"/>
      <family val="2"/>
    </font>
    <font>
      <b/>
      <u/>
      <sz val="16"/>
      <color theme="1"/>
      <name val="Calibri"/>
      <family val="2"/>
      <scheme val="minor"/>
    </font>
    <font>
      <b/>
      <sz val="14"/>
      <name val="Calibri"/>
      <family val="2"/>
      <scheme val="minor"/>
    </font>
    <font>
      <b/>
      <sz val="14"/>
      <color theme="1"/>
      <name val="Calibri"/>
      <family val="2"/>
      <scheme val="minor"/>
    </font>
    <font>
      <sz val="14"/>
      <name val="Calibri"/>
      <family val="2"/>
      <scheme val="minor"/>
    </font>
    <font>
      <b/>
      <sz val="14"/>
      <color theme="0"/>
      <name val="Calibri"/>
      <family val="2"/>
      <scheme val="minor"/>
    </font>
    <font>
      <b/>
      <sz val="14"/>
      <color theme="1"/>
      <name val="Symbol"/>
      <family val="1"/>
      <charset val="2"/>
    </font>
    <font>
      <sz val="12"/>
      <color theme="4" tint="0.39997558519241921"/>
      <name val="Calibri"/>
      <family val="2"/>
      <scheme val="minor"/>
    </font>
    <font>
      <sz val="11"/>
      <color theme="4" tint="0.39997558519241921"/>
      <name val="Calibri"/>
      <family val="2"/>
      <scheme val="minor"/>
    </font>
    <font>
      <sz val="9"/>
      <color indexed="81"/>
      <name val="Tahoma"/>
      <family val="2"/>
    </font>
    <font>
      <b/>
      <sz val="9"/>
      <color indexed="81"/>
      <name val="Tahoma"/>
      <family val="2"/>
    </font>
    <font>
      <b/>
      <u/>
      <sz val="24"/>
      <color theme="1"/>
      <name val="Calibri"/>
      <family val="2"/>
      <scheme val="minor"/>
    </font>
    <font>
      <b/>
      <u/>
      <sz val="18"/>
      <name val="Calibri"/>
      <family val="2"/>
      <scheme val="minor"/>
    </font>
    <font>
      <b/>
      <u/>
      <sz val="11"/>
      <name val="Calibri"/>
      <family val="2"/>
      <scheme val="minor"/>
    </font>
    <font>
      <b/>
      <sz val="16"/>
      <color theme="1"/>
      <name val="Calibri"/>
      <family val="2"/>
      <scheme val="minor"/>
    </font>
    <font>
      <b/>
      <u/>
      <sz val="16"/>
      <name val="Calibri"/>
      <family val="2"/>
    </font>
    <font>
      <u/>
      <sz val="20"/>
      <color theme="0"/>
      <name val="Calibri"/>
      <family val="2"/>
      <scheme val="minor"/>
    </font>
    <font>
      <b/>
      <sz val="20"/>
      <color theme="0"/>
      <name val="Calibri"/>
      <family val="2"/>
      <scheme val="minor"/>
    </font>
  </fonts>
  <fills count="18">
    <fill>
      <patternFill patternType="none"/>
    </fill>
    <fill>
      <patternFill patternType="gray125"/>
    </fill>
    <fill>
      <patternFill patternType="solid">
        <fgColor theme="4" tint="-0.249977111117893"/>
        <bgColor indexed="64"/>
      </patternFill>
    </fill>
    <fill>
      <patternFill patternType="solid">
        <fgColor theme="0" tint="-0.499984740745262"/>
        <bgColor indexed="64"/>
      </patternFill>
    </fill>
    <fill>
      <patternFill patternType="solid">
        <fgColor theme="9"/>
      </patternFill>
    </fill>
    <fill>
      <patternFill patternType="solid">
        <fgColor theme="3" tint="0.39997558519241921"/>
        <bgColor indexed="64"/>
      </patternFill>
    </fill>
    <fill>
      <patternFill patternType="solid">
        <fgColor theme="2"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808080"/>
        <bgColor indexed="64"/>
      </patternFill>
    </fill>
    <fill>
      <patternFill patternType="solid">
        <fgColor rgb="FFFFFF00"/>
        <bgColor indexed="64"/>
      </patternFill>
    </fill>
    <fill>
      <patternFill patternType="solid">
        <fgColor theme="1"/>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4" tint="0.79998168889431442"/>
        <bgColor indexed="64"/>
      </patternFill>
    </fill>
  </fills>
  <borders count="171">
    <border>
      <left/>
      <right/>
      <top/>
      <bottom/>
      <diagonal/>
    </border>
    <border>
      <left style="thin">
        <color theme="0"/>
      </left>
      <right style="thin">
        <color theme="0"/>
      </right>
      <top style="thin">
        <color theme="0"/>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diagonal/>
    </border>
    <border>
      <left/>
      <right/>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rgb="FFFFFFFF"/>
      </bottom>
      <diagonal/>
    </border>
    <border>
      <left/>
      <right/>
      <top/>
      <bottom style="thin">
        <color rgb="FFFFFFFF"/>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diagonal/>
    </border>
    <border>
      <left style="thin">
        <color theme="0"/>
      </left>
      <right/>
      <top style="thin">
        <color theme="0"/>
      </top>
      <bottom/>
      <diagonal/>
    </border>
    <border>
      <left style="thin">
        <color theme="0"/>
      </left>
      <right style="thin">
        <color theme="0"/>
      </right>
      <top/>
      <bottom style="thin">
        <color theme="0"/>
      </bottom>
      <diagonal/>
    </border>
    <border>
      <left/>
      <right/>
      <top/>
      <bottom style="thin">
        <color theme="0"/>
      </bottom>
      <diagonal/>
    </border>
    <border>
      <left style="thin">
        <color theme="0"/>
      </left>
      <right style="thick">
        <color theme="0"/>
      </right>
      <top style="thin">
        <color theme="0"/>
      </top>
      <bottom style="thin">
        <color theme="0"/>
      </bottom>
      <diagonal/>
    </border>
    <border diagonalUp="1" diagonalDown="1">
      <left style="thin">
        <color theme="0"/>
      </left>
      <right style="thick">
        <color theme="0"/>
      </right>
      <top style="thin">
        <color theme="0"/>
      </top>
      <bottom style="thin">
        <color theme="0"/>
      </bottom>
      <diagonal style="thin">
        <color theme="0"/>
      </diagonal>
    </border>
    <border>
      <left style="thin">
        <color rgb="FFFFFFFF"/>
      </left>
      <right/>
      <top style="thin">
        <color rgb="FFFFFFFF"/>
      </top>
      <bottom/>
      <diagonal/>
    </border>
    <border>
      <left style="thin">
        <color theme="0"/>
      </left>
      <right style="thin">
        <color rgb="FFFFFFFF"/>
      </right>
      <top style="thin">
        <color rgb="FFFFFFFF"/>
      </top>
      <bottom style="thin">
        <color rgb="FFFFFFFF"/>
      </bottom>
      <diagonal/>
    </border>
    <border>
      <left style="thin">
        <color theme="0"/>
      </left>
      <right style="thin">
        <color rgb="FFFFFFFF"/>
      </right>
      <top style="thin">
        <color rgb="FFFFFFFF"/>
      </top>
      <bottom/>
      <diagonal/>
    </border>
    <border>
      <left style="thin">
        <color theme="0"/>
      </left>
      <right style="thin">
        <color rgb="FFFFFFFF"/>
      </right>
      <top style="medium">
        <color theme="0"/>
      </top>
      <bottom style="thin">
        <color rgb="FFFFFFFF"/>
      </bottom>
      <diagonal/>
    </border>
    <border>
      <left style="thin">
        <color rgb="FFFFFFFF"/>
      </left>
      <right/>
      <top style="medium">
        <color theme="0"/>
      </top>
      <bottom style="thin">
        <color rgb="FFFFFFFF"/>
      </bottom>
      <diagonal/>
    </border>
    <border>
      <left style="thin">
        <color rgb="FFFFFFFF"/>
      </left>
      <right style="thin">
        <color rgb="FFFFFFFF"/>
      </right>
      <top style="medium">
        <color theme="0"/>
      </top>
      <bottom style="thin">
        <color rgb="FFFFFFFF"/>
      </bottom>
      <diagonal/>
    </border>
    <border>
      <left/>
      <right/>
      <top/>
      <bottom style="double">
        <color rgb="FFFF8001"/>
      </bottom>
      <diagonal/>
    </border>
    <border>
      <left/>
      <right style="thin">
        <color rgb="FFFFFFFF"/>
      </right>
      <top style="thin">
        <color rgb="FFFFFFFF"/>
      </top>
      <bottom style="thin">
        <color rgb="FFFFFFFF"/>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top style="double">
        <color theme="0"/>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double">
        <color theme="0"/>
      </top>
      <bottom/>
      <diagonal/>
    </border>
    <border>
      <left style="hair">
        <color theme="9"/>
      </left>
      <right style="hair">
        <color theme="9"/>
      </right>
      <top style="hair">
        <color theme="9"/>
      </top>
      <bottom style="hair">
        <color theme="9"/>
      </bottom>
      <diagonal/>
    </border>
    <border>
      <left/>
      <right style="double">
        <color theme="2" tint="-0.499984740745262"/>
      </right>
      <top/>
      <bottom style="double">
        <color theme="2" tint="-0.499984740745262"/>
      </bottom>
      <diagonal/>
    </border>
    <border>
      <left style="thin">
        <color theme="2" tint="-0.24994659260841701"/>
      </left>
      <right style="thin">
        <color theme="2" tint="-0.24994659260841701"/>
      </right>
      <top/>
      <bottom style="thin">
        <color theme="2" tint="-0.24994659260841701"/>
      </bottom>
      <diagonal/>
    </border>
    <border>
      <left style="hair">
        <color theme="9"/>
      </left>
      <right style="hair">
        <color theme="9"/>
      </right>
      <top style="hair">
        <color theme="9"/>
      </top>
      <bottom style="double">
        <color theme="2" tint="-0.24994659260841701"/>
      </bottom>
      <diagonal/>
    </border>
    <border>
      <left style="double">
        <color theme="2" tint="-0.24994659260841701"/>
      </left>
      <right/>
      <top style="double">
        <color theme="2" tint="-0.24994659260841701"/>
      </top>
      <bottom style="double">
        <color theme="2" tint="-0.24994659260841701"/>
      </bottom>
      <diagonal/>
    </border>
    <border>
      <left/>
      <right style="double">
        <color theme="2" tint="-0.24994659260841701"/>
      </right>
      <top style="double">
        <color theme="2" tint="-0.24994659260841701"/>
      </top>
      <bottom style="double">
        <color theme="2" tint="-0.24994659260841701"/>
      </bottom>
      <diagonal/>
    </border>
    <border>
      <left style="medium">
        <color theme="0"/>
      </left>
      <right style="medium">
        <color theme="0"/>
      </right>
      <top style="medium">
        <color theme="0"/>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medium">
        <color theme="0"/>
      </left>
      <right/>
      <top style="thin">
        <color theme="0"/>
      </top>
      <bottom style="thin">
        <color theme="0"/>
      </bottom>
      <diagonal/>
    </border>
    <border>
      <left/>
      <right style="medium">
        <color theme="0"/>
      </right>
      <top/>
      <bottom/>
      <diagonal/>
    </border>
    <border>
      <left/>
      <right style="medium">
        <color theme="0"/>
      </right>
      <top/>
      <bottom style="thin">
        <color theme="0"/>
      </bottom>
      <diagonal/>
    </border>
    <border>
      <left/>
      <right style="medium">
        <color theme="0"/>
      </right>
      <top style="thin">
        <color theme="0"/>
      </top>
      <bottom/>
      <diagonal/>
    </border>
    <border>
      <left style="thin">
        <color theme="0"/>
      </left>
      <right/>
      <top style="medium">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left>
      <right style="thin">
        <color theme="0"/>
      </right>
      <top style="medium">
        <color theme="0"/>
      </top>
      <bottom/>
      <diagonal/>
    </border>
    <border>
      <left/>
      <right style="medium">
        <color theme="0"/>
      </right>
      <top style="medium">
        <color theme="0"/>
      </top>
      <bottom/>
      <diagonal/>
    </border>
    <border>
      <left style="thin">
        <color theme="0"/>
      </left>
      <right style="thin">
        <color theme="0"/>
      </right>
      <top/>
      <bottom/>
      <diagonal/>
    </border>
    <border>
      <left style="thin">
        <color theme="0"/>
      </left>
      <right style="medium">
        <color theme="0"/>
      </right>
      <top/>
      <bottom/>
      <diagonal/>
    </border>
    <border>
      <left/>
      <right style="thin">
        <color theme="0"/>
      </right>
      <top style="thin">
        <color theme="0"/>
      </top>
      <bottom style="medium">
        <color theme="0"/>
      </bottom>
      <diagonal/>
    </border>
    <border>
      <left style="thin">
        <color theme="0"/>
      </left>
      <right/>
      <top/>
      <bottom style="thin">
        <color theme="0"/>
      </bottom>
      <diagonal/>
    </border>
    <border>
      <left/>
      <right/>
      <top style="thin">
        <color theme="0"/>
      </top>
      <bottom style="medium">
        <color theme="0"/>
      </bottom>
      <diagonal/>
    </border>
    <border>
      <left style="thin">
        <color theme="0"/>
      </left>
      <right/>
      <top style="thin">
        <color theme="0"/>
      </top>
      <bottom style="medium">
        <color theme="0"/>
      </bottom>
      <diagonal/>
    </border>
    <border>
      <left style="thin">
        <color theme="0"/>
      </left>
      <right/>
      <top/>
      <bottom/>
      <diagonal/>
    </border>
    <border>
      <left style="medium">
        <color theme="0"/>
      </left>
      <right style="medium">
        <color theme="0"/>
      </right>
      <top style="medium">
        <color theme="0"/>
      </top>
      <bottom/>
      <diagonal/>
    </border>
    <border>
      <left/>
      <right/>
      <top style="medium">
        <color theme="0"/>
      </top>
      <bottom/>
      <diagonal/>
    </border>
    <border>
      <left style="medium">
        <color theme="0"/>
      </left>
      <right/>
      <top style="medium">
        <color theme="0"/>
      </top>
      <bottom/>
      <diagonal/>
    </border>
    <border>
      <left style="medium">
        <color theme="0"/>
      </left>
      <right/>
      <top/>
      <bottom style="medium">
        <color theme="0"/>
      </bottom>
      <diagonal/>
    </border>
    <border>
      <left/>
      <right style="medium">
        <color theme="0"/>
      </right>
      <top/>
      <bottom style="medium">
        <color theme="0"/>
      </bottom>
      <diagonal/>
    </border>
    <border>
      <left style="thin">
        <color theme="0"/>
      </left>
      <right style="medium">
        <color theme="0"/>
      </right>
      <top style="thin">
        <color theme="0"/>
      </top>
      <bottom/>
      <diagonal/>
    </border>
    <border>
      <left style="medium">
        <color theme="0"/>
      </left>
      <right style="thin">
        <color theme="0"/>
      </right>
      <top/>
      <bottom style="medium">
        <color theme="0"/>
      </bottom>
      <diagonal/>
    </border>
    <border>
      <left style="thin">
        <color theme="2" tint="-0.24994659260841701"/>
      </left>
      <right style="medium">
        <color theme="0"/>
      </right>
      <top style="thin">
        <color theme="0"/>
      </top>
      <bottom/>
      <diagonal/>
    </border>
    <border>
      <left style="thin">
        <color theme="2" tint="-0.24994659260841701"/>
      </left>
      <right style="medium">
        <color theme="0"/>
      </right>
      <top style="double">
        <color theme="0"/>
      </top>
      <bottom/>
      <diagonal/>
    </border>
    <border>
      <left style="thin">
        <color theme="2" tint="-0.24994659260841701"/>
      </left>
      <right style="medium">
        <color theme="0"/>
      </right>
      <top style="double">
        <color theme="0"/>
      </top>
      <bottom style="hair">
        <color theme="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theme="0"/>
      </right>
      <top style="thin">
        <color theme="0"/>
      </top>
      <bottom/>
      <diagonal/>
    </border>
    <border>
      <left style="thin">
        <color rgb="FFFFFFFF"/>
      </left>
      <right style="thin">
        <color rgb="FFFFFFFF"/>
      </right>
      <top/>
      <bottom style="thin">
        <color rgb="FFFFFFFF"/>
      </bottom>
      <diagonal/>
    </border>
    <border>
      <left/>
      <right style="medium">
        <color theme="0"/>
      </right>
      <top style="medium">
        <color theme="0"/>
      </top>
      <bottom style="medium">
        <color theme="0"/>
      </bottom>
      <diagonal/>
    </border>
    <border>
      <left style="thin">
        <color theme="0"/>
      </left>
      <right style="thin">
        <color rgb="FFFFFFFF"/>
      </right>
      <top style="thin">
        <color theme="0"/>
      </top>
      <bottom style="thin">
        <color theme="0"/>
      </bottom>
      <diagonal/>
    </border>
    <border>
      <left style="medium">
        <color indexed="64"/>
      </left>
      <right style="thin">
        <color theme="0"/>
      </right>
      <top style="thin">
        <color theme="0"/>
      </top>
      <bottom style="thin">
        <color theme="0"/>
      </bottom>
      <diagonal/>
    </border>
    <border>
      <left/>
      <right style="medium">
        <color theme="0"/>
      </right>
      <top style="medium">
        <color theme="0"/>
      </top>
      <bottom style="thin">
        <color rgb="FFFFFFFF"/>
      </bottom>
      <diagonal/>
    </border>
    <border>
      <left style="medium">
        <color rgb="FFFFFFFF"/>
      </left>
      <right/>
      <top/>
      <bottom style="thin">
        <color rgb="FFFFFFFF"/>
      </bottom>
      <diagonal/>
    </border>
    <border>
      <left style="medium">
        <color indexed="64"/>
      </left>
      <right/>
      <top style="thin">
        <color indexed="64"/>
      </top>
      <bottom/>
      <diagonal/>
    </border>
    <border>
      <left style="medium">
        <color rgb="FFFFFFFF"/>
      </left>
      <right/>
      <top/>
      <bottom/>
      <diagonal/>
    </border>
    <border>
      <left style="thin">
        <color rgb="FFFFFFFF"/>
      </left>
      <right style="thin">
        <color theme="0"/>
      </right>
      <top style="thin">
        <color theme="0"/>
      </top>
      <bottom style="thin">
        <color rgb="FFFFFFFF"/>
      </bottom>
      <diagonal/>
    </border>
    <border>
      <left style="medium">
        <color theme="0"/>
      </left>
      <right/>
      <top style="medium">
        <color theme="0"/>
      </top>
      <bottom style="medium">
        <color theme="0"/>
      </bottom>
      <diagonal/>
    </border>
    <border>
      <left/>
      <right style="thick">
        <color theme="0"/>
      </right>
      <top style="thin">
        <color theme="0"/>
      </top>
      <bottom style="thin">
        <color theme="0"/>
      </bottom>
      <diagonal/>
    </border>
    <border>
      <left style="thin">
        <color theme="0"/>
      </left>
      <right/>
      <top style="medium">
        <color theme="0"/>
      </top>
      <bottom style="medium">
        <color theme="0"/>
      </bottom>
      <diagonal/>
    </border>
    <border>
      <left style="medium">
        <color theme="0"/>
      </left>
      <right/>
      <top style="medium">
        <color auto="1"/>
      </top>
      <bottom style="medium">
        <color auto="1"/>
      </bottom>
      <diagonal/>
    </border>
    <border>
      <left/>
      <right/>
      <top style="medium">
        <color auto="1"/>
      </top>
      <bottom style="medium">
        <color auto="1"/>
      </bottom>
      <diagonal/>
    </border>
    <border>
      <left/>
      <right style="medium">
        <color theme="0"/>
      </right>
      <top style="medium">
        <color auto="1"/>
      </top>
      <bottom style="medium">
        <color auto="1"/>
      </bottom>
      <diagonal/>
    </border>
    <border>
      <left style="medium">
        <color theme="0"/>
      </left>
      <right/>
      <top style="medium">
        <color indexed="64"/>
      </top>
      <bottom style="thin">
        <color indexed="64"/>
      </bottom>
      <diagonal/>
    </border>
    <border>
      <left/>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theme="0"/>
      </left>
      <right/>
      <top style="thin">
        <color auto="1"/>
      </top>
      <bottom style="medium">
        <color auto="1"/>
      </bottom>
      <diagonal/>
    </border>
    <border>
      <left/>
      <right/>
      <top style="thin">
        <color auto="1"/>
      </top>
      <bottom style="medium">
        <color auto="1"/>
      </bottom>
      <diagonal/>
    </border>
    <border>
      <left style="thin">
        <color indexed="64"/>
      </left>
      <right/>
      <top style="thin">
        <color indexed="64"/>
      </top>
      <bottom style="medium">
        <color indexed="64"/>
      </bottom>
      <diagonal/>
    </border>
    <border>
      <left style="medium">
        <color theme="0"/>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medium">
        <color auto="1"/>
      </top>
      <bottom style="thin">
        <color auto="1"/>
      </bottom>
      <diagonal/>
    </border>
    <border>
      <left style="medium">
        <color theme="0"/>
      </left>
      <right/>
      <top/>
      <bottom style="medium">
        <color auto="1"/>
      </bottom>
      <diagonal/>
    </border>
    <border>
      <left/>
      <right/>
      <top/>
      <bottom style="medium">
        <color auto="1"/>
      </bottom>
      <diagonal/>
    </border>
    <border>
      <left style="medium">
        <color theme="0"/>
      </left>
      <right/>
      <top style="thin">
        <color auto="1"/>
      </top>
      <bottom/>
      <diagonal/>
    </border>
    <border>
      <left/>
      <right/>
      <top style="thin">
        <color auto="1"/>
      </top>
      <bottom/>
      <diagonal/>
    </border>
    <border>
      <left/>
      <right style="thin">
        <color auto="1"/>
      </right>
      <top style="thin">
        <color auto="1"/>
      </top>
      <bottom/>
      <diagonal/>
    </border>
    <border>
      <left/>
      <right/>
      <top style="medium">
        <color theme="0"/>
      </top>
      <bottom style="medium">
        <color theme="0"/>
      </bottom>
      <diagonal/>
    </border>
    <border>
      <left style="thin">
        <color indexed="64"/>
      </left>
      <right/>
      <top style="thin">
        <color indexed="64"/>
      </top>
      <bottom/>
      <diagonal/>
    </border>
    <border>
      <left style="thin">
        <color auto="1"/>
      </left>
      <right style="medium">
        <color theme="0"/>
      </right>
      <top style="medium">
        <color auto="1"/>
      </top>
      <bottom style="thin">
        <color auto="1"/>
      </bottom>
      <diagonal/>
    </border>
    <border>
      <left style="thin">
        <color indexed="64"/>
      </left>
      <right style="medium">
        <color theme="0"/>
      </right>
      <top style="thin">
        <color indexed="64"/>
      </top>
      <bottom style="medium">
        <color indexed="64"/>
      </bottom>
      <diagonal/>
    </border>
    <border>
      <left/>
      <right style="medium">
        <color theme="0"/>
      </right>
      <top/>
      <bottom style="medium">
        <color auto="1"/>
      </bottom>
      <diagonal/>
    </border>
    <border>
      <left style="thin">
        <color indexed="64"/>
      </left>
      <right style="medium">
        <color theme="0"/>
      </right>
      <top style="thin">
        <color indexed="64"/>
      </top>
      <bottom style="thin">
        <color indexed="64"/>
      </bottom>
      <diagonal/>
    </border>
    <border>
      <left style="thin">
        <color indexed="64"/>
      </left>
      <right style="medium">
        <color theme="0"/>
      </right>
      <top style="thin">
        <color indexed="64"/>
      </top>
      <bottom/>
      <diagonal/>
    </border>
    <border>
      <left style="thin">
        <color auto="1"/>
      </left>
      <right style="thin">
        <color indexed="64"/>
      </right>
      <top style="thin">
        <color auto="1"/>
      </top>
      <bottom style="medium">
        <color auto="1"/>
      </bottom>
      <diagonal/>
    </border>
    <border>
      <left/>
      <right style="thin">
        <color theme="0"/>
      </right>
      <top style="medium">
        <color theme="0"/>
      </top>
      <bottom style="medium">
        <color theme="0"/>
      </bottom>
      <diagonal/>
    </border>
    <border>
      <left style="thin">
        <color theme="0"/>
      </left>
      <right style="thin">
        <color theme="0"/>
      </right>
      <top/>
      <bottom style="medium">
        <color theme="0"/>
      </bottom>
      <diagonal/>
    </border>
    <border>
      <left style="thin">
        <color theme="0"/>
      </left>
      <right style="thin">
        <color rgb="FFFFFFFF"/>
      </right>
      <top/>
      <bottom style="thin">
        <color theme="0"/>
      </bottom>
      <diagonal/>
    </border>
    <border>
      <left style="thin">
        <color theme="0"/>
      </left>
      <right/>
      <top/>
      <bottom style="medium">
        <color theme="0"/>
      </bottom>
      <diagonal/>
    </border>
    <border>
      <left style="medium">
        <color theme="0"/>
      </left>
      <right/>
      <top style="thin">
        <color theme="0"/>
      </top>
      <bottom style="medium">
        <color theme="0"/>
      </bottom>
      <diagonal/>
    </border>
    <border>
      <left style="thin">
        <color theme="0"/>
      </left>
      <right/>
      <top style="medium">
        <color theme="0"/>
      </top>
      <bottom/>
      <diagonal/>
    </border>
    <border>
      <left style="thin">
        <color theme="0"/>
      </left>
      <right style="medium">
        <color theme="0"/>
      </right>
      <top style="medium">
        <color theme="0"/>
      </top>
      <bottom/>
      <diagonal/>
    </border>
    <border>
      <left style="thin">
        <color theme="0"/>
      </left>
      <right style="medium">
        <color theme="0"/>
      </right>
      <top/>
      <bottom style="medium">
        <color theme="0"/>
      </bottom>
      <diagonal/>
    </border>
    <border>
      <left style="thick">
        <color theme="0"/>
      </left>
      <right/>
      <top style="thin">
        <color theme="0"/>
      </top>
      <bottom style="thin">
        <color theme="0"/>
      </bottom>
      <diagonal/>
    </border>
    <border>
      <left style="thin">
        <color theme="0"/>
      </left>
      <right style="thin">
        <color theme="0"/>
      </right>
      <top style="medium">
        <color theme="0"/>
      </top>
      <bottom style="medium">
        <color theme="0"/>
      </bottom>
      <diagonal/>
    </border>
    <border>
      <left style="thin">
        <color rgb="FFFFFFFF"/>
      </left>
      <right style="thin">
        <color rgb="FFFFFFFF"/>
      </right>
      <top/>
      <bottom/>
      <diagonal/>
    </border>
    <border>
      <left/>
      <right style="thin">
        <color rgb="FFFFFFFF"/>
      </right>
      <top style="thin">
        <color theme="0"/>
      </top>
      <bottom style="thin">
        <color rgb="FFFFFFFF"/>
      </bottom>
      <diagonal/>
    </border>
    <border>
      <left style="thin">
        <color theme="0"/>
      </left>
      <right style="thin">
        <color theme="0"/>
      </right>
      <top style="thin">
        <color rgb="FFFFFFFF"/>
      </top>
      <bottom/>
      <diagonal/>
    </border>
    <border>
      <left style="thin">
        <color rgb="FFFFFFFF"/>
      </left>
      <right style="thin">
        <color rgb="FFFFFFFF"/>
      </right>
      <top style="thin">
        <color theme="0"/>
      </top>
      <bottom/>
      <diagonal/>
    </border>
    <border diagonalUp="1">
      <left style="thin">
        <color theme="0"/>
      </left>
      <right style="thin">
        <color theme="0"/>
      </right>
      <top style="thin">
        <color theme="0"/>
      </top>
      <bottom style="thin">
        <color theme="0"/>
      </bottom>
      <diagonal style="thin">
        <color theme="0"/>
      </diagonal>
    </border>
    <border>
      <left style="medium">
        <color theme="0"/>
      </left>
      <right style="medium">
        <color theme="0"/>
      </right>
      <top style="thin">
        <color theme="0"/>
      </top>
      <bottom style="thin">
        <color theme="0"/>
      </bottom>
      <diagonal/>
    </border>
    <border>
      <left/>
      <right style="medium">
        <color theme="0"/>
      </right>
      <top style="thin">
        <color theme="0"/>
      </top>
      <bottom style="thin">
        <color theme="0"/>
      </bottom>
      <diagonal/>
    </border>
    <border>
      <left style="thick">
        <color theme="0"/>
      </left>
      <right style="thin">
        <color theme="0"/>
      </right>
      <top style="thin">
        <color theme="0"/>
      </top>
      <bottom style="thin">
        <color theme="0"/>
      </bottom>
      <diagonal/>
    </border>
    <border diagonalUp="1" diagonalDown="1">
      <left style="thin">
        <color theme="0"/>
      </left>
      <right style="medium">
        <color theme="0"/>
      </right>
      <top style="thin">
        <color theme="0"/>
      </top>
      <bottom style="thin">
        <color theme="0"/>
      </bottom>
      <diagonal style="thin">
        <color theme="0"/>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style="medium">
        <color auto="1"/>
      </left>
      <right/>
      <top/>
      <bottom/>
      <diagonal/>
    </border>
    <border>
      <left/>
      <right style="medium">
        <color indexed="64"/>
      </right>
      <top/>
      <bottom/>
      <diagonal/>
    </border>
    <border>
      <left style="medium">
        <color auto="1"/>
      </left>
      <right/>
      <top/>
      <bottom style="medium">
        <color auto="1"/>
      </bottom>
      <diagonal/>
    </border>
    <border>
      <left/>
      <right style="medium">
        <color indexed="64"/>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thin">
        <color auto="1"/>
      </top>
      <bottom style="medium">
        <color indexed="64"/>
      </bottom>
      <diagonal/>
    </border>
    <border>
      <left style="thin">
        <color auto="1"/>
      </left>
      <right style="medium">
        <color auto="1"/>
      </right>
      <top style="thin">
        <color auto="1"/>
      </top>
      <bottom style="medium">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style="thin">
        <color auto="1"/>
      </right>
      <top style="thin">
        <color auto="1"/>
      </top>
      <bottom style="medium">
        <color auto="1"/>
      </bottom>
      <diagonal/>
    </border>
    <border>
      <left/>
      <right style="medium">
        <color indexed="64"/>
      </right>
      <top style="thin">
        <color auto="1"/>
      </top>
      <bottom/>
      <diagonal/>
    </border>
    <border>
      <left/>
      <right style="thin">
        <color auto="1"/>
      </right>
      <top/>
      <bottom/>
      <diagonal/>
    </border>
    <border>
      <left style="thin">
        <color auto="1"/>
      </left>
      <right/>
      <top/>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medium">
        <color auto="1"/>
      </bottom>
      <diagonal/>
    </border>
    <border>
      <left/>
      <right style="thin">
        <color auto="1"/>
      </right>
      <top/>
      <bottom style="medium">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0">
    <xf numFmtId="0" fontId="0" fillId="0" borderId="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9" fontId="8" fillId="0" borderId="0" applyFont="0" applyFill="0" applyBorder="0" applyAlignment="0" applyProtection="0"/>
    <xf numFmtId="44" fontId="8" fillId="0" borderId="0" applyFont="0" applyFill="0" applyBorder="0" applyAlignment="0" applyProtection="0"/>
    <xf numFmtId="0" fontId="2" fillId="4" borderId="0" applyNumberFormat="0" applyBorder="0" applyAlignment="0" applyProtection="0"/>
    <xf numFmtId="0" fontId="18" fillId="0" borderId="0"/>
    <xf numFmtId="0" fontId="19" fillId="0" borderId="0"/>
    <xf numFmtId="0" fontId="23" fillId="0" borderId="24" applyNumberFormat="0" applyFill="0" applyAlignment="0" applyProtection="0"/>
  </cellStyleXfs>
  <cellXfs count="742">
    <xf numFmtId="0" fontId="0" fillId="0" borderId="0" xfId="0"/>
    <xf numFmtId="0" fontId="0" fillId="2" borderId="0" xfId="0" applyFill="1"/>
    <xf numFmtId="0" fontId="5" fillId="2" borderId="0" xfId="3" applyFont="1" applyFill="1" applyBorder="1" applyAlignment="1">
      <alignment horizontal="center"/>
    </xf>
    <xf numFmtId="1" fontId="2" fillId="2" borderId="2" xfId="2" applyNumberFormat="1" applyFont="1" applyFill="1" applyBorder="1" applyAlignment="1">
      <alignment horizontal="center"/>
    </xf>
    <xf numFmtId="17" fontId="2" fillId="2" borderId="3" xfId="0" applyNumberFormat="1" applyFont="1" applyFill="1" applyBorder="1" applyAlignment="1">
      <alignment horizontal="center"/>
    </xf>
    <xf numFmtId="0" fontId="2" fillId="2" borderId="2" xfId="0" applyFont="1" applyFill="1" applyBorder="1" applyAlignment="1">
      <alignment horizontal="center"/>
    </xf>
    <xf numFmtId="0" fontId="3" fillId="2" borderId="0" xfId="0" applyFont="1" applyFill="1"/>
    <xf numFmtId="0" fontId="0" fillId="2" borderId="2" xfId="0" applyFill="1" applyBorder="1"/>
    <xf numFmtId="3" fontId="2" fillId="2" borderId="2" xfId="0" applyNumberFormat="1" applyFont="1" applyFill="1" applyBorder="1" applyAlignment="1">
      <alignment horizontal="center"/>
    </xf>
    <xf numFmtId="1" fontId="2" fillId="2" borderId="2" xfId="0" applyNumberFormat="1" applyFont="1" applyFill="1" applyBorder="1" applyAlignment="1">
      <alignment horizontal="center"/>
    </xf>
    <xf numFmtId="0" fontId="2" fillId="2" borderId="4" xfId="0" applyFont="1" applyFill="1" applyBorder="1" applyAlignment="1">
      <alignment horizontal="center"/>
    </xf>
    <xf numFmtId="17" fontId="2" fillId="2" borderId="6" xfId="0" applyNumberFormat="1" applyFont="1" applyFill="1" applyBorder="1" applyAlignment="1">
      <alignment horizontal="center"/>
    </xf>
    <xf numFmtId="0" fontId="0" fillId="2" borderId="6" xfId="0" applyFill="1" applyBorder="1"/>
    <xf numFmtId="0" fontId="2" fillId="2" borderId="6" xfId="0" applyFont="1" applyFill="1" applyBorder="1" applyAlignment="1">
      <alignment horizontal="center"/>
    </xf>
    <xf numFmtId="1" fontId="2" fillId="2" borderId="6" xfId="0" applyNumberFormat="1" applyFont="1" applyFill="1" applyBorder="1" applyAlignment="1">
      <alignment horizontal="center"/>
    </xf>
    <xf numFmtId="3" fontId="2" fillId="2" borderId="6" xfId="0" applyNumberFormat="1" applyFont="1" applyFill="1" applyBorder="1" applyAlignment="1">
      <alignment horizontal="center"/>
    </xf>
    <xf numFmtId="0" fontId="0" fillId="2" borderId="7" xfId="0" applyFill="1" applyBorder="1" applyAlignment="1">
      <alignment horizontal="center"/>
    </xf>
    <xf numFmtId="0" fontId="2" fillId="2" borderId="7" xfId="0" applyFont="1" applyFill="1" applyBorder="1" applyAlignment="1">
      <alignment horizontal="center"/>
    </xf>
    <xf numFmtId="0" fontId="2" fillId="2" borderId="1" xfId="0" applyFont="1" applyFill="1" applyBorder="1" applyAlignment="1">
      <alignment horizontal="center"/>
    </xf>
    <xf numFmtId="0" fontId="2" fillId="2" borderId="0" xfId="0" applyFont="1" applyFill="1" applyAlignment="1">
      <alignment horizontal="center"/>
    </xf>
    <xf numFmtId="0" fontId="3" fillId="2" borderId="0" xfId="0" applyFont="1" applyFill="1" applyAlignment="1">
      <alignment vertical="top"/>
    </xf>
    <xf numFmtId="0" fontId="0" fillId="2" borderId="2" xfId="0" applyFill="1" applyBorder="1" applyAlignment="1">
      <alignment horizontal="center"/>
    </xf>
    <xf numFmtId="0" fontId="2" fillId="2" borderId="2" xfId="0" applyFont="1" applyFill="1" applyBorder="1" applyAlignment="1">
      <alignment horizontal="left"/>
    </xf>
    <xf numFmtId="0" fontId="2" fillId="2" borderId="2" xfId="0" applyFont="1" applyFill="1" applyBorder="1"/>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6" xfId="0" applyFont="1" applyFill="1" applyBorder="1"/>
    <xf numFmtId="0" fontId="10" fillId="2" borderId="0" xfId="6" applyFont="1" applyFill="1" applyBorder="1" applyAlignment="1" applyProtection="1">
      <alignment vertical="center"/>
      <protection hidden="1"/>
    </xf>
    <xf numFmtId="164" fontId="2" fillId="2" borderId="6" xfId="0" applyNumberFormat="1" applyFont="1" applyFill="1" applyBorder="1" applyAlignment="1" applyProtection="1">
      <alignment horizontal="center" vertical="center" wrapText="1"/>
      <protection hidden="1"/>
    </xf>
    <xf numFmtId="17" fontId="2" fillId="2" borderId="2" xfId="0" applyNumberFormat="1" applyFont="1" applyFill="1" applyBorder="1" applyAlignment="1">
      <alignment horizontal="center"/>
    </xf>
    <xf numFmtId="0" fontId="2" fillId="2" borderId="3" xfId="0" applyFont="1" applyFill="1" applyBorder="1"/>
    <xf numFmtId="0" fontId="2" fillId="2" borderId="19" xfId="0" applyFont="1" applyFill="1" applyBorder="1" applyAlignment="1">
      <alignment horizontal="center"/>
    </xf>
    <xf numFmtId="0" fontId="2" fillId="2" borderId="20" xfId="0" applyFont="1" applyFill="1" applyBorder="1" applyAlignment="1">
      <alignment horizontal="center"/>
    </xf>
    <xf numFmtId="17" fontId="2" fillId="2" borderId="21" xfId="0" applyNumberFormat="1" applyFont="1" applyFill="1" applyBorder="1" applyAlignment="1">
      <alignment horizontal="center"/>
    </xf>
    <xf numFmtId="17" fontId="2" fillId="2" borderId="22" xfId="0" applyNumberFormat="1" applyFont="1" applyFill="1" applyBorder="1" applyAlignment="1">
      <alignment horizontal="center"/>
    </xf>
    <xf numFmtId="17" fontId="2" fillId="2" borderId="23" xfId="0" applyNumberFormat="1" applyFont="1" applyFill="1" applyBorder="1" applyAlignment="1">
      <alignment horizontal="center"/>
    </xf>
    <xf numFmtId="0" fontId="2" fillId="2" borderId="12" xfId="0" applyFont="1" applyFill="1" applyBorder="1" applyProtection="1">
      <protection hidden="1"/>
    </xf>
    <xf numFmtId="0" fontId="2" fillId="2" borderId="0" xfId="0" applyFont="1" applyFill="1" applyProtection="1">
      <protection hidden="1"/>
    </xf>
    <xf numFmtId="0" fontId="2" fillId="2" borderId="12" xfId="0" applyFont="1" applyFill="1" applyBorder="1" applyAlignment="1" applyProtection="1">
      <alignment horizontal="center"/>
      <protection hidden="1"/>
    </xf>
    <xf numFmtId="0" fontId="2" fillId="2" borderId="10" xfId="0" applyFont="1" applyFill="1" applyBorder="1" applyProtection="1">
      <protection hidden="1"/>
    </xf>
    <xf numFmtId="14" fontId="2" fillId="2" borderId="0" xfId="0" applyNumberFormat="1" applyFont="1" applyFill="1" applyProtection="1">
      <protection hidden="1"/>
    </xf>
    <xf numFmtId="0" fontId="2" fillId="2" borderId="0" xfId="0" applyFont="1" applyFill="1" applyAlignment="1" applyProtection="1">
      <alignment horizontal="center"/>
      <protection hidden="1"/>
    </xf>
    <xf numFmtId="164" fontId="2" fillId="2" borderId="0" xfId="0" applyNumberFormat="1" applyFont="1" applyFill="1" applyAlignment="1" applyProtection="1">
      <alignment horizontal="center" vertical="center"/>
      <protection hidden="1"/>
    </xf>
    <xf numFmtId="0" fontId="2" fillId="2" borderId="0" xfId="0" applyFont="1" applyFill="1" applyAlignment="1" applyProtection="1">
      <alignment horizontal="center" vertical="center"/>
      <protection hidden="1"/>
    </xf>
    <xf numFmtId="165" fontId="10" fillId="2" borderId="0" xfId="6" applyNumberFormat="1" applyFont="1" applyFill="1" applyBorder="1" applyAlignment="1" applyProtection="1">
      <alignment vertical="center"/>
      <protection hidden="1"/>
    </xf>
    <xf numFmtId="164" fontId="11" fillId="2" borderId="0" xfId="6" applyNumberFormat="1" applyFont="1" applyFill="1" applyBorder="1" applyAlignment="1" applyProtection="1">
      <alignment vertical="center"/>
      <protection hidden="1"/>
    </xf>
    <xf numFmtId="0" fontId="2" fillId="2" borderId="15" xfId="0" applyFont="1" applyFill="1" applyBorder="1" applyAlignment="1" applyProtection="1">
      <alignment horizontal="center" vertical="center"/>
      <protection hidden="1"/>
    </xf>
    <xf numFmtId="0" fontId="2" fillId="2" borderId="15" xfId="0" applyFont="1" applyFill="1" applyBorder="1" applyProtection="1">
      <protection hidden="1"/>
    </xf>
    <xf numFmtId="0" fontId="12" fillId="2" borderId="6" xfId="0" applyFont="1" applyFill="1" applyBorder="1" applyAlignment="1" applyProtection="1">
      <alignment vertical="center" textRotation="60"/>
      <protection hidden="1"/>
    </xf>
    <xf numFmtId="0" fontId="2" fillId="2" borderId="10" xfId="0" applyFont="1" applyFill="1" applyBorder="1" applyAlignment="1" applyProtection="1">
      <alignment horizontal="center"/>
      <protection hidden="1"/>
    </xf>
    <xf numFmtId="0" fontId="9" fillId="2" borderId="6"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wrapText="1"/>
      <protection hidden="1"/>
    </xf>
    <xf numFmtId="9" fontId="2" fillId="2" borderId="6" xfId="4" applyFont="1" applyFill="1" applyBorder="1" applyAlignment="1" applyProtection="1">
      <alignment horizontal="center" vertical="center" wrapText="1"/>
      <protection hidden="1"/>
    </xf>
    <xf numFmtId="49" fontId="2" fillId="2" borderId="6" xfId="0" applyNumberFormat="1" applyFont="1" applyFill="1" applyBorder="1" applyAlignment="1" applyProtection="1">
      <alignment horizontal="center" vertical="center" wrapText="1"/>
      <protection hidden="1"/>
    </xf>
    <xf numFmtId="1" fontId="2" fillId="2" borderId="6" xfId="0" applyNumberFormat="1" applyFont="1" applyFill="1" applyBorder="1" applyAlignment="1" applyProtection="1">
      <alignment horizontal="center" vertical="center"/>
      <protection hidden="1"/>
    </xf>
    <xf numFmtId="9" fontId="2" fillId="2" borderId="6" xfId="0" applyNumberFormat="1" applyFont="1" applyFill="1" applyBorder="1" applyAlignment="1" applyProtection="1">
      <alignment horizontal="center" vertical="center"/>
      <protection hidden="1"/>
    </xf>
    <xf numFmtId="2" fontId="2" fillId="2" borderId="6" xfId="0" applyNumberFormat="1" applyFont="1" applyFill="1" applyBorder="1" applyAlignment="1" applyProtection="1">
      <alignment horizontal="center" vertical="center"/>
      <protection hidden="1"/>
    </xf>
    <xf numFmtId="166" fontId="2" fillId="2" borderId="6" xfId="0" applyNumberFormat="1" applyFont="1" applyFill="1" applyBorder="1" applyAlignment="1" applyProtection="1">
      <alignment horizontal="center" vertical="center"/>
      <protection hidden="1"/>
    </xf>
    <xf numFmtId="0" fontId="2" fillId="2" borderId="9" xfId="0" applyFont="1" applyFill="1" applyBorder="1" applyProtection="1">
      <protection hidden="1"/>
    </xf>
    <xf numFmtId="0" fontId="2" fillId="2" borderId="6" xfId="0" applyFont="1" applyFill="1" applyBorder="1" applyAlignment="1" applyProtection="1">
      <alignment horizontal="center" vertical="center"/>
      <protection hidden="1"/>
    </xf>
    <xf numFmtId="8" fontId="2" fillId="2" borderId="6" xfId="0" applyNumberFormat="1" applyFont="1" applyFill="1" applyBorder="1" applyAlignment="1" applyProtection="1">
      <alignment horizontal="center" vertical="center" wrapText="1"/>
      <protection hidden="1"/>
    </xf>
    <xf numFmtId="8" fontId="2" fillId="2" borderId="6" xfId="0" applyNumberFormat="1" applyFont="1" applyFill="1" applyBorder="1" applyAlignment="1" applyProtection="1">
      <alignment horizontal="center"/>
      <protection hidden="1"/>
    </xf>
    <xf numFmtId="1" fontId="2" fillId="2" borderId="6" xfId="0" applyNumberFormat="1" applyFont="1" applyFill="1" applyBorder="1" applyAlignment="1" applyProtection="1">
      <alignment horizontal="center"/>
      <protection hidden="1"/>
    </xf>
    <xf numFmtId="164" fontId="2" fillId="2" borderId="6" xfId="0" applyNumberFormat="1" applyFont="1" applyFill="1" applyBorder="1" applyAlignment="1" applyProtection="1">
      <alignment horizontal="center"/>
      <protection hidden="1"/>
    </xf>
    <xf numFmtId="164" fontId="2" fillId="2" borderId="6" xfId="0" applyNumberFormat="1" applyFont="1" applyFill="1" applyBorder="1" applyAlignment="1" applyProtection="1">
      <alignment horizontal="center" vertical="center"/>
      <protection hidden="1"/>
    </xf>
    <xf numFmtId="164" fontId="2" fillId="2" borderId="9" xfId="0" applyNumberFormat="1" applyFont="1" applyFill="1" applyBorder="1" applyAlignment="1" applyProtection="1">
      <alignment horizontal="center" vertical="center"/>
      <protection hidden="1"/>
    </xf>
    <xf numFmtId="0" fontId="2" fillId="2" borderId="6" xfId="0" applyFont="1" applyFill="1" applyBorder="1" applyProtection="1">
      <protection hidden="1"/>
    </xf>
    <xf numFmtId="3" fontId="2" fillId="2" borderId="4" xfId="0" applyNumberFormat="1" applyFont="1" applyFill="1" applyBorder="1" applyAlignment="1">
      <alignment horizontal="center"/>
    </xf>
    <xf numFmtId="0" fontId="0" fillId="2" borderId="14" xfId="0" applyFill="1" applyBorder="1"/>
    <xf numFmtId="164" fontId="2" fillId="2" borderId="6" xfId="9" applyNumberFormat="1" applyFont="1" applyFill="1" applyBorder="1" applyAlignment="1" applyProtection="1">
      <alignment horizontal="center"/>
      <protection hidden="1"/>
    </xf>
    <xf numFmtId="0" fontId="0" fillId="2" borderId="0" xfId="0" applyFill="1" applyProtection="1">
      <protection hidden="1"/>
    </xf>
    <xf numFmtId="0" fontId="9" fillId="2" borderId="36" xfId="0" applyFont="1" applyFill="1" applyBorder="1" applyAlignment="1" applyProtection="1">
      <alignment horizontal="center" vertical="center"/>
      <protection hidden="1"/>
    </xf>
    <xf numFmtId="0" fontId="2" fillId="2" borderId="36" xfId="0" applyFont="1" applyFill="1" applyBorder="1" applyAlignment="1" applyProtection="1">
      <alignment horizontal="center" vertical="center" wrapText="1"/>
      <protection hidden="1"/>
    </xf>
    <xf numFmtId="0" fontId="11" fillId="2" borderId="0" xfId="6" applyFont="1" applyFill="1" applyBorder="1" applyAlignment="1" applyProtection="1">
      <alignment vertical="center"/>
      <protection hidden="1"/>
    </xf>
    <xf numFmtId="0" fontId="31" fillId="2" borderId="38" xfId="0" applyFont="1" applyFill="1" applyBorder="1" applyAlignment="1" applyProtection="1">
      <alignment horizontal="center" vertical="center"/>
      <protection hidden="1"/>
    </xf>
    <xf numFmtId="0" fontId="31" fillId="2" borderId="39" xfId="0" applyFont="1" applyFill="1" applyBorder="1" applyAlignment="1" applyProtection="1">
      <alignment horizontal="center" vertical="center"/>
      <protection hidden="1"/>
    </xf>
    <xf numFmtId="164" fontId="2" fillId="2" borderId="41" xfId="9" applyNumberFormat="1" applyFont="1" applyFill="1" applyBorder="1" applyAlignment="1" applyProtection="1">
      <alignment horizontal="center"/>
      <protection hidden="1"/>
    </xf>
    <xf numFmtId="0" fontId="26" fillId="3" borderId="6" xfId="0" applyFont="1" applyFill="1" applyBorder="1" applyAlignment="1" applyProtection="1">
      <alignment horizontal="center" textRotation="62"/>
      <protection hidden="1"/>
    </xf>
    <xf numFmtId="0" fontId="9" fillId="3" borderId="6" xfId="0" applyFont="1" applyFill="1" applyBorder="1" applyAlignment="1" applyProtection="1">
      <alignment horizontal="center" textRotation="59"/>
      <protection hidden="1"/>
    </xf>
    <xf numFmtId="0" fontId="9" fillId="3" borderId="6" xfId="0" applyFont="1" applyFill="1" applyBorder="1" applyAlignment="1" applyProtection="1">
      <alignment horizontal="center" textRotation="61"/>
      <protection hidden="1"/>
    </xf>
    <xf numFmtId="0" fontId="9" fillId="3" borderId="6" xfId="0" applyFont="1" applyFill="1" applyBorder="1" applyAlignment="1" applyProtection="1">
      <alignment horizontal="center" textRotation="60"/>
      <protection hidden="1"/>
    </xf>
    <xf numFmtId="0" fontId="9" fillId="3" borderId="6" xfId="9" applyFont="1" applyFill="1" applyBorder="1" applyAlignment="1" applyProtection="1">
      <alignment horizontal="center" textRotation="61"/>
      <protection hidden="1"/>
    </xf>
    <xf numFmtId="0" fontId="26" fillId="3" borderId="6" xfId="9" applyFont="1" applyFill="1" applyBorder="1" applyAlignment="1" applyProtection="1">
      <alignment horizontal="center" textRotation="61"/>
      <protection hidden="1"/>
    </xf>
    <xf numFmtId="0" fontId="27" fillId="2" borderId="32" xfId="0" applyFont="1" applyFill="1" applyBorder="1" applyAlignment="1" applyProtection="1">
      <alignment horizontal="center"/>
      <protection hidden="1"/>
    </xf>
    <xf numFmtId="164" fontId="28" fillId="2" borderId="32" xfId="0" applyNumberFormat="1" applyFont="1" applyFill="1" applyBorder="1" applyAlignment="1" applyProtection="1">
      <alignment horizontal="center"/>
      <protection hidden="1"/>
    </xf>
    <xf numFmtId="164" fontId="28" fillId="2" borderId="26" xfId="0" applyNumberFormat="1" applyFont="1" applyFill="1" applyBorder="1" applyAlignment="1" applyProtection="1">
      <alignment horizontal="center"/>
      <protection hidden="1"/>
    </xf>
    <xf numFmtId="0" fontId="27" fillId="2" borderId="26" xfId="0" applyFont="1" applyFill="1" applyBorder="1" applyAlignment="1" applyProtection="1">
      <alignment horizontal="center"/>
      <protection hidden="1"/>
    </xf>
    <xf numFmtId="164" fontId="2" fillId="2" borderId="26" xfId="0" applyNumberFormat="1" applyFont="1" applyFill="1" applyBorder="1" applyAlignment="1" applyProtection="1">
      <alignment horizontal="center"/>
      <protection hidden="1"/>
    </xf>
    <xf numFmtId="164" fontId="28" fillId="2" borderId="28" xfId="0" applyNumberFormat="1" applyFont="1" applyFill="1" applyBorder="1" applyAlignment="1" applyProtection="1">
      <alignment horizontal="center"/>
      <protection hidden="1"/>
    </xf>
    <xf numFmtId="0" fontId="26" fillId="2" borderId="0" xfId="9" applyFont="1" applyFill="1" applyBorder="1" applyAlignment="1" applyProtection="1">
      <alignment horizontal="center" vertical="center" wrapText="1" shrinkToFit="1"/>
      <protection hidden="1"/>
    </xf>
    <xf numFmtId="164" fontId="26" fillId="2" borderId="30" xfId="9" applyNumberFormat="1" applyFont="1" applyFill="1" applyBorder="1" applyAlignment="1" applyProtection="1">
      <alignment horizontal="center" vertical="center" wrapText="1" shrinkToFit="1"/>
      <protection hidden="1"/>
    </xf>
    <xf numFmtId="164" fontId="26" fillId="2" borderId="30" xfId="9" applyNumberFormat="1" applyFont="1" applyFill="1" applyBorder="1" applyAlignment="1" applyProtection="1">
      <alignment horizontal="center" vertical="center" wrapText="1"/>
      <protection hidden="1"/>
    </xf>
    <xf numFmtId="0" fontId="29" fillId="2" borderId="0" xfId="9" applyFont="1" applyFill="1" applyBorder="1" applyAlignment="1" applyProtection="1">
      <alignment horizontal="center" vertical="center" wrapText="1" shrinkToFit="1"/>
      <protection hidden="1"/>
    </xf>
    <xf numFmtId="10" fontId="29" fillId="2" borderId="33" xfId="2" applyNumberFormat="1" applyFont="1" applyFill="1" applyBorder="1" applyAlignment="1" applyProtection="1">
      <alignment horizontal="center" vertical="center" wrapText="1" shrinkToFit="1"/>
      <protection hidden="1"/>
    </xf>
    <xf numFmtId="10" fontId="29" fillId="2" borderId="33" xfId="9" applyNumberFormat="1" applyFont="1" applyFill="1" applyBorder="1" applyAlignment="1" applyProtection="1">
      <alignment horizontal="center" vertical="center" wrapText="1"/>
      <protection hidden="1"/>
    </xf>
    <xf numFmtId="0" fontId="26" fillId="2" borderId="0" xfId="9" applyFont="1" applyFill="1" applyBorder="1" applyProtection="1">
      <protection hidden="1"/>
    </xf>
    <xf numFmtId="4" fontId="26" fillId="2" borderId="0" xfId="9" applyNumberFormat="1" applyFont="1" applyFill="1" applyBorder="1" applyAlignment="1" applyProtection="1">
      <alignment horizontal="center"/>
      <protection hidden="1"/>
    </xf>
    <xf numFmtId="0" fontId="2" fillId="2" borderId="9" xfId="0" applyFont="1" applyFill="1" applyBorder="1" applyAlignment="1">
      <alignment horizontal="center"/>
    </xf>
    <xf numFmtId="0" fontId="0" fillId="2" borderId="0" xfId="0" applyFill="1" applyAlignment="1">
      <alignment horizontal="center"/>
    </xf>
    <xf numFmtId="164" fontId="2" fillId="6" borderId="1" xfId="9" applyNumberFormat="1" applyFont="1" applyFill="1" applyBorder="1" applyAlignment="1" applyProtection="1">
      <alignment horizontal="center"/>
      <protection hidden="1"/>
    </xf>
    <xf numFmtId="164" fontId="2" fillId="6" borderId="65" xfId="9" applyNumberFormat="1" applyFont="1" applyFill="1" applyBorder="1" applyAlignment="1" applyProtection="1">
      <alignment horizontal="center"/>
      <protection hidden="1"/>
    </xf>
    <xf numFmtId="164" fontId="2" fillId="2" borderId="66" xfId="9" applyNumberFormat="1" applyFont="1" applyFill="1" applyBorder="1" applyAlignment="1" applyProtection="1">
      <alignment horizontal="center"/>
      <protection hidden="1"/>
    </xf>
    <xf numFmtId="14" fontId="0" fillId="2" borderId="0" xfId="0" applyNumberFormat="1" applyFill="1" applyProtection="1">
      <protection hidden="1"/>
    </xf>
    <xf numFmtId="0" fontId="32" fillId="2" borderId="12" xfId="0" applyFont="1" applyFill="1" applyBorder="1" applyProtection="1">
      <protection hidden="1"/>
    </xf>
    <xf numFmtId="0" fontId="32" fillId="2" borderId="0" xfId="0" applyFont="1" applyFill="1"/>
    <xf numFmtId="0" fontId="9" fillId="5" borderId="72" xfId="0" applyFont="1" applyFill="1" applyBorder="1" applyAlignment="1" applyProtection="1">
      <alignment horizontal="center"/>
      <protection hidden="1"/>
    </xf>
    <xf numFmtId="170" fontId="33" fillId="7" borderId="72" xfId="0" applyNumberFormat="1" applyFont="1" applyFill="1" applyBorder="1" applyAlignment="1" applyProtection="1">
      <alignment horizontal="center"/>
      <protection hidden="1"/>
    </xf>
    <xf numFmtId="164" fontId="33" fillId="7" borderId="72" xfId="0" applyNumberFormat="1" applyFont="1" applyFill="1" applyBorder="1" applyAlignment="1" applyProtection="1">
      <alignment horizontal="center"/>
      <protection hidden="1"/>
    </xf>
    <xf numFmtId="164" fontId="9" fillId="5" borderId="72" xfId="0" applyNumberFormat="1" applyFont="1" applyFill="1" applyBorder="1" applyAlignment="1" applyProtection="1">
      <alignment horizontal="center"/>
      <protection hidden="1"/>
    </xf>
    <xf numFmtId="0" fontId="33" fillId="7" borderId="72" xfId="0" applyFont="1" applyFill="1" applyBorder="1" applyProtection="1">
      <protection hidden="1"/>
    </xf>
    <xf numFmtId="164" fontId="2" fillId="5" borderId="75" xfId="0" applyNumberFormat="1" applyFont="1" applyFill="1" applyBorder="1" applyAlignment="1" applyProtection="1">
      <alignment horizontal="center" vertical="center"/>
      <protection hidden="1"/>
    </xf>
    <xf numFmtId="0" fontId="2" fillId="5" borderId="76" xfId="0" applyFont="1" applyFill="1" applyBorder="1" applyAlignment="1" applyProtection="1">
      <alignment horizontal="center"/>
      <protection hidden="1"/>
    </xf>
    <xf numFmtId="164" fontId="2" fillId="5" borderId="77" xfId="0" applyNumberFormat="1" applyFont="1" applyFill="1" applyBorder="1" applyAlignment="1" applyProtection="1">
      <alignment horizontal="center" vertical="center"/>
      <protection hidden="1"/>
    </xf>
    <xf numFmtId="0" fontId="2" fillId="5" borderId="78" xfId="0" applyFont="1" applyFill="1" applyBorder="1" applyAlignment="1" applyProtection="1">
      <alignment horizontal="center"/>
      <protection hidden="1"/>
    </xf>
    <xf numFmtId="0" fontId="9" fillId="5" borderId="78" xfId="0" applyFont="1" applyFill="1" applyBorder="1" applyAlignment="1" applyProtection="1">
      <alignment horizontal="center"/>
      <protection hidden="1"/>
    </xf>
    <xf numFmtId="164" fontId="2" fillId="5" borderId="79" xfId="0" applyNumberFormat="1" applyFont="1" applyFill="1" applyBorder="1" applyAlignment="1" applyProtection="1">
      <alignment horizontal="center" vertical="center"/>
      <protection hidden="1"/>
    </xf>
    <xf numFmtId="0" fontId="0" fillId="5" borderId="80" xfId="0" applyFill="1" applyBorder="1" applyProtection="1">
      <protection hidden="1"/>
    </xf>
    <xf numFmtId="164" fontId="2" fillId="5" borderId="81" xfId="0" applyNumberFormat="1" applyFont="1" applyFill="1" applyBorder="1" applyAlignment="1" applyProtection="1">
      <alignment horizontal="center" vertical="center"/>
      <protection hidden="1"/>
    </xf>
    <xf numFmtId="0" fontId="9" fillId="5" borderId="77" xfId="0" applyFont="1" applyFill="1" applyBorder="1" applyAlignment="1" applyProtection="1">
      <alignment horizontal="center"/>
      <protection hidden="1"/>
    </xf>
    <xf numFmtId="0" fontId="9" fillId="5" borderId="79" xfId="0" applyFont="1" applyFill="1" applyBorder="1" applyAlignment="1" applyProtection="1">
      <alignment horizontal="center"/>
      <protection hidden="1"/>
    </xf>
    <xf numFmtId="0" fontId="9" fillId="5" borderId="82" xfId="0" applyFont="1" applyFill="1" applyBorder="1" applyAlignment="1" applyProtection="1">
      <alignment horizontal="center"/>
      <protection hidden="1"/>
    </xf>
    <xf numFmtId="0" fontId="9" fillId="5" borderId="81" xfId="0" applyFont="1" applyFill="1" applyBorder="1" applyAlignment="1" applyProtection="1">
      <alignment horizontal="center"/>
      <protection hidden="1"/>
    </xf>
    <xf numFmtId="0" fontId="35" fillId="2" borderId="0" xfId="0" applyFont="1" applyFill="1"/>
    <xf numFmtId="0" fontId="3" fillId="2" borderId="0" xfId="0" applyFont="1" applyFill="1" applyAlignment="1">
      <alignment vertical="center"/>
    </xf>
    <xf numFmtId="0" fontId="3" fillId="2" borderId="8" xfId="0" applyFont="1" applyFill="1" applyBorder="1" applyAlignment="1">
      <alignment vertical="center"/>
    </xf>
    <xf numFmtId="164" fontId="9" fillId="5" borderId="77" xfId="0" applyNumberFormat="1" applyFont="1" applyFill="1" applyBorder="1" applyAlignment="1" applyProtection="1">
      <alignment horizontal="center"/>
      <protection hidden="1"/>
    </xf>
    <xf numFmtId="0" fontId="2" fillId="2" borderId="25" xfId="0" applyFont="1" applyFill="1" applyBorder="1" applyAlignment="1">
      <alignment horizontal="center"/>
    </xf>
    <xf numFmtId="0" fontId="2" fillId="2" borderId="87" xfId="0" applyFont="1" applyFill="1" applyBorder="1" applyAlignment="1">
      <alignment horizontal="center" vertical="center"/>
    </xf>
    <xf numFmtId="1" fontId="2" fillId="2" borderId="6" xfId="0" applyNumberFormat="1" applyFont="1" applyFill="1" applyBorder="1" applyAlignment="1">
      <alignment horizontal="center" vertical="center"/>
    </xf>
    <xf numFmtId="0" fontId="3" fillId="2" borderId="0" xfId="0" applyFont="1" applyFill="1" applyAlignment="1">
      <alignment vertical="center" wrapText="1"/>
    </xf>
    <xf numFmtId="0" fontId="3" fillId="2" borderId="15" xfId="0" applyFont="1" applyFill="1" applyBorder="1" applyAlignment="1">
      <alignment vertical="center" wrapText="1"/>
    </xf>
    <xf numFmtId="0" fontId="3" fillId="2" borderId="0" xfId="0" applyFont="1" applyFill="1" applyAlignment="1">
      <alignment horizontal="center" vertical="center"/>
    </xf>
    <xf numFmtId="0" fontId="0" fillId="2" borderId="84" xfId="0" applyFill="1" applyBorder="1" applyAlignment="1">
      <alignment horizontal="center"/>
    </xf>
    <xf numFmtId="0" fontId="5" fillId="2" borderId="0" xfId="3" applyFont="1" applyFill="1" applyBorder="1" applyAlignment="1">
      <alignment horizontal="center" vertical="center"/>
    </xf>
    <xf numFmtId="164" fontId="2" fillId="2" borderId="9" xfId="0" applyNumberFormat="1" applyFont="1" applyFill="1" applyBorder="1" applyAlignment="1" applyProtection="1">
      <alignment vertical="center"/>
      <protection hidden="1"/>
    </xf>
    <xf numFmtId="44" fontId="40" fillId="3" borderId="2" xfId="1" applyFont="1" applyFill="1" applyBorder="1" applyAlignment="1">
      <alignment horizontal="center"/>
    </xf>
    <xf numFmtId="0" fontId="9" fillId="3" borderId="6" xfId="0" applyFont="1" applyFill="1" applyBorder="1" applyAlignment="1">
      <alignment horizontal="center"/>
    </xf>
    <xf numFmtId="0" fontId="13" fillId="3" borderId="6" xfId="0" applyFont="1" applyFill="1" applyBorder="1" applyAlignment="1">
      <alignment horizontal="center"/>
    </xf>
    <xf numFmtId="0" fontId="13" fillId="3" borderId="7" xfId="0" applyFont="1" applyFill="1" applyBorder="1" applyAlignment="1">
      <alignment horizontal="center"/>
    </xf>
    <xf numFmtId="0" fontId="41" fillId="3" borderId="6" xfId="0" applyFont="1" applyFill="1" applyBorder="1" applyAlignment="1">
      <alignment horizontal="center"/>
    </xf>
    <xf numFmtId="0" fontId="13" fillId="3" borderId="14" xfId="0" applyFont="1" applyFill="1" applyBorder="1" applyAlignment="1">
      <alignment horizontal="center"/>
    </xf>
    <xf numFmtId="0" fontId="25" fillId="2" borderId="15" xfId="0" applyFont="1" applyFill="1" applyBorder="1" applyProtection="1">
      <protection hidden="1"/>
    </xf>
    <xf numFmtId="0" fontId="2" fillId="2" borderId="84" xfId="0" applyFont="1" applyFill="1" applyBorder="1" applyAlignment="1">
      <alignment horizontal="center"/>
    </xf>
    <xf numFmtId="0" fontId="9" fillId="2" borderId="0" xfId="0" applyFont="1" applyFill="1" applyAlignment="1" applyProtection="1">
      <alignment horizontal="center"/>
      <protection hidden="1"/>
    </xf>
    <xf numFmtId="168" fontId="33" fillId="2" borderId="0" xfId="0" applyNumberFormat="1" applyFont="1" applyFill="1" applyAlignment="1" applyProtection="1">
      <alignment horizontal="center"/>
      <protection hidden="1"/>
    </xf>
    <xf numFmtId="0" fontId="9" fillId="2" borderId="0" xfId="3" applyFont="1" applyFill="1" applyBorder="1" applyAlignment="1" applyProtection="1">
      <alignment horizontal="center" vertical="center" wrapText="1"/>
      <protection hidden="1"/>
    </xf>
    <xf numFmtId="0" fontId="33" fillId="2" borderId="0" xfId="0" applyFont="1" applyFill="1" applyProtection="1">
      <protection hidden="1"/>
    </xf>
    <xf numFmtId="164" fontId="9" fillId="5" borderId="79" xfId="0" applyNumberFormat="1" applyFont="1" applyFill="1" applyBorder="1" applyAlignment="1" applyProtection="1">
      <alignment horizontal="center"/>
      <protection hidden="1"/>
    </xf>
    <xf numFmtId="0" fontId="9" fillId="5" borderId="90" xfId="0" applyFont="1" applyFill="1" applyBorder="1" applyAlignment="1" applyProtection="1">
      <alignment horizontal="center"/>
      <protection hidden="1"/>
    </xf>
    <xf numFmtId="0" fontId="6" fillId="2" borderId="0" xfId="3" applyFont="1" applyFill="1" applyBorder="1" applyAlignment="1">
      <alignment horizontal="center"/>
    </xf>
    <xf numFmtId="0" fontId="39" fillId="8" borderId="72" xfId="0" applyFont="1" applyFill="1" applyBorder="1" applyAlignment="1" applyProtection="1">
      <alignment horizontal="center"/>
      <protection hidden="1"/>
    </xf>
    <xf numFmtId="0" fontId="39" fillId="8" borderId="81" xfId="0" applyFont="1" applyFill="1" applyBorder="1" applyAlignment="1" applyProtection="1">
      <alignment horizontal="center"/>
      <protection hidden="1"/>
    </xf>
    <xf numFmtId="0" fontId="42" fillId="2" borderId="0" xfId="0" applyFont="1" applyFill="1" applyAlignment="1">
      <alignment horizontal="center"/>
    </xf>
    <xf numFmtId="164" fontId="33" fillId="7" borderId="72" xfId="0" applyNumberFormat="1" applyFont="1" applyFill="1" applyBorder="1" applyProtection="1">
      <protection hidden="1"/>
    </xf>
    <xf numFmtId="7" fontId="2" fillId="2" borderId="2" xfId="1" applyNumberFormat="1" applyFont="1" applyFill="1" applyBorder="1" applyAlignment="1">
      <alignment horizontal="center"/>
    </xf>
    <xf numFmtId="7" fontId="2" fillId="2" borderId="4" xfId="1" applyNumberFormat="1" applyFont="1" applyFill="1" applyBorder="1" applyAlignment="1">
      <alignment horizontal="center"/>
    </xf>
    <xf numFmtId="7" fontId="2" fillId="2" borderId="3" xfId="0" applyNumberFormat="1" applyFont="1" applyFill="1" applyBorder="1"/>
    <xf numFmtId="7" fontId="2" fillId="2" borderId="3" xfId="1" applyNumberFormat="1" applyFont="1" applyFill="1" applyBorder="1"/>
    <xf numFmtId="7" fontId="2" fillId="2" borderId="18" xfId="1" applyNumberFormat="1" applyFont="1" applyFill="1" applyBorder="1"/>
    <xf numFmtId="7" fontId="2" fillId="2" borderId="3" xfId="0" applyNumberFormat="1" applyFont="1" applyFill="1" applyBorder="1" applyAlignment="1">
      <alignment horizontal="right"/>
    </xf>
    <xf numFmtId="7" fontId="2" fillId="2" borderId="2" xfId="0" applyNumberFormat="1" applyFont="1" applyFill="1" applyBorder="1"/>
    <xf numFmtId="7" fontId="2" fillId="2" borderId="2" xfId="1" applyNumberFormat="1" applyFont="1" applyFill="1" applyBorder="1"/>
    <xf numFmtId="164" fontId="2" fillId="2" borderId="6" xfId="1" applyNumberFormat="1" applyFont="1" applyFill="1" applyBorder="1" applyAlignment="1">
      <alignment horizontal="center"/>
    </xf>
    <xf numFmtId="164" fontId="2" fillId="2" borderId="6" xfId="0" applyNumberFormat="1" applyFont="1" applyFill="1" applyBorder="1" applyAlignment="1">
      <alignment horizontal="center"/>
    </xf>
    <xf numFmtId="7" fontId="2" fillId="2" borderId="6" xfId="0" applyNumberFormat="1" applyFont="1" applyFill="1" applyBorder="1"/>
    <xf numFmtId="7" fontId="2" fillId="2" borderId="6" xfId="1" applyNumberFormat="1" applyFont="1" applyFill="1" applyBorder="1"/>
    <xf numFmtId="7" fontId="2" fillId="2" borderId="6" xfId="0" applyNumberFormat="1" applyFont="1" applyFill="1" applyBorder="1" applyAlignment="1">
      <alignment horizontal="right"/>
    </xf>
    <xf numFmtId="164" fontId="2" fillId="2" borderId="2" xfId="1" applyNumberFormat="1" applyFont="1" applyFill="1" applyBorder="1" applyAlignment="1">
      <alignment horizontal="center"/>
    </xf>
    <xf numFmtId="7" fontId="40" fillId="3" borderId="6" xfId="0" applyNumberFormat="1" applyFont="1" applyFill="1" applyBorder="1"/>
    <xf numFmtId="7" fontId="40" fillId="3" borderId="2" xfId="1" applyNumberFormat="1" applyFont="1" applyFill="1" applyBorder="1"/>
    <xf numFmtId="7" fontId="40" fillId="3" borderId="3" xfId="1" applyNumberFormat="1" applyFont="1" applyFill="1" applyBorder="1"/>
    <xf numFmtId="3" fontId="2" fillId="2" borderId="19" xfId="0" applyNumberFormat="1" applyFont="1" applyFill="1" applyBorder="1" applyAlignment="1">
      <alignment horizontal="center"/>
    </xf>
    <xf numFmtId="3" fontId="2" fillId="2" borderId="20" xfId="0" applyNumberFormat="1" applyFont="1" applyFill="1" applyBorder="1" applyAlignment="1">
      <alignment horizontal="center"/>
    </xf>
    <xf numFmtId="164" fontId="2" fillId="2" borderId="4" xfId="1" applyNumberFormat="1" applyFont="1" applyFill="1" applyBorder="1" applyAlignment="1">
      <alignment horizontal="center"/>
    </xf>
    <xf numFmtId="0" fontId="5" fillId="2" borderId="0" xfId="0" applyFont="1" applyFill="1" applyAlignment="1">
      <alignment horizontal="center" vertical="center" wrapText="1"/>
    </xf>
    <xf numFmtId="0" fontId="2" fillId="2" borderId="86" xfId="0" applyFont="1" applyFill="1" applyBorder="1" applyAlignment="1">
      <alignment horizontal="center" vertical="center"/>
    </xf>
    <xf numFmtId="0" fontId="5" fillId="2" borderId="0" xfId="0" applyFont="1" applyFill="1" applyAlignment="1">
      <alignment vertical="center"/>
    </xf>
    <xf numFmtId="0" fontId="5" fillId="2" borderId="8" xfId="0" applyFont="1" applyFill="1" applyBorder="1" applyAlignment="1">
      <alignment vertical="center"/>
    </xf>
    <xf numFmtId="0" fontId="5" fillId="2" borderId="89" xfId="0" applyFont="1" applyFill="1" applyBorder="1" applyAlignment="1">
      <alignment vertical="center"/>
    </xf>
    <xf numFmtId="0" fontId="5" fillId="2" borderId="91" xfId="0" applyFont="1" applyFill="1" applyBorder="1" applyAlignment="1">
      <alignment vertical="center"/>
    </xf>
    <xf numFmtId="0" fontId="3" fillId="2" borderId="8" xfId="0" applyFont="1" applyFill="1" applyBorder="1" applyAlignment="1">
      <alignment vertical="top"/>
    </xf>
    <xf numFmtId="7" fontId="2" fillId="2" borderId="2" xfId="0" applyNumberFormat="1" applyFont="1" applyFill="1" applyBorder="1" applyAlignment="1">
      <alignment horizontal="right"/>
    </xf>
    <xf numFmtId="7" fontId="40" fillId="3" borderId="7" xfId="0" applyNumberFormat="1" applyFont="1" applyFill="1" applyBorder="1" applyAlignment="1">
      <alignment horizontal="right"/>
    </xf>
    <xf numFmtId="0" fontId="12" fillId="2" borderId="0" xfId="0" applyFont="1" applyFill="1" applyAlignment="1">
      <alignment vertical="center"/>
    </xf>
    <xf numFmtId="7" fontId="2" fillId="2" borderId="6" xfId="1" applyNumberFormat="1" applyFont="1" applyFill="1" applyBorder="1" applyAlignment="1">
      <alignment horizontal="center"/>
    </xf>
    <xf numFmtId="0" fontId="44" fillId="2" borderId="36" xfId="3" applyFont="1" applyFill="1" applyBorder="1" applyAlignment="1">
      <alignment horizontal="center" vertical="center"/>
    </xf>
    <xf numFmtId="0" fontId="45" fillId="2" borderId="36" xfId="3" applyFont="1" applyFill="1" applyBorder="1" applyAlignment="1">
      <alignment horizontal="center" vertical="center"/>
    </xf>
    <xf numFmtId="0" fontId="44" fillId="2" borderId="60" xfId="3" applyFont="1" applyFill="1" applyBorder="1" applyAlignment="1">
      <alignment horizontal="center" vertical="center"/>
    </xf>
    <xf numFmtId="0" fontId="44" fillId="2" borderId="88" xfId="0" applyFont="1" applyFill="1" applyBorder="1" applyAlignment="1">
      <alignment horizontal="center" vertical="center"/>
    </xf>
    <xf numFmtId="7" fontId="2" fillId="2" borderId="6" xfId="1" applyNumberFormat="1" applyFont="1" applyFill="1" applyBorder="1" applyAlignment="1">
      <alignment horizontal="right"/>
    </xf>
    <xf numFmtId="7" fontId="40" fillId="3" borderId="6" xfId="0" applyNumberFormat="1" applyFont="1" applyFill="1" applyBorder="1" applyAlignment="1">
      <alignment horizontal="right"/>
    </xf>
    <xf numFmtId="7" fontId="2" fillId="2" borderId="2" xfId="1" applyNumberFormat="1" applyFont="1" applyFill="1" applyBorder="1" applyAlignment="1">
      <alignment horizontal="right"/>
    </xf>
    <xf numFmtId="7" fontId="40" fillId="3" borderId="14" xfId="0" applyNumberFormat="1" applyFont="1" applyFill="1" applyBorder="1" applyAlignment="1">
      <alignment horizontal="right"/>
    </xf>
    <xf numFmtId="0" fontId="44" fillId="2" borderId="0" xfId="0" applyFont="1" applyFill="1" applyProtection="1">
      <protection hidden="1"/>
    </xf>
    <xf numFmtId="0" fontId="16" fillId="2" borderId="41" xfId="0" applyFont="1" applyFill="1" applyBorder="1" applyAlignment="1" applyProtection="1">
      <alignment horizontal="center" vertical="center"/>
      <protection hidden="1"/>
    </xf>
    <xf numFmtId="0" fontId="13" fillId="2" borderId="41" xfId="0" applyFont="1" applyFill="1" applyBorder="1" applyAlignment="1" applyProtection="1">
      <alignment horizontal="center"/>
      <protection hidden="1"/>
    </xf>
    <xf numFmtId="0" fontId="2" fillId="2" borderId="60" xfId="0" applyFont="1" applyFill="1" applyBorder="1" applyAlignment="1" applyProtection="1">
      <alignment horizontal="center" vertical="center" wrapText="1"/>
      <protection hidden="1"/>
    </xf>
    <xf numFmtId="167" fontId="2" fillId="2" borderId="6" xfId="0" applyNumberFormat="1" applyFont="1" applyFill="1" applyBorder="1" applyAlignment="1" applyProtection="1">
      <alignment horizontal="center" vertical="center"/>
      <protection hidden="1"/>
    </xf>
    <xf numFmtId="164" fontId="2" fillId="2" borderId="38" xfId="0" applyNumberFormat="1" applyFont="1" applyFill="1" applyBorder="1" applyAlignment="1" applyProtection="1">
      <alignment horizontal="center" vertical="center" wrapText="1"/>
      <protection hidden="1"/>
    </xf>
    <xf numFmtId="0" fontId="2" fillId="2" borderId="13" xfId="0" applyFont="1" applyFill="1" applyBorder="1" applyAlignment="1">
      <alignment horizontal="center"/>
    </xf>
    <xf numFmtId="0" fontId="16" fillId="2" borderId="9" xfId="0" applyFont="1" applyFill="1" applyBorder="1" applyAlignment="1" applyProtection="1">
      <alignment horizontal="center" vertical="center"/>
      <protection hidden="1"/>
    </xf>
    <xf numFmtId="0" fontId="13" fillId="2" borderId="9" xfId="0" applyFont="1" applyFill="1" applyBorder="1" applyAlignment="1" applyProtection="1">
      <alignment horizontal="center"/>
      <protection hidden="1"/>
    </xf>
    <xf numFmtId="0" fontId="9" fillId="2" borderId="60" xfId="0" applyFont="1" applyFill="1" applyBorder="1" applyAlignment="1" applyProtection="1">
      <alignment horizontal="center" vertical="center"/>
      <protection hidden="1"/>
    </xf>
    <xf numFmtId="0" fontId="2" fillId="2" borderId="40" xfId="0" applyFont="1" applyFill="1" applyBorder="1" applyAlignment="1">
      <alignment horizontal="center"/>
    </xf>
    <xf numFmtId="0" fontId="16" fillId="2" borderId="40" xfId="0" applyFont="1" applyFill="1" applyBorder="1" applyAlignment="1" applyProtection="1">
      <alignment horizontal="center" vertical="center"/>
      <protection hidden="1"/>
    </xf>
    <xf numFmtId="0" fontId="13" fillId="2" borderId="40" xfId="0" applyFont="1" applyFill="1" applyBorder="1" applyAlignment="1" applyProtection="1">
      <alignment horizontal="center"/>
      <protection hidden="1"/>
    </xf>
    <xf numFmtId="164" fontId="2" fillId="2" borderId="38" xfId="0" applyNumberFormat="1" applyFont="1" applyFill="1" applyBorder="1" applyAlignment="1" applyProtection="1">
      <alignment horizontal="center" vertical="center"/>
      <protection hidden="1"/>
    </xf>
    <xf numFmtId="0" fontId="44" fillId="2" borderId="36" xfId="0" applyFont="1" applyFill="1" applyBorder="1" applyProtection="1">
      <protection hidden="1"/>
    </xf>
    <xf numFmtId="7" fontId="2" fillId="3" borderId="6" xfId="1" applyNumberFormat="1" applyFont="1" applyFill="1" applyBorder="1" applyAlignment="1" applyProtection="1">
      <alignment horizontal="center"/>
      <protection hidden="1"/>
    </xf>
    <xf numFmtId="1" fontId="2" fillId="2" borderId="10" xfId="0" applyNumberFormat="1" applyFont="1" applyFill="1" applyBorder="1" applyAlignment="1" applyProtection="1">
      <alignment horizontal="center"/>
      <protection hidden="1"/>
    </xf>
    <xf numFmtId="0" fontId="2" fillId="3" borderId="17" xfId="0" applyFont="1" applyFill="1" applyBorder="1" applyAlignment="1" applyProtection="1">
      <alignment horizontal="center" vertical="center" textRotation="60"/>
      <protection hidden="1"/>
    </xf>
    <xf numFmtId="9" fontId="2" fillId="3" borderId="16" xfId="0" applyNumberFormat="1" applyFont="1" applyFill="1" applyBorder="1" applyAlignment="1" applyProtection="1">
      <alignment horizontal="center" vertical="center"/>
      <protection hidden="1"/>
    </xf>
    <xf numFmtId="8" fontId="2" fillId="3" borderId="16" xfId="0" applyNumberFormat="1" applyFont="1" applyFill="1" applyBorder="1" applyAlignment="1" applyProtection="1">
      <alignment horizontal="center" vertical="center"/>
      <protection hidden="1"/>
    </xf>
    <xf numFmtId="8" fontId="38" fillId="3" borderId="16" xfId="0" applyNumberFormat="1" applyFont="1" applyFill="1" applyBorder="1" applyAlignment="1" applyProtection="1">
      <alignment horizontal="center" vertical="center"/>
      <protection hidden="1"/>
    </xf>
    <xf numFmtId="164" fontId="13" fillId="3" borderId="9" xfId="0" applyNumberFormat="1" applyFont="1" applyFill="1" applyBorder="1" applyAlignment="1" applyProtection="1">
      <alignment horizontal="center" vertical="center"/>
      <protection hidden="1"/>
    </xf>
    <xf numFmtId="8" fontId="2" fillId="2" borderId="9" xfId="0" applyNumberFormat="1" applyFont="1" applyFill="1" applyBorder="1" applyAlignment="1" applyProtection="1">
      <alignment horizontal="center" vertical="center" wrapText="1"/>
      <protection hidden="1"/>
    </xf>
    <xf numFmtId="164" fontId="32" fillId="2" borderId="12" xfId="0" applyNumberFormat="1" applyFont="1" applyFill="1" applyBorder="1" applyProtection="1">
      <protection hidden="1"/>
    </xf>
    <xf numFmtId="0" fontId="2" fillId="2" borderId="95" xfId="0" applyFont="1" applyFill="1" applyBorder="1" applyProtection="1">
      <protection hidden="1"/>
    </xf>
    <xf numFmtId="0" fontId="9" fillId="3" borderId="11" xfId="0" applyFont="1" applyFill="1" applyBorder="1" applyAlignment="1" applyProtection="1">
      <alignment horizontal="center" textRotation="60"/>
      <protection hidden="1"/>
    </xf>
    <xf numFmtId="0" fontId="24" fillId="2" borderId="15" xfId="0" applyFont="1" applyFill="1" applyBorder="1" applyAlignment="1" applyProtection="1">
      <alignment vertical="center"/>
      <protection hidden="1"/>
    </xf>
    <xf numFmtId="164" fontId="26" fillId="3" borderId="0" xfId="9" applyNumberFormat="1" applyFont="1" applyFill="1" applyBorder="1" applyProtection="1">
      <protection hidden="1"/>
    </xf>
    <xf numFmtId="164" fontId="26" fillId="3" borderId="27" xfId="9" applyNumberFormat="1" applyFont="1" applyFill="1" applyBorder="1" applyProtection="1">
      <protection hidden="1"/>
    </xf>
    <xf numFmtId="164" fontId="26" fillId="3" borderId="29" xfId="9" applyNumberFormat="1" applyFont="1" applyFill="1" applyBorder="1" applyProtection="1">
      <protection hidden="1"/>
    </xf>
    <xf numFmtId="164" fontId="26" fillId="3" borderId="30" xfId="9" applyNumberFormat="1" applyFont="1" applyFill="1" applyBorder="1" applyAlignment="1" applyProtection="1">
      <alignment horizontal="center" vertical="center" wrapText="1" shrinkToFit="1"/>
      <protection hidden="1"/>
    </xf>
    <xf numFmtId="9" fontId="29" fillId="3" borderId="33" xfId="9" applyNumberFormat="1" applyFont="1" applyFill="1" applyBorder="1" applyAlignment="1" applyProtection="1">
      <alignment horizontal="center" vertical="center" wrapText="1" shrinkToFit="1"/>
      <protection hidden="1"/>
    </xf>
    <xf numFmtId="4" fontId="27" fillId="3" borderId="31" xfId="9" applyNumberFormat="1" applyFont="1" applyFill="1" applyBorder="1" applyAlignment="1" applyProtection="1">
      <alignment horizontal="center"/>
      <protection hidden="1"/>
    </xf>
    <xf numFmtId="164" fontId="26" fillId="3" borderId="67" xfId="9" applyNumberFormat="1" applyFont="1" applyFill="1" applyBorder="1" applyProtection="1">
      <protection hidden="1"/>
    </xf>
    <xf numFmtId="164" fontId="26" fillId="3" borderId="68" xfId="9" applyNumberFormat="1" applyFont="1" applyFill="1" applyBorder="1" applyProtection="1">
      <protection hidden="1"/>
    </xf>
    <xf numFmtId="164" fontId="26" fillId="3" borderId="69" xfId="9" applyNumberFormat="1" applyFont="1" applyFill="1" applyBorder="1" applyProtection="1">
      <protection hidden="1"/>
    </xf>
    <xf numFmtId="164" fontId="26" fillId="3" borderId="30" xfId="9" applyNumberFormat="1" applyFont="1" applyFill="1" applyBorder="1" applyAlignment="1" applyProtection="1">
      <alignment horizontal="center" vertical="center"/>
      <protection hidden="1"/>
    </xf>
    <xf numFmtId="9" fontId="28" fillId="3" borderId="33" xfId="9" applyNumberFormat="1" applyFont="1" applyFill="1" applyBorder="1" applyAlignment="1" applyProtection="1">
      <alignment horizontal="center" vertical="center"/>
      <protection hidden="1"/>
    </xf>
    <xf numFmtId="10" fontId="29" fillId="3" borderId="33" xfId="9" applyNumberFormat="1" applyFont="1" applyFill="1" applyBorder="1" applyAlignment="1" applyProtection="1">
      <alignment horizontal="center" vertical="center" wrapText="1"/>
      <protection hidden="1"/>
    </xf>
    <xf numFmtId="0" fontId="25" fillId="2" borderId="0" xfId="0" applyFont="1" applyFill="1" applyProtection="1">
      <protection hidden="1"/>
    </xf>
    <xf numFmtId="164" fontId="26" fillId="3" borderId="67" xfId="9" applyNumberFormat="1" applyFont="1" applyFill="1" applyBorder="1" applyAlignment="1" applyProtection="1">
      <alignment vertical="center"/>
      <protection hidden="1"/>
    </xf>
    <xf numFmtId="0" fontId="24" fillId="2" borderId="15" xfId="0" applyFont="1" applyFill="1" applyBorder="1" applyAlignment="1" applyProtection="1">
      <alignment horizontal="left" vertical="center"/>
      <protection hidden="1"/>
    </xf>
    <xf numFmtId="0" fontId="46" fillId="2" borderId="15" xfId="0" applyFont="1" applyFill="1" applyBorder="1" applyProtection="1">
      <protection hidden="1"/>
    </xf>
    <xf numFmtId="0" fontId="24" fillId="2" borderId="15" xfId="0" applyFont="1" applyFill="1" applyBorder="1" applyProtection="1">
      <protection hidden="1"/>
    </xf>
    <xf numFmtId="3" fontId="35" fillId="10" borderId="111" xfId="0" applyNumberFormat="1" applyFont="1" applyFill="1" applyBorder="1" applyAlignment="1" applyProtection="1">
      <alignment horizontal="center" vertical="center"/>
      <protection hidden="1"/>
    </xf>
    <xf numFmtId="3" fontId="35" fillId="2" borderId="93" xfId="0" applyNumberFormat="1" applyFont="1" applyFill="1" applyBorder="1" applyAlignment="1" applyProtection="1">
      <alignment horizontal="center" vertical="center"/>
      <protection hidden="1"/>
    </xf>
    <xf numFmtId="3" fontId="35" fillId="2" borderId="114" xfId="0" applyNumberFormat="1" applyFont="1" applyFill="1" applyBorder="1" applyAlignment="1" applyProtection="1">
      <alignment horizontal="center" vertical="center"/>
      <protection hidden="1"/>
    </xf>
    <xf numFmtId="2" fontId="35" fillId="2" borderId="114" xfId="0" applyNumberFormat="1" applyFont="1" applyFill="1" applyBorder="1" applyAlignment="1" applyProtection="1">
      <alignment horizontal="center" vertical="center"/>
      <protection hidden="1"/>
    </xf>
    <xf numFmtId="3" fontId="35" fillId="2" borderId="61" xfId="0" applyNumberFormat="1" applyFont="1" applyFill="1" applyBorder="1" applyAlignment="1" applyProtection="1">
      <alignment horizontal="center" vertical="center"/>
      <protection hidden="1"/>
    </xf>
    <xf numFmtId="2" fontId="35" fillId="2" borderId="61" xfId="0" applyNumberFormat="1" applyFont="1" applyFill="1" applyBorder="1" applyAlignment="1" applyProtection="1">
      <alignment horizontal="center" vertical="center"/>
      <protection hidden="1"/>
    </xf>
    <xf numFmtId="2" fontId="35" fillId="2" borderId="0" xfId="0" applyNumberFormat="1" applyFont="1" applyFill="1" applyAlignment="1" applyProtection="1">
      <alignment horizontal="center" vertical="center"/>
      <protection hidden="1"/>
    </xf>
    <xf numFmtId="3" fontId="51" fillId="10" borderId="117" xfId="0" applyNumberFormat="1" applyFont="1" applyFill="1" applyBorder="1" applyAlignment="1" applyProtection="1">
      <alignment horizontal="center" vertical="center"/>
      <protection hidden="1"/>
    </xf>
    <xf numFmtId="3" fontId="35" fillId="10" borderId="117" xfId="0" applyNumberFormat="1" applyFont="1" applyFill="1" applyBorder="1" applyAlignment="1" applyProtection="1">
      <alignment horizontal="center" vertical="center"/>
      <protection hidden="1"/>
    </xf>
    <xf numFmtId="4" fontId="35" fillId="2" borderId="85" xfId="0" applyNumberFormat="1" applyFont="1" applyFill="1" applyBorder="1" applyAlignment="1" applyProtection="1">
      <alignment horizontal="center" vertical="center"/>
      <protection hidden="1"/>
    </xf>
    <xf numFmtId="2" fontId="35" fillId="2" borderId="85" xfId="0" applyNumberFormat="1" applyFont="1" applyFill="1" applyBorder="1" applyAlignment="1" applyProtection="1">
      <alignment horizontal="center" vertical="center"/>
      <protection hidden="1"/>
    </xf>
    <xf numFmtId="3" fontId="35" fillId="2" borderId="0" xfId="0" applyNumberFormat="1" applyFont="1" applyFill="1" applyAlignment="1" applyProtection="1">
      <alignment horizontal="center" vertical="center"/>
      <protection hidden="1"/>
    </xf>
    <xf numFmtId="3" fontId="35" fillId="10" borderId="120" xfId="0" applyNumberFormat="1" applyFont="1" applyFill="1" applyBorder="1" applyAlignment="1" applyProtection="1">
      <alignment horizontal="center" vertical="center"/>
      <protection hidden="1"/>
    </xf>
    <xf numFmtId="1" fontId="35" fillId="10" borderId="120" xfId="0" applyNumberFormat="1" applyFont="1" applyFill="1" applyBorder="1" applyAlignment="1" applyProtection="1">
      <alignment horizontal="center" vertical="center"/>
      <protection hidden="1"/>
    </xf>
    <xf numFmtId="3" fontId="51" fillId="10" borderId="121" xfId="0" applyNumberFormat="1" applyFont="1" applyFill="1" applyBorder="1" applyAlignment="1" applyProtection="1">
      <alignment horizontal="center" vertical="center"/>
      <protection hidden="1"/>
    </xf>
    <xf numFmtId="0" fontId="0" fillId="2" borderId="0" xfId="0" applyFill="1" applyAlignment="1">
      <alignment vertical="center"/>
    </xf>
    <xf numFmtId="0" fontId="0" fillId="2" borderId="59" xfId="0" applyFill="1" applyBorder="1" applyProtection="1">
      <protection hidden="1"/>
    </xf>
    <xf numFmtId="0" fontId="44" fillId="2" borderId="0" xfId="3" applyFont="1" applyFill="1" applyAlignment="1" applyProtection="1">
      <alignment horizontal="center"/>
      <protection hidden="1"/>
    </xf>
    <xf numFmtId="0" fontId="32" fillId="2" borderId="0" xfId="0" applyFont="1" applyFill="1" applyProtection="1">
      <protection hidden="1"/>
    </xf>
    <xf numFmtId="0" fontId="2" fillId="2" borderId="9" xfId="0" applyFont="1" applyFill="1" applyBorder="1" applyAlignment="1" applyProtection="1">
      <alignment horizontal="center"/>
      <protection hidden="1"/>
    </xf>
    <xf numFmtId="0" fontId="0" fillId="2" borderId="0" xfId="0" applyFill="1" applyAlignment="1" applyProtection="1">
      <alignment horizontal="center"/>
      <protection hidden="1"/>
    </xf>
    <xf numFmtId="0" fontId="2" fillId="2" borderId="1" xfId="0" applyFont="1" applyFill="1" applyBorder="1" applyAlignment="1" applyProtection="1">
      <alignment horizontal="center"/>
      <protection hidden="1"/>
    </xf>
    <xf numFmtId="0" fontId="2" fillId="2" borderId="6" xfId="0" applyFont="1" applyFill="1" applyBorder="1" applyAlignment="1" applyProtection="1">
      <alignment horizontal="center"/>
      <protection hidden="1"/>
    </xf>
    <xf numFmtId="0" fontId="2" fillId="3" borderId="6" xfId="0" applyFont="1" applyFill="1" applyBorder="1" applyAlignment="1" applyProtection="1">
      <alignment horizontal="center"/>
      <protection hidden="1"/>
    </xf>
    <xf numFmtId="7" fontId="2" fillId="2" borderId="6" xfId="0" applyNumberFormat="1" applyFont="1" applyFill="1" applyBorder="1" applyAlignment="1" applyProtection="1">
      <alignment horizontal="center"/>
      <protection hidden="1"/>
    </xf>
    <xf numFmtId="7" fontId="2" fillId="2" borderId="6" xfId="1" applyNumberFormat="1" applyFont="1" applyFill="1" applyBorder="1" applyAlignment="1" applyProtection="1">
      <alignment horizontal="center"/>
      <protection hidden="1"/>
    </xf>
    <xf numFmtId="164" fontId="2" fillId="2" borderId="6" xfId="1" applyNumberFormat="1" applyFont="1" applyFill="1" applyBorder="1" applyAlignment="1" applyProtection="1">
      <alignment horizontal="center"/>
      <protection hidden="1"/>
    </xf>
    <xf numFmtId="7" fontId="2" fillId="3" borderId="6" xfId="0" applyNumberFormat="1" applyFont="1" applyFill="1" applyBorder="1" applyAlignment="1" applyProtection="1">
      <alignment horizontal="center"/>
      <protection hidden="1"/>
    </xf>
    <xf numFmtId="7" fontId="2" fillId="2" borderId="14" xfId="0" applyNumberFormat="1" applyFont="1" applyFill="1" applyBorder="1" applyAlignment="1" applyProtection="1">
      <alignment horizontal="center"/>
      <protection hidden="1"/>
    </xf>
    <xf numFmtId="0" fontId="13" fillId="2" borderId="9" xfId="3" applyFont="1" applyFill="1" applyBorder="1" applyAlignment="1" applyProtection="1">
      <alignment horizontal="center"/>
      <protection hidden="1"/>
    </xf>
    <xf numFmtId="0" fontId="13" fillId="2" borderId="86" xfId="3" applyFont="1" applyFill="1" applyBorder="1" applyAlignment="1" applyProtection="1">
      <alignment horizontal="center"/>
      <protection hidden="1"/>
    </xf>
    <xf numFmtId="0" fontId="9" fillId="2" borderId="86" xfId="0" applyFont="1" applyFill="1" applyBorder="1" applyAlignment="1" applyProtection="1">
      <alignment horizontal="center"/>
      <protection hidden="1"/>
    </xf>
    <xf numFmtId="0" fontId="13" fillId="2" borderId="92" xfId="3" applyFont="1" applyFill="1" applyBorder="1" applyAlignment="1" applyProtection="1">
      <alignment horizontal="center"/>
      <protection hidden="1"/>
    </xf>
    <xf numFmtId="0" fontId="13" fillId="2" borderId="0" xfId="3" applyFont="1" applyFill="1" applyAlignment="1" applyProtection="1">
      <alignment horizontal="center"/>
      <protection hidden="1"/>
    </xf>
    <xf numFmtId="44" fontId="2" fillId="2" borderId="6"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vertical="center"/>
      <protection hidden="1"/>
    </xf>
    <xf numFmtId="0" fontId="12" fillId="2" borderId="0" xfId="0" applyFont="1" applyFill="1" applyProtection="1">
      <protection hidden="1"/>
    </xf>
    <xf numFmtId="0" fontId="12" fillId="2" borderId="45" xfId="0" applyFont="1" applyFill="1" applyBorder="1" applyProtection="1">
      <protection hidden="1"/>
    </xf>
    <xf numFmtId="0" fontId="12" fillId="2" borderId="15" xfId="0" applyFont="1" applyFill="1" applyBorder="1" applyProtection="1">
      <protection hidden="1"/>
    </xf>
    <xf numFmtId="0" fontId="12" fillId="2" borderId="46" xfId="0" applyFont="1" applyFill="1" applyBorder="1" applyProtection="1">
      <protection hidden="1"/>
    </xf>
    <xf numFmtId="0" fontId="0" fillId="2" borderId="12" xfId="0" applyFill="1" applyBorder="1" applyProtection="1">
      <protection hidden="1"/>
    </xf>
    <xf numFmtId="0" fontId="0" fillId="2" borderId="47" xfId="0" applyFill="1" applyBorder="1" applyProtection="1">
      <protection hidden="1"/>
    </xf>
    <xf numFmtId="0" fontId="0" fillId="2" borderId="51" xfId="0" applyFill="1" applyBorder="1" applyProtection="1">
      <protection hidden="1"/>
    </xf>
    <xf numFmtId="0" fontId="0" fillId="2" borderId="128" xfId="0" applyFill="1" applyBorder="1" applyProtection="1">
      <protection hidden="1"/>
    </xf>
    <xf numFmtId="0" fontId="0" fillId="2" borderId="48" xfId="0" applyFill="1" applyBorder="1" applyProtection="1">
      <protection hidden="1"/>
    </xf>
    <xf numFmtId="0" fontId="0" fillId="2" borderId="54" xfId="0" applyFill="1" applyBorder="1" applyProtection="1">
      <protection hidden="1"/>
    </xf>
    <xf numFmtId="14" fontId="2" fillId="2" borderId="59" xfId="0" applyNumberFormat="1" applyFont="1" applyFill="1" applyBorder="1" applyProtection="1">
      <protection hidden="1"/>
    </xf>
    <xf numFmtId="0" fontId="2" fillId="2" borderId="54" xfId="0" applyFont="1" applyFill="1" applyBorder="1" applyProtection="1">
      <protection hidden="1"/>
    </xf>
    <xf numFmtId="14" fontId="2" fillId="2" borderId="6" xfId="0" applyNumberFormat="1" applyFont="1" applyFill="1" applyBorder="1" applyAlignment="1" applyProtection="1">
      <alignment horizontal="center"/>
      <protection hidden="1"/>
    </xf>
    <xf numFmtId="14" fontId="2" fillId="2" borderId="9" xfId="0" applyNumberFormat="1" applyFont="1" applyFill="1" applyBorder="1" applyAlignment="1" applyProtection="1">
      <alignment horizontal="center"/>
      <protection hidden="1"/>
    </xf>
    <xf numFmtId="7" fontId="2" fillId="2" borderId="9" xfId="1" applyNumberFormat="1" applyFont="1" applyFill="1" applyBorder="1" applyProtection="1">
      <protection hidden="1"/>
    </xf>
    <xf numFmtId="7" fontId="2" fillId="2" borderId="9" xfId="0" applyNumberFormat="1" applyFont="1" applyFill="1" applyBorder="1" applyProtection="1">
      <protection hidden="1"/>
    </xf>
    <xf numFmtId="1" fontId="32" fillId="2" borderId="59" xfId="0" applyNumberFormat="1" applyFont="1" applyFill="1" applyBorder="1" applyAlignment="1" applyProtection="1">
      <alignment horizontal="center"/>
      <protection hidden="1"/>
    </xf>
    <xf numFmtId="14" fontId="2" fillId="2" borderId="6" xfId="0" applyNumberFormat="1" applyFont="1" applyFill="1" applyBorder="1" applyProtection="1">
      <protection hidden="1"/>
    </xf>
    <xf numFmtId="7" fontId="2" fillId="2" borderId="9" xfId="1" applyNumberFormat="1" applyFont="1" applyFill="1" applyBorder="1" applyAlignment="1" applyProtection="1">
      <alignment horizontal="center"/>
      <protection hidden="1"/>
    </xf>
    <xf numFmtId="1" fontId="32" fillId="2" borderId="54" xfId="0" applyNumberFormat="1" applyFont="1" applyFill="1" applyBorder="1" applyAlignment="1" applyProtection="1">
      <alignment horizontal="center"/>
      <protection hidden="1"/>
    </xf>
    <xf numFmtId="14" fontId="2" fillId="2" borderId="13" xfId="0" applyNumberFormat="1" applyFont="1" applyFill="1" applyBorder="1" applyAlignment="1" applyProtection="1">
      <alignment horizontal="center"/>
      <protection hidden="1"/>
    </xf>
    <xf numFmtId="0" fontId="2" fillId="2" borderId="13" xfId="0" applyFont="1" applyFill="1" applyBorder="1" applyAlignment="1" applyProtection="1">
      <alignment horizontal="center"/>
      <protection hidden="1"/>
    </xf>
    <xf numFmtId="7" fontId="2" fillId="2" borderId="13" xfId="1" applyNumberFormat="1" applyFont="1" applyFill="1" applyBorder="1" applyProtection="1">
      <protection hidden="1"/>
    </xf>
    <xf numFmtId="14" fontId="2" fillId="2" borderId="1" xfId="0" applyNumberFormat="1" applyFont="1" applyFill="1" applyBorder="1" applyAlignment="1" applyProtection="1">
      <alignment horizontal="center"/>
      <protection hidden="1"/>
    </xf>
    <xf numFmtId="7" fontId="2" fillId="2" borderId="13" xfId="0" applyNumberFormat="1" applyFont="1" applyFill="1" applyBorder="1" applyProtection="1">
      <protection hidden="1"/>
    </xf>
    <xf numFmtId="7" fontId="9" fillId="2" borderId="58" xfId="1" applyNumberFormat="1" applyFont="1" applyFill="1" applyBorder="1" applyAlignment="1" applyProtection="1">
      <alignment horizontal="right"/>
      <protection hidden="1"/>
    </xf>
    <xf numFmtId="7" fontId="9" fillId="2" borderId="43" xfId="0" applyNumberFormat="1" applyFont="1" applyFill="1" applyBorder="1" applyProtection="1">
      <protection hidden="1"/>
    </xf>
    <xf numFmtId="1" fontId="32" fillId="2" borderId="125" xfId="0" applyNumberFormat="1" applyFont="1" applyFill="1" applyBorder="1" applyAlignment="1" applyProtection="1">
      <alignment horizontal="center"/>
      <protection hidden="1"/>
    </xf>
    <xf numFmtId="7" fontId="9" fillId="2" borderId="58" xfId="0" applyNumberFormat="1" applyFont="1" applyFill="1" applyBorder="1" applyProtection="1">
      <protection hidden="1"/>
    </xf>
    <xf numFmtId="1" fontId="32" fillId="2" borderId="129" xfId="0" applyNumberFormat="1" applyFont="1" applyFill="1" applyBorder="1" applyAlignment="1" applyProtection="1">
      <alignment horizontal="center"/>
      <protection hidden="1"/>
    </xf>
    <xf numFmtId="14" fontId="2" fillId="2" borderId="14" xfId="0" applyNumberFormat="1" applyFont="1" applyFill="1" applyBorder="1" applyAlignment="1" applyProtection="1">
      <alignment horizontal="center"/>
      <protection hidden="1"/>
    </xf>
    <xf numFmtId="14" fontId="2" fillId="2" borderId="56" xfId="0" applyNumberFormat="1" applyFont="1" applyFill="1" applyBorder="1" applyAlignment="1" applyProtection="1">
      <alignment horizontal="center"/>
      <protection hidden="1"/>
    </xf>
    <xf numFmtId="0" fontId="2" fillId="2" borderId="56" xfId="0" applyFont="1" applyFill="1" applyBorder="1" applyAlignment="1" applyProtection="1">
      <alignment horizontal="center"/>
      <protection hidden="1"/>
    </xf>
    <xf numFmtId="7" fontId="2" fillId="2" borderId="56" xfId="1" applyNumberFormat="1" applyFont="1" applyFill="1" applyBorder="1" applyProtection="1">
      <protection hidden="1"/>
    </xf>
    <xf numFmtId="7" fontId="2" fillId="2" borderId="56" xfId="0" applyNumberFormat="1" applyFont="1" applyFill="1" applyBorder="1" applyProtection="1">
      <protection hidden="1"/>
    </xf>
    <xf numFmtId="14" fontId="2" fillId="2" borderId="14" xfId="0" applyNumberFormat="1" applyFont="1" applyFill="1" applyBorder="1" applyProtection="1">
      <protection hidden="1"/>
    </xf>
    <xf numFmtId="0" fontId="2" fillId="2" borderId="53" xfId="0" applyFont="1" applyFill="1" applyBorder="1" applyAlignment="1" applyProtection="1">
      <alignment horizontal="center"/>
      <protection hidden="1"/>
    </xf>
    <xf numFmtId="0" fontId="2" fillId="2" borderId="59" xfId="0" applyFont="1" applyFill="1" applyBorder="1" applyAlignment="1" applyProtection="1">
      <alignment horizontal="center"/>
      <protection hidden="1"/>
    </xf>
    <xf numFmtId="14" fontId="2" fillId="2" borderId="38" xfId="0" applyNumberFormat="1" applyFont="1" applyFill="1" applyBorder="1" applyAlignment="1" applyProtection="1">
      <alignment horizontal="center"/>
      <protection hidden="1"/>
    </xf>
    <xf numFmtId="7" fontId="2" fillId="2" borderId="59" xfId="1" applyNumberFormat="1" applyFont="1" applyFill="1" applyBorder="1" applyAlignment="1" applyProtection="1">
      <alignment horizontal="center"/>
      <protection hidden="1"/>
    </xf>
    <xf numFmtId="14" fontId="2" fillId="2" borderId="59" xfId="0" applyNumberFormat="1" applyFont="1" applyFill="1" applyBorder="1" applyAlignment="1" applyProtection="1">
      <alignment horizontal="center"/>
      <protection hidden="1"/>
    </xf>
    <xf numFmtId="7" fontId="2" fillId="2" borderId="59" xfId="1" applyNumberFormat="1" applyFont="1" applyFill="1" applyBorder="1" applyProtection="1">
      <protection hidden="1"/>
    </xf>
    <xf numFmtId="14" fontId="2" fillId="2" borderId="58" xfId="0" applyNumberFormat="1" applyFont="1" applyFill="1" applyBorder="1" applyProtection="1">
      <protection hidden="1"/>
    </xf>
    <xf numFmtId="14" fontId="2" fillId="2" borderId="57" xfId="0" applyNumberFormat="1" applyFont="1" applyFill="1" applyBorder="1" applyProtection="1">
      <protection hidden="1"/>
    </xf>
    <xf numFmtId="14" fontId="9" fillId="2" borderId="43" xfId="0" applyNumberFormat="1" applyFont="1" applyFill="1" applyBorder="1" applyAlignment="1" applyProtection="1">
      <alignment horizontal="right"/>
      <protection hidden="1"/>
    </xf>
    <xf numFmtId="7" fontId="9" fillId="2" borderId="59" xfId="1" applyNumberFormat="1" applyFont="1" applyFill="1" applyBorder="1" applyAlignment="1" applyProtection="1">
      <alignment horizontal="right"/>
      <protection hidden="1"/>
    </xf>
    <xf numFmtId="7" fontId="9" fillId="2" borderId="125" xfId="0" applyNumberFormat="1" applyFont="1" applyFill="1" applyBorder="1" applyProtection="1">
      <protection hidden="1"/>
    </xf>
    <xf numFmtId="7" fontId="2" fillId="2" borderId="14" xfId="0" applyNumberFormat="1" applyFont="1" applyFill="1" applyBorder="1" applyProtection="1">
      <protection hidden="1"/>
    </xf>
    <xf numFmtId="14" fontId="2" fillId="2" borderId="51" xfId="0" applyNumberFormat="1" applyFont="1" applyFill="1" applyBorder="1" applyProtection="1">
      <protection hidden="1"/>
    </xf>
    <xf numFmtId="0" fontId="2" fillId="2" borderId="51" xfId="0" applyFont="1" applyFill="1" applyBorder="1" applyAlignment="1" applyProtection="1">
      <alignment horizontal="center"/>
      <protection hidden="1"/>
    </xf>
    <xf numFmtId="0" fontId="2" fillId="2" borderId="127" xfId="0" applyFont="1" applyFill="1" applyBorder="1" applyAlignment="1" applyProtection="1">
      <alignment horizontal="center"/>
      <protection hidden="1"/>
    </xf>
    <xf numFmtId="14" fontId="2" fillId="2" borderId="127" xfId="0" applyNumberFormat="1" applyFont="1" applyFill="1" applyBorder="1" applyAlignment="1" applyProtection="1">
      <alignment horizontal="center"/>
      <protection hidden="1"/>
    </xf>
    <xf numFmtId="7" fontId="2" fillId="2" borderId="38" xfId="1" applyNumberFormat="1" applyFont="1" applyFill="1" applyBorder="1" applyAlignment="1" applyProtection="1">
      <alignment horizontal="center"/>
      <protection hidden="1"/>
    </xf>
    <xf numFmtId="7" fontId="2" fillId="2" borderId="38" xfId="0" applyNumberFormat="1" applyFont="1" applyFill="1" applyBorder="1" applyProtection="1">
      <protection hidden="1"/>
    </xf>
    <xf numFmtId="7" fontId="2" fillId="2" borderId="6" xfId="0" applyNumberFormat="1" applyFont="1" applyFill="1" applyBorder="1" applyProtection="1">
      <protection hidden="1"/>
    </xf>
    <xf numFmtId="0" fontId="0" fillId="2" borderId="57" xfId="0" applyFill="1" applyBorder="1" applyProtection="1">
      <protection hidden="1"/>
    </xf>
    <xf numFmtId="0" fontId="0" fillId="2" borderId="55" xfId="0" applyFill="1" applyBorder="1" applyProtection="1">
      <protection hidden="1"/>
    </xf>
    <xf numFmtId="0" fontId="9" fillId="2" borderId="43" xfId="0" applyFont="1" applyFill="1" applyBorder="1" applyAlignment="1" applyProtection="1">
      <alignment horizontal="right"/>
      <protection hidden="1"/>
    </xf>
    <xf numFmtId="0" fontId="32" fillId="2" borderId="59" xfId="0" applyFont="1" applyFill="1" applyBorder="1" applyProtection="1">
      <protection hidden="1"/>
    </xf>
    <xf numFmtId="14" fontId="2" fillId="2" borderId="43" xfId="0" applyNumberFormat="1" applyFont="1" applyFill="1" applyBorder="1" applyProtection="1">
      <protection hidden="1"/>
    </xf>
    <xf numFmtId="0" fontId="2" fillId="2" borderId="43" xfId="0" applyFont="1" applyFill="1" applyBorder="1" applyAlignment="1" applyProtection="1">
      <alignment horizontal="center"/>
      <protection hidden="1"/>
    </xf>
    <xf numFmtId="0" fontId="2" fillId="2" borderId="58" xfId="0" applyFont="1" applyFill="1" applyBorder="1" applyAlignment="1" applyProtection="1">
      <alignment horizontal="center"/>
      <protection hidden="1"/>
    </xf>
    <xf numFmtId="14" fontId="2" fillId="2" borderId="43" xfId="0" applyNumberFormat="1" applyFont="1" applyFill="1" applyBorder="1" applyAlignment="1" applyProtection="1">
      <alignment horizontal="center"/>
      <protection hidden="1"/>
    </xf>
    <xf numFmtId="44" fontId="9" fillId="2" borderId="125" xfId="1" applyFont="1" applyFill="1" applyBorder="1" applyAlignment="1" applyProtection="1">
      <alignment horizontal="right"/>
      <protection hidden="1"/>
    </xf>
    <xf numFmtId="7" fontId="9" fillId="2" borderId="123" xfId="0" applyNumberFormat="1" applyFont="1" applyFill="1" applyBorder="1" applyProtection="1">
      <protection hidden="1"/>
    </xf>
    <xf numFmtId="0" fontId="32" fillId="2" borderId="127" xfId="0" applyFont="1" applyFill="1" applyBorder="1" applyProtection="1">
      <protection hidden="1"/>
    </xf>
    <xf numFmtId="0" fontId="2" fillId="2" borderId="14" xfId="0" applyFont="1" applyFill="1" applyBorder="1" applyAlignment="1" applyProtection="1">
      <alignment horizontal="center"/>
      <protection hidden="1"/>
    </xf>
    <xf numFmtId="7" fontId="2" fillId="2" borderId="56" xfId="1" applyNumberFormat="1" applyFont="1" applyFill="1" applyBorder="1" applyAlignment="1" applyProtection="1">
      <alignment horizontal="center"/>
      <protection hidden="1"/>
    </xf>
    <xf numFmtId="7" fontId="9" fillId="2" borderId="125" xfId="1" applyNumberFormat="1" applyFont="1" applyFill="1" applyBorder="1" applyAlignment="1" applyProtection="1">
      <alignment horizontal="right"/>
      <protection hidden="1"/>
    </xf>
    <xf numFmtId="7" fontId="9" fillId="2" borderId="43" xfId="1" applyNumberFormat="1" applyFont="1" applyFill="1" applyBorder="1" applyAlignment="1" applyProtection="1">
      <alignment horizontal="right"/>
      <protection hidden="1"/>
    </xf>
    <xf numFmtId="14" fontId="2" fillId="2" borderId="123" xfId="0" applyNumberFormat="1" applyFont="1" applyFill="1" applyBorder="1" applyProtection="1">
      <protection hidden="1"/>
    </xf>
    <xf numFmtId="0" fontId="2" fillId="2" borderId="125" xfId="0" applyFont="1" applyFill="1" applyBorder="1" applyAlignment="1" applyProtection="1">
      <alignment horizontal="center"/>
      <protection hidden="1"/>
    </xf>
    <xf numFmtId="14" fontId="2" fillId="2" borderId="125" xfId="0" applyNumberFormat="1" applyFont="1" applyFill="1" applyBorder="1" applyAlignment="1" applyProtection="1">
      <alignment horizontal="center"/>
      <protection hidden="1"/>
    </xf>
    <xf numFmtId="14" fontId="2" fillId="2" borderId="53" xfId="0" applyNumberFormat="1" applyFont="1" applyFill="1" applyBorder="1" applyProtection="1">
      <protection hidden="1"/>
    </xf>
    <xf numFmtId="0" fontId="2" fillId="2" borderId="124" xfId="0" applyFont="1" applyFill="1" applyBorder="1" applyAlignment="1" applyProtection="1">
      <alignment horizontal="center"/>
      <protection hidden="1"/>
    </xf>
    <xf numFmtId="7" fontId="2" fillId="2" borderId="59" xfId="0" applyNumberFormat="1" applyFont="1" applyFill="1" applyBorder="1" applyProtection="1">
      <protection hidden="1"/>
    </xf>
    <xf numFmtId="0" fontId="9" fillId="2" borderId="57" xfId="0" applyFont="1" applyFill="1" applyBorder="1" applyAlignment="1" applyProtection="1">
      <alignment horizontal="center"/>
      <protection hidden="1"/>
    </xf>
    <xf numFmtId="0" fontId="0" fillId="2" borderId="129" xfId="0" applyFill="1" applyBorder="1" applyProtection="1">
      <protection hidden="1"/>
    </xf>
    <xf numFmtId="1" fontId="32" fillId="2" borderId="53" xfId="0" applyNumberFormat="1" applyFont="1" applyFill="1" applyBorder="1" applyAlignment="1" applyProtection="1">
      <alignment horizontal="center"/>
      <protection hidden="1"/>
    </xf>
    <xf numFmtId="14" fontId="2" fillId="2" borderId="0" xfId="0" applyNumberFormat="1" applyFont="1" applyFill="1" applyAlignment="1" applyProtection="1">
      <alignment horizontal="center"/>
      <protection hidden="1"/>
    </xf>
    <xf numFmtId="7" fontId="2" fillId="2" borderId="0" xfId="1" applyNumberFormat="1" applyFont="1" applyFill="1" applyBorder="1" applyAlignment="1" applyProtection="1">
      <alignment horizontal="center"/>
      <protection hidden="1"/>
    </xf>
    <xf numFmtId="7" fontId="2" fillId="2" borderId="0" xfId="0" applyNumberFormat="1" applyFont="1" applyFill="1" applyProtection="1">
      <protection hidden="1"/>
    </xf>
    <xf numFmtId="1" fontId="32" fillId="2" borderId="0" xfId="0" applyNumberFormat="1" applyFont="1" applyFill="1" applyAlignment="1" applyProtection="1">
      <alignment horizontal="center"/>
      <protection hidden="1"/>
    </xf>
    <xf numFmtId="0" fontId="2" fillId="2" borderId="58" xfId="3" applyFont="1" applyFill="1" applyBorder="1" applyAlignment="1" applyProtection="1">
      <alignment horizontal="center"/>
      <protection hidden="1"/>
    </xf>
    <xf numFmtId="0" fontId="9" fillId="2" borderId="58" xfId="0" applyFont="1" applyFill="1" applyBorder="1" applyAlignment="1" applyProtection="1">
      <alignment horizontal="right"/>
      <protection hidden="1"/>
    </xf>
    <xf numFmtId="0" fontId="2" fillId="2" borderId="123" xfId="0" applyFont="1" applyFill="1" applyBorder="1" applyProtection="1">
      <protection hidden="1"/>
    </xf>
    <xf numFmtId="44" fontId="2" fillId="2" borderId="0" xfId="1" applyFont="1" applyFill="1" applyBorder="1" applyAlignment="1" applyProtection="1">
      <alignment horizontal="center"/>
      <protection hidden="1"/>
    </xf>
    <xf numFmtId="44" fontId="2" fillId="2" borderId="0" xfId="0" applyNumberFormat="1" applyFont="1" applyFill="1" applyProtection="1">
      <protection hidden="1"/>
    </xf>
    <xf numFmtId="1" fontId="2" fillId="2" borderId="0" xfId="0" applyNumberFormat="1" applyFont="1" applyFill="1" applyAlignment="1" applyProtection="1">
      <alignment horizontal="center"/>
      <protection hidden="1"/>
    </xf>
    <xf numFmtId="44" fontId="2" fillId="2" borderId="0" xfId="0" applyNumberFormat="1" applyFont="1" applyFill="1" applyAlignment="1" applyProtection="1">
      <alignment horizontal="center"/>
      <protection hidden="1"/>
    </xf>
    <xf numFmtId="0" fontId="54" fillId="2" borderId="0" xfId="0" applyFont="1" applyFill="1" applyProtection="1">
      <protection hidden="1"/>
    </xf>
    <xf numFmtId="0" fontId="54" fillId="2" borderId="0" xfId="0" applyFont="1" applyFill="1" applyAlignment="1" applyProtection="1">
      <alignment horizontal="center"/>
      <protection hidden="1"/>
    </xf>
    <xf numFmtId="14" fontId="54" fillId="2" borderId="0" xfId="0" applyNumberFormat="1" applyFont="1" applyFill="1" applyProtection="1">
      <protection hidden="1"/>
    </xf>
    <xf numFmtId="14" fontId="54" fillId="2" borderId="0" xfId="0" applyNumberFormat="1" applyFont="1" applyFill="1" applyAlignment="1" applyProtection="1">
      <alignment horizontal="center"/>
      <protection hidden="1"/>
    </xf>
    <xf numFmtId="7" fontId="54" fillId="2" borderId="0" xfId="1" applyNumberFormat="1" applyFont="1" applyFill="1" applyBorder="1" applyAlignment="1" applyProtection="1">
      <alignment horizontal="center"/>
      <protection hidden="1"/>
    </xf>
    <xf numFmtId="7" fontId="54" fillId="2" borderId="0" xfId="0" applyNumberFormat="1" applyFont="1" applyFill="1" applyProtection="1">
      <protection hidden="1"/>
    </xf>
    <xf numFmtId="1" fontId="54" fillId="2" borderId="0" xfId="0" applyNumberFormat="1" applyFont="1" applyFill="1" applyAlignment="1" applyProtection="1">
      <alignment horizontal="center"/>
      <protection hidden="1"/>
    </xf>
    <xf numFmtId="0" fontId="44" fillId="2" borderId="39" xfId="0" applyFont="1" applyFill="1" applyBorder="1" applyAlignment="1" applyProtection="1">
      <alignment vertical="center"/>
      <protection hidden="1"/>
    </xf>
    <xf numFmtId="0" fontId="44" fillId="2" borderId="0" xfId="0" applyFont="1" applyFill="1" applyAlignment="1" applyProtection="1">
      <alignment vertical="center"/>
      <protection hidden="1"/>
    </xf>
    <xf numFmtId="0" fontId="37" fillId="2" borderId="9" xfId="0" applyFont="1" applyFill="1" applyBorder="1" applyAlignment="1" applyProtection="1">
      <alignment vertical="center"/>
      <protection hidden="1"/>
    </xf>
    <xf numFmtId="0" fontId="37" fillId="2" borderId="11" xfId="0" applyFont="1" applyFill="1" applyBorder="1" applyAlignment="1" applyProtection="1">
      <alignment vertical="center"/>
      <protection hidden="1"/>
    </xf>
    <xf numFmtId="0" fontId="21" fillId="2" borderId="6" xfId="0" applyFont="1" applyFill="1" applyBorder="1" applyAlignment="1" applyProtection="1">
      <alignment horizontal="center" vertical="center"/>
      <protection hidden="1"/>
    </xf>
    <xf numFmtId="0" fontId="21" fillId="2" borderId="6" xfId="0" applyFont="1" applyFill="1" applyBorder="1" applyAlignment="1" applyProtection="1">
      <alignment horizontal="center" vertical="center" wrapText="1"/>
      <protection hidden="1"/>
    </xf>
    <xf numFmtId="164" fontId="22" fillId="2" borderId="6" xfId="0" applyNumberFormat="1" applyFont="1" applyFill="1" applyBorder="1" applyAlignment="1" applyProtection="1">
      <alignment horizontal="center" vertical="center"/>
      <protection hidden="1"/>
    </xf>
    <xf numFmtId="0" fontId="2" fillId="2" borderId="6" xfId="8" applyFont="1" applyFill="1" applyBorder="1" applyAlignment="1" applyProtection="1">
      <alignment horizontal="center"/>
      <protection hidden="1"/>
    </xf>
    <xf numFmtId="1" fontId="2" fillId="2" borderId="6" xfId="8" applyNumberFormat="1" applyFont="1" applyFill="1" applyBorder="1" applyAlignment="1" applyProtection="1">
      <alignment horizontal="center"/>
      <protection hidden="1"/>
    </xf>
    <xf numFmtId="0" fontId="21" fillId="2" borderId="6" xfId="0" applyFont="1" applyFill="1" applyBorder="1" applyAlignment="1" applyProtection="1">
      <alignment horizontal="center"/>
      <protection hidden="1"/>
    </xf>
    <xf numFmtId="164" fontId="17" fillId="3" borderId="6" xfId="0" applyNumberFormat="1" applyFont="1" applyFill="1" applyBorder="1" applyAlignment="1" applyProtection="1">
      <alignment horizontal="right" vertical="center"/>
      <protection hidden="1"/>
    </xf>
    <xf numFmtId="167" fontId="9" fillId="3" borderId="6" xfId="0" applyNumberFormat="1" applyFont="1" applyFill="1" applyBorder="1" applyAlignment="1" applyProtection="1">
      <alignment horizontal="right" vertical="center"/>
      <protection hidden="1"/>
    </xf>
    <xf numFmtId="164" fontId="9" fillId="3" borderId="6" xfId="0" applyNumberFormat="1" applyFont="1" applyFill="1" applyBorder="1" applyAlignment="1" applyProtection="1">
      <alignment horizontal="right" vertical="center"/>
      <protection hidden="1"/>
    </xf>
    <xf numFmtId="0" fontId="2" fillId="3" borderId="10" xfId="0" applyFont="1" applyFill="1" applyBorder="1" applyProtection="1">
      <protection hidden="1"/>
    </xf>
    <xf numFmtId="0" fontId="2" fillId="3" borderId="11" xfId="0" applyFont="1" applyFill="1" applyBorder="1" applyProtection="1">
      <protection hidden="1"/>
    </xf>
    <xf numFmtId="0" fontId="2" fillId="3" borderId="130" xfId="0" applyFont="1" applyFill="1" applyBorder="1" applyProtection="1">
      <protection hidden="1"/>
    </xf>
    <xf numFmtId="0" fontId="14" fillId="2" borderId="130" xfId="0" applyFont="1" applyFill="1" applyBorder="1" applyAlignment="1" applyProtection="1">
      <alignment vertical="center"/>
      <protection hidden="1"/>
    </xf>
    <xf numFmtId="0" fontId="14" fillId="2" borderId="10" xfId="0" applyFont="1" applyFill="1" applyBorder="1" applyAlignment="1" applyProtection="1">
      <alignment vertical="center"/>
      <protection hidden="1"/>
    </xf>
    <xf numFmtId="0" fontId="14" fillId="2" borderId="94" xfId="0" applyFont="1" applyFill="1" applyBorder="1" applyAlignment="1" applyProtection="1">
      <alignment vertical="center"/>
      <protection hidden="1"/>
    </xf>
    <xf numFmtId="164" fontId="14" fillId="2" borderId="130" xfId="0" applyNumberFormat="1" applyFont="1" applyFill="1" applyBorder="1" applyAlignment="1" applyProtection="1">
      <alignment vertical="center"/>
      <protection hidden="1"/>
    </xf>
    <xf numFmtId="164" fontId="14" fillId="2" borderId="10" xfId="0" applyNumberFormat="1" applyFont="1" applyFill="1" applyBorder="1" applyAlignment="1" applyProtection="1">
      <alignment vertical="center"/>
      <protection hidden="1"/>
    </xf>
    <xf numFmtId="164" fontId="14" fillId="2" borderId="94" xfId="0" applyNumberFormat="1" applyFont="1" applyFill="1" applyBorder="1" applyAlignment="1" applyProtection="1">
      <alignment vertical="center"/>
      <protection hidden="1"/>
    </xf>
    <xf numFmtId="0" fontId="44" fillId="2" borderId="36" xfId="3" applyFont="1" applyFill="1" applyBorder="1" applyAlignment="1" applyProtection="1">
      <alignment horizontal="center" vertical="center"/>
      <protection hidden="1"/>
    </xf>
    <xf numFmtId="0" fontId="36" fillId="2" borderId="0" xfId="0" applyFont="1" applyFill="1" applyAlignment="1" applyProtection="1">
      <alignment horizontal="center"/>
      <protection hidden="1"/>
    </xf>
    <xf numFmtId="0" fontId="39" fillId="8" borderId="72" xfId="0" applyFont="1" applyFill="1" applyBorder="1" applyProtection="1">
      <protection hidden="1"/>
    </xf>
    <xf numFmtId="164" fontId="2" fillId="5" borderId="75" xfId="0" applyNumberFormat="1" applyFont="1" applyFill="1" applyBorder="1" applyAlignment="1" applyProtection="1">
      <alignment horizontal="center"/>
      <protection hidden="1"/>
    </xf>
    <xf numFmtId="164" fontId="2" fillId="5" borderId="77" xfId="0" applyNumberFormat="1" applyFont="1" applyFill="1" applyBorder="1" applyAlignment="1" applyProtection="1">
      <alignment horizontal="center"/>
      <protection hidden="1"/>
    </xf>
    <xf numFmtId="0" fontId="0" fillId="7" borderId="74" xfId="0" applyFill="1" applyBorder="1" applyProtection="1">
      <protection hidden="1"/>
    </xf>
    <xf numFmtId="164" fontId="2" fillId="5" borderId="81" xfId="0" applyNumberFormat="1" applyFont="1" applyFill="1" applyBorder="1" applyAlignment="1" applyProtection="1">
      <alignment horizontal="center"/>
      <protection hidden="1"/>
    </xf>
    <xf numFmtId="170" fontId="33" fillId="7" borderId="74" xfId="0" applyNumberFormat="1" applyFont="1" applyFill="1" applyBorder="1" applyAlignment="1" applyProtection="1">
      <alignment horizontal="center"/>
      <protection hidden="1"/>
    </xf>
    <xf numFmtId="0" fontId="2" fillId="5" borderId="79" xfId="0" applyFont="1" applyFill="1" applyBorder="1" applyAlignment="1" applyProtection="1">
      <alignment horizontal="center"/>
      <protection hidden="1"/>
    </xf>
    <xf numFmtId="164" fontId="0" fillId="7" borderId="74" xfId="0" applyNumberFormat="1" applyFill="1" applyBorder="1" applyProtection="1">
      <protection hidden="1"/>
    </xf>
    <xf numFmtId="169" fontId="33" fillId="2" borderId="0" xfId="0" applyNumberFormat="1" applyFont="1" applyFill="1" applyAlignment="1" applyProtection="1">
      <alignment horizontal="center"/>
      <protection hidden="1"/>
    </xf>
    <xf numFmtId="164" fontId="33" fillId="7" borderId="74" xfId="0" applyNumberFormat="1" applyFont="1" applyFill="1" applyBorder="1" applyAlignment="1" applyProtection="1">
      <alignment horizontal="center"/>
      <protection hidden="1"/>
    </xf>
    <xf numFmtId="0" fontId="39" fillId="8" borderId="81" xfId="0" applyFont="1" applyFill="1" applyBorder="1" applyProtection="1">
      <protection hidden="1"/>
    </xf>
    <xf numFmtId="164" fontId="0" fillId="7" borderId="74" xfId="0" applyNumberFormat="1" applyFill="1" applyBorder="1" applyAlignment="1" applyProtection="1">
      <alignment horizontal="center"/>
      <protection hidden="1"/>
    </xf>
    <xf numFmtId="170" fontId="0" fillId="7" borderId="74" xfId="0" applyNumberFormat="1" applyFill="1" applyBorder="1" applyAlignment="1" applyProtection="1">
      <alignment horizontal="center"/>
      <protection hidden="1"/>
    </xf>
    <xf numFmtId="164" fontId="2" fillId="5" borderId="79" xfId="0" applyNumberFormat="1" applyFont="1" applyFill="1" applyBorder="1" applyAlignment="1" applyProtection="1">
      <alignment horizontal="center"/>
      <protection hidden="1"/>
    </xf>
    <xf numFmtId="164" fontId="0" fillId="7" borderId="74" xfId="1" applyNumberFormat="1" applyFont="1" applyFill="1" applyBorder="1" applyAlignment="1" applyProtection="1">
      <alignment horizontal="center" vertical="center"/>
      <protection hidden="1"/>
    </xf>
    <xf numFmtId="164" fontId="33" fillId="7" borderId="73" xfId="0" applyNumberFormat="1" applyFont="1" applyFill="1" applyBorder="1" applyAlignment="1" applyProtection="1">
      <alignment horizontal="center"/>
      <protection hidden="1"/>
    </xf>
    <xf numFmtId="168" fontId="0" fillId="2" borderId="0" xfId="1" applyNumberFormat="1" applyFont="1" applyFill="1" applyBorder="1" applyAlignment="1" applyProtection="1">
      <alignment horizontal="center" vertical="center"/>
      <protection hidden="1"/>
    </xf>
    <xf numFmtId="0" fontId="7" fillId="2" borderId="36" xfId="3" applyFont="1" applyFill="1" applyBorder="1" applyAlignment="1" applyProtection="1">
      <alignment horizontal="center" vertical="center"/>
      <protection hidden="1"/>
    </xf>
    <xf numFmtId="0" fontId="48" fillId="7" borderId="99" xfId="0" applyFont="1" applyFill="1" applyBorder="1" applyAlignment="1" applyProtection="1">
      <alignment horizontal="center" vertical="center"/>
      <protection hidden="1"/>
    </xf>
    <xf numFmtId="0" fontId="49" fillId="7" borderId="101" xfId="0" applyFont="1" applyFill="1" applyBorder="1" applyAlignment="1" applyProtection="1">
      <alignment horizontal="center" vertical="center"/>
      <protection hidden="1"/>
    </xf>
    <xf numFmtId="0" fontId="49" fillId="7" borderId="108" xfId="0" applyFont="1" applyFill="1" applyBorder="1" applyAlignment="1" applyProtection="1">
      <alignment horizontal="center" vertical="center"/>
      <protection hidden="1"/>
    </xf>
    <xf numFmtId="0" fontId="49" fillId="7" borderId="100" xfId="0" applyFont="1" applyFill="1" applyBorder="1" applyAlignment="1" applyProtection="1">
      <alignment horizontal="center" vertical="center"/>
      <protection hidden="1"/>
    </xf>
    <xf numFmtId="0" fontId="49" fillId="7" borderId="116" xfId="0" applyFont="1" applyFill="1" applyBorder="1" applyAlignment="1" applyProtection="1">
      <alignment horizontal="center" vertical="center"/>
      <protection hidden="1"/>
    </xf>
    <xf numFmtId="3" fontId="51" fillId="2" borderId="93" xfId="0" applyNumberFormat="1" applyFont="1" applyFill="1" applyBorder="1" applyAlignment="1" applyProtection="1">
      <alignment horizontal="center" vertical="center"/>
      <protection hidden="1"/>
    </xf>
    <xf numFmtId="0" fontId="51" fillId="2" borderId="114" xfId="0" applyFont="1" applyFill="1" applyBorder="1" applyAlignment="1" applyProtection="1">
      <alignment horizontal="center" vertical="center"/>
      <protection hidden="1"/>
    </xf>
    <xf numFmtId="172" fontId="51" fillId="2" borderId="114" xfId="0" applyNumberFormat="1" applyFont="1" applyFill="1" applyBorder="1" applyAlignment="1" applyProtection="1">
      <alignment horizontal="center" vertical="center"/>
      <protection hidden="1"/>
    </xf>
    <xf numFmtId="172" fontId="51" fillId="2" borderId="85" xfId="0" applyNumberFormat="1" applyFont="1" applyFill="1" applyBorder="1" applyAlignment="1" applyProtection="1">
      <alignment horizontal="center" vertical="center"/>
      <protection hidden="1"/>
    </xf>
    <xf numFmtId="0" fontId="49" fillId="7" borderId="99" xfId="0" applyFont="1" applyFill="1" applyBorder="1" applyAlignment="1" applyProtection="1">
      <alignment horizontal="center" vertical="center"/>
      <protection hidden="1"/>
    </xf>
    <xf numFmtId="0" fontId="49" fillId="7" borderId="106" xfId="0" applyFont="1" applyFill="1" applyBorder="1" applyAlignment="1" applyProtection="1">
      <alignment horizontal="center" vertical="center"/>
      <protection hidden="1"/>
    </xf>
    <xf numFmtId="0" fontId="49" fillId="7" borderId="107" xfId="0" applyFont="1" applyFill="1" applyBorder="1" applyAlignment="1" applyProtection="1">
      <alignment horizontal="center" vertical="center"/>
      <protection hidden="1"/>
    </xf>
    <xf numFmtId="0" fontId="49" fillId="7" borderId="119" xfId="0" applyFont="1" applyFill="1" applyBorder="1" applyAlignment="1" applyProtection="1">
      <alignment horizontal="center" vertical="center"/>
      <protection hidden="1"/>
    </xf>
    <xf numFmtId="3" fontId="51" fillId="10" borderId="104" xfId="0" applyNumberFormat="1" applyFont="1" applyFill="1" applyBorder="1" applyAlignment="1" applyProtection="1">
      <alignment horizontal="center" vertical="center"/>
      <protection hidden="1"/>
    </xf>
    <xf numFmtId="3" fontId="50" fillId="10" borderId="121" xfId="0" applyNumberFormat="1" applyFont="1" applyFill="1" applyBorder="1" applyAlignment="1" applyProtection="1">
      <alignment horizontal="center" vertical="center"/>
      <protection hidden="1"/>
    </xf>
    <xf numFmtId="0" fontId="0" fillId="2" borderId="114" xfId="0" applyFill="1" applyBorder="1" applyProtection="1">
      <protection hidden="1"/>
    </xf>
    <xf numFmtId="0" fontId="48" fillId="2" borderId="0" xfId="0" applyFont="1" applyFill="1" applyAlignment="1" applyProtection="1">
      <alignment horizontal="center" vertical="center"/>
      <protection hidden="1"/>
    </xf>
    <xf numFmtId="0" fontId="49" fillId="2" borderId="0" xfId="0" applyFont="1" applyFill="1" applyAlignment="1" applyProtection="1">
      <alignment horizontal="center" vertical="center"/>
      <protection hidden="1"/>
    </xf>
    <xf numFmtId="0" fontId="50" fillId="2" borderId="0" xfId="0" quotePrefix="1" applyFont="1" applyFill="1" applyAlignment="1" applyProtection="1">
      <alignment horizontal="center" vertical="center"/>
      <protection hidden="1"/>
    </xf>
    <xf numFmtId="2" fontId="50" fillId="2" borderId="0" xfId="0" applyNumberFormat="1" applyFont="1" applyFill="1" applyAlignment="1" applyProtection="1">
      <alignment horizontal="center" vertical="center"/>
      <protection hidden="1"/>
    </xf>
    <xf numFmtId="3" fontId="50" fillId="2" borderId="0" xfId="0" applyNumberFormat="1" applyFont="1" applyFill="1" applyAlignment="1" applyProtection="1">
      <alignment horizontal="center" vertical="center"/>
      <protection hidden="1"/>
    </xf>
    <xf numFmtId="0" fontId="35" fillId="2" borderId="0" xfId="0" applyFont="1" applyFill="1" applyAlignment="1" applyProtection="1">
      <alignment horizontal="center" vertical="center"/>
      <protection hidden="1"/>
    </xf>
    <xf numFmtId="0" fontId="50" fillId="2" borderId="0" xfId="0" applyFont="1" applyFill="1" applyAlignment="1" applyProtection="1">
      <alignment horizontal="center" vertical="center"/>
      <protection hidden="1"/>
    </xf>
    <xf numFmtId="3" fontId="51" fillId="2" borderId="0" xfId="0" applyNumberFormat="1" applyFont="1" applyFill="1" applyAlignment="1" applyProtection="1">
      <alignment horizontal="center" vertical="center"/>
      <protection hidden="1"/>
    </xf>
    <xf numFmtId="172" fontId="50" fillId="10" borderId="107" xfId="0" applyNumberFormat="1" applyFont="1" applyFill="1" applyBorder="1" applyAlignment="1" applyProtection="1">
      <alignment horizontal="center" vertical="center"/>
      <protection hidden="1"/>
    </xf>
    <xf numFmtId="0" fontId="24" fillId="2" borderId="0" xfId="3" applyFont="1" applyFill="1" applyBorder="1" applyAlignment="1">
      <alignment vertical="center"/>
    </xf>
    <xf numFmtId="0" fontId="34" fillId="2" borderId="0" xfId="0" applyFont="1" applyFill="1" applyAlignment="1">
      <alignment vertical="center"/>
    </xf>
    <xf numFmtId="0" fontId="44" fillId="2" borderId="85" xfId="3" applyFont="1" applyFill="1" applyBorder="1" applyAlignment="1" applyProtection="1">
      <alignment horizontal="center"/>
      <protection hidden="1"/>
    </xf>
    <xf numFmtId="0" fontId="44" fillId="2" borderId="36" xfId="3" applyFont="1" applyFill="1" applyBorder="1" applyAlignment="1" applyProtection="1">
      <alignment horizontal="center"/>
      <protection hidden="1"/>
    </xf>
    <xf numFmtId="0" fontId="33" fillId="2" borderId="0" xfId="0" applyFont="1" applyFill="1" applyAlignment="1" applyProtection="1">
      <alignment horizontal="center"/>
      <protection hidden="1"/>
    </xf>
    <xf numFmtId="166" fontId="2" fillId="2" borderId="6" xfId="0" applyNumberFormat="1" applyFont="1" applyFill="1" applyBorder="1" applyAlignment="1">
      <alignment horizontal="center"/>
    </xf>
    <xf numFmtId="0" fontId="32" fillId="2" borderId="0" xfId="0" applyFont="1" applyFill="1" applyAlignment="1" applyProtection="1">
      <alignment horizontal="center"/>
      <protection hidden="1"/>
    </xf>
    <xf numFmtId="0" fontId="43" fillId="2" borderId="0" xfId="0" applyFont="1" applyFill="1" applyAlignment="1" applyProtection="1">
      <alignment horizontal="center" vertical="center"/>
      <protection hidden="1"/>
    </xf>
    <xf numFmtId="171" fontId="43" fillId="2" borderId="0" xfId="0" applyNumberFormat="1" applyFont="1" applyFill="1" applyAlignment="1" applyProtection="1">
      <alignment horizontal="center" vertical="center"/>
      <protection hidden="1"/>
    </xf>
    <xf numFmtId="0" fontId="6" fillId="2" borderId="85" xfId="0" applyFont="1" applyFill="1" applyBorder="1" applyAlignment="1">
      <alignment horizontal="center" vertical="center"/>
    </xf>
    <xf numFmtId="0" fontId="2" fillId="2" borderId="131" xfId="0" applyFont="1" applyFill="1" applyBorder="1" applyAlignment="1" applyProtection="1">
      <alignment horizontal="center"/>
      <protection hidden="1"/>
    </xf>
    <xf numFmtId="0" fontId="2" fillId="2" borderId="128" xfId="0" applyFont="1" applyFill="1" applyBorder="1" applyProtection="1">
      <protection hidden="1"/>
    </xf>
    <xf numFmtId="0" fontId="44" fillId="2" borderId="85" xfId="0" applyFont="1" applyFill="1" applyBorder="1" applyAlignment="1" applyProtection="1">
      <alignment horizontal="center"/>
      <protection hidden="1"/>
    </xf>
    <xf numFmtId="3" fontId="2" fillId="2" borderId="2" xfId="0" applyNumberFormat="1" applyFont="1" applyFill="1" applyBorder="1" applyAlignment="1">
      <alignment horizontal="center" vertical="center"/>
    </xf>
    <xf numFmtId="0" fontId="0" fillId="2" borderId="133" xfId="0" applyFill="1" applyBorder="1"/>
    <xf numFmtId="0" fontId="0" fillId="2" borderId="6" xfId="0" applyFill="1" applyBorder="1" applyAlignment="1">
      <alignment horizontal="center"/>
    </xf>
    <xf numFmtId="0" fontId="44" fillId="2" borderId="0" xfId="0" applyFont="1" applyFill="1" applyAlignment="1" applyProtection="1">
      <alignment horizontal="center"/>
      <protection hidden="1"/>
    </xf>
    <xf numFmtId="0" fontId="14" fillId="2" borderId="10" xfId="0" applyFont="1" applyFill="1" applyBorder="1" applyAlignment="1" applyProtection="1">
      <alignment horizontal="center"/>
      <protection hidden="1"/>
    </xf>
    <xf numFmtId="0" fontId="14" fillId="2" borderId="10" xfId="0" applyFont="1" applyFill="1" applyBorder="1" applyAlignment="1" applyProtection="1">
      <alignment horizontal="center" vertical="center"/>
      <protection hidden="1"/>
    </xf>
    <xf numFmtId="0" fontId="2" fillId="2" borderId="136" xfId="0" applyFont="1" applyFill="1" applyBorder="1" applyProtection="1">
      <protection hidden="1"/>
    </xf>
    <xf numFmtId="0" fontId="9" fillId="2" borderId="136" xfId="0" applyFont="1" applyFill="1" applyBorder="1" applyAlignment="1" applyProtection="1">
      <alignment horizontal="center" vertical="center" textRotation="60"/>
      <protection hidden="1"/>
    </xf>
    <xf numFmtId="0" fontId="5" fillId="2" borderId="136" xfId="0" applyFont="1" applyFill="1" applyBorder="1" applyAlignment="1" applyProtection="1">
      <alignment horizontal="center" vertical="center" textRotation="60"/>
      <protection hidden="1"/>
    </xf>
    <xf numFmtId="0" fontId="13" fillId="2" borderId="136" xfId="0" applyFont="1" applyFill="1" applyBorder="1" applyAlignment="1" applyProtection="1">
      <alignment horizontal="center" vertical="center" textRotation="61"/>
      <protection hidden="1"/>
    </xf>
    <xf numFmtId="0" fontId="13" fillId="2" borderId="136" xfId="0" applyFont="1" applyFill="1" applyBorder="1" applyAlignment="1" applyProtection="1">
      <alignment horizontal="center" vertical="center" textRotation="60"/>
      <protection hidden="1"/>
    </xf>
    <xf numFmtId="164" fontId="2" fillId="2" borderId="0" xfId="0" applyNumberFormat="1" applyFont="1" applyFill="1" applyAlignment="1" applyProtection="1">
      <alignment horizontal="center" vertical="center" wrapText="1"/>
      <protection hidden="1"/>
    </xf>
    <xf numFmtId="164" fontId="2" fillId="2" borderId="0" xfId="0" applyNumberFormat="1" applyFont="1" applyFill="1" applyAlignment="1" applyProtection="1">
      <alignment horizontal="center"/>
      <protection hidden="1"/>
    </xf>
    <xf numFmtId="8" fontId="2" fillId="2" borderId="0" xfId="0" applyNumberFormat="1" applyFont="1" applyFill="1" applyAlignment="1" applyProtection="1">
      <alignment horizontal="center"/>
      <protection hidden="1"/>
    </xf>
    <xf numFmtId="0" fontId="15" fillId="2" borderId="0" xfId="0" applyFont="1" applyFill="1" applyAlignment="1" applyProtection="1">
      <alignment horizontal="center" vertical="center"/>
      <protection hidden="1"/>
    </xf>
    <xf numFmtId="8" fontId="2" fillId="2" borderId="0" xfId="0" applyNumberFormat="1" applyFont="1" applyFill="1" applyProtection="1">
      <protection hidden="1"/>
    </xf>
    <xf numFmtId="9" fontId="2" fillId="2" borderId="0" xfId="0" applyNumberFormat="1" applyFont="1" applyFill="1" applyProtection="1">
      <protection hidden="1"/>
    </xf>
    <xf numFmtId="8" fontId="2" fillId="2" borderId="0" xfId="0" applyNumberFormat="1" applyFont="1" applyFill="1" applyAlignment="1" applyProtection="1">
      <alignment horizontal="center" vertical="center"/>
      <protection hidden="1"/>
    </xf>
    <xf numFmtId="0" fontId="2" fillId="11" borderId="10" xfId="0" applyFont="1" applyFill="1" applyBorder="1" applyProtection="1">
      <protection hidden="1"/>
    </xf>
    <xf numFmtId="0" fontId="2" fillId="11" borderId="0" xfId="0" applyFont="1" applyFill="1" applyProtection="1">
      <protection hidden="1"/>
    </xf>
    <xf numFmtId="8" fontId="38" fillId="3" borderId="41" xfId="0" applyNumberFormat="1" applyFont="1" applyFill="1" applyBorder="1" applyAlignment="1" applyProtection="1">
      <alignment horizontal="center" vertical="center"/>
      <protection hidden="1"/>
    </xf>
    <xf numFmtId="0" fontId="14" fillId="2" borderId="138" xfId="0" applyFont="1" applyFill="1" applyBorder="1" applyAlignment="1" applyProtection="1">
      <alignment vertical="center"/>
      <protection hidden="1"/>
    </xf>
    <xf numFmtId="0" fontId="14" fillId="2" borderId="10" xfId="0" applyFont="1" applyFill="1" applyBorder="1" applyProtection="1">
      <protection hidden="1"/>
    </xf>
    <xf numFmtId="0" fontId="2" fillId="2" borderId="139" xfId="0" applyFont="1" applyFill="1" applyBorder="1" applyProtection="1">
      <protection hidden="1"/>
    </xf>
    <xf numFmtId="0" fontId="2" fillId="3" borderId="140" xfId="0" applyFont="1" applyFill="1" applyBorder="1" applyAlignment="1" applyProtection="1">
      <alignment horizontal="center" vertical="center" textRotation="60"/>
      <protection hidden="1"/>
    </xf>
    <xf numFmtId="9" fontId="2" fillId="3" borderId="41" xfId="0" applyNumberFormat="1" applyFont="1" applyFill="1" applyBorder="1" applyAlignment="1" applyProtection="1">
      <alignment horizontal="center" vertical="center"/>
      <protection hidden="1"/>
    </xf>
    <xf numFmtId="8" fontId="2" fillId="3" borderId="41" xfId="0" applyNumberFormat="1" applyFont="1" applyFill="1" applyBorder="1" applyAlignment="1" applyProtection="1">
      <alignment horizontal="center" vertical="center"/>
      <protection hidden="1"/>
    </xf>
    <xf numFmtId="164" fontId="14" fillId="2" borderId="138" xfId="0" applyNumberFormat="1" applyFont="1" applyFill="1" applyBorder="1" applyAlignment="1" applyProtection="1">
      <alignment vertical="center"/>
      <protection hidden="1"/>
    </xf>
    <xf numFmtId="164" fontId="13" fillId="3" borderId="6" xfId="0" applyNumberFormat="1" applyFont="1" applyFill="1" applyBorder="1" applyAlignment="1" applyProtection="1">
      <alignment horizontal="center" vertical="center"/>
      <protection hidden="1"/>
    </xf>
    <xf numFmtId="0" fontId="2" fillId="2" borderId="83" xfId="0" applyFont="1" applyFill="1" applyBorder="1" applyProtection="1">
      <protection hidden="1"/>
    </xf>
    <xf numFmtId="0" fontId="44" fillId="2" borderId="93" xfId="3" applyFont="1" applyFill="1" applyBorder="1" applyAlignment="1">
      <alignment horizontal="center" vertical="center"/>
    </xf>
    <xf numFmtId="0" fontId="44" fillId="2" borderId="62" xfId="3" applyFont="1" applyFill="1" applyBorder="1" applyAlignment="1">
      <alignment horizontal="center" vertical="center"/>
    </xf>
    <xf numFmtId="0" fontId="9" fillId="2" borderId="41" xfId="0" applyFont="1" applyFill="1" applyBorder="1" applyAlignment="1" applyProtection="1">
      <alignment horizontal="center" vertical="center"/>
      <protection hidden="1"/>
    </xf>
    <xf numFmtId="0" fontId="2" fillId="2" borderId="137" xfId="0" applyFont="1" applyFill="1" applyBorder="1" applyAlignment="1" applyProtection="1">
      <alignment horizontal="center" vertical="center" wrapText="1"/>
      <protection hidden="1"/>
    </xf>
    <xf numFmtId="0" fontId="2" fillId="2" borderId="40" xfId="0" applyFont="1" applyFill="1" applyBorder="1" applyAlignment="1" applyProtection="1">
      <alignment horizontal="center" vertical="center" wrapText="1"/>
      <protection hidden="1"/>
    </xf>
    <xf numFmtId="164" fontId="2" fillId="2" borderId="137" xfId="0" applyNumberFormat="1" applyFont="1" applyFill="1" applyBorder="1" applyAlignment="1" applyProtection="1">
      <alignment horizontal="center" vertical="center" wrapText="1"/>
      <protection hidden="1"/>
    </xf>
    <xf numFmtId="164" fontId="2" fillId="2" borderId="40" xfId="0" applyNumberFormat="1" applyFont="1" applyFill="1" applyBorder="1" applyAlignment="1" applyProtection="1">
      <alignment horizontal="center" vertical="center" wrapText="1"/>
      <protection hidden="1"/>
    </xf>
    <xf numFmtId="164" fontId="2" fillId="2" borderId="137" xfId="0" applyNumberFormat="1" applyFont="1" applyFill="1" applyBorder="1" applyAlignment="1" applyProtection="1">
      <alignment horizontal="center" vertical="center"/>
      <protection hidden="1"/>
    </xf>
    <xf numFmtId="164" fontId="2" fillId="2" borderId="40" xfId="0" applyNumberFormat="1" applyFont="1" applyFill="1" applyBorder="1" applyAlignment="1" applyProtection="1">
      <alignment horizontal="center" vertical="center"/>
      <protection hidden="1"/>
    </xf>
    <xf numFmtId="0" fontId="16" fillId="3" borderId="41" xfId="0" applyFont="1" applyFill="1" applyBorder="1" applyAlignment="1" applyProtection="1">
      <alignment horizontal="center" vertical="center"/>
      <protection hidden="1"/>
    </xf>
    <xf numFmtId="164" fontId="9" fillId="3" borderId="137" xfId="0" applyNumberFormat="1" applyFont="1" applyFill="1" applyBorder="1" applyAlignment="1" applyProtection="1">
      <alignment horizontal="center" vertical="center"/>
      <protection hidden="1"/>
    </xf>
    <xf numFmtId="164" fontId="9" fillId="3" borderId="40" xfId="0" applyNumberFormat="1" applyFont="1" applyFill="1" applyBorder="1" applyAlignment="1" applyProtection="1">
      <alignment horizontal="center" vertical="center"/>
      <protection hidden="1"/>
    </xf>
    <xf numFmtId="167" fontId="2" fillId="2" borderId="137" xfId="0" applyNumberFormat="1" applyFont="1" applyFill="1" applyBorder="1" applyAlignment="1" applyProtection="1">
      <alignment horizontal="center" vertical="center"/>
      <protection hidden="1"/>
    </xf>
    <xf numFmtId="167" fontId="2" fillId="2" borderId="40" xfId="0" applyNumberFormat="1" applyFont="1" applyFill="1" applyBorder="1" applyAlignment="1" applyProtection="1">
      <alignment horizontal="center" vertical="center"/>
      <protection hidden="1"/>
    </xf>
    <xf numFmtId="0" fontId="13" fillId="3" borderId="9" xfId="0" applyFont="1" applyFill="1" applyBorder="1" applyAlignment="1" applyProtection="1">
      <alignment horizontal="center"/>
      <protection hidden="1"/>
    </xf>
    <xf numFmtId="164" fontId="2" fillId="3" borderId="137" xfId="0" applyNumberFormat="1" applyFont="1" applyFill="1" applyBorder="1" applyAlignment="1" applyProtection="1">
      <alignment horizontal="center" vertical="center"/>
      <protection hidden="1"/>
    </xf>
    <xf numFmtId="167" fontId="2" fillId="3" borderId="137" xfId="0" applyNumberFormat="1" applyFont="1" applyFill="1" applyBorder="1" applyAlignment="1" applyProtection="1">
      <alignment horizontal="center" vertical="center"/>
      <protection hidden="1"/>
    </xf>
    <xf numFmtId="167" fontId="2" fillId="3" borderId="40" xfId="0" applyNumberFormat="1" applyFont="1" applyFill="1" applyBorder="1" applyAlignment="1" applyProtection="1">
      <alignment horizontal="center" vertical="center"/>
      <protection hidden="1"/>
    </xf>
    <xf numFmtId="0" fontId="14" fillId="2" borderId="41" xfId="0" applyFont="1" applyFill="1" applyBorder="1" applyAlignment="1" applyProtection="1">
      <alignment horizontal="center"/>
      <protection hidden="1"/>
    </xf>
    <xf numFmtId="0" fontId="9" fillId="2" borderId="137" xfId="0" applyFont="1" applyFill="1" applyBorder="1" applyAlignment="1" applyProtection="1">
      <alignment horizontal="center"/>
      <protection hidden="1"/>
    </xf>
    <xf numFmtId="164" fontId="2" fillId="2" borderId="137" xfId="0" applyNumberFormat="1" applyFont="1" applyFill="1" applyBorder="1" applyProtection="1">
      <protection hidden="1"/>
    </xf>
    <xf numFmtId="0" fontId="49" fillId="7" borderId="102" xfId="0" applyFont="1" applyFill="1" applyBorder="1" applyAlignment="1" applyProtection="1">
      <alignment horizontal="center" vertical="center"/>
      <protection hidden="1"/>
    </xf>
    <xf numFmtId="0" fontId="2" fillId="2" borderId="0" xfId="0" applyFont="1" applyFill="1" applyAlignment="1" applyProtection="1">
      <alignment horizontal="left"/>
      <protection hidden="1"/>
    </xf>
    <xf numFmtId="0" fontId="2" fillId="2" borderId="0" xfId="0" applyFont="1" applyFill="1" applyAlignment="1" applyProtection="1">
      <alignment horizontal="right"/>
      <protection hidden="1"/>
    </xf>
    <xf numFmtId="166" fontId="2" fillId="2" borderId="0" xfId="0" applyNumberFormat="1" applyFont="1" applyFill="1" applyAlignment="1" applyProtection="1">
      <alignment horizontal="left"/>
      <protection hidden="1"/>
    </xf>
    <xf numFmtId="0" fontId="0" fillId="2" borderId="59" xfId="0" applyFill="1" applyBorder="1" applyAlignment="1" applyProtection="1">
      <alignment horizontal="center"/>
      <protection hidden="1"/>
    </xf>
    <xf numFmtId="3" fontId="50" fillId="10" borderId="107" xfId="0" applyNumberFormat="1" applyFont="1" applyFill="1" applyBorder="1" applyAlignment="1" applyProtection="1">
      <alignment horizontal="center" vertical="center"/>
      <protection hidden="1"/>
    </xf>
    <xf numFmtId="2" fontId="35" fillId="12" borderId="112" xfId="0" applyNumberFormat="1" applyFont="1" applyFill="1" applyBorder="1" applyAlignment="1" applyProtection="1">
      <alignment horizontal="center" vertical="center"/>
      <protection hidden="1"/>
    </xf>
    <xf numFmtId="0" fontId="50" fillId="12" borderId="103" xfId="0" quotePrefix="1" applyFont="1" applyFill="1" applyBorder="1" applyAlignment="1" applyProtection="1">
      <alignment horizontal="center" vertical="center"/>
      <protection hidden="1"/>
    </xf>
    <xf numFmtId="2" fontId="50" fillId="12" borderId="105" xfId="0" applyNumberFormat="1" applyFont="1" applyFill="1" applyBorder="1" applyAlignment="1" applyProtection="1">
      <alignment horizontal="center" vertical="center"/>
      <protection hidden="1"/>
    </xf>
    <xf numFmtId="3" fontId="50" fillId="12" borderId="70" xfId="0" applyNumberFormat="1" applyFont="1" applyFill="1" applyBorder="1" applyAlignment="1" applyProtection="1">
      <alignment horizontal="center" vertical="center"/>
      <protection hidden="1"/>
    </xf>
    <xf numFmtId="0" fontId="35" fillId="12" borderId="106" xfId="0" applyFont="1" applyFill="1" applyBorder="1" applyAlignment="1" applyProtection="1">
      <alignment horizontal="center" vertical="center"/>
      <protection hidden="1"/>
    </xf>
    <xf numFmtId="0" fontId="50" fillId="12" borderId="119" xfId="0" applyFont="1" applyFill="1" applyBorder="1" applyAlignment="1" applyProtection="1">
      <alignment horizontal="center" vertical="center"/>
      <protection hidden="1"/>
    </xf>
    <xf numFmtId="3" fontId="50" fillId="12" borderId="105" xfId="0" applyNumberFormat="1" applyFont="1" applyFill="1" applyBorder="1" applyAlignment="1" applyProtection="1">
      <alignment horizontal="center" vertical="center"/>
      <protection hidden="1"/>
    </xf>
    <xf numFmtId="2" fontId="50" fillId="12" borderId="121" xfId="0" applyNumberFormat="1" applyFont="1" applyFill="1" applyBorder="1" applyAlignment="1" applyProtection="1">
      <alignment horizontal="center" vertical="center"/>
      <protection hidden="1"/>
    </xf>
    <xf numFmtId="3" fontId="50" fillId="12" borderId="104" xfId="0" applyNumberFormat="1" applyFont="1" applyFill="1" applyBorder="1" applyAlignment="1" applyProtection="1">
      <alignment horizontal="center" vertical="center"/>
      <protection hidden="1"/>
    </xf>
    <xf numFmtId="0" fontId="0" fillId="7" borderId="0" xfId="0" applyFill="1"/>
    <xf numFmtId="0" fontId="2" fillId="7" borderId="0" xfId="0" applyFont="1" applyFill="1"/>
    <xf numFmtId="173" fontId="2" fillId="7" borderId="0" xfId="0" applyNumberFormat="1" applyFont="1" applyFill="1"/>
    <xf numFmtId="0" fontId="42" fillId="7" borderId="0" xfId="0" applyFont="1" applyFill="1" applyAlignment="1">
      <alignment horizontal="center" vertical="center"/>
    </xf>
    <xf numFmtId="169" fontId="0" fillId="7" borderId="0" xfId="0" applyNumberFormat="1" applyFill="1"/>
    <xf numFmtId="0" fontId="60" fillId="7" borderId="0" xfId="0" applyFont="1" applyFill="1" applyAlignment="1">
      <alignment horizontal="center" vertical="center"/>
    </xf>
    <xf numFmtId="174" fontId="42" fillId="7" borderId="0" xfId="0" applyNumberFormat="1" applyFont="1" applyFill="1" applyAlignment="1" applyProtection="1">
      <alignment horizontal="center" vertical="center"/>
      <protection hidden="1"/>
    </xf>
    <xf numFmtId="0" fontId="0" fillId="7" borderId="143" xfId="0" applyFill="1" applyBorder="1"/>
    <xf numFmtId="0" fontId="0" fillId="17" borderId="167" xfId="0" applyFill="1" applyBorder="1"/>
    <xf numFmtId="0" fontId="0" fillId="17" borderId="97" xfId="0" applyFill="1" applyBorder="1"/>
    <xf numFmtId="0" fontId="0" fillId="17" borderId="168" xfId="0" applyFill="1" applyBorder="1"/>
    <xf numFmtId="3" fontId="35" fillId="10" borderId="115" xfId="0" applyNumberFormat="1" applyFont="1" applyFill="1" applyBorder="1" applyAlignment="1" applyProtection="1">
      <alignment vertical="center"/>
      <protection hidden="1"/>
    </xf>
    <xf numFmtId="3" fontId="35" fillId="10" borderId="113" xfId="0" applyNumberFormat="1" applyFont="1" applyFill="1" applyBorder="1" applyAlignment="1" applyProtection="1">
      <alignment vertical="center"/>
      <protection hidden="1"/>
    </xf>
    <xf numFmtId="3" fontId="35" fillId="2" borderId="114" xfId="0" applyNumberFormat="1" applyFont="1" applyFill="1" applyBorder="1" applyAlignment="1" applyProtection="1">
      <alignment vertical="center"/>
      <protection hidden="1"/>
    </xf>
    <xf numFmtId="3" fontId="35" fillId="2" borderId="85" xfId="0" applyNumberFormat="1" applyFont="1" applyFill="1" applyBorder="1" applyAlignment="1" applyProtection="1">
      <alignment horizontal="center" vertical="center"/>
      <protection hidden="1"/>
    </xf>
    <xf numFmtId="164" fontId="33" fillId="2" borderId="0" xfId="0" applyNumberFormat="1" applyFont="1" applyFill="1" applyAlignment="1" applyProtection="1">
      <alignment horizontal="center"/>
      <protection hidden="1"/>
    </xf>
    <xf numFmtId="164" fontId="0" fillId="2" borderId="0" xfId="1" applyNumberFormat="1" applyFont="1" applyFill="1" applyBorder="1" applyAlignment="1" applyProtection="1">
      <alignment horizontal="center" vertical="center"/>
      <protection hidden="1"/>
    </xf>
    <xf numFmtId="10" fontId="39" fillId="8" borderId="81" xfId="2" applyNumberFormat="1" applyFont="1" applyFill="1" applyBorder="1" applyAlignment="1" applyProtection="1">
      <alignment horizontal="center"/>
      <protection hidden="1"/>
    </xf>
    <xf numFmtId="9" fontId="2" fillId="5" borderId="75" xfId="0" applyNumberFormat="1" applyFont="1" applyFill="1" applyBorder="1" applyAlignment="1" applyProtection="1">
      <alignment horizontal="center" vertical="center"/>
      <protection hidden="1"/>
    </xf>
    <xf numFmtId="9" fontId="2" fillId="5" borderId="77" xfId="0" applyNumberFormat="1" applyFont="1" applyFill="1" applyBorder="1" applyAlignment="1" applyProtection="1">
      <alignment horizontal="center" vertical="center"/>
      <protection hidden="1"/>
    </xf>
    <xf numFmtId="164" fontId="2" fillId="5" borderId="76" xfId="0" applyNumberFormat="1" applyFont="1" applyFill="1" applyBorder="1" applyAlignment="1" applyProtection="1">
      <alignment horizontal="center"/>
      <protection hidden="1"/>
    </xf>
    <xf numFmtId="165" fontId="2" fillId="5" borderId="78" xfId="0" applyNumberFormat="1" applyFont="1" applyFill="1" applyBorder="1" applyAlignment="1" applyProtection="1">
      <alignment horizontal="center"/>
      <protection hidden="1"/>
    </xf>
    <xf numFmtId="165" fontId="33" fillId="7" borderId="72" xfId="0" applyNumberFormat="1" applyFont="1" applyFill="1" applyBorder="1" applyAlignment="1" applyProtection="1">
      <alignment horizontal="center"/>
      <protection hidden="1"/>
    </xf>
    <xf numFmtId="165" fontId="0" fillId="7" borderId="74" xfId="1" applyNumberFormat="1" applyFont="1" applyFill="1" applyBorder="1" applyAlignment="1" applyProtection="1">
      <alignment horizontal="center" vertical="center"/>
      <protection hidden="1"/>
    </xf>
    <xf numFmtId="165" fontId="2" fillId="5" borderId="75" xfId="0" applyNumberFormat="1" applyFont="1" applyFill="1" applyBorder="1" applyAlignment="1" applyProtection="1">
      <alignment horizontal="center"/>
      <protection hidden="1"/>
    </xf>
    <xf numFmtId="165" fontId="2" fillId="5" borderId="77" xfId="0" applyNumberFormat="1" applyFont="1" applyFill="1" applyBorder="1" applyAlignment="1" applyProtection="1">
      <alignment horizontal="center"/>
      <protection hidden="1"/>
    </xf>
    <xf numFmtId="165" fontId="2" fillId="5" borderId="81" xfId="0" applyNumberFormat="1" applyFont="1" applyFill="1" applyBorder="1" applyAlignment="1" applyProtection="1">
      <alignment horizontal="center"/>
      <protection hidden="1"/>
    </xf>
    <xf numFmtId="165" fontId="2" fillId="5" borderId="81" xfId="0" applyNumberFormat="1" applyFont="1" applyFill="1" applyBorder="1" applyAlignment="1" applyProtection="1">
      <alignment horizontal="center" vertical="center"/>
      <protection hidden="1"/>
    </xf>
    <xf numFmtId="165" fontId="2" fillId="5" borderId="76" xfId="0" applyNumberFormat="1" applyFont="1" applyFill="1" applyBorder="1" applyAlignment="1" applyProtection="1">
      <alignment horizontal="center"/>
      <protection hidden="1"/>
    </xf>
    <xf numFmtId="3" fontId="2" fillId="2" borderId="134" xfId="0" applyNumberFormat="1" applyFont="1" applyFill="1" applyBorder="1" applyAlignment="1">
      <alignment horizontal="center" vertical="center"/>
    </xf>
    <xf numFmtId="3" fontId="2" fillId="2" borderId="53" xfId="0" applyNumberFormat="1" applyFont="1" applyFill="1" applyBorder="1" applyAlignment="1">
      <alignment horizontal="center" vertical="center"/>
    </xf>
    <xf numFmtId="3" fontId="2" fillId="2" borderId="14" xfId="0" applyNumberFormat="1" applyFont="1" applyFill="1" applyBorder="1" applyAlignment="1">
      <alignment horizontal="center" vertical="center"/>
    </xf>
    <xf numFmtId="0" fontId="24" fillId="2" borderId="0" xfId="3" applyFont="1" applyFill="1" applyBorder="1" applyAlignment="1">
      <alignment horizontal="center" vertical="center"/>
    </xf>
    <xf numFmtId="0" fontId="24" fillId="2" borderId="0" xfId="3" applyFont="1" applyFill="1" applyBorder="1" applyAlignment="1">
      <alignment horizontal="center" vertical="center" wrapText="1"/>
    </xf>
    <xf numFmtId="0" fontId="63" fillId="2" borderId="9" xfId="0" applyFont="1" applyFill="1" applyBorder="1" applyAlignment="1" applyProtection="1">
      <alignment horizontal="center"/>
      <protection hidden="1"/>
    </xf>
    <xf numFmtId="0" fontId="63" fillId="2" borderId="10" xfId="0" applyFont="1" applyFill="1" applyBorder="1" applyAlignment="1" applyProtection="1">
      <alignment horizontal="center"/>
      <protection hidden="1"/>
    </xf>
    <xf numFmtId="0" fontId="63" fillId="2" borderId="11" xfId="0" applyFont="1" applyFill="1" applyBorder="1" applyAlignment="1" applyProtection="1">
      <alignment horizontal="center"/>
      <protection hidden="1"/>
    </xf>
    <xf numFmtId="0" fontId="44" fillId="2" borderId="0" xfId="0" applyFont="1" applyFill="1" applyAlignment="1" applyProtection="1">
      <alignment horizontal="center"/>
      <protection hidden="1"/>
    </xf>
    <xf numFmtId="0" fontId="2" fillId="2" borderId="6" xfId="0" applyFont="1" applyFill="1" applyBorder="1" applyAlignment="1" applyProtection="1">
      <alignment horizontal="center"/>
      <protection hidden="1"/>
    </xf>
    <xf numFmtId="3" fontId="51" fillId="2" borderId="0" xfId="0" applyNumberFormat="1" applyFont="1" applyFill="1" applyAlignment="1" applyProtection="1">
      <alignment horizontal="center" vertical="center"/>
      <protection hidden="1"/>
    </xf>
    <xf numFmtId="0" fontId="51" fillId="2" borderId="0" xfId="0" applyFont="1" applyFill="1" applyAlignment="1" applyProtection="1">
      <alignment horizontal="center" vertical="center"/>
      <protection hidden="1"/>
    </xf>
    <xf numFmtId="172" fontId="51" fillId="2" borderId="0" xfId="0" applyNumberFormat="1" applyFont="1" applyFill="1" applyAlignment="1" applyProtection="1">
      <alignment horizontal="center" vertical="center"/>
      <protection hidden="1"/>
    </xf>
    <xf numFmtId="173" fontId="49" fillId="7" borderId="101" xfId="0" applyNumberFormat="1" applyFont="1" applyFill="1" applyBorder="1" applyAlignment="1" applyProtection="1">
      <alignment horizontal="center" vertical="center"/>
      <protection hidden="1"/>
    </xf>
    <xf numFmtId="173" fontId="49" fillId="7" borderId="102" xfId="0" applyNumberFormat="1" applyFont="1" applyFill="1" applyBorder="1" applyAlignment="1" applyProtection="1">
      <alignment horizontal="center" vertical="center"/>
      <protection hidden="1"/>
    </xf>
    <xf numFmtId="0" fontId="50" fillId="12" borderId="70" xfId="0" applyFont="1" applyFill="1" applyBorder="1" applyAlignment="1" applyProtection="1">
      <alignment horizontal="center" vertical="center"/>
      <protection hidden="1"/>
    </xf>
    <xf numFmtId="0" fontId="50" fillId="12" borderId="71" xfId="0" applyFont="1" applyFill="1" applyBorder="1" applyAlignment="1" applyProtection="1">
      <alignment horizontal="center" vertical="center"/>
      <protection hidden="1"/>
    </xf>
    <xf numFmtId="0" fontId="49" fillId="7" borderId="70" xfId="0" applyFont="1" applyFill="1" applyBorder="1" applyAlignment="1" applyProtection="1">
      <alignment horizontal="center" vertical="center"/>
      <protection hidden="1"/>
    </xf>
    <xf numFmtId="0" fontId="49" fillId="7" borderId="71" xfId="0" applyFont="1" applyFill="1" applyBorder="1" applyAlignment="1" applyProtection="1">
      <alignment horizontal="center" vertical="center"/>
      <protection hidden="1"/>
    </xf>
    <xf numFmtId="0" fontId="49" fillId="2" borderId="0" xfId="0" applyFont="1" applyFill="1" applyAlignment="1" applyProtection="1">
      <alignment horizontal="center" vertical="center"/>
      <protection hidden="1"/>
    </xf>
    <xf numFmtId="0" fontId="47" fillId="2" borderId="0" xfId="0" applyFont="1" applyFill="1" applyAlignment="1" applyProtection="1">
      <alignment horizontal="center" vertical="center"/>
      <protection hidden="1"/>
    </xf>
    <xf numFmtId="3" fontId="35" fillId="2" borderId="0" xfId="0" applyNumberFormat="1" applyFont="1" applyFill="1" applyAlignment="1" applyProtection="1">
      <alignment horizontal="center" vertical="center"/>
      <protection hidden="1"/>
    </xf>
    <xf numFmtId="0" fontId="50" fillId="2" borderId="0" xfId="0" applyFont="1" applyFill="1" applyAlignment="1" applyProtection="1">
      <alignment horizontal="center" vertical="center"/>
      <protection hidden="1"/>
    </xf>
    <xf numFmtId="173" fontId="49" fillId="2" borderId="0" xfId="0" applyNumberFormat="1" applyFont="1" applyFill="1" applyAlignment="1" applyProtection="1">
      <alignment horizontal="center" vertical="center"/>
      <protection hidden="1"/>
    </xf>
    <xf numFmtId="0" fontId="47" fillId="5" borderId="109" xfId="0" applyFont="1" applyFill="1" applyBorder="1" applyAlignment="1" applyProtection="1">
      <alignment horizontal="center" vertical="center"/>
      <protection hidden="1"/>
    </xf>
    <xf numFmtId="0" fontId="47" fillId="5" borderId="110" xfId="0" applyFont="1" applyFill="1" applyBorder="1" applyAlignment="1" applyProtection="1">
      <alignment horizontal="center" vertical="center"/>
      <protection hidden="1"/>
    </xf>
    <xf numFmtId="0" fontId="47" fillId="5" borderId="118" xfId="0" applyFont="1" applyFill="1" applyBorder="1" applyAlignment="1" applyProtection="1">
      <alignment horizontal="center" vertical="center"/>
      <protection hidden="1"/>
    </xf>
    <xf numFmtId="0" fontId="0" fillId="9" borderId="62" xfId="0" applyFill="1" applyBorder="1" applyAlignment="1" applyProtection="1">
      <alignment horizontal="center"/>
      <protection hidden="1"/>
    </xf>
    <xf numFmtId="0" fontId="0" fillId="9" borderId="61" xfId="0" applyFill="1" applyBorder="1" applyAlignment="1" applyProtection="1">
      <alignment horizontal="center"/>
      <protection hidden="1"/>
    </xf>
    <xf numFmtId="0" fontId="0" fillId="9" borderId="52" xfId="0" applyFill="1" applyBorder="1" applyAlignment="1" applyProtection="1">
      <alignment horizontal="center"/>
      <protection hidden="1"/>
    </xf>
    <xf numFmtId="0" fontId="47" fillId="5" borderId="96" xfId="0" applyFont="1" applyFill="1" applyBorder="1" applyAlignment="1" applyProtection="1">
      <alignment horizontal="center" vertical="center"/>
      <protection hidden="1"/>
    </xf>
    <xf numFmtId="0" fontId="47" fillId="5" borderId="97" xfId="0" applyFont="1" applyFill="1" applyBorder="1" applyAlignment="1" applyProtection="1">
      <alignment horizontal="center" vertical="center"/>
      <protection hidden="1"/>
    </xf>
    <xf numFmtId="0" fontId="47" fillId="5" borderId="98" xfId="0" applyFont="1" applyFill="1" applyBorder="1" applyAlignment="1" applyProtection="1">
      <alignment horizontal="center" vertical="center"/>
      <protection hidden="1"/>
    </xf>
    <xf numFmtId="0" fontId="9" fillId="5" borderId="167" xfId="0" applyFont="1" applyFill="1" applyBorder="1" applyAlignment="1" applyProtection="1">
      <alignment horizontal="center"/>
      <protection hidden="1"/>
    </xf>
    <xf numFmtId="0" fontId="9" fillId="5" borderId="168" xfId="0" applyFont="1" applyFill="1" applyBorder="1" applyAlignment="1" applyProtection="1">
      <alignment horizontal="center"/>
      <protection hidden="1"/>
    </xf>
    <xf numFmtId="0" fontId="7" fillId="2" borderId="0" xfId="0" applyFont="1" applyFill="1" applyAlignment="1" applyProtection="1">
      <alignment horizontal="center"/>
      <protection hidden="1"/>
    </xf>
    <xf numFmtId="3" fontId="2" fillId="2" borderId="4" xfId="0" applyNumberFormat="1" applyFont="1" applyFill="1" applyBorder="1" applyAlignment="1">
      <alignment horizontal="center" vertical="center"/>
    </xf>
    <xf numFmtId="3" fontId="2" fillId="2" borderId="132" xfId="0" applyNumberFormat="1" applyFont="1" applyFill="1" applyBorder="1" applyAlignment="1">
      <alignment horizontal="center" vertical="center"/>
    </xf>
    <xf numFmtId="3" fontId="2" fillId="2" borderId="84" xfId="0" applyNumberFormat="1" applyFont="1" applyFill="1" applyBorder="1" applyAlignment="1">
      <alignment horizontal="center" vertical="center"/>
    </xf>
    <xf numFmtId="0" fontId="7" fillId="2" borderId="0" xfId="3" applyFont="1" applyFill="1" applyBorder="1" applyAlignment="1">
      <alignment horizontal="center"/>
    </xf>
    <xf numFmtId="3" fontId="2" fillId="2" borderId="135" xfId="0" applyNumberFormat="1" applyFont="1" applyFill="1" applyBorder="1" applyAlignment="1">
      <alignment horizontal="center" vertical="center"/>
    </xf>
    <xf numFmtId="0" fontId="6" fillId="2" borderId="0" xfId="3" applyFont="1" applyFill="1" applyBorder="1" applyAlignment="1">
      <alignment horizontal="center"/>
    </xf>
    <xf numFmtId="0" fontId="6" fillId="2" borderId="8" xfId="3" applyFont="1" applyFill="1" applyBorder="1" applyAlignment="1">
      <alignment horizontal="center"/>
    </xf>
    <xf numFmtId="0" fontId="5" fillId="2" borderId="0" xfId="3" applyFont="1" applyFill="1" applyBorder="1" applyAlignment="1">
      <alignment horizontal="center" vertical="top"/>
    </xf>
    <xf numFmtId="0" fontId="5" fillId="2" borderId="8" xfId="3" applyFont="1" applyFill="1" applyBorder="1" applyAlignment="1">
      <alignment horizontal="center" vertical="top"/>
    </xf>
    <xf numFmtId="0" fontId="5" fillId="2" borderId="0" xfId="3" applyFont="1" applyFill="1" applyBorder="1" applyAlignment="1">
      <alignment horizontal="center"/>
    </xf>
    <xf numFmtId="0" fontId="20" fillId="2" borderId="6" xfId="0" applyFont="1" applyFill="1" applyBorder="1" applyAlignment="1" applyProtection="1">
      <alignment horizontal="center" vertical="center" wrapText="1"/>
      <protection hidden="1"/>
    </xf>
    <xf numFmtId="0" fontId="17" fillId="2" borderId="6" xfId="0" applyFont="1" applyFill="1" applyBorder="1" applyAlignment="1" applyProtection="1">
      <alignment horizontal="right" vertical="center"/>
      <protection hidden="1"/>
    </xf>
    <xf numFmtId="0" fontId="9" fillId="2" borderId="52" xfId="0" applyFont="1" applyFill="1" applyBorder="1" applyAlignment="1" applyProtection="1">
      <alignment horizontal="center" vertical="center"/>
      <protection hidden="1"/>
    </xf>
    <xf numFmtId="0" fontId="9" fillId="2" borderId="46" xfId="0" applyFont="1" applyFill="1" applyBorder="1" applyAlignment="1" applyProtection="1">
      <alignment horizontal="center" vertical="center"/>
      <protection hidden="1"/>
    </xf>
    <xf numFmtId="0" fontId="20" fillId="2" borderId="6" xfId="0" applyFont="1" applyFill="1" applyBorder="1" applyAlignment="1">
      <alignment horizontal="center" vertical="center" wrapText="1"/>
    </xf>
    <xf numFmtId="0" fontId="24" fillId="2" borderId="9" xfId="0" applyFont="1" applyFill="1" applyBorder="1" applyAlignment="1" applyProtection="1">
      <alignment horizontal="right"/>
      <protection hidden="1"/>
    </xf>
    <xf numFmtId="0" fontId="24" fillId="2" borderId="11" xfId="0" applyFont="1" applyFill="1" applyBorder="1" applyAlignment="1" applyProtection="1">
      <alignment horizontal="right"/>
      <protection hidden="1"/>
    </xf>
    <xf numFmtId="0" fontId="14" fillId="2" borderId="10" xfId="0" applyFont="1" applyFill="1" applyBorder="1" applyAlignment="1" applyProtection="1">
      <alignment horizontal="center"/>
      <protection hidden="1"/>
    </xf>
    <xf numFmtId="0" fontId="24" fillId="2" borderId="15" xfId="0" applyFont="1" applyFill="1" applyBorder="1" applyAlignment="1" applyProtection="1">
      <alignment horizontal="center"/>
      <protection hidden="1"/>
    </xf>
    <xf numFmtId="4" fontId="27" fillId="2" borderId="34" xfId="9" applyNumberFormat="1" applyFont="1" applyFill="1" applyBorder="1" applyAlignment="1" applyProtection="1">
      <alignment horizontal="center" vertical="center" wrapText="1"/>
      <protection hidden="1"/>
    </xf>
    <xf numFmtId="4" fontId="27" fillId="2" borderId="35" xfId="9" applyNumberFormat="1" applyFont="1" applyFill="1" applyBorder="1" applyAlignment="1" applyProtection="1">
      <alignment horizontal="center" vertical="center" wrapText="1"/>
      <protection hidden="1"/>
    </xf>
    <xf numFmtId="0" fontId="24" fillId="2" borderId="15" xfId="0" applyFont="1" applyFill="1" applyBorder="1" applyAlignment="1" applyProtection="1">
      <alignment horizontal="center" vertical="center"/>
      <protection hidden="1"/>
    </xf>
    <xf numFmtId="0" fontId="25" fillId="2" borderId="15" xfId="0" applyFont="1" applyFill="1" applyBorder="1" applyAlignment="1" applyProtection="1">
      <alignment horizontal="left"/>
      <protection hidden="1"/>
    </xf>
    <xf numFmtId="0" fontId="46" fillId="2" borderId="15" xfId="0" applyFont="1" applyFill="1" applyBorder="1" applyAlignment="1" applyProtection="1">
      <alignment horizontal="left"/>
      <protection hidden="1"/>
    </xf>
    <xf numFmtId="0" fontId="46" fillId="2" borderId="15" xfId="0" applyFont="1" applyFill="1" applyBorder="1" applyAlignment="1" applyProtection="1">
      <alignment horizontal="center"/>
      <protection hidden="1"/>
    </xf>
    <xf numFmtId="0" fontId="24" fillId="2" borderId="15" xfId="0" applyFont="1" applyFill="1" applyBorder="1" applyAlignment="1" applyProtection="1">
      <alignment horizontal="left"/>
      <protection hidden="1"/>
    </xf>
    <xf numFmtId="0" fontId="31" fillId="2" borderId="40" xfId="0" applyFont="1" applyFill="1" applyBorder="1" applyAlignment="1" applyProtection="1">
      <alignment horizontal="center"/>
      <protection hidden="1"/>
    </xf>
    <xf numFmtId="0" fontId="31" fillId="2" borderId="6" xfId="0" applyFont="1" applyFill="1" applyBorder="1" applyAlignment="1" applyProtection="1">
      <alignment horizontal="center"/>
      <protection hidden="1"/>
    </xf>
    <xf numFmtId="0" fontId="31" fillId="2" borderId="44" xfId="0" applyFont="1" applyFill="1" applyBorder="1" applyAlignment="1" applyProtection="1">
      <alignment horizontal="center"/>
      <protection hidden="1"/>
    </xf>
    <xf numFmtId="0" fontId="31" fillId="2" borderId="10" xfId="0" applyFont="1" applyFill="1" applyBorder="1" applyAlignment="1" applyProtection="1">
      <alignment horizontal="center"/>
      <protection hidden="1"/>
    </xf>
    <xf numFmtId="0" fontId="31" fillId="2" borderId="11" xfId="0" applyFont="1" applyFill="1" applyBorder="1" applyAlignment="1" applyProtection="1">
      <alignment horizontal="center"/>
      <protection hidden="1"/>
    </xf>
    <xf numFmtId="0" fontId="30" fillId="2" borderId="37" xfId="0" applyFont="1" applyFill="1" applyBorder="1" applyAlignment="1" applyProtection="1">
      <alignment horizontal="center"/>
      <protection hidden="1"/>
    </xf>
    <xf numFmtId="0" fontId="30" fillId="2" borderId="38" xfId="0" applyFont="1" applyFill="1" applyBorder="1" applyAlignment="1" applyProtection="1">
      <alignment horizontal="center"/>
      <protection hidden="1"/>
    </xf>
    <xf numFmtId="0" fontId="31" fillId="2" borderId="42" xfId="0" applyFont="1" applyFill="1" applyBorder="1" applyAlignment="1" applyProtection="1">
      <alignment horizontal="center"/>
      <protection hidden="1"/>
    </xf>
    <xf numFmtId="0" fontId="31" fillId="2" borderId="43" xfId="0" applyFont="1" applyFill="1" applyBorder="1" applyAlignment="1" applyProtection="1">
      <alignment horizontal="center"/>
      <protection hidden="1"/>
    </xf>
    <xf numFmtId="0" fontId="31" fillId="2" borderId="62" xfId="0" applyFont="1" applyFill="1" applyBorder="1" applyAlignment="1" applyProtection="1">
      <alignment horizontal="center" wrapText="1"/>
      <protection hidden="1"/>
    </xf>
    <xf numFmtId="0" fontId="31" fillId="2" borderId="61" xfId="0" applyFont="1" applyFill="1" applyBorder="1" applyAlignment="1" applyProtection="1">
      <alignment horizontal="center" wrapText="1"/>
      <protection hidden="1"/>
    </xf>
    <xf numFmtId="0" fontId="31" fillId="2" borderId="52" xfId="0" applyFont="1" applyFill="1" applyBorder="1" applyAlignment="1" applyProtection="1">
      <alignment horizontal="center" wrapText="1"/>
      <protection hidden="1"/>
    </xf>
    <xf numFmtId="0" fontId="31" fillId="2" borderId="63" xfId="0" applyFont="1" applyFill="1" applyBorder="1" applyAlignment="1" applyProtection="1">
      <alignment horizontal="center" wrapText="1"/>
      <protection hidden="1"/>
    </xf>
    <xf numFmtId="0" fontId="31" fillId="2" borderId="5" xfId="0" applyFont="1" applyFill="1" applyBorder="1" applyAlignment="1" applyProtection="1">
      <alignment horizontal="center" wrapText="1"/>
      <protection hidden="1"/>
    </xf>
    <xf numFmtId="0" fontId="31" fillId="2" borderId="64" xfId="0" applyFont="1" applyFill="1" applyBorder="1" applyAlignment="1" applyProtection="1">
      <alignment horizontal="center" wrapText="1"/>
      <protection hidden="1"/>
    </xf>
    <xf numFmtId="0" fontId="15" fillId="2" borderId="95" xfId="0" applyFont="1" applyFill="1" applyBorder="1" applyAlignment="1" applyProtection="1">
      <alignment horizontal="center"/>
      <protection hidden="1"/>
    </xf>
    <xf numFmtId="0" fontId="15" fillId="2" borderId="114" xfId="0" applyFont="1" applyFill="1" applyBorder="1" applyAlignment="1" applyProtection="1">
      <alignment horizontal="center"/>
      <protection hidden="1"/>
    </xf>
    <xf numFmtId="0" fontId="15" fillId="2" borderId="122" xfId="0" applyFont="1" applyFill="1" applyBorder="1" applyAlignment="1" applyProtection="1">
      <alignment horizontal="center"/>
      <protection hidden="1"/>
    </xf>
    <xf numFmtId="0" fontId="15" fillId="2" borderId="0" xfId="0" applyFont="1" applyFill="1" applyAlignment="1" applyProtection="1">
      <alignment horizontal="center"/>
      <protection hidden="1"/>
    </xf>
    <xf numFmtId="0" fontId="53" fillId="2" borderId="0" xfId="0" applyFont="1" applyFill="1" applyAlignment="1" applyProtection="1">
      <alignment horizontal="center"/>
      <protection hidden="1"/>
    </xf>
    <xf numFmtId="0" fontId="12" fillId="2" borderId="0" xfId="0" applyFont="1" applyFill="1" applyAlignment="1" applyProtection="1">
      <alignment horizontal="center"/>
      <protection hidden="1"/>
    </xf>
    <xf numFmtId="0" fontId="12" fillId="2" borderId="15" xfId="0" applyFont="1" applyFill="1" applyBorder="1" applyAlignment="1" applyProtection="1">
      <alignment horizontal="center"/>
      <protection hidden="1"/>
    </xf>
    <xf numFmtId="0" fontId="5" fillId="2" borderId="0" xfId="3" applyFont="1" applyFill="1" applyBorder="1" applyAlignment="1" applyProtection="1">
      <alignment horizontal="center" vertical="center"/>
      <protection hidden="1"/>
    </xf>
    <xf numFmtId="0" fontId="5" fillId="2" borderId="15" xfId="3" applyFont="1" applyFill="1" applyBorder="1" applyAlignment="1" applyProtection="1">
      <alignment horizontal="center" vertical="center"/>
      <protection hidden="1"/>
    </xf>
    <xf numFmtId="0" fontId="15" fillId="2" borderId="48" xfId="0" applyFont="1" applyFill="1" applyBorder="1" applyAlignment="1" applyProtection="1">
      <alignment horizontal="center"/>
      <protection hidden="1"/>
    </xf>
    <xf numFmtId="0" fontId="15" fillId="2" borderId="49" xfId="0" applyFont="1" applyFill="1" applyBorder="1" applyAlignment="1" applyProtection="1">
      <alignment horizontal="center"/>
      <protection hidden="1"/>
    </xf>
    <xf numFmtId="0" fontId="15" fillId="2" borderId="50" xfId="0" applyFont="1" applyFill="1" applyBorder="1" applyAlignment="1" applyProtection="1">
      <alignment horizontal="center"/>
      <protection hidden="1"/>
    </xf>
    <xf numFmtId="0" fontId="2" fillId="2" borderId="0" xfId="0" applyFont="1" applyFill="1" applyAlignment="1" applyProtection="1">
      <alignment horizontal="center"/>
      <protection hidden="1"/>
    </xf>
    <xf numFmtId="14" fontId="2" fillId="2" borderId="58" xfId="0" applyNumberFormat="1" applyFont="1" applyFill="1" applyBorder="1" applyAlignment="1" applyProtection="1">
      <alignment horizontal="center"/>
      <protection hidden="1"/>
    </xf>
    <xf numFmtId="14" fontId="2" fillId="2" borderId="57" xfId="0" applyNumberFormat="1" applyFont="1" applyFill="1" applyBorder="1" applyAlignment="1" applyProtection="1">
      <alignment horizontal="center"/>
      <protection hidden="1"/>
    </xf>
    <xf numFmtId="14" fontId="2" fillId="2" borderId="55" xfId="0" applyNumberFormat="1" applyFont="1" applyFill="1" applyBorder="1" applyAlignment="1" applyProtection="1">
      <alignment horizontal="center"/>
      <protection hidden="1"/>
    </xf>
    <xf numFmtId="0" fontId="0" fillId="2" borderId="58" xfId="0" applyFill="1" applyBorder="1" applyAlignment="1" applyProtection="1">
      <alignment horizontal="center"/>
      <protection hidden="1"/>
    </xf>
    <xf numFmtId="0" fontId="0" fillId="2" borderId="57" xfId="0" applyFill="1" applyBorder="1" applyAlignment="1" applyProtection="1">
      <alignment horizontal="center"/>
      <protection hidden="1"/>
    </xf>
    <xf numFmtId="14" fontId="2" fillId="2" borderId="83" xfId="0" applyNumberFormat="1" applyFont="1" applyFill="1" applyBorder="1" applyAlignment="1" applyProtection="1">
      <alignment horizontal="center"/>
      <protection hidden="1"/>
    </xf>
    <xf numFmtId="14" fontId="2" fillId="2" borderId="126" xfId="0" applyNumberFormat="1" applyFont="1" applyFill="1" applyBorder="1" applyAlignment="1" applyProtection="1">
      <alignment horizontal="center"/>
      <protection hidden="1"/>
    </xf>
    <xf numFmtId="0" fontId="0" fillId="7" borderId="169" xfId="0" applyFill="1" applyBorder="1" applyAlignment="1">
      <alignment horizontal="center"/>
    </xf>
    <xf numFmtId="0" fontId="0" fillId="7" borderId="170" xfId="0" applyFill="1" applyBorder="1" applyAlignment="1">
      <alignment horizontal="center"/>
    </xf>
    <xf numFmtId="0" fontId="61" fillId="12" borderId="141" xfId="3" applyFont="1" applyFill="1" applyBorder="1" applyAlignment="1" applyProtection="1">
      <alignment horizontal="center" vertical="center"/>
    </xf>
    <xf numFmtId="0" fontId="61" fillId="12" borderId="143" xfId="3" applyFont="1" applyFill="1" applyBorder="1" applyAlignment="1" applyProtection="1">
      <alignment horizontal="center" vertical="center"/>
    </xf>
    <xf numFmtId="0" fontId="61" fillId="12" borderId="142" xfId="3" applyFont="1" applyFill="1" applyBorder="1" applyAlignment="1" applyProtection="1">
      <alignment horizontal="center" vertical="center"/>
    </xf>
    <xf numFmtId="0" fontId="61" fillId="12" borderId="146" xfId="3" applyFont="1" applyFill="1" applyBorder="1" applyAlignment="1" applyProtection="1">
      <alignment horizontal="center" vertical="center"/>
    </xf>
    <xf numFmtId="0" fontId="61" fillId="12" borderId="110" xfId="3" applyFont="1" applyFill="1" applyBorder="1" applyAlignment="1" applyProtection="1">
      <alignment horizontal="center" vertical="center"/>
    </xf>
    <xf numFmtId="0" fontId="61" fillId="12" borderId="147" xfId="3" applyFont="1" applyFill="1" applyBorder="1" applyAlignment="1" applyProtection="1">
      <alignment horizontal="center" vertical="center"/>
    </xf>
    <xf numFmtId="0" fontId="0" fillId="7" borderId="169" xfId="0" applyFill="1" applyBorder="1" applyAlignment="1">
      <alignment horizontal="center" vertical="center"/>
    </xf>
    <xf numFmtId="0" fontId="0" fillId="7" borderId="170" xfId="0" applyFill="1" applyBorder="1" applyAlignment="1">
      <alignment horizontal="center" vertical="center"/>
    </xf>
    <xf numFmtId="0" fontId="60" fillId="7" borderId="151" xfId="0" applyFont="1" applyFill="1" applyBorder="1" applyAlignment="1">
      <alignment horizontal="center" vertical="center"/>
    </xf>
    <xf numFmtId="0" fontId="60" fillId="7" borderId="72" xfId="0" applyFont="1" applyFill="1" applyBorder="1" applyAlignment="1">
      <alignment horizontal="center" vertical="center"/>
    </xf>
    <xf numFmtId="0" fontId="60" fillId="7" borderId="74" xfId="0" applyFont="1" applyFill="1" applyBorder="1" applyAlignment="1">
      <alignment horizontal="center" vertical="center"/>
    </xf>
    <xf numFmtId="0" fontId="60" fillId="7" borderId="153" xfId="0" applyFont="1" applyFill="1" applyBorder="1" applyAlignment="1">
      <alignment horizontal="center" vertical="center"/>
    </xf>
    <xf numFmtId="0" fontId="60" fillId="7" borderId="121" xfId="0" applyFont="1" applyFill="1" applyBorder="1" applyAlignment="1">
      <alignment horizontal="center" vertical="center"/>
    </xf>
    <xf numFmtId="0" fontId="60" fillId="7" borderId="154" xfId="0" applyFont="1" applyFill="1" applyBorder="1" applyAlignment="1">
      <alignment horizontal="center" vertical="center"/>
    </xf>
    <xf numFmtId="174" fontId="42" fillId="16" borderId="141" xfId="0" applyNumberFormat="1" applyFont="1" applyFill="1" applyBorder="1" applyAlignment="1">
      <alignment horizontal="center" vertical="center"/>
    </xf>
    <xf numFmtId="174" fontId="42" fillId="16" borderId="142" xfId="0" applyNumberFormat="1" applyFont="1" applyFill="1" applyBorder="1" applyAlignment="1">
      <alignment horizontal="center" vertical="center"/>
    </xf>
    <xf numFmtId="174" fontId="42" fillId="16" borderId="146" xfId="0" applyNumberFormat="1" applyFont="1" applyFill="1" applyBorder="1" applyAlignment="1">
      <alignment horizontal="center" vertical="center"/>
    </xf>
    <xf numFmtId="174" fontId="42" fillId="16" borderId="147" xfId="0" applyNumberFormat="1" applyFont="1" applyFill="1" applyBorder="1" applyAlignment="1">
      <alignment horizontal="center" vertical="center"/>
    </xf>
    <xf numFmtId="0" fontId="42" fillId="7" borderId="0" xfId="0" applyFont="1" applyFill="1" applyAlignment="1">
      <alignment horizontal="center" vertical="center"/>
    </xf>
    <xf numFmtId="0" fontId="42" fillId="7" borderId="145" xfId="0" applyFont="1" applyFill="1" applyBorder="1" applyAlignment="1">
      <alignment horizontal="center" vertical="center"/>
    </xf>
    <xf numFmtId="0" fontId="42" fillId="7" borderId="110" xfId="0" applyFont="1" applyFill="1" applyBorder="1" applyAlignment="1">
      <alignment horizontal="center" vertical="center"/>
    </xf>
    <xf numFmtId="0" fontId="42" fillId="7" borderId="147" xfId="0" applyFont="1" applyFill="1" applyBorder="1" applyAlignment="1">
      <alignment horizontal="center" vertical="center"/>
    </xf>
    <xf numFmtId="0" fontId="60" fillId="7" borderId="148" xfId="0" applyFont="1" applyFill="1" applyBorder="1" applyAlignment="1">
      <alignment horizontal="center" vertical="center"/>
    </xf>
    <xf numFmtId="0" fontId="60" fillId="7" borderId="149" xfId="0" applyFont="1" applyFill="1" applyBorder="1" applyAlignment="1">
      <alignment horizontal="center" vertical="center"/>
    </xf>
    <xf numFmtId="0" fontId="60" fillId="7" borderId="73" xfId="0" applyFont="1" applyFill="1" applyBorder="1" applyAlignment="1">
      <alignment horizontal="center" vertical="center"/>
    </xf>
    <xf numFmtId="169" fontId="60" fillId="14" borderId="144" xfId="0" applyNumberFormat="1" applyFont="1" applyFill="1" applyBorder="1" applyAlignment="1">
      <alignment horizontal="center" vertical="center"/>
    </xf>
    <xf numFmtId="169" fontId="60" fillId="14" borderId="145" xfId="0" applyNumberFormat="1" applyFont="1" applyFill="1" applyBorder="1" applyAlignment="1">
      <alignment horizontal="center" vertical="center"/>
    </xf>
    <xf numFmtId="169" fontId="60" fillId="14" borderId="146" xfId="0" applyNumberFormat="1" applyFont="1" applyFill="1" applyBorder="1" applyAlignment="1">
      <alignment horizontal="center" vertical="center"/>
    </xf>
    <xf numFmtId="169" fontId="60" fillId="14" borderId="147" xfId="0" applyNumberFormat="1" applyFont="1" applyFill="1" applyBorder="1" applyAlignment="1">
      <alignment horizontal="center" vertical="center"/>
    </xf>
    <xf numFmtId="0" fontId="42" fillId="7" borderId="148" xfId="0" applyFont="1" applyFill="1" applyBorder="1" applyAlignment="1">
      <alignment horizontal="center" vertical="center"/>
    </xf>
    <xf numFmtId="0" fontId="42" fillId="7" borderId="73" xfId="0" applyFont="1" applyFill="1" applyBorder="1" applyAlignment="1">
      <alignment horizontal="center" vertical="center"/>
    </xf>
    <xf numFmtId="0" fontId="42" fillId="7" borderId="153" xfId="0" applyFont="1" applyFill="1" applyBorder="1" applyAlignment="1">
      <alignment horizontal="center" vertical="center"/>
    </xf>
    <xf numFmtId="0" fontId="42" fillId="7" borderId="154" xfId="0" applyFont="1" applyFill="1" applyBorder="1" applyAlignment="1">
      <alignment horizontal="center" vertical="center"/>
    </xf>
    <xf numFmtId="0" fontId="60" fillId="7" borderId="90" xfId="0" applyFont="1" applyFill="1" applyBorder="1" applyAlignment="1">
      <alignment horizontal="center" vertical="center"/>
    </xf>
    <xf numFmtId="0" fontId="60" fillId="7" borderId="112" xfId="0" applyFont="1" applyFill="1" applyBorder="1" applyAlignment="1">
      <alignment horizontal="center" vertical="center"/>
    </xf>
    <xf numFmtId="0" fontId="60" fillId="7" borderId="113" xfId="0" applyFont="1" applyFill="1" applyBorder="1" applyAlignment="1">
      <alignment horizontal="center" vertical="center"/>
    </xf>
    <xf numFmtId="0" fontId="60" fillId="7" borderId="161" xfId="0" applyFont="1" applyFill="1" applyBorder="1" applyAlignment="1">
      <alignment horizontal="center" vertical="center"/>
    </xf>
    <xf numFmtId="0" fontId="60" fillId="7" borderId="162" xfId="0" applyFont="1" applyFill="1" applyBorder="1" applyAlignment="1">
      <alignment horizontal="center" vertical="center"/>
    </xf>
    <xf numFmtId="0" fontId="60" fillId="7" borderId="163" xfId="0" applyFont="1" applyFill="1" applyBorder="1" applyAlignment="1">
      <alignment horizontal="center" vertical="center"/>
    </xf>
    <xf numFmtId="173" fontId="42" fillId="12" borderId="115" xfId="0" applyNumberFormat="1" applyFont="1" applyFill="1" applyBorder="1" applyAlignment="1" applyProtection="1">
      <alignment horizontal="center" vertical="center"/>
      <protection locked="0"/>
    </xf>
    <xf numFmtId="173" fontId="42" fillId="12" borderId="113" xfId="0" applyNumberFormat="1" applyFont="1" applyFill="1" applyBorder="1" applyAlignment="1" applyProtection="1">
      <alignment horizontal="center" vertical="center"/>
      <protection locked="0"/>
    </xf>
    <xf numFmtId="173" fontId="42" fillId="12" borderId="164" xfId="0" applyNumberFormat="1" applyFont="1" applyFill="1" applyBorder="1" applyAlignment="1" applyProtection="1">
      <alignment horizontal="center" vertical="center"/>
      <protection locked="0"/>
    </xf>
    <xf numFmtId="173" fontId="42" fillId="12" borderId="165" xfId="0" applyNumberFormat="1" applyFont="1" applyFill="1" applyBorder="1" applyAlignment="1" applyProtection="1">
      <alignment horizontal="center" vertical="center"/>
      <protection locked="0"/>
    </xf>
    <xf numFmtId="0" fontId="42" fillId="7" borderId="115" xfId="0" applyFont="1" applyFill="1" applyBorder="1" applyAlignment="1">
      <alignment horizontal="center" vertical="center"/>
    </xf>
    <xf numFmtId="0" fontId="42" fillId="7" borderId="158" xfId="0" applyFont="1" applyFill="1" applyBorder="1" applyAlignment="1">
      <alignment horizontal="center" vertical="center"/>
    </xf>
    <xf numFmtId="0" fontId="42" fillId="7" borderId="150" xfId="0" applyFont="1" applyFill="1" applyBorder="1" applyAlignment="1">
      <alignment horizontal="center" vertical="center"/>
    </xf>
    <xf numFmtId="0" fontId="42" fillId="7" borderId="166" xfId="0" applyFont="1" applyFill="1" applyBorder="1" applyAlignment="1">
      <alignment horizontal="center" vertical="center"/>
    </xf>
    <xf numFmtId="173" fontId="42" fillId="12" borderId="150" xfId="0" applyNumberFormat="1" applyFont="1" applyFill="1" applyBorder="1" applyAlignment="1" applyProtection="1">
      <alignment horizontal="center" vertical="center"/>
      <protection locked="0"/>
    </xf>
    <xf numFmtId="173" fontId="42" fillId="12" borderId="163" xfId="0" applyNumberFormat="1" applyFont="1" applyFill="1" applyBorder="1" applyAlignment="1" applyProtection="1">
      <alignment horizontal="center" vertical="center"/>
      <protection locked="0"/>
    </xf>
    <xf numFmtId="0" fontId="60" fillId="7" borderId="144" xfId="0" applyFont="1" applyFill="1" applyBorder="1" applyAlignment="1">
      <alignment horizontal="center" vertical="center"/>
    </xf>
    <xf numFmtId="0" fontId="60" fillId="7" borderId="0" xfId="0" applyFont="1" applyFill="1" applyAlignment="1">
      <alignment horizontal="center" vertical="center"/>
    </xf>
    <xf numFmtId="0" fontId="60" fillId="7" borderId="159" xfId="0" applyFont="1" applyFill="1" applyBorder="1" applyAlignment="1">
      <alignment horizontal="center" vertical="center"/>
    </xf>
    <xf numFmtId="173" fontId="42" fillId="12" borderId="160" xfId="0" applyNumberFormat="1" applyFont="1" applyFill="1" applyBorder="1" applyAlignment="1" applyProtection="1">
      <alignment horizontal="center" vertical="center"/>
      <protection locked="0"/>
    </xf>
    <xf numFmtId="173" fontId="42" fillId="12" borderId="159" xfId="0" applyNumberFormat="1" applyFont="1" applyFill="1" applyBorder="1" applyAlignment="1" applyProtection="1">
      <alignment horizontal="center" vertical="center"/>
      <protection locked="0"/>
    </xf>
    <xf numFmtId="0" fontId="42" fillId="7" borderId="160" xfId="0" applyFont="1" applyFill="1" applyBorder="1" applyAlignment="1">
      <alignment horizontal="center" vertical="center"/>
    </xf>
    <xf numFmtId="0" fontId="42" fillId="7" borderId="149" xfId="0" applyFont="1" applyFill="1" applyBorder="1" applyAlignment="1">
      <alignment horizontal="center" vertical="center"/>
    </xf>
    <xf numFmtId="0" fontId="42" fillId="7" borderId="72" xfId="0" applyFont="1" applyFill="1" applyBorder="1" applyAlignment="1">
      <alignment horizontal="center" vertical="center"/>
    </xf>
    <xf numFmtId="0" fontId="42" fillId="7" borderId="74" xfId="0" applyFont="1" applyFill="1" applyBorder="1" applyAlignment="1">
      <alignment horizontal="center" vertical="center"/>
    </xf>
    <xf numFmtId="0" fontId="60" fillId="7" borderId="70" xfId="0" applyFont="1" applyFill="1" applyBorder="1" applyAlignment="1">
      <alignment horizontal="center" vertical="center"/>
    </xf>
    <xf numFmtId="173" fontId="42" fillId="12" borderId="72" xfId="0" applyNumberFormat="1" applyFont="1" applyFill="1" applyBorder="1" applyAlignment="1" applyProtection="1">
      <alignment horizontal="center" vertical="center"/>
      <protection locked="0"/>
    </xf>
    <xf numFmtId="0" fontId="58" fillId="15" borderId="141" xfId="0" applyFont="1" applyFill="1" applyBorder="1" applyAlignment="1">
      <alignment horizontal="center" vertical="center"/>
    </xf>
    <xf numFmtId="0" fontId="59" fillId="15" borderId="143" xfId="0" applyFont="1" applyFill="1" applyBorder="1" applyAlignment="1">
      <alignment horizontal="center" vertical="center"/>
    </xf>
    <xf numFmtId="0" fontId="59" fillId="15" borderId="142" xfId="0" applyFont="1" applyFill="1" applyBorder="1" applyAlignment="1">
      <alignment horizontal="center" vertical="center"/>
    </xf>
    <xf numFmtId="0" fontId="59" fillId="15" borderId="146" xfId="0" applyFont="1" applyFill="1" applyBorder="1" applyAlignment="1">
      <alignment horizontal="center" vertical="center"/>
    </xf>
    <xf numFmtId="0" fontId="59" fillId="15" borderId="110" xfId="0" applyFont="1" applyFill="1" applyBorder="1" applyAlignment="1">
      <alignment horizontal="center" vertical="center"/>
    </xf>
    <xf numFmtId="0" fontId="59" fillId="15" borderId="147" xfId="0" applyFont="1" applyFill="1" applyBorder="1" applyAlignment="1">
      <alignment horizontal="center" vertical="center"/>
    </xf>
    <xf numFmtId="0" fontId="60" fillId="7" borderId="150" xfId="0" applyFont="1" applyFill="1" applyBorder="1" applyAlignment="1">
      <alignment horizontal="center" vertical="center"/>
    </xf>
    <xf numFmtId="173" fontId="42" fillId="12" borderId="149" xfId="0" applyNumberFormat="1" applyFont="1" applyFill="1" applyBorder="1" applyAlignment="1" applyProtection="1">
      <alignment horizontal="center" vertical="center"/>
      <protection locked="0"/>
    </xf>
    <xf numFmtId="173" fontId="42" fillId="12" borderId="152" xfId="0" applyNumberFormat="1" applyFont="1" applyFill="1" applyBorder="1" applyAlignment="1" applyProtection="1">
      <alignment horizontal="center" vertical="center"/>
      <protection locked="0"/>
    </xf>
    <xf numFmtId="0" fontId="42" fillId="7" borderId="108" xfId="0" applyFont="1" applyFill="1" applyBorder="1" applyAlignment="1">
      <alignment horizontal="center" vertical="center"/>
    </xf>
    <xf numFmtId="0" fontId="42" fillId="7" borderId="156" xfId="0" applyFont="1" applyFill="1" applyBorder="1" applyAlignment="1">
      <alignment horizontal="center" vertical="center"/>
    </xf>
    <xf numFmtId="0" fontId="60" fillId="7" borderId="105" xfId="0" applyFont="1" applyFill="1" applyBorder="1" applyAlignment="1">
      <alignment horizontal="center" vertical="center"/>
    </xf>
    <xf numFmtId="174" fontId="42" fillId="16" borderId="155" xfId="0" applyNumberFormat="1" applyFont="1" applyFill="1" applyBorder="1" applyAlignment="1">
      <alignment horizontal="center" vertical="center"/>
    </xf>
    <xf numFmtId="174" fontId="42" fillId="16" borderId="156" xfId="0" applyNumberFormat="1" applyFont="1" applyFill="1" applyBorder="1" applyAlignment="1">
      <alignment horizontal="center" vertical="center"/>
    </xf>
    <xf numFmtId="174" fontId="42" fillId="16" borderId="153" xfId="0" applyNumberFormat="1" applyFont="1" applyFill="1" applyBorder="1" applyAlignment="1">
      <alignment horizontal="center" vertical="center"/>
    </xf>
    <xf numFmtId="174" fontId="42" fillId="16" borderId="154" xfId="0" applyNumberFormat="1" applyFont="1" applyFill="1" applyBorder="1" applyAlignment="1">
      <alignment horizontal="center" vertical="center"/>
    </xf>
    <xf numFmtId="0" fontId="42" fillId="7" borderId="71" xfId="0" applyFont="1" applyFill="1" applyBorder="1" applyAlignment="1">
      <alignment horizontal="center" vertical="center"/>
    </xf>
    <xf numFmtId="0" fontId="42" fillId="7" borderId="157" xfId="0" applyFont="1" applyFill="1" applyBorder="1" applyAlignment="1">
      <alignment horizontal="center" vertical="center"/>
    </xf>
    <xf numFmtId="0" fontId="59" fillId="15" borderId="144" xfId="0" applyFont="1" applyFill="1" applyBorder="1" applyAlignment="1">
      <alignment horizontal="center" vertical="center"/>
    </xf>
    <xf numFmtId="0" fontId="59" fillId="15" borderId="0" xfId="0" applyFont="1" applyFill="1" applyAlignment="1">
      <alignment horizontal="center" vertical="center"/>
    </xf>
    <xf numFmtId="0" fontId="59" fillId="15" borderId="145" xfId="0" applyFont="1" applyFill="1" applyBorder="1" applyAlignment="1">
      <alignment horizontal="center" vertical="center"/>
    </xf>
    <xf numFmtId="0" fontId="60" fillId="7" borderId="155" xfId="0" applyFont="1" applyFill="1" applyBorder="1" applyAlignment="1">
      <alignment horizontal="center" vertical="center"/>
    </xf>
    <xf numFmtId="0" fontId="60" fillId="7" borderId="108" xfId="0" applyFont="1" applyFill="1" applyBorder="1" applyAlignment="1">
      <alignment horizontal="center" vertical="center"/>
    </xf>
    <xf numFmtId="173" fontId="42" fillId="12" borderId="108" xfId="0" applyNumberFormat="1" applyFont="1" applyFill="1" applyBorder="1" applyAlignment="1" applyProtection="1">
      <alignment horizontal="center" vertical="center"/>
      <protection locked="0"/>
    </xf>
    <xf numFmtId="169" fontId="42" fillId="16" borderId="141" xfId="0" applyNumberFormat="1" applyFont="1" applyFill="1" applyBorder="1" applyAlignment="1">
      <alignment horizontal="center" vertical="center"/>
    </xf>
    <xf numFmtId="169" fontId="42" fillId="16" borderId="142" xfId="0" applyNumberFormat="1" applyFont="1" applyFill="1" applyBorder="1" applyAlignment="1">
      <alignment horizontal="center" vertical="center"/>
    </xf>
    <xf numFmtId="169" fontId="42" fillId="16" borderId="146" xfId="0" applyNumberFormat="1" applyFont="1" applyFill="1" applyBorder="1" applyAlignment="1">
      <alignment horizontal="center" vertical="center"/>
    </xf>
    <xf numFmtId="169" fontId="42" fillId="16" borderId="147" xfId="0" applyNumberFormat="1" applyFont="1" applyFill="1" applyBorder="1" applyAlignment="1">
      <alignment horizontal="center" vertical="center"/>
    </xf>
    <xf numFmtId="0" fontId="62" fillId="13" borderId="0" xfId="3" applyFont="1" applyFill="1" applyAlignment="1">
      <alignment horizontal="center" vertical="center"/>
    </xf>
    <xf numFmtId="0" fontId="57" fillId="14" borderId="141" xfId="0" applyFont="1" applyFill="1" applyBorder="1" applyAlignment="1">
      <alignment horizontal="center" vertical="center"/>
    </xf>
    <xf numFmtId="0" fontId="57" fillId="14" borderId="143" xfId="0" applyFont="1" applyFill="1" applyBorder="1" applyAlignment="1">
      <alignment horizontal="center" vertical="center"/>
    </xf>
    <xf numFmtId="0" fontId="57" fillId="14" borderId="142" xfId="0" applyFont="1" applyFill="1" applyBorder="1" applyAlignment="1">
      <alignment horizontal="center" vertical="center"/>
    </xf>
    <xf numFmtId="0" fontId="57" fillId="14" borderId="144" xfId="0" applyFont="1" applyFill="1" applyBorder="1" applyAlignment="1">
      <alignment horizontal="center" vertical="center"/>
    </xf>
    <xf numFmtId="0" fontId="57" fillId="14" borderId="0" xfId="0" applyFont="1" applyFill="1" applyAlignment="1">
      <alignment horizontal="center" vertical="center"/>
    </xf>
    <xf numFmtId="0" fontId="57" fillId="14" borderId="145" xfId="0" applyFont="1" applyFill="1" applyBorder="1" applyAlignment="1">
      <alignment horizontal="center" vertical="center"/>
    </xf>
    <xf numFmtId="0" fontId="57" fillId="14" borderId="146" xfId="0" applyFont="1" applyFill="1" applyBorder="1" applyAlignment="1">
      <alignment horizontal="center" vertical="center"/>
    </xf>
    <xf numFmtId="0" fontId="57" fillId="14" borderId="110" xfId="0" applyFont="1" applyFill="1" applyBorder="1" applyAlignment="1">
      <alignment horizontal="center" vertical="center"/>
    </xf>
    <xf numFmtId="0" fontId="57" fillId="14" borderId="147" xfId="0" applyFont="1" applyFill="1" applyBorder="1" applyAlignment="1">
      <alignment horizontal="center" vertical="center"/>
    </xf>
  </cellXfs>
  <cellStyles count="10">
    <cellStyle name="Célula Ligada" xfId="9" builtinId="24"/>
    <cellStyle name="Cor6" xfId="6" builtinId="49"/>
    <cellStyle name="Hiperligação" xfId="3" builtinId="8"/>
    <cellStyle name="Moeda" xfId="1" builtinId="4"/>
    <cellStyle name="Moeda 4" xfId="5" xr:uid="{00000000-0005-0000-0000-000004000000}"/>
    <cellStyle name="Normal" xfId="0" builtinId="0"/>
    <cellStyle name="Normal 2" xfId="8" xr:uid="{00000000-0005-0000-0000-000006000000}"/>
    <cellStyle name="Normal 2 2" xfId="7" xr:uid="{00000000-0005-0000-0000-000007000000}"/>
    <cellStyle name="Percentagem" xfId="2" builtinId="5"/>
    <cellStyle name="Porcentagem 3" xfId="4" xr:uid="{00000000-0005-0000-0000-000009000000}"/>
  </cellStyles>
  <dxfs count="0"/>
  <tableStyles count="0" defaultTableStyle="TableStyleMedium2" defaultPivotStyle="PivotStyleLight16"/>
  <colors>
    <mruColors>
      <color rgb="FF808080"/>
      <color rgb="FF87C4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hyperlink" Target="#'Linha 3 Zn Alc. Aut'!A1"/><Relationship Id="rId13" Type="http://schemas.openxmlformats.org/officeDocument/2006/relationships/hyperlink" Target="#Manuten&#231;&#227;o!A1"/><Relationship Id="rId18" Type="http://schemas.openxmlformats.org/officeDocument/2006/relationships/image" Target="../media/image1.png"/><Relationship Id="rId3" Type="http://schemas.openxmlformats.org/officeDocument/2006/relationships/hyperlink" Target="#'Pe&#231;as por Hora Galvanoplastia'!A1"/><Relationship Id="rId21" Type="http://schemas.openxmlformats.org/officeDocument/2006/relationships/hyperlink" Target="#'C&#225;culo de &#193;rea'!A1"/><Relationship Id="rId7" Type="http://schemas.openxmlformats.org/officeDocument/2006/relationships/hyperlink" Target="#'Linha 2 Zn Alc. Aut'!A1"/><Relationship Id="rId12" Type="http://schemas.openxmlformats.org/officeDocument/2006/relationships/hyperlink" Target="#Transporte!A1"/><Relationship Id="rId17" Type="http://schemas.openxmlformats.org/officeDocument/2006/relationships/hyperlink" Target="#Investimentos!A1"/><Relationship Id="rId2" Type="http://schemas.openxmlformats.org/officeDocument/2006/relationships/hyperlink" Target="#'Custo Galvanoplastia'!A1"/><Relationship Id="rId16" Type="http://schemas.openxmlformats.org/officeDocument/2006/relationships/hyperlink" Target="#'Custos Vari&#225;veis'!A1"/><Relationship Id="rId20" Type="http://schemas.openxmlformats.org/officeDocument/2006/relationships/image" Target="../media/image2.jpeg"/><Relationship Id="rId1" Type="http://schemas.openxmlformats.org/officeDocument/2006/relationships/hyperlink" Target="#'Resumo de Custo'!A1"/><Relationship Id="rId6" Type="http://schemas.openxmlformats.org/officeDocument/2006/relationships/hyperlink" Target="#'Lnha 1 Zn Alc. Aut'!A1"/><Relationship Id="rId11" Type="http://schemas.openxmlformats.org/officeDocument/2006/relationships/hyperlink" Target="#E.T.E!A1"/><Relationship Id="rId5" Type="http://schemas.openxmlformats.org/officeDocument/2006/relationships/hyperlink" Target="#'Linha 6 ZnN&#237; Semi Aut.'!A1"/><Relationship Id="rId15" Type="http://schemas.openxmlformats.org/officeDocument/2006/relationships/hyperlink" Target="#M.O!A1"/><Relationship Id="rId10" Type="http://schemas.openxmlformats.org/officeDocument/2006/relationships/hyperlink" Target="#'Linha 5 Zn Alc. Semi Aut.'!A1"/><Relationship Id="rId19" Type="http://schemas.microsoft.com/office/2007/relationships/hdphoto" Target="../media/hdphoto1.wdp"/><Relationship Id="rId4" Type="http://schemas.openxmlformats.org/officeDocument/2006/relationships/hyperlink" Target="#'Linha 4 Zn Alc. Manual'!A1"/><Relationship Id="rId9" Type="http://schemas.openxmlformats.org/officeDocument/2006/relationships/hyperlink" Target="#'Linha 9 Pr&#233; Trat. Fosfato Aut.'!A1"/><Relationship Id="rId14" Type="http://schemas.openxmlformats.org/officeDocument/2006/relationships/hyperlink" Target="#'Outros Custos'!A1"/></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9523</xdr:colOff>
      <xdr:row>0</xdr:row>
      <xdr:rowOff>9525</xdr:rowOff>
    </xdr:from>
    <xdr:to>
      <xdr:col>1</xdr:col>
      <xdr:colOff>323323</xdr:colOff>
      <xdr:row>3</xdr:row>
      <xdr:rowOff>66675</xdr:rowOff>
    </xdr:to>
    <xdr:sp macro="" textlink="">
      <xdr:nvSpPr>
        <xdr:cNvPr id="4" name="Retângulo de cantos arredondados 3">
          <a:hlinkClick xmlns:r="http://schemas.openxmlformats.org/officeDocument/2006/relationships" r:id="rId1"/>
          <a:extLst>
            <a:ext uri="{FF2B5EF4-FFF2-40B4-BE49-F238E27FC236}">
              <a16:creationId xmlns:a16="http://schemas.microsoft.com/office/drawing/2014/main" id="{00000000-0008-0000-0000-000004000000}"/>
            </a:ext>
          </a:extLst>
        </xdr:cNvPr>
        <xdr:cNvSpPr/>
      </xdr:nvSpPr>
      <xdr:spPr>
        <a:xfrm>
          <a:off x="9523" y="9525"/>
          <a:ext cx="1152000" cy="6286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a:t>Resumo</a:t>
          </a:r>
          <a:r>
            <a:rPr lang="pt-BR" sz="1300" b="1" u="sng" baseline="0"/>
            <a:t> de Custo</a:t>
          </a:r>
          <a:endParaRPr lang="pt-BR" sz="1300" b="1" u="sng"/>
        </a:p>
      </xdr:txBody>
    </xdr:sp>
    <xdr:clientData/>
  </xdr:twoCellAnchor>
  <xdr:twoCellAnchor>
    <xdr:from>
      <xdr:col>3</xdr:col>
      <xdr:colOff>182562</xdr:colOff>
      <xdr:row>0</xdr:row>
      <xdr:rowOff>0</xdr:rowOff>
    </xdr:from>
    <xdr:to>
      <xdr:col>5</xdr:col>
      <xdr:colOff>50275</xdr:colOff>
      <xdr:row>3</xdr:row>
      <xdr:rowOff>58500</xdr:rowOff>
    </xdr:to>
    <xdr:sp macro="" textlink="">
      <xdr:nvSpPr>
        <xdr:cNvPr id="6" name="Retângulo de cantos arredondados 5">
          <a:hlinkClick xmlns:r="http://schemas.openxmlformats.org/officeDocument/2006/relationships" r:id="rId2"/>
          <a:extLst>
            <a:ext uri="{FF2B5EF4-FFF2-40B4-BE49-F238E27FC236}">
              <a16:creationId xmlns:a16="http://schemas.microsoft.com/office/drawing/2014/main" id="{00000000-0008-0000-0000-000006000000}"/>
            </a:ext>
          </a:extLst>
        </xdr:cNvPr>
        <xdr:cNvSpPr/>
      </xdr:nvSpPr>
      <xdr:spPr>
        <a:xfrm>
          <a:off x="2397125" y="0"/>
          <a:ext cx="1185338" cy="606188"/>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a:t>Custo Galvano</a:t>
          </a:r>
        </a:p>
      </xdr:txBody>
    </xdr:sp>
    <xdr:clientData/>
  </xdr:twoCellAnchor>
  <xdr:twoCellAnchor>
    <xdr:from>
      <xdr:col>1</xdr:col>
      <xdr:colOff>361950</xdr:colOff>
      <xdr:row>0</xdr:row>
      <xdr:rowOff>0</xdr:rowOff>
    </xdr:from>
    <xdr:to>
      <xdr:col>3</xdr:col>
      <xdr:colOff>188387</xdr:colOff>
      <xdr:row>3</xdr:row>
      <xdr:rowOff>58500</xdr:rowOff>
    </xdr:to>
    <xdr:sp macro="" textlink="">
      <xdr:nvSpPr>
        <xdr:cNvPr id="7" name="Retângulo de cantos arredondados 6">
          <a:hlinkClick xmlns:r="http://schemas.openxmlformats.org/officeDocument/2006/relationships" r:id="rId3"/>
          <a:extLst>
            <a:ext uri="{FF2B5EF4-FFF2-40B4-BE49-F238E27FC236}">
              <a16:creationId xmlns:a16="http://schemas.microsoft.com/office/drawing/2014/main" id="{00000000-0008-0000-0000-000007000000}"/>
            </a:ext>
          </a:extLst>
        </xdr:cNvPr>
        <xdr:cNvSpPr/>
      </xdr:nvSpPr>
      <xdr:spPr>
        <a:xfrm>
          <a:off x="1219200" y="0"/>
          <a:ext cx="1183750" cy="606188"/>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a:t>Peças</a:t>
          </a:r>
          <a:r>
            <a:rPr lang="pt-BR" sz="1300" b="1" u="sng" baseline="0"/>
            <a:t> H/Galvano</a:t>
          </a:r>
          <a:endParaRPr lang="pt-BR" sz="1300" b="1" u="sng"/>
        </a:p>
      </xdr:txBody>
    </xdr:sp>
    <xdr:clientData/>
  </xdr:twoCellAnchor>
  <xdr:twoCellAnchor>
    <xdr:from>
      <xdr:col>10</xdr:col>
      <xdr:colOff>134592</xdr:colOff>
      <xdr:row>0</xdr:row>
      <xdr:rowOff>0</xdr:rowOff>
    </xdr:from>
    <xdr:to>
      <xdr:col>11</xdr:col>
      <xdr:colOff>616587</xdr:colOff>
      <xdr:row>3</xdr:row>
      <xdr:rowOff>58500</xdr:rowOff>
    </xdr:to>
    <xdr:sp macro="" textlink="">
      <xdr:nvSpPr>
        <xdr:cNvPr id="10" name="Retângulo de cantos arredondados 9">
          <a:hlinkClick xmlns:r="http://schemas.openxmlformats.org/officeDocument/2006/relationships" r:id="rId4"/>
          <a:extLst>
            <a:ext uri="{FF2B5EF4-FFF2-40B4-BE49-F238E27FC236}">
              <a16:creationId xmlns:a16="http://schemas.microsoft.com/office/drawing/2014/main" id="{00000000-0008-0000-0000-00000A000000}"/>
            </a:ext>
          </a:extLst>
        </xdr:cNvPr>
        <xdr:cNvSpPr/>
      </xdr:nvSpPr>
      <xdr:spPr>
        <a:xfrm>
          <a:off x="7009157" y="0"/>
          <a:ext cx="1103191" cy="60515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a:t>Linha</a:t>
          </a:r>
          <a:r>
            <a:rPr lang="pt-BR" sz="1300" b="1" u="sng" baseline="0"/>
            <a:t> 4 Zn Alc. Manual</a:t>
          </a:r>
          <a:endParaRPr lang="pt-BR" sz="1300" b="1" u="sng"/>
        </a:p>
      </xdr:txBody>
    </xdr:sp>
    <xdr:clientData/>
  </xdr:twoCellAnchor>
  <xdr:twoCellAnchor>
    <xdr:from>
      <xdr:col>13</xdr:col>
      <xdr:colOff>597507</xdr:colOff>
      <xdr:row>0</xdr:row>
      <xdr:rowOff>0</xdr:rowOff>
    </xdr:from>
    <xdr:to>
      <xdr:col>16</xdr:col>
      <xdr:colOff>117911</xdr:colOff>
      <xdr:row>3</xdr:row>
      <xdr:rowOff>58500</xdr:rowOff>
    </xdr:to>
    <xdr:sp macro="" textlink="">
      <xdr:nvSpPr>
        <xdr:cNvPr id="12" name="Retângulo de cantos arredondados 11">
          <a:hlinkClick xmlns:r="http://schemas.openxmlformats.org/officeDocument/2006/relationships" r:id="rId5"/>
          <a:extLst>
            <a:ext uri="{FF2B5EF4-FFF2-40B4-BE49-F238E27FC236}">
              <a16:creationId xmlns:a16="http://schemas.microsoft.com/office/drawing/2014/main" id="{00000000-0008-0000-0000-00000C000000}"/>
            </a:ext>
          </a:extLst>
        </xdr:cNvPr>
        <xdr:cNvSpPr/>
      </xdr:nvSpPr>
      <xdr:spPr>
        <a:xfrm>
          <a:off x="9426768" y="0"/>
          <a:ext cx="1383991" cy="60515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a:t>Linha</a:t>
          </a:r>
          <a:r>
            <a:rPr lang="pt-BR" sz="1300" b="1" u="sng" baseline="0"/>
            <a:t> 6 ZnNí Semi Aut.</a:t>
          </a:r>
          <a:endParaRPr lang="pt-BR" sz="1300" b="1" u="sng"/>
        </a:p>
      </xdr:txBody>
    </xdr:sp>
    <xdr:clientData/>
  </xdr:twoCellAnchor>
  <xdr:twoCellAnchor>
    <xdr:from>
      <xdr:col>5</xdr:col>
      <xdr:colOff>47625</xdr:colOff>
      <xdr:row>0</xdr:row>
      <xdr:rowOff>0</xdr:rowOff>
    </xdr:from>
    <xdr:to>
      <xdr:col>6</xdr:col>
      <xdr:colOff>576690</xdr:colOff>
      <xdr:row>3</xdr:row>
      <xdr:rowOff>58500</xdr:rowOff>
    </xdr:to>
    <xdr:sp macro="" textlink="">
      <xdr:nvSpPr>
        <xdr:cNvPr id="17" name="Retângulo de cantos arredondados 16">
          <a:hlinkClick xmlns:r="http://schemas.openxmlformats.org/officeDocument/2006/relationships" r:id="rId6"/>
          <a:extLst>
            <a:ext uri="{FF2B5EF4-FFF2-40B4-BE49-F238E27FC236}">
              <a16:creationId xmlns:a16="http://schemas.microsoft.com/office/drawing/2014/main" id="{00000000-0008-0000-0000-000011000000}"/>
            </a:ext>
          </a:extLst>
        </xdr:cNvPr>
        <xdr:cNvSpPr/>
      </xdr:nvSpPr>
      <xdr:spPr>
        <a:xfrm>
          <a:off x="3583305" y="0"/>
          <a:ext cx="1192005" cy="60714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a:t>Linha 1</a:t>
          </a:r>
          <a:r>
            <a:rPr lang="pt-BR" sz="1300" b="1" u="sng" baseline="0"/>
            <a:t> Zn Alc. Aut.</a:t>
          </a:r>
        </a:p>
        <a:p>
          <a:pPr algn="ctr"/>
          <a:endParaRPr lang="pt-BR" sz="1300" b="1" u="sng"/>
        </a:p>
      </xdr:txBody>
    </xdr:sp>
    <xdr:clientData/>
  </xdr:twoCellAnchor>
  <xdr:twoCellAnchor>
    <xdr:from>
      <xdr:col>6</xdr:col>
      <xdr:colOff>588479</xdr:colOff>
      <xdr:row>0</xdr:row>
      <xdr:rowOff>0</xdr:rowOff>
    </xdr:from>
    <xdr:to>
      <xdr:col>8</xdr:col>
      <xdr:colOff>380119</xdr:colOff>
      <xdr:row>3</xdr:row>
      <xdr:rowOff>58500</xdr:rowOff>
    </xdr:to>
    <xdr:sp macro="" textlink="">
      <xdr:nvSpPr>
        <xdr:cNvPr id="19" name="Retângulo de cantos arredondados 18">
          <a:hlinkClick xmlns:r="http://schemas.openxmlformats.org/officeDocument/2006/relationships" r:id="rId7"/>
          <a:extLst>
            <a:ext uri="{FF2B5EF4-FFF2-40B4-BE49-F238E27FC236}">
              <a16:creationId xmlns:a16="http://schemas.microsoft.com/office/drawing/2014/main" id="{00000000-0008-0000-0000-000013000000}"/>
            </a:ext>
          </a:extLst>
        </xdr:cNvPr>
        <xdr:cNvSpPr/>
      </xdr:nvSpPr>
      <xdr:spPr>
        <a:xfrm>
          <a:off x="4779479" y="0"/>
          <a:ext cx="1108575" cy="60515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a:t>Linha</a:t>
          </a:r>
          <a:r>
            <a:rPr lang="pt-BR" sz="1300" b="1" u="sng" baseline="0"/>
            <a:t> 2 Zn Alc. Aut.</a:t>
          </a:r>
          <a:endParaRPr lang="pt-BR" sz="1300" b="1" u="sng"/>
        </a:p>
      </xdr:txBody>
    </xdr:sp>
    <xdr:clientData/>
  </xdr:twoCellAnchor>
  <xdr:twoCellAnchor>
    <xdr:from>
      <xdr:col>8</xdr:col>
      <xdr:colOff>410817</xdr:colOff>
      <xdr:row>0</xdr:row>
      <xdr:rowOff>0</xdr:rowOff>
    </xdr:from>
    <xdr:to>
      <xdr:col>10</xdr:col>
      <xdr:colOff>135783</xdr:colOff>
      <xdr:row>3</xdr:row>
      <xdr:rowOff>58500</xdr:rowOff>
    </xdr:to>
    <xdr:sp macro="" textlink="">
      <xdr:nvSpPr>
        <xdr:cNvPr id="20" name="Retângulo de cantos arredondados 19">
          <a:hlinkClick xmlns:r="http://schemas.openxmlformats.org/officeDocument/2006/relationships" r:id="rId8"/>
          <a:extLst>
            <a:ext uri="{FF2B5EF4-FFF2-40B4-BE49-F238E27FC236}">
              <a16:creationId xmlns:a16="http://schemas.microsoft.com/office/drawing/2014/main" id="{00000000-0008-0000-0000-000014000000}"/>
            </a:ext>
          </a:extLst>
        </xdr:cNvPr>
        <xdr:cNvSpPr/>
      </xdr:nvSpPr>
      <xdr:spPr>
        <a:xfrm>
          <a:off x="5918752" y="0"/>
          <a:ext cx="1091596" cy="60515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a:t>Linha</a:t>
          </a:r>
          <a:r>
            <a:rPr lang="pt-BR" sz="1300" b="1" u="sng" baseline="0"/>
            <a:t> 3 Zn Alc. Aut.</a:t>
          </a:r>
          <a:endParaRPr lang="pt-BR" sz="1300" b="1" u="sng"/>
        </a:p>
      </xdr:txBody>
    </xdr:sp>
    <xdr:clientData/>
  </xdr:twoCellAnchor>
  <xdr:twoCellAnchor>
    <xdr:from>
      <xdr:col>16</xdr:col>
      <xdr:colOff>116205</xdr:colOff>
      <xdr:row>0</xdr:row>
      <xdr:rowOff>7938</xdr:rowOff>
    </xdr:from>
    <xdr:to>
      <xdr:col>18</xdr:col>
      <xdr:colOff>3920</xdr:colOff>
      <xdr:row>3</xdr:row>
      <xdr:rowOff>66438</xdr:rowOff>
    </xdr:to>
    <xdr:sp macro="" textlink="">
      <xdr:nvSpPr>
        <xdr:cNvPr id="25" name="Retângulo de cantos arredondados 24">
          <a:hlinkClick xmlns:r="http://schemas.openxmlformats.org/officeDocument/2006/relationships" r:id="rId9"/>
          <a:extLst>
            <a:ext uri="{FF2B5EF4-FFF2-40B4-BE49-F238E27FC236}">
              <a16:creationId xmlns:a16="http://schemas.microsoft.com/office/drawing/2014/main" id="{00000000-0008-0000-0000-000019000000}"/>
            </a:ext>
          </a:extLst>
        </xdr:cNvPr>
        <xdr:cNvSpPr/>
      </xdr:nvSpPr>
      <xdr:spPr>
        <a:xfrm>
          <a:off x="10847705" y="7938"/>
          <a:ext cx="1173590" cy="606188"/>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baseline="0"/>
            <a:t>Linha 9 Pré Trat. Fosfato</a:t>
          </a:r>
        </a:p>
      </xdr:txBody>
    </xdr:sp>
    <xdr:clientData/>
  </xdr:twoCellAnchor>
  <xdr:twoCellAnchor>
    <xdr:from>
      <xdr:col>11</xdr:col>
      <xdr:colOff>623680</xdr:colOff>
      <xdr:row>0</xdr:row>
      <xdr:rowOff>0</xdr:rowOff>
    </xdr:from>
    <xdr:to>
      <xdr:col>13</xdr:col>
      <xdr:colOff>577132</xdr:colOff>
      <xdr:row>3</xdr:row>
      <xdr:rowOff>58500</xdr:rowOff>
    </xdr:to>
    <xdr:sp macro="" textlink="">
      <xdr:nvSpPr>
        <xdr:cNvPr id="29" name="Retângulo de cantos arredondados 28">
          <a:hlinkClick xmlns:r="http://schemas.openxmlformats.org/officeDocument/2006/relationships" r:id="rId10"/>
          <a:extLst>
            <a:ext uri="{FF2B5EF4-FFF2-40B4-BE49-F238E27FC236}">
              <a16:creationId xmlns:a16="http://schemas.microsoft.com/office/drawing/2014/main" id="{00000000-0008-0000-0000-00001D000000}"/>
            </a:ext>
          </a:extLst>
        </xdr:cNvPr>
        <xdr:cNvSpPr/>
      </xdr:nvSpPr>
      <xdr:spPr>
        <a:xfrm>
          <a:off x="8119441" y="0"/>
          <a:ext cx="1286952" cy="60515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a:t>Linha</a:t>
          </a:r>
          <a:r>
            <a:rPr lang="pt-BR" sz="1300" b="1" u="sng" baseline="0"/>
            <a:t> 5 Zn Alc. Semi Aut.</a:t>
          </a:r>
          <a:endParaRPr lang="pt-BR" sz="1300" b="1" u="sng"/>
        </a:p>
      </xdr:txBody>
    </xdr:sp>
    <xdr:clientData/>
  </xdr:twoCellAnchor>
  <xdr:twoCellAnchor>
    <xdr:from>
      <xdr:col>18</xdr:col>
      <xdr:colOff>17780</xdr:colOff>
      <xdr:row>0</xdr:row>
      <xdr:rowOff>0</xdr:rowOff>
    </xdr:from>
    <xdr:to>
      <xdr:col>19</xdr:col>
      <xdr:colOff>569387</xdr:colOff>
      <xdr:row>3</xdr:row>
      <xdr:rowOff>58499</xdr:rowOff>
    </xdr:to>
    <xdr:sp macro="" textlink="">
      <xdr:nvSpPr>
        <xdr:cNvPr id="35" name="Retângulo de cantos arredondados 34">
          <a:hlinkClick xmlns:r="http://schemas.openxmlformats.org/officeDocument/2006/relationships" r:id="rId11"/>
          <a:extLst>
            <a:ext uri="{FF2B5EF4-FFF2-40B4-BE49-F238E27FC236}">
              <a16:creationId xmlns:a16="http://schemas.microsoft.com/office/drawing/2014/main" id="{00000000-0008-0000-0000-000023000000}"/>
            </a:ext>
          </a:extLst>
        </xdr:cNvPr>
        <xdr:cNvSpPr/>
      </xdr:nvSpPr>
      <xdr:spPr>
        <a:xfrm>
          <a:off x="12035155" y="0"/>
          <a:ext cx="1178670" cy="60618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a:t>E.T.E</a:t>
          </a:r>
        </a:p>
      </xdr:txBody>
    </xdr:sp>
    <xdr:clientData/>
  </xdr:twoCellAnchor>
  <xdr:twoCellAnchor>
    <xdr:from>
      <xdr:col>19</xdr:col>
      <xdr:colOff>596265</xdr:colOff>
      <xdr:row>0</xdr:row>
      <xdr:rowOff>0</xdr:rowOff>
    </xdr:from>
    <xdr:to>
      <xdr:col>21</xdr:col>
      <xdr:colOff>525573</xdr:colOff>
      <xdr:row>3</xdr:row>
      <xdr:rowOff>58499</xdr:rowOff>
    </xdr:to>
    <xdr:sp macro="" textlink="">
      <xdr:nvSpPr>
        <xdr:cNvPr id="36" name="Retângulo de cantos arredondados 35">
          <a:hlinkClick xmlns:r="http://schemas.openxmlformats.org/officeDocument/2006/relationships" r:id="rId12"/>
          <a:extLst>
            <a:ext uri="{FF2B5EF4-FFF2-40B4-BE49-F238E27FC236}">
              <a16:creationId xmlns:a16="http://schemas.microsoft.com/office/drawing/2014/main" id="{00000000-0008-0000-0000-000024000000}"/>
            </a:ext>
          </a:extLst>
        </xdr:cNvPr>
        <xdr:cNvSpPr/>
      </xdr:nvSpPr>
      <xdr:spPr>
        <a:xfrm>
          <a:off x="13240703" y="0"/>
          <a:ext cx="1183433" cy="60618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a:t>Transporte</a:t>
          </a:r>
        </a:p>
      </xdr:txBody>
    </xdr:sp>
    <xdr:clientData/>
  </xdr:twoCellAnchor>
  <xdr:twoCellAnchor>
    <xdr:from>
      <xdr:col>0</xdr:col>
      <xdr:colOff>0</xdr:colOff>
      <xdr:row>3</xdr:row>
      <xdr:rowOff>109537</xdr:rowOff>
    </xdr:from>
    <xdr:to>
      <xdr:col>1</xdr:col>
      <xdr:colOff>326500</xdr:colOff>
      <xdr:row>6</xdr:row>
      <xdr:rowOff>168037</xdr:rowOff>
    </xdr:to>
    <xdr:sp macro="" textlink="">
      <xdr:nvSpPr>
        <xdr:cNvPr id="37" name="Retângulo de cantos arredondados 36">
          <a:hlinkClick xmlns:r="http://schemas.openxmlformats.org/officeDocument/2006/relationships" r:id="rId13"/>
          <a:extLst>
            <a:ext uri="{FF2B5EF4-FFF2-40B4-BE49-F238E27FC236}">
              <a16:creationId xmlns:a16="http://schemas.microsoft.com/office/drawing/2014/main" id="{00000000-0008-0000-0000-000025000000}"/>
            </a:ext>
          </a:extLst>
        </xdr:cNvPr>
        <xdr:cNvSpPr/>
      </xdr:nvSpPr>
      <xdr:spPr>
        <a:xfrm>
          <a:off x="0" y="657225"/>
          <a:ext cx="1183750" cy="60618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baseline="0"/>
            <a:t>Manutenção</a:t>
          </a:r>
        </a:p>
      </xdr:txBody>
    </xdr:sp>
    <xdr:clientData/>
  </xdr:twoCellAnchor>
  <xdr:twoCellAnchor>
    <xdr:from>
      <xdr:col>1</xdr:col>
      <xdr:colOff>341631</xdr:colOff>
      <xdr:row>3</xdr:row>
      <xdr:rowOff>91758</xdr:rowOff>
    </xdr:from>
    <xdr:to>
      <xdr:col>3</xdr:col>
      <xdr:colOff>162988</xdr:colOff>
      <xdr:row>6</xdr:row>
      <xdr:rowOff>150258</xdr:rowOff>
    </xdr:to>
    <xdr:sp macro="" textlink="">
      <xdr:nvSpPr>
        <xdr:cNvPr id="38" name="Retângulo de cantos arredondados 37">
          <a:hlinkClick xmlns:r="http://schemas.openxmlformats.org/officeDocument/2006/relationships" r:id="rId14"/>
          <a:extLst>
            <a:ext uri="{FF2B5EF4-FFF2-40B4-BE49-F238E27FC236}">
              <a16:creationId xmlns:a16="http://schemas.microsoft.com/office/drawing/2014/main" id="{00000000-0008-0000-0000-000026000000}"/>
            </a:ext>
          </a:extLst>
        </xdr:cNvPr>
        <xdr:cNvSpPr/>
      </xdr:nvSpPr>
      <xdr:spPr>
        <a:xfrm>
          <a:off x="1198881" y="639446"/>
          <a:ext cx="1178670" cy="60618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baseline="0"/>
            <a:t>Outros Custos</a:t>
          </a:r>
        </a:p>
      </xdr:txBody>
    </xdr:sp>
    <xdr:clientData/>
  </xdr:twoCellAnchor>
  <xdr:twoCellAnchor>
    <xdr:from>
      <xdr:col>3</xdr:col>
      <xdr:colOff>188277</xdr:colOff>
      <xdr:row>3</xdr:row>
      <xdr:rowOff>91758</xdr:rowOff>
    </xdr:from>
    <xdr:to>
      <xdr:col>5</xdr:col>
      <xdr:colOff>54402</xdr:colOff>
      <xdr:row>6</xdr:row>
      <xdr:rowOff>150258</xdr:rowOff>
    </xdr:to>
    <xdr:sp macro="" textlink="">
      <xdr:nvSpPr>
        <xdr:cNvPr id="39" name="Retângulo de cantos arredondados 38">
          <a:hlinkClick xmlns:r="http://schemas.openxmlformats.org/officeDocument/2006/relationships" r:id="rId15"/>
          <a:extLst>
            <a:ext uri="{FF2B5EF4-FFF2-40B4-BE49-F238E27FC236}">
              <a16:creationId xmlns:a16="http://schemas.microsoft.com/office/drawing/2014/main" id="{00000000-0008-0000-0000-000027000000}"/>
            </a:ext>
          </a:extLst>
        </xdr:cNvPr>
        <xdr:cNvSpPr/>
      </xdr:nvSpPr>
      <xdr:spPr>
        <a:xfrm>
          <a:off x="2402840" y="639446"/>
          <a:ext cx="1183750" cy="60618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baseline="0"/>
            <a:t>M.O</a:t>
          </a:r>
        </a:p>
      </xdr:txBody>
    </xdr:sp>
    <xdr:clientData/>
  </xdr:twoCellAnchor>
  <xdr:twoCellAnchor>
    <xdr:from>
      <xdr:col>5</xdr:col>
      <xdr:colOff>46355</xdr:colOff>
      <xdr:row>3</xdr:row>
      <xdr:rowOff>78105</xdr:rowOff>
    </xdr:from>
    <xdr:to>
      <xdr:col>6</xdr:col>
      <xdr:colOff>565260</xdr:colOff>
      <xdr:row>6</xdr:row>
      <xdr:rowOff>136605</xdr:rowOff>
    </xdr:to>
    <xdr:sp macro="" textlink="">
      <xdr:nvSpPr>
        <xdr:cNvPr id="40" name="Retângulo de cantos arredondados 39">
          <a:hlinkClick xmlns:r="http://schemas.openxmlformats.org/officeDocument/2006/relationships" r:id="rId16"/>
          <a:extLst>
            <a:ext uri="{FF2B5EF4-FFF2-40B4-BE49-F238E27FC236}">
              <a16:creationId xmlns:a16="http://schemas.microsoft.com/office/drawing/2014/main" id="{00000000-0008-0000-0000-000028000000}"/>
            </a:ext>
          </a:extLst>
        </xdr:cNvPr>
        <xdr:cNvSpPr/>
      </xdr:nvSpPr>
      <xdr:spPr>
        <a:xfrm>
          <a:off x="3578543" y="625793"/>
          <a:ext cx="1185655" cy="60618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baseline="0"/>
            <a:t>Custos Variáveis</a:t>
          </a:r>
        </a:p>
      </xdr:txBody>
    </xdr:sp>
    <xdr:clientData/>
  </xdr:twoCellAnchor>
  <xdr:twoCellAnchor>
    <xdr:from>
      <xdr:col>6</xdr:col>
      <xdr:colOff>559117</xdr:colOff>
      <xdr:row>3</xdr:row>
      <xdr:rowOff>93980</xdr:rowOff>
    </xdr:from>
    <xdr:to>
      <xdr:col>8</xdr:col>
      <xdr:colOff>496289</xdr:colOff>
      <xdr:row>6</xdr:row>
      <xdr:rowOff>152480</xdr:rowOff>
    </xdr:to>
    <xdr:sp macro="" textlink="">
      <xdr:nvSpPr>
        <xdr:cNvPr id="41" name="Retângulo de cantos arredondados 40">
          <a:hlinkClick xmlns:r="http://schemas.openxmlformats.org/officeDocument/2006/relationships" r:id="rId17"/>
          <a:extLst>
            <a:ext uri="{FF2B5EF4-FFF2-40B4-BE49-F238E27FC236}">
              <a16:creationId xmlns:a16="http://schemas.microsoft.com/office/drawing/2014/main" id="{00000000-0008-0000-0000-000029000000}"/>
            </a:ext>
          </a:extLst>
        </xdr:cNvPr>
        <xdr:cNvSpPr/>
      </xdr:nvSpPr>
      <xdr:spPr>
        <a:xfrm>
          <a:off x="4758055" y="641668"/>
          <a:ext cx="1254797" cy="60618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baseline="0"/>
            <a:t>Investimentos</a:t>
          </a:r>
        </a:p>
      </xdr:txBody>
    </xdr:sp>
    <xdr:clientData/>
  </xdr:twoCellAnchor>
  <xdr:twoCellAnchor editAs="oneCell">
    <xdr:from>
      <xdr:col>0</xdr:col>
      <xdr:colOff>203835</xdr:colOff>
      <xdr:row>19</xdr:row>
      <xdr:rowOff>147003</xdr:rowOff>
    </xdr:from>
    <xdr:to>
      <xdr:col>4</xdr:col>
      <xdr:colOff>530154</xdr:colOff>
      <xdr:row>35</xdr:row>
      <xdr:rowOff>172625</xdr:rowOff>
    </xdr:to>
    <xdr:pic>
      <xdr:nvPicPr>
        <xdr:cNvPr id="32" name="Imagem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11364" b="84470" l="15867" r="89668"/>
                  </a14:imgEffect>
                </a14:imgLayer>
              </a14:imgProps>
            </a:ext>
          </a:extLst>
        </a:blip>
        <a:stretch>
          <a:fillRect/>
        </a:stretch>
      </xdr:blipFill>
      <xdr:spPr>
        <a:xfrm>
          <a:off x="203835" y="3687128"/>
          <a:ext cx="3167944" cy="2994247"/>
        </a:xfrm>
        <a:prstGeom prst="rect">
          <a:avLst/>
        </a:prstGeom>
        <a:noFill/>
      </xdr:spPr>
    </xdr:pic>
    <xdr:clientData/>
  </xdr:twoCellAnchor>
  <xdr:twoCellAnchor editAs="oneCell">
    <xdr:from>
      <xdr:col>18</xdr:col>
      <xdr:colOff>202249</xdr:colOff>
      <xdr:row>21</xdr:row>
      <xdr:rowOff>138113</xdr:rowOff>
    </xdr:from>
    <xdr:to>
      <xdr:col>21</xdr:col>
      <xdr:colOff>375755</xdr:colOff>
      <xdr:row>35</xdr:row>
      <xdr:rowOff>101920</xdr:rowOff>
    </xdr:to>
    <xdr:pic>
      <xdr:nvPicPr>
        <xdr:cNvPr id="3" name="Imagem 2">
          <a:extLst>
            <a:ext uri="{FF2B5EF4-FFF2-40B4-BE49-F238E27FC236}">
              <a16:creationId xmlns:a16="http://schemas.microsoft.com/office/drawing/2014/main" id="{280CFCC6-AAB4-2985-617E-5C3F43506016}"/>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2219624" y="4090988"/>
          <a:ext cx="2054694" cy="2519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513079</xdr:colOff>
      <xdr:row>3</xdr:row>
      <xdr:rowOff>103505</xdr:rowOff>
    </xdr:from>
    <xdr:to>
      <xdr:col>10</xdr:col>
      <xdr:colOff>402626</xdr:colOff>
      <xdr:row>6</xdr:row>
      <xdr:rowOff>162005</xdr:rowOff>
    </xdr:to>
    <xdr:sp macro="" textlink="">
      <xdr:nvSpPr>
        <xdr:cNvPr id="2" name="Retângulo de cantos arredondados 40">
          <a:hlinkClick xmlns:r="http://schemas.openxmlformats.org/officeDocument/2006/relationships" r:id="rId21"/>
          <a:extLst>
            <a:ext uri="{FF2B5EF4-FFF2-40B4-BE49-F238E27FC236}">
              <a16:creationId xmlns:a16="http://schemas.microsoft.com/office/drawing/2014/main" id="{5A244899-7527-4613-97C6-29F881726A49}"/>
            </a:ext>
          </a:extLst>
        </xdr:cNvPr>
        <xdr:cNvSpPr/>
      </xdr:nvSpPr>
      <xdr:spPr>
        <a:xfrm>
          <a:off x="6029642" y="651193"/>
          <a:ext cx="1254797" cy="60618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300" b="1" u="sng" baseline="0"/>
            <a:t>Cálculo de Área</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57</xdr:row>
      <xdr:rowOff>133350</xdr:rowOff>
    </xdr:from>
    <xdr:to>
      <xdr:col>2</xdr:col>
      <xdr:colOff>565375</xdr:colOff>
      <xdr:row>66</xdr:row>
      <xdr:rowOff>101796</xdr:rowOff>
    </xdr:to>
    <xdr:pic>
      <xdr:nvPicPr>
        <xdr:cNvPr id="2" name="Imagem 1">
          <a:extLst>
            <a:ext uri="{FF2B5EF4-FFF2-40B4-BE49-F238E27FC236}">
              <a16:creationId xmlns:a16="http://schemas.microsoft.com/office/drawing/2014/main" id="{5D7CEF10-2A92-4DED-B0EB-E9ADDEE8F2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1654790"/>
          <a:ext cx="1727425" cy="16143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209550</xdr:colOff>
      <xdr:row>56</xdr:row>
      <xdr:rowOff>161925</xdr:rowOff>
    </xdr:from>
    <xdr:to>
      <xdr:col>21</xdr:col>
      <xdr:colOff>179070</xdr:colOff>
      <xdr:row>64</xdr:row>
      <xdr:rowOff>169545</xdr:rowOff>
    </xdr:to>
    <xdr:pic>
      <xdr:nvPicPr>
        <xdr:cNvPr id="3" name="Imagem 2">
          <a:extLst>
            <a:ext uri="{FF2B5EF4-FFF2-40B4-BE49-F238E27FC236}">
              <a16:creationId xmlns:a16="http://schemas.microsoft.com/office/drawing/2014/main" id="{391E1529-7CEC-4580-9806-BEF2077640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56670" y="11485245"/>
          <a:ext cx="1798320" cy="1470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84666</xdr:colOff>
      <xdr:row>70</xdr:row>
      <xdr:rowOff>190500</xdr:rowOff>
    </xdr:from>
    <xdr:to>
      <xdr:col>2</xdr:col>
      <xdr:colOff>553296</xdr:colOff>
      <xdr:row>79</xdr:row>
      <xdr:rowOff>133773</xdr:rowOff>
    </xdr:to>
    <xdr:pic>
      <xdr:nvPicPr>
        <xdr:cNvPr id="4" name="Imagem 3">
          <a:extLst>
            <a:ext uri="{FF2B5EF4-FFF2-40B4-BE49-F238E27FC236}">
              <a16:creationId xmlns:a16="http://schemas.microsoft.com/office/drawing/2014/main" id="{DC979198-9A46-440D-B941-230448FB521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666" y="14432280"/>
          <a:ext cx="1687830" cy="1596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200182</xdr:colOff>
      <xdr:row>70</xdr:row>
      <xdr:rowOff>190500</xdr:rowOff>
    </xdr:from>
    <xdr:to>
      <xdr:col>21</xdr:col>
      <xdr:colOff>175896</xdr:colOff>
      <xdr:row>80</xdr:row>
      <xdr:rowOff>165946</xdr:rowOff>
    </xdr:to>
    <xdr:pic>
      <xdr:nvPicPr>
        <xdr:cNvPr id="5" name="Imagem 4">
          <a:extLst>
            <a:ext uri="{FF2B5EF4-FFF2-40B4-BE49-F238E27FC236}">
              <a16:creationId xmlns:a16="http://schemas.microsoft.com/office/drawing/2014/main" id="{C30EC906-1808-4124-967F-35DB37E18F7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447302" y="14432280"/>
          <a:ext cx="1804514" cy="18118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8" Type="http://schemas.openxmlformats.org/officeDocument/2006/relationships/hyperlink" Target="file:///C:\Users\bergn\AppData\Local\Packages\5319275A.WhatsAppDesktop_cv1g1gvanyjgm\LocalState\sessions\Geraldo\Desktop\Rezende\Solu&#231;&#227;o%20Industrial%20GM.xlsx" TargetMode="External"/><Relationship Id="rId3" Type="http://schemas.openxmlformats.org/officeDocument/2006/relationships/hyperlink" Target="file:///C:\Users\bergn\AppData\Local\Packages\5319275A.WhatsAppDesktop_cv1g1gvanyjgm\LocalState\sessions\Geraldo\Desktop\Rezende\Solu&#231;&#227;o%20Industrial%20GM.xlsx" TargetMode="External"/><Relationship Id="rId7" Type="http://schemas.openxmlformats.org/officeDocument/2006/relationships/hyperlink" Target="file:///C:\Users\bergn\AppData\Local\Packages\5319275A.WhatsAppDesktop_cv1g1gvanyjgm\LocalState\sessions\Geraldo\Desktop\Rezende\Solu&#231;&#227;o%20Industrial%20GM.xlsx" TargetMode="External"/><Relationship Id="rId12" Type="http://schemas.openxmlformats.org/officeDocument/2006/relationships/drawing" Target="../drawings/drawing2.xml"/><Relationship Id="rId2" Type="http://schemas.openxmlformats.org/officeDocument/2006/relationships/hyperlink" Target="file:///C:\Users\bergn\AppData\Local\Packages\5319275A.WhatsAppDesktop_cv1g1gvanyjgm\LocalState\sessions\Geraldo\Desktop\Rezende\Solu&#231;&#227;o%20Industrial%20GM.xlsx" TargetMode="External"/><Relationship Id="rId1" Type="http://schemas.openxmlformats.org/officeDocument/2006/relationships/hyperlink" Target="file:///C:\Users\bergn\AppData\Local\Packages\5319275A.WhatsAppDesktop_cv1g1gvanyjgm\LocalState\sessions\Geraldo\Desktop\Rezende\Solu&#231;&#227;o%20Industrial%20GM.xlsx" TargetMode="External"/><Relationship Id="rId6" Type="http://schemas.openxmlformats.org/officeDocument/2006/relationships/hyperlink" Target="file:///C:\Users\bergn\AppData\Local\Packages\5319275A.WhatsAppDesktop_cv1g1gvanyjgm\LocalState\sessions\Geraldo\Desktop\Rezende\Solu&#231;&#227;o%20Industrial%20GM.xlsx" TargetMode="External"/><Relationship Id="rId11" Type="http://schemas.openxmlformats.org/officeDocument/2006/relationships/hyperlink" Target="file:///C:\Users\bergn\AppData\Local\Packages\5319275A.WhatsAppDesktop_cv1g1gvanyjgm\LocalState\sessions\Geraldo\Desktop\Rezende\Solu&#231;&#227;o%20Industrial%20GM.xlsx" TargetMode="External"/><Relationship Id="rId5" Type="http://schemas.openxmlformats.org/officeDocument/2006/relationships/hyperlink" Target="file:///C:\Users\bergn\AppData\Local\Packages\5319275A.WhatsAppDesktop_cv1g1gvanyjgm\LocalState\sessions\Geraldo\Desktop\Rezende\Solu&#231;&#227;o%20Industrial%20GM.xlsx" TargetMode="External"/><Relationship Id="rId10" Type="http://schemas.openxmlformats.org/officeDocument/2006/relationships/hyperlink" Target="file:///C:\Users\bergn\AppData\Local\Packages\5319275A.WhatsAppDesktop_cv1g1gvanyjgm\LocalState\sessions\Geraldo\Desktop\Rezende\Solu&#231;&#227;o%20Industrial%20GM.xlsx" TargetMode="External"/><Relationship Id="rId4" Type="http://schemas.openxmlformats.org/officeDocument/2006/relationships/hyperlink" Target="file:///C:\Users\bergn\AppData\Local\Packages\5319275A.WhatsAppDesktop_cv1g1gvanyjgm\LocalState\sessions\Geraldo\Desktop\Rezende\Solu&#231;&#227;o%20Industrial%20GM.xlsx" TargetMode="External"/><Relationship Id="rId9" Type="http://schemas.openxmlformats.org/officeDocument/2006/relationships/hyperlink" Target="file:///C:\Users\bergn\AppData\Local\Packages\5319275A.WhatsAppDesktop_cv1g1gvanyjgm\LocalState\sessions\Geraldo\Desktop\Rezende\Solu&#231;&#227;o%20Industrial%20GM.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2"/>
  <sheetViews>
    <sheetView showGridLines="0" showRowColHeaders="0" zoomScale="96" zoomScaleNormal="100" workbookViewId="0"/>
  </sheetViews>
  <sheetFormatPr defaultColWidth="9.109375" defaultRowHeight="14.4" x14ac:dyDescent="0.3"/>
  <cols>
    <col min="1" max="1" width="12.5546875" style="1" customWidth="1"/>
    <col min="2" max="2" width="10.6640625" style="1" customWidth="1"/>
    <col min="3" max="3" width="9.109375" style="1" customWidth="1"/>
    <col min="4" max="4" width="9.109375" style="1"/>
    <col min="5" max="5" width="10.109375" style="1" customWidth="1"/>
    <col min="6" max="6" width="9.6640625" style="1" customWidth="1"/>
    <col min="7" max="7" width="9.109375" style="1"/>
    <col min="8" max="8" width="10.109375" style="1" customWidth="1"/>
    <col min="9" max="9" width="9.5546875" style="1" customWidth="1"/>
    <col min="10" max="10" width="10.33203125" style="1" customWidth="1"/>
    <col min="11" max="11" width="9.109375" style="1"/>
    <col min="12" max="12" width="10.44140625" style="1" customWidth="1"/>
    <col min="13" max="15" width="9.109375" style="1"/>
    <col min="16" max="16" width="9.109375" style="1" customWidth="1"/>
    <col min="17" max="17" width="9.5546875" style="1" customWidth="1"/>
    <col min="18" max="16384" width="9.109375" style="1"/>
  </cols>
  <sheetData>
    <row r="1" spans="1:20" x14ac:dyDescent="0.3">
      <c r="A1" s="1" t="s">
        <v>246</v>
      </c>
    </row>
    <row r="6" spans="1:20" x14ac:dyDescent="0.3">
      <c r="F6" s="252"/>
    </row>
    <row r="10" spans="1:20" ht="15" customHeight="1" x14ac:dyDescent="0.3">
      <c r="A10" s="548"/>
      <c r="B10" s="549"/>
      <c r="C10" s="549"/>
      <c r="D10" s="549"/>
      <c r="E10" s="549"/>
      <c r="F10" s="549"/>
      <c r="G10" s="437"/>
      <c r="H10" s="437"/>
      <c r="I10" s="437"/>
      <c r="J10" s="437"/>
      <c r="K10" s="437"/>
      <c r="L10" s="437"/>
      <c r="M10" s="437"/>
      <c r="N10" s="437"/>
      <c r="O10" s="437"/>
      <c r="P10" s="437"/>
      <c r="Q10" s="437"/>
      <c r="R10" s="437"/>
      <c r="S10" s="437"/>
      <c r="T10" s="437"/>
    </row>
    <row r="11" spans="1:20" ht="15" customHeight="1" x14ac:dyDescent="0.3">
      <c r="A11" s="548"/>
      <c r="B11" s="549"/>
      <c r="C11" s="549"/>
      <c r="D11" s="549"/>
      <c r="E11" s="549"/>
      <c r="F11" s="549"/>
      <c r="G11" s="437"/>
      <c r="H11" s="437"/>
      <c r="I11" s="437"/>
      <c r="J11" s="437"/>
      <c r="K11" s="437"/>
      <c r="L11" s="437"/>
      <c r="M11" s="437"/>
      <c r="N11" s="437"/>
      <c r="O11" s="437"/>
      <c r="P11" s="437"/>
      <c r="Q11" s="437"/>
      <c r="R11" s="437"/>
      <c r="S11" s="437"/>
      <c r="T11" s="437"/>
    </row>
    <row r="12" spans="1:20" ht="15" customHeight="1" x14ac:dyDescent="0.3">
      <c r="A12" s="548"/>
      <c r="B12" s="549"/>
      <c r="C12" s="549"/>
      <c r="D12" s="549"/>
      <c r="E12" s="549"/>
      <c r="F12" s="549"/>
      <c r="G12" s="437"/>
      <c r="H12" s="437"/>
      <c r="I12" s="437"/>
      <c r="J12" s="437"/>
      <c r="K12" s="437"/>
      <c r="L12" s="437"/>
      <c r="M12" s="437"/>
      <c r="N12" s="437"/>
      <c r="O12" s="437"/>
      <c r="P12" s="437"/>
      <c r="Q12" s="437"/>
      <c r="R12" s="437"/>
      <c r="S12" s="437"/>
      <c r="T12" s="437"/>
    </row>
    <row r="13" spans="1:20" ht="15" customHeight="1" x14ac:dyDescent="0.3">
      <c r="A13" s="549"/>
      <c r="B13" s="549"/>
      <c r="C13" s="549"/>
      <c r="D13" s="549"/>
      <c r="E13" s="437"/>
      <c r="F13" s="437"/>
      <c r="G13" s="437"/>
      <c r="H13" s="437"/>
      <c r="I13" s="437"/>
      <c r="J13" s="437"/>
      <c r="K13" s="437"/>
      <c r="L13" s="437"/>
      <c r="M13" s="437"/>
      <c r="N13" s="437"/>
      <c r="O13" s="437"/>
      <c r="P13" s="437"/>
      <c r="Q13" s="437"/>
      <c r="R13" s="437"/>
      <c r="S13" s="437"/>
      <c r="T13" s="437"/>
    </row>
    <row r="14" spans="1:20" ht="15" customHeight="1" x14ac:dyDescent="0.3">
      <c r="A14" s="549"/>
      <c r="B14" s="549"/>
      <c r="C14" s="549"/>
      <c r="D14" s="549"/>
      <c r="E14" s="437"/>
      <c r="F14" s="437"/>
      <c r="G14" s="437"/>
      <c r="H14" s="437"/>
      <c r="I14" s="437"/>
      <c r="J14" s="437"/>
      <c r="K14" s="437"/>
      <c r="L14" s="437"/>
      <c r="M14" s="437"/>
      <c r="N14" s="437"/>
      <c r="O14" s="437"/>
      <c r="P14" s="437"/>
      <c r="Q14" s="437"/>
      <c r="R14" s="437"/>
      <c r="S14" s="437"/>
      <c r="T14" s="437"/>
    </row>
    <row r="15" spans="1:20" ht="15" customHeight="1" x14ac:dyDescent="0.3">
      <c r="A15" s="549"/>
      <c r="B15" s="549"/>
      <c r="C15" s="549"/>
      <c r="D15" s="549"/>
      <c r="E15" s="437"/>
      <c r="F15" s="437"/>
      <c r="G15" s="437"/>
      <c r="H15" s="437"/>
      <c r="I15" s="437"/>
      <c r="J15" s="437"/>
      <c r="K15" s="437"/>
      <c r="L15" s="437"/>
      <c r="M15" s="437"/>
      <c r="N15" s="437"/>
      <c r="O15" s="437"/>
      <c r="P15" s="437"/>
      <c r="Q15" s="437"/>
      <c r="R15" s="437"/>
      <c r="S15" s="437"/>
      <c r="T15" s="437"/>
    </row>
    <row r="16" spans="1:20" ht="15" customHeight="1" x14ac:dyDescent="0.3">
      <c r="A16" s="549"/>
      <c r="B16" s="549"/>
      <c r="C16" s="549"/>
      <c r="D16" s="549"/>
      <c r="E16" s="437"/>
      <c r="F16" s="437"/>
      <c r="G16" s="437"/>
      <c r="H16" s="437"/>
      <c r="I16" s="437"/>
      <c r="J16" s="437"/>
      <c r="K16" s="438"/>
      <c r="L16" s="438"/>
    </row>
    <row r="17" spans="1:12" ht="15" customHeight="1" x14ac:dyDescent="0.3">
      <c r="A17" s="549"/>
      <c r="B17" s="549"/>
      <c r="C17" s="549"/>
      <c r="D17" s="549"/>
      <c r="E17" s="437"/>
      <c r="F17" s="437"/>
      <c r="G17" s="437"/>
      <c r="H17" s="437"/>
      <c r="I17" s="437"/>
      <c r="J17" s="437"/>
      <c r="K17" s="438"/>
      <c r="L17" s="438"/>
    </row>
    <row r="18" spans="1:12" ht="15" customHeight="1" x14ac:dyDescent="0.3">
      <c r="A18" s="549"/>
      <c r="B18" s="549"/>
      <c r="C18" s="549"/>
      <c r="D18" s="549"/>
      <c r="E18" s="437"/>
      <c r="F18" s="437"/>
      <c r="G18" s="437"/>
      <c r="H18" s="437"/>
      <c r="I18" s="437"/>
      <c r="J18" s="437"/>
      <c r="K18" s="438"/>
      <c r="L18" s="438"/>
    </row>
    <row r="21" spans="1:12" ht="18" x14ac:dyDescent="0.35">
      <c r="C21" s="122"/>
    </row>
    <row r="22" spans="1:12" x14ac:dyDescent="0.3">
      <c r="K22" s="104"/>
    </row>
  </sheetData>
  <mergeCells count="8">
    <mergeCell ref="A10:A12"/>
    <mergeCell ref="B10:B12"/>
    <mergeCell ref="C10:D12"/>
    <mergeCell ref="E10:F12"/>
    <mergeCell ref="A16:B18"/>
    <mergeCell ref="C16:D18"/>
    <mergeCell ref="A13:B15"/>
    <mergeCell ref="C13:D15"/>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Q27"/>
  <sheetViews>
    <sheetView workbookViewId="0">
      <pane xSplit="1" topLeftCell="EF1" activePane="topRight" state="frozen"/>
      <selection pane="topRight" activeCell="A2" sqref="A2"/>
    </sheetView>
  </sheetViews>
  <sheetFormatPr defaultColWidth="9.109375" defaultRowHeight="14.4" x14ac:dyDescent="0.3"/>
  <cols>
    <col min="1" max="1" width="28.6640625" style="70" bestFit="1" customWidth="1"/>
    <col min="2" max="2" width="16" style="70" bestFit="1" customWidth="1"/>
    <col min="3" max="4" width="10.6640625" style="70" bestFit="1" customWidth="1"/>
    <col min="5" max="5" width="14.6640625" style="70" bestFit="1" customWidth="1"/>
    <col min="6" max="6" width="13.88671875" style="70" bestFit="1" customWidth="1"/>
    <col min="7" max="7" width="10.44140625" style="70" bestFit="1" customWidth="1"/>
    <col min="8" max="8" width="12" style="70" bestFit="1" customWidth="1"/>
    <col min="9" max="9" width="13.44140625" style="70" bestFit="1" customWidth="1"/>
    <col min="10" max="10" width="11.5546875" style="70" bestFit="1" customWidth="1"/>
    <col min="11" max="11" width="10.6640625" style="70" bestFit="1" customWidth="1"/>
    <col min="12" max="12" width="16" style="70" bestFit="1" customWidth="1"/>
    <col min="13" max="14" width="10.6640625" style="70" bestFit="1" customWidth="1"/>
    <col min="15" max="15" width="14.6640625" style="70" bestFit="1" customWidth="1"/>
    <col min="16" max="16" width="13.44140625" style="70" bestFit="1" customWidth="1"/>
    <col min="17" max="17" width="10.44140625" style="70" bestFit="1" customWidth="1"/>
    <col min="18" max="18" width="12" style="70" bestFit="1" customWidth="1"/>
    <col min="19" max="19" width="13.44140625" style="70" bestFit="1" customWidth="1"/>
    <col min="20" max="20" width="11.5546875" style="70" bestFit="1" customWidth="1"/>
    <col min="21" max="21" width="10.44140625" style="70" customWidth="1"/>
    <col min="22" max="22" width="16" style="70" customWidth="1"/>
    <col min="23" max="24" width="10.6640625" style="70" bestFit="1" customWidth="1"/>
    <col min="25" max="25" width="14.6640625" style="70" bestFit="1" customWidth="1"/>
    <col min="26" max="26" width="13.44140625" style="70" bestFit="1" customWidth="1"/>
    <col min="27" max="27" width="10.44140625" style="70" bestFit="1" customWidth="1"/>
    <col min="28" max="28" width="12" style="70" bestFit="1" customWidth="1"/>
    <col min="29" max="29" width="13.44140625" style="70" bestFit="1" customWidth="1"/>
    <col min="30" max="30" width="11.6640625" style="70" bestFit="1" customWidth="1"/>
    <col min="31" max="31" width="10.44140625" style="70" customWidth="1"/>
    <col min="32" max="32" width="16" style="70" bestFit="1" customWidth="1"/>
    <col min="33" max="34" width="10.6640625" style="70" bestFit="1" customWidth="1"/>
    <col min="35" max="35" width="14.6640625" style="70" bestFit="1" customWidth="1"/>
    <col min="36" max="36" width="13.44140625" style="70" bestFit="1" customWidth="1"/>
    <col min="37" max="37" width="9.77734375" style="70" bestFit="1" customWidth="1"/>
    <col min="38" max="38" width="12" style="70" bestFit="1" customWidth="1"/>
    <col min="39" max="39" width="13.44140625" style="70" bestFit="1" customWidth="1"/>
    <col min="40" max="40" width="11.6640625" style="70" bestFit="1" customWidth="1"/>
    <col min="41" max="41" width="10.44140625" style="70" customWidth="1"/>
    <col min="42" max="42" width="16" style="70" customWidth="1"/>
    <col min="43" max="44" width="10.6640625" style="70" bestFit="1" customWidth="1"/>
    <col min="45" max="45" width="14.6640625" style="70" bestFit="1" customWidth="1"/>
    <col min="46" max="46" width="13.44140625" style="70" bestFit="1" customWidth="1"/>
    <col min="47" max="47" width="10.44140625" style="70" bestFit="1" customWidth="1"/>
    <col min="48" max="48" width="12" style="70" bestFit="1" customWidth="1"/>
    <col min="49" max="49" width="13.88671875" style="70" bestFit="1" customWidth="1"/>
    <col min="50" max="50" width="11.6640625" style="70" bestFit="1" customWidth="1"/>
    <col min="51" max="51" width="10.44140625" style="70" bestFit="1" customWidth="1"/>
    <col min="52" max="52" width="16" style="70" customWidth="1"/>
    <col min="53" max="54" width="10.6640625" style="70" bestFit="1" customWidth="1"/>
    <col min="55" max="55" width="14.6640625" style="70" bestFit="1" customWidth="1"/>
    <col min="56" max="56" width="13.44140625" style="70" bestFit="1" customWidth="1"/>
    <col min="57" max="57" width="10.44140625" style="70" bestFit="1" customWidth="1"/>
    <col min="58" max="58" width="12" style="70" bestFit="1" customWidth="1"/>
    <col min="59" max="59" width="13.88671875" style="70" bestFit="1" customWidth="1"/>
    <col min="60" max="60" width="11.6640625" style="70" bestFit="1" customWidth="1"/>
    <col min="61" max="61" width="10.44140625" style="70" bestFit="1" customWidth="1"/>
    <col min="62" max="62" width="16" style="70" customWidth="1"/>
    <col min="63" max="64" width="10.6640625" style="70" bestFit="1" customWidth="1"/>
    <col min="65" max="65" width="14.6640625" style="70" bestFit="1" customWidth="1"/>
    <col min="66" max="66" width="13.44140625" style="70" bestFit="1" customWidth="1"/>
    <col min="67" max="67" width="10.44140625" style="70" bestFit="1" customWidth="1"/>
    <col min="68" max="68" width="12" style="70" bestFit="1" customWidth="1"/>
    <col min="69" max="69" width="13.88671875" style="70" bestFit="1" customWidth="1"/>
    <col min="70" max="70" width="11.5546875" style="70" bestFit="1" customWidth="1"/>
    <col min="71" max="71" width="10.44140625" style="70" bestFit="1" customWidth="1"/>
    <col min="72" max="72" width="16" style="70" customWidth="1"/>
    <col min="73" max="74" width="10.6640625" style="70" bestFit="1" customWidth="1"/>
    <col min="75" max="75" width="14.6640625" style="70" bestFit="1" customWidth="1"/>
    <col min="76" max="76" width="13.44140625" style="70" bestFit="1" customWidth="1"/>
    <col min="77" max="77" width="10.44140625" style="70" bestFit="1" customWidth="1"/>
    <col min="78" max="78" width="12" style="70" bestFit="1" customWidth="1"/>
    <col min="79" max="79" width="13.88671875" style="70" bestFit="1" customWidth="1"/>
    <col min="80" max="80" width="11.5546875" style="70" bestFit="1" customWidth="1"/>
    <col min="81" max="81" width="10.44140625" style="70" bestFit="1" customWidth="1"/>
    <col min="82" max="82" width="16" style="70" customWidth="1"/>
    <col min="83" max="84" width="10.6640625" style="70" bestFit="1" customWidth="1"/>
    <col min="85" max="85" width="14.6640625" style="70" bestFit="1" customWidth="1"/>
    <col min="86" max="86" width="13.44140625" style="70" bestFit="1" customWidth="1"/>
    <col min="87" max="87" width="10.44140625" style="70" bestFit="1" customWidth="1"/>
    <col min="88" max="88" width="12" style="70" bestFit="1" customWidth="1"/>
    <col min="89" max="89" width="13.88671875" style="70" bestFit="1" customWidth="1"/>
    <col min="90" max="90" width="11.5546875" style="70" bestFit="1" customWidth="1"/>
    <col min="91" max="91" width="10.44140625" style="70" bestFit="1" customWidth="1"/>
    <col min="92" max="92" width="16" style="70" customWidth="1"/>
    <col min="93" max="94" width="10.6640625" style="70" bestFit="1" customWidth="1"/>
    <col min="95" max="95" width="14.6640625" style="70" bestFit="1" customWidth="1"/>
    <col min="96" max="96" width="13.44140625" style="70" bestFit="1" customWidth="1"/>
    <col min="97" max="97" width="10.44140625" style="70" bestFit="1" customWidth="1"/>
    <col min="98" max="98" width="12" style="70" bestFit="1" customWidth="1"/>
    <col min="99" max="99" width="13.88671875" style="70" bestFit="1" customWidth="1"/>
    <col min="100" max="100" width="11.5546875" style="70" bestFit="1" customWidth="1"/>
    <col min="101" max="101" width="10.44140625" style="70" bestFit="1" customWidth="1"/>
    <col min="102" max="102" width="16" style="70" customWidth="1"/>
    <col min="103" max="104" width="10.6640625" style="70" bestFit="1" customWidth="1"/>
    <col min="105" max="105" width="14.6640625" style="70" bestFit="1" customWidth="1"/>
    <col min="106" max="106" width="13.44140625" style="70" bestFit="1" customWidth="1"/>
    <col min="107" max="107" width="10.44140625" style="70" bestFit="1" customWidth="1"/>
    <col min="108" max="108" width="12" style="70" bestFit="1" customWidth="1"/>
    <col min="109" max="109" width="13.88671875" style="70" bestFit="1" customWidth="1"/>
    <col min="110" max="110" width="11.5546875" style="70" bestFit="1" customWidth="1"/>
    <col min="111" max="111" width="10.44140625" style="70" bestFit="1" customWidth="1"/>
    <col min="112" max="112" width="16" style="70" customWidth="1"/>
    <col min="113" max="114" width="10.6640625" style="70" bestFit="1" customWidth="1"/>
    <col min="115" max="115" width="14.6640625" style="70" bestFit="1" customWidth="1"/>
    <col min="116" max="116" width="13.44140625" style="70" bestFit="1" customWidth="1"/>
    <col min="117" max="117" width="10.44140625" style="70" bestFit="1" customWidth="1"/>
    <col min="118" max="118" width="12" style="70" bestFit="1" customWidth="1"/>
    <col min="119" max="119" width="13.88671875" style="70" bestFit="1" customWidth="1"/>
    <col min="120" max="120" width="11.5546875" style="70" bestFit="1" customWidth="1"/>
    <col min="121" max="121" width="10.44140625" style="70" bestFit="1" customWidth="1"/>
    <col min="122" max="147" width="16" style="70" customWidth="1"/>
    <col min="148" max="16384" width="9.109375" style="70"/>
  </cols>
  <sheetData>
    <row r="1" spans="1:147" x14ac:dyDescent="0.3">
      <c r="B1" s="253"/>
      <c r="J1" s="37"/>
      <c r="K1" s="146"/>
      <c r="L1" s="146"/>
    </row>
    <row r="2" spans="1:147" ht="28.8" x14ac:dyDescent="0.55000000000000004">
      <c r="A2" s="254" t="s">
        <v>96</v>
      </c>
      <c r="B2" s="253"/>
      <c r="E2" s="553" t="s">
        <v>149</v>
      </c>
      <c r="F2" s="553"/>
      <c r="G2" s="553"/>
      <c r="H2" s="553"/>
      <c r="J2" s="255"/>
      <c r="K2" s="102">
        <f ca="1">TODAY()</f>
        <v>46114</v>
      </c>
      <c r="L2" s="70">
        <f ca="1">K3-K2</f>
        <v>-108</v>
      </c>
    </row>
    <row r="3" spans="1:147" x14ac:dyDescent="0.3">
      <c r="B3" s="253"/>
      <c r="J3" s="255"/>
      <c r="K3" s="102">
        <v>46006</v>
      </c>
    </row>
    <row r="4" spans="1:147" x14ac:dyDescent="0.3">
      <c r="A4" s="256" t="s">
        <v>84</v>
      </c>
      <c r="B4" s="505"/>
      <c r="C4" s="257"/>
      <c r="D4" s="257"/>
      <c r="E4" s="257"/>
      <c r="F4" s="257"/>
      <c r="G4" s="257"/>
      <c r="H4" s="257"/>
      <c r="I4" s="257"/>
      <c r="J4" s="257"/>
      <c r="K4" s="441"/>
      <c r="L4" s="441"/>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7"/>
      <c r="AV4" s="257"/>
      <c r="AW4" s="257"/>
      <c r="AX4" s="257"/>
      <c r="AY4" s="257"/>
      <c r="AZ4" s="257"/>
      <c r="BA4" s="257"/>
      <c r="BB4" s="257"/>
      <c r="BC4" s="257"/>
      <c r="BD4" s="257"/>
      <c r="BE4" s="257"/>
      <c r="BF4" s="257"/>
      <c r="BG4" s="257"/>
      <c r="BH4" s="257"/>
      <c r="BI4" s="257"/>
      <c r="BJ4" s="257"/>
      <c r="BK4" s="257"/>
      <c r="BL4" s="257"/>
      <c r="BM4" s="257"/>
      <c r="BN4" s="257"/>
      <c r="BO4" s="257"/>
      <c r="BP4" s="257"/>
      <c r="BQ4" s="257"/>
      <c r="BR4" s="257"/>
      <c r="BS4" s="257"/>
      <c r="BT4" s="257"/>
      <c r="BU4" s="257"/>
      <c r="BV4" s="257"/>
      <c r="BW4" s="257"/>
      <c r="BX4" s="257"/>
      <c r="BY4" s="257"/>
      <c r="BZ4" s="257"/>
      <c r="CA4" s="257"/>
      <c r="CB4" s="257"/>
      <c r="CC4" s="257"/>
      <c r="CD4" s="257"/>
      <c r="CE4" s="257"/>
      <c r="CF4" s="257"/>
      <c r="CG4" s="257"/>
      <c r="CH4" s="257"/>
      <c r="CI4" s="257"/>
      <c r="CJ4" s="257"/>
      <c r="CK4" s="257"/>
      <c r="CL4" s="257"/>
      <c r="CM4" s="257"/>
      <c r="CN4" s="257"/>
      <c r="CO4" s="257"/>
      <c r="CP4" s="257"/>
      <c r="CQ4" s="257"/>
      <c r="CR4" s="257"/>
      <c r="CS4" s="257"/>
      <c r="CT4" s="257"/>
      <c r="CU4" s="257"/>
      <c r="CV4" s="257"/>
      <c r="CW4" s="257"/>
      <c r="CX4" s="257"/>
      <c r="CY4" s="257"/>
      <c r="CZ4" s="257"/>
      <c r="DA4" s="257"/>
      <c r="DB4" s="257"/>
      <c r="DC4" s="257"/>
      <c r="DD4" s="257"/>
      <c r="DE4" s="257"/>
      <c r="DF4" s="257"/>
      <c r="DG4" s="257"/>
      <c r="DH4" s="257"/>
      <c r="DI4" s="257"/>
      <c r="DJ4" s="257"/>
      <c r="DK4" s="257"/>
      <c r="DL4" s="257"/>
      <c r="DM4" s="257"/>
      <c r="DN4" s="257"/>
      <c r="DO4" s="257"/>
      <c r="DP4" s="257"/>
      <c r="DQ4" s="257"/>
    </row>
    <row r="5" spans="1:147" x14ac:dyDescent="0.3">
      <c r="A5" s="256">
        <v>220</v>
      </c>
      <c r="B5" s="505"/>
      <c r="C5" s="257"/>
      <c r="D5" s="257"/>
      <c r="E5" s="257"/>
      <c r="F5" s="257"/>
      <c r="G5" s="257"/>
      <c r="H5" s="257"/>
      <c r="I5" s="257"/>
      <c r="J5" s="257"/>
      <c r="K5" s="441"/>
      <c r="L5" s="257"/>
      <c r="M5" s="257"/>
      <c r="N5" s="257"/>
      <c r="O5" s="257"/>
      <c r="P5" s="257"/>
      <c r="Q5" s="257"/>
      <c r="R5" s="257"/>
      <c r="S5" s="257"/>
      <c r="T5" s="257"/>
      <c r="U5" s="257"/>
      <c r="V5" s="257"/>
      <c r="W5" s="257"/>
      <c r="X5" s="257"/>
      <c r="Y5" s="257"/>
      <c r="Z5" s="257"/>
      <c r="AA5" s="257"/>
      <c r="AB5" s="257"/>
      <c r="AC5" s="257"/>
      <c r="AD5" s="257"/>
      <c r="AE5" s="257"/>
      <c r="AF5" s="257"/>
      <c r="AG5" s="257"/>
      <c r="AH5" s="257"/>
      <c r="AI5" s="257"/>
      <c r="AJ5" s="257"/>
      <c r="AK5" s="257"/>
      <c r="AL5" s="257"/>
      <c r="AM5" s="257"/>
      <c r="AN5" s="257"/>
      <c r="AO5" s="257"/>
      <c r="AP5" s="257"/>
      <c r="AQ5" s="257"/>
      <c r="AR5" s="257"/>
      <c r="AS5" s="257"/>
      <c r="AT5" s="257"/>
      <c r="AU5" s="257"/>
      <c r="AV5" s="257"/>
      <c r="AW5" s="257"/>
      <c r="AX5" s="257"/>
      <c r="AY5" s="257"/>
      <c r="AZ5" s="257"/>
      <c r="BA5" s="257"/>
      <c r="BB5" s="257"/>
      <c r="BC5" s="257"/>
      <c r="BD5" s="257"/>
      <c r="BE5" s="257"/>
      <c r="BF5" s="257"/>
      <c r="BG5" s="257"/>
      <c r="BH5" s="257"/>
      <c r="BI5" s="257"/>
      <c r="BJ5" s="257"/>
      <c r="BK5" s="257"/>
      <c r="BL5" s="257"/>
      <c r="BM5" s="257"/>
      <c r="BN5" s="257"/>
      <c r="BO5" s="257"/>
      <c r="BP5" s="257"/>
      <c r="BQ5" s="257"/>
      <c r="BR5" s="257"/>
      <c r="BS5" s="257"/>
      <c r="BT5" s="257"/>
      <c r="BU5" s="257"/>
      <c r="BV5" s="257"/>
      <c r="BW5" s="257"/>
      <c r="BX5" s="257"/>
      <c r="BY5" s="257"/>
      <c r="BZ5" s="257"/>
      <c r="CA5" s="257"/>
      <c r="CB5" s="257"/>
      <c r="CC5" s="257"/>
      <c r="CD5" s="257"/>
      <c r="CE5" s="257"/>
      <c r="CF5" s="257"/>
      <c r="CG5" s="257"/>
      <c r="CH5" s="257"/>
      <c r="CI5" s="257"/>
      <c r="CJ5" s="257"/>
      <c r="CK5" s="257"/>
      <c r="CL5" s="257"/>
      <c r="CM5" s="257"/>
      <c r="CN5" s="257"/>
      <c r="CO5" s="257"/>
      <c r="CP5" s="257"/>
      <c r="CQ5" s="257"/>
      <c r="CR5" s="257"/>
      <c r="CS5" s="257"/>
      <c r="CT5" s="257"/>
      <c r="CU5" s="257"/>
      <c r="CV5" s="257"/>
      <c r="CW5" s="257"/>
      <c r="CX5" s="257"/>
      <c r="CY5" s="257"/>
      <c r="CZ5" s="257"/>
      <c r="DA5" s="257"/>
      <c r="DB5" s="257"/>
      <c r="DC5" s="257"/>
      <c r="DD5" s="257"/>
      <c r="DE5" s="257"/>
      <c r="DF5" s="257"/>
      <c r="DG5" s="257"/>
      <c r="DH5" s="257"/>
      <c r="DI5" s="257"/>
      <c r="DJ5" s="257"/>
      <c r="DK5" s="257"/>
      <c r="DL5" s="257"/>
      <c r="DM5" s="257"/>
      <c r="DN5" s="257"/>
      <c r="DO5" s="257"/>
      <c r="DP5" s="257"/>
      <c r="DQ5" s="257"/>
    </row>
    <row r="6" spans="1:147" ht="25.8" x14ac:dyDescent="0.5">
      <c r="A6" s="257"/>
      <c r="B6" s="554" t="s">
        <v>12</v>
      </c>
      <c r="C6" s="554"/>
      <c r="D6" s="554"/>
      <c r="E6" s="554"/>
      <c r="F6" s="554"/>
      <c r="G6" s="554"/>
      <c r="H6" s="554"/>
      <c r="I6" s="554"/>
      <c r="J6" s="554"/>
      <c r="K6" s="554"/>
      <c r="L6" s="554" t="s">
        <v>24</v>
      </c>
      <c r="M6" s="554"/>
      <c r="N6" s="554"/>
      <c r="O6" s="554"/>
      <c r="P6" s="554"/>
      <c r="Q6" s="554"/>
      <c r="R6" s="554"/>
      <c r="S6" s="554"/>
      <c r="T6" s="554"/>
      <c r="U6" s="554"/>
      <c r="V6" s="554" t="s">
        <v>25</v>
      </c>
      <c r="W6" s="554"/>
      <c r="X6" s="554"/>
      <c r="Y6" s="554"/>
      <c r="Z6" s="554"/>
      <c r="AA6" s="554"/>
      <c r="AB6" s="554"/>
      <c r="AC6" s="554"/>
      <c r="AD6" s="554"/>
      <c r="AE6" s="554"/>
      <c r="AF6" s="554" t="s">
        <v>26</v>
      </c>
      <c r="AG6" s="554"/>
      <c r="AH6" s="554"/>
      <c r="AI6" s="554"/>
      <c r="AJ6" s="554"/>
      <c r="AK6" s="554"/>
      <c r="AL6" s="554"/>
      <c r="AM6" s="554"/>
      <c r="AN6" s="554"/>
      <c r="AO6" s="554"/>
      <c r="AP6" s="554" t="s">
        <v>27</v>
      </c>
      <c r="AQ6" s="554"/>
      <c r="AR6" s="554"/>
      <c r="AS6" s="554"/>
      <c r="AT6" s="554"/>
      <c r="AU6" s="554"/>
      <c r="AV6" s="554"/>
      <c r="AW6" s="554"/>
      <c r="AX6" s="554"/>
      <c r="AY6" s="554"/>
      <c r="AZ6" s="554" t="s">
        <v>28</v>
      </c>
      <c r="BA6" s="554"/>
      <c r="BB6" s="554"/>
      <c r="BC6" s="554"/>
      <c r="BD6" s="554"/>
      <c r="BE6" s="554"/>
      <c r="BF6" s="554"/>
      <c r="BG6" s="554"/>
      <c r="BH6" s="554"/>
      <c r="BI6" s="554"/>
      <c r="BJ6" s="554" t="s">
        <v>60</v>
      </c>
      <c r="BK6" s="554"/>
      <c r="BL6" s="554"/>
      <c r="BM6" s="554"/>
      <c r="BN6" s="554"/>
      <c r="BO6" s="554"/>
      <c r="BP6" s="554"/>
      <c r="BQ6" s="554"/>
      <c r="BR6" s="554"/>
      <c r="BS6" s="554"/>
      <c r="BT6" s="554" t="s">
        <v>29</v>
      </c>
      <c r="BU6" s="554"/>
      <c r="BV6" s="554"/>
      <c r="BW6" s="554"/>
      <c r="BX6" s="554"/>
      <c r="BY6" s="554"/>
      <c r="BZ6" s="554"/>
      <c r="CA6" s="554"/>
      <c r="CB6" s="554"/>
      <c r="CC6" s="554"/>
      <c r="CD6" s="554" t="s">
        <v>30</v>
      </c>
      <c r="CE6" s="554"/>
      <c r="CF6" s="554"/>
      <c r="CG6" s="554"/>
      <c r="CH6" s="554"/>
      <c r="CI6" s="554"/>
      <c r="CJ6" s="554"/>
      <c r="CK6" s="554"/>
      <c r="CL6" s="554"/>
      <c r="CM6" s="554"/>
      <c r="CN6" s="554" t="s">
        <v>31</v>
      </c>
      <c r="CO6" s="554"/>
      <c r="CP6" s="554"/>
      <c r="CQ6" s="554"/>
      <c r="CR6" s="554"/>
      <c r="CS6" s="554"/>
      <c r="CT6" s="554"/>
      <c r="CU6" s="554"/>
      <c r="CV6" s="554"/>
      <c r="CW6" s="554"/>
      <c r="CX6" s="554" t="s">
        <v>32</v>
      </c>
      <c r="CY6" s="554"/>
      <c r="CZ6" s="554"/>
      <c r="DA6" s="554"/>
      <c r="DB6" s="554"/>
      <c r="DC6" s="554"/>
      <c r="DD6" s="554"/>
      <c r="DE6" s="554"/>
      <c r="DF6" s="554"/>
      <c r="DG6" s="554"/>
      <c r="DH6" s="554" t="s">
        <v>33</v>
      </c>
      <c r="DI6" s="554"/>
      <c r="DJ6" s="554"/>
      <c r="DK6" s="554"/>
      <c r="DL6" s="554"/>
      <c r="DM6" s="554"/>
      <c r="DN6" s="554"/>
      <c r="DO6" s="554"/>
      <c r="DP6" s="554"/>
      <c r="DQ6" s="554"/>
      <c r="DS6" s="258"/>
      <c r="DT6" s="258"/>
      <c r="DU6" s="258"/>
      <c r="DV6" s="550" t="s">
        <v>6</v>
      </c>
      <c r="DW6" s="551"/>
      <c r="DX6" s="551"/>
      <c r="DY6" s="551"/>
      <c r="DZ6" s="552"/>
      <c r="EA6" s="258"/>
      <c r="EB6" s="258"/>
      <c r="EC6" s="258"/>
      <c r="ED6" s="258"/>
      <c r="EF6" s="258"/>
      <c r="EG6" s="258"/>
      <c r="EH6" s="258"/>
      <c r="EI6" s="550" t="s">
        <v>303</v>
      </c>
      <c r="EJ6" s="551"/>
      <c r="EK6" s="551"/>
      <c r="EL6" s="552"/>
      <c r="EM6" s="258"/>
      <c r="EN6" s="258"/>
      <c r="EO6" s="258"/>
      <c r="EP6" s="258"/>
      <c r="EQ6" s="258"/>
    </row>
    <row r="7" spans="1:147" x14ac:dyDescent="0.3">
      <c r="A7" s="256" t="s">
        <v>76</v>
      </c>
      <c r="B7" s="259" t="s">
        <v>85</v>
      </c>
      <c r="C7" s="259" t="s">
        <v>86</v>
      </c>
      <c r="D7" s="259" t="s">
        <v>87</v>
      </c>
      <c r="E7" s="259" t="s">
        <v>91</v>
      </c>
      <c r="F7" s="259" t="s">
        <v>89</v>
      </c>
      <c r="G7" s="259" t="s">
        <v>39</v>
      </c>
      <c r="H7" s="259" t="s">
        <v>117</v>
      </c>
      <c r="I7" s="259" t="s">
        <v>88</v>
      </c>
      <c r="J7" s="259" t="s">
        <v>7</v>
      </c>
      <c r="K7" s="260" t="s">
        <v>90</v>
      </c>
      <c r="L7" s="259" t="s">
        <v>85</v>
      </c>
      <c r="M7" s="259" t="s">
        <v>86</v>
      </c>
      <c r="N7" s="259" t="s">
        <v>87</v>
      </c>
      <c r="O7" s="259" t="s">
        <v>91</v>
      </c>
      <c r="P7" s="259" t="s">
        <v>89</v>
      </c>
      <c r="Q7" s="259" t="s">
        <v>39</v>
      </c>
      <c r="R7" s="259" t="s">
        <v>117</v>
      </c>
      <c r="S7" s="259" t="s">
        <v>88</v>
      </c>
      <c r="T7" s="259" t="s">
        <v>7</v>
      </c>
      <c r="U7" s="260" t="s">
        <v>90</v>
      </c>
      <c r="V7" s="259" t="s">
        <v>85</v>
      </c>
      <c r="W7" s="259" t="s">
        <v>86</v>
      </c>
      <c r="X7" s="259" t="s">
        <v>87</v>
      </c>
      <c r="Y7" s="259" t="s">
        <v>91</v>
      </c>
      <c r="Z7" s="259" t="s">
        <v>89</v>
      </c>
      <c r="AA7" s="259" t="s">
        <v>39</v>
      </c>
      <c r="AB7" s="259" t="s">
        <v>117</v>
      </c>
      <c r="AC7" s="259" t="s">
        <v>88</v>
      </c>
      <c r="AD7" s="259" t="s">
        <v>7</v>
      </c>
      <c r="AE7" s="260" t="s">
        <v>90</v>
      </c>
      <c r="AF7" s="259" t="s">
        <v>85</v>
      </c>
      <c r="AG7" s="259" t="s">
        <v>86</v>
      </c>
      <c r="AH7" s="259" t="s">
        <v>87</v>
      </c>
      <c r="AI7" s="259" t="s">
        <v>91</v>
      </c>
      <c r="AJ7" s="259" t="s">
        <v>89</v>
      </c>
      <c r="AK7" s="259" t="s">
        <v>39</v>
      </c>
      <c r="AL7" s="259" t="s">
        <v>117</v>
      </c>
      <c r="AM7" s="259" t="s">
        <v>88</v>
      </c>
      <c r="AN7" s="259" t="s">
        <v>7</v>
      </c>
      <c r="AO7" s="260" t="s">
        <v>90</v>
      </c>
      <c r="AP7" s="259" t="s">
        <v>85</v>
      </c>
      <c r="AQ7" s="259" t="s">
        <v>86</v>
      </c>
      <c r="AR7" s="259" t="s">
        <v>87</v>
      </c>
      <c r="AS7" s="259" t="s">
        <v>91</v>
      </c>
      <c r="AT7" s="259" t="s">
        <v>89</v>
      </c>
      <c r="AU7" s="259" t="s">
        <v>39</v>
      </c>
      <c r="AV7" s="259" t="s">
        <v>117</v>
      </c>
      <c r="AW7" s="259" t="s">
        <v>88</v>
      </c>
      <c r="AX7" s="259" t="s">
        <v>7</v>
      </c>
      <c r="AY7" s="260" t="s">
        <v>90</v>
      </c>
      <c r="AZ7" s="259" t="s">
        <v>85</v>
      </c>
      <c r="BA7" s="259" t="s">
        <v>86</v>
      </c>
      <c r="BB7" s="259" t="s">
        <v>87</v>
      </c>
      <c r="BC7" s="259" t="s">
        <v>91</v>
      </c>
      <c r="BD7" s="259" t="s">
        <v>89</v>
      </c>
      <c r="BE7" s="259" t="s">
        <v>39</v>
      </c>
      <c r="BF7" s="259" t="s">
        <v>117</v>
      </c>
      <c r="BG7" s="259" t="s">
        <v>88</v>
      </c>
      <c r="BH7" s="259" t="s">
        <v>7</v>
      </c>
      <c r="BI7" s="260" t="s">
        <v>90</v>
      </c>
      <c r="BJ7" s="259" t="s">
        <v>85</v>
      </c>
      <c r="BK7" s="259" t="s">
        <v>86</v>
      </c>
      <c r="BL7" s="259" t="s">
        <v>87</v>
      </c>
      <c r="BM7" s="259" t="s">
        <v>91</v>
      </c>
      <c r="BN7" s="259" t="s">
        <v>89</v>
      </c>
      <c r="BO7" s="259" t="s">
        <v>39</v>
      </c>
      <c r="BP7" s="259" t="s">
        <v>117</v>
      </c>
      <c r="BQ7" s="259" t="s">
        <v>88</v>
      </c>
      <c r="BR7" s="259" t="s">
        <v>7</v>
      </c>
      <c r="BS7" s="260" t="s">
        <v>90</v>
      </c>
      <c r="BT7" s="259" t="s">
        <v>85</v>
      </c>
      <c r="BU7" s="259" t="s">
        <v>86</v>
      </c>
      <c r="BV7" s="259" t="s">
        <v>87</v>
      </c>
      <c r="BW7" s="259" t="s">
        <v>91</v>
      </c>
      <c r="BX7" s="259" t="s">
        <v>89</v>
      </c>
      <c r="BY7" s="259" t="s">
        <v>39</v>
      </c>
      <c r="BZ7" s="259" t="s">
        <v>117</v>
      </c>
      <c r="CA7" s="259" t="s">
        <v>88</v>
      </c>
      <c r="CB7" s="259" t="s">
        <v>7</v>
      </c>
      <c r="CC7" s="260" t="s">
        <v>90</v>
      </c>
      <c r="CD7" s="259" t="s">
        <v>85</v>
      </c>
      <c r="CE7" s="259" t="s">
        <v>86</v>
      </c>
      <c r="CF7" s="259" t="s">
        <v>87</v>
      </c>
      <c r="CG7" s="259" t="s">
        <v>91</v>
      </c>
      <c r="CH7" s="259" t="s">
        <v>89</v>
      </c>
      <c r="CI7" s="259" t="s">
        <v>39</v>
      </c>
      <c r="CJ7" s="259" t="s">
        <v>117</v>
      </c>
      <c r="CK7" s="259" t="s">
        <v>88</v>
      </c>
      <c r="CL7" s="259" t="s">
        <v>7</v>
      </c>
      <c r="CM7" s="260" t="s">
        <v>90</v>
      </c>
      <c r="CN7" s="259" t="s">
        <v>85</v>
      </c>
      <c r="CO7" s="259" t="s">
        <v>86</v>
      </c>
      <c r="CP7" s="259" t="s">
        <v>87</v>
      </c>
      <c r="CQ7" s="259" t="s">
        <v>91</v>
      </c>
      <c r="CR7" s="259" t="s">
        <v>89</v>
      </c>
      <c r="CS7" s="259" t="s">
        <v>39</v>
      </c>
      <c r="CT7" s="259" t="s">
        <v>117</v>
      </c>
      <c r="CU7" s="259" t="s">
        <v>88</v>
      </c>
      <c r="CV7" s="259" t="s">
        <v>7</v>
      </c>
      <c r="CW7" s="260" t="s">
        <v>90</v>
      </c>
      <c r="CX7" s="259" t="s">
        <v>85</v>
      </c>
      <c r="CY7" s="259" t="s">
        <v>86</v>
      </c>
      <c r="CZ7" s="259" t="s">
        <v>87</v>
      </c>
      <c r="DA7" s="259" t="s">
        <v>91</v>
      </c>
      <c r="DB7" s="259" t="s">
        <v>89</v>
      </c>
      <c r="DC7" s="259" t="s">
        <v>39</v>
      </c>
      <c r="DD7" s="259" t="s">
        <v>117</v>
      </c>
      <c r="DE7" s="259" t="s">
        <v>88</v>
      </c>
      <c r="DF7" s="259" t="s">
        <v>7</v>
      </c>
      <c r="DG7" s="260" t="s">
        <v>90</v>
      </c>
      <c r="DH7" s="259" t="s">
        <v>85</v>
      </c>
      <c r="DI7" s="259" t="s">
        <v>86</v>
      </c>
      <c r="DJ7" s="259" t="s">
        <v>87</v>
      </c>
      <c r="DK7" s="259" t="s">
        <v>91</v>
      </c>
      <c r="DL7" s="259" t="s">
        <v>89</v>
      </c>
      <c r="DM7" s="259" t="s">
        <v>39</v>
      </c>
      <c r="DN7" s="259" t="s">
        <v>117</v>
      </c>
      <c r="DO7" s="259" t="s">
        <v>88</v>
      </c>
      <c r="DP7" s="259" t="s">
        <v>7</v>
      </c>
      <c r="DQ7" s="260" t="s">
        <v>90</v>
      </c>
      <c r="DS7" s="259" t="s">
        <v>61</v>
      </c>
      <c r="DT7" s="259" t="s">
        <v>62</v>
      </c>
      <c r="DU7" s="259" t="s">
        <v>63</v>
      </c>
      <c r="DV7" s="259" t="s">
        <v>64</v>
      </c>
      <c r="DW7" s="259" t="s">
        <v>65</v>
      </c>
      <c r="DX7" s="259" t="s">
        <v>66</v>
      </c>
      <c r="DY7" s="259" t="s">
        <v>67</v>
      </c>
      <c r="DZ7" s="259" t="s">
        <v>68</v>
      </c>
      <c r="EA7" s="259" t="s">
        <v>69</v>
      </c>
      <c r="EB7" s="259" t="s">
        <v>70</v>
      </c>
      <c r="EC7" s="259" t="s">
        <v>71</v>
      </c>
      <c r="ED7" s="259" t="s">
        <v>72</v>
      </c>
      <c r="EF7" s="259" t="s">
        <v>61</v>
      </c>
      <c r="EG7" s="259" t="s">
        <v>62</v>
      </c>
      <c r="EH7" s="259" t="s">
        <v>63</v>
      </c>
      <c r="EI7" s="259" t="s">
        <v>64</v>
      </c>
      <c r="EJ7" s="259" t="s">
        <v>65</v>
      </c>
      <c r="EK7" s="259" t="s">
        <v>66</v>
      </c>
      <c r="EL7" s="259" t="s">
        <v>67</v>
      </c>
      <c r="EM7" s="259" t="s">
        <v>68</v>
      </c>
      <c r="EN7" s="259" t="s">
        <v>69</v>
      </c>
      <c r="EO7" s="259" t="s">
        <v>70</v>
      </c>
      <c r="EP7" s="259" t="s">
        <v>71</v>
      </c>
      <c r="EQ7" s="259" t="s">
        <v>72</v>
      </c>
    </row>
    <row r="8" spans="1:147" x14ac:dyDescent="0.3">
      <c r="A8" s="201" t="s">
        <v>178</v>
      </c>
      <c r="B8" s="261">
        <f>'Lnha 1 Zn Alc. Aut'!G15</f>
        <v>0</v>
      </c>
      <c r="C8" s="261">
        <f>'Resumo M.O'!C2</f>
        <v>5410.4180888888895</v>
      </c>
      <c r="D8" s="262">
        <f>'Resumo M.O'!$C$13</f>
        <v>9143.3131190476179</v>
      </c>
      <c r="E8" s="263">
        <f>'Resumo Custos Variáveis'!$E$21</f>
        <v>0</v>
      </c>
      <c r="F8" s="261">
        <f>'Outros Custos'!$C$31</f>
        <v>0</v>
      </c>
      <c r="G8" s="261">
        <f>Transporte!$C$20</f>
        <v>0</v>
      </c>
      <c r="H8" s="261">
        <f>Manutenção!$C$21</f>
        <v>0</v>
      </c>
      <c r="I8" s="262">
        <f ca="1">Investimentos!G10</f>
        <v>0</v>
      </c>
      <c r="J8" s="261">
        <f ca="1">SUM(B8:I8)</f>
        <v>14553.731207936507</v>
      </c>
      <c r="K8" s="264">
        <f ca="1">IF($L$2&gt;=1,J8/$A$5,0)</f>
        <v>0</v>
      </c>
      <c r="L8" s="261">
        <f>'Lnha 1 Zn Alc. Aut'!J15</f>
        <v>0</v>
      </c>
      <c r="M8" s="262">
        <f>'Resumo M.O'!D2</f>
        <v>5410.4180888888895</v>
      </c>
      <c r="N8" s="262">
        <f>'Resumo M.O'!$D$13</f>
        <v>9143.3131190476179</v>
      </c>
      <c r="O8" s="262">
        <f>'Resumo Custos Variáveis'!$F$21</f>
        <v>0</v>
      </c>
      <c r="P8" s="261">
        <f>'Outros Custos'!$D$31</f>
        <v>0</v>
      </c>
      <c r="Q8" s="261">
        <f>Transporte!$D$20</f>
        <v>0</v>
      </c>
      <c r="R8" s="261">
        <f>Manutenção!$D$21</f>
        <v>0</v>
      </c>
      <c r="S8" s="262">
        <f t="shared" ref="S8:S14" ca="1" si="0">I8</f>
        <v>0</v>
      </c>
      <c r="T8" s="261">
        <f ca="1">SUM(L8:S8)</f>
        <v>14553.731207936507</v>
      </c>
      <c r="U8" s="264">
        <f ca="1">IF($L$2&gt;=1,T8/$A$5,0)</f>
        <v>0</v>
      </c>
      <c r="V8" s="261">
        <f>'Lnha 1 Zn Alc. Aut'!M15</f>
        <v>0</v>
      </c>
      <c r="W8" s="263">
        <f>'Resumo M.O'!E2</f>
        <v>5410.4180888888895</v>
      </c>
      <c r="X8" s="263">
        <f>'Resumo M.O'!$E$13</f>
        <v>9143.3131190476179</v>
      </c>
      <c r="Y8" s="263">
        <f>'Resumo Custos Variáveis'!$G$21</f>
        <v>0</v>
      </c>
      <c r="Z8" s="63">
        <f>'Outros Custos'!$E$31</f>
        <v>0</v>
      </c>
      <c r="AA8" s="63">
        <f>Transporte!$E$20</f>
        <v>0</v>
      </c>
      <c r="AB8" s="63">
        <f>Manutenção!$E$21</f>
        <v>0</v>
      </c>
      <c r="AC8" s="263">
        <f t="shared" ref="AC8:AC14" ca="1" si="1">S8</f>
        <v>0</v>
      </c>
      <c r="AD8" s="63">
        <f ca="1">SUM(V8:AC8)</f>
        <v>14553.731207936507</v>
      </c>
      <c r="AE8" s="264">
        <f ca="1">IF($L$2&gt;=1,AD8/$A$5,0)</f>
        <v>0</v>
      </c>
      <c r="AF8" s="261">
        <f>'Lnha 1 Zn Alc. Aut'!P15</f>
        <v>0</v>
      </c>
      <c r="AG8" s="262">
        <f>'Resumo M.O'!F2</f>
        <v>5410.4180888888895</v>
      </c>
      <c r="AH8" s="262">
        <f>'Resumo M.O'!$F$13</f>
        <v>9143.3131190476179</v>
      </c>
      <c r="AI8" s="262">
        <f>'Resumo Custos Variáveis'!$H$21</f>
        <v>0</v>
      </c>
      <c r="AJ8" s="261">
        <f>'Outros Custos'!$F$31</f>
        <v>0</v>
      </c>
      <c r="AK8" s="261">
        <f>Transporte!$F$20</f>
        <v>0</v>
      </c>
      <c r="AL8" s="261">
        <f>Manutenção!$F$21</f>
        <v>0</v>
      </c>
      <c r="AM8" s="262">
        <f t="shared" ref="AM8:AM14" ca="1" si="2">AC8</f>
        <v>0</v>
      </c>
      <c r="AN8" s="261">
        <f ca="1">SUM(AF8:AM8)</f>
        <v>14553.731207936507</v>
      </c>
      <c r="AO8" s="264">
        <f ca="1">IF(L2&gt;=1,AN8/$A$5,0)</f>
        <v>0</v>
      </c>
      <c r="AP8" s="261">
        <f>'Lnha 1 Zn Alc. Aut'!S15</f>
        <v>0</v>
      </c>
      <c r="AQ8" s="262">
        <f>'Resumo M.O'!G2</f>
        <v>5410.4180888888895</v>
      </c>
      <c r="AR8" s="262">
        <f>'Resumo M.O'!$G$13</f>
        <v>9143.3131190476179</v>
      </c>
      <c r="AS8" s="262">
        <f>'Resumo Custos Variáveis'!$I$21</f>
        <v>0</v>
      </c>
      <c r="AT8" s="261">
        <f>'Outros Custos'!$G$31</f>
        <v>0</v>
      </c>
      <c r="AU8" s="261">
        <f>Transporte!$G$20</f>
        <v>0</v>
      </c>
      <c r="AV8" s="261">
        <f>Manutenção!$G$21</f>
        <v>0</v>
      </c>
      <c r="AW8" s="262">
        <f t="shared" ref="AW8:AW14" ca="1" si="3">AM8</f>
        <v>0</v>
      </c>
      <c r="AX8" s="261">
        <f ca="1">SUM(AP8:AW8)</f>
        <v>14553.731207936507</v>
      </c>
      <c r="AY8" s="264">
        <f ca="1">IF(L2&gt;=1,AX8/$A$5,0)</f>
        <v>0</v>
      </c>
      <c r="AZ8" s="261">
        <f>'Lnha 1 Zn Alc. Aut'!V15</f>
        <v>0</v>
      </c>
      <c r="BA8" s="262">
        <f>'Resumo M.O'!H2</f>
        <v>5410.4180888888895</v>
      </c>
      <c r="BB8" s="262">
        <f>'Resumo M.O'!$H$13</f>
        <v>9143.3131190476179</v>
      </c>
      <c r="BC8" s="262">
        <f>'Resumo Custos Variáveis'!$J$21</f>
        <v>0</v>
      </c>
      <c r="BD8" s="261">
        <f>'Outros Custos'!$H$31</f>
        <v>0</v>
      </c>
      <c r="BE8" s="261">
        <f>Transporte!$H$20</f>
        <v>0</v>
      </c>
      <c r="BF8" s="261">
        <f>Manutenção!$H$21</f>
        <v>0</v>
      </c>
      <c r="BG8" s="262">
        <f t="shared" ref="BG8:BG14" ca="1" si="4">AW8</f>
        <v>0</v>
      </c>
      <c r="BH8" s="261">
        <f ca="1">SUM(AZ8:BG8)</f>
        <v>14553.731207936507</v>
      </c>
      <c r="BI8" s="264">
        <f ca="1">IF(L2&gt;=1,BH8/$A$5,0)</f>
        <v>0</v>
      </c>
      <c r="BJ8" s="261">
        <f>'Lnha 1 Zn Alc. Aut'!Y15</f>
        <v>0</v>
      </c>
      <c r="BK8" s="262">
        <f>'Resumo M.O'!I2</f>
        <v>5410.4180888888895</v>
      </c>
      <c r="BL8" s="262">
        <f>'Resumo M.O'!$I$13</f>
        <v>9143.3131190476179</v>
      </c>
      <c r="BM8" s="262">
        <f>'Resumo Custos Variáveis'!$K$21</f>
        <v>0</v>
      </c>
      <c r="BN8" s="261">
        <f>'Outros Custos'!$I$31</f>
        <v>0</v>
      </c>
      <c r="BO8" s="261">
        <f>Transporte!$I$20</f>
        <v>0</v>
      </c>
      <c r="BP8" s="261">
        <f>Manutenção!$I$21</f>
        <v>0</v>
      </c>
      <c r="BQ8" s="262">
        <f t="shared" ref="BQ8:BQ14" ca="1" si="5">BG8</f>
        <v>0</v>
      </c>
      <c r="BR8" s="261">
        <f ca="1">SUM(BJ8:BQ8)</f>
        <v>14553.731207936507</v>
      </c>
      <c r="BS8" s="264">
        <f ca="1">IF(L2&gt;=1,BR8/$A$5,0)</f>
        <v>0</v>
      </c>
      <c r="BT8" s="261">
        <f>'Lnha 1 Zn Alc. Aut'!AB15</f>
        <v>0</v>
      </c>
      <c r="BU8" s="262">
        <f>'Resumo M.O'!J2</f>
        <v>5410.4180888888895</v>
      </c>
      <c r="BV8" s="262">
        <f>'Resumo M.O'!$J$13</f>
        <v>9143.3131190476179</v>
      </c>
      <c r="BW8" s="262">
        <f>'Resumo Custos Variáveis'!$L$21</f>
        <v>0</v>
      </c>
      <c r="BX8" s="261">
        <f>'Outros Custos'!$J$31</f>
        <v>0</v>
      </c>
      <c r="BY8" s="261">
        <f>Transporte!$J$20</f>
        <v>0</v>
      </c>
      <c r="BZ8" s="261">
        <f>Manutenção!$J$21</f>
        <v>0</v>
      </c>
      <c r="CA8" s="262">
        <f t="shared" ref="CA8:CA14" ca="1" si="6">BQ8</f>
        <v>0</v>
      </c>
      <c r="CB8" s="261">
        <f ca="1">SUM(BT8:CA8)</f>
        <v>14553.731207936507</v>
      </c>
      <c r="CC8" s="264">
        <f ca="1">IF(L2&gt;=1,CB8/$A$5,0)</f>
        <v>0</v>
      </c>
      <c r="CD8" s="261">
        <f>'Lnha 1 Zn Alc. Aut'!AE15</f>
        <v>0</v>
      </c>
      <c r="CE8" s="262">
        <f>'Resumo M.O'!K2</f>
        <v>5410.4180888888895</v>
      </c>
      <c r="CF8" s="262">
        <f>'Resumo M.O'!$K$13</f>
        <v>9143.3131190476179</v>
      </c>
      <c r="CG8" s="262">
        <f>'Resumo Custos Variáveis'!$M$21</f>
        <v>4328.5714285714284</v>
      </c>
      <c r="CH8" s="261">
        <f>'Outros Custos'!$K$31</f>
        <v>2140</v>
      </c>
      <c r="CI8" s="261">
        <f>Transporte!$K$20</f>
        <v>0</v>
      </c>
      <c r="CJ8" s="261">
        <f>Manutenção!$K$21</f>
        <v>10000</v>
      </c>
      <c r="CK8" s="262">
        <f t="shared" ref="CK8:CK14" ca="1" si="7">CA8</f>
        <v>0</v>
      </c>
      <c r="CL8" s="261">
        <f ca="1">SUM(CD8:CK8)</f>
        <v>31022.302636507935</v>
      </c>
      <c r="CM8" s="264">
        <f ca="1">IF(L2&gt;=1,CL8/$A$5,0)</f>
        <v>0</v>
      </c>
      <c r="CN8" s="261">
        <f>'Lnha 1 Zn Alc. Aut'!AH15</f>
        <v>0</v>
      </c>
      <c r="CO8" s="262">
        <f>'Resumo M.O'!L2</f>
        <v>5410.4180888888895</v>
      </c>
      <c r="CP8" s="262">
        <f>'Resumo M.O'!$L$13</f>
        <v>9143.3131190476179</v>
      </c>
      <c r="CQ8" s="262">
        <f>'Resumo Custos Variáveis'!$N$21</f>
        <v>0</v>
      </c>
      <c r="CR8" s="261">
        <f>'Outros Custos'!$L$31</f>
        <v>0</v>
      </c>
      <c r="CS8" s="261">
        <f>Transporte!$L$20</f>
        <v>0</v>
      </c>
      <c r="CT8" s="261">
        <f>Manutenção!$L$21</f>
        <v>10000</v>
      </c>
      <c r="CU8" s="262">
        <f t="shared" ref="CU8:CU14" ca="1" si="8">CK8</f>
        <v>0</v>
      </c>
      <c r="CV8" s="261">
        <f ca="1">SUM(CN8:CU8)</f>
        <v>24553.731207936507</v>
      </c>
      <c r="CW8" s="264">
        <f ca="1">IF(L2&gt;=1,CV8/$A$5,0)</f>
        <v>0</v>
      </c>
      <c r="CX8" s="261">
        <f>'Lnha 1 Zn Alc. Aut'!AK15</f>
        <v>0</v>
      </c>
      <c r="CY8" s="262">
        <f>'Resumo M.O'!M2</f>
        <v>5410.4180888888895</v>
      </c>
      <c r="CZ8" s="262">
        <f>'Resumo M.O'!$M$13</f>
        <v>9143.3131190476179</v>
      </c>
      <c r="DA8" s="262">
        <f>'Resumo Custos Variáveis'!$O$21</f>
        <v>0</v>
      </c>
      <c r="DB8" s="261">
        <f>'Outros Custos'!$M$31</f>
        <v>0</v>
      </c>
      <c r="DC8" s="261">
        <f>Transporte!$M$20</f>
        <v>0</v>
      </c>
      <c r="DD8" s="261">
        <f>Manutenção!$M$21</f>
        <v>10000</v>
      </c>
      <c r="DE8" s="262">
        <f t="shared" ref="DE8:DE14" ca="1" si="9">CU8</f>
        <v>0</v>
      </c>
      <c r="DF8" s="261">
        <f ca="1">SUM(CX8:DE8)</f>
        <v>24553.731207936507</v>
      </c>
      <c r="DG8" s="264">
        <f ca="1">IF(L2&gt;=1,DF8/$A$5,0)</f>
        <v>0</v>
      </c>
      <c r="DH8" s="261">
        <f>'Lnha 1 Zn Alc. Aut'!AN15</f>
        <v>0</v>
      </c>
      <c r="DI8" s="263">
        <f>'Resumo M.O'!N2</f>
        <v>5410.4180888888895</v>
      </c>
      <c r="DJ8" s="263">
        <f>'Resumo M.O'!$N$13</f>
        <v>9143.3131190476179</v>
      </c>
      <c r="DK8" s="263">
        <f>'Resumo Custos Variáveis'!$P$21</f>
        <v>0</v>
      </c>
      <c r="DL8" s="63">
        <f>'Outros Custos'!$N$31</f>
        <v>0</v>
      </c>
      <c r="DM8" s="63">
        <f>Transporte!$N$20</f>
        <v>0</v>
      </c>
      <c r="DN8" s="63">
        <f>Manutenção!$N$21</f>
        <v>10000</v>
      </c>
      <c r="DO8" s="263">
        <f t="shared" ref="DO8:DO14" ca="1" si="10">DE8</f>
        <v>0</v>
      </c>
      <c r="DP8" s="63">
        <f ca="1">SUM(DH8:DO8)</f>
        <v>24553.731207936507</v>
      </c>
      <c r="DQ8" s="264">
        <f ca="1">IF(L2&gt;=1,DP8/$A$5,0)</f>
        <v>0</v>
      </c>
      <c r="DS8" s="265">
        <f t="shared" ref="DS8:DS15" ca="1" si="11">K8</f>
        <v>0</v>
      </c>
      <c r="DT8" s="265">
        <f t="shared" ref="DT8:DT15" ca="1" si="12">U8</f>
        <v>0</v>
      </c>
      <c r="DU8" s="265">
        <f t="shared" ref="DU8:DU15" ca="1" si="13">AE8</f>
        <v>0</v>
      </c>
      <c r="DV8" s="265">
        <f t="shared" ref="DV8:DV15" ca="1" si="14">AO8</f>
        <v>0</v>
      </c>
      <c r="DW8" s="265">
        <f t="shared" ref="DW8:DW15" ca="1" si="15">AY8</f>
        <v>0</v>
      </c>
      <c r="DX8" s="265">
        <f t="shared" ref="DX8:DX15" ca="1" si="16">BI8</f>
        <v>0</v>
      </c>
      <c r="DY8" s="265">
        <f t="shared" ref="DY8:DY15" ca="1" si="17">BS8</f>
        <v>0</v>
      </c>
      <c r="DZ8" s="265">
        <f t="shared" ref="DZ8:DZ14" ca="1" si="18">CC8</f>
        <v>0</v>
      </c>
      <c r="EA8" s="265">
        <f t="shared" ref="EA8:EA15" ca="1" si="19">CM8</f>
        <v>0</v>
      </c>
      <c r="EB8" s="265">
        <f t="shared" ref="EB8:EB15" ca="1" si="20">CW8</f>
        <v>0</v>
      </c>
      <c r="EC8" s="265">
        <f t="shared" ref="EC8:EC15" ca="1" si="21">DG8</f>
        <v>0</v>
      </c>
      <c r="ED8" s="265">
        <f t="shared" ref="ED8:ED15" ca="1" si="22">DQ8</f>
        <v>0</v>
      </c>
      <c r="EF8" s="265">
        <f>B8/$A$5</f>
        <v>0</v>
      </c>
      <c r="EG8" s="265">
        <f>L8/$A$5</f>
        <v>0</v>
      </c>
      <c r="EH8" s="265">
        <f>V8/$A$5</f>
        <v>0</v>
      </c>
      <c r="EI8" s="265">
        <f>AF8/$A$5</f>
        <v>0</v>
      </c>
      <c r="EJ8" s="265">
        <f>AP8/$A$5</f>
        <v>0</v>
      </c>
      <c r="EK8" s="265">
        <f>AZ8/$A$5</f>
        <v>0</v>
      </c>
      <c r="EL8" s="265">
        <f>BJ8/$A$5</f>
        <v>0</v>
      </c>
      <c r="EM8" s="265">
        <f>BT8/$A$5</f>
        <v>0</v>
      </c>
      <c r="EN8" s="265">
        <f>CD8/$A$5</f>
        <v>0</v>
      </c>
      <c r="EO8" s="265">
        <f>CN8/$A$5</f>
        <v>0</v>
      </c>
      <c r="EP8" s="265">
        <f>CX8/$A$5</f>
        <v>0</v>
      </c>
      <c r="EQ8" s="265">
        <f>DH8/$A$5</f>
        <v>0</v>
      </c>
    </row>
    <row r="9" spans="1:147" x14ac:dyDescent="0.3">
      <c r="A9" s="201" t="s">
        <v>179</v>
      </c>
      <c r="B9" s="261">
        <f>'Linha 2 Zn Alc. Aut'!G16</f>
        <v>0</v>
      </c>
      <c r="C9" s="261">
        <f>'Resumo M.O'!C3</f>
        <v>5410.4043444444451</v>
      </c>
      <c r="D9" s="262">
        <f>'Resumo M.O'!$C$13</f>
        <v>9143.3131190476179</v>
      </c>
      <c r="E9" s="263">
        <f>'Resumo Custos Variáveis'!$E$21</f>
        <v>0</v>
      </c>
      <c r="F9" s="261">
        <f>'Outros Custos'!$C$31</f>
        <v>0</v>
      </c>
      <c r="G9" s="261">
        <f>Transporte!$C$20</f>
        <v>0</v>
      </c>
      <c r="H9" s="261">
        <f>Manutenção!$C$21</f>
        <v>0</v>
      </c>
      <c r="I9" s="262">
        <f ca="1">Investimentos!G15</f>
        <v>0</v>
      </c>
      <c r="J9" s="261">
        <f t="shared" ref="J9:J15" ca="1" si="23">SUM(B9:I9)</f>
        <v>14553.717463492063</v>
      </c>
      <c r="K9" s="264">
        <f t="shared" ref="K9:K15" ca="1" si="24">IF($L$2&gt;=1,J9/$A$5,0)</f>
        <v>0</v>
      </c>
      <c r="L9" s="261">
        <f>'Linha 2 Zn Alc. Aut'!J16</f>
        <v>0</v>
      </c>
      <c r="M9" s="262">
        <f>'Resumo M.O'!D3</f>
        <v>5410.4043444444451</v>
      </c>
      <c r="N9" s="262">
        <f>'Resumo M.O'!$D$13</f>
        <v>9143.3131190476179</v>
      </c>
      <c r="O9" s="262">
        <f>'Resumo Custos Variáveis'!$F$21</f>
        <v>0</v>
      </c>
      <c r="P9" s="261">
        <f>'Outros Custos'!$D$31</f>
        <v>0</v>
      </c>
      <c r="Q9" s="261">
        <f>Transporte!$D$20</f>
        <v>0</v>
      </c>
      <c r="R9" s="261">
        <f>Manutenção!$D$21</f>
        <v>0</v>
      </c>
      <c r="S9" s="262">
        <f t="shared" ca="1" si="0"/>
        <v>0</v>
      </c>
      <c r="T9" s="262">
        <f ca="1">SUM(L9:S9)</f>
        <v>14553.717463492063</v>
      </c>
      <c r="U9" s="264">
        <f t="shared" ref="U9:U15" ca="1" si="25">IF($L$2&gt;=1,T9/$A$5,0)</f>
        <v>0</v>
      </c>
      <c r="V9" s="262">
        <f>'Linha 2 Zn Alc. Aut'!M16</f>
        <v>0</v>
      </c>
      <c r="W9" s="263">
        <f>'Resumo M.O'!E3</f>
        <v>5410.4043444444451</v>
      </c>
      <c r="X9" s="263">
        <f>'Resumo M.O'!$E$13</f>
        <v>9143.3131190476179</v>
      </c>
      <c r="Y9" s="263">
        <f>'Resumo Custos Variáveis'!$G$21</f>
        <v>0</v>
      </c>
      <c r="Z9" s="63">
        <f>'Outros Custos'!$E$31</f>
        <v>0</v>
      </c>
      <c r="AA9" s="63">
        <f>Transporte!$E$20</f>
        <v>0</v>
      </c>
      <c r="AB9" s="63">
        <f>Manutenção!$E$21</f>
        <v>0</v>
      </c>
      <c r="AC9" s="263">
        <f t="shared" ca="1" si="1"/>
        <v>0</v>
      </c>
      <c r="AD9" s="263">
        <f ca="1">SUM(V9:AC9)</f>
        <v>14553.717463492063</v>
      </c>
      <c r="AE9" s="264">
        <f t="shared" ref="AE9:AE15" ca="1" si="26">IF($L$2&gt;=1,AD9/$A$5,0)</f>
        <v>0</v>
      </c>
      <c r="AF9" s="262">
        <f>'Linha 2 Zn Alc. Aut'!P16</f>
        <v>0</v>
      </c>
      <c r="AG9" s="262">
        <f>'Resumo M.O'!F3</f>
        <v>5410.4043444444451</v>
      </c>
      <c r="AH9" s="262">
        <f>'Resumo M.O'!$F$13</f>
        <v>9143.3131190476179</v>
      </c>
      <c r="AI9" s="262">
        <f>'Resumo Custos Variáveis'!$H$21</f>
        <v>0</v>
      </c>
      <c r="AJ9" s="261">
        <f>'Outros Custos'!$F$31</f>
        <v>0</v>
      </c>
      <c r="AK9" s="261">
        <f>Transporte!$F$20</f>
        <v>0</v>
      </c>
      <c r="AL9" s="261">
        <f>Manutenção!$F$21</f>
        <v>0</v>
      </c>
      <c r="AM9" s="262">
        <f t="shared" ca="1" si="2"/>
        <v>0</v>
      </c>
      <c r="AN9" s="262">
        <f ca="1">SUM(AF9:AM9)</f>
        <v>14553.717463492063</v>
      </c>
      <c r="AO9" s="264">
        <f ca="1">IF(L2&gt;=1,AN9/$A$5,0)</f>
        <v>0</v>
      </c>
      <c r="AP9" s="262">
        <f>'Linha 2 Zn Alc. Aut'!S16</f>
        <v>0</v>
      </c>
      <c r="AQ9" s="262">
        <f>'Resumo M.O'!G3</f>
        <v>5410.4043444444451</v>
      </c>
      <c r="AR9" s="262">
        <f>'Resumo M.O'!$G$13</f>
        <v>9143.3131190476179</v>
      </c>
      <c r="AS9" s="262">
        <f>'Resumo Custos Variáveis'!$I$21</f>
        <v>0</v>
      </c>
      <c r="AT9" s="261">
        <f>'Outros Custos'!$G$31</f>
        <v>0</v>
      </c>
      <c r="AU9" s="261">
        <f>Transporte!$G$20</f>
        <v>0</v>
      </c>
      <c r="AV9" s="261">
        <f>Manutenção!$G$21</f>
        <v>0</v>
      </c>
      <c r="AW9" s="262">
        <f t="shared" ca="1" si="3"/>
        <v>0</v>
      </c>
      <c r="AX9" s="262">
        <f ca="1">SUM(AP9:AW9)</f>
        <v>14553.717463492063</v>
      </c>
      <c r="AY9" s="264">
        <f ca="1">IF(L2&gt;=1,AX9/$A$5,0)</f>
        <v>0</v>
      </c>
      <c r="AZ9" s="262">
        <f>'Linha 2 Zn Alc. Aut'!V16</f>
        <v>0</v>
      </c>
      <c r="BA9" s="262">
        <f>'Resumo M.O'!H3</f>
        <v>5410.4043444444451</v>
      </c>
      <c r="BB9" s="262">
        <f>'Resumo M.O'!$H$13</f>
        <v>9143.3131190476179</v>
      </c>
      <c r="BC9" s="262">
        <f>'Resumo Custos Variáveis'!$J$21</f>
        <v>0</v>
      </c>
      <c r="BD9" s="261">
        <f>'Outros Custos'!$H$31</f>
        <v>0</v>
      </c>
      <c r="BE9" s="261">
        <f>Transporte!$H$20</f>
        <v>0</v>
      </c>
      <c r="BF9" s="261">
        <f>Manutenção!$H$21</f>
        <v>0</v>
      </c>
      <c r="BG9" s="262">
        <f t="shared" ca="1" si="4"/>
        <v>0</v>
      </c>
      <c r="BH9" s="262">
        <f ca="1">SUM(AZ9:BG9)</f>
        <v>14553.717463492063</v>
      </c>
      <c r="BI9" s="264">
        <f ca="1">IF(L2&gt;=1,BH9/$A$5,0)</f>
        <v>0</v>
      </c>
      <c r="BJ9" s="262">
        <f>'Linha 2 Zn Alc. Aut'!Y16</f>
        <v>0</v>
      </c>
      <c r="BK9" s="262">
        <f>'Resumo M.O'!I3</f>
        <v>5410.4043444444451</v>
      </c>
      <c r="BL9" s="262">
        <f>'Resumo M.O'!$I$13</f>
        <v>9143.3131190476179</v>
      </c>
      <c r="BM9" s="262">
        <f>'Resumo Custos Variáveis'!$K$21</f>
        <v>0</v>
      </c>
      <c r="BN9" s="261">
        <f>'Outros Custos'!$I$31</f>
        <v>0</v>
      </c>
      <c r="BO9" s="261">
        <f>Transporte!$I$20</f>
        <v>0</v>
      </c>
      <c r="BP9" s="261">
        <f>Manutenção!$I$21</f>
        <v>0</v>
      </c>
      <c r="BQ9" s="262">
        <f t="shared" ca="1" si="5"/>
        <v>0</v>
      </c>
      <c r="BR9" s="262">
        <f ca="1">SUM(BJ9:BQ9)</f>
        <v>14553.717463492063</v>
      </c>
      <c r="BS9" s="264">
        <f ca="1">IF(L2&gt;=1,BR9/$A$5,0)</f>
        <v>0</v>
      </c>
      <c r="BT9" s="262">
        <f>'Linha 2 Zn Alc. Aut'!AB16</f>
        <v>0</v>
      </c>
      <c r="BU9" s="262">
        <f>'Resumo M.O'!J3</f>
        <v>5410.4043444444451</v>
      </c>
      <c r="BV9" s="262">
        <f>'Resumo M.O'!$J$13</f>
        <v>9143.3131190476179</v>
      </c>
      <c r="BW9" s="262">
        <f>'Resumo Custos Variáveis'!$L$21</f>
        <v>0</v>
      </c>
      <c r="BX9" s="261">
        <f>'Outros Custos'!$J$31</f>
        <v>0</v>
      </c>
      <c r="BY9" s="261">
        <f>Transporte!$J$20</f>
        <v>0</v>
      </c>
      <c r="BZ9" s="261">
        <f>Manutenção!$J$21</f>
        <v>0</v>
      </c>
      <c r="CA9" s="262">
        <f t="shared" ca="1" si="6"/>
        <v>0</v>
      </c>
      <c r="CB9" s="262">
        <f ca="1">SUM(BT9:CA9)</f>
        <v>14553.717463492063</v>
      </c>
      <c r="CC9" s="264">
        <f ca="1">IF(L2&gt;=1,CB9/$A$5,0)</f>
        <v>0</v>
      </c>
      <c r="CD9" s="262">
        <f>'Linha 2 Zn Alc. Aut'!AE16</f>
        <v>0</v>
      </c>
      <c r="CE9" s="262">
        <f>'Resumo M.O'!K3</f>
        <v>5410.4043444444451</v>
      </c>
      <c r="CF9" s="262">
        <f>'Resumo M.O'!$K$13</f>
        <v>9143.3131190476179</v>
      </c>
      <c r="CG9" s="262">
        <f>'Resumo Custos Variáveis'!$M$21</f>
        <v>4328.5714285714284</v>
      </c>
      <c r="CH9" s="261">
        <f>'Outros Custos'!$K$31</f>
        <v>2140</v>
      </c>
      <c r="CI9" s="261">
        <f>Transporte!$K$20</f>
        <v>0</v>
      </c>
      <c r="CJ9" s="261">
        <f>Manutenção!$K$21</f>
        <v>10000</v>
      </c>
      <c r="CK9" s="262">
        <f t="shared" ca="1" si="7"/>
        <v>0</v>
      </c>
      <c r="CL9" s="261">
        <f t="shared" ref="CL9:CL15" ca="1" si="27">SUM(CD9:CK9)</f>
        <v>31022.28889206349</v>
      </c>
      <c r="CM9" s="264">
        <f ca="1">IF(L2&gt;=1,CL9/$A$5,0)</f>
        <v>0</v>
      </c>
      <c r="CN9" s="261">
        <f>'Linha 2 Zn Alc. Aut'!AH16</f>
        <v>0</v>
      </c>
      <c r="CO9" s="262">
        <f>'Resumo M.O'!L3</f>
        <v>5410.4043444444451</v>
      </c>
      <c r="CP9" s="262">
        <f>'Resumo M.O'!$L$13</f>
        <v>9143.3131190476179</v>
      </c>
      <c r="CQ9" s="262">
        <f>'Resumo Custos Variáveis'!$N$21</f>
        <v>0</v>
      </c>
      <c r="CR9" s="261">
        <f>'Outros Custos'!$L$31</f>
        <v>0</v>
      </c>
      <c r="CS9" s="261">
        <f>Transporte!$L$20</f>
        <v>0</v>
      </c>
      <c r="CT9" s="261">
        <f>Manutenção!$L$21</f>
        <v>10000</v>
      </c>
      <c r="CU9" s="262">
        <f t="shared" ca="1" si="8"/>
        <v>0</v>
      </c>
      <c r="CV9" s="261">
        <f t="shared" ref="CV9:CV15" ca="1" si="28">SUM(CN9:CU9)</f>
        <v>24553.717463492063</v>
      </c>
      <c r="CW9" s="264">
        <f ca="1">IF(L2&gt;=1,CV9/$A$5,0)</f>
        <v>0</v>
      </c>
      <c r="CX9" s="261">
        <f>'Linha 2 Zn Alc. Aut'!AK16</f>
        <v>0</v>
      </c>
      <c r="CY9" s="262">
        <f>'Resumo M.O'!M3</f>
        <v>5410.4043444444451</v>
      </c>
      <c r="CZ9" s="262">
        <f>'Resumo M.O'!$M$13</f>
        <v>9143.3131190476179</v>
      </c>
      <c r="DA9" s="262">
        <f>'Resumo Custos Variáveis'!$O$21</f>
        <v>0</v>
      </c>
      <c r="DB9" s="261">
        <f>'Outros Custos'!$M$31</f>
        <v>0</v>
      </c>
      <c r="DC9" s="261">
        <f>Transporte!$M$20</f>
        <v>0</v>
      </c>
      <c r="DD9" s="261">
        <f>Manutenção!$M$21</f>
        <v>10000</v>
      </c>
      <c r="DE9" s="262">
        <f t="shared" ca="1" si="9"/>
        <v>0</v>
      </c>
      <c r="DF9" s="261">
        <f t="shared" ref="DF9:DF15" ca="1" si="29">SUM(CX9:DE9)</f>
        <v>24553.717463492063</v>
      </c>
      <c r="DG9" s="264">
        <f ca="1">IF(L2&gt;=1,DF9/$A$5,0)</f>
        <v>0</v>
      </c>
      <c r="DH9" s="261">
        <f>'Linha 2 Zn Alc. Aut'!AN16</f>
        <v>0</v>
      </c>
      <c r="DI9" s="263">
        <f>'Resumo M.O'!N3</f>
        <v>5410.4043444444451</v>
      </c>
      <c r="DJ9" s="263">
        <f>'Resumo M.O'!$N$13</f>
        <v>9143.3131190476179</v>
      </c>
      <c r="DK9" s="263">
        <f>'Resumo Custos Variáveis'!$P$21</f>
        <v>0</v>
      </c>
      <c r="DL9" s="63">
        <f>'Outros Custos'!$N$31</f>
        <v>0</v>
      </c>
      <c r="DM9" s="63">
        <f>Transporte!$N$20</f>
        <v>0</v>
      </c>
      <c r="DN9" s="63">
        <f>Manutenção!$N$21</f>
        <v>10000</v>
      </c>
      <c r="DO9" s="263">
        <f t="shared" ca="1" si="10"/>
        <v>0</v>
      </c>
      <c r="DP9" s="63">
        <f t="shared" ref="DP9:DP15" ca="1" si="30">SUM(DH9:DO9)</f>
        <v>24553.717463492063</v>
      </c>
      <c r="DQ9" s="264">
        <f ca="1">IF(L2&gt;=1,DP9/$A$5,0)</f>
        <v>0</v>
      </c>
      <c r="DS9" s="261">
        <f t="shared" ca="1" si="11"/>
        <v>0</v>
      </c>
      <c r="DT9" s="261">
        <f t="shared" ca="1" si="12"/>
        <v>0</v>
      </c>
      <c r="DU9" s="261">
        <f t="shared" ca="1" si="13"/>
        <v>0</v>
      </c>
      <c r="DV9" s="261">
        <f t="shared" ca="1" si="14"/>
        <v>0</v>
      </c>
      <c r="DW9" s="261">
        <f t="shared" ca="1" si="15"/>
        <v>0</v>
      </c>
      <c r="DX9" s="261">
        <f t="shared" ca="1" si="16"/>
        <v>0</v>
      </c>
      <c r="DY9" s="261">
        <f t="shared" ca="1" si="17"/>
        <v>0</v>
      </c>
      <c r="DZ9" s="261">
        <f t="shared" ca="1" si="18"/>
        <v>0</v>
      </c>
      <c r="EA9" s="261">
        <f t="shared" ca="1" si="19"/>
        <v>0</v>
      </c>
      <c r="EB9" s="261">
        <f t="shared" ca="1" si="20"/>
        <v>0</v>
      </c>
      <c r="EC9" s="261">
        <f t="shared" ca="1" si="21"/>
        <v>0</v>
      </c>
      <c r="ED9" s="261">
        <f t="shared" ca="1" si="22"/>
        <v>0</v>
      </c>
      <c r="EF9" s="265">
        <f t="shared" ref="EF9:EF15" si="31">B9/$A$5</f>
        <v>0</v>
      </c>
      <c r="EG9" s="265">
        <f t="shared" ref="EG9:EG15" si="32">L9/$A$5</f>
        <v>0</v>
      </c>
      <c r="EH9" s="265">
        <f t="shared" ref="EH9:EH15" si="33">V9/$A$5</f>
        <v>0</v>
      </c>
      <c r="EI9" s="265">
        <f t="shared" ref="EI9:EI15" si="34">AF9/$A$5</f>
        <v>0</v>
      </c>
      <c r="EJ9" s="265">
        <f t="shared" ref="EJ9:EJ15" si="35">AP9/$A$5</f>
        <v>0</v>
      </c>
      <c r="EK9" s="265">
        <f t="shared" ref="EK9:EK15" si="36">AZ9/$A$5</f>
        <v>0</v>
      </c>
      <c r="EL9" s="265">
        <f t="shared" ref="EL9:EL15" si="37">BJ9/$A$5</f>
        <v>0</v>
      </c>
      <c r="EM9" s="265">
        <f t="shared" ref="EM9:EM15" si="38">BT9/$A$5</f>
        <v>0</v>
      </c>
      <c r="EN9" s="265">
        <f t="shared" ref="EN9:EN15" si="39">CD9/$A$5</f>
        <v>0</v>
      </c>
      <c r="EO9" s="265">
        <f t="shared" ref="EO9:EO15" si="40">CN9/$A$5</f>
        <v>0</v>
      </c>
      <c r="EP9" s="265">
        <f t="shared" ref="EP9:EP15" si="41">CX9/$A$5</f>
        <v>0</v>
      </c>
      <c r="EQ9" s="265">
        <f t="shared" ref="EQ9:EQ15" si="42">DH9/$A$5</f>
        <v>0</v>
      </c>
    </row>
    <row r="10" spans="1:147" x14ac:dyDescent="0.3">
      <c r="A10" s="201" t="s">
        <v>180</v>
      </c>
      <c r="B10" s="261">
        <f>'Linha 3 Zn Alc. Aut'!G17</f>
        <v>0</v>
      </c>
      <c r="C10" s="261">
        <f>'Resumo M.O'!C4</f>
        <v>4028.0980777777777</v>
      </c>
      <c r="D10" s="262">
        <f>'Resumo M.O'!$C$13</f>
        <v>9143.3131190476179</v>
      </c>
      <c r="E10" s="263">
        <f>'Resumo Custos Variáveis'!$E$21</f>
        <v>0</v>
      </c>
      <c r="F10" s="261">
        <f>'Outros Custos'!$C$31</f>
        <v>0</v>
      </c>
      <c r="G10" s="261">
        <f>Transporte!$C$20</f>
        <v>0</v>
      </c>
      <c r="H10" s="261">
        <f>Manutenção!$C$21</f>
        <v>0</v>
      </c>
      <c r="I10" s="262">
        <f ca="1">Investimentos!G20</f>
        <v>0</v>
      </c>
      <c r="J10" s="261">
        <f t="shared" ca="1" si="23"/>
        <v>13171.411196825396</v>
      </c>
      <c r="K10" s="264">
        <f t="shared" ca="1" si="24"/>
        <v>0</v>
      </c>
      <c r="L10" s="261">
        <f>'Linha 3 Zn Alc. Aut'!J17</f>
        <v>0</v>
      </c>
      <c r="M10" s="262">
        <f>'Resumo M.O'!D4</f>
        <v>4028.0980777777777</v>
      </c>
      <c r="N10" s="262">
        <f>'Resumo M.O'!$D$13</f>
        <v>9143.3131190476179</v>
      </c>
      <c r="O10" s="262">
        <f>'Resumo Custos Variáveis'!$F$21</f>
        <v>0</v>
      </c>
      <c r="P10" s="261">
        <f>'Outros Custos'!$D$31</f>
        <v>0</v>
      </c>
      <c r="Q10" s="261">
        <f>Transporte!$D$20</f>
        <v>0</v>
      </c>
      <c r="R10" s="261">
        <f>Manutenção!$D$21</f>
        <v>0</v>
      </c>
      <c r="S10" s="262">
        <f t="shared" ca="1" si="0"/>
        <v>0</v>
      </c>
      <c r="T10" s="261">
        <f t="shared" ref="T10:T15" ca="1" si="43">SUM(L10:S10)</f>
        <v>13171.411196825396</v>
      </c>
      <c r="U10" s="264">
        <f t="shared" ca="1" si="25"/>
        <v>0</v>
      </c>
      <c r="V10" s="261">
        <f>'Linha 3 Zn Alc. Aut'!M17</f>
        <v>0</v>
      </c>
      <c r="W10" s="263">
        <f>'Resumo M.O'!E4</f>
        <v>4028.0980777777777</v>
      </c>
      <c r="X10" s="263">
        <f>'Resumo M.O'!$E$13</f>
        <v>9143.3131190476179</v>
      </c>
      <c r="Y10" s="263">
        <f>'Resumo Custos Variáveis'!$G$21</f>
        <v>0</v>
      </c>
      <c r="Z10" s="63">
        <f>'Outros Custos'!$E$31</f>
        <v>0</v>
      </c>
      <c r="AA10" s="63">
        <f>Transporte!$E$20</f>
        <v>0</v>
      </c>
      <c r="AB10" s="63">
        <f>Manutenção!$E$21</f>
        <v>0</v>
      </c>
      <c r="AC10" s="263">
        <f t="shared" ca="1" si="1"/>
        <v>0</v>
      </c>
      <c r="AD10" s="63">
        <f t="shared" ref="AD10:AD15" ca="1" si="44">SUM(V10:AC10)</f>
        <v>13171.411196825396</v>
      </c>
      <c r="AE10" s="264">
        <f t="shared" ca="1" si="26"/>
        <v>0</v>
      </c>
      <c r="AF10" s="261">
        <f>'Linha 3 Zn Alc. Aut'!P17</f>
        <v>0</v>
      </c>
      <c r="AG10" s="262">
        <f>'Resumo M.O'!F4</f>
        <v>4028.0980777777777</v>
      </c>
      <c r="AH10" s="262">
        <f>'Resumo M.O'!$F$13</f>
        <v>9143.3131190476179</v>
      </c>
      <c r="AI10" s="262">
        <f>'Resumo Custos Variáveis'!$H$21</f>
        <v>0</v>
      </c>
      <c r="AJ10" s="261">
        <f>'Outros Custos'!$F$31</f>
        <v>0</v>
      </c>
      <c r="AK10" s="261">
        <f>Transporte!$F$20</f>
        <v>0</v>
      </c>
      <c r="AL10" s="261">
        <f>Manutenção!$F$21</f>
        <v>0</v>
      </c>
      <c r="AM10" s="262">
        <f t="shared" ca="1" si="2"/>
        <v>0</v>
      </c>
      <c r="AN10" s="261">
        <f t="shared" ref="AN10:AN15" ca="1" si="45">SUM(AF10:AM10)</f>
        <v>13171.411196825396</v>
      </c>
      <c r="AO10" s="264">
        <f ca="1">IF(L2&gt;=1,AN10/$A$5,0)</f>
        <v>0</v>
      </c>
      <c r="AP10" s="261">
        <f>'Linha 3 Zn Alc. Aut'!S17</f>
        <v>0</v>
      </c>
      <c r="AQ10" s="262">
        <f>'Resumo M.O'!G4</f>
        <v>4028.0980777777777</v>
      </c>
      <c r="AR10" s="262">
        <f>'Resumo M.O'!$G$13</f>
        <v>9143.3131190476179</v>
      </c>
      <c r="AS10" s="262">
        <f>'Resumo Custos Variáveis'!$I$21</f>
        <v>0</v>
      </c>
      <c r="AT10" s="261">
        <f>'Outros Custos'!$G$31</f>
        <v>0</v>
      </c>
      <c r="AU10" s="261">
        <f>Transporte!$G$20</f>
        <v>0</v>
      </c>
      <c r="AV10" s="261">
        <f>Manutenção!$G$21</f>
        <v>0</v>
      </c>
      <c r="AW10" s="262">
        <f t="shared" ca="1" si="3"/>
        <v>0</v>
      </c>
      <c r="AX10" s="261">
        <f t="shared" ref="AX10:AX15" ca="1" si="46">SUM(AP10:AW10)</f>
        <v>13171.411196825396</v>
      </c>
      <c r="AY10" s="264">
        <f ca="1">IF(L2&gt;=1,AX10/$A$5,0)</f>
        <v>0</v>
      </c>
      <c r="AZ10" s="261">
        <f>'Linha 3 Zn Alc. Aut'!V17</f>
        <v>0</v>
      </c>
      <c r="BA10" s="262">
        <f>'Resumo M.O'!H4</f>
        <v>4028.0980777777777</v>
      </c>
      <c r="BB10" s="262">
        <f>'Resumo M.O'!$H$13</f>
        <v>9143.3131190476179</v>
      </c>
      <c r="BC10" s="262">
        <f>'Resumo Custos Variáveis'!$J$21</f>
        <v>0</v>
      </c>
      <c r="BD10" s="261">
        <f>'Outros Custos'!$H$31</f>
        <v>0</v>
      </c>
      <c r="BE10" s="261">
        <f>Transporte!$H$20</f>
        <v>0</v>
      </c>
      <c r="BF10" s="261">
        <f>Manutenção!$H$21</f>
        <v>0</v>
      </c>
      <c r="BG10" s="262">
        <f t="shared" ca="1" si="4"/>
        <v>0</v>
      </c>
      <c r="BH10" s="261">
        <f t="shared" ref="BH10:BH15" ca="1" si="47">SUM(AZ10:BG10)</f>
        <v>13171.411196825396</v>
      </c>
      <c r="BI10" s="264">
        <f ca="1">IF(L2&gt;=1,BH10/$A$5,0)</f>
        <v>0</v>
      </c>
      <c r="BJ10" s="261">
        <f>'Linha 3 Zn Alc. Aut'!Y17</f>
        <v>0</v>
      </c>
      <c r="BK10" s="262">
        <f>'Resumo M.O'!I4</f>
        <v>4028.0980777777777</v>
      </c>
      <c r="BL10" s="262">
        <f>'Resumo M.O'!$I$13</f>
        <v>9143.3131190476179</v>
      </c>
      <c r="BM10" s="262">
        <f>'Resumo Custos Variáveis'!$K$21</f>
        <v>0</v>
      </c>
      <c r="BN10" s="261">
        <f>'Outros Custos'!$I$31</f>
        <v>0</v>
      </c>
      <c r="BO10" s="261">
        <f>Transporte!$I$20</f>
        <v>0</v>
      </c>
      <c r="BP10" s="261">
        <f>Manutenção!$I$21</f>
        <v>0</v>
      </c>
      <c r="BQ10" s="262">
        <f t="shared" ca="1" si="5"/>
        <v>0</v>
      </c>
      <c r="BR10" s="261">
        <f t="shared" ref="BR10:BR15" ca="1" si="48">SUM(BJ10:BQ10)</f>
        <v>13171.411196825396</v>
      </c>
      <c r="BS10" s="264">
        <f ca="1">IF(L2&gt;=1,BR10/$A$5,0)</f>
        <v>0</v>
      </c>
      <c r="BT10" s="261">
        <f>'Linha 3 Zn Alc. Aut'!AB17</f>
        <v>0</v>
      </c>
      <c r="BU10" s="262">
        <f>'Resumo M.O'!J4</f>
        <v>4028.0980777777777</v>
      </c>
      <c r="BV10" s="262">
        <f>'Resumo M.O'!$J$13</f>
        <v>9143.3131190476179</v>
      </c>
      <c r="BW10" s="262">
        <f>'Resumo Custos Variáveis'!$L$21</f>
        <v>0</v>
      </c>
      <c r="BX10" s="261">
        <f>'Outros Custos'!$J$31</f>
        <v>0</v>
      </c>
      <c r="BY10" s="261">
        <f>Transporte!$J$20</f>
        <v>0</v>
      </c>
      <c r="BZ10" s="261">
        <f>Manutenção!$J$21</f>
        <v>0</v>
      </c>
      <c r="CA10" s="262">
        <f t="shared" ca="1" si="6"/>
        <v>0</v>
      </c>
      <c r="CB10" s="261">
        <f t="shared" ref="CB10:CB15" ca="1" si="49">SUM(BT10:CA10)</f>
        <v>13171.411196825396</v>
      </c>
      <c r="CC10" s="264">
        <f ca="1">IF(L2&gt;=1,CB10/$A$5,0)</f>
        <v>0</v>
      </c>
      <c r="CD10" s="261">
        <f>'Linha 3 Zn Alc. Aut'!AE17</f>
        <v>0</v>
      </c>
      <c r="CE10" s="262">
        <f>'Resumo M.O'!K4</f>
        <v>4028.0980777777777</v>
      </c>
      <c r="CF10" s="262">
        <f>'Resumo M.O'!$K$13</f>
        <v>9143.3131190476179</v>
      </c>
      <c r="CG10" s="262">
        <f>'Resumo Custos Variáveis'!$M$21</f>
        <v>4328.5714285714284</v>
      </c>
      <c r="CH10" s="261">
        <f>'Outros Custos'!$K$31</f>
        <v>2140</v>
      </c>
      <c r="CI10" s="261">
        <f>Transporte!$K$20</f>
        <v>0</v>
      </c>
      <c r="CJ10" s="261">
        <f>Manutenção!$K$21</f>
        <v>10000</v>
      </c>
      <c r="CK10" s="262">
        <f t="shared" ca="1" si="7"/>
        <v>0</v>
      </c>
      <c r="CL10" s="261">
        <f t="shared" ca="1" si="27"/>
        <v>29639.982625396824</v>
      </c>
      <c r="CM10" s="264">
        <f ca="1">IF(L2&gt;=1,CL10/$A$5,0)</f>
        <v>0</v>
      </c>
      <c r="CN10" s="261">
        <f>'Linha 3 Zn Alc. Aut'!AH17</f>
        <v>0</v>
      </c>
      <c r="CO10" s="262">
        <f>'Resumo M.O'!L4</f>
        <v>4028.0980777777777</v>
      </c>
      <c r="CP10" s="262">
        <f>'Resumo M.O'!$L$13</f>
        <v>9143.3131190476179</v>
      </c>
      <c r="CQ10" s="262">
        <f>'Resumo Custos Variáveis'!$N$21</f>
        <v>0</v>
      </c>
      <c r="CR10" s="261">
        <f>'Outros Custos'!$L$31</f>
        <v>0</v>
      </c>
      <c r="CS10" s="261">
        <f>Transporte!$L$20</f>
        <v>0</v>
      </c>
      <c r="CT10" s="261">
        <f>Manutenção!$L$21</f>
        <v>10000</v>
      </c>
      <c r="CU10" s="262">
        <f t="shared" ca="1" si="8"/>
        <v>0</v>
      </c>
      <c r="CV10" s="261">
        <f t="shared" ca="1" si="28"/>
        <v>23171.411196825396</v>
      </c>
      <c r="CW10" s="264">
        <f ca="1">IF(L2&gt;=1,CV10/$A$5,0)</f>
        <v>0</v>
      </c>
      <c r="CX10" s="261">
        <f>'Linha 3 Zn Alc. Aut'!AK17</f>
        <v>0</v>
      </c>
      <c r="CY10" s="262">
        <f>'Resumo M.O'!M4</f>
        <v>4028.0980777777777</v>
      </c>
      <c r="CZ10" s="262">
        <f>'Resumo M.O'!$M$13</f>
        <v>9143.3131190476179</v>
      </c>
      <c r="DA10" s="262">
        <f>'Resumo Custos Variáveis'!$O$21</f>
        <v>0</v>
      </c>
      <c r="DB10" s="261">
        <f>'Outros Custos'!$M$31</f>
        <v>0</v>
      </c>
      <c r="DC10" s="261">
        <f>Transporte!$M$20</f>
        <v>0</v>
      </c>
      <c r="DD10" s="261">
        <f>Manutenção!$M$21</f>
        <v>10000</v>
      </c>
      <c r="DE10" s="262">
        <f t="shared" ca="1" si="9"/>
        <v>0</v>
      </c>
      <c r="DF10" s="261">
        <f t="shared" ca="1" si="29"/>
        <v>23171.411196825396</v>
      </c>
      <c r="DG10" s="264">
        <f ca="1">IF(L2&gt;=1,DF10/$A$5,0)</f>
        <v>0</v>
      </c>
      <c r="DH10" s="261">
        <f>'Linha 3 Zn Alc. Aut'!AN17</f>
        <v>0</v>
      </c>
      <c r="DI10" s="263">
        <f>'Resumo M.O'!N4</f>
        <v>4028.0980777777777</v>
      </c>
      <c r="DJ10" s="263">
        <f>'Resumo M.O'!$N$13</f>
        <v>9143.3131190476179</v>
      </c>
      <c r="DK10" s="263">
        <f>'Resumo Custos Variáveis'!$P$21</f>
        <v>0</v>
      </c>
      <c r="DL10" s="63">
        <f>'Outros Custos'!$N$31</f>
        <v>0</v>
      </c>
      <c r="DM10" s="63">
        <f>Transporte!$N$20</f>
        <v>0</v>
      </c>
      <c r="DN10" s="63">
        <f>Manutenção!$N$21</f>
        <v>10000</v>
      </c>
      <c r="DO10" s="263">
        <f t="shared" ca="1" si="10"/>
        <v>0</v>
      </c>
      <c r="DP10" s="63">
        <f t="shared" ca="1" si="30"/>
        <v>23171.411196825396</v>
      </c>
      <c r="DQ10" s="264">
        <f ca="1">IF(L2&gt;=1,DP10/$A$5,0)</f>
        <v>0</v>
      </c>
      <c r="DS10" s="261">
        <f t="shared" ca="1" si="11"/>
        <v>0</v>
      </c>
      <c r="DT10" s="261">
        <f t="shared" ca="1" si="12"/>
        <v>0</v>
      </c>
      <c r="DU10" s="261">
        <f t="shared" ca="1" si="13"/>
        <v>0</v>
      </c>
      <c r="DV10" s="261">
        <f t="shared" ca="1" si="14"/>
        <v>0</v>
      </c>
      <c r="DW10" s="261">
        <f t="shared" ca="1" si="15"/>
        <v>0</v>
      </c>
      <c r="DX10" s="261">
        <f t="shared" ca="1" si="16"/>
        <v>0</v>
      </c>
      <c r="DY10" s="261">
        <f t="shared" ca="1" si="17"/>
        <v>0</v>
      </c>
      <c r="DZ10" s="261">
        <f t="shared" ca="1" si="18"/>
        <v>0</v>
      </c>
      <c r="EA10" s="261">
        <f t="shared" ca="1" si="19"/>
        <v>0</v>
      </c>
      <c r="EB10" s="261">
        <f t="shared" ca="1" si="20"/>
        <v>0</v>
      </c>
      <c r="EC10" s="261">
        <f t="shared" ca="1" si="21"/>
        <v>0</v>
      </c>
      <c r="ED10" s="261">
        <f t="shared" ca="1" si="22"/>
        <v>0</v>
      </c>
      <c r="EF10" s="265">
        <f t="shared" si="31"/>
        <v>0</v>
      </c>
      <c r="EG10" s="265">
        <f t="shared" si="32"/>
        <v>0</v>
      </c>
      <c r="EH10" s="265">
        <f t="shared" si="33"/>
        <v>0</v>
      </c>
      <c r="EI10" s="265">
        <f t="shared" si="34"/>
        <v>0</v>
      </c>
      <c r="EJ10" s="265">
        <f t="shared" si="35"/>
        <v>0</v>
      </c>
      <c r="EK10" s="265">
        <f t="shared" si="36"/>
        <v>0</v>
      </c>
      <c r="EL10" s="265">
        <f t="shared" si="37"/>
        <v>0</v>
      </c>
      <c r="EM10" s="265">
        <f t="shared" si="38"/>
        <v>0</v>
      </c>
      <c r="EN10" s="265">
        <f t="shared" si="39"/>
        <v>0</v>
      </c>
      <c r="EO10" s="265">
        <f t="shared" si="40"/>
        <v>0</v>
      </c>
      <c r="EP10" s="265">
        <f t="shared" si="41"/>
        <v>0</v>
      </c>
      <c r="EQ10" s="265">
        <f t="shared" si="42"/>
        <v>0</v>
      </c>
    </row>
    <row r="11" spans="1:147" x14ac:dyDescent="0.3">
      <c r="A11" s="201" t="s">
        <v>181</v>
      </c>
      <c r="B11" s="261">
        <f>+'Linha 4 Zn Alc. Manual'!G15</f>
        <v>0</v>
      </c>
      <c r="C11" s="261">
        <f>'Resumo M.O'!C5</f>
        <v>3961.4924999999998</v>
      </c>
      <c r="D11" s="262">
        <f>'Resumo M.O'!$C$13</f>
        <v>9143.3131190476179</v>
      </c>
      <c r="E11" s="263">
        <f>'Resumo Custos Variáveis'!$E$21</f>
        <v>0</v>
      </c>
      <c r="F11" s="261">
        <f>'Outros Custos'!$C$31</f>
        <v>0</v>
      </c>
      <c r="G11" s="261">
        <f>Transporte!$C$20</f>
        <v>0</v>
      </c>
      <c r="H11" s="261">
        <f>Manutenção!$C$21</f>
        <v>0</v>
      </c>
      <c r="I11" s="262">
        <f ca="1">Investimentos!G27</f>
        <v>0</v>
      </c>
      <c r="J11" s="261">
        <f t="shared" ca="1" si="23"/>
        <v>13104.805619047618</v>
      </c>
      <c r="K11" s="264">
        <f t="shared" ca="1" si="24"/>
        <v>0</v>
      </c>
      <c r="L11" s="261">
        <f>'Linha 4 Zn Alc. Manual'!J15</f>
        <v>0</v>
      </c>
      <c r="M11" s="262">
        <f>'Resumo M.O'!D5</f>
        <v>3961.4924999999998</v>
      </c>
      <c r="N11" s="262">
        <f>'Resumo M.O'!$D$13</f>
        <v>9143.3131190476179</v>
      </c>
      <c r="O11" s="262">
        <f>'Resumo Custos Variáveis'!$F$21</f>
        <v>0</v>
      </c>
      <c r="P11" s="261">
        <f>'Outros Custos'!$D$31</f>
        <v>0</v>
      </c>
      <c r="Q11" s="261">
        <f>Transporte!$D$20</f>
        <v>0</v>
      </c>
      <c r="R11" s="261">
        <f>Manutenção!$D$21</f>
        <v>0</v>
      </c>
      <c r="S11" s="262">
        <f t="shared" ca="1" si="0"/>
        <v>0</v>
      </c>
      <c r="T11" s="261">
        <f t="shared" ca="1" si="43"/>
        <v>13104.805619047618</v>
      </c>
      <c r="U11" s="264">
        <f t="shared" ca="1" si="25"/>
        <v>0</v>
      </c>
      <c r="V11" s="261">
        <f>'Linha 4 Zn Alc. Manual'!M15</f>
        <v>0</v>
      </c>
      <c r="W11" s="263">
        <f>'Resumo M.O'!E5</f>
        <v>3961.4924999999998</v>
      </c>
      <c r="X11" s="263">
        <f>'Resumo M.O'!$E$13</f>
        <v>9143.3131190476179</v>
      </c>
      <c r="Y11" s="263">
        <f>'Resumo Custos Variáveis'!$G$21</f>
        <v>0</v>
      </c>
      <c r="Z11" s="63">
        <f>'Outros Custos'!$E$31</f>
        <v>0</v>
      </c>
      <c r="AA11" s="63">
        <f>Transporte!$E$20</f>
        <v>0</v>
      </c>
      <c r="AB11" s="63">
        <f>Manutenção!$E$21</f>
        <v>0</v>
      </c>
      <c r="AC11" s="263">
        <f t="shared" ca="1" si="1"/>
        <v>0</v>
      </c>
      <c r="AD11" s="63">
        <f t="shared" ca="1" si="44"/>
        <v>13104.805619047618</v>
      </c>
      <c r="AE11" s="264">
        <f t="shared" ca="1" si="26"/>
        <v>0</v>
      </c>
      <c r="AF11" s="261">
        <f>'Linha 4 Zn Alc. Manual'!P15</f>
        <v>0</v>
      </c>
      <c r="AG11" s="262">
        <f>'Resumo M.O'!F5</f>
        <v>3961.4924999999998</v>
      </c>
      <c r="AH11" s="262">
        <f>'Resumo M.O'!$F$13</f>
        <v>9143.3131190476179</v>
      </c>
      <c r="AI11" s="262">
        <f>'Resumo Custos Variáveis'!$H$21</f>
        <v>0</v>
      </c>
      <c r="AJ11" s="261">
        <f>'Outros Custos'!$F$31</f>
        <v>0</v>
      </c>
      <c r="AK11" s="261">
        <f>Transporte!$F$20</f>
        <v>0</v>
      </c>
      <c r="AL11" s="261">
        <f>Manutenção!$F$21</f>
        <v>0</v>
      </c>
      <c r="AM11" s="262">
        <f t="shared" ca="1" si="2"/>
        <v>0</v>
      </c>
      <c r="AN11" s="261">
        <f t="shared" ca="1" si="45"/>
        <v>13104.805619047618</v>
      </c>
      <c r="AO11" s="264">
        <f ca="1">IF(L2&gt;=1,AN11/$A$5,0)</f>
        <v>0</v>
      </c>
      <c r="AP11" s="261">
        <f>'Linha 4 Zn Alc. Manual'!S15</f>
        <v>0</v>
      </c>
      <c r="AQ11" s="262">
        <f>'Resumo M.O'!G5</f>
        <v>3961.4924999999998</v>
      </c>
      <c r="AR11" s="262">
        <f>'Resumo M.O'!$G$13</f>
        <v>9143.3131190476179</v>
      </c>
      <c r="AS11" s="262">
        <f>'Resumo Custos Variáveis'!$I$21</f>
        <v>0</v>
      </c>
      <c r="AT11" s="261">
        <f>'Outros Custos'!$G$31</f>
        <v>0</v>
      </c>
      <c r="AU11" s="261">
        <f>Transporte!$G$20</f>
        <v>0</v>
      </c>
      <c r="AV11" s="261">
        <f>Manutenção!$G$21</f>
        <v>0</v>
      </c>
      <c r="AW11" s="262">
        <f t="shared" ca="1" si="3"/>
        <v>0</v>
      </c>
      <c r="AX11" s="261">
        <f t="shared" ca="1" si="46"/>
        <v>13104.805619047618</v>
      </c>
      <c r="AY11" s="264">
        <f ca="1">IF(L2&gt;=1,AX11/$A$5,0)</f>
        <v>0</v>
      </c>
      <c r="AZ11" s="261">
        <f>'Linha 4 Zn Alc. Manual'!V15</f>
        <v>0</v>
      </c>
      <c r="BA11" s="262">
        <f>'Resumo M.O'!H5</f>
        <v>3961.4924999999998</v>
      </c>
      <c r="BB11" s="262">
        <f>'Resumo M.O'!$H$13</f>
        <v>9143.3131190476179</v>
      </c>
      <c r="BC11" s="262">
        <f>'Resumo Custos Variáveis'!$J$21</f>
        <v>0</v>
      </c>
      <c r="BD11" s="261">
        <f>'Outros Custos'!$H$31</f>
        <v>0</v>
      </c>
      <c r="BE11" s="261">
        <f>Transporte!$H$20</f>
        <v>0</v>
      </c>
      <c r="BF11" s="261">
        <f>Manutenção!$H$21</f>
        <v>0</v>
      </c>
      <c r="BG11" s="262">
        <f t="shared" ca="1" si="4"/>
        <v>0</v>
      </c>
      <c r="BH11" s="261">
        <f t="shared" ca="1" si="47"/>
        <v>13104.805619047618</v>
      </c>
      <c r="BI11" s="264">
        <f ca="1">IF(L2&gt;=1,BH11/$A$5,0)</f>
        <v>0</v>
      </c>
      <c r="BJ11" s="261">
        <f>'Linha 4 Zn Alc. Manual'!Y15</f>
        <v>0</v>
      </c>
      <c r="BK11" s="262">
        <f>'Resumo M.O'!I5</f>
        <v>3961.4924999999998</v>
      </c>
      <c r="BL11" s="262">
        <f>'Resumo M.O'!$I$13</f>
        <v>9143.3131190476179</v>
      </c>
      <c r="BM11" s="262">
        <f>'Resumo Custos Variáveis'!$K$21</f>
        <v>0</v>
      </c>
      <c r="BN11" s="261">
        <f>'Outros Custos'!$I$31</f>
        <v>0</v>
      </c>
      <c r="BO11" s="261">
        <f>Transporte!$I$20</f>
        <v>0</v>
      </c>
      <c r="BP11" s="261">
        <f>Manutenção!$I$21</f>
        <v>0</v>
      </c>
      <c r="BQ11" s="262">
        <f t="shared" ca="1" si="5"/>
        <v>0</v>
      </c>
      <c r="BR11" s="261">
        <f t="shared" ca="1" si="48"/>
        <v>13104.805619047618</v>
      </c>
      <c r="BS11" s="264">
        <f ca="1">IF(L2&gt;=1,BR11/$A$5,0)</f>
        <v>0</v>
      </c>
      <c r="BT11" s="261">
        <f>'Linha 4 Zn Alc. Manual'!AB15</f>
        <v>0</v>
      </c>
      <c r="BU11" s="262">
        <f>'Resumo M.O'!J5</f>
        <v>3961.4924999999998</v>
      </c>
      <c r="BV11" s="262">
        <f>'Resumo M.O'!$J$13</f>
        <v>9143.3131190476179</v>
      </c>
      <c r="BW11" s="262">
        <f>'Resumo Custos Variáveis'!$L$21</f>
        <v>0</v>
      </c>
      <c r="BX11" s="261">
        <f>'Outros Custos'!$J$31</f>
        <v>0</v>
      </c>
      <c r="BY11" s="261">
        <f>Transporte!$J$20</f>
        <v>0</v>
      </c>
      <c r="BZ11" s="261">
        <f>Manutenção!$J$21</f>
        <v>0</v>
      </c>
      <c r="CA11" s="262">
        <f t="shared" ca="1" si="6"/>
        <v>0</v>
      </c>
      <c r="CB11" s="261">
        <f t="shared" ca="1" si="49"/>
        <v>13104.805619047618</v>
      </c>
      <c r="CC11" s="264">
        <f ca="1">IF(L2&gt;=1,CB11/$A$5,0)</f>
        <v>0</v>
      </c>
      <c r="CD11" s="261">
        <f>'Linha 4 Zn Alc. Manual'!AE15</f>
        <v>0</v>
      </c>
      <c r="CE11" s="262">
        <f>'Resumo M.O'!K5</f>
        <v>3961.4924999999998</v>
      </c>
      <c r="CF11" s="262">
        <f>'Resumo M.O'!$K$13</f>
        <v>9143.3131190476179</v>
      </c>
      <c r="CG11" s="262">
        <f>'Resumo Custos Variáveis'!$M$21</f>
        <v>4328.5714285714284</v>
      </c>
      <c r="CH11" s="261">
        <f>'Outros Custos'!$K$31</f>
        <v>2140</v>
      </c>
      <c r="CI11" s="261">
        <f>Transporte!$K$20</f>
        <v>0</v>
      </c>
      <c r="CJ11" s="261">
        <f>Manutenção!$K$21</f>
        <v>10000</v>
      </c>
      <c r="CK11" s="262">
        <f t="shared" ca="1" si="7"/>
        <v>0</v>
      </c>
      <c r="CL11" s="261">
        <f t="shared" ca="1" si="27"/>
        <v>29573.377047619048</v>
      </c>
      <c r="CM11" s="264">
        <f ca="1">IF(L2&gt;=1,CL11/$A$5,0)</f>
        <v>0</v>
      </c>
      <c r="CN11" s="261">
        <f>'Linha 4 Zn Alc. Manual'!AH15</f>
        <v>0</v>
      </c>
      <c r="CO11" s="262">
        <f>'Resumo M.O'!L5</f>
        <v>3961.4924999999998</v>
      </c>
      <c r="CP11" s="262">
        <f>'Resumo M.O'!$L$13</f>
        <v>9143.3131190476179</v>
      </c>
      <c r="CQ11" s="262">
        <f>'Resumo Custos Variáveis'!$N$21</f>
        <v>0</v>
      </c>
      <c r="CR11" s="261">
        <f>'Outros Custos'!$L$31</f>
        <v>0</v>
      </c>
      <c r="CS11" s="261">
        <f>Transporte!$L$20</f>
        <v>0</v>
      </c>
      <c r="CT11" s="261">
        <f>Manutenção!$L$21</f>
        <v>10000</v>
      </c>
      <c r="CU11" s="262">
        <f t="shared" ca="1" si="8"/>
        <v>0</v>
      </c>
      <c r="CV11" s="261">
        <f t="shared" ca="1" si="28"/>
        <v>23104.80561904762</v>
      </c>
      <c r="CW11" s="264">
        <f ca="1">IF(L2&gt;=1,CV11/$A$5,0)</f>
        <v>0</v>
      </c>
      <c r="CX11" s="261">
        <f>'Linha 4 Zn Alc. Manual'!AK15</f>
        <v>0</v>
      </c>
      <c r="CY11" s="262">
        <f>'Resumo M.O'!M5</f>
        <v>3961.4924999999998</v>
      </c>
      <c r="CZ11" s="262">
        <f>'Resumo M.O'!$M$13</f>
        <v>9143.3131190476179</v>
      </c>
      <c r="DA11" s="262">
        <f>'Resumo Custos Variáveis'!$O$21</f>
        <v>0</v>
      </c>
      <c r="DB11" s="261">
        <f>'Outros Custos'!$M$31</f>
        <v>0</v>
      </c>
      <c r="DC11" s="261">
        <f>Transporte!$M$20</f>
        <v>0</v>
      </c>
      <c r="DD11" s="261">
        <f>Manutenção!$M$21</f>
        <v>10000</v>
      </c>
      <c r="DE11" s="262">
        <f t="shared" ca="1" si="9"/>
        <v>0</v>
      </c>
      <c r="DF11" s="261">
        <f t="shared" ca="1" si="29"/>
        <v>23104.80561904762</v>
      </c>
      <c r="DG11" s="264">
        <f ca="1">IF(L2&gt;=1,DF11/$A$5,0)</f>
        <v>0</v>
      </c>
      <c r="DH11" s="261">
        <f>'Linha 4 Zn Alc. Manual'!AN15</f>
        <v>0</v>
      </c>
      <c r="DI11" s="263">
        <f>'Resumo M.O'!N5</f>
        <v>3961.4924999999998</v>
      </c>
      <c r="DJ11" s="263">
        <f>'Resumo M.O'!$N$13</f>
        <v>9143.3131190476179</v>
      </c>
      <c r="DK11" s="263">
        <f>'Resumo Custos Variáveis'!$P$21</f>
        <v>0</v>
      </c>
      <c r="DL11" s="63">
        <f>'Outros Custos'!$N$31</f>
        <v>0</v>
      </c>
      <c r="DM11" s="63">
        <f>Transporte!$N$20</f>
        <v>0</v>
      </c>
      <c r="DN11" s="63">
        <f>Manutenção!$N$21</f>
        <v>10000</v>
      </c>
      <c r="DO11" s="263">
        <f t="shared" ca="1" si="10"/>
        <v>0</v>
      </c>
      <c r="DP11" s="63">
        <f t="shared" ca="1" si="30"/>
        <v>23104.80561904762</v>
      </c>
      <c r="DQ11" s="264">
        <f ca="1">IF(L2&gt;=1,DP11/$A$5,0)</f>
        <v>0</v>
      </c>
      <c r="DS11" s="261">
        <f t="shared" ca="1" si="11"/>
        <v>0</v>
      </c>
      <c r="DT11" s="261">
        <f t="shared" ca="1" si="12"/>
        <v>0</v>
      </c>
      <c r="DU11" s="261">
        <f t="shared" ca="1" si="13"/>
        <v>0</v>
      </c>
      <c r="DV11" s="261">
        <f t="shared" ca="1" si="14"/>
        <v>0</v>
      </c>
      <c r="DW11" s="261">
        <f t="shared" ca="1" si="15"/>
        <v>0</v>
      </c>
      <c r="DX11" s="261">
        <f t="shared" ca="1" si="16"/>
        <v>0</v>
      </c>
      <c r="DY11" s="261">
        <f t="shared" ca="1" si="17"/>
        <v>0</v>
      </c>
      <c r="DZ11" s="261">
        <f t="shared" ca="1" si="18"/>
        <v>0</v>
      </c>
      <c r="EA11" s="261">
        <f t="shared" ca="1" si="19"/>
        <v>0</v>
      </c>
      <c r="EB11" s="261">
        <f t="shared" ca="1" si="20"/>
        <v>0</v>
      </c>
      <c r="EC11" s="261">
        <f t="shared" ca="1" si="21"/>
        <v>0</v>
      </c>
      <c r="ED11" s="261">
        <f t="shared" ca="1" si="22"/>
        <v>0</v>
      </c>
      <c r="EF11" s="265">
        <f t="shared" si="31"/>
        <v>0</v>
      </c>
      <c r="EG11" s="265">
        <f t="shared" si="32"/>
        <v>0</v>
      </c>
      <c r="EH11" s="265">
        <f t="shared" si="33"/>
        <v>0</v>
      </c>
      <c r="EI11" s="265">
        <f t="shared" si="34"/>
        <v>0</v>
      </c>
      <c r="EJ11" s="265">
        <f t="shared" si="35"/>
        <v>0</v>
      </c>
      <c r="EK11" s="265">
        <f t="shared" si="36"/>
        <v>0</v>
      </c>
      <c r="EL11" s="265">
        <f t="shared" si="37"/>
        <v>0</v>
      </c>
      <c r="EM11" s="265">
        <f t="shared" si="38"/>
        <v>0</v>
      </c>
      <c r="EN11" s="265">
        <f t="shared" si="39"/>
        <v>0</v>
      </c>
      <c r="EO11" s="265">
        <f t="shared" si="40"/>
        <v>0</v>
      </c>
      <c r="EP11" s="265">
        <f t="shared" si="41"/>
        <v>0</v>
      </c>
      <c r="EQ11" s="265">
        <f t="shared" si="42"/>
        <v>0</v>
      </c>
    </row>
    <row r="12" spans="1:147" x14ac:dyDescent="0.3">
      <c r="A12" s="201" t="s">
        <v>182</v>
      </c>
      <c r="B12" s="261">
        <f>'Linha 5 Zn Alc. Semi Aut.'!G15</f>
        <v>0</v>
      </c>
      <c r="C12" s="261">
        <f>'Resumo M.O'!C6</f>
        <v>7491.4369333333334</v>
      </c>
      <c r="D12" s="262">
        <f>'Resumo M.O'!$C$13</f>
        <v>9143.3131190476179</v>
      </c>
      <c r="E12" s="263">
        <f>'Resumo Custos Variáveis'!$E$21</f>
        <v>0</v>
      </c>
      <c r="F12" s="261">
        <f>'Outros Custos'!$C$31</f>
        <v>0</v>
      </c>
      <c r="G12" s="261">
        <f>Transporte!$C$20</f>
        <v>0</v>
      </c>
      <c r="H12" s="261">
        <f>Manutenção!$C$21</f>
        <v>0</v>
      </c>
      <c r="I12" s="262">
        <f ca="1">Investimentos!G32</f>
        <v>0</v>
      </c>
      <c r="J12" s="261">
        <f t="shared" ca="1" si="23"/>
        <v>16634.75005238095</v>
      </c>
      <c r="K12" s="264">
        <f t="shared" ca="1" si="24"/>
        <v>0</v>
      </c>
      <c r="L12" s="261">
        <f>'Linha 5 Zn Alc. Semi Aut.'!J15</f>
        <v>0</v>
      </c>
      <c r="M12" s="262">
        <f>'Resumo M.O'!D6</f>
        <v>7491.4369333333334</v>
      </c>
      <c r="N12" s="262">
        <f>'Resumo M.O'!$D$13</f>
        <v>9143.3131190476179</v>
      </c>
      <c r="O12" s="262">
        <f>'Resumo Custos Variáveis'!$F$21</f>
        <v>0</v>
      </c>
      <c r="P12" s="261">
        <f>'Outros Custos'!$D$31</f>
        <v>0</v>
      </c>
      <c r="Q12" s="261">
        <f>Transporte!$D$20</f>
        <v>0</v>
      </c>
      <c r="R12" s="261">
        <f>Manutenção!$D$21</f>
        <v>0</v>
      </c>
      <c r="S12" s="262">
        <f t="shared" ca="1" si="0"/>
        <v>0</v>
      </c>
      <c r="T12" s="261">
        <f t="shared" ca="1" si="43"/>
        <v>16634.75005238095</v>
      </c>
      <c r="U12" s="264">
        <f t="shared" ca="1" si="25"/>
        <v>0</v>
      </c>
      <c r="V12" s="261">
        <f>'Linha 5 Zn Alc. Semi Aut.'!M15</f>
        <v>0</v>
      </c>
      <c r="W12" s="263">
        <f>'Resumo M.O'!E6</f>
        <v>7491.4369333333334</v>
      </c>
      <c r="X12" s="263">
        <f>'Resumo M.O'!$E$13</f>
        <v>9143.3131190476179</v>
      </c>
      <c r="Y12" s="263">
        <f>'Resumo Custos Variáveis'!$G$21</f>
        <v>0</v>
      </c>
      <c r="Z12" s="63">
        <f>'Outros Custos'!$E$31</f>
        <v>0</v>
      </c>
      <c r="AA12" s="63">
        <f>Transporte!$E$20</f>
        <v>0</v>
      </c>
      <c r="AB12" s="63">
        <f>Manutenção!$E$21</f>
        <v>0</v>
      </c>
      <c r="AC12" s="263">
        <f t="shared" ca="1" si="1"/>
        <v>0</v>
      </c>
      <c r="AD12" s="63">
        <f t="shared" ca="1" si="44"/>
        <v>16634.75005238095</v>
      </c>
      <c r="AE12" s="264">
        <f t="shared" ca="1" si="26"/>
        <v>0</v>
      </c>
      <c r="AF12" s="261">
        <f>'Linha 5 Zn Alc. Semi Aut.'!P15</f>
        <v>0</v>
      </c>
      <c r="AG12" s="262">
        <f>'Resumo M.O'!F6</f>
        <v>7491.4369333333334</v>
      </c>
      <c r="AH12" s="262">
        <f>'Resumo M.O'!$F$13</f>
        <v>9143.3131190476179</v>
      </c>
      <c r="AI12" s="262">
        <f>'Resumo Custos Variáveis'!$H$21</f>
        <v>0</v>
      </c>
      <c r="AJ12" s="261">
        <f>'Outros Custos'!$F$31</f>
        <v>0</v>
      </c>
      <c r="AK12" s="261">
        <f>Transporte!$F$20</f>
        <v>0</v>
      </c>
      <c r="AL12" s="261">
        <f>Manutenção!$F$21</f>
        <v>0</v>
      </c>
      <c r="AM12" s="262">
        <f t="shared" ca="1" si="2"/>
        <v>0</v>
      </c>
      <c r="AN12" s="261">
        <f t="shared" ca="1" si="45"/>
        <v>16634.75005238095</v>
      </c>
      <c r="AO12" s="264">
        <f ca="1">IF(L2&gt;=1,AN12/$A$5,0)</f>
        <v>0</v>
      </c>
      <c r="AP12" s="261">
        <f>'Linha 5 Zn Alc. Semi Aut.'!S15</f>
        <v>0</v>
      </c>
      <c r="AQ12" s="262">
        <f>'Resumo M.O'!G6</f>
        <v>7491.4369333333334</v>
      </c>
      <c r="AR12" s="262">
        <f>'Resumo M.O'!$G$13</f>
        <v>9143.3131190476179</v>
      </c>
      <c r="AS12" s="262">
        <f>'Resumo Custos Variáveis'!$I$21</f>
        <v>0</v>
      </c>
      <c r="AT12" s="261">
        <f>'Outros Custos'!$G$31</f>
        <v>0</v>
      </c>
      <c r="AU12" s="261">
        <f>Transporte!$G$20</f>
        <v>0</v>
      </c>
      <c r="AV12" s="261">
        <f>Manutenção!$G$21</f>
        <v>0</v>
      </c>
      <c r="AW12" s="262">
        <f t="shared" ca="1" si="3"/>
        <v>0</v>
      </c>
      <c r="AX12" s="261">
        <f t="shared" ca="1" si="46"/>
        <v>16634.75005238095</v>
      </c>
      <c r="AY12" s="264">
        <f ca="1">IF(L2&gt;=1,AX12/$A$5,0)</f>
        <v>0</v>
      </c>
      <c r="AZ12" s="261">
        <f>'Linha 5 Zn Alc. Semi Aut.'!V15</f>
        <v>0</v>
      </c>
      <c r="BA12" s="262">
        <f>'Resumo M.O'!H6</f>
        <v>7491.4369333333334</v>
      </c>
      <c r="BB12" s="262">
        <f>'Resumo M.O'!$H$13</f>
        <v>9143.3131190476179</v>
      </c>
      <c r="BC12" s="262">
        <f>'Resumo Custos Variáveis'!$J$21</f>
        <v>0</v>
      </c>
      <c r="BD12" s="261">
        <f>'Outros Custos'!$H$31</f>
        <v>0</v>
      </c>
      <c r="BE12" s="261">
        <f>Transporte!$H$20</f>
        <v>0</v>
      </c>
      <c r="BF12" s="261">
        <f>Manutenção!$H$21</f>
        <v>0</v>
      </c>
      <c r="BG12" s="262">
        <f t="shared" ca="1" si="4"/>
        <v>0</v>
      </c>
      <c r="BH12" s="261">
        <f t="shared" ca="1" si="47"/>
        <v>16634.75005238095</v>
      </c>
      <c r="BI12" s="264">
        <f ca="1">IF(L$2&gt;=1,BH12/$A$5,0)</f>
        <v>0</v>
      </c>
      <c r="BJ12" s="261">
        <f>'Linha 5 Zn Alc. Semi Aut.'!Y15</f>
        <v>0</v>
      </c>
      <c r="BK12" s="262">
        <f>'Resumo M.O'!I6</f>
        <v>7491.4369333333334</v>
      </c>
      <c r="BL12" s="262">
        <f>'Resumo M.O'!$I$13</f>
        <v>9143.3131190476179</v>
      </c>
      <c r="BM12" s="262">
        <f>'Resumo Custos Variáveis'!$K$21</f>
        <v>0</v>
      </c>
      <c r="BN12" s="261">
        <f>'Outros Custos'!$I$31</f>
        <v>0</v>
      </c>
      <c r="BO12" s="261">
        <f>Transporte!$I$20</f>
        <v>0</v>
      </c>
      <c r="BP12" s="261">
        <f>Manutenção!$I$21</f>
        <v>0</v>
      </c>
      <c r="BQ12" s="262">
        <f t="shared" ca="1" si="5"/>
        <v>0</v>
      </c>
      <c r="BR12" s="261">
        <f t="shared" ca="1" si="48"/>
        <v>16634.75005238095</v>
      </c>
      <c r="BS12" s="264">
        <f ca="1">IF(L$2&gt;=1,BR12/$A$5,0)</f>
        <v>0</v>
      </c>
      <c r="BT12" s="261">
        <f>'Linha 5 Zn Alc. Semi Aut.'!AB15</f>
        <v>0</v>
      </c>
      <c r="BU12" s="262">
        <f>'Resumo M.O'!J6</f>
        <v>7491.4369333333334</v>
      </c>
      <c r="BV12" s="262">
        <f>'Resumo M.O'!$J$13</f>
        <v>9143.3131190476179</v>
      </c>
      <c r="BW12" s="262">
        <f>'Resumo Custos Variáveis'!$L$21</f>
        <v>0</v>
      </c>
      <c r="BX12" s="261">
        <f>'Outros Custos'!$J$31</f>
        <v>0</v>
      </c>
      <c r="BY12" s="261">
        <f>Transporte!$J$20</f>
        <v>0</v>
      </c>
      <c r="BZ12" s="261">
        <f>Manutenção!$J$21</f>
        <v>0</v>
      </c>
      <c r="CA12" s="262">
        <f t="shared" ca="1" si="6"/>
        <v>0</v>
      </c>
      <c r="CB12" s="261">
        <f t="shared" ca="1" si="49"/>
        <v>16634.75005238095</v>
      </c>
      <c r="CC12" s="264">
        <f ca="1">IF(L$2&gt;=1,CB12/$A$5,0)</f>
        <v>0</v>
      </c>
      <c r="CD12" s="261">
        <f>'Linha 5 Zn Alc. Semi Aut.'!AE15</f>
        <v>0</v>
      </c>
      <c r="CE12" s="262">
        <f>'Resumo M.O'!K6</f>
        <v>3126.8886000000002</v>
      </c>
      <c r="CF12" s="262">
        <f>'Resumo M.O'!$K$13</f>
        <v>9143.3131190476179</v>
      </c>
      <c r="CG12" s="262">
        <f>'Resumo Custos Variáveis'!$M$21</f>
        <v>4328.5714285714284</v>
      </c>
      <c r="CH12" s="261">
        <f>'Outros Custos'!$K$31</f>
        <v>2140</v>
      </c>
      <c r="CI12" s="261">
        <f>Transporte!$K$20</f>
        <v>0</v>
      </c>
      <c r="CJ12" s="261">
        <f>Manutenção!$K$21</f>
        <v>10000</v>
      </c>
      <c r="CK12" s="262">
        <f t="shared" ca="1" si="7"/>
        <v>0</v>
      </c>
      <c r="CL12" s="261">
        <f t="shared" ca="1" si="27"/>
        <v>28738.773147619046</v>
      </c>
      <c r="CM12" s="264">
        <f ca="1">IF(L2&gt;=1,CL12/$A$5,0)</f>
        <v>0</v>
      </c>
      <c r="CN12" s="261">
        <f>'Linha 5 Zn Alc. Semi Aut.'!AH15</f>
        <v>0</v>
      </c>
      <c r="CO12" s="262">
        <f>'Resumo M.O'!L6</f>
        <v>3126.8886000000002</v>
      </c>
      <c r="CP12" s="262">
        <f>'Resumo M.O'!$L$13</f>
        <v>9143.3131190476179</v>
      </c>
      <c r="CQ12" s="262">
        <f>'Resumo Custos Variáveis'!$N$21</f>
        <v>0</v>
      </c>
      <c r="CR12" s="261">
        <f>'Outros Custos'!$L$31</f>
        <v>0</v>
      </c>
      <c r="CS12" s="261">
        <f>Transporte!$L$20</f>
        <v>0</v>
      </c>
      <c r="CT12" s="261">
        <f>Manutenção!$L$21</f>
        <v>10000</v>
      </c>
      <c r="CU12" s="262">
        <f t="shared" ca="1" si="8"/>
        <v>0</v>
      </c>
      <c r="CV12" s="261">
        <f t="shared" ca="1" si="28"/>
        <v>22270.201719047618</v>
      </c>
      <c r="CW12" s="264">
        <f ca="1">IF(L$2&gt;=1,CV12/$A$5,0)</f>
        <v>0</v>
      </c>
      <c r="CX12" s="261">
        <f>'Linha 5 Zn Alc. Semi Aut.'!AK15</f>
        <v>0</v>
      </c>
      <c r="CY12" s="262">
        <f>'Resumo M.O'!M6</f>
        <v>3126.8886000000002</v>
      </c>
      <c r="CZ12" s="262">
        <f>'Resumo M.O'!$M$13</f>
        <v>9143.3131190476179</v>
      </c>
      <c r="DA12" s="262">
        <f>'Resumo Custos Variáveis'!$O$21</f>
        <v>0</v>
      </c>
      <c r="DB12" s="261">
        <f>'Outros Custos'!$M$31</f>
        <v>0</v>
      </c>
      <c r="DC12" s="261">
        <f>Transporte!$M$20</f>
        <v>0</v>
      </c>
      <c r="DD12" s="261">
        <f>Manutenção!$M$21</f>
        <v>10000</v>
      </c>
      <c r="DE12" s="262">
        <f t="shared" ca="1" si="9"/>
        <v>0</v>
      </c>
      <c r="DF12" s="261">
        <f t="shared" ca="1" si="29"/>
        <v>22270.201719047618</v>
      </c>
      <c r="DG12" s="264">
        <f ca="1">IF(L$2&gt;=1,DF12/$A$5,0)</f>
        <v>0</v>
      </c>
      <c r="DH12" s="261">
        <f>'Linha 5 Zn Alc. Semi Aut.'!AN15</f>
        <v>0</v>
      </c>
      <c r="DI12" s="263">
        <f>'Resumo M.O'!N6</f>
        <v>3126.8886000000002</v>
      </c>
      <c r="DJ12" s="263">
        <f>'Resumo M.O'!$N$13</f>
        <v>9143.3131190476179</v>
      </c>
      <c r="DK12" s="263">
        <f>'Resumo Custos Variáveis'!$P$21</f>
        <v>0</v>
      </c>
      <c r="DL12" s="63">
        <f>'Outros Custos'!$N$31</f>
        <v>0</v>
      </c>
      <c r="DM12" s="63">
        <f>Transporte!$N$20</f>
        <v>0</v>
      </c>
      <c r="DN12" s="63">
        <f>Manutenção!$N$21</f>
        <v>10000</v>
      </c>
      <c r="DO12" s="263">
        <f t="shared" ca="1" si="10"/>
        <v>0</v>
      </c>
      <c r="DP12" s="63">
        <f t="shared" ca="1" si="30"/>
        <v>22270.201719047618</v>
      </c>
      <c r="DQ12" s="264">
        <f ca="1">IF(L$2&gt;=1,DP12/$A$5,0)</f>
        <v>0</v>
      </c>
      <c r="DS12" s="261">
        <f t="shared" ca="1" si="11"/>
        <v>0</v>
      </c>
      <c r="DT12" s="261">
        <f t="shared" ca="1" si="12"/>
        <v>0</v>
      </c>
      <c r="DU12" s="261">
        <f t="shared" ca="1" si="13"/>
        <v>0</v>
      </c>
      <c r="DV12" s="261">
        <f t="shared" ca="1" si="14"/>
        <v>0</v>
      </c>
      <c r="DW12" s="261">
        <f t="shared" ca="1" si="15"/>
        <v>0</v>
      </c>
      <c r="DX12" s="261">
        <f t="shared" ca="1" si="16"/>
        <v>0</v>
      </c>
      <c r="DY12" s="261">
        <f t="shared" ca="1" si="17"/>
        <v>0</v>
      </c>
      <c r="DZ12" s="261">
        <f t="shared" ca="1" si="18"/>
        <v>0</v>
      </c>
      <c r="EA12" s="261">
        <f t="shared" ca="1" si="19"/>
        <v>0</v>
      </c>
      <c r="EB12" s="261">
        <f t="shared" ca="1" si="20"/>
        <v>0</v>
      </c>
      <c r="EC12" s="261">
        <f t="shared" ca="1" si="21"/>
        <v>0</v>
      </c>
      <c r="ED12" s="261">
        <f t="shared" ca="1" si="22"/>
        <v>0</v>
      </c>
      <c r="EF12" s="265">
        <f t="shared" si="31"/>
        <v>0</v>
      </c>
      <c r="EG12" s="265">
        <f t="shared" si="32"/>
        <v>0</v>
      </c>
      <c r="EH12" s="265">
        <f t="shared" si="33"/>
        <v>0</v>
      </c>
      <c r="EI12" s="265">
        <f t="shared" si="34"/>
        <v>0</v>
      </c>
      <c r="EJ12" s="265">
        <f t="shared" si="35"/>
        <v>0</v>
      </c>
      <c r="EK12" s="265">
        <f t="shared" si="36"/>
        <v>0</v>
      </c>
      <c r="EL12" s="265">
        <f t="shared" si="37"/>
        <v>0</v>
      </c>
      <c r="EM12" s="265">
        <f t="shared" si="38"/>
        <v>0</v>
      </c>
      <c r="EN12" s="265">
        <f t="shared" si="39"/>
        <v>0</v>
      </c>
      <c r="EO12" s="265">
        <f t="shared" si="40"/>
        <v>0</v>
      </c>
      <c r="EP12" s="265">
        <f t="shared" si="41"/>
        <v>0</v>
      </c>
      <c r="EQ12" s="265">
        <f t="shared" si="42"/>
        <v>0</v>
      </c>
    </row>
    <row r="13" spans="1:147" x14ac:dyDescent="0.3">
      <c r="A13" s="201" t="s">
        <v>183</v>
      </c>
      <c r="B13" s="262">
        <f>'Linha 6 ZnNí Semi Aut.'!G16</f>
        <v>0</v>
      </c>
      <c r="C13" s="261">
        <f>'Resumo M.O'!C7</f>
        <v>6872.2222222222226</v>
      </c>
      <c r="D13" s="262">
        <f>'Resumo M.O'!$C$13</f>
        <v>9143.3131190476179</v>
      </c>
      <c r="E13" s="263">
        <f>'Resumo Custos Variáveis'!$E$21</f>
        <v>0</v>
      </c>
      <c r="F13" s="261">
        <f>'Outros Custos'!$C$31</f>
        <v>0</v>
      </c>
      <c r="G13" s="261">
        <f>Transporte!$C$20</f>
        <v>0</v>
      </c>
      <c r="H13" s="261">
        <f>Manutenção!$C$21</f>
        <v>0</v>
      </c>
      <c r="I13" s="262">
        <f ca="1">Investimentos!G37</f>
        <v>0</v>
      </c>
      <c r="J13" s="261">
        <f ca="1">SUM(B13:I13)</f>
        <v>16015.535341269841</v>
      </c>
      <c r="K13" s="264">
        <f t="shared" ca="1" si="24"/>
        <v>0</v>
      </c>
      <c r="L13" s="262">
        <f>'Linha 6 ZnNí Semi Aut.'!J16</f>
        <v>0</v>
      </c>
      <c r="M13" s="262">
        <f>'Resumo M.O'!D7</f>
        <v>6872.2222222222226</v>
      </c>
      <c r="N13" s="262">
        <f>'Resumo M.O'!$D$13</f>
        <v>9143.3131190476179</v>
      </c>
      <c r="O13" s="262">
        <f>'Resumo Custos Variáveis'!$F$21</f>
        <v>0</v>
      </c>
      <c r="P13" s="261">
        <f>'Outros Custos'!$D$31</f>
        <v>0</v>
      </c>
      <c r="Q13" s="261">
        <f>Transporte!$D$20</f>
        <v>0</v>
      </c>
      <c r="R13" s="261">
        <f>Manutenção!$D$21</f>
        <v>0</v>
      </c>
      <c r="S13" s="262">
        <f t="shared" ca="1" si="0"/>
        <v>0</v>
      </c>
      <c r="T13" s="261">
        <f t="shared" ca="1" si="43"/>
        <v>16015.535341269841</v>
      </c>
      <c r="U13" s="264">
        <f t="shared" ca="1" si="25"/>
        <v>0</v>
      </c>
      <c r="V13" s="262">
        <f>'Linha 6 ZnNí Semi Aut.'!M16</f>
        <v>0</v>
      </c>
      <c r="W13" s="263">
        <f>'Resumo M.O'!E7</f>
        <v>6872.2222222222226</v>
      </c>
      <c r="X13" s="263">
        <f>'Resumo M.O'!$E$13</f>
        <v>9143.3131190476179</v>
      </c>
      <c r="Y13" s="263">
        <f>'Resumo Custos Variáveis'!$G$21</f>
        <v>0</v>
      </c>
      <c r="Z13" s="63">
        <f>'Outros Custos'!$E$31</f>
        <v>0</v>
      </c>
      <c r="AA13" s="63">
        <f>Transporte!$E$20</f>
        <v>0</v>
      </c>
      <c r="AB13" s="63">
        <f>Manutenção!$E$21</f>
        <v>0</v>
      </c>
      <c r="AC13" s="263">
        <f t="shared" ca="1" si="1"/>
        <v>0</v>
      </c>
      <c r="AD13" s="63">
        <f t="shared" ca="1" si="44"/>
        <v>16015.535341269841</v>
      </c>
      <c r="AE13" s="264">
        <f t="shared" ca="1" si="26"/>
        <v>0</v>
      </c>
      <c r="AF13" s="262">
        <f>'Linha 6 ZnNí Semi Aut.'!P16</f>
        <v>0</v>
      </c>
      <c r="AG13" s="262">
        <f>'Resumo M.O'!F7</f>
        <v>6872.2222222222226</v>
      </c>
      <c r="AH13" s="262">
        <f>'Resumo M.O'!$F$13</f>
        <v>9143.3131190476179</v>
      </c>
      <c r="AI13" s="262">
        <f>'Resumo Custos Variáveis'!$H$21</f>
        <v>0</v>
      </c>
      <c r="AJ13" s="261">
        <f>'Outros Custos'!$F$31</f>
        <v>0</v>
      </c>
      <c r="AK13" s="261">
        <f>Transporte!$F$20</f>
        <v>0</v>
      </c>
      <c r="AL13" s="261">
        <f>Manutenção!$F$21</f>
        <v>0</v>
      </c>
      <c r="AM13" s="262">
        <f t="shared" ca="1" si="2"/>
        <v>0</v>
      </c>
      <c r="AN13" s="261">
        <f t="shared" ca="1" si="45"/>
        <v>16015.535341269841</v>
      </c>
      <c r="AO13" s="264">
        <f ca="1">IF(L2&gt;=1,AN13/$A$5,0)</f>
        <v>0</v>
      </c>
      <c r="AP13" s="262">
        <f>'Linha 6 ZnNí Semi Aut.'!S16</f>
        <v>0</v>
      </c>
      <c r="AQ13" s="262">
        <f>'Resumo M.O'!G7</f>
        <v>6872.2222222222226</v>
      </c>
      <c r="AR13" s="262">
        <f>'Resumo M.O'!$G$13</f>
        <v>9143.3131190476179</v>
      </c>
      <c r="AS13" s="262">
        <f>'Resumo Custos Variáveis'!$I$21</f>
        <v>0</v>
      </c>
      <c r="AT13" s="261">
        <f>'Outros Custos'!$G$31</f>
        <v>0</v>
      </c>
      <c r="AU13" s="261">
        <f>Transporte!$G$20</f>
        <v>0</v>
      </c>
      <c r="AV13" s="261">
        <f>Manutenção!$G$21</f>
        <v>0</v>
      </c>
      <c r="AW13" s="262">
        <f t="shared" ca="1" si="3"/>
        <v>0</v>
      </c>
      <c r="AX13" s="261">
        <f t="shared" ca="1" si="46"/>
        <v>16015.535341269841</v>
      </c>
      <c r="AY13" s="264">
        <f ca="1">IF(L2&gt;=1,AX13/$A$5,0)</f>
        <v>0</v>
      </c>
      <c r="AZ13" s="262">
        <f>'Linha 6 ZnNí Semi Aut.'!V16</f>
        <v>0</v>
      </c>
      <c r="BA13" s="262">
        <f>'Resumo M.O'!H7</f>
        <v>6872.2222222222226</v>
      </c>
      <c r="BB13" s="262">
        <f>'Resumo M.O'!$H$13</f>
        <v>9143.3131190476179</v>
      </c>
      <c r="BC13" s="262">
        <f>'Resumo Custos Variáveis'!$J$21</f>
        <v>0</v>
      </c>
      <c r="BD13" s="261">
        <f>'Outros Custos'!$H$31</f>
        <v>0</v>
      </c>
      <c r="BE13" s="261">
        <f>Transporte!$H$20</f>
        <v>0</v>
      </c>
      <c r="BF13" s="261">
        <f>Manutenção!$H$21</f>
        <v>0</v>
      </c>
      <c r="BG13" s="262">
        <f t="shared" ca="1" si="4"/>
        <v>0</v>
      </c>
      <c r="BH13" s="261">
        <f t="shared" ca="1" si="47"/>
        <v>16015.535341269841</v>
      </c>
      <c r="BI13" s="264">
        <f t="shared" ref="BI13:BI15" ca="1" si="50">IF(L$2&gt;=1,BH13/$A$5,0)</f>
        <v>0</v>
      </c>
      <c r="BJ13" s="262">
        <f>'Linha 6 ZnNí Semi Aut.'!Y16</f>
        <v>0</v>
      </c>
      <c r="BK13" s="262">
        <f>'Resumo M.O'!I7</f>
        <v>6872.2222222222226</v>
      </c>
      <c r="BL13" s="262">
        <f>'Resumo M.O'!$I$13</f>
        <v>9143.3131190476179</v>
      </c>
      <c r="BM13" s="262">
        <f>'Resumo Custos Variáveis'!$K$21</f>
        <v>0</v>
      </c>
      <c r="BN13" s="261">
        <f>'Outros Custos'!$I$31</f>
        <v>0</v>
      </c>
      <c r="BO13" s="261">
        <f>Transporte!$I$20</f>
        <v>0</v>
      </c>
      <c r="BP13" s="261">
        <f>Manutenção!$I$21</f>
        <v>0</v>
      </c>
      <c r="BQ13" s="262">
        <f t="shared" ca="1" si="5"/>
        <v>0</v>
      </c>
      <c r="BR13" s="261">
        <f t="shared" ca="1" si="48"/>
        <v>16015.535341269841</v>
      </c>
      <c r="BS13" s="264">
        <f t="shared" ref="BS13:BS15" ca="1" si="51">IF(L$2&gt;=1,BR13/$A$5,0)</f>
        <v>0</v>
      </c>
      <c r="BT13" s="262">
        <f>'Linha 6 ZnNí Semi Aut.'!AB16</f>
        <v>0</v>
      </c>
      <c r="BU13" s="262">
        <f>'Resumo M.O'!J7</f>
        <v>6872.2222222222226</v>
      </c>
      <c r="BV13" s="262">
        <f>'Resumo M.O'!$J$13</f>
        <v>9143.3131190476179</v>
      </c>
      <c r="BW13" s="262">
        <f>'Resumo Custos Variáveis'!$L$21</f>
        <v>0</v>
      </c>
      <c r="BX13" s="261">
        <f>'Outros Custos'!$J$31</f>
        <v>0</v>
      </c>
      <c r="BY13" s="261">
        <f>Transporte!$J$20</f>
        <v>0</v>
      </c>
      <c r="BZ13" s="261">
        <f>Manutenção!$J$21</f>
        <v>0</v>
      </c>
      <c r="CA13" s="262">
        <f t="shared" ca="1" si="6"/>
        <v>0</v>
      </c>
      <c r="CB13" s="261">
        <f t="shared" ca="1" si="49"/>
        <v>16015.535341269841</v>
      </c>
      <c r="CC13" s="264">
        <f t="shared" ref="CC13:CC15" ca="1" si="52">IF(L$2&gt;=1,CB13/$A$5,0)</f>
        <v>0</v>
      </c>
      <c r="CD13" s="262">
        <f>'Linha 6 ZnNí Semi Aut.'!AE16</f>
        <v>40000</v>
      </c>
      <c r="CE13" s="262">
        <f>'Resumo M.O'!K7</f>
        <v>6047.5555555555566</v>
      </c>
      <c r="CF13" s="262">
        <f>'Resumo M.O'!$K$13</f>
        <v>9143.3131190476179</v>
      </c>
      <c r="CG13" s="262">
        <f>'Resumo Custos Variáveis'!$M$21</f>
        <v>4328.5714285714284</v>
      </c>
      <c r="CH13" s="261">
        <f>'Outros Custos'!$K$31</f>
        <v>2140</v>
      </c>
      <c r="CI13" s="261">
        <f>Transporte!$K$20</f>
        <v>0</v>
      </c>
      <c r="CJ13" s="261">
        <f>Manutenção!$K$21</f>
        <v>10000</v>
      </c>
      <c r="CK13" s="262">
        <f t="shared" ca="1" si="7"/>
        <v>0</v>
      </c>
      <c r="CL13" s="261">
        <f ca="1">SUM(CD13:CK13)</f>
        <v>71659.440103174595</v>
      </c>
      <c r="CM13" s="264">
        <f ca="1">IF(L2&gt;=1,CL13/$A$5,0)</f>
        <v>0</v>
      </c>
      <c r="CN13" s="262">
        <f>'Linha 6 ZnNí Semi Aut.'!AH16</f>
        <v>0</v>
      </c>
      <c r="CO13" s="262">
        <f>'Resumo M.O'!L7</f>
        <v>6047.5555555555566</v>
      </c>
      <c r="CP13" s="262">
        <f>'Resumo M.O'!$L$13</f>
        <v>9143.3131190476179</v>
      </c>
      <c r="CQ13" s="262">
        <f>'Resumo Custos Variáveis'!$N$21</f>
        <v>0</v>
      </c>
      <c r="CR13" s="261">
        <f>'Outros Custos'!$L$31</f>
        <v>0</v>
      </c>
      <c r="CS13" s="261">
        <f>Transporte!$L$20</f>
        <v>0</v>
      </c>
      <c r="CT13" s="261">
        <f>Manutenção!$L$21</f>
        <v>10000</v>
      </c>
      <c r="CU13" s="262">
        <f t="shared" ca="1" si="8"/>
        <v>0</v>
      </c>
      <c r="CV13" s="261">
        <f t="shared" ca="1" si="28"/>
        <v>25190.868674603174</v>
      </c>
      <c r="CW13" s="264">
        <f t="shared" ref="CW13:CW15" ca="1" si="53">IF(L$2&gt;=1,CV13/$A$5,0)</f>
        <v>0</v>
      </c>
      <c r="CX13" s="262">
        <f>'Linha 6 ZnNí Semi Aut.'!AK16</f>
        <v>0</v>
      </c>
      <c r="CY13" s="262">
        <f>'Resumo M.O'!M7</f>
        <v>6047.5555555555566</v>
      </c>
      <c r="CZ13" s="262">
        <f>'Resumo M.O'!$M$13</f>
        <v>9143.3131190476179</v>
      </c>
      <c r="DA13" s="262">
        <f>'Resumo Custos Variáveis'!$O$21</f>
        <v>0</v>
      </c>
      <c r="DB13" s="261">
        <f>'Outros Custos'!$M$31</f>
        <v>0</v>
      </c>
      <c r="DC13" s="261">
        <f>Transporte!$M$20</f>
        <v>0</v>
      </c>
      <c r="DD13" s="261">
        <f>Manutenção!$M$21</f>
        <v>10000</v>
      </c>
      <c r="DE13" s="262">
        <f t="shared" ca="1" si="9"/>
        <v>0</v>
      </c>
      <c r="DF13" s="261">
        <f t="shared" ca="1" si="29"/>
        <v>25190.868674603174</v>
      </c>
      <c r="DG13" s="264">
        <f t="shared" ref="DG13:DG15" ca="1" si="54">IF(L$2&gt;=1,DF13/$A$5,0)</f>
        <v>0</v>
      </c>
      <c r="DH13" s="262">
        <f>'Linha 6 ZnNí Semi Aut.'!AN16</f>
        <v>0</v>
      </c>
      <c r="DI13" s="263">
        <f>'Resumo M.O'!N7</f>
        <v>6047.5555555555566</v>
      </c>
      <c r="DJ13" s="263">
        <f>'Resumo M.O'!$N$13</f>
        <v>9143.3131190476179</v>
      </c>
      <c r="DK13" s="263">
        <f>'Resumo Custos Variáveis'!$P$21</f>
        <v>0</v>
      </c>
      <c r="DL13" s="63">
        <f>'Outros Custos'!$N$31</f>
        <v>0</v>
      </c>
      <c r="DM13" s="63">
        <f>Transporte!$N$20</f>
        <v>0</v>
      </c>
      <c r="DN13" s="63">
        <f>Manutenção!$N$21</f>
        <v>10000</v>
      </c>
      <c r="DO13" s="263">
        <f t="shared" ca="1" si="10"/>
        <v>0</v>
      </c>
      <c r="DP13" s="63">
        <f t="shared" ca="1" si="30"/>
        <v>25190.868674603174</v>
      </c>
      <c r="DQ13" s="264">
        <f t="shared" ref="DQ13:DQ15" ca="1" si="55">IF(L$2&gt;=1,DP13/$A$5,0)</f>
        <v>0</v>
      </c>
      <c r="DS13" s="261">
        <f t="shared" ca="1" si="11"/>
        <v>0</v>
      </c>
      <c r="DT13" s="261">
        <f t="shared" ca="1" si="12"/>
        <v>0</v>
      </c>
      <c r="DU13" s="261">
        <f t="shared" ca="1" si="13"/>
        <v>0</v>
      </c>
      <c r="DV13" s="261">
        <f t="shared" ca="1" si="14"/>
        <v>0</v>
      </c>
      <c r="DW13" s="261">
        <f t="shared" ca="1" si="15"/>
        <v>0</v>
      </c>
      <c r="DX13" s="261">
        <f t="shared" ca="1" si="16"/>
        <v>0</v>
      </c>
      <c r="DY13" s="261">
        <f t="shared" ca="1" si="17"/>
        <v>0</v>
      </c>
      <c r="DZ13" s="261">
        <f t="shared" ca="1" si="18"/>
        <v>0</v>
      </c>
      <c r="EA13" s="261">
        <f t="shared" ca="1" si="19"/>
        <v>0</v>
      </c>
      <c r="EB13" s="261">
        <f t="shared" ca="1" si="20"/>
        <v>0</v>
      </c>
      <c r="EC13" s="261">
        <f t="shared" ca="1" si="21"/>
        <v>0</v>
      </c>
      <c r="ED13" s="261">
        <f t="shared" ca="1" si="22"/>
        <v>0</v>
      </c>
      <c r="EF13" s="265">
        <f t="shared" si="31"/>
        <v>0</v>
      </c>
      <c r="EG13" s="265">
        <f t="shared" si="32"/>
        <v>0</v>
      </c>
      <c r="EH13" s="265">
        <f t="shared" si="33"/>
        <v>0</v>
      </c>
      <c r="EI13" s="265">
        <f t="shared" si="34"/>
        <v>0</v>
      </c>
      <c r="EJ13" s="265">
        <f t="shared" si="35"/>
        <v>0</v>
      </c>
      <c r="EK13" s="265">
        <f t="shared" si="36"/>
        <v>0</v>
      </c>
      <c r="EL13" s="265">
        <f t="shared" si="37"/>
        <v>0</v>
      </c>
      <c r="EM13" s="265">
        <f t="shared" si="38"/>
        <v>0</v>
      </c>
      <c r="EN13" s="265">
        <f t="shared" si="39"/>
        <v>181.81818181818181</v>
      </c>
      <c r="EO13" s="265">
        <f t="shared" si="40"/>
        <v>0</v>
      </c>
      <c r="EP13" s="265">
        <f t="shared" si="41"/>
        <v>0</v>
      </c>
      <c r="EQ13" s="265">
        <f t="shared" si="42"/>
        <v>0</v>
      </c>
    </row>
    <row r="14" spans="1:147" ht="15.6" x14ac:dyDescent="0.3">
      <c r="A14" s="472" t="s">
        <v>189</v>
      </c>
      <c r="B14" s="261">
        <f>'Linha 9 Pré Trat. Fosfato Aut.'!G14</f>
        <v>0</v>
      </c>
      <c r="C14" s="261">
        <f>'Resumo M.O'!C8</f>
        <v>3023.7777777777783</v>
      </c>
      <c r="D14" s="262">
        <f>'Resumo M.O'!$C$13</f>
        <v>9143.3131190476179</v>
      </c>
      <c r="E14" s="263">
        <f>'Resumo Custos Variáveis'!$E$21</f>
        <v>0</v>
      </c>
      <c r="F14" s="261">
        <f>'Outros Custos'!$C$31</f>
        <v>0</v>
      </c>
      <c r="G14" s="261">
        <f>Transporte!$C$20</f>
        <v>0</v>
      </c>
      <c r="H14" s="261">
        <f>Manutenção!$C$21</f>
        <v>0</v>
      </c>
      <c r="I14" s="262">
        <f ca="1">Investimentos!G42</f>
        <v>0</v>
      </c>
      <c r="J14" s="261">
        <f t="shared" ca="1" si="23"/>
        <v>12167.090896825397</v>
      </c>
      <c r="K14" s="264">
        <f t="shared" ca="1" si="24"/>
        <v>0</v>
      </c>
      <c r="L14" s="261">
        <f>'Linha 9 Pré Trat. Fosfato Aut.'!J14</f>
        <v>0</v>
      </c>
      <c r="M14" s="262">
        <f>'Resumo M.O'!D8</f>
        <v>3023.7777777777783</v>
      </c>
      <c r="N14" s="262">
        <f>'Resumo M.O'!$D$13</f>
        <v>9143.3131190476179</v>
      </c>
      <c r="O14" s="262">
        <f>'Resumo Custos Variáveis'!$F$21</f>
        <v>0</v>
      </c>
      <c r="P14" s="261">
        <f>'Outros Custos'!$D$31</f>
        <v>0</v>
      </c>
      <c r="Q14" s="261">
        <f>Transporte!$D$20</f>
        <v>0</v>
      </c>
      <c r="R14" s="261">
        <f>Manutenção!$D$21</f>
        <v>0</v>
      </c>
      <c r="S14" s="262">
        <f t="shared" ca="1" si="0"/>
        <v>0</v>
      </c>
      <c r="T14" s="261">
        <f t="shared" ca="1" si="43"/>
        <v>12167.090896825397</v>
      </c>
      <c r="U14" s="264">
        <f t="shared" ca="1" si="25"/>
        <v>0</v>
      </c>
      <c r="V14" s="261">
        <f>'Linha 9 Pré Trat. Fosfato Aut.'!M14</f>
        <v>0</v>
      </c>
      <c r="W14" s="263">
        <f>'Resumo M.O'!E8</f>
        <v>3023.7777777777783</v>
      </c>
      <c r="X14" s="263">
        <f>'Resumo M.O'!$E$13</f>
        <v>9143.3131190476179</v>
      </c>
      <c r="Y14" s="263">
        <f>'Resumo Custos Variáveis'!$G$21</f>
        <v>0</v>
      </c>
      <c r="Z14" s="63">
        <f>'Outros Custos'!$E$31</f>
        <v>0</v>
      </c>
      <c r="AA14" s="63">
        <f>Transporte!$E$20</f>
        <v>0</v>
      </c>
      <c r="AB14" s="63">
        <f>Manutenção!$E$21</f>
        <v>0</v>
      </c>
      <c r="AC14" s="263">
        <f t="shared" ca="1" si="1"/>
        <v>0</v>
      </c>
      <c r="AD14" s="63">
        <f t="shared" ca="1" si="44"/>
        <v>12167.090896825397</v>
      </c>
      <c r="AE14" s="264">
        <f t="shared" ca="1" si="26"/>
        <v>0</v>
      </c>
      <c r="AF14" s="261">
        <f>'Linha 9 Pré Trat. Fosfato Aut.'!P14</f>
        <v>0</v>
      </c>
      <c r="AG14" s="262">
        <f>'Resumo M.O'!F8</f>
        <v>3023.7777777777783</v>
      </c>
      <c r="AH14" s="262">
        <f>'Resumo M.O'!$F$13</f>
        <v>9143.3131190476179</v>
      </c>
      <c r="AI14" s="262">
        <f>'Resumo Custos Variáveis'!$H$21</f>
        <v>0</v>
      </c>
      <c r="AJ14" s="261">
        <f>'Outros Custos'!$F$31</f>
        <v>0</v>
      </c>
      <c r="AK14" s="261">
        <f>Transporte!$F$20</f>
        <v>0</v>
      </c>
      <c r="AL14" s="261">
        <f>Manutenção!$F$21</f>
        <v>0</v>
      </c>
      <c r="AM14" s="262">
        <f t="shared" ca="1" si="2"/>
        <v>0</v>
      </c>
      <c r="AN14" s="261">
        <f t="shared" ca="1" si="45"/>
        <v>12167.090896825397</v>
      </c>
      <c r="AO14" s="264">
        <f ca="1">IF(L2&gt;=1,AN14/$A$5,0)</f>
        <v>0</v>
      </c>
      <c r="AP14" s="261">
        <f>'Linha 9 Pré Trat. Fosfato Aut.'!S14</f>
        <v>0</v>
      </c>
      <c r="AQ14" s="262">
        <f>'Resumo M.O'!G8</f>
        <v>3023.7777777777783</v>
      </c>
      <c r="AR14" s="262">
        <f>'Resumo M.O'!$G$13</f>
        <v>9143.3131190476179</v>
      </c>
      <c r="AS14" s="262">
        <f>'Resumo Custos Variáveis'!$I$21</f>
        <v>0</v>
      </c>
      <c r="AT14" s="261">
        <f>'Outros Custos'!$G$31</f>
        <v>0</v>
      </c>
      <c r="AU14" s="261">
        <f>Transporte!$G$20</f>
        <v>0</v>
      </c>
      <c r="AV14" s="261">
        <f>Manutenção!$G$21</f>
        <v>0</v>
      </c>
      <c r="AW14" s="262">
        <f t="shared" ca="1" si="3"/>
        <v>0</v>
      </c>
      <c r="AX14" s="261">
        <f t="shared" ca="1" si="46"/>
        <v>12167.090896825397</v>
      </c>
      <c r="AY14" s="264">
        <f ca="1">IF(L2&gt;=1,AX14/$A$5,0)</f>
        <v>0</v>
      </c>
      <c r="AZ14" s="261">
        <f>'Linha 9 Pré Trat. Fosfato Aut.'!V14</f>
        <v>0</v>
      </c>
      <c r="BA14" s="262">
        <f>'Resumo M.O'!H8</f>
        <v>3023.7777777777783</v>
      </c>
      <c r="BB14" s="262">
        <f>'Resumo M.O'!$H$13</f>
        <v>9143.3131190476179</v>
      </c>
      <c r="BC14" s="262">
        <f>'Resumo Custos Variáveis'!$J$21</f>
        <v>0</v>
      </c>
      <c r="BD14" s="261">
        <f>'Outros Custos'!$H$31</f>
        <v>0</v>
      </c>
      <c r="BE14" s="261">
        <f>Transporte!$H$20</f>
        <v>0</v>
      </c>
      <c r="BF14" s="261">
        <f>Manutenção!$H$21</f>
        <v>0</v>
      </c>
      <c r="BG14" s="262">
        <f t="shared" ca="1" si="4"/>
        <v>0</v>
      </c>
      <c r="BH14" s="261">
        <f t="shared" ca="1" si="47"/>
        <v>12167.090896825397</v>
      </c>
      <c r="BI14" s="264">
        <f t="shared" ca="1" si="50"/>
        <v>0</v>
      </c>
      <c r="BJ14" s="261">
        <f>'Linha 9 Pré Trat. Fosfato Aut.'!Y14</f>
        <v>0</v>
      </c>
      <c r="BK14" s="262">
        <f>'Resumo M.O'!I8</f>
        <v>3023.7777777777783</v>
      </c>
      <c r="BL14" s="262">
        <f>'Resumo M.O'!$I$13</f>
        <v>9143.3131190476179</v>
      </c>
      <c r="BM14" s="262">
        <f>'Resumo Custos Variáveis'!$K$21</f>
        <v>0</v>
      </c>
      <c r="BN14" s="261">
        <f>'Outros Custos'!$I$31</f>
        <v>0</v>
      </c>
      <c r="BO14" s="261">
        <f>Transporte!$I$20</f>
        <v>0</v>
      </c>
      <c r="BP14" s="261">
        <f>Manutenção!$I$21</f>
        <v>0</v>
      </c>
      <c r="BQ14" s="262">
        <f t="shared" ca="1" si="5"/>
        <v>0</v>
      </c>
      <c r="BR14" s="261">
        <f t="shared" ca="1" si="48"/>
        <v>12167.090896825397</v>
      </c>
      <c r="BS14" s="264">
        <f t="shared" ca="1" si="51"/>
        <v>0</v>
      </c>
      <c r="BT14" s="261">
        <f>'Linha 9 Pré Trat. Fosfato Aut.'!AB14</f>
        <v>0</v>
      </c>
      <c r="BU14" s="262">
        <f>'Resumo M.O'!J8</f>
        <v>3023.7777777777783</v>
      </c>
      <c r="BV14" s="262">
        <f>'Resumo M.O'!$J$13</f>
        <v>9143.3131190476179</v>
      </c>
      <c r="BW14" s="262">
        <f>'Resumo Custos Variáveis'!$L$21</f>
        <v>0</v>
      </c>
      <c r="BX14" s="261">
        <f>'Outros Custos'!$J$31</f>
        <v>0</v>
      </c>
      <c r="BY14" s="261">
        <f>Transporte!$J$20</f>
        <v>0</v>
      </c>
      <c r="BZ14" s="261">
        <f>Manutenção!$J$21</f>
        <v>0</v>
      </c>
      <c r="CA14" s="262">
        <f t="shared" ca="1" si="6"/>
        <v>0</v>
      </c>
      <c r="CB14" s="261">
        <f t="shared" ca="1" si="49"/>
        <v>12167.090896825397</v>
      </c>
      <c r="CC14" s="264">
        <f t="shared" ca="1" si="52"/>
        <v>0</v>
      </c>
      <c r="CD14" s="261">
        <f>'Linha 9 Pré Trat. Fosfato Aut.'!AE14</f>
        <v>0</v>
      </c>
      <c r="CE14" s="262">
        <f>'Resumo M.O'!K8</f>
        <v>3023.7777777777783</v>
      </c>
      <c r="CF14" s="262">
        <f>'Resumo M.O'!$K$13</f>
        <v>9143.3131190476179</v>
      </c>
      <c r="CG14" s="262">
        <f>'Resumo Custos Variáveis'!$M$21</f>
        <v>4328.5714285714284</v>
      </c>
      <c r="CH14" s="261">
        <f>'Outros Custos'!$K$31</f>
        <v>2140</v>
      </c>
      <c r="CI14" s="261">
        <f>Transporte!$K$20</f>
        <v>0</v>
      </c>
      <c r="CJ14" s="261">
        <f>Manutenção!$K$21</f>
        <v>10000</v>
      </c>
      <c r="CK14" s="262">
        <f t="shared" ca="1" si="7"/>
        <v>0</v>
      </c>
      <c r="CL14" s="261">
        <f t="shared" ca="1" si="27"/>
        <v>28635.662325396825</v>
      </c>
      <c r="CM14" s="264">
        <f ca="1">IF(L2&gt;=1,CL14/$A$5,0)</f>
        <v>0</v>
      </c>
      <c r="CN14" s="261">
        <f>'Linha 9 Pré Trat. Fosfato Aut.'!AH14</f>
        <v>0</v>
      </c>
      <c r="CO14" s="262">
        <f>'Resumo M.O'!L8</f>
        <v>3023.7777777777783</v>
      </c>
      <c r="CP14" s="262">
        <f>'Resumo M.O'!$L$13</f>
        <v>9143.3131190476179</v>
      </c>
      <c r="CQ14" s="262">
        <f>'Resumo Custos Variáveis'!$N$21</f>
        <v>0</v>
      </c>
      <c r="CR14" s="261">
        <f>'Outros Custos'!$L$31</f>
        <v>0</v>
      </c>
      <c r="CS14" s="261">
        <f>Transporte!$L$20</f>
        <v>0</v>
      </c>
      <c r="CT14" s="261">
        <f>Manutenção!$L$21</f>
        <v>10000</v>
      </c>
      <c r="CU14" s="262">
        <f t="shared" ca="1" si="8"/>
        <v>0</v>
      </c>
      <c r="CV14" s="261">
        <f t="shared" ca="1" si="28"/>
        <v>22167.090896825397</v>
      </c>
      <c r="CW14" s="264">
        <f t="shared" ca="1" si="53"/>
        <v>0</v>
      </c>
      <c r="CX14" s="261">
        <f>'Linha 9 Pré Trat. Fosfato Aut.'!AK14</f>
        <v>0</v>
      </c>
      <c r="CY14" s="262">
        <f>'Resumo M.O'!M8</f>
        <v>3023.7777777777783</v>
      </c>
      <c r="CZ14" s="262">
        <f>'Resumo M.O'!$M$13</f>
        <v>9143.3131190476179</v>
      </c>
      <c r="DA14" s="262">
        <f>'Resumo Custos Variáveis'!$O$21</f>
        <v>0</v>
      </c>
      <c r="DB14" s="261">
        <f>'Outros Custos'!$M$31</f>
        <v>0</v>
      </c>
      <c r="DC14" s="261">
        <f>Transporte!$M$20</f>
        <v>0</v>
      </c>
      <c r="DD14" s="261">
        <f>Manutenção!$M$21</f>
        <v>10000</v>
      </c>
      <c r="DE14" s="262">
        <f t="shared" ca="1" si="9"/>
        <v>0</v>
      </c>
      <c r="DF14" s="261">
        <f t="shared" ca="1" si="29"/>
        <v>22167.090896825397</v>
      </c>
      <c r="DG14" s="264">
        <f t="shared" ca="1" si="54"/>
        <v>0</v>
      </c>
      <c r="DH14" s="261">
        <f>'Linha 9 Pré Trat. Fosfato Aut.'!AN14</f>
        <v>0</v>
      </c>
      <c r="DI14" s="263">
        <f>'Resumo M.O'!N8</f>
        <v>3023.7777777777783</v>
      </c>
      <c r="DJ14" s="263">
        <f>'Resumo M.O'!$N$13</f>
        <v>9143.3131190476179</v>
      </c>
      <c r="DK14" s="263">
        <f>'Resumo Custos Variáveis'!$P$21</f>
        <v>0</v>
      </c>
      <c r="DL14" s="63">
        <f>'Outros Custos'!$N$31</f>
        <v>0</v>
      </c>
      <c r="DM14" s="63">
        <f>Transporte!$N$20</f>
        <v>0</v>
      </c>
      <c r="DN14" s="63">
        <f>Manutenção!$N$21</f>
        <v>10000</v>
      </c>
      <c r="DO14" s="263">
        <f t="shared" ca="1" si="10"/>
        <v>0</v>
      </c>
      <c r="DP14" s="63">
        <f t="shared" ca="1" si="30"/>
        <v>22167.090896825397</v>
      </c>
      <c r="DQ14" s="264">
        <f t="shared" ca="1" si="55"/>
        <v>0</v>
      </c>
      <c r="DS14" s="261">
        <f t="shared" ca="1" si="11"/>
        <v>0</v>
      </c>
      <c r="DT14" s="261">
        <f t="shared" ca="1" si="12"/>
        <v>0</v>
      </c>
      <c r="DU14" s="261">
        <f t="shared" ca="1" si="13"/>
        <v>0</v>
      </c>
      <c r="DV14" s="261">
        <f t="shared" ca="1" si="14"/>
        <v>0</v>
      </c>
      <c r="DW14" s="261">
        <f t="shared" ca="1" si="15"/>
        <v>0</v>
      </c>
      <c r="DX14" s="261">
        <f t="shared" ca="1" si="16"/>
        <v>0</v>
      </c>
      <c r="DY14" s="261">
        <f t="shared" ca="1" si="17"/>
        <v>0</v>
      </c>
      <c r="DZ14" s="261">
        <f t="shared" ca="1" si="18"/>
        <v>0</v>
      </c>
      <c r="EA14" s="261">
        <f t="shared" ca="1" si="19"/>
        <v>0</v>
      </c>
      <c r="EB14" s="261">
        <f t="shared" ca="1" si="20"/>
        <v>0</v>
      </c>
      <c r="EC14" s="261">
        <f t="shared" ca="1" si="21"/>
        <v>0</v>
      </c>
      <c r="ED14" s="261">
        <f t="shared" ca="1" si="22"/>
        <v>0</v>
      </c>
      <c r="EF14" s="265">
        <f t="shared" si="31"/>
        <v>0</v>
      </c>
      <c r="EG14" s="265">
        <f t="shared" si="32"/>
        <v>0</v>
      </c>
      <c r="EH14" s="265">
        <f t="shared" si="33"/>
        <v>0</v>
      </c>
      <c r="EI14" s="265">
        <f t="shared" si="34"/>
        <v>0</v>
      </c>
      <c r="EJ14" s="265">
        <f t="shared" si="35"/>
        <v>0</v>
      </c>
      <c r="EK14" s="265">
        <f t="shared" si="36"/>
        <v>0</v>
      </c>
      <c r="EL14" s="265">
        <f t="shared" si="37"/>
        <v>0</v>
      </c>
      <c r="EM14" s="265">
        <f t="shared" si="38"/>
        <v>0</v>
      </c>
      <c r="EN14" s="265">
        <f t="shared" si="39"/>
        <v>0</v>
      </c>
      <c r="EO14" s="265">
        <f t="shared" si="40"/>
        <v>0</v>
      </c>
      <c r="EP14" s="265">
        <f t="shared" si="41"/>
        <v>0</v>
      </c>
      <c r="EQ14" s="265">
        <f t="shared" si="42"/>
        <v>0</v>
      </c>
    </row>
    <row r="15" spans="1:147" x14ac:dyDescent="0.3">
      <c r="A15" s="266" t="s">
        <v>40</v>
      </c>
      <c r="B15" s="261">
        <v>0</v>
      </c>
      <c r="C15" s="261">
        <f>'Resumo M.O'!C9</f>
        <v>0</v>
      </c>
      <c r="D15" s="262">
        <v>0</v>
      </c>
      <c r="E15" s="263">
        <f>'Resumo Custos Variáveis'!$E$21</f>
        <v>0</v>
      </c>
      <c r="F15" s="261">
        <f>'Outros Custos'!$C$31</f>
        <v>0</v>
      </c>
      <c r="G15" s="261">
        <f>Transporte!$C$20</f>
        <v>0</v>
      </c>
      <c r="H15" s="261">
        <f>Manutenção!$C$21</f>
        <v>0</v>
      </c>
      <c r="I15" s="262">
        <v>0</v>
      </c>
      <c r="J15" s="261">
        <f t="shared" si="23"/>
        <v>0</v>
      </c>
      <c r="K15" s="264">
        <f t="shared" ca="1" si="24"/>
        <v>0</v>
      </c>
      <c r="L15" s="261">
        <v>0</v>
      </c>
      <c r="M15" s="262">
        <f>'Resumo M.O'!D9</f>
        <v>0</v>
      </c>
      <c r="N15" s="262">
        <v>0</v>
      </c>
      <c r="O15" s="262">
        <f>'Resumo Custos Variáveis'!$F$21</f>
        <v>0</v>
      </c>
      <c r="P15" s="261">
        <f>'Outros Custos'!$D$31</f>
        <v>0</v>
      </c>
      <c r="Q15" s="261">
        <f>Transporte!$D$20</f>
        <v>0</v>
      </c>
      <c r="R15" s="261">
        <f>Manutenção!$D$21</f>
        <v>0</v>
      </c>
      <c r="S15" s="262">
        <f t="shared" ref="S15" si="56">I15</f>
        <v>0</v>
      </c>
      <c r="T15" s="261">
        <f t="shared" si="43"/>
        <v>0</v>
      </c>
      <c r="U15" s="264">
        <f t="shared" ca="1" si="25"/>
        <v>0</v>
      </c>
      <c r="V15" s="261">
        <v>0</v>
      </c>
      <c r="W15" s="263">
        <f>'Resumo M.O'!E9</f>
        <v>0</v>
      </c>
      <c r="X15" s="263">
        <v>0</v>
      </c>
      <c r="Y15" s="263">
        <f>'Resumo Custos Variáveis'!$G$21</f>
        <v>0</v>
      </c>
      <c r="Z15" s="63">
        <f>'Outros Custos'!$E$31</f>
        <v>0</v>
      </c>
      <c r="AA15" s="63">
        <f>Transporte!$E$20</f>
        <v>0</v>
      </c>
      <c r="AB15" s="63">
        <f>Manutenção!$E$21</f>
        <v>0</v>
      </c>
      <c r="AC15" s="263">
        <f t="shared" ref="AC15" si="57">S15</f>
        <v>0</v>
      </c>
      <c r="AD15" s="63">
        <f t="shared" si="44"/>
        <v>0</v>
      </c>
      <c r="AE15" s="264">
        <f t="shared" ca="1" si="26"/>
        <v>0</v>
      </c>
      <c r="AF15" s="261">
        <v>0</v>
      </c>
      <c r="AG15" s="262">
        <f>'Resumo M.O'!F9</f>
        <v>0</v>
      </c>
      <c r="AH15" s="262">
        <v>0</v>
      </c>
      <c r="AI15" s="262">
        <f>'Resumo Custos Variáveis'!$H$21</f>
        <v>0</v>
      </c>
      <c r="AJ15" s="261">
        <f>'Outros Custos'!$F$31</f>
        <v>0</v>
      </c>
      <c r="AK15" s="261">
        <f>Transporte!$F$20</f>
        <v>0</v>
      </c>
      <c r="AL15" s="261">
        <f>Manutenção!$F$21</f>
        <v>0</v>
      </c>
      <c r="AM15" s="262">
        <f t="shared" ref="AM15" si="58">AC15</f>
        <v>0</v>
      </c>
      <c r="AN15" s="261">
        <f t="shared" si="45"/>
        <v>0</v>
      </c>
      <c r="AO15" s="264">
        <f ca="1">IF(L2&gt;=1,AN15/$A$5,0)</f>
        <v>0</v>
      </c>
      <c r="AP15" s="261">
        <v>0</v>
      </c>
      <c r="AQ15" s="262">
        <f>'Resumo M.O'!G9</f>
        <v>0</v>
      </c>
      <c r="AR15" s="262">
        <v>0</v>
      </c>
      <c r="AS15" s="262">
        <f>'Resumo Custos Variáveis'!$I$21</f>
        <v>0</v>
      </c>
      <c r="AT15" s="261">
        <f>'Outros Custos'!$G$31</f>
        <v>0</v>
      </c>
      <c r="AU15" s="261">
        <f>Transporte!$G$20</f>
        <v>0</v>
      </c>
      <c r="AV15" s="261">
        <f>Manutenção!$G$21</f>
        <v>0</v>
      </c>
      <c r="AW15" s="262">
        <f t="shared" ref="AW15" si="59">AM15</f>
        <v>0</v>
      </c>
      <c r="AX15" s="261">
        <f t="shared" si="46"/>
        <v>0</v>
      </c>
      <c r="AY15" s="264">
        <f ca="1">IF(L2&gt;=1,AX15/$A$5,0)</f>
        <v>0</v>
      </c>
      <c r="AZ15" s="261">
        <v>0</v>
      </c>
      <c r="BA15" s="262">
        <f>'Resumo M.O'!H9</f>
        <v>0</v>
      </c>
      <c r="BB15" s="262">
        <v>0</v>
      </c>
      <c r="BC15" s="262">
        <f>'Resumo Custos Variáveis'!$J$21</f>
        <v>0</v>
      </c>
      <c r="BD15" s="261">
        <f>'Outros Custos'!$H$31</f>
        <v>0</v>
      </c>
      <c r="BE15" s="261">
        <f>Transporte!$H$20</f>
        <v>0</v>
      </c>
      <c r="BF15" s="261">
        <f>Manutenção!$H$21</f>
        <v>0</v>
      </c>
      <c r="BG15" s="262">
        <f t="shared" ref="BG15" si="60">AW15</f>
        <v>0</v>
      </c>
      <c r="BH15" s="261">
        <f t="shared" si="47"/>
        <v>0</v>
      </c>
      <c r="BI15" s="264">
        <f t="shared" ca="1" si="50"/>
        <v>0</v>
      </c>
      <c r="BJ15" s="261">
        <v>0</v>
      </c>
      <c r="BK15" s="262">
        <f>'Resumo M.O'!I9</f>
        <v>0</v>
      </c>
      <c r="BL15" s="262">
        <v>0</v>
      </c>
      <c r="BM15" s="262">
        <f>'Resumo Custos Variáveis'!$K$21</f>
        <v>0</v>
      </c>
      <c r="BN15" s="261">
        <f>'Outros Custos'!$I$31</f>
        <v>0</v>
      </c>
      <c r="BO15" s="261">
        <f>Transporte!$I$20</f>
        <v>0</v>
      </c>
      <c r="BP15" s="261">
        <f>Manutenção!$I$21</f>
        <v>0</v>
      </c>
      <c r="BQ15" s="262">
        <f t="shared" ref="BQ15" si="61">BG15</f>
        <v>0</v>
      </c>
      <c r="BR15" s="261">
        <f t="shared" si="48"/>
        <v>0</v>
      </c>
      <c r="BS15" s="264">
        <f t="shared" ca="1" si="51"/>
        <v>0</v>
      </c>
      <c r="BT15" s="261">
        <v>0</v>
      </c>
      <c r="BU15" s="262">
        <f>'Resumo M.O'!J9</f>
        <v>0</v>
      </c>
      <c r="BV15" s="262">
        <v>0</v>
      </c>
      <c r="BW15" s="262">
        <f>'Resumo Custos Variáveis'!$L$21</f>
        <v>0</v>
      </c>
      <c r="BX15" s="261">
        <f>'Outros Custos'!$J$31</f>
        <v>0</v>
      </c>
      <c r="BY15" s="261">
        <f>Transporte!$J$20</f>
        <v>0</v>
      </c>
      <c r="BZ15" s="261">
        <f>Manutenção!$J$21</f>
        <v>0</v>
      </c>
      <c r="CA15" s="262">
        <f t="shared" ref="CA15" si="62">BQ15</f>
        <v>0</v>
      </c>
      <c r="CB15" s="261">
        <f t="shared" si="49"/>
        <v>0</v>
      </c>
      <c r="CC15" s="264">
        <f t="shared" ca="1" si="52"/>
        <v>0</v>
      </c>
      <c r="CD15" s="261">
        <v>0</v>
      </c>
      <c r="CE15" s="262">
        <f>'Resumo M.O'!K9</f>
        <v>0</v>
      </c>
      <c r="CF15" s="262">
        <v>0</v>
      </c>
      <c r="CG15" s="262">
        <v>0</v>
      </c>
      <c r="CH15" s="261">
        <v>0</v>
      </c>
      <c r="CI15" s="261">
        <f>Transporte!$K$20</f>
        <v>0</v>
      </c>
      <c r="CJ15" s="261">
        <v>0</v>
      </c>
      <c r="CK15" s="262">
        <f t="shared" ref="CK15" si="63">CA15</f>
        <v>0</v>
      </c>
      <c r="CL15" s="261">
        <f t="shared" si="27"/>
        <v>0</v>
      </c>
      <c r="CM15" s="264">
        <f t="shared" ref="CM15" si="64">IF(L4&gt;=1,CL15/$A$5,0)</f>
        <v>0</v>
      </c>
      <c r="CN15" s="261">
        <v>0</v>
      </c>
      <c r="CO15" s="262">
        <f>'Resumo M.O'!L9</f>
        <v>0</v>
      </c>
      <c r="CP15" s="262">
        <v>0</v>
      </c>
      <c r="CQ15" s="262">
        <f>'Resumo Custos Variáveis'!$N$21</f>
        <v>0</v>
      </c>
      <c r="CR15" s="261">
        <f>'Outros Custos'!$L$31</f>
        <v>0</v>
      </c>
      <c r="CS15" s="261">
        <f>Transporte!$L$20</f>
        <v>0</v>
      </c>
      <c r="CT15" s="261">
        <v>0</v>
      </c>
      <c r="CU15" s="262">
        <f t="shared" ref="CU15" si="65">CK15</f>
        <v>0</v>
      </c>
      <c r="CV15" s="261">
        <f t="shared" si="28"/>
        <v>0</v>
      </c>
      <c r="CW15" s="264">
        <f t="shared" ca="1" si="53"/>
        <v>0</v>
      </c>
      <c r="CX15" s="261">
        <v>0</v>
      </c>
      <c r="CY15" s="262">
        <f>'Resumo M.O'!M9</f>
        <v>0</v>
      </c>
      <c r="CZ15" s="262">
        <v>0</v>
      </c>
      <c r="DA15" s="262">
        <f>'Resumo Custos Variáveis'!$O$21</f>
        <v>0</v>
      </c>
      <c r="DB15" s="261">
        <f>'Outros Custos'!$M$31</f>
        <v>0</v>
      </c>
      <c r="DC15" s="261">
        <f>Transporte!$M$20</f>
        <v>0</v>
      </c>
      <c r="DD15" s="261">
        <v>0</v>
      </c>
      <c r="DE15" s="262">
        <f t="shared" ref="DE15" si="66">CU15</f>
        <v>0</v>
      </c>
      <c r="DF15" s="261">
        <f t="shared" si="29"/>
        <v>0</v>
      </c>
      <c r="DG15" s="264">
        <f t="shared" ca="1" si="54"/>
        <v>0</v>
      </c>
      <c r="DH15" s="261">
        <v>0</v>
      </c>
      <c r="DI15" s="263">
        <f>'Resumo M.O'!N9</f>
        <v>0</v>
      </c>
      <c r="DJ15" s="263">
        <v>0</v>
      </c>
      <c r="DK15" s="263">
        <f>'Resumo Custos Variáveis'!$P$21</f>
        <v>0</v>
      </c>
      <c r="DL15" s="63">
        <f>'Outros Custos'!$N$31</f>
        <v>0</v>
      </c>
      <c r="DM15" s="63">
        <f>Transporte!$N$20</f>
        <v>0</v>
      </c>
      <c r="DN15" s="63">
        <v>0</v>
      </c>
      <c r="DO15" s="263">
        <f t="shared" ref="DO15" si="67">DE15</f>
        <v>0</v>
      </c>
      <c r="DP15" s="63">
        <f t="shared" si="30"/>
        <v>0</v>
      </c>
      <c r="DQ15" s="264">
        <f t="shared" ca="1" si="55"/>
        <v>0</v>
      </c>
      <c r="DS15" s="261">
        <f t="shared" ca="1" si="11"/>
        <v>0</v>
      </c>
      <c r="DT15" s="261">
        <f t="shared" ca="1" si="12"/>
        <v>0</v>
      </c>
      <c r="DU15" s="261">
        <f t="shared" ca="1" si="13"/>
        <v>0</v>
      </c>
      <c r="DV15" s="261">
        <f t="shared" ca="1" si="14"/>
        <v>0</v>
      </c>
      <c r="DW15" s="261">
        <f t="shared" ca="1" si="15"/>
        <v>0</v>
      </c>
      <c r="DX15" s="261">
        <f t="shared" ca="1" si="16"/>
        <v>0</v>
      </c>
      <c r="DY15" s="261">
        <f t="shared" ca="1" si="17"/>
        <v>0</v>
      </c>
      <c r="DZ15" s="261">
        <f ca="1">CC15</f>
        <v>0</v>
      </c>
      <c r="EA15" s="261">
        <f t="shared" si="19"/>
        <v>0</v>
      </c>
      <c r="EB15" s="261">
        <f t="shared" ca="1" si="20"/>
        <v>0</v>
      </c>
      <c r="EC15" s="261">
        <f t="shared" ca="1" si="21"/>
        <v>0</v>
      </c>
      <c r="ED15" s="261">
        <f t="shared" ca="1" si="22"/>
        <v>0</v>
      </c>
      <c r="EF15" s="265">
        <f t="shared" si="31"/>
        <v>0</v>
      </c>
      <c r="EG15" s="265">
        <f t="shared" si="32"/>
        <v>0</v>
      </c>
      <c r="EH15" s="265">
        <f t="shared" si="33"/>
        <v>0</v>
      </c>
      <c r="EI15" s="265">
        <f t="shared" si="34"/>
        <v>0</v>
      </c>
      <c r="EJ15" s="265">
        <f t="shared" si="35"/>
        <v>0</v>
      </c>
      <c r="EK15" s="265">
        <f t="shared" si="36"/>
        <v>0</v>
      </c>
      <c r="EL15" s="265">
        <f t="shared" si="37"/>
        <v>0</v>
      </c>
      <c r="EM15" s="265">
        <f t="shared" si="38"/>
        <v>0</v>
      </c>
      <c r="EN15" s="265">
        <f t="shared" si="39"/>
        <v>0</v>
      </c>
      <c r="EO15" s="265">
        <f t="shared" si="40"/>
        <v>0</v>
      </c>
      <c r="EP15" s="265">
        <f t="shared" si="41"/>
        <v>0</v>
      </c>
      <c r="EQ15" s="265">
        <f t="shared" si="42"/>
        <v>0</v>
      </c>
    </row>
    <row r="16" spans="1:147" x14ac:dyDescent="0.3">
      <c r="A16" s="266"/>
      <c r="B16" s="261"/>
      <c r="C16" s="261"/>
      <c r="D16" s="262"/>
      <c r="E16" s="263"/>
      <c r="F16" s="261"/>
      <c r="G16" s="261"/>
      <c r="H16" s="261"/>
      <c r="I16" s="262"/>
      <c r="J16" s="261"/>
      <c r="K16" s="264"/>
      <c r="L16" s="261"/>
      <c r="M16" s="261"/>
      <c r="N16" s="262"/>
      <c r="O16" s="262"/>
      <c r="P16" s="261"/>
      <c r="Q16" s="261"/>
      <c r="R16" s="261"/>
      <c r="S16" s="262"/>
      <c r="T16" s="261"/>
      <c r="U16" s="264"/>
      <c r="V16" s="261"/>
      <c r="W16" s="63"/>
      <c r="X16" s="263"/>
      <c r="Y16" s="263"/>
      <c r="Z16" s="63"/>
      <c r="AA16" s="63"/>
      <c r="AB16" s="63"/>
      <c r="AC16" s="263"/>
      <c r="AD16" s="63"/>
      <c r="AE16" s="264"/>
      <c r="AF16" s="261"/>
      <c r="AG16" s="261"/>
      <c r="AH16" s="262"/>
      <c r="AI16" s="262"/>
      <c r="AJ16" s="261"/>
      <c r="AK16" s="261"/>
      <c r="AL16" s="261"/>
      <c r="AM16" s="262"/>
      <c r="AN16" s="261"/>
      <c r="AO16" s="264"/>
      <c r="AP16" s="261"/>
      <c r="AQ16" s="261"/>
      <c r="AR16" s="262"/>
      <c r="AS16" s="262"/>
      <c r="AT16" s="261"/>
      <c r="AU16" s="261"/>
      <c r="AV16" s="261"/>
      <c r="AW16" s="262"/>
      <c r="AX16" s="261"/>
      <c r="AY16" s="264"/>
      <c r="AZ16" s="261"/>
      <c r="BA16" s="261"/>
      <c r="BB16" s="262"/>
      <c r="BC16" s="262"/>
      <c r="BD16" s="261"/>
      <c r="BE16" s="261"/>
      <c r="BF16" s="261"/>
      <c r="BG16" s="262"/>
      <c r="BH16" s="261"/>
      <c r="BI16" s="264"/>
      <c r="BJ16" s="261"/>
      <c r="BK16" s="261"/>
      <c r="BL16" s="262"/>
      <c r="BM16" s="262"/>
      <c r="BN16" s="261"/>
      <c r="BO16" s="261"/>
      <c r="BP16" s="261"/>
      <c r="BQ16" s="262"/>
      <c r="BR16" s="261"/>
      <c r="BS16" s="264"/>
      <c r="BT16" s="261"/>
      <c r="BU16" s="261"/>
      <c r="BV16" s="262"/>
      <c r="BW16" s="262"/>
      <c r="BX16" s="261"/>
      <c r="BY16" s="261"/>
      <c r="BZ16" s="261"/>
      <c r="CA16" s="262"/>
      <c r="CB16" s="261"/>
      <c r="CC16" s="264"/>
      <c r="CD16" s="261"/>
      <c r="CE16" s="261"/>
      <c r="CF16" s="262"/>
      <c r="CG16" s="262"/>
      <c r="CH16" s="261"/>
      <c r="CI16" s="261"/>
      <c r="CJ16" s="261"/>
      <c r="CK16" s="262"/>
      <c r="CL16" s="261"/>
      <c r="CM16" s="264"/>
      <c r="CN16" s="261"/>
      <c r="CO16" s="261"/>
      <c r="CP16" s="262"/>
      <c r="CQ16" s="262"/>
      <c r="CR16" s="261"/>
      <c r="CS16" s="261"/>
      <c r="CT16" s="261"/>
      <c r="CU16" s="262"/>
      <c r="CV16" s="261"/>
      <c r="CW16" s="264"/>
      <c r="CX16" s="261"/>
      <c r="CY16" s="261"/>
      <c r="CZ16" s="262"/>
      <c r="DA16" s="262"/>
      <c r="DB16" s="261"/>
      <c r="DC16" s="261"/>
      <c r="DD16" s="261"/>
      <c r="DE16" s="262"/>
      <c r="DF16" s="261"/>
      <c r="DG16" s="264"/>
      <c r="DH16" s="261"/>
      <c r="DI16" s="63"/>
      <c r="DJ16" s="263"/>
      <c r="DK16" s="263"/>
      <c r="DL16" s="63"/>
      <c r="DM16" s="63"/>
      <c r="DN16" s="63"/>
      <c r="DO16" s="263"/>
      <c r="DP16" s="63"/>
      <c r="DQ16" s="264"/>
      <c r="DS16" s="261"/>
      <c r="DT16" s="261"/>
      <c r="DU16" s="261"/>
      <c r="DV16" s="261"/>
      <c r="DW16" s="261"/>
      <c r="DX16" s="261"/>
      <c r="DY16" s="261"/>
      <c r="DZ16" s="261"/>
      <c r="EA16" s="261"/>
      <c r="EB16" s="261"/>
      <c r="EC16" s="261"/>
      <c r="ED16" s="261"/>
      <c r="EF16" s="261"/>
      <c r="EG16" s="261"/>
      <c r="EH16" s="261"/>
      <c r="EI16" s="261"/>
      <c r="EJ16" s="261"/>
      <c r="EK16" s="261"/>
      <c r="EL16" s="261"/>
      <c r="EM16" s="261"/>
      <c r="EN16" s="261"/>
      <c r="EO16" s="261"/>
      <c r="EP16" s="261"/>
      <c r="EQ16" s="261"/>
    </row>
    <row r="17" spans="1:147" x14ac:dyDescent="0.3">
      <c r="A17" s="266"/>
      <c r="B17" s="261"/>
      <c r="C17" s="261"/>
      <c r="D17" s="262"/>
      <c r="E17" s="263"/>
      <c r="F17" s="261"/>
      <c r="G17" s="261"/>
      <c r="H17" s="261"/>
      <c r="I17" s="262"/>
      <c r="J17" s="261"/>
      <c r="K17" s="264"/>
      <c r="L17" s="261"/>
      <c r="M17" s="261"/>
      <c r="N17" s="262"/>
      <c r="O17" s="262"/>
      <c r="P17" s="261"/>
      <c r="Q17" s="261"/>
      <c r="R17" s="261"/>
      <c r="S17" s="262"/>
      <c r="T17" s="261"/>
      <c r="U17" s="264"/>
      <c r="V17" s="261"/>
      <c r="W17" s="63"/>
      <c r="X17" s="263"/>
      <c r="Y17" s="263"/>
      <c r="Z17" s="63"/>
      <c r="AA17" s="63"/>
      <c r="AB17" s="63"/>
      <c r="AC17" s="263"/>
      <c r="AD17" s="63"/>
      <c r="AE17" s="264"/>
      <c r="AF17" s="261"/>
      <c r="AG17" s="261"/>
      <c r="AH17" s="262"/>
      <c r="AI17" s="262"/>
      <c r="AJ17" s="261"/>
      <c r="AK17" s="261"/>
      <c r="AL17" s="261"/>
      <c r="AM17" s="262"/>
      <c r="AN17" s="261"/>
      <c r="AO17" s="264"/>
      <c r="AP17" s="261"/>
      <c r="AQ17" s="261"/>
      <c r="AR17" s="262"/>
      <c r="AS17" s="262"/>
      <c r="AT17" s="261"/>
      <c r="AU17" s="261"/>
      <c r="AV17" s="261"/>
      <c r="AW17" s="262"/>
      <c r="AX17" s="261"/>
      <c r="AY17" s="264"/>
      <c r="AZ17" s="261"/>
      <c r="BA17" s="261"/>
      <c r="BB17" s="262"/>
      <c r="BC17" s="262"/>
      <c r="BD17" s="261"/>
      <c r="BE17" s="261"/>
      <c r="BF17" s="261"/>
      <c r="BG17" s="262"/>
      <c r="BH17" s="261"/>
      <c r="BI17" s="264"/>
      <c r="BJ17" s="261"/>
      <c r="BK17" s="261"/>
      <c r="BL17" s="262"/>
      <c r="BM17" s="262"/>
      <c r="BN17" s="261"/>
      <c r="BO17" s="261"/>
      <c r="BP17" s="261"/>
      <c r="BQ17" s="262"/>
      <c r="BR17" s="261"/>
      <c r="BS17" s="264"/>
      <c r="BT17" s="261"/>
      <c r="BU17" s="261"/>
      <c r="BV17" s="262"/>
      <c r="BW17" s="262"/>
      <c r="BX17" s="261"/>
      <c r="BY17" s="261"/>
      <c r="BZ17" s="261"/>
      <c r="CA17" s="262"/>
      <c r="CB17" s="261"/>
      <c r="CC17" s="264"/>
      <c r="CD17" s="261"/>
      <c r="CE17" s="261"/>
      <c r="CF17" s="262"/>
      <c r="CG17" s="262"/>
      <c r="CH17" s="261"/>
      <c r="CI17" s="261"/>
      <c r="CJ17" s="261"/>
      <c r="CK17" s="262"/>
      <c r="CL17" s="261"/>
      <c r="CM17" s="264"/>
      <c r="CN17" s="261"/>
      <c r="CO17" s="261"/>
      <c r="CP17" s="262"/>
      <c r="CQ17" s="262"/>
      <c r="CR17" s="261"/>
      <c r="CS17" s="261"/>
      <c r="CT17" s="261"/>
      <c r="CU17" s="262"/>
      <c r="CV17" s="261"/>
      <c r="CW17" s="264"/>
      <c r="CX17" s="261"/>
      <c r="CY17" s="261"/>
      <c r="CZ17" s="262"/>
      <c r="DA17" s="262"/>
      <c r="DB17" s="261"/>
      <c r="DC17" s="261"/>
      <c r="DD17" s="261"/>
      <c r="DE17" s="262"/>
      <c r="DF17" s="261"/>
      <c r="DG17" s="264"/>
      <c r="DH17" s="261"/>
      <c r="DI17" s="63"/>
      <c r="DJ17" s="263"/>
      <c r="DK17" s="263"/>
      <c r="DL17" s="63"/>
      <c r="DM17" s="63"/>
      <c r="DN17" s="63"/>
      <c r="DO17" s="263"/>
      <c r="DP17" s="63"/>
      <c r="DQ17" s="264"/>
      <c r="DS17" s="261"/>
      <c r="DT17" s="261"/>
      <c r="DU17" s="261"/>
      <c r="DV17" s="261"/>
      <c r="DW17" s="261"/>
      <c r="DX17" s="261"/>
      <c r="DY17" s="261"/>
      <c r="DZ17" s="261"/>
      <c r="EA17" s="261"/>
      <c r="EB17" s="261"/>
      <c r="EC17" s="261"/>
      <c r="ED17" s="261"/>
      <c r="EF17" s="261"/>
      <c r="EG17" s="261"/>
      <c r="EH17" s="261"/>
      <c r="EI17" s="261"/>
      <c r="EJ17" s="261"/>
      <c r="EK17" s="261"/>
      <c r="EL17" s="261"/>
      <c r="EM17" s="261"/>
      <c r="EN17" s="261"/>
      <c r="EO17" s="261"/>
      <c r="EP17" s="261"/>
      <c r="EQ17" s="261"/>
    </row>
    <row r="18" spans="1:147" x14ac:dyDescent="0.3">
      <c r="A18" s="267"/>
      <c r="B18" s="261"/>
      <c r="C18" s="261"/>
      <c r="D18" s="262"/>
      <c r="E18" s="263"/>
      <c r="F18" s="261"/>
      <c r="G18" s="261"/>
      <c r="H18" s="261"/>
      <c r="I18" s="262"/>
      <c r="J18" s="261"/>
      <c r="K18" s="264"/>
      <c r="L18" s="261"/>
      <c r="M18" s="261"/>
      <c r="N18" s="262"/>
      <c r="O18" s="262"/>
      <c r="P18" s="261"/>
      <c r="Q18" s="261"/>
      <c r="R18" s="261"/>
      <c r="S18" s="262"/>
      <c r="T18" s="261"/>
      <c r="U18" s="264"/>
      <c r="V18" s="261"/>
      <c r="W18" s="63"/>
      <c r="X18" s="263"/>
      <c r="Y18" s="263"/>
      <c r="Z18" s="63"/>
      <c r="AA18" s="63"/>
      <c r="AB18" s="63"/>
      <c r="AC18" s="263"/>
      <c r="AD18" s="63"/>
      <c r="AE18" s="264"/>
      <c r="AF18" s="261"/>
      <c r="AG18" s="261"/>
      <c r="AH18" s="262"/>
      <c r="AI18" s="262"/>
      <c r="AJ18" s="261"/>
      <c r="AK18" s="261"/>
      <c r="AL18" s="261"/>
      <c r="AM18" s="262"/>
      <c r="AN18" s="261"/>
      <c r="AO18" s="264"/>
      <c r="AP18" s="261"/>
      <c r="AQ18" s="261"/>
      <c r="AR18" s="262"/>
      <c r="AS18" s="262"/>
      <c r="AT18" s="261"/>
      <c r="AU18" s="261"/>
      <c r="AV18" s="261"/>
      <c r="AW18" s="262"/>
      <c r="AX18" s="261"/>
      <c r="AY18" s="264"/>
      <c r="AZ18" s="261"/>
      <c r="BA18" s="261"/>
      <c r="BB18" s="262"/>
      <c r="BC18" s="262"/>
      <c r="BD18" s="261"/>
      <c r="BE18" s="261"/>
      <c r="BF18" s="261"/>
      <c r="BG18" s="262"/>
      <c r="BH18" s="261"/>
      <c r="BI18" s="264"/>
      <c r="BJ18" s="261"/>
      <c r="BK18" s="261"/>
      <c r="BL18" s="262"/>
      <c r="BM18" s="262"/>
      <c r="BN18" s="261"/>
      <c r="BO18" s="261"/>
      <c r="BP18" s="261"/>
      <c r="BQ18" s="262"/>
      <c r="BR18" s="261"/>
      <c r="BS18" s="264"/>
      <c r="BT18" s="261"/>
      <c r="BU18" s="261"/>
      <c r="BV18" s="262"/>
      <c r="BW18" s="262"/>
      <c r="BX18" s="261"/>
      <c r="BY18" s="261"/>
      <c r="BZ18" s="261"/>
      <c r="CA18" s="262"/>
      <c r="CB18" s="261"/>
      <c r="CC18" s="264"/>
      <c r="CD18" s="261"/>
      <c r="CE18" s="261"/>
      <c r="CF18" s="262"/>
      <c r="CG18" s="262"/>
      <c r="CH18" s="261"/>
      <c r="CI18" s="261"/>
      <c r="CJ18" s="261"/>
      <c r="CK18" s="262"/>
      <c r="CL18" s="261"/>
      <c r="CM18" s="264"/>
      <c r="CN18" s="261"/>
      <c r="CO18" s="261"/>
      <c r="CP18" s="262"/>
      <c r="CQ18" s="262"/>
      <c r="CR18" s="261"/>
      <c r="CS18" s="261"/>
      <c r="CT18" s="261"/>
      <c r="CU18" s="262"/>
      <c r="CV18" s="261"/>
      <c r="CW18" s="264"/>
      <c r="CX18" s="261"/>
      <c r="CY18" s="261"/>
      <c r="CZ18" s="262"/>
      <c r="DA18" s="262"/>
      <c r="DB18" s="261"/>
      <c r="DC18" s="261"/>
      <c r="DD18" s="261"/>
      <c r="DE18" s="262"/>
      <c r="DF18" s="261"/>
      <c r="DG18" s="264"/>
      <c r="DH18" s="261"/>
      <c r="DI18" s="63"/>
      <c r="DJ18" s="263"/>
      <c r="DK18" s="263"/>
      <c r="DL18" s="63"/>
      <c r="DM18" s="63"/>
      <c r="DN18" s="63"/>
      <c r="DO18" s="263"/>
      <c r="DP18" s="63"/>
      <c r="DQ18" s="264"/>
      <c r="DS18" s="261"/>
      <c r="DT18" s="261"/>
      <c r="DU18" s="261"/>
      <c r="DV18" s="261"/>
      <c r="DW18" s="261"/>
      <c r="DX18" s="261"/>
      <c r="DY18" s="261"/>
      <c r="DZ18" s="261"/>
      <c r="EA18" s="261"/>
      <c r="EB18" s="261"/>
      <c r="EC18" s="261"/>
      <c r="ED18" s="261"/>
      <c r="EF18" s="261"/>
      <c r="EG18" s="261"/>
      <c r="EH18" s="261"/>
      <c r="EI18" s="261"/>
      <c r="EJ18" s="261"/>
      <c r="EK18" s="261"/>
      <c r="EL18" s="261"/>
      <c r="EM18" s="261"/>
      <c r="EN18" s="261"/>
      <c r="EO18" s="261"/>
      <c r="EP18" s="261"/>
      <c r="EQ18" s="261"/>
    </row>
    <row r="19" spans="1:147" x14ac:dyDescent="0.3">
      <c r="A19" s="266"/>
      <c r="B19" s="261"/>
      <c r="C19" s="261"/>
      <c r="D19" s="262"/>
      <c r="E19" s="263"/>
      <c r="F19" s="261"/>
      <c r="G19" s="261"/>
      <c r="H19" s="261"/>
      <c r="I19" s="262"/>
      <c r="J19" s="261"/>
      <c r="K19" s="264"/>
      <c r="L19" s="261"/>
      <c r="M19" s="261"/>
      <c r="N19" s="262"/>
      <c r="O19" s="262"/>
      <c r="P19" s="261"/>
      <c r="Q19" s="261"/>
      <c r="R19" s="261"/>
      <c r="S19" s="262"/>
      <c r="T19" s="261"/>
      <c r="U19" s="264"/>
      <c r="V19" s="261"/>
      <c r="W19" s="63"/>
      <c r="X19" s="263"/>
      <c r="Y19" s="263"/>
      <c r="Z19" s="63"/>
      <c r="AA19" s="63"/>
      <c r="AB19" s="63"/>
      <c r="AC19" s="263"/>
      <c r="AD19" s="63"/>
      <c r="AE19" s="264"/>
      <c r="AF19" s="261"/>
      <c r="AG19" s="261"/>
      <c r="AH19" s="262"/>
      <c r="AI19" s="262"/>
      <c r="AJ19" s="261"/>
      <c r="AK19" s="261"/>
      <c r="AL19" s="261"/>
      <c r="AM19" s="262"/>
      <c r="AN19" s="261"/>
      <c r="AO19" s="264"/>
      <c r="AP19" s="261"/>
      <c r="AQ19" s="261"/>
      <c r="AR19" s="262"/>
      <c r="AS19" s="262"/>
      <c r="AT19" s="261"/>
      <c r="AU19" s="261"/>
      <c r="AV19" s="261"/>
      <c r="AW19" s="262"/>
      <c r="AX19" s="261"/>
      <c r="AY19" s="264"/>
      <c r="AZ19" s="261"/>
      <c r="BA19" s="261"/>
      <c r="BB19" s="262"/>
      <c r="BC19" s="262"/>
      <c r="BD19" s="261"/>
      <c r="BE19" s="261"/>
      <c r="BF19" s="261"/>
      <c r="BG19" s="262"/>
      <c r="BH19" s="261"/>
      <c r="BI19" s="264"/>
      <c r="BJ19" s="261"/>
      <c r="BK19" s="261"/>
      <c r="BL19" s="262"/>
      <c r="BM19" s="262"/>
      <c r="BN19" s="261"/>
      <c r="BO19" s="261"/>
      <c r="BP19" s="261"/>
      <c r="BQ19" s="262"/>
      <c r="BR19" s="261"/>
      <c r="BS19" s="264"/>
      <c r="BT19" s="261"/>
      <c r="BU19" s="261"/>
      <c r="BV19" s="262"/>
      <c r="BW19" s="262"/>
      <c r="BX19" s="261"/>
      <c r="BY19" s="261"/>
      <c r="BZ19" s="261"/>
      <c r="CA19" s="262"/>
      <c r="CB19" s="261"/>
      <c r="CC19" s="264"/>
      <c r="CD19" s="261"/>
      <c r="CE19" s="261"/>
      <c r="CF19" s="262"/>
      <c r="CG19" s="262"/>
      <c r="CH19" s="261"/>
      <c r="CI19" s="261"/>
      <c r="CJ19" s="261"/>
      <c r="CK19" s="262"/>
      <c r="CL19" s="261"/>
      <c r="CM19" s="264"/>
      <c r="CN19" s="261"/>
      <c r="CO19" s="261"/>
      <c r="CP19" s="262"/>
      <c r="CQ19" s="262"/>
      <c r="CR19" s="261"/>
      <c r="CS19" s="261"/>
      <c r="CT19" s="261"/>
      <c r="CU19" s="262"/>
      <c r="CV19" s="261"/>
      <c r="CW19" s="264"/>
      <c r="CX19" s="261"/>
      <c r="CY19" s="261"/>
      <c r="CZ19" s="262"/>
      <c r="DA19" s="262"/>
      <c r="DB19" s="261"/>
      <c r="DC19" s="261"/>
      <c r="DD19" s="261"/>
      <c r="DE19" s="262"/>
      <c r="DF19" s="261"/>
      <c r="DG19" s="264"/>
      <c r="DH19" s="261"/>
      <c r="DI19" s="63"/>
      <c r="DJ19" s="263"/>
      <c r="DK19" s="263"/>
      <c r="DL19" s="63"/>
      <c r="DM19" s="63"/>
      <c r="DN19" s="63"/>
      <c r="DO19" s="263"/>
      <c r="DP19" s="63"/>
      <c r="DQ19" s="264"/>
      <c r="DS19" s="261"/>
      <c r="DT19" s="261"/>
      <c r="DU19" s="261"/>
      <c r="DV19" s="261"/>
      <c r="DW19" s="261"/>
      <c r="DX19" s="261"/>
      <c r="DY19" s="261"/>
      <c r="DZ19" s="261"/>
      <c r="EA19" s="261"/>
      <c r="EB19" s="261"/>
      <c r="EC19" s="261"/>
      <c r="ED19" s="261"/>
      <c r="EF19" s="261"/>
      <c r="EG19" s="261"/>
      <c r="EH19" s="261"/>
      <c r="EI19" s="261"/>
      <c r="EJ19" s="261"/>
      <c r="EK19" s="261"/>
      <c r="EL19" s="261"/>
      <c r="EM19" s="261"/>
      <c r="EN19" s="261"/>
      <c r="EO19" s="261"/>
      <c r="EP19" s="261"/>
      <c r="EQ19" s="261"/>
    </row>
    <row r="20" spans="1:147" x14ac:dyDescent="0.3">
      <c r="A20" s="267"/>
      <c r="B20" s="261"/>
      <c r="C20" s="261"/>
      <c r="D20" s="262"/>
      <c r="E20" s="263"/>
      <c r="F20" s="261"/>
      <c r="G20" s="261"/>
      <c r="H20" s="261"/>
      <c r="I20" s="262"/>
      <c r="J20" s="261"/>
      <c r="K20" s="264"/>
      <c r="L20" s="261"/>
      <c r="M20" s="261"/>
      <c r="N20" s="262"/>
      <c r="O20" s="262"/>
      <c r="P20" s="261"/>
      <c r="Q20" s="261"/>
      <c r="R20" s="261"/>
      <c r="S20" s="262"/>
      <c r="T20" s="261"/>
      <c r="U20" s="264"/>
      <c r="V20" s="261"/>
      <c r="W20" s="63"/>
      <c r="X20" s="263"/>
      <c r="Y20" s="263"/>
      <c r="Z20" s="63"/>
      <c r="AA20" s="63"/>
      <c r="AB20" s="63"/>
      <c r="AC20" s="263"/>
      <c r="AD20" s="63"/>
      <c r="AE20" s="264"/>
      <c r="AF20" s="261"/>
      <c r="AG20" s="261"/>
      <c r="AH20" s="262"/>
      <c r="AI20" s="262"/>
      <c r="AJ20" s="261"/>
      <c r="AK20" s="261"/>
      <c r="AL20" s="261"/>
      <c r="AM20" s="262"/>
      <c r="AN20" s="261"/>
      <c r="AO20" s="264"/>
      <c r="AP20" s="261"/>
      <c r="AQ20" s="261"/>
      <c r="AR20" s="262"/>
      <c r="AS20" s="262"/>
      <c r="AT20" s="261"/>
      <c r="AU20" s="261"/>
      <c r="AV20" s="261"/>
      <c r="AW20" s="262"/>
      <c r="AX20" s="261"/>
      <c r="AY20" s="264"/>
      <c r="AZ20" s="261"/>
      <c r="BA20" s="261"/>
      <c r="BB20" s="262"/>
      <c r="BC20" s="262"/>
      <c r="BD20" s="261"/>
      <c r="BE20" s="261"/>
      <c r="BF20" s="261"/>
      <c r="BG20" s="262"/>
      <c r="BH20" s="261"/>
      <c r="BI20" s="264"/>
      <c r="BJ20" s="261"/>
      <c r="BK20" s="261"/>
      <c r="BL20" s="262"/>
      <c r="BM20" s="262"/>
      <c r="BN20" s="261"/>
      <c r="BO20" s="261"/>
      <c r="BP20" s="261"/>
      <c r="BQ20" s="262"/>
      <c r="BR20" s="261"/>
      <c r="BS20" s="264"/>
      <c r="BT20" s="261"/>
      <c r="BU20" s="261"/>
      <c r="BV20" s="262"/>
      <c r="BW20" s="262"/>
      <c r="BX20" s="261"/>
      <c r="BY20" s="261"/>
      <c r="BZ20" s="261"/>
      <c r="CA20" s="262"/>
      <c r="CB20" s="261"/>
      <c r="CC20" s="264"/>
      <c r="CD20" s="261"/>
      <c r="CE20" s="261"/>
      <c r="CF20" s="262"/>
      <c r="CG20" s="262"/>
      <c r="CH20" s="261"/>
      <c r="CI20" s="261"/>
      <c r="CJ20" s="261"/>
      <c r="CK20" s="262"/>
      <c r="CL20" s="261"/>
      <c r="CM20" s="264"/>
      <c r="CN20" s="261"/>
      <c r="CO20" s="261"/>
      <c r="CP20" s="262"/>
      <c r="CQ20" s="262"/>
      <c r="CR20" s="261"/>
      <c r="CS20" s="261"/>
      <c r="CT20" s="261"/>
      <c r="CU20" s="262"/>
      <c r="CV20" s="261"/>
      <c r="CW20" s="264"/>
      <c r="CX20" s="261"/>
      <c r="CY20" s="261"/>
      <c r="CZ20" s="262"/>
      <c r="DA20" s="262"/>
      <c r="DB20" s="261"/>
      <c r="DC20" s="261"/>
      <c r="DD20" s="261"/>
      <c r="DE20" s="262"/>
      <c r="DF20" s="261"/>
      <c r="DG20" s="264"/>
      <c r="DH20" s="261"/>
      <c r="DI20" s="63"/>
      <c r="DJ20" s="263"/>
      <c r="DK20" s="263"/>
      <c r="DL20" s="63"/>
      <c r="DM20" s="63"/>
      <c r="DN20" s="63"/>
      <c r="DO20" s="263"/>
      <c r="DP20" s="63"/>
      <c r="DQ20" s="264"/>
      <c r="DS20" s="261"/>
      <c r="DT20" s="261"/>
      <c r="DU20" s="261"/>
      <c r="DV20" s="261"/>
      <c r="DW20" s="261"/>
      <c r="DX20" s="261"/>
      <c r="DY20" s="261"/>
      <c r="DZ20" s="261"/>
      <c r="EA20" s="261"/>
      <c r="EB20" s="261"/>
      <c r="EC20" s="261"/>
      <c r="ED20" s="261"/>
      <c r="EF20" s="261"/>
      <c r="EG20" s="261"/>
      <c r="EH20" s="261"/>
      <c r="EI20" s="261"/>
      <c r="EJ20" s="261"/>
      <c r="EK20" s="261"/>
      <c r="EL20" s="261"/>
      <c r="EM20" s="261"/>
      <c r="EN20" s="261"/>
      <c r="EO20" s="261"/>
      <c r="EP20" s="261"/>
      <c r="EQ20" s="261"/>
    </row>
    <row r="21" spans="1:147" x14ac:dyDescent="0.3">
      <c r="A21" s="267"/>
      <c r="B21" s="261"/>
      <c r="C21" s="261"/>
      <c r="D21" s="262"/>
      <c r="E21" s="263"/>
      <c r="F21" s="261"/>
      <c r="G21" s="261"/>
      <c r="H21" s="261"/>
      <c r="I21" s="262"/>
      <c r="J21" s="261"/>
      <c r="K21" s="264"/>
      <c r="L21" s="261"/>
      <c r="M21" s="261"/>
      <c r="N21" s="262"/>
      <c r="O21" s="262"/>
      <c r="P21" s="261"/>
      <c r="Q21" s="261"/>
      <c r="R21" s="261"/>
      <c r="S21" s="262"/>
      <c r="T21" s="261"/>
      <c r="U21" s="264"/>
      <c r="V21" s="261"/>
      <c r="W21" s="63"/>
      <c r="X21" s="263"/>
      <c r="Y21" s="263"/>
      <c r="Z21" s="63"/>
      <c r="AA21" s="63"/>
      <c r="AB21" s="63"/>
      <c r="AC21" s="263"/>
      <c r="AD21" s="63"/>
      <c r="AE21" s="264"/>
      <c r="AF21" s="261"/>
      <c r="AG21" s="261"/>
      <c r="AH21" s="262"/>
      <c r="AI21" s="262"/>
      <c r="AJ21" s="261"/>
      <c r="AK21" s="261"/>
      <c r="AL21" s="261"/>
      <c r="AM21" s="262"/>
      <c r="AN21" s="261"/>
      <c r="AO21" s="264"/>
      <c r="AP21" s="261"/>
      <c r="AQ21" s="261"/>
      <c r="AR21" s="262"/>
      <c r="AS21" s="262"/>
      <c r="AT21" s="261"/>
      <c r="AU21" s="261"/>
      <c r="AV21" s="261"/>
      <c r="AW21" s="262"/>
      <c r="AX21" s="261"/>
      <c r="AY21" s="264"/>
      <c r="AZ21" s="261"/>
      <c r="BA21" s="261"/>
      <c r="BB21" s="262"/>
      <c r="BC21" s="262"/>
      <c r="BD21" s="261"/>
      <c r="BE21" s="261"/>
      <c r="BF21" s="261"/>
      <c r="BG21" s="262"/>
      <c r="BH21" s="261"/>
      <c r="BI21" s="264"/>
      <c r="BJ21" s="261"/>
      <c r="BK21" s="261"/>
      <c r="BL21" s="262"/>
      <c r="BM21" s="262"/>
      <c r="BN21" s="261"/>
      <c r="BO21" s="261"/>
      <c r="BP21" s="261"/>
      <c r="BQ21" s="262"/>
      <c r="BR21" s="261"/>
      <c r="BS21" s="264"/>
      <c r="BT21" s="261"/>
      <c r="BU21" s="261"/>
      <c r="BV21" s="262"/>
      <c r="BW21" s="262"/>
      <c r="BX21" s="261"/>
      <c r="BY21" s="261"/>
      <c r="BZ21" s="261"/>
      <c r="CA21" s="262"/>
      <c r="CB21" s="261"/>
      <c r="CC21" s="264"/>
      <c r="CD21" s="261"/>
      <c r="CE21" s="261"/>
      <c r="CF21" s="262"/>
      <c r="CG21" s="262"/>
      <c r="CH21" s="261"/>
      <c r="CI21" s="261"/>
      <c r="CJ21" s="261"/>
      <c r="CK21" s="262"/>
      <c r="CL21" s="261"/>
      <c r="CM21" s="264"/>
      <c r="CN21" s="261"/>
      <c r="CO21" s="261"/>
      <c r="CP21" s="262"/>
      <c r="CQ21" s="262"/>
      <c r="CR21" s="261"/>
      <c r="CS21" s="261"/>
      <c r="CT21" s="261"/>
      <c r="CU21" s="262"/>
      <c r="CV21" s="261"/>
      <c r="CW21" s="264"/>
      <c r="CX21" s="261"/>
      <c r="CY21" s="261"/>
      <c r="CZ21" s="262"/>
      <c r="DA21" s="262"/>
      <c r="DB21" s="261"/>
      <c r="DC21" s="261"/>
      <c r="DD21" s="261"/>
      <c r="DE21" s="262"/>
      <c r="DF21" s="261"/>
      <c r="DG21" s="264"/>
      <c r="DH21" s="261"/>
      <c r="DI21" s="63"/>
      <c r="DJ21" s="263"/>
      <c r="DK21" s="263"/>
      <c r="DL21" s="63"/>
      <c r="DM21" s="63"/>
      <c r="DN21" s="63"/>
      <c r="DO21" s="263"/>
      <c r="DP21" s="63"/>
      <c r="DQ21" s="264"/>
      <c r="DS21" s="261"/>
      <c r="DT21" s="261"/>
      <c r="DU21" s="261"/>
      <c r="DV21" s="261"/>
      <c r="DW21" s="261"/>
      <c r="DX21" s="261"/>
      <c r="DY21" s="261"/>
      <c r="DZ21" s="261"/>
      <c r="EA21" s="261"/>
      <c r="EB21" s="261"/>
      <c r="EC21" s="261"/>
      <c r="ED21" s="261"/>
      <c r="EF21" s="261"/>
      <c r="EG21" s="261"/>
      <c r="EH21" s="261"/>
      <c r="EI21" s="261"/>
      <c r="EJ21" s="261"/>
      <c r="EK21" s="261"/>
      <c r="EL21" s="261"/>
      <c r="EM21" s="261"/>
      <c r="EN21" s="261"/>
      <c r="EO21" s="261"/>
      <c r="EP21" s="261"/>
      <c r="EQ21" s="261"/>
    </row>
    <row r="22" spans="1:147" x14ac:dyDescent="0.3">
      <c r="A22" s="268"/>
      <c r="B22" s="261"/>
      <c r="C22" s="261"/>
      <c r="D22" s="262"/>
      <c r="E22" s="263"/>
      <c r="F22" s="261"/>
      <c r="G22" s="261"/>
      <c r="H22" s="261"/>
      <c r="I22" s="262"/>
      <c r="J22" s="261"/>
      <c r="K22" s="264"/>
      <c r="L22" s="261"/>
      <c r="M22" s="261"/>
      <c r="N22" s="262"/>
      <c r="O22" s="262"/>
      <c r="P22" s="261"/>
      <c r="Q22" s="261"/>
      <c r="R22" s="261"/>
      <c r="S22" s="262"/>
      <c r="T22" s="261"/>
      <c r="U22" s="264"/>
      <c r="V22" s="261"/>
      <c r="W22" s="63"/>
      <c r="X22" s="263"/>
      <c r="Y22" s="263"/>
      <c r="Z22" s="63"/>
      <c r="AA22" s="63"/>
      <c r="AB22" s="63"/>
      <c r="AC22" s="263"/>
      <c r="AD22" s="63"/>
      <c r="AE22" s="264"/>
      <c r="AF22" s="261"/>
      <c r="AG22" s="261"/>
      <c r="AH22" s="262"/>
      <c r="AI22" s="262"/>
      <c r="AJ22" s="261"/>
      <c r="AK22" s="261"/>
      <c r="AL22" s="261"/>
      <c r="AM22" s="262"/>
      <c r="AN22" s="261"/>
      <c r="AO22" s="264"/>
      <c r="AP22" s="261"/>
      <c r="AQ22" s="261"/>
      <c r="AR22" s="262"/>
      <c r="AS22" s="262"/>
      <c r="AT22" s="261"/>
      <c r="AU22" s="261"/>
      <c r="AV22" s="261"/>
      <c r="AW22" s="262"/>
      <c r="AX22" s="261"/>
      <c r="AY22" s="264"/>
      <c r="AZ22" s="261"/>
      <c r="BA22" s="261"/>
      <c r="BB22" s="262"/>
      <c r="BC22" s="262"/>
      <c r="BD22" s="261"/>
      <c r="BE22" s="261"/>
      <c r="BF22" s="261"/>
      <c r="BG22" s="262"/>
      <c r="BH22" s="261"/>
      <c r="BI22" s="264"/>
      <c r="BJ22" s="261"/>
      <c r="BK22" s="261"/>
      <c r="BL22" s="262"/>
      <c r="BM22" s="262"/>
      <c r="BN22" s="261"/>
      <c r="BO22" s="261"/>
      <c r="BP22" s="261"/>
      <c r="BQ22" s="262"/>
      <c r="BR22" s="261"/>
      <c r="BS22" s="264"/>
      <c r="BT22" s="261"/>
      <c r="BU22" s="261"/>
      <c r="BV22" s="262"/>
      <c r="BW22" s="262"/>
      <c r="BX22" s="261"/>
      <c r="BY22" s="261"/>
      <c r="BZ22" s="261"/>
      <c r="CA22" s="262"/>
      <c r="CB22" s="261"/>
      <c r="CC22" s="264"/>
      <c r="CD22" s="261"/>
      <c r="CE22" s="261"/>
      <c r="CF22" s="262"/>
      <c r="CG22" s="262"/>
      <c r="CH22" s="261"/>
      <c r="CI22" s="261"/>
      <c r="CJ22" s="261"/>
      <c r="CK22" s="262"/>
      <c r="CL22" s="261"/>
      <c r="CM22" s="264"/>
      <c r="CN22" s="261"/>
      <c r="CO22" s="261"/>
      <c r="CP22" s="262"/>
      <c r="CQ22" s="262"/>
      <c r="CR22" s="261"/>
      <c r="CS22" s="261"/>
      <c r="CT22" s="261"/>
      <c r="CU22" s="262"/>
      <c r="CV22" s="261"/>
      <c r="CW22" s="264"/>
      <c r="CX22" s="261"/>
      <c r="CY22" s="261"/>
      <c r="CZ22" s="262"/>
      <c r="DA22" s="262"/>
      <c r="DB22" s="261"/>
      <c r="DC22" s="261"/>
      <c r="DD22" s="261"/>
      <c r="DE22" s="262"/>
      <c r="DF22" s="261"/>
      <c r="DG22" s="264"/>
      <c r="DH22" s="261"/>
      <c r="DI22" s="63"/>
      <c r="DJ22" s="263"/>
      <c r="DK22" s="263"/>
      <c r="DL22" s="63"/>
      <c r="DM22" s="63"/>
      <c r="DN22" s="63"/>
      <c r="DO22" s="263"/>
      <c r="DP22" s="63"/>
      <c r="DQ22" s="264"/>
      <c r="DS22" s="261"/>
      <c r="DT22" s="261"/>
      <c r="DU22" s="261"/>
      <c r="DV22" s="261"/>
      <c r="DW22" s="261"/>
      <c r="DX22" s="261"/>
      <c r="DY22" s="261"/>
      <c r="DZ22" s="261"/>
      <c r="EA22" s="261"/>
      <c r="EB22" s="261"/>
      <c r="EC22" s="261"/>
      <c r="ED22" s="261"/>
      <c r="EF22" s="261"/>
      <c r="EG22" s="261"/>
      <c r="EH22" s="261"/>
      <c r="EI22" s="261"/>
      <c r="EJ22" s="261"/>
      <c r="EK22" s="261"/>
      <c r="EL22" s="261"/>
      <c r="EM22" s="261"/>
      <c r="EN22" s="261"/>
      <c r="EO22" s="261"/>
      <c r="EP22" s="261"/>
      <c r="EQ22" s="261"/>
    </row>
    <row r="23" spans="1:147" x14ac:dyDescent="0.3">
      <c r="A23" s="266"/>
      <c r="B23" s="261"/>
      <c r="C23" s="261"/>
      <c r="D23" s="262"/>
      <c r="E23" s="263"/>
      <c r="F23" s="261"/>
      <c r="G23" s="261"/>
      <c r="H23" s="261"/>
      <c r="I23" s="262"/>
      <c r="J23" s="261"/>
      <c r="K23" s="264"/>
      <c r="L23" s="261"/>
      <c r="M23" s="261"/>
      <c r="N23" s="262"/>
      <c r="O23" s="262"/>
      <c r="P23" s="261"/>
      <c r="Q23" s="261"/>
      <c r="R23" s="261"/>
      <c r="S23" s="262"/>
      <c r="T23" s="261"/>
      <c r="U23" s="264"/>
      <c r="V23" s="261"/>
      <c r="W23" s="63"/>
      <c r="X23" s="263"/>
      <c r="Y23" s="263"/>
      <c r="Z23" s="63"/>
      <c r="AA23" s="63"/>
      <c r="AB23" s="63"/>
      <c r="AC23" s="263"/>
      <c r="AD23" s="63"/>
      <c r="AE23" s="264"/>
      <c r="AF23" s="261"/>
      <c r="AG23" s="261"/>
      <c r="AH23" s="262"/>
      <c r="AI23" s="262"/>
      <c r="AJ23" s="261"/>
      <c r="AK23" s="261"/>
      <c r="AL23" s="261"/>
      <c r="AM23" s="262"/>
      <c r="AN23" s="261"/>
      <c r="AO23" s="264"/>
      <c r="AP23" s="261"/>
      <c r="AQ23" s="261"/>
      <c r="AR23" s="262"/>
      <c r="AS23" s="262"/>
      <c r="AT23" s="261"/>
      <c r="AU23" s="261"/>
      <c r="AV23" s="261"/>
      <c r="AW23" s="262"/>
      <c r="AX23" s="261"/>
      <c r="AY23" s="264"/>
      <c r="AZ23" s="261"/>
      <c r="BA23" s="261"/>
      <c r="BB23" s="262"/>
      <c r="BC23" s="262"/>
      <c r="BD23" s="261"/>
      <c r="BE23" s="261"/>
      <c r="BF23" s="261"/>
      <c r="BG23" s="262"/>
      <c r="BH23" s="261"/>
      <c r="BI23" s="264"/>
      <c r="BJ23" s="261"/>
      <c r="BK23" s="261"/>
      <c r="BL23" s="262"/>
      <c r="BM23" s="262"/>
      <c r="BN23" s="261"/>
      <c r="BO23" s="261"/>
      <c r="BP23" s="261"/>
      <c r="BQ23" s="262"/>
      <c r="BR23" s="261"/>
      <c r="BS23" s="264"/>
      <c r="BT23" s="261"/>
      <c r="BU23" s="261"/>
      <c r="BV23" s="262"/>
      <c r="BW23" s="262"/>
      <c r="BX23" s="261"/>
      <c r="BY23" s="261"/>
      <c r="BZ23" s="261"/>
      <c r="CA23" s="262"/>
      <c r="CB23" s="261"/>
      <c r="CC23" s="264"/>
      <c r="CD23" s="261"/>
      <c r="CE23" s="261"/>
      <c r="CF23" s="262"/>
      <c r="CG23" s="262"/>
      <c r="CH23" s="261"/>
      <c r="CI23" s="261"/>
      <c r="CJ23" s="261"/>
      <c r="CK23" s="262"/>
      <c r="CL23" s="261"/>
      <c r="CM23" s="264"/>
      <c r="CN23" s="261"/>
      <c r="CO23" s="261"/>
      <c r="CP23" s="262"/>
      <c r="CQ23" s="262"/>
      <c r="CR23" s="261"/>
      <c r="CS23" s="261"/>
      <c r="CT23" s="261"/>
      <c r="CU23" s="262"/>
      <c r="CV23" s="261"/>
      <c r="CW23" s="264"/>
      <c r="CX23" s="261"/>
      <c r="CY23" s="261"/>
      <c r="CZ23" s="262"/>
      <c r="DA23" s="262"/>
      <c r="DB23" s="261"/>
      <c r="DC23" s="261"/>
      <c r="DD23" s="261"/>
      <c r="DE23" s="262"/>
      <c r="DF23" s="261"/>
      <c r="DG23" s="264"/>
      <c r="DH23" s="261"/>
      <c r="DI23" s="63"/>
      <c r="DJ23" s="263"/>
      <c r="DK23" s="263"/>
      <c r="DL23" s="63"/>
      <c r="DM23" s="63"/>
      <c r="DN23" s="63"/>
      <c r="DO23" s="263"/>
      <c r="DP23" s="63"/>
      <c r="DQ23" s="264"/>
      <c r="DS23" s="261"/>
      <c r="DT23" s="261"/>
      <c r="DU23" s="261"/>
      <c r="DV23" s="261"/>
      <c r="DW23" s="261"/>
      <c r="DX23" s="261"/>
      <c r="DY23" s="261"/>
      <c r="DZ23" s="261"/>
      <c r="EA23" s="261"/>
      <c r="EB23" s="261"/>
      <c r="EC23" s="261"/>
      <c r="ED23" s="261"/>
      <c r="EF23" s="261"/>
      <c r="EG23" s="261"/>
      <c r="EH23" s="261"/>
      <c r="EI23" s="261"/>
      <c r="EJ23" s="261"/>
      <c r="EK23" s="261"/>
      <c r="EL23" s="261"/>
      <c r="EM23" s="261"/>
      <c r="EN23" s="261"/>
      <c r="EO23" s="261"/>
      <c r="EP23" s="261"/>
      <c r="EQ23" s="261"/>
    </row>
    <row r="24" spans="1:147" x14ac:dyDescent="0.3">
      <c r="A24" s="266"/>
      <c r="B24" s="261"/>
      <c r="C24" s="261"/>
      <c r="D24" s="262"/>
      <c r="E24" s="263"/>
      <c r="F24" s="261"/>
      <c r="G24" s="261"/>
      <c r="H24" s="261"/>
      <c r="I24" s="262"/>
      <c r="J24" s="261"/>
      <c r="K24" s="264"/>
      <c r="L24" s="261"/>
      <c r="M24" s="261"/>
      <c r="N24" s="262"/>
      <c r="O24" s="262"/>
      <c r="P24" s="261"/>
      <c r="Q24" s="261"/>
      <c r="R24" s="261"/>
      <c r="S24" s="262"/>
      <c r="T24" s="261"/>
      <c r="U24" s="264"/>
      <c r="V24" s="261"/>
      <c r="W24" s="63"/>
      <c r="X24" s="263"/>
      <c r="Y24" s="263"/>
      <c r="Z24" s="63"/>
      <c r="AA24" s="63"/>
      <c r="AB24" s="63"/>
      <c r="AC24" s="263"/>
      <c r="AD24" s="63"/>
      <c r="AE24" s="264"/>
      <c r="AF24" s="261"/>
      <c r="AG24" s="261"/>
      <c r="AH24" s="262"/>
      <c r="AI24" s="262"/>
      <c r="AJ24" s="261"/>
      <c r="AK24" s="261"/>
      <c r="AL24" s="261"/>
      <c r="AM24" s="262"/>
      <c r="AN24" s="261"/>
      <c r="AO24" s="264"/>
      <c r="AP24" s="261"/>
      <c r="AQ24" s="261"/>
      <c r="AR24" s="262"/>
      <c r="AS24" s="262"/>
      <c r="AT24" s="261"/>
      <c r="AU24" s="261"/>
      <c r="AV24" s="261"/>
      <c r="AW24" s="262"/>
      <c r="AX24" s="261"/>
      <c r="AY24" s="264"/>
      <c r="AZ24" s="261"/>
      <c r="BA24" s="261"/>
      <c r="BB24" s="262"/>
      <c r="BC24" s="262"/>
      <c r="BD24" s="261"/>
      <c r="BE24" s="261"/>
      <c r="BF24" s="261"/>
      <c r="BG24" s="262"/>
      <c r="BH24" s="261"/>
      <c r="BI24" s="264"/>
      <c r="BJ24" s="261"/>
      <c r="BK24" s="261"/>
      <c r="BL24" s="262"/>
      <c r="BM24" s="262"/>
      <c r="BN24" s="261"/>
      <c r="BO24" s="261"/>
      <c r="BP24" s="261"/>
      <c r="BQ24" s="262"/>
      <c r="BR24" s="261"/>
      <c r="BS24" s="264"/>
      <c r="BT24" s="261"/>
      <c r="BU24" s="261"/>
      <c r="BV24" s="262"/>
      <c r="BW24" s="262"/>
      <c r="BX24" s="261"/>
      <c r="BY24" s="261"/>
      <c r="BZ24" s="261"/>
      <c r="CA24" s="262"/>
      <c r="CB24" s="261"/>
      <c r="CC24" s="264"/>
      <c r="CD24" s="261"/>
      <c r="CE24" s="261"/>
      <c r="CF24" s="262"/>
      <c r="CG24" s="262"/>
      <c r="CH24" s="261"/>
      <c r="CI24" s="261"/>
      <c r="CJ24" s="261"/>
      <c r="CK24" s="262"/>
      <c r="CL24" s="261"/>
      <c r="CM24" s="264"/>
      <c r="CN24" s="261"/>
      <c r="CO24" s="261"/>
      <c r="CP24" s="262"/>
      <c r="CQ24" s="262"/>
      <c r="CR24" s="261"/>
      <c r="CS24" s="261"/>
      <c r="CT24" s="261"/>
      <c r="CU24" s="262"/>
      <c r="CV24" s="261"/>
      <c r="CW24" s="264"/>
      <c r="CX24" s="261"/>
      <c r="CY24" s="261"/>
      <c r="CZ24" s="262"/>
      <c r="DA24" s="262"/>
      <c r="DB24" s="261"/>
      <c r="DC24" s="261"/>
      <c r="DD24" s="261"/>
      <c r="DE24" s="262"/>
      <c r="DF24" s="261"/>
      <c r="DG24" s="264"/>
      <c r="DH24" s="261"/>
      <c r="DI24" s="63"/>
      <c r="DJ24" s="263"/>
      <c r="DK24" s="263"/>
      <c r="DL24" s="63"/>
      <c r="DM24" s="63"/>
      <c r="DN24" s="63"/>
      <c r="DO24" s="263"/>
      <c r="DP24" s="63"/>
      <c r="DQ24" s="264"/>
      <c r="DS24" s="261"/>
      <c r="DT24" s="261"/>
      <c r="DU24" s="261"/>
      <c r="DV24" s="261"/>
      <c r="DW24" s="261"/>
      <c r="DX24" s="261"/>
      <c r="DY24" s="261"/>
      <c r="DZ24" s="261"/>
      <c r="EA24" s="261"/>
      <c r="EB24" s="261"/>
      <c r="EC24" s="261"/>
      <c r="ED24" s="261"/>
      <c r="EF24" s="261"/>
      <c r="EG24" s="261"/>
      <c r="EH24" s="261"/>
      <c r="EI24" s="261"/>
      <c r="EJ24" s="261"/>
      <c r="EK24" s="261"/>
      <c r="EL24" s="261"/>
      <c r="EM24" s="261"/>
      <c r="EN24" s="261"/>
      <c r="EO24" s="261"/>
      <c r="EP24" s="261"/>
      <c r="EQ24" s="261"/>
    </row>
    <row r="25" spans="1:147" x14ac:dyDescent="0.3">
      <c r="A25" s="269"/>
      <c r="B25" s="261"/>
      <c r="C25" s="261"/>
      <c r="D25" s="262"/>
      <c r="E25" s="263"/>
      <c r="F25" s="261"/>
      <c r="G25" s="261"/>
      <c r="H25" s="261"/>
      <c r="I25" s="262"/>
      <c r="J25" s="261"/>
      <c r="K25" s="264"/>
      <c r="L25" s="261"/>
      <c r="M25" s="261"/>
      <c r="N25" s="262"/>
      <c r="O25" s="262"/>
      <c r="P25" s="261"/>
      <c r="Q25" s="261"/>
      <c r="R25" s="261"/>
      <c r="S25" s="262"/>
      <c r="T25" s="261"/>
      <c r="U25" s="264"/>
      <c r="V25" s="261"/>
      <c r="W25" s="263"/>
      <c r="X25" s="263"/>
      <c r="Y25" s="263"/>
      <c r="Z25" s="63"/>
      <c r="AA25" s="63"/>
      <c r="AB25" s="63"/>
      <c r="AC25" s="263"/>
      <c r="AD25" s="63"/>
      <c r="AE25" s="264"/>
      <c r="AF25" s="261"/>
      <c r="AG25" s="262"/>
      <c r="AH25" s="262"/>
      <c r="AI25" s="262"/>
      <c r="AJ25" s="262"/>
      <c r="AK25" s="262"/>
      <c r="AL25" s="262"/>
      <c r="AM25" s="262"/>
      <c r="AN25" s="261"/>
      <c r="AO25" s="264"/>
      <c r="AP25" s="261"/>
      <c r="AQ25" s="262"/>
      <c r="AR25" s="262"/>
      <c r="AS25" s="262"/>
      <c r="AT25" s="262"/>
      <c r="AU25" s="262"/>
      <c r="AV25" s="262"/>
      <c r="AW25" s="262"/>
      <c r="AX25" s="261"/>
      <c r="AY25" s="264"/>
      <c r="AZ25" s="261"/>
      <c r="BA25" s="262"/>
      <c r="BB25" s="262"/>
      <c r="BC25" s="262"/>
      <c r="BD25" s="261"/>
      <c r="BE25" s="261"/>
      <c r="BF25" s="261"/>
      <c r="BG25" s="262"/>
      <c r="BH25" s="261"/>
      <c r="BI25" s="264"/>
      <c r="BJ25" s="261"/>
      <c r="BK25" s="262"/>
      <c r="BL25" s="262"/>
      <c r="BM25" s="262"/>
      <c r="BN25" s="262"/>
      <c r="BO25" s="262"/>
      <c r="BP25" s="262"/>
      <c r="BQ25" s="262"/>
      <c r="BR25" s="261"/>
      <c r="BS25" s="264"/>
      <c r="BT25" s="261"/>
      <c r="BU25" s="262"/>
      <c r="BV25" s="262"/>
      <c r="BW25" s="262"/>
      <c r="BX25" s="261"/>
      <c r="BY25" s="261"/>
      <c r="BZ25" s="261"/>
      <c r="CA25" s="262"/>
      <c r="CB25" s="261"/>
      <c r="CC25" s="264"/>
      <c r="CD25" s="261"/>
      <c r="CE25" s="262"/>
      <c r="CF25" s="262"/>
      <c r="CG25" s="262"/>
      <c r="CH25" s="261"/>
      <c r="CI25" s="261"/>
      <c r="CJ25" s="261"/>
      <c r="CK25" s="262"/>
      <c r="CL25" s="261"/>
      <c r="CM25" s="264"/>
      <c r="CN25" s="261"/>
      <c r="CO25" s="262"/>
      <c r="CP25" s="262"/>
      <c r="CQ25" s="262"/>
      <c r="CR25" s="262"/>
      <c r="CS25" s="262"/>
      <c r="CT25" s="262"/>
      <c r="CU25" s="262"/>
      <c r="CV25" s="261"/>
      <c r="CW25" s="264"/>
      <c r="CX25" s="261"/>
      <c r="CY25" s="262"/>
      <c r="CZ25" s="262"/>
      <c r="DA25" s="262"/>
      <c r="DB25" s="261"/>
      <c r="DC25" s="261"/>
      <c r="DD25" s="261"/>
      <c r="DE25" s="262"/>
      <c r="DF25" s="261"/>
      <c r="DG25" s="264"/>
      <c r="DH25" s="261"/>
      <c r="DI25" s="263"/>
      <c r="DJ25" s="263"/>
      <c r="DK25" s="263"/>
      <c r="DL25" s="63"/>
      <c r="DM25" s="63"/>
      <c r="DN25" s="63"/>
      <c r="DO25" s="263"/>
      <c r="DP25" s="63"/>
      <c r="DQ25" s="264"/>
      <c r="DS25" s="261"/>
      <c r="DT25" s="261"/>
      <c r="DU25" s="261"/>
      <c r="DV25" s="261"/>
      <c r="DW25" s="261"/>
      <c r="DX25" s="261"/>
      <c r="DY25" s="261"/>
      <c r="DZ25" s="261"/>
      <c r="EA25" s="261"/>
      <c r="EB25" s="261"/>
      <c r="EC25" s="261"/>
      <c r="ED25" s="261"/>
      <c r="EF25" s="261"/>
      <c r="EG25" s="261"/>
      <c r="EH25" s="261"/>
      <c r="EI25" s="261"/>
      <c r="EJ25" s="261"/>
      <c r="EK25" s="261"/>
      <c r="EL25" s="261"/>
      <c r="EM25" s="261"/>
      <c r="EN25" s="261"/>
      <c r="EO25" s="261"/>
      <c r="EP25" s="261"/>
      <c r="EQ25" s="261"/>
    </row>
    <row r="26" spans="1:147" x14ac:dyDescent="0.3">
      <c r="A26" s="270"/>
      <c r="B26" s="261"/>
      <c r="C26" s="261"/>
      <c r="D26" s="262"/>
      <c r="E26" s="263"/>
      <c r="F26" s="261"/>
      <c r="G26" s="261"/>
      <c r="H26" s="261"/>
      <c r="I26" s="262"/>
      <c r="J26" s="261"/>
      <c r="K26" s="264"/>
      <c r="L26" s="261"/>
      <c r="M26" s="262"/>
      <c r="N26" s="262"/>
      <c r="O26" s="262"/>
      <c r="P26" s="262"/>
      <c r="Q26" s="262"/>
      <c r="R26" s="262"/>
      <c r="S26" s="262"/>
      <c r="T26" s="261"/>
      <c r="U26" s="264"/>
      <c r="V26" s="261"/>
      <c r="W26" s="263"/>
      <c r="X26" s="263"/>
      <c r="Y26" s="263"/>
      <c r="Z26" s="263"/>
      <c r="AA26" s="263"/>
      <c r="AB26" s="263"/>
      <c r="AC26" s="263"/>
      <c r="AD26" s="63"/>
      <c r="AE26" s="264"/>
      <c r="AF26" s="261"/>
      <c r="AG26" s="262"/>
      <c r="AH26" s="262"/>
      <c r="AI26" s="262"/>
      <c r="AJ26" s="262"/>
      <c r="AK26" s="262"/>
      <c r="AL26" s="262"/>
      <c r="AM26" s="262"/>
      <c r="AN26" s="261"/>
      <c r="AO26" s="264"/>
      <c r="AP26" s="261"/>
      <c r="AQ26" s="262"/>
      <c r="AR26" s="262"/>
      <c r="AS26" s="262"/>
      <c r="AT26" s="262"/>
      <c r="AU26" s="262"/>
      <c r="AV26" s="262"/>
      <c r="AW26" s="262"/>
      <c r="AX26" s="261"/>
      <c r="AY26" s="264"/>
      <c r="AZ26" s="261"/>
      <c r="BA26" s="262"/>
      <c r="BB26" s="262"/>
      <c r="BC26" s="262"/>
      <c r="BD26" s="262"/>
      <c r="BE26" s="262"/>
      <c r="BF26" s="262"/>
      <c r="BG26" s="262"/>
      <c r="BH26" s="261"/>
      <c r="BI26" s="264"/>
      <c r="BJ26" s="261"/>
      <c r="BK26" s="262"/>
      <c r="BL26" s="262"/>
      <c r="BM26" s="262"/>
      <c r="BN26" s="262"/>
      <c r="BO26" s="262"/>
      <c r="BP26" s="262"/>
      <c r="BQ26" s="262"/>
      <c r="BR26" s="261"/>
      <c r="BS26" s="264"/>
      <c r="BT26" s="261"/>
      <c r="BU26" s="262"/>
      <c r="BV26" s="262"/>
      <c r="BW26" s="262"/>
      <c r="BX26" s="262"/>
      <c r="BY26" s="262"/>
      <c r="BZ26" s="262"/>
      <c r="CA26" s="262"/>
      <c r="CB26" s="261"/>
      <c r="CC26" s="264"/>
      <c r="CD26" s="261"/>
      <c r="CE26" s="262"/>
      <c r="CF26" s="262"/>
      <c r="CG26" s="262"/>
      <c r="CH26" s="262"/>
      <c r="CI26" s="262"/>
      <c r="CJ26" s="262"/>
      <c r="CK26" s="262"/>
      <c r="CL26" s="261"/>
      <c r="CM26" s="264"/>
      <c r="CN26" s="261"/>
      <c r="CO26" s="262"/>
      <c r="CP26" s="262"/>
      <c r="CQ26" s="262"/>
      <c r="CR26" s="262"/>
      <c r="CS26" s="262"/>
      <c r="CT26" s="262"/>
      <c r="CU26" s="262"/>
      <c r="CV26" s="261"/>
      <c r="CW26" s="264"/>
      <c r="CX26" s="261"/>
      <c r="CY26" s="262"/>
      <c r="CZ26" s="262"/>
      <c r="DA26" s="262"/>
      <c r="DB26" s="262"/>
      <c r="DC26" s="262"/>
      <c r="DD26" s="262"/>
      <c r="DE26" s="262"/>
      <c r="DF26" s="261"/>
      <c r="DG26" s="264"/>
      <c r="DH26" s="261"/>
      <c r="DI26" s="263"/>
      <c r="DJ26" s="263"/>
      <c r="DK26" s="263"/>
      <c r="DL26" s="263"/>
      <c r="DM26" s="263"/>
      <c r="DN26" s="263"/>
      <c r="DO26" s="263"/>
      <c r="DP26" s="63"/>
      <c r="DQ26" s="264"/>
      <c r="DS26" s="261"/>
      <c r="DT26" s="261"/>
      <c r="DU26" s="261"/>
      <c r="DV26" s="261"/>
      <c r="DW26" s="261"/>
      <c r="DX26" s="261"/>
      <c r="DY26" s="261"/>
      <c r="DZ26" s="261"/>
      <c r="EA26" s="261"/>
      <c r="EB26" s="261"/>
      <c r="EC26" s="261"/>
      <c r="ED26" s="261"/>
      <c r="EF26" s="261"/>
      <c r="EG26" s="261"/>
      <c r="EH26" s="261"/>
      <c r="EI26" s="261"/>
      <c r="EJ26" s="261"/>
      <c r="EK26" s="261"/>
      <c r="EL26" s="261"/>
      <c r="EM26" s="261"/>
      <c r="EN26" s="261"/>
      <c r="EO26" s="261"/>
      <c r="EP26" s="261"/>
      <c r="EQ26" s="261"/>
    </row>
    <row r="27" spans="1:147" x14ac:dyDescent="0.3">
      <c r="A27" s="259"/>
      <c r="B27" s="261"/>
      <c r="C27" s="261"/>
      <c r="D27" s="262"/>
      <c r="E27" s="63"/>
      <c r="F27" s="261"/>
      <c r="G27" s="261"/>
      <c r="H27" s="261"/>
      <c r="I27" s="262"/>
      <c r="J27" s="261"/>
      <c r="K27" s="264"/>
      <c r="L27" s="261"/>
      <c r="M27" s="262"/>
      <c r="N27" s="262"/>
      <c r="O27" s="262"/>
      <c r="P27" s="261"/>
      <c r="Q27" s="261"/>
      <c r="R27" s="261"/>
      <c r="S27" s="262"/>
      <c r="T27" s="261"/>
      <c r="U27" s="264"/>
      <c r="V27" s="261"/>
      <c r="W27" s="263"/>
      <c r="X27" s="263"/>
      <c r="Y27" s="263"/>
      <c r="Z27" s="63"/>
      <c r="AA27" s="63"/>
      <c r="AB27" s="63"/>
      <c r="AC27" s="263"/>
      <c r="AD27" s="63"/>
      <c r="AE27" s="264"/>
      <c r="AF27" s="261"/>
      <c r="AG27" s="262"/>
      <c r="AH27" s="262"/>
      <c r="AI27" s="262"/>
      <c r="AJ27" s="261"/>
      <c r="AK27" s="261"/>
      <c r="AL27" s="261"/>
      <c r="AM27" s="262"/>
      <c r="AN27" s="261"/>
      <c r="AO27" s="264"/>
      <c r="AP27" s="261"/>
      <c r="AQ27" s="262"/>
      <c r="AR27" s="262"/>
      <c r="AS27" s="262"/>
      <c r="AT27" s="261"/>
      <c r="AU27" s="261"/>
      <c r="AV27" s="261"/>
      <c r="AW27" s="262"/>
      <c r="AX27" s="261"/>
      <c r="AY27" s="264"/>
      <c r="AZ27" s="261"/>
      <c r="BA27" s="262"/>
      <c r="BB27" s="262"/>
      <c r="BC27" s="262"/>
      <c r="BD27" s="261"/>
      <c r="BE27" s="261"/>
      <c r="BF27" s="261"/>
      <c r="BG27" s="262"/>
      <c r="BH27" s="261"/>
      <c r="BI27" s="264"/>
      <c r="BJ27" s="261"/>
      <c r="BK27" s="262"/>
      <c r="BL27" s="262"/>
      <c r="BM27" s="262"/>
      <c r="BN27" s="261"/>
      <c r="BO27" s="261"/>
      <c r="BP27" s="261"/>
      <c r="BQ27" s="262"/>
      <c r="BR27" s="261"/>
      <c r="BS27" s="264"/>
      <c r="BT27" s="261"/>
      <c r="BU27" s="262"/>
      <c r="BV27" s="262"/>
      <c r="BW27" s="262"/>
      <c r="BX27" s="261"/>
      <c r="BY27" s="261"/>
      <c r="BZ27" s="261"/>
      <c r="CA27" s="262"/>
      <c r="CB27" s="261"/>
      <c r="CC27" s="264"/>
      <c r="CD27" s="261"/>
      <c r="CE27" s="262"/>
      <c r="CF27" s="262"/>
      <c r="CG27" s="262"/>
      <c r="CH27" s="261"/>
      <c r="CI27" s="261"/>
      <c r="CJ27" s="261"/>
      <c r="CK27" s="262"/>
      <c r="CL27" s="261"/>
      <c r="CM27" s="264"/>
      <c r="CN27" s="261"/>
      <c r="CO27" s="262"/>
      <c r="CP27" s="262"/>
      <c r="CQ27" s="262"/>
      <c r="CR27" s="261"/>
      <c r="CS27" s="261"/>
      <c r="CT27" s="261"/>
      <c r="CU27" s="262"/>
      <c r="CV27" s="261"/>
      <c r="CW27" s="264"/>
      <c r="CX27" s="261"/>
      <c r="CY27" s="262"/>
      <c r="CZ27" s="262"/>
      <c r="DA27" s="262"/>
      <c r="DB27" s="261"/>
      <c r="DC27" s="261"/>
      <c r="DD27" s="261"/>
      <c r="DE27" s="262"/>
      <c r="DF27" s="261"/>
      <c r="DG27" s="264"/>
      <c r="DH27" s="271"/>
      <c r="DI27" s="263"/>
      <c r="DJ27" s="263"/>
      <c r="DK27" s="263"/>
      <c r="DL27" s="63"/>
      <c r="DM27" s="63"/>
      <c r="DN27" s="63"/>
      <c r="DO27" s="263"/>
      <c r="DP27" s="63"/>
      <c r="DQ27" s="264"/>
      <c r="DS27" s="261"/>
      <c r="DT27" s="261"/>
      <c r="DU27" s="261"/>
      <c r="DV27" s="261"/>
      <c r="DW27" s="261"/>
      <c r="DX27" s="261"/>
      <c r="DY27" s="261"/>
      <c r="DZ27" s="261"/>
      <c r="EA27" s="261"/>
      <c r="EB27" s="261"/>
      <c r="EC27" s="261"/>
      <c r="ED27" s="261"/>
      <c r="EF27" s="261"/>
      <c r="EG27" s="261"/>
      <c r="EH27" s="261"/>
      <c r="EI27" s="261"/>
      <c r="EJ27" s="261"/>
      <c r="EK27" s="261"/>
      <c r="EL27" s="261"/>
      <c r="EM27" s="261"/>
      <c r="EN27" s="261"/>
      <c r="EO27" s="261"/>
      <c r="EP27" s="261"/>
      <c r="EQ27" s="261"/>
    </row>
  </sheetData>
  <protectedRanges>
    <protectedRange sqref="A2" name="Intervalo1"/>
  </protectedRanges>
  <mergeCells count="15">
    <mergeCell ref="DV6:DZ6"/>
    <mergeCell ref="EI6:EL6"/>
    <mergeCell ref="E2:H2"/>
    <mergeCell ref="DH6:DQ6"/>
    <mergeCell ref="B6:K6"/>
    <mergeCell ref="L6:U6"/>
    <mergeCell ref="V6:AE6"/>
    <mergeCell ref="AF6:AO6"/>
    <mergeCell ref="AP6:AY6"/>
    <mergeCell ref="AZ6:BI6"/>
    <mergeCell ref="BJ6:BS6"/>
    <mergeCell ref="BT6:CC6"/>
    <mergeCell ref="CD6:CM6"/>
    <mergeCell ref="CN6:CW6"/>
    <mergeCell ref="CX6:DG6"/>
  </mergeCells>
  <hyperlinks>
    <hyperlink ref="A2" location="Menu!A1" display="Menu" xr:uid="{00000000-0004-0000-0100-000000000000}"/>
    <hyperlink ref="A15" location="'Desplacante de Gancheira 1'!A1" display="Desplacante de Gancheira 1" xr:uid="{00000000-0004-0000-0100-000001000000}"/>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KJ139"/>
  <sheetViews>
    <sheetView workbookViewId="0">
      <selection activeCell="A2" sqref="A2"/>
    </sheetView>
  </sheetViews>
  <sheetFormatPr defaultColWidth="9.109375" defaultRowHeight="14.4" x14ac:dyDescent="0.3"/>
  <cols>
    <col min="1" max="1" width="11" style="70" bestFit="1" customWidth="1"/>
    <col min="2" max="6" width="34.33203125" style="70" customWidth="1"/>
    <col min="7" max="7" width="9.109375" style="70"/>
    <col min="8" max="8" width="23.44140625" style="70" bestFit="1" customWidth="1"/>
    <col min="9" max="16384" width="9.109375" style="70"/>
  </cols>
  <sheetData>
    <row r="1" spans="1:9" ht="15" thickBot="1" x14ac:dyDescent="0.35"/>
    <row r="2" spans="1:9" ht="29.4" thickBot="1" x14ac:dyDescent="0.6">
      <c r="A2" s="411" t="s">
        <v>96</v>
      </c>
      <c r="C2" s="553" t="s">
        <v>137</v>
      </c>
      <c r="D2" s="553"/>
      <c r="E2" s="553"/>
    </row>
    <row r="3" spans="1:9" ht="15" thickBot="1" x14ac:dyDescent="0.35"/>
    <row r="4" spans="1:9" ht="15" thickBot="1" x14ac:dyDescent="0.35">
      <c r="B4" s="572"/>
      <c r="C4" s="573"/>
      <c r="D4" s="573"/>
      <c r="E4" s="573"/>
      <c r="F4" s="574"/>
    </row>
    <row r="5" spans="1:9" ht="21.6" thickBot="1" x14ac:dyDescent="0.35">
      <c r="B5" s="575" t="s">
        <v>216</v>
      </c>
      <c r="C5" s="576"/>
      <c r="D5" s="576"/>
      <c r="E5" s="576"/>
      <c r="F5" s="577"/>
    </row>
    <row r="6" spans="1:9" ht="18" x14ac:dyDescent="0.3">
      <c r="B6" s="412" t="s">
        <v>92</v>
      </c>
      <c r="C6" s="414" t="s">
        <v>125</v>
      </c>
      <c r="D6" s="501" t="s">
        <v>126</v>
      </c>
      <c r="E6" s="415" t="s">
        <v>127</v>
      </c>
      <c r="F6" s="416" t="s">
        <v>128</v>
      </c>
      <c r="H6" s="503" t="s">
        <v>214</v>
      </c>
      <c r="I6" s="502">
        <v>7.1</v>
      </c>
    </row>
    <row r="7" spans="1:9" ht="18.600000000000001" thickBot="1" x14ac:dyDescent="0.35">
      <c r="B7" s="508">
        <v>2.2999999999999998</v>
      </c>
      <c r="C7" s="514">
        <v>0.7</v>
      </c>
      <c r="D7" s="515">
        <v>30</v>
      </c>
      <c r="E7" s="251">
        <f>D7/C7</f>
        <v>42.857142857142861</v>
      </c>
      <c r="F7" s="244">
        <f>(E7*B7)*F9</f>
        <v>492.85714285714283</v>
      </c>
      <c r="H7" s="503" t="s">
        <v>215</v>
      </c>
      <c r="I7" s="502">
        <v>1.2195</v>
      </c>
    </row>
    <row r="8" spans="1:9" ht="18" x14ac:dyDescent="0.3">
      <c r="B8" s="421" t="s">
        <v>132</v>
      </c>
      <c r="C8" s="558" t="s">
        <v>133</v>
      </c>
      <c r="D8" s="559"/>
      <c r="E8" s="415" t="s">
        <v>138</v>
      </c>
      <c r="F8" s="416" t="s">
        <v>134</v>
      </c>
    </row>
    <row r="9" spans="1:9" ht="18" x14ac:dyDescent="0.3">
      <c r="B9" s="511">
        <v>90</v>
      </c>
      <c r="C9" s="560">
        <v>4</v>
      </c>
      <c r="D9" s="561"/>
      <c r="E9" s="436">
        <f>E11*F7</f>
        <v>246.42857142857142</v>
      </c>
      <c r="F9" s="512">
        <v>5</v>
      </c>
    </row>
    <row r="10" spans="1:9" ht="18" x14ac:dyDescent="0.3">
      <c r="B10" s="422" t="s">
        <v>129</v>
      </c>
      <c r="C10" s="562" t="s">
        <v>130</v>
      </c>
      <c r="D10" s="563"/>
      <c r="E10" s="423" t="s">
        <v>139</v>
      </c>
      <c r="F10" s="424" t="s">
        <v>135</v>
      </c>
    </row>
    <row r="11" spans="1:9" ht="18.600000000000001" thickBot="1" x14ac:dyDescent="0.35">
      <c r="B11" s="237">
        <f>(60/F11)*E7*F9</f>
        <v>414.0656438631791</v>
      </c>
      <c r="C11" s="527">
        <f>(60/F11)*D7*F9</f>
        <v>289.84595070422534</v>
      </c>
      <c r="D11" s="528"/>
      <c r="E11" s="507">
        <v>0.5</v>
      </c>
      <c r="F11" s="249">
        <f>(60*C9*I6)/(I7*E11*B9)</f>
        <v>31.050977176438433</v>
      </c>
    </row>
    <row r="12" spans="1:9" ht="18.600000000000001" thickBot="1" x14ac:dyDescent="0.35">
      <c r="B12" s="417"/>
      <c r="C12" s="418"/>
      <c r="D12" s="418"/>
      <c r="E12" s="419"/>
      <c r="F12" s="420"/>
    </row>
    <row r="13" spans="1:9" ht="21.6" thickBot="1" x14ac:dyDescent="0.35">
      <c r="B13" s="569" t="s">
        <v>217</v>
      </c>
      <c r="C13" s="570"/>
      <c r="D13" s="570"/>
      <c r="E13" s="570"/>
      <c r="F13" s="571"/>
    </row>
    <row r="14" spans="1:9" ht="18" x14ac:dyDescent="0.3">
      <c r="B14" s="412" t="s">
        <v>92</v>
      </c>
      <c r="C14" s="413" t="s">
        <v>125</v>
      </c>
      <c r="D14" s="413" t="s">
        <v>136</v>
      </c>
      <c r="E14" s="414" t="s">
        <v>131</v>
      </c>
      <c r="F14" s="416" t="s">
        <v>128</v>
      </c>
      <c r="H14" s="503" t="s">
        <v>214</v>
      </c>
      <c r="I14" s="502">
        <v>7.1</v>
      </c>
    </row>
    <row r="15" spans="1:9" ht="18.600000000000001" thickBot="1" x14ac:dyDescent="0.35">
      <c r="B15" s="508">
        <v>2.2999999999999998</v>
      </c>
      <c r="C15" s="509">
        <v>0.7</v>
      </c>
      <c r="D15" s="510">
        <v>30</v>
      </c>
      <c r="E15" s="251">
        <f>D15/C15</f>
        <v>42.857142857142861</v>
      </c>
      <c r="F15" s="244">
        <f>(B15*E15)*F17</f>
        <v>492.85714285714283</v>
      </c>
      <c r="H15" s="503" t="s">
        <v>215</v>
      </c>
      <c r="I15" s="502">
        <v>1.2195</v>
      </c>
    </row>
    <row r="16" spans="1:9" ht="18" x14ac:dyDescent="0.3">
      <c r="B16" s="421" t="s">
        <v>132</v>
      </c>
      <c r="C16" s="558" t="s">
        <v>133</v>
      </c>
      <c r="D16" s="559"/>
      <c r="E16" s="415" t="s">
        <v>138</v>
      </c>
      <c r="F16" s="416" t="s">
        <v>134</v>
      </c>
      <c r="H16" s="443" t="s">
        <v>107</v>
      </c>
    </row>
    <row r="17" spans="2:9" ht="18" x14ac:dyDescent="0.3">
      <c r="B17" s="511">
        <v>90</v>
      </c>
      <c r="C17" s="560">
        <v>4</v>
      </c>
      <c r="D17" s="561"/>
      <c r="E17" s="436">
        <f>E19*F15</f>
        <v>246.42857142857142</v>
      </c>
      <c r="F17" s="512">
        <v>5</v>
      </c>
      <c r="H17" s="445">
        <v>1.095</v>
      </c>
    </row>
    <row r="18" spans="2:9" ht="18" x14ac:dyDescent="0.3">
      <c r="B18" s="422" t="s">
        <v>129</v>
      </c>
      <c r="C18" s="562" t="s">
        <v>130</v>
      </c>
      <c r="D18" s="563"/>
      <c r="E18" s="423" t="s">
        <v>139</v>
      </c>
      <c r="F18" s="424" t="s">
        <v>135</v>
      </c>
      <c r="H18" s="255"/>
    </row>
    <row r="19" spans="2:9" ht="18.600000000000001" thickBot="1" x14ac:dyDescent="0.35">
      <c r="B19" s="237">
        <f>(60/F19)*(E15*F17)</f>
        <v>414.0656438631791</v>
      </c>
      <c r="C19" s="527">
        <f>(60/F19)*(D15*F17)</f>
        <v>289.84595070422534</v>
      </c>
      <c r="D19" s="528"/>
      <c r="E19" s="507">
        <v>0.5</v>
      </c>
      <c r="F19" s="249">
        <f>(60*C17*I14)/(I15*E19*B17)</f>
        <v>31.050977176438433</v>
      </c>
      <c r="H19" s="255"/>
    </row>
    <row r="20" spans="2:9" ht="18.600000000000001" thickBot="1" x14ac:dyDescent="0.35">
      <c r="B20" s="238"/>
      <c r="C20" s="239"/>
      <c r="D20" s="239"/>
      <c r="E20" s="240"/>
      <c r="F20" s="246"/>
      <c r="H20" s="255"/>
    </row>
    <row r="21" spans="2:9" ht="21.6" thickBot="1" x14ac:dyDescent="0.35">
      <c r="B21" s="569" t="s">
        <v>218</v>
      </c>
      <c r="C21" s="570"/>
      <c r="D21" s="570"/>
      <c r="E21" s="570"/>
      <c r="F21" s="571"/>
      <c r="H21" s="255"/>
    </row>
    <row r="22" spans="2:9" ht="18" x14ac:dyDescent="0.3">
      <c r="B22" s="412" t="s">
        <v>92</v>
      </c>
      <c r="C22" s="413" t="s">
        <v>125</v>
      </c>
      <c r="D22" s="413" t="s">
        <v>136</v>
      </c>
      <c r="E22" s="414" t="s">
        <v>131</v>
      </c>
      <c r="F22" s="416" t="s">
        <v>128</v>
      </c>
      <c r="H22" s="503" t="s">
        <v>214</v>
      </c>
      <c r="I22" s="502">
        <v>7.1</v>
      </c>
    </row>
    <row r="23" spans="2:9" ht="18.600000000000001" thickBot="1" x14ac:dyDescent="0.35">
      <c r="B23" s="508">
        <v>2.2999999999999998</v>
      </c>
      <c r="C23" s="509">
        <v>0.7</v>
      </c>
      <c r="D23" s="510">
        <v>30</v>
      </c>
      <c r="E23" s="251">
        <f>D23/C23</f>
        <v>42.857142857142861</v>
      </c>
      <c r="F23" s="244">
        <f>(E23*B23)*F25</f>
        <v>591.42857142857144</v>
      </c>
      <c r="H23" s="503" t="s">
        <v>215</v>
      </c>
      <c r="I23" s="502">
        <v>1.2195</v>
      </c>
    </row>
    <row r="24" spans="2:9" ht="18" x14ac:dyDescent="0.3">
      <c r="B24" s="421" t="s">
        <v>132</v>
      </c>
      <c r="C24" s="558" t="s">
        <v>133</v>
      </c>
      <c r="D24" s="559"/>
      <c r="E24" s="415" t="s">
        <v>138</v>
      </c>
      <c r="F24" s="416" t="s">
        <v>134</v>
      </c>
      <c r="H24" s="443" t="s">
        <v>107</v>
      </c>
    </row>
    <row r="25" spans="2:9" ht="18" x14ac:dyDescent="0.3">
      <c r="B25" s="511">
        <v>90</v>
      </c>
      <c r="C25" s="560">
        <v>4</v>
      </c>
      <c r="D25" s="561"/>
      <c r="E25" s="436">
        <f>E27*F23</f>
        <v>591.42857142857144</v>
      </c>
      <c r="F25" s="512">
        <v>6</v>
      </c>
      <c r="H25" s="445">
        <v>1.1859999999999999</v>
      </c>
    </row>
    <row r="26" spans="2:9" ht="18" x14ac:dyDescent="0.3">
      <c r="B26" s="422" t="s">
        <v>129</v>
      </c>
      <c r="C26" s="562" t="s">
        <v>130</v>
      </c>
      <c r="D26" s="563"/>
      <c r="E26" s="423" t="s">
        <v>139</v>
      </c>
      <c r="F26" s="424" t="s">
        <v>135</v>
      </c>
      <c r="H26" s="255"/>
    </row>
    <row r="27" spans="2:9" ht="18.600000000000001" thickBot="1" x14ac:dyDescent="0.35">
      <c r="B27" s="237">
        <f>(60/F27)*(E23*F25)</f>
        <v>993.75754527162985</v>
      </c>
      <c r="C27" s="527">
        <f>(60/F27)*(D23*F25)</f>
        <v>695.63028169014081</v>
      </c>
      <c r="D27" s="528"/>
      <c r="E27" s="507">
        <v>1</v>
      </c>
      <c r="F27" s="249">
        <f>(60*C25*I22)/(I23*E27*B25)</f>
        <v>15.525488588219217</v>
      </c>
      <c r="H27" s="255"/>
    </row>
    <row r="28" spans="2:9" ht="18.600000000000001" thickBot="1" x14ac:dyDescent="0.35">
      <c r="B28" s="238"/>
      <c r="C28" s="239"/>
      <c r="D28" s="239"/>
      <c r="E28" s="240"/>
      <c r="F28" s="246"/>
      <c r="H28" s="255"/>
    </row>
    <row r="29" spans="2:9" ht="21.6" thickBot="1" x14ac:dyDescent="0.35">
      <c r="B29" s="569" t="s">
        <v>220</v>
      </c>
      <c r="C29" s="570"/>
      <c r="D29" s="570"/>
      <c r="E29" s="570"/>
      <c r="F29" s="571"/>
      <c r="H29" s="255"/>
    </row>
    <row r="30" spans="2:9" ht="18" x14ac:dyDescent="0.3">
      <c r="B30" s="412" t="s">
        <v>92</v>
      </c>
      <c r="C30" s="413" t="s">
        <v>125</v>
      </c>
      <c r="D30" s="414" t="s">
        <v>126</v>
      </c>
      <c r="E30" s="415" t="s">
        <v>127</v>
      </c>
      <c r="F30" s="416" t="s">
        <v>128</v>
      </c>
      <c r="H30" s="503" t="s">
        <v>214</v>
      </c>
      <c r="I30" s="504">
        <v>7.1</v>
      </c>
    </row>
    <row r="31" spans="2:9" ht="18.600000000000001" thickBot="1" x14ac:dyDescent="0.35">
      <c r="B31" s="508">
        <v>2.2999999999999998</v>
      </c>
      <c r="C31" s="509">
        <v>0.7</v>
      </c>
      <c r="D31" s="513">
        <v>30</v>
      </c>
      <c r="E31" s="251">
        <f>D31/C31</f>
        <v>42.857142857142861</v>
      </c>
      <c r="F31" s="244">
        <f>B31*E31*F33</f>
        <v>394.28571428571428</v>
      </c>
      <c r="H31" s="503" t="s">
        <v>215</v>
      </c>
      <c r="I31" s="502">
        <v>1.2195</v>
      </c>
    </row>
    <row r="32" spans="2:9" ht="18" x14ac:dyDescent="0.3">
      <c r="B32" s="421" t="s">
        <v>132</v>
      </c>
      <c r="C32" s="558" t="s">
        <v>133</v>
      </c>
      <c r="D32" s="559"/>
      <c r="E32" s="415" t="s">
        <v>138</v>
      </c>
      <c r="F32" s="416" t="s">
        <v>134</v>
      </c>
      <c r="H32" s="255"/>
    </row>
    <row r="33" spans="2:9" ht="18" x14ac:dyDescent="0.3">
      <c r="B33" s="511">
        <v>90</v>
      </c>
      <c r="C33" s="560">
        <v>4</v>
      </c>
      <c r="D33" s="561"/>
      <c r="E33" s="436">
        <f>E35*F31</f>
        <v>394.28571428571428</v>
      </c>
      <c r="F33" s="512">
        <v>4</v>
      </c>
      <c r="H33" s="255"/>
    </row>
    <row r="34" spans="2:9" ht="18" x14ac:dyDescent="0.3">
      <c r="B34" s="422" t="s">
        <v>129</v>
      </c>
      <c r="C34" s="562" t="s">
        <v>130</v>
      </c>
      <c r="D34" s="563"/>
      <c r="E34" s="423" t="s">
        <v>139</v>
      </c>
      <c r="F34" s="424" t="s">
        <v>135</v>
      </c>
      <c r="H34" s="255"/>
    </row>
    <row r="35" spans="2:9" ht="18.600000000000001" thickBot="1" x14ac:dyDescent="0.35">
      <c r="B35" s="237">
        <f>(60/F35)*E31*F33</f>
        <v>662.50503018108657</v>
      </c>
      <c r="C35" s="527">
        <f>(60/F35)*(D31*F33)</f>
        <v>463.75352112676052</v>
      </c>
      <c r="D35" s="528"/>
      <c r="E35" s="507">
        <v>1</v>
      </c>
      <c r="F35" s="249">
        <f>(60*C33*I30)/(I31*E35*B33)</f>
        <v>15.525488588219217</v>
      </c>
      <c r="H35" s="255"/>
    </row>
    <row r="36" spans="2:9" ht="18.600000000000001" thickBot="1" x14ac:dyDescent="0.35">
      <c r="B36" s="238"/>
      <c r="C36" s="529"/>
      <c r="D36" s="529"/>
      <c r="E36" s="240"/>
      <c r="F36" s="530"/>
      <c r="H36" s="255"/>
    </row>
    <row r="37" spans="2:9" ht="21.6" thickBot="1" x14ac:dyDescent="0.35">
      <c r="B37" s="569" t="s">
        <v>222</v>
      </c>
      <c r="C37" s="570"/>
      <c r="D37" s="570"/>
      <c r="E37" s="570"/>
      <c r="F37" s="571"/>
      <c r="H37" s="255"/>
    </row>
    <row r="38" spans="2:9" ht="18" x14ac:dyDescent="0.3">
      <c r="B38" s="412" t="s">
        <v>92</v>
      </c>
      <c r="C38" s="413" t="s">
        <v>125</v>
      </c>
      <c r="D38" s="413" t="s">
        <v>126</v>
      </c>
      <c r="E38" s="414" t="s">
        <v>131</v>
      </c>
      <c r="F38" s="416" t="s">
        <v>128</v>
      </c>
      <c r="H38" s="503" t="s">
        <v>214</v>
      </c>
      <c r="I38" s="504">
        <v>7.1</v>
      </c>
    </row>
    <row r="39" spans="2:9" ht="18.600000000000001" thickBot="1" x14ac:dyDescent="0.35">
      <c r="B39" s="508">
        <v>2.2999999999999998</v>
      </c>
      <c r="C39" s="509">
        <v>0.7</v>
      </c>
      <c r="D39" s="510">
        <v>30</v>
      </c>
      <c r="E39" s="251">
        <f>D39/C39</f>
        <v>42.857142857142861</v>
      </c>
      <c r="F39" s="244">
        <f>(E39*B39)*F41</f>
        <v>690</v>
      </c>
      <c r="H39" s="503" t="s">
        <v>215</v>
      </c>
      <c r="I39" s="502">
        <v>1.2195</v>
      </c>
    </row>
    <row r="40" spans="2:9" ht="18" x14ac:dyDescent="0.3">
      <c r="B40" s="421" t="s">
        <v>132</v>
      </c>
      <c r="C40" s="558" t="s">
        <v>133</v>
      </c>
      <c r="D40" s="559"/>
      <c r="E40" s="415" t="s">
        <v>138</v>
      </c>
      <c r="F40" s="416" t="s">
        <v>221</v>
      </c>
      <c r="H40" s="443" t="s">
        <v>107</v>
      </c>
    </row>
    <row r="41" spans="2:9" ht="18" x14ac:dyDescent="0.3">
      <c r="B41" s="511">
        <v>90</v>
      </c>
      <c r="C41" s="560">
        <v>4</v>
      </c>
      <c r="D41" s="561"/>
      <c r="E41" s="506">
        <f>E43*F39</f>
        <v>690</v>
      </c>
      <c r="F41" s="512">
        <v>7</v>
      </c>
      <c r="H41" s="445">
        <v>1.095</v>
      </c>
    </row>
    <row r="42" spans="2:9" ht="18" x14ac:dyDescent="0.3">
      <c r="B42" s="422" t="s">
        <v>129</v>
      </c>
      <c r="C42" s="562" t="s">
        <v>130</v>
      </c>
      <c r="D42" s="563"/>
      <c r="E42" s="423" t="s">
        <v>139</v>
      </c>
      <c r="F42" s="424" t="s">
        <v>135</v>
      </c>
      <c r="H42" s="255"/>
    </row>
    <row r="43" spans="2:9" ht="18.600000000000001" thickBot="1" x14ac:dyDescent="0.35">
      <c r="B43" s="237">
        <f>(60/F43)*(E39*F41)</f>
        <v>1159.3838028169014</v>
      </c>
      <c r="C43" s="527">
        <f>(60/F43)*(D39*F41)</f>
        <v>811.56866197183092</v>
      </c>
      <c r="D43" s="528"/>
      <c r="E43" s="507">
        <v>1</v>
      </c>
      <c r="F43" s="250">
        <f>(60*C41*I38)/(I39*E43*B41)</f>
        <v>15.525488588219217</v>
      </c>
      <c r="H43" s="255"/>
    </row>
    <row r="44" spans="2:9" ht="18.600000000000001" thickBot="1" x14ac:dyDescent="0.35">
      <c r="B44" s="238"/>
      <c r="C44" s="239"/>
      <c r="D44" s="239"/>
      <c r="E44" s="240"/>
      <c r="F44" s="247"/>
      <c r="H44" s="255"/>
    </row>
    <row r="45" spans="2:9" ht="21.6" thickBot="1" x14ac:dyDescent="0.35">
      <c r="B45" s="569" t="s">
        <v>219</v>
      </c>
      <c r="C45" s="570"/>
      <c r="D45" s="570"/>
      <c r="E45" s="570"/>
      <c r="F45" s="571"/>
      <c r="H45" s="255"/>
    </row>
    <row r="46" spans="2:9" ht="18" x14ac:dyDescent="0.3">
      <c r="B46" s="412" t="s">
        <v>92</v>
      </c>
      <c r="C46" s="413" t="s">
        <v>125</v>
      </c>
      <c r="D46" s="413" t="s">
        <v>126</v>
      </c>
      <c r="E46" s="414" t="s">
        <v>131</v>
      </c>
      <c r="F46" s="416" t="s">
        <v>128</v>
      </c>
      <c r="H46" s="503" t="s">
        <v>214</v>
      </c>
      <c r="I46" s="502">
        <v>7.12</v>
      </c>
    </row>
    <row r="47" spans="2:9" ht="18.600000000000001" thickBot="1" x14ac:dyDescent="0.35">
      <c r="B47" s="508">
        <v>2.2999999999999998</v>
      </c>
      <c r="C47" s="509">
        <v>0.7</v>
      </c>
      <c r="D47" s="510">
        <v>80</v>
      </c>
      <c r="E47" s="425">
        <f>D47/C47</f>
        <v>114.28571428571429</v>
      </c>
      <c r="F47" s="244">
        <f>(E47*B47)*F49</f>
        <v>2102.8571428571427</v>
      </c>
      <c r="H47" s="503" t="s">
        <v>215</v>
      </c>
      <c r="I47" s="502">
        <v>1.22</v>
      </c>
    </row>
    <row r="48" spans="2:9" ht="18" x14ac:dyDescent="0.3">
      <c r="B48" s="421" t="s">
        <v>132</v>
      </c>
      <c r="C48" s="558" t="s">
        <v>133</v>
      </c>
      <c r="D48" s="559"/>
      <c r="E48" s="415" t="s">
        <v>138</v>
      </c>
      <c r="F48" s="416" t="s">
        <v>221</v>
      </c>
      <c r="H48" s="443" t="s">
        <v>107</v>
      </c>
    </row>
    <row r="49" spans="1:296" ht="18" x14ac:dyDescent="0.3">
      <c r="B49" s="511">
        <v>90</v>
      </c>
      <c r="C49" s="560">
        <v>4</v>
      </c>
      <c r="D49" s="561"/>
      <c r="E49" s="506">
        <f>E51*F47</f>
        <v>2102.8571428571427</v>
      </c>
      <c r="F49" s="512">
        <v>8</v>
      </c>
      <c r="H49" s="445">
        <v>0.32300000000000001</v>
      </c>
    </row>
    <row r="50" spans="1:296" ht="18" x14ac:dyDescent="0.3">
      <c r="B50" s="422" t="s">
        <v>129</v>
      </c>
      <c r="C50" s="562" t="s">
        <v>130</v>
      </c>
      <c r="D50" s="563"/>
      <c r="E50" s="423" t="s">
        <v>139</v>
      </c>
      <c r="F50" s="424" t="s">
        <v>135</v>
      </c>
      <c r="H50" s="255"/>
    </row>
    <row r="51" spans="1:296" ht="18.600000000000001" thickBot="1" x14ac:dyDescent="0.35">
      <c r="B51" s="237">
        <f>(60/F51)*(E47*F49)</f>
        <v>3524.8796147672556</v>
      </c>
      <c r="C51" s="527">
        <f>(60/F51)*(D47*F49)</f>
        <v>2467.4157303370789</v>
      </c>
      <c r="D51" s="528"/>
      <c r="E51" s="507">
        <v>1</v>
      </c>
      <c r="F51" s="250">
        <f>(60*C49*I46)/(I47*E51*B49)</f>
        <v>15.562841530054644</v>
      </c>
      <c r="H51" s="255"/>
    </row>
    <row r="52" spans="1:296" ht="18.600000000000001" thickBot="1" x14ac:dyDescent="0.35">
      <c r="B52" s="238"/>
      <c r="C52" s="239"/>
      <c r="D52" s="239"/>
      <c r="E52" s="240"/>
      <c r="F52" s="247"/>
      <c r="H52" s="255"/>
    </row>
    <row r="53" spans="1:296" ht="21.6" thickBot="1" x14ac:dyDescent="0.35">
      <c r="B53" s="569" t="s">
        <v>168</v>
      </c>
      <c r="C53" s="570"/>
      <c r="D53" s="570"/>
      <c r="E53" s="570"/>
      <c r="F53" s="571"/>
      <c r="H53" s="255"/>
    </row>
    <row r="54" spans="1:296" ht="18" x14ac:dyDescent="0.3">
      <c r="B54" s="412" t="s">
        <v>92</v>
      </c>
      <c r="C54" s="413" t="s">
        <v>125</v>
      </c>
      <c r="D54" s="413" t="s">
        <v>126</v>
      </c>
      <c r="E54" s="414" t="s">
        <v>131</v>
      </c>
      <c r="F54" s="416" t="s">
        <v>128</v>
      </c>
      <c r="H54" s="443" t="s">
        <v>106</v>
      </c>
    </row>
    <row r="55" spans="1:296" ht="18.600000000000001" thickBot="1" x14ac:dyDescent="0.35">
      <c r="B55" s="508">
        <v>2.2999999999999998</v>
      </c>
      <c r="C55" s="509">
        <v>0.7</v>
      </c>
      <c r="D55" s="510">
        <v>30</v>
      </c>
      <c r="E55" s="426">
        <f>D55/C55</f>
        <v>42.857142857142861</v>
      </c>
      <c r="F55" s="245">
        <f>E55*B55*F57</f>
        <v>98.571428571428569</v>
      </c>
      <c r="H55" s="444">
        <v>8.9</v>
      </c>
    </row>
    <row r="56" spans="1:296" ht="18" x14ac:dyDescent="0.3">
      <c r="B56" s="421" t="s">
        <v>132</v>
      </c>
      <c r="C56" s="558" t="s">
        <v>133</v>
      </c>
      <c r="D56" s="559"/>
      <c r="E56" s="415" t="s">
        <v>138</v>
      </c>
      <c r="F56" s="416" t="s">
        <v>134</v>
      </c>
      <c r="H56" s="443" t="s">
        <v>107</v>
      </c>
    </row>
    <row r="57" spans="1:296" ht="18" x14ac:dyDescent="0.3">
      <c r="B57" s="511">
        <v>89</v>
      </c>
      <c r="C57" s="560">
        <v>2</v>
      </c>
      <c r="D57" s="561"/>
      <c r="E57" s="506">
        <f>E59*F55</f>
        <v>197.14285714285714</v>
      </c>
      <c r="F57" s="512">
        <v>1</v>
      </c>
      <c r="H57" s="445">
        <v>1.095</v>
      </c>
    </row>
    <row r="58" spans="1:296" ht="18" x14ac:dyDescent="0.3">
      <c r="B58" s="422" t="s">
        <v>129</v>
      </c>
      <c r="C58" s="562" t="s">
        <v>130</v>
      </c>
      <c r="D58" s="563"/>
      <c r="E58" s="423" t="s">
        <v>139</v>
      </c>
      <c r="F58" s="424" t="s">
        <v>135</v>
      </c>
      <c r="H58" s="255"/>
    </row>
    <row r="59" spans="1:296" ht="18.600000000000001" thickBot="1" x14ac:dyDescent="0.35">
      <c r="B59" s="237">
        <f>(60/F59)*(E55*F57)</f>
        <v>469.28571428571439</v>
      </c>
      <c r="C59" s="527">
        <f>(60/F59)*(D55*F57)</f>
        <v>328.50000000000006</v>
      </c>
      <c r="D59" s="528"/>
      <c r="E59" s="507">
        <v>2</v>
      </c>
      <c r="F59" s="250">
        <f>(60*C57*H55)/(H57*E59*B57)</f>
        <v>5.4794520547945202</v>
      </c>
      <c r="H59" s="255"/>
    </row>
    <row r="60" spans="1:296" ht="18.600000000000001" thickBot="1" x14ac:dyDescent="0.35">
      <c r="B60" s="241"/>
      <c r="C60" s="241"/>
      <c r="D60" s="241"/>
      <c r="E60" s="242"/>
      <c r="F60" s="242"/>
      <c r="H60" s="255"/>
    </row>
    <row r="61" spans="1:296" s="427" customFormat="1" ht="18.600000000000001" thickBot="1" x14ac:dyDescent="0.35">
      <c r="A61" s="70"/>
      <c r="B61" s="248"/>
      <c r="C61" s="248"/>
      <c r="D61" s="248"/>
      <c r="E61" s="243"/>
      <c r="F61" s="243"/>
      <c r="G61" s="70"/>
      <c r="H61" s="255"/>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0"/>
      <c r="CD61" s="70"/>
      <c r="CE61" s="70"/>
      <c r="CF61" s="70"/>
      <c r="CG61" s="70"/>
      <c r="CH61" s="70"/>
      <c r="CI61" s="70"/>
      <c r="CJ61" s="70"/>
      <c r="CK61" s="70"/>
      <c r="CL61" s="70"/>
      <c r="CM61" s="70"/>
      <c r="CN61" s="70"/>
      <c r="CO61" s="70"/>
      <c r="CP61" s="70"/>
      <c r="CQ61" s="70"/>
      <c r="CR61" s="70"/>
      <c r="CS61" s="70"/>
      <c r="CT61" s="70"/>
      <c r="CU61" s="70"/>
      <c r="CV61" s="70"/>
      <c r="CW61" s="70"/>
      <c r="CX61" s="70"/>
      <c r="CY61" s="70"/>
      <c r="CZ61" s="70"/>
      <c r="DA61" s="70"/>
      <c r="DB61" s="70"/>
      <c r="DC61" s="70"/>
      <c r="DD61" s="70"/>
      <c r="DE61" s="70"/>
      <c r="DF61" s="70"/>
      <c r="DG61" s="70"/>
      <c r="DH61" s="70"/>
      <c r="DI61" s="70"/>
      <c r="DJ61" s="70"/>
      <c r="DK61" s="70"/>
      <c r="DL61" s="70"/>
      <c r="DM61" s="70"/>
      <c r="DN61" s="70"/>
      <c r="DO61" s="70"/>
      <c r="DP61" s="70"/>
      <c r="DQ61" s="70"/>
      <c r="DR61" s="70"/>
      <c r="DS61" s="70"/>
      <c r="DT61" s="70"/>
      <c r="DU61" s="70"/>
      <c r="DV61" s="70"/>
      <c r="DW61" s="70"/>
      <c r="DX61" s="70"/>
      <c r="DY61" s="70"/>
      <c r="DZ61" s="70"/>
      <c r="EA61" s="70"/>
      <c r="EB61" s="70"/>
      <c r="EC61" s="70"/>
      <c r="ED61" s="70"/>
      <c r="EE61" s="70"/>
      <c r="EF61" s="70"/>
      <c r="EG61" s="70"/>
      <c r="EH61" s="70"/>
      <c r="EI61" s="70"/>
      <c r="EJ61" s="70"/>
      <c r="EK61" s="70"/>
      <c r="EL61" s="70"/>
      <c r="EM61" s="70"/>
      <c r="EN61" s="70"/>
      <c r="EO61" s="70"/>
      <c r="EP61" s="70"/>
      <c r="EQ61" s="70"/>
      <c r="ER61" s="70"/>
      <c r="ES61" s="70"/>
      <c r="ET61" s="70"/>
      <c r="EU61" s="70"/>
      <c r="EV61" s="70"/>
      <c r="EW61" s="70"/>
      <c r="EX61" s="70"/>
      <c r="EY61" s="70"/>
      <c r="EZ61" s="70"/>
      <c r="FA61" s="70"/>
      <c r="FB61" s="70"/>
      <c r="FC61" s="70"/>
      <c r="FD61" s="70"/>
      <c r="FE61" s="70"/>
      <c r="FF61" s="70"/>
      <c r="FG61" s="70"/>
      <c r="FH61" s="70"/>
      <c r="FI61" s="70"/>
      <c r="FJ61" s="70"/>
      <c r="FK61" s="70"/>
      <c r="FL61" s="70"/>
      <c r="FM61" s="70"/>
      <c r="FN61" s="70"/>
      <c r="FO61" s="70"/>
      <c r="FP61" s="70"/>
      <c r="FQ61" s="70"/>
      <c r="FR61" s="70"/>
      <c r="FS61" s="70"/>
      <c r="FT61" s="70"/>
      <c r="FU61" s="70"/>
      <c r="FV61" s="70"/>
      <c r="FW61" s="70"/>
      <c r="FX61" s="70"/>
      <c r="FY61" s="70"/>
      <c r="FZ61" s="70"/>
      <c r="GA61" s="70"/>
      <c r="GB61" s="70"/>
      <c r="GC61" s="70"/>
      <c r="GD61" s="70"/>
      <c r="GE61" s="70"/>
      <c r="GF61" s="70"/>
      <c r="GG61" s="70"/>
      <c r="GH61" s="70"/>
      <c r="GI61" s="70"/>
      <c r="GJ61" s="70"/>
      <c r="GK61" s="70"/>
      <c r="GL61" s="70"/>
      <c r="GM61" s="70"/>
      <c r="GN61" s="70"/>
      <c r="GO61" s="70"/>
      <c r="GP61" s="70"/>
      <c r="GQ61" s="70"/>
      <c r="GR61" s="70"/>
      <c r="GS61" s="70"/>
      <c r="GT61" s="70"/>
      <c r="GU61" s="70"/>
      <c r="GV61" s="70"/>
      <c r="GW61" s="70"/>
      <c r="GX61" s="70"/>
      <c r="GY61" s="70"/>
      <c r="GZ61" s="70"/>
      <c r="HA61" s="70"/>
      <c r="HB61" s="70"/>
      <c r="HC61" s="70"/>
      <c r="HD61" s="70"/>
      <c r="HE61" s="70"/>
      <c r="HF61" s="70"/>
      <c r="HG61" s="70"/>
      <c r="HH61" s="70"/>
      <c r="HI61" s="70"/>
      <c r="HJ61" s="70"/>
      <c r="HK61" s="70"/>
      <c r="HL61" s="70"/>
      <c r="HM61" s="70"/>
      <c r="HN61" s="70"/>
      <c r="HO61" s="70"/>
      <c r="HP61" s="70"/>
      <c r="HQ61" s="70"/>
      <c r="HR61" s="70"/>
      <c r="HS61" s="70"/>
      <c r="HT61" s="70"/>
      <c r="HU61" s="70"/>
      <c r="HV61" s="70"/>
      <c r="HW61" s="70"/>
      <c r="HX61" s="70"/>
      <c r="HY61" s="70"/>
      <c r="HZ61" s="70"/>
      <c r="IA61" s="70"/>
      <c r="IB61" s="70"/>
      <c r="IC61" s="70"/>
      <c r="ID61" s="70"/>
      <c r="IE61" s="70"/>
      <c r="IF61" s="70"/>
      <c r="IG61" s="70"/>
      <c r="IH61" s="70"/>
      <c r="II61" s="70"/>
      <c r="IJ61" s="70"/>
      <c r="IK61" s="70"/>
      <c r="IL61" s="70"/>
      <c r="IM61" s="70"/>
      <c r="IN61" s="70"/>
      <c r="IO61" s="70"/>
      <c r="IP61" s="70"/>
      <c r="IQ61" s="70"/>
      <c r="IR61" s="70"/>
      <c r="IS61" s="70"/>
      <c r="IT61" s="70"/>
      <c r="IU61" s="70"/>
      <c r="IV61" s="70"/>
      <c r="IW61" s="70"/>
      <c r="IX61" s="70"/>
      <c r="IY61" s="70"/>
      <c r="IZ61" s="70"/>
      <c r="JA61" s="70"/>
      <c r="JB61" s="70"/>
      <c r="JC61" s="70"/>
      <c r="JD61" s="70"/>
      <c r="JE61" s="70"/>
      <c r="JF61" s="70"/>
      <c r="JG61" s="70"/>
      <c r="JH61" s="70"/>
      <c r="JI61" s="70"/>
      <c r="JJ61" s="70"/>
      <c r="JK61" s="70"/>
      <c r="JL61" s="70"/>
      <c r="JM61" s="70"/>
      <c r="JN61" s="70"/>
      <c r="JO61" s="70"/>
      <c r="JP61" s="70"/>
      <c r="JQ61" s="70"/>
      <c r="JR61" s="70"/>
      <c r="JS61" s="70"/>
      <c r="JT61" s="70"/>
      <c r="JU61" s="70"/>
      <c r="JV61" s="70"/>
      <c r="JW61" s="70"/>
      <c r="JX61" s="70"/>
      <c r="JY61" s="70"/>
      <c r="JZ61" s="70"/>
      <c r="KA61" s="70"/>
      <c r="KB61" s="70"/>
      <c r="KC61" s="70"/>
      <c r="KD61" s="70"/>
      <c r="KE61" s="70"/>
      <c r="KF61" s="70"/>
      <c r="KG61" s="70"/>
      <c r="KH61" s="70"/>
      <c r="KI61" s="70"/>
      <c r="KJ61" s="70"/>
    </row>
    <row r="62" spans="1:296" ht="21" x14ac:dyDescent="0.3">
      <c r="B62" s="565"/>
      <c r="C62" s="565"/>
      <c r="D62" s="565"/>
      <c r="E62" s="565"/>
      <c r="F62" s="565"/>
      <c r="H62" s="443" t="s">
        <v>106</v>
      </c>
    </row>
    <row r="63" spans="1:296" ht="18" x14ac:dyDescent="0.3">
      <c r="B63" s="428"/>
      <c r="C63" s="429"/>
      <c r="D63" s="429"/>
      <c r="E63" s="429"/>
      <c r="F63" s="429"/>
      <c r="H63" s="444">
        <v>8.9</v>
      </c>
    </row>
    <row r="64" spans="1:296" ht="18" x14ac:dyDescent="0.3">
      <c r="B64" s="430"/>
      <c r="C64" s="431"/>
      <c r="D64" s="432"/>
      <c r="E64" s="432"/>
      <c r="F64" s="248"/>
      <c r="H64" s="443" t="s">
        <v>107</v>
      </c>
    </row>
    <row r="65" spans="2:8" ht="18" x14ac:dyDescent="0.3">
      <c r="B65" s="429"/>
      <c r="C65" s="568"/>
      <c r="D65" s="568"/>
      <c r="E65" s="429"/>
      <c r="F65" s="429"/>
      <c r="H65" s="445">
        <v>1.095</v>
      </c>
    </row>
    <row r="66" spans="2:8" ht="18" x14ac:dyDescent="0.3">
      <c r="B66" s="433"/>
      <c r="C66" s="567"/>
      <c r="D66" s="567"/>
      <c r="E66" s="432"/>
      <c r="F66" s="434"/>
    </row>
    <row r="67" spans="2:8" ht="18" x14ac:dyDescent="0.3">
      <c r="B67" s="429"/>
      <c r="C67" s="564"/>
      <c r="D67" s="564"/>
      <c r="E67" s="429"/>
      <c r="F67" s="429"/>
    </row>
    <row r="68" spans="2:8" ht="18" x14ac:dyDescent="0.3">
      <c r="B68" s="248"/>
      <c r="C68" s="566"/>
      <c r="D68" s="566"/>
      <c r="E68" s="243"/>
      <c r="F68" s="243"/>
    </row>
    <row r="69" spans="2:8" ht="21" x14ac:dyDescent="0.3">
      <c r="B69" s="565"/>
      <c r="C69" s="565"/>
      <c r="D69" s="565"/>
      <c r="E69" s="565"/>
      <c r="F69" s="565"/>
    </row>
    <row r="70" spans="2:8" ht="18" x14ac:dyDescent="0.3">
      <c r="B70" s="428"/>
      <c r="C70" s="429"/>
      <c r="D70" s="429"/>
      <c r="E70" s="429"/>
      <c r="F70" s="429"/>
    </row>
    <row r="71" spans="2:8" ht="18" x14ac:dyDescent="0.3">
      <c r="B71" s="430"/>
      <c r="C71" s="431"/>
      <c r="D71" s="432"/>
      <c r="E71" s="432"/>
      <c r="F71" s="248"/>
    </row>
    <row r="72" spans="2:8" ht="18" x14ac:dyDescent="0.3">
      <c r="B72" s="429"/>
      <c r="C72" s="568"/>
      <c r="D72" s="568"/>
      <c r="E72" s="429"/>
      <c r="F72" s="429"/>
    </row>
    <row r="73" spans="2:8" ht="18" x14ac:dyDescent="0.3">
      <c r="B73" s="433"/>
      <c r="C73" s="567"/>
      <c r="D73" s="567"/>
      <c r="E73" s="432"/>
      <c r="F73" s="434"/>
    </row>
    <row r="74" spans="2:8" ht="18" x14ac:dyDescent="0.3">
      <c r="B74" s="429"/>
      <c r="C74" s="564"/>
      <c r="D74" s="564"/>
      <c r="E74" s="429"/>
      <c r="F74" s="429"/>
    </row>
    <row r="75" spans="2:8" ht="18" x14ac:dyDescent="0.3">
      <c r="B75" s="248"/>
      <c r="C75" s="566"/>
      <c r="D75" s="566"/>
      <c r="E75" s="243"/>
      <c r="F75" s="243"/>
    </row>
    <row r="76" spans="2:8" ht="21" x14ac:dyDescent="0.3">
      <c r="B76" s="565"/>
      <c r="C76" s="565"/>
      <c r="D76" s="565"/>
      <c r="E76" s="565"/>
      <c r="F76" s="565"/>
    </row>
    <row r="77" spans="2:8" ht="18" x14ac:dyDescent="0.3">
      <c r="B77" s="428"/>
      <c r="C77" s="429"/>
      <c r="D77" s="429"/>
      <c r="E77" s="429"/>
      <c r="F77" s="429"/>
    </row>
    <row r="78" spans="2:8" ht="18" x14ac:dyDescent="0.3">
      <c r="B78" s="430"/>
      <c r="C78" s="431"/>
      <c r="D78" s="432"/>
      <c r="E78" s="432"/>
      <c r="F78" s="248"/>
    </row>
    <row r="79" spans="2:8" ht="18" x14ac:dyDescent="0.3">
      <c r="B79" s="429"/>
      <c r="C79" s="568"/>
      <c r="D79" s="568"/>
      <c r="E79" s="429"/>
      <c r="F79" s="429"/>
    </row>
    <row r="80" spans="2:8" ht="18" x14ac:dyDescent="0.3">
      <c r="B80" s="433"/>
      <c r="C80" s="567"/>
      <c r="D80" s="567"/>
      <c r="E80" s="432"/>
      <c r="F80" s="434"/>
    </row>
    <row r="81" spans="2:6" ht="18" x14ac:dyDescent="0.3">
      <c r="B81" s="429"/>
      <c r="C81" s="564"/>
      <c r="D81" s="564"/>
      <c r="E81" s="429"/>
      <c r="F81" s="429"/>
    </row>
    <row r="82" spans="2:6" ht="18" x14ac:dyDescent="0.3">
      <c r="B82" s="248"/>
      <c r="C82" s="566"/>
      <c r="D82" s="566"/>
      <c r="E82" s="243"/>
      <c r="F82" s="243"/>
    </row>
    <row r="83" spans="2:6" ht="21" x14ac:dyDescent="0.3">
      <c r="B83" s="565"/>
      <c r="C83" s="565"/>
      <c r="D83" s="565"/>
      <c r="E83" s="565"/>
      <c r="F83" s="565"/>
    </row>
    <row r="84" spans="2:6" ht="18" x14ac:dyDescent="0.3">
      <c r="B84" s="428"/>
      <c r="C84" s="429"/>
      <c r="D84" s="429"/>
      <c r="E84" s="429"/>
      <c r="F84" s="429"/>
    </row>
    <row r="85" spans="2:6" ht="18" x14ac:dyDescent="0.3">
      <c r="B85" s="430"/>
      <c r="C85" s="431"/>
      <c r="D85" s="432"/>
      <c r="E85" s="432"/>
      <c r="F85" s="248"/>
    </row>
    <row r="86" spans="2:6" ht="18" x14ac:dyDescent="0.3">
      <c r="B86" s="429"/>
      <c r="C86" s="568"/>
      <c r="D86" s="568"/>
      <c r="E86" s="429"/>
      <c r="F86" s="429"/>
    </row>
    <row r="87" spans="2:6" ht="18" x14ac:dyDescent="0.3">
      <c r="B87" s="433"/>
      <c r="C87" s="567"/>
      <c r="D87" s="567"/>
      <c r="E87" s="432"/>
      <c r="F87" s="434"/>
    </row>
    <row r="88" spans="2:6" ht="18" x14ac:dyDescent="0.3">
      <c r="B88" s="429"/>
      <c r="C88" s="564"/>
      <c r="D88" s="564"/>
      <c r="E88" s="429"/>
      <c r="F88" s="429"/>
    </row>
    <row r="89" spans="2:6" ht="18" x14ac:dyDescent="0.3">
      <c r="B89" s="248"/>
      <c r="C89" s="566"/>
      <c r="D89" s="566"/>
      <c r="E89" s="243"/>
      <c r="F89" s="243"/>
    </row>
    <row r="90" spans="2:6" ht="21" x14ac:dyDescent="0.3">
      <c r="B90" s="565"/>
      <c r="C90" s="565"/>
      <c r="D90" s="565"/>
      <c r="E90" s="565"/>
      <c r="F90" s="565"/>
    </row>
    <row r="91" spans="2:6" ht="18" x14ac:dyDescent="0.3">
      <c r="B91" s="428"/>
      <c r="C91" s="429"/>
      <c r="D91" s="429"/>
      <c r="E91" s="429"/>
      <c r="F91" s="429"/>
    </row>
    <row r="92" spans="2:6" ht="18" x14ac:dyDescent="0.3">
      <c r="B92" s="430"/>
      <c r="C92" s="431"/>
      <c r="D92" s="432"/>
      <c r="E92" s="432"/>
      <c r="F92" s="248"/>
    </row>
    <row r="93" spans="2:6" ht="18" x14ac:dyDescent="0.3">
      <c r="B93" s="429"/>
      <c r="C93" s="568"/>
      <c r="D93" s="568"/>
      <c r="E93" s="429"/>
      <c r="F93" s="429"/>
    </row>
    <row r="94" spans="2:6" ht="18" x14ac:dyDescent="0.3">
      <c r="B94" s="433"/>
      <c r="C94" s="567"/>
      <c r="D94" s="567"/>
      <c r="E94" s="432"/>
      <c r="F94" s="434"/>
    </row>
    <row r="95" spans="2:6" ht="18" x14ac:dyDescent="0.3">
      <c r="B95" s="429"/>
      <c r="C95" s="564"/>
      <c r="D95" s="564"/>
      <c r="E95" s="429"/>
      <c r="F95" s="429"/>
    </row>
    <row r="96" spans="2:6" ht="18" x14ac:dyDescent="0.3">
      <c r="B96" s="248"/>
      <c r="C96" s="566"/>
      <c r="D96" s="566"/>
      <c r="E96" s="243"/>
      <c r="F96" s="243"/>
    </row>
    <row r="97" spans="2:6" ht="21" x14ac:dyDescent="0.3">
      <c r="B97" s="565"/>
      <c r="C97" s="565"/>
      <c r="D97" s="565"/>
      <c r="E97" s="565"/>
      <c r="F97" s="565"/>
    </row>
    <row r="98" spans="2:6" ht="18" x14ac:dyDescent="0.3">
      <c r="B98" s="428"/>
      <c r="C98" s="429"/>
      <c r="D98" s="429"/>
      <c r="E98" s="429"/>
      <c r="F98" s="429"/>
    </row>
    <row r="99" spans="2:6" ht="18" x14ac:dyDescent="0.3">
      <c r="B99" s="430"/>
      <c r="C99" s="431"/>
      <c r="D99" s="432"/>
      <c r="E99" s="432"/>
      <c r="F99" s="248"/>
    </row>
    <row r="100" spans="2:6" ht="18" x14ac:dyDescent="0.3">
      <c r="B100" s="429"/>
      <c r="C100" s="568"/>
      <c r="D100" s="568"/>
      <c r="E100" s="429"/>
      <c r="F100" s="429"/>
    </row>
    <row r="101" spans="2:6" ht="18" x14ac:dyDescent="0.3">
      <c r="B101" s="433"/>
      <c r="C101" s="567"/>
      <c r="D101" s="567"/>
      <c r="E101" s="432"/>
      <c r="F101" s="434"/>
    </row>
    <row r="102" spans="2:6" ht="18" x14ac:dyDescent="0.3">
      <c r="B102" s="429"/>
      <c r="C102" s="564"/>
      <c r="D102" s="564"/>
      <c r="E102" s="429"/>
      <c r="F102" s="429"/>
    </row>
    <row r="103" spans="2:6" ht="18" x14ac:dyDescent="0.3">
      <c r="B103" s="248"/>
      <c r="C103" s="566"/>
      <c r="D103" s="566"/>
      <c r="E103" s="243"/>
      <c r="F103" s="243"/>
    </row>
    <row r="104" spans="2:6" ht="21" x14ac:dyDescent="0.3">
      <c r="B104" s="565"/>
      <c r="C104" s="565"/>
      <c r="D104" s="565"/>
      <c r="E104" s="565"/>
      <c r="F104" s="565"/>
    </row>
    <row r="105" spans="2:6" ht="18" x14ac:dyDescent="0.3">
      <c r="B105" s="428"/>
      <c r="C105" s="429"/>
      <c r="D105" s="429"/>
      <c r="E105" s="429"/>
      <c r="F105" s="429"/>
    </row>
    <row r="106" spans="2:6" ht="18" x14ac:dyDescent="0.3">
      <c r="B106" s="430"/>
      <c r="C106" s="431"/>
      <c r="D106" s="432"/>
      <c r="E106" s="432"/>
      <c r="F106" s="248"/>
    </row>
    <row r="107" spans="2:6" ht="18" x14ac:dyDescent="0.3">
      <c r="B107" s="429"/>
      <c r="C107" s="568"/>
      <c r="D107" s="568"/>
      <c r="E107" s="429"/>
      <c r="F107" s="429"/>
    </row>
    <row r="108" spans="2:6" ht="18" x14ac:dyDescent="0.3">
      <c r="B108" s="433"/>
      <c r="C108" s="567"/>
      <c r="D108" s="567"/>
      <c r="E108" s="432"/>
      <c r="F108" s="434"/>
    </row>
    <row r="109" spans="2:6" ht="18" x14ac:dyDescent="0.3">
      <c r="B109" s="429"/>
      <c r="C109" s="564"/>
      <c r="D109" s="564"/>
      <c r="E109" s="429"/>
      <c r="F109" s="429"/>
    </row>
    <row r="110" spans="2:6" ht="18" x14ac:dyDescent="0.3">
      <c r="B110" s="248"/>
      <c r="C110" s="566"/>
      <c r="D110" s="566"/>
      <c r="E110" s="243"/>
      <c r="F110" s="243"/>
    </row>
    <row r="111" spans="2:6" ht="21" x14ac:dyDescent="0.3">
      <c r="B111" s="565"/>
      <c r="C111" s="565"/>
      <c r="D111" s="565"/>
      <c r="E111" s="565"/>
      <c r="F111" s="565"/>
    </row>
    <row r="112" spans="2:6" ht="18" x14ac:dyDescent="0.3">
      <c r="B112" s="428"/>
      <c r="C112" s="429"/>
      <c r="D112" s="429"/>
      <c r="E112" s="429"/>
      <c r="F112" s="429"/>
    </row>
    <row r="113" spans="2:6" ht="18" x14ac:dyDescent="0.3">
      <c r="B113" s="430"/>
      <c r="C113" s="431"/>
      <c r="D113" s="432"/>
      <c r="E113" s="432"/>
      <c r="F113" s="248"/>
    </row>
    <row r="114" spans="2:6" ht="18" x14ac:dyDescent="0.3">
      <c r="B114" s="429"/>
      <c r="C114" s="568"/>
      <c r="D114" s="568"/>
      <c r="E114" s="429"/>
      <c r="F114" s="429"/>
    </row>
    <row r="115" spans="2:6" ht="18" x14ac:dyDescent="0.3">
      <c r="B115" s="433"/>
      <c r="C115" s="567"/>
      <c r="D115" s="567"/>
      <c r="E115" s="432"/>
      <c r="F115" s="434"/>
    </row>
    <row r="116" spans="2:6" ht="18" x14ac:dyDescent="0.3">
      <c r="B116" s="429"/>
      <c r="C116" s="564"/>
      <c r="D116" s="564"/>
      <c r="E116" s="429"/>
      <c r="F116" s="429"/>
    </row>
    <row r="117" spans="2:6" ht="18" x14ac:dyDescent="0.3">
      <c r="B117" s="248"/>
      <c r="C117" s="566"/>
      <c r="D117" s="566"/>
      <c r="E117" s="243"/>
      <c r="F117" s="243"/>
    </row>
    <row r="118" spans="2:6" ht="21" x14ac:dyDescent="0.3">
      <c r="B118" s="565"/>
      <c r="C118" s="565"/>
      <c r="D118" s="565"/>
      <c r="E118" s="565"/>
      <c r="F118" s="565"/>
    </row>
    <row r="119" spans="2:6" ht="18" x14ac:dyDescent="0.3">
      <c r="B119" s="428"/>
      <c r="C119" s="429"/>
      <c r="D119" s="429"/>
      <c r="E119" s="429"/>
      <c r="F119" s="429"/>
    </row>
    <row r="120" spans="2:6" ht="18" x14ac:dyDescent="0.3">
      <c r="B120" s="430"/>
      <c r="C120" s="431"/>
      <c r="D120" s="432"/>
      <c r="E120" s="432"/>
      <c r="F120" s="248"/>
    </row>
    <row r="121" spans="2:6" ht="18" x14ac:dyDescent="0.3">
      <c r="B121" s="429"/>
      <c r="C121" s="568"/>
      <c r="D121" s="568"/>
      <c r="E121" s="429"/>
      <c r="F121" s="429"/>
    </row>
    <row r="122" spans="2:6" ht="18" x14ac:dyDescent="0.3">
      <c r="B122" s="433"/>
      <c r="C122" s="567"/>
      <c r="D122" s="567"/>
      <c r="E122" s="432"/>
      <c r="F122" s="434"/>
    </row>
    <row r="123" spans="2:6" ht="18" x14ac:dyDescent="0.3">
      <c r="B123" s="429"/>
      <c r="C123" s="564"/>
      <c r="D123" s="564"/>
      <c r="E123" s="429"/>
      <c r="F123" s="429"/>
    </row>
    <row r="124" spans="2:6" ht="18" x14ac:dyDescent="0.3">
      <c r="B124" s="248"/>
      <c r="C124" s="566"/>
      <c r="D124" s="566"/>
      <c r="E124" s="243"/>
      <c r="F124" s="243"/>
    </row>
    <row r="125" spans="2:6" ht="21" x14ac:dyDescent="0.3">
      <c r="B125" s="565"/>
      <c r="C125" s="565"/>
      <c r="D125" s="565"/>
      <c r="E125" s="565"/>
      <c r="F125" s="565"/>
    </row>
    <row r="126" spans="2:6" ht="18" x14ac:dyDescent="0.3">
      <c r="B126" s="428"/>
      <c r="C126" s="429"/>
      <c r="D126" s="429"/>
      <c r="E126" s="429"/>
      <c r="F126" s="429"/>
    </row>
    <row r="127" spans="2:6" ht="18" x14ac:dyDescent="0.3">
      <c r="B127" s="430"/>
      <c r="C127" s="431"/>
      <c r="D127" s="432"/>
      <c r="E127" s="435"/>
      <c r="F127" s="248"/>
    </row>
    <row r="128" spans="2:6" ht="18" x14ac:dyDescent="0.3">
      <c r="B128" s="564"/>
      <c r="C128" s="564"/>
      <c r="D128" s="564"/>
      <c r="E128" s="564"/>
      <c r="F128" s="564"/>
    </row>
    <row r="129" spans="2:6" ht="18" x14ac:dyDescent="0.3">
      <c r="B129" s="555"/>
      <c r="C129" s="556"/>
      <c r="D129" s="556"/>
      <c r="E129" s="557"/>
      <c r="F129" s="557"/>
    </row>
    <row r="130" spans="2:6" ht="21" x14ac:dyDescent="0.3">
      <c r="B130" s="565"/>
      <c r="C130" s="565"/>
      <c r="D130" s="565"/>
      <c r="E130" s="565"/>
      <c r="F130" s="565"/>
    </row>
    <row r="131" spans="2:6" ht="18" x14ac:dyDescent="0.3">
      <c r="B131" s="428"/>
      <c r="C131" s="429"/>
      <c r="D131" s="429"/>
      <c r="E131" s="429"/>
      <c r="F131" s="429"/>
    </row>
    <row r="132" spans="2:6" ht="18" x14ac:dyDescent="0.3">
      <c r="B132" s="430"/>
      <c r="C132" s="431"/>
      <c r="D132" s="432"/>
      <c r="E132" s="435"/>
      <c r="F132" s="248"/>
    </row>
    <row r="133" spans="2:6" ht="18" x14ac:dyDescent="0.3">
      <c r="B133" s="564"/>
      <c r="C133" s="564"/>
      <c r="D133" s="564"/>
      <c r="E133" s="564"/>
      <c r="F133" s="564"/>
    </row>
    <row r="134" spans="2:6" ht="18" x14ac:dyDescent="0.3">
      <c r="B134" s="555"/>
      <c r="C134" s="556"/>
      <c r="D134" s="556"/>
      <c r="E134" s="557"/>
      <c r="F134" s="557"/>
    </row>
    <row r="135" spans="2:6" ht="21" x14ac:dyDescent="0.3">
      <c r="B135" s="565"/>
      <c r="C135" s="565"/>
      <c r="D135" s="565"/>
      <c r="E135" s="565"/>
      <c r="F135" s="565"/>
    </row>
    <row r="136" spans="2:6" ht="18" x14ac:dyDescent="0.3">
      <c r="B136" s="428"/>
      <c r="C136" s="429"/>
      <c r="D136" s="429"/>
      <c r="E136" s="429"/>
      <c r="F136" s="429"/>
    </row>
    <row r="137" spans="2:6" ht="18" x14ac:dyDescent="0.3">
      <c r="B137" s="430"/>
      <c r="C137" s="431"/>
      <c r="D137" s="432"/>
      <c r="E137" s="435"/>
      <c r="F137" s="248"/>
    </row>
    <row r="138" spans="2:6" ht="18" x14ac:dyDescent="0.3">
      <c r="B138" s="564"/>
      <c r="C138" s="564"/>
      <c r="D138" s="564"/>
      <c r="E138" s="564"/>
      <c r="F138" s="564"/>
    </row>
    <row r="139" spans="2:6" ht="18" x14ac:dyDescent="0.3">
      <c r="B139" s="555"/>
      <c r="C139" s="556"/>
      <c r="D139" s="556"/>
      <c r="E139" s="557"/>
      <c r="F139" s="557"/>
    </row>
  </sheetData>
  <protectedRanges>
    <protectedRange sqref="B7:D7 B15:D15 B17:F17 B23:D23 B25:F25 B31:D31 B39:D39 B41:F41 B47:D47 B49:F49 B56 B55:D55 B57:F57" name="Intervalo1"/>
    <protectedRange sqref="C9 F9 F11" name="Intervalo1_1"/>
    <protectedRange sqref="C33 F33 F35:F36" name="Intervalo1_2"/>
  </protectedRanges>
  <mergeCells count="90">
    <mergeCell ref="B4:F4"/>
    <mergeCell ref="B5:F5"/>
    <mergeCell ref="C25:D25"/>
    <mergeCell ref="C8:D8"/>
    <mergeCell ref="C9:D9"/>
    <mergeCell ref="C10:D10"/>
    <mergeCell ref="C26:D26"/>
    <mergeCell ref="C24:D24"/>
    <mergeCell ref="B21:F21"/>
    <mergeCell ref="B13:F13"/>
    <mergeCell ref="C41:D41"/>
    <mergeCell ref="C42:D42"/>
    <mergeCell ref="C40:D40"/>
    <mergeCell ref="B37:F37"/>
    <mergeCell ref="B29:F29"/>
    <mergeCell ref="C32:D32"/>
    <mergeCell ref="C33:D33"/>
    <mergeCell ref="C34:D34"/>
    <mergeCell ref="C49:D49"/>
    <mergeCell ref="C50:D50"/>
    <mergeCell ref="C48:D48"/>
    <mergeCell ref="B45:F45"/>
    <mergeCell ref="C57:D57"/>
    <mergeCell ref="C56:D56"/>
    <mergeCell ref="B53:F53"/>
    <mergeCell ref="C58:D58"/>
    <mergeCell ref="C79:D79"/>
    <mergeCell ref="C75:D75"/>
    <mergeCell ref="B76:F76"/>
    <mergeCell ref="C73:D73"/>
    <mergeCell ref="C74:D74"/>
    <mergeCell ref="C65:D65"/>
    <mergeCell ref="C66:D66"/>
    <mergeCell ref="B62:F62"/>
    <mergeCell ref="C72:D72"/>
    <mergeCell ref="C67:D67"/>
    <mergeCell ref="B69:F69"/>
    <mergeCell ref="C68:D68"/>
    <mergeCell ref="C86:D86"/>
    <mergeCell ref="C82:D82"/>
    <mergeCell ref="B83:F83"/>
    <mergeCell ref="C80:D80"/>
    <mergeCell ref="C81:D81"/>
    <mergeCell ref="C93:D93"/>
    <mergeCell ref="C89:D89"/>
    <mergeCell ref="B90:F90"/>
    <mergeCell ref="C87:D87"/>
    <mergeCell ref="C88:D88"/>
    <mergeCell ref="C100:D100"/>
    <mergeCell ref="C96:D96"/>
    <mergeCell ref="B97:F97"/>
    <mergeCell ref="C94:D94"/>
    <mergeCell ref="C95:D95"/>
    <mergeCell ref="C107:D107"/>
    <mergeCell ref="C103:D103"/>
    <mergeCell ref="B104:F104"/>
    <mergeCell ref="C101:D101"/>
    <mergeCell ref="C102:D102"/>
    <mergeCell ref="C114:D114"/>
    <mergeCell ref="C110:D110"/>
    <mergeCell ref="B111:F111"/>
    <mergeCell ref="C108:D108"/>
    <mergeCell ref="C109:D109"/>
    <mergeCell ref="C121:D121"/>
    <mergeCell ref="C117:D117"/>
    <mergeCell ref="B118:F118"/>
    <mergeCell ref="C115:D115"/>
    <mergeCell ref="C116:D116"/>
    <mergeCell ref="B128:D128"/>
    <mergeCell ref="E128:F128"/>
    <mergeCell ref="C124:D124"/>
    <mergeCell ref="B125:F125"/>
    <mergeCell ref="C122:D122"/>
    <mergeCell ref="C123:D123"/>
    <mergeCell ref="B139:D139"/>
    <mergeCell ref="E139:F139"/>
    <mergeCell ref="C2:E2"/>
    <mergeCell ref="C16:D16"/>
    <mergeCell ref="C17:D17"/>
    <mergeCell ref="C18:D18"/>
    <mergeCell ref="B138:D138"/>
    <mergeCell ref="E138:F138"/>
    <mergeCell ref="B134:D134"/>
    <mergeCell ref="E134:F134"/>
    <mergeCell ref="B135:F135"/>
    <mergeCell ref="B133:D133"/>
    <mergeCell ref="E133:F133"/>
    <mergeCell ref="B129:D129"/>
    <mergeCell ref="E129:F129"/>
    <mergeCell ref="B130:F130"/>
  </mergeCells>
  <hyperlinks>
    <hyperlink ref="A2" location="Menu!A1" display="Menu" xr:uid="{00000000-0004-0000-0500-000000000000}"/>
  </hyperlinks>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P111"/>
  <sheetViews>
    <sheetView workbookViewId="0">
      <selection activeCell="A2" sqref="A2"/>
    </sheetView>
  </sheetViews>
  <sheetFormatPr defaultColWidth="9.109375" defaultRowHeight="14.4" x14ac:dyDescent="0.3"/>
  <cols>
    <col min="1" max="1" width="11.88671875" style="37" bestFit="1" customWidth="1"/>
    <col min="2" max="2" width="24.88671875" style="37" bestFit="1" customWidth="1"/>
    <col min="3" max="3" width="11.88671875" style="37" bestFit="1" customWidth="1"/>
    <col min="4" max="4" width="15.109375" style="37" bestFit="1" customWidth="1"/>
    <col min="5" max="6" width="15.109375" style="37" customWidth="1"/>
    <col min="7" max="7" width="9.109375" style="37"/>
    <col min="8" max="8" width="24.109375" style="37" bestFit="1" customWidth="1"/>
    <col min="9" max="9" width="11.88671875" style="37" bestFit="1" customWidth="1"/>
    <col min="10" max="10" width="9.109375" style="37"/>
    <col min="11" max="11" width="13.6640625" style="37" bestFit="1" customWidth="1"/>
    <col min="12" max="12" width="9.109375" style="37"/>
    <col min="13" max="13" width="13.44140625" style="37" bestFit="1" customWidth="1"/>
    <col min="14" max="15" width="9.109375" style="37"/>
    <col min="16" max="16" width="9.109375" style="37" customWidth="1"/>
    <col min="17" max="16384" width="9.109375" style="37"/>
  </cols>
  <sheetData>
    <row r="1" spans="1:16" ht="15" thickBot="1" x14ac:dyDescent="0.35"/>
    <row r="2" spans="1:16" ht="29.4" thickBot="1" x14ac:dyDescent="0.55000000000000004">
      <c r="A2" s="392" t="s">
        <v>96</v>
      </c>
      <c r="C2" s="580" t="s">
        <v>103</v>
      </c>
      <c r="D2" s="580"/>
      <c r="E2" s="580"/>
      <c r="F2" s="580"/>
      <c r="G2" s="580"/>
      <c r="H2" s="580"/>
      <c r="I2" s="580"/>
      <c r="J2" s="580"/>
      <c r="K2" s="580"/>
      <c r="L2" s="580"/>
      <c r="M2" s="580"/>
    </row>
    <row r="6" spans="1:16" ht="21" x14ac:dyDescent="0.4">
      <c r="G6" s="393" t="s">
        <v>69</v>
      </c>
    </row>
    <row r="7" spans="1:16" ht="15" thickBot="1" x14ac:dyDescent="0.35"/>
    <row r="8" spans="1:16" ht="15" thickBot="1" x14ac:dyDescent="0.35">
      <c r="B8" s="150" t="s">
        <v>109</v>
      </c>
      <c r="C8" s="150" t="s">
        <v>93</v>
      </c>
      <c r="D8" s="150" t="s">
        <v>301</v>
      </c>
      <c r="E8" s="394" t="s">
        <v>94</v>
      </c>
      <c r="F8" s="394" t="s">
        <v>302</v>
      </c>
      <c r="H8" s="150" t="s">
        <v>109</v>
      </c>
      <c r="I8" s="151" t="s">
        <v>105</v>
      </c>
      <c r="J8" s="151"/>
      <c r="K8" s="404" t="s">
        <v>104</v>
      </c>
      <c r="M8" s="150" t="s">
        <v>109</v>
      </c>
      <c r="N8" s="533" t="s">
        <v>305</v>
      </c>
      <c r="O8" s="151" t="s">
        <v>304</v>
      </c>
      <c r="P8" s="151" t="s">
        <v>306</v>
      </c>
    </row>
    <row r="9" spans="1:16" x14ac:dyDescent="0.3">
      <c r="B9" s="105" t="s">
        <v>247</v>
      </c>
      <c r="C9" s="107">
        <f ca="1">I9/'Peças por Hora Galvanoplastia'!B11</f>
        <v>0</v>
      </c>
      <c r="D9" s="403">
        <f ca="1">I9/'Peças por Hora Galvanoplastia'!C11</f>
        <v>0</v>
      </c>
      <c r="E9" s="403">
        <f>K9/'Peças por Hora Galvanoplastia'!B11</f>
        <v>0</v>
      </c>
      <c r="F9" s="403">
        <f>K9/'Peças por Hora Galvanoplastia'!C11</f>
        <v>0</v>
      </c>
      <c r="H9" s="105" t="s">
        <v>247</v>
      </c>
      <c r="I9" s="110">
        <f ca="1">IF(J9=1,HLOOKUP(G6,'Resumo de Custo'!DS7:ED15,2,0),0)</f>
        <v>0</v>
      </c>
      <c r="J9" s="111">
        <v>1</v>
      </c>
      <c r="K9" s="395">
        <f>IF(J9=1,HLOOKUP(G6,'Resumo de Custo'!EF7:EQ15,2,0),0)</f>
        <v>0</v>
      </c>
      <c r="M9" s="105" t="s">
        <v>307</v>
      </c>
      <c r="N9" s="534">
        <v>1</v>
      </c>
      <c r="O9" s="536">
        <f ca="1">C20</f>
        <v>0</v>
      </c>
      <c r="P9" s="540">
        <f ca="1">D20</f>
        <v>0</v>
      </c>
    </row>
    <row r="10" spans="1:16" x14ac:dyDescent="0.3">
      <c r="B10" s="105"/>
      <c r="C10" s="107"/>
      <c r="D10" s="403"/>
      <c r="E10" s="403"/>
      <c r="F10" s="403"/>
      <c r="H10" s="118"/>
      <c r="I10" s="112"/>
      <c r="J10" s="113"/>
      <c r="K10" s="396"/>
      <c r="M10" s="118" t="s">
        <v>308</v>
      </c>
      <c r="N10" s="535">
        <v>0.15</v>
      </c>
      <c r="O10" s="537">
        <f ca="1">O9*N10</f>
        <v>0</v>
      </c>
      <c r="P10" s="541">
        <f ca="1">P9*N10</f>
        <v>0</v>
      </c>
    </row>
    <row r="11" spans="1:16" x14ac:dyDescent="0.3">
      <c r="B11" s="105"/>
      <c r="C11" s="107"/>
      <c r="D11" s="405"/>
      <c r="E11" s="405"/>
      <c r="F11" s="405"/>
      <c r="H11" s="118"/>
      <c r="I11" s="112"/>
      <c r="J11" s="113"/>
      <c r="K11" s="396"/>
      <c r="M11" s="118"/>
      <c r="N11" s="112"/>
      <c r="O11" s="113"/>
      <c r="P11" s="396"/>
    </row>
    <row r="12" spans="1:16" x14ac:dyDescent="0.3">
      <c r="B12" s="105"/>
      <c r="C12" s="107"/>
      <c r="D12" s="405"/>
      <c r="E12" s="405"/>
      <c r="F12" s="405"/>
      <c r="H12" s="118"/>
      <c r="I12" s="112"/>
      <c r="J12" s="113"/>
      <c r="K12" s="396"/>
      <c r="M12" s="118"/>
      <c r="N12" s="112"/>
      <c r="O12" s="113"/>
      <c r="P12" s="396"/>
    </row>
    <row r="13" spans="1:16" x14ac:dyDescent="0.3">
      <c r="B13" s="105"/>
      <c r="C13" s="107"/>
      <c r="D13" s="405"/>
      <c r="E13" s="405"/>
      <c r="F13" s="405"/>
      <c r="H13" s="118"/>
      <c r="I13" s="112"/>
      <c r="J13" s="114"/>
      <c r="K13" s="396"/>
      <c r="M13" s="118"/>
      <c r="N13" s="112"/>
      <c r="O13" s="114"/>
      <c r="P13" s="396"/>
    </row>
    <row r="14" spans="1:16" x14ac:dyDescent="0.3">
      <c r="B14" s="108"/>
      <c r="C14" s="107"/>
      <c r="D14" s="405"/>
      <c r="E14" s="405"/>
      <c r="F14" s="405"/>
      <c r="H14" s="118"/>
      <c r="I14" s="115"/>
      <c r="J14" s="114"/>
      <c r="K14" s="396"/>
      <c r="M14" s="118"/>
      <c r="N14" s="115"/>
      <c r="O14" s="114"/>
      <c r="P14" s="396"/>
    </row>
    <row r="15" spans="1:16" x14ac:dyDescent="0.3">
      <c r="B15" s="108"/>
      <c r="C15" s="107"/>
      <c r="D15" s="406"/>
      <c r="E15" s="406"/>
      <c r="F15" s="406"/>
      <c r="H15" s="118"/>
      <c r="I15" s="115"/>
      <c r="J15" s="114"/>
      <c r="K15" s="396"/>
      <c r="M15" s="118"/>
      <c r="N15" s="115"/>
      <c r="O15" s="114"/>
      <c r="P15" s="396"/>
    </row>
    <row r="16" spans="1:16" x14ac:dyDescent="0.3">
      <c r="B16" s="108"/>
      <c r="C16" s="107"/>
      <c r="D16" s="397"/>
      <c r="E16" s="397"/>
      <c r="F16" s="397"/>
      <c r="H16" s="118"/>
      <c r="I16" s="115"/>
      <c r="J16" s="114"/>
      <c r="K16" s="396"/>
      <c r="M16" s="118"/>
      <c r="N16" s="115"/>
      <c r="O16" s="114"/>
      <c r="P16" s="396"/>
    </row>
    <row r="17" spans="2:16" ht="15" thickBot="1" x14ac:dyDescent="0.35">
      <c r="B17" s="108"/>
      <c r="C17" s="107"/>
      <c r="D17" s="397"/>
      <c r="E17" s="397"/>
      <c r="F17" s="397"/>
      <c r="H17" s="118"/>
      <c r="I17" s="115"/>
      <c r="J17" s="114"/>
      <c r="K17" s="396"/>
      <c r="M17" s="118"/>
      <c r="N17" s="115"/>
      <c r="O17" s="114"/>
      <c r="P17" s="396"/>
    </row>
    <row r="18" spans="2:16" ht="15" thickBot="1" x14ac:dyDescent="0.35">
      <c r="B18" s="108"/>
      <c r="C18" s="109"/>
      <c r="D18" s="397"/>
      <c r="E18" s="397"/>
      <c r="F18" s="397"/>
      <c r="H18" s="121" t="s">
        <v>7</v>
      </c>
      <c r="I18" s="117">
        <f ca="1">SUM(I9:I17)</f>
        <v>0</v>
      </c>
      <c r="J18" s="70"/>
      <c r="K18" s="398">
        <f>SUM(K9:K17)</f>
        <v>0</v>
      </c>
      <c r="M18" s="578" t="s">
        <v>309</v>
      </c>
      <c r="N18" s="579"/>
      <c r="O18" s="543">
        <f ca="1">SUM(O9:O17)</f>
        <v>0</v>
      </c>
      <c r="P18" s="542">
        <f ca="1">SUM(P9:P17)</f>
        <v>0</v>
      </c>
    </row>
    <row r="19" spans="2:16" x14ac:dyDescent="0.3">
      <c r="B19" s="108"/>
      <c r="C19" s="106"/>
      <c r="D19" s="397"/>
      <c r="E19" s="397"/>
      <c r="F19" s="397"/>
    </row>
    <row r="20" spans="2:16" x14ac:dyDescent="0.3">
      <c r="B20" s="105" t="s">
        <v>7</v>
      </c>
      <c r="C20" s="107">
        <f ca="1">SUM(C9:C19)</f>
        <v>0</v>
      </c>
      <c r="D20" s="539">
        <f ca="1">SUM(D9:D19)</f>
        <v>0</v>
      </c>
      <c r="E20" s="408">
        <f>SUM(E9:E19)</f>
        <v>0</v>
      </c>
      <c r="F20" s="408">
        <f>SUM(F9:F19)</f>
        <v>0</v>
      </c>
    </row>
    <row r="22" spans="2:16" ht="15" thickBot="1" x14ac:dyDescent="0.35"/>
    <row r="23" spans="2:16" ht="15" thickBot="1" x14ac:dyDescent="0.35">
      <c r="B23" s="150" t="s">
        <v>248</v>
      </c>
      <c r="C23" s="150" t="s">
        <v>93</v>
      </c>
      <c r="D23" s="150" t="s">
        <v>301</v>
      </c>
      <c r="E23" s="394" t="s">
        <v>94</v>
      </c>
      <c r="F23" s="394" t="s">
        <v>302</v>
      </c>
      <c r="H23" s="150" t="s">
        <v>248</v>
      </c>
      <c r="I23" s="151" t="s">
        <v>105</v>
      </c>
      <c r="J23" s="151"/>
      <c r="K23" s="404" t="s">
        <v>104</v>
      </c>
      <c r="M23" s="150" t="s">
        <v>110</v>
      </c>
      <c r="N23" s="533" t="s">
        <v>305</v>
      </c>
      <c r="O23" s="151" t="s">
        <v>304</v>
      </c>
      <c r="P23" s="151" t="s">
        <v>306</v>
      </c>
    </row>
    <row r="24" spans="2:16" x14ac:dyDescent="0.3">
      <c r="B24" s="105" t="s">
        <v>247</v>
      </c>
      <c r="C24" s="107">
        <f ca="1">I24/'Peças por Hora Galvanoplastia'!B19</f>
        <v>0</v>
      </c>
      <c r="D24" s="403">
        <f ca="1">I24/'Peças por Hora Galvanoplastia'!C19</f>
        <v>0</v>
      </c>
      <c r="E24" s="403">
        <f>K24/'Peças por Hora Galvanoplastia'!B19</f>
        <v>0</v>
      </c>
      <c r="F24" s="403">
        <f>K24/'Peças por Hora Galvanoplastia'!C19</f>
        <v>0</v>
      </c>
      <c r="H24" s="105" t="s">
        <v>247</v>
      </c>
      <c r="I24" s="110">
        <f ca="1">IF(J24=1,HLOOKUP(G6,'Resumo de Custo'!DS7:ED15,3,0),0)</f>
        <v>0</v>
      </c>
      <c r="J24" s="111">
        <v>1</v>
      </c>
      <c r="K24" s="395">
        <f>IF(J24=1,HLOOKUP(G6,'Resumo de Custo'!EF7:EQ15,3,0),0)</f>
        <v>0</v>
      </c>
      <c r="M24" s="105" t="s">
        <v>307</v>
      </c>
      <c r="N24" s="534">
        <v>1</v>
      </c>
      <c r="O24" s="536">
        <f ca="1">C35</f>
        <v>0</v>
      </c>
      <c r="P24" s="540">
        <f ca="1">D35</f>
        <v>0</v>
      </c>
    </row>
    <row r="25" spans="2:16" x14ac:dyDescent="0.3">
      <c r="B25" s="105"/>
      <c r="C25" s="107"/>
      <c r="D25" s="403"/>
      <c r="E25" s="403"/>
      <c r="F25" s="403"/>
      <c r="H25" s="118"/>
      <c r="I25" s="112"/>
      <c r="J25" s="114"/>
      <c r="K25" s="396"/>
      <c r="M25" s="118" t="s">
        <v>308</v>
      </c>
      <c r="N25" s="535">
        <v>0.15</v>
      </c>
      <c r="O25" s="537">
        <f ca="1">O24*N25</f>
        <v>0</v>
      </c>
      <c r="P25" s="541">
        <f ca="1">P24*N25</f>
        <v>0</v>
      </c>
    </row>
    <row r="26" spans="2:16" x14ac:dyDescent="0.3">
      <c r="B26" s="105"/>
      <c r="C26" s="107"/>
      <c r="D26" s="403"/>
      <c r="E26" s="403"/>
      <c r="F26" s="405"/>
      <c r="H26" s="118"/>
      <c r="I26" s="115"/>
      <c r="J26" s="114"/>
      <c r="K26" s="396"/>
      <c r="M26" s="118"/>
      <c r="N26" s="112"/>
      <c r="O26" s="113"/>
      <c r="P26" s="396"/>
    </row>
    <row r="27" spans="2:16" x14ac:dyDescent="0.3">
      <c r="B27" s="105"/>
      <c r="C27" s="107"/>
      <c r="D27" s="399"/>
      <c r="E27" s="399"/>
      <c r="F27" s="405"/>
      <c r="H27" s="118"/>
      <c r="I27" s="115"/>
      <c r="J27" s="114"/>
      <c r="K27" s="396"/>
      <c r="M27" s="118"/>
      <c r="N27" s="112"/>
      <c r="O27" s="113"/>
      <c r="P27" s="396"/>
    </row>
    <row r="28" spans="2:16" x14ac:dyDescent="0.3">
      <c r="B28" s="105"/>
      <c r="C28" s="107"/>
      <c r="D28" s="403"/>
      <c r="E28" s="403"/>
      <c r="F28" s="405"/>
      <c r="H28" s="118"/>
      <c r="I28" s="115"/>
      <c r="J28" s="114"/>
      <c r="K28" s="396"/>
      <c r="M28" s="118"/>
      <c r="N28" s="112"/>
      <c r="O28" s="114"/>
      <c r="P28" s="396"/>
    </row>
    <row r="29" spans="2:16" x14ac:dyDescent="0.3">
      <c r="B29" s="108"/>
      <c r="C29" s="107"/>
      <c r="D29" s="405"/>
      <c r="E29" s="405"/>
      <c r="F29" s="405"/>
      <c r="H29" s="125"/>
      <c r="I29" s="115"/>
      <c r="J29" s="114"/>
      <c r="K29" s="396"/>
      <c r="M29" s="118"/>
      <c r="N29" s="115"/>
      <c r="O29" s="114"/>
      <c r="P29" s="396"/>
    </row>
    <row r="30" spans="2:16" x14ac:dyDescent="0.3">
      <c r="B30" s="108"/>
      <c r="C30" s="107"/>
      <c r="D30" s="406"/>
      <c r="E30" s="406"/>
      <c r="F30" s="406"/>
      <c r="H30" s="147"/>
      <c r="I30" s="115"/>
      <c r="J30" s="148"/>
      <c r="K30" s="407"/>
      <c r="M30" s="118"/>
      <c r="N30" s="115"/>
      <c r="O30" s="114"/>
      <c r="P30" s="396"/>
    </row>
    <row r="31" spans="2:16" x14ac:dyDescent="0.3">
      <c r="B31" s="108"/>
      <c r="C31" s="107"/>
      <c r="D31" s="401"/>
      <c r="E31" s="401"/>
      <c r="F31" s="397"/>
      <c r="H31" s="147"/>
      <c r="I31" s="115"/>
      <c r="J31" s="148"/>
      <c r="K31" s="400"/>
      <c r="M31" s="118"/>
      <c r="N31" s="115"/>
      <c r="O31" s="114"/>
      <c r="P31" s="396"/>
    </row>
    <row r="32" spans="2:16" ht="15" thickBot="1" x14ac:dyDescent="0.35">
      <c r="B32" s="105"/>
      <c r="C32" s="107"/>
      <c r="D32" s="401"/>
      <c r="E32" s="401"/>
      <c r="F32" s="397"/>
      <c r="H32" s="120"/>
      <c r="I32" s="115"/>
      <c r="J32" s="116"/>
      <c r="K32" s="400"/>
      <c r="M32" s="118"/>
      <c r="N32" s="115"/>
      <c r="O32" s="114"/>
      <c r="P32" s="396"/>
    </row>
    <row r="33" spans="2:16" ht="15" thickBot="1" x14ac:dyDescent="0.35">
      <c r="B33" s="108"/>
      <c r="C33" s="153"/>
      <c r="D33" s="401"/>
      <c r="E33" s="401"/>
      <c r="F33" s="397"/>
      <c r="H33" s="121" t="s">
        <v>7</v>
      </c>
      <c r="I33" s="117">
        <f ca="1">SUM(I24:I32)</f>
        <v>0</v>
      </c>
      <c r="J33" s="70"/>
      <c r="K33" s="398">
        <f>SUM(K24:K32)</f>
        <v>0</v>
      </c>
      <c r="M33" s="578" t="s">
        <v>309</v>
      </c>
      <c r="N33" s="579"/>
      <c r="O33" s="543">
        <f ca="1">SUM(O24:O32)</f>
        <v>0</v>
      </c>
      <c r="P33" s="542">
        <f ca="1">SUM(P24:P32)</f>
        <v>0</v>
      </c>
    </row>
    <row r="34" spans="2:16" x14ac:dyDescent="0.3">
      <c r="B34" s="108"/>
      <c r="C34" s="107"/>
      <c r="D34" s="401"/>
      <c r="E34" s="401"/>
      <c r="F34" s="397"/>
    </row>
    <row r="35" spans="2:16" x14ac:dyDescent="0.3">
      <c r="B35" s="105" t="s">
        <v>7</v>
      </c>
      <c r="C35" s="107">
        <f ca="1">SUM(C24:C34)</f>
        <v>0</v>
      </c>
      <c r="D35" s="539">
        <f ca="1">SUM(D24:D34)</f>
        <v>0</v>
      </c>
      <c r="E35" s="408">
        <f>SUM(E25:E34)</f>
        <v>0</v>
      </c>
      <c r="F35" s="408">
        <f>SUM(F24:F34)</f>
        <v>0</v>
      </c>
    </row>
    <row r="36" spans="2:16" x14ac:dyDescent="0.3">
      <c r="B36" s="143"/>
      <c r="C36" s="531"/>
      <c r="D36" s="532"/>
      <c r="E36" s="532"/>
      <c r="F36" s="532"/>
    </row>
    <row r="37" spans="2:16" ht="15" thickBot="1" x14ac:dyDescent="0.35"/>
    <row r="38" spans="2:16" ht="15" thickBot="1" x14ac:dyDescent="0.35">
      <c r="B38" s="150" t="s">
        <v>111</v>
      </c>
      <c r="C38" s="150" t="s">
        <v>93</v>
      </c>
      <c r="D38" s="150" t="s">
        <v>301</v>
      </c>
      <c r="E38" s="394" t="s">
        <v>94</v>
      </c>
      <c r="F38" s="394" t="s">
        <v>302</v>
      </c>
      <c r="H38" s="150" t="s">
        <v>111</v>
      </c>
      <c r="I38" s="151" t="s">
        <v>105</v>
      </c>
      <c r="J38" s="151"/>
      <c r="K38" s="404" t="s">
        <v>104</v>
      </c>
      <c r="M38" s="150" t="s">
        <v>111</v>
      </c>
      <c r="N38" s="533" t="s">
        <v>305</v>
      </c>
      <c r="O38" s="151" t="s">
        <v>304</v>
      </c>
      <c r="P38" s="151" t="s">
        <v>306</v>
      </c>
    </row>
    <row r="39" spans="2:16" x14ac:dyDescent="0.3">
      <c r="B39" s="105" t="s">
        <v>247</v>
      </c>
      <c r="C39" s="107">
        <f ca="1">I39/'Peças por Hora Galvanoplastia'!B27</f>
        <v>0</v>
      </c>
      <c r="D39" s="409">
        <f ca="1">I39/'Peças por Hora Galvanoplastia'!C27</f>
        <v>0</v>
      </c>
      <c r="E39" s="409">
        <f>K39/'Peças por Hora Galvanoplastia'!B27</f>
        <v>0</v>
      </c>
      <c r="F39" s="409">
        <f>K39/'Peças por Hora Galvanoplastia'!C27</f>
        <v>0</v>
      </c>
      <c r="H39" s="105" t="s">
        <v>247</v>
      </c>
      <c r="I39" s="110">
        <f ca="1">IF(J39=1,HLOOKUP(G6,'Resumo de Custo'!DS7:ED15,4,0),0)</f>
        <v>0</v>
      </c>
      <c r="J39" s="111">
        <v>1</v>
      </c>
      <c r="K39" s="395">
        <f>IF(J39,HLOOKUP(G6,'Resumo de Custo'!EF7:EQ15,4,0),0)</f>
        <v>0</v>
      </c>
      <c r="M39" s="105" t="s">
        <v>307</v>
      </c>
      <c r="N39" s="534">
        <v>1</v>
      </c>
      <c r="O39" s="536">
        <f ca="1">C48</f>
        <v>0</v>
      </c>
      <c r="P39" s="540">
        <f ca="1">D48</f>
        <v>0</v>
      </c>
    </row>
    <row r="40" spans="2:16" x14ac:dyDescent="0.3">
      <c r="B40" s="105"/>
      <c r="C40" s="107"/>
      <c r="D40" s="403"/>
      <c r="E40" s="403"/>
      <c r="F40" s="403"/>
      <c r="H40" s="118"/>
      <c r="I40" s="112"/>
      <c r="J40" s="113"/>
      <c r="K40" s="396"/>
      <c r="M40" s="118" t="s">
        <v>308</v>
      </c>
      <c r="N40" s="535">
        <v>0.15</v>
      </c>
      <c r="O40" s="537">
        <f ca="1">O39*N40</f>
        <v>0</v>
      </c>
      <c r="P40" s="541">
        <f ca="1">P39*N40</f>
        <v>0</v>
      </c>
    </row>
    <row r="41" spans="2:16" x14ac:dyDescent="0.3">
      <c r="B41" s="105"/>
      <c r="C41" s="107"/>
      <c r="D41" s="403"/>
      <c r="E41" s="403"/>
      <c r="F41" s="403"/>
      <c r="H41" s="118"/>
      <c r="I41" s="112"/>
      <c r="J41" s="114"/>
      <c r="K41" s="396"/>
      <c r="M41" s="118"/>
      <c r="N41" s="112"/>
      <c r="O41" s="113"/>
      <c r="P41" s="396"/>
    </row>
    <row r="42" spans="2:16" x14ac:dyDescent="0.3">
      <c r="B42" s="105"/>
      <c r="C42" s="107"/>
      <c r="D42" s="399"/>
      <c r="E42" s="399"/>
      <c r="F42" s="399"/>
      <c r="H42" s="118"/>
      <c r="I42" s="115"/>
      <c r="J42" s="114"/>
      <c r="K42" s="396"/>
      <c r="M42" s="118"/>
      <c r="N42" s="112"/>
      <c r="O42" s="113"/>
      <c r="P42" s="396"/>
    </row>
    <row r="43" spans="2:16" x14ac:dyDescent="0.3">
      <c r="B43" s="105"/>
      <c r="C43" s="107"/>
      <c r="D43" s="405"/>
      <c r="E43" s="405"/>
      <c r="F43" s="405"/>
      <c r="H43" s="118"/>
      <c r="I43" s="115"/>
      <c r="J43" s="114"/>
      <c r="K43" s="396"/>
      <c r="M43" s="118"/>
      <c r="N43" s="112"/>
      <c r="O43" s="114"/>
      <c r="P43" s="396"/>
    </row>
    <row r="44" spans="2:16" x14ac:dyDescent="0.3">
      <c r="B44" s="105"/>
      <c r="C44" s="107"/>
      <c r="D44" s="406"/>
      <c r="E44" s="406"/>
      <c r="F44" s="406"/>
      <c r="H44" s="119"/>
      <c r="I44" s="115"/>
      <c r="J44" s="114"/>
      <c r="K44" s="396"/>
      <c r="M44" s="118"/>
      <c r="N44" s="115"/>
      <c r="O44" s="114"/>
      <c r="P44" s="396"/>
    </row>
    <row r="45" spans="2:16" x14ac:dyDescent="0.3">
      <c r="B45" s="105"/>
      <c r="C45" s="107"/>
      <c r="D45" s="397"/>
      <c r="E45" s="397"/>
      <c r="F45" s="397"/>
      <c r="H45" s="119"/>
      <c r="I45" s="115"/>
      <c r="J45" s="148"/>
      <c r="K45" s="400"/>
      <c r="M45" s="118"/>
      <c r="N45" s="115"/>
      <c r="O45" s="114"/>
      <c r="P45" s="396"/>
    </row>
    <row r="46" spans="2:16" ht="15" thickBot="1" x14ac:dyDescent="0.35">
      <c r="B46" s="108"/>
      <c r="C46" s="109"/>
      <c r="D46" s="397"/>
      <c r="E46" s="397"/>
      <c r="F46" s="397"/>
      <c r="H46" s="120"/>
      <c r="I46" s="115"/>
      <c r="J46" s="116"/>
      <c r="K46" s="400"/>
      <c r="M46" s="118"/>
      <c r="N46" s="115"/>
      <c r="O46" s="114"/>
      <c r="P46" s="396"/>
    </row>
    <row r="47" spans="2:16" ht="15" thickBot="1" x14ac:dyDescent="0.35">
      <c r="B47" s="108"/>
      <c r="C47" s="106"/>
      <c r="D47" s="397"/>
      <c r="E47" s="397"/>
      <c r="F47" s="397"/>
      <c r="H47" s="121" t="s">
        <v>7</v>
      </c>
      <c r="I47" s="117">
        <f ca="1">SUM(I39:I46)</f>
        <v>0</v>
      </c>
      <c r="J47" s="70"/>
      <c r="K47" s="398">
        <f>SUM(K39:K46)</f>
        <v>0</v>
      </c>
      <c r="M47" s="118"/>
      <c r="N47" s="115"/>
      <c r="O47" s="114"/>
      <c r="P47" s="396"/>
    </row>
    <row r="48" spans="2:16" ht="15" thickBot="1" x14ac:dyDescent="0.35">
      <c r="B48" s="105" t="s">
        <v>7</v>
      </c>
      <c r="C48" s="107">
        <f ca="1">SUM(C39:C47)</f>
        <v>0</v>
      </c>
      <c r="D48" s="539">
        <f ca="1">SUM(D39:D47)</f>
        <v>0</v>
      </c>
      <c r="E48" s="408">
        <f>SUM(E39:E47)</f>
        <v>0</v>
      </c>
      <c r="F48" s="408">
        <f>SUM(F39:F47)</f>
        <v>0</v>
      </c>
      <c r="M48" s="578" t="s">
        <v>309</v>
      </c>
      <c r="N48" s="579"/>
      <c r="O48" s="543">
        <f ca="1">SUM(O39:O47)</f>
        <v>0</v>
      </c>
      <c r="P48" s="542">
        <f ca="1">SUM(P39:P47)</f>
        <v>0</v>
      </c>
    </row>
    <row r="49" spans="2:16" x14ac:dyDescent="0.3">
      <c r="B49" s="143"/>
      <c r="C49" s="531"/>
      <c r="D49" s="532"/>
      <c r="E49" s="532"/>
      <c r="F49" s="532"/>
    </row>
    <row r="50" spans="2:16" ht="15" thickBot="1" x14ac:dyDescent="0.35"/>
    <row r="51" spans="2:16" ht="15" thickBot="1" x14ac:dyDescent="0.35">
      <c r="B51" s="150" t="s">
        <v>112</v>
      </c>
      <c r="C51" s="150" t="s">
        <v>93</v>
      </c>
      <c r="D51" s="150" t="s">
        <v>301</v>
      </c>
      <c r="E51" s="394" t="s">
        <v>94</v>
      </c>
      <c r="F51" s="394" t="s">
        <v>302</v>
      </c>
      <c r="H51" s="150" t="s">
        <v>112</v>
      </c>
      <c r="I51" s="151" t="s">
        <v>105</v>
      </c>
      <c r="J51" s="151"/>
      <c r="K51" s="404" t="s">
        <v>104</v>
      </c>
      <c r="M51" s="150" t="s">
        <v>112</v>
      </c>
      <c r="N51" s="533" t="s">
        <v>305</v>
      </c>
      <c r="O51" s="151" t="s">
        <v>304</v>
      </c>
      <c r="P51" s="151" t="s">
        <v>306</v>
      </c>
    </row>
    <row r="52" spans="2:16" x14ac:dyDescent="0.3">
      <c r="B52" s="105" t="s">
        <v>249</v>
      </c>
      <c r="C52" s="107">
        <f ca="1">I52/'Peças por Hora Galvanoplastia'!B35</f>
        <v>0</v>
      </c>
      <c r="D52" s="409">
        <f ca="1">I52/'Peças por Hora Galvanoplastia'!C35</f>
        <v>0</v>
      </c>
      <c r="E52" s="409">
        <f>K52/'Peças por Hora Galvanoplastia'!B35</f>
        <v>0</v>
      </c>
      <c r="F52" s="409">
        <f>K52/'Peças por Hora Galvanoplastia'!C35</f>
        <v>0</v>
      </c>
      <c r="H52" s="105" t="s">
        <v>249</v>
      </c>
      <c r="I52" s="110">
        <f ca="1">IF(J52=1,HLOOKUP(G6,'Resumo de Custo'!DS7:ED15,5,0),0)</f>
        <v>0</v>
      </c>
      <c r="J52" s="111">
        <v>1</v>
      </c>
      <c r="K52" s="395">
        <f>IF(J52=1,HLOOKUP(G6,'Resumo de Custo'!EF7:EQ15,5,0),0)</f>
        <v>0</v>
      </c>
      <c r="M52" s="105" t="s">
        <v>307</v>
      </c>
      <c r="N52" s="534">
        <v>1</v>
      </c>
      <c r="O52" s="536">
        <f ca="1">C61</f>
        <v>0</v>
      </c>
      <c r="P52" s="540">
        <f ca="1">D61</f>
        <v>0</v>
      </c>
    </row>
    <row r="53" spans="2:16" x14ac:dyDescent="0.3">
      <c r="B53" s="105"/>
      <c r="C53" s="107"/>
      <c r="D53" s="403"/>
      <c r="E53" s="403"/>
      <c r="F53" s="403"/>
      <c r="H53" s="118"/>
      <c r="I53" s="112"/>
      <c r="J53" s="113"/>
      <c r="K53" s="396"/>
      <c r="M53" s="118" t="s">
        <v>308</v>
      </c>
      <c r="N53" s="535">
        <v>0.15</v>
      </c>
      <c r="O53" s="537">
        <f ca="1">O52*N53</f>
        <v>0</v>
      </c>
      <c r="P53" s="541">
        <f ca="1">P52*N53</f>
        <v>0</v>
      </c>
    </row>
    <row r="54" spans="2:16" x14ac:dyDescent="0.3">
      <c r="B54" s="105"/>
      <c r="C54" s="107"/>
      <c r="D54" s="403"/>
      <c r="E54" s="403"/>
      <c r="F54" s="403"/>
      <c r="H54" s="118"/>
      <c r="I54" s="112"/>
      <c r="J54" s="114"/>
      <c r="K54" s="396"/>
      <c r="M54" s="118"/>
      <c r="N54" s="112"/>
      <c r="O54" s="113"/>
      <c r="P54" s="396"/>
    </row>
    <row r="55" spans="2:16" x14ac:dyDescent="0.3">
      <c r="B55" s="105"/>
      <c r="C55" s="107"/>
      <c r="D55" s="399"/>
      <c r="E55" s="399"/>
      <c r="F55" s="399"/>
      <c r="H55" s="118"/>
      <c r="I55" s="115"/>
      <c r="J55" s="114"/>
      <c r="K55" s="396"/>
      <c r="M55" s="118"/>
      <c r="N55" s="112"/>
      <c r="O55" s="113"/>
      <c r="P55" s="396"/>
    </row>
    <row r="56" spans="2:16" x14ac:dyDescent="0.3">
      <c r="B56" s="105"/>
      <c r="C56" s="107"/>
      <c r="D56" s="405"/>
      <c r="E56" s="405"/>
      <c r="F56" s="405"/>
      <c r="H56" s="118"/>
      <c r="I56" s="115"/>
      <c r="J56" s="114"/>
      <c r="K56" s="396"/>
      <c r="M56" s="118"/>
      <c r="N56" s="112"/>
      <c r="O56" s="114"/>
      <c r="P56" s="396"/>
    </row>
    <row r="57" spans="2:16" x14ac:dyDescent="0.3">
      <c r="B57" s="105"/>
      <c r="C57" s="107"/>
      <c r="D57" s="406"/>
      <c r="E57" s="406"/>
      <c r="F57" s="406"/>
      <c r="H57" s="119"/>
      <c r="I57" s="115"/>
      <c r="J57" s="114"/>
      <c r="K57" s="396"/>
      <c r="M57" s="118"/>
      <c r="N57" s="115"/>
      <c r="O57" s="114"/>
      <c r="P57" s="396"/>
    </row>
    <row r="58" spans="2:16" x14ac:dyDescent="0.3">
      <c r="B58" s="105"/>
      <c r="C58" s="107"/>
      <c r="D58" s="397"/>
      <c r="E58" s="397"/>
      <c r="F58" s="397"/>
      <c r="H58" s="119"/>
      <c r="I58" s="115"/>
      <c r="J58" s="148"/>
      <c r="K58" s="400"/>
      <c r="M58" s="118"/>
      <c r="N58" s="115"/>
      <c r="O58" s="114"/>
      <c r="P58" s="396"/>
    </row>
    <row r="59" spans="2:16" ht="15" thickBot="1" x14ac:dyDescent="0.35">
      <c r="B59" s="108"/>
      <c r="C59" s="109"/>
      <c r="D59" s="397"/>
      <c r="E59" s="397"/>
      <c r="F59" s="397"/>
      <c r="H59" s="120"/>
      <c r="I59" s="115"/>
      <c r="J59" s="116"/>
      <c r="K59" s="400"/>
      <c r="M59" s="118"/>
      <c r="N59" s="115"/>
      <c r="O59" s="114"/>
      <c r="P59" s="396"/>
    </row>
    <row r="60" spans="2:16" ht="15" thickBot="1" x14ac:dyDescent="0.35">
      <c r="B60" s="108"/>
      <c r="C60" s="106"/>
      <c r="D60" s="397"/>
      <c r="E60" s="397"/>
      <c r="F60" s="397"/>
      <c r="H60" s="121" t="s">
        <v>7</v>
      </c>
      <c r="I60" s="117">
        <f ca="1">SUM(I52:I59)</f>
        <v>0</v>
      </c>
      <c r="J60" s="70"/>
      <c r="K60" s="398">
        <f>SUM(K52:K59)</f>
        <v>0</v>
      </c>
      <c r="M60" s="118"/>
      <c r="N60" s="115"/>
      <c r="O60" s="114"/>
      <c r="P60" s="396"/>
    </row>
    <row r="61" spans="2:16" ht="15" thickBot="1" x14ac:dyDescent="0.35">
      <c r="B61" s="105" t="s">
        <v>7</v>
      </c>
      <c r="C61" s="107">
        <f ca="1">SUM(C52:C60)</f>
        <v>0</v>
      </c>
      <c r="D61" s="539">
        <f ca="1">SUM(D52:D60)</f>
        <v>0</v>
      </c>
      <c r="E61" s="408">
        <f>SUM(E52:E60)</f>
        <v>0</v>
      </c>
      <c r="F61" s="408">
        <f>SUM(F52:F60)</f>
        <v>0</v>
      </c>
      <c r="H61" s="145"/>
      <c r="I61" s="42"/>
      <c r="J61" s="143"/>
      <c r="K61" s="41"/>
      <c r="M61" s="578" t="s">
        <v>309</v>
      </c>
      <c r="N61" s="579"/>
      <c r="O61" s="543">
        <f ca="1">SUM(O52:O60)</f>
        <v>0</v>
      </c>
      <c r="P61" s="542">
        <f ca="1">SUM(P52:P60)</f>
        <v>0</v>
      </c>
    </row>
    <row r="62" spans="2:16" x14ac:dyDescent="0.3">
      <c r="B62" s="143"/>
      <c r="C62" s="144"/>
      <c r="D62" s="402"/>
      <c r="E62" s="402"/>
      <c r="F62" s="402"/>
      <c r="H62" s="145"/>
      <c r="I62" s="42"/>
      <c r="J62" s="143"/>
      <c r="K62" s="41"/>
    </row>
    <row r="63" spans="2:16" ht="15" thickBot="1" x14ac:dyDescent="0.35">
      <c r="B63" s="143"/>
      <c r="C63" s="144"/>
      <c r="D63" s="402"/>
      <c r="E63" s="402"/>
      <c r="F63" s="402"/>
      <c r="H63" s="145"/>
      <c r="I63" s="42"/>
      <c r="J63" s="143"/>
      <c r="K63" s="41"/>
    </row>
    <row r="64" spans="2:16" ht="15" thickBot="1" x14ac:dyDescent="0.35">
      <c r="B64" s="150" t="s">
        <v>113</v>
      </c>
      <c r="C64" s="150" t="s">
        <v>93</v>
      </c>
      <c r="D64" s="150" t="s">
        <v>301</v>
      </c>
      <c r="E64" s="394" t="s">
        <v>94</v>
      </c>
      <c r="F64" s="394" t="s">
        <v>302</v>
      </c>
      <c r="H64" s="150" t="s">
        <v>113</v>
      </c>
      <c r="I64" s="151" t="s">
        <v>105</v>
      </c>
      <c r="J64" s="151"/>
      <c r="K64" s="404" t="s">
        <v>104</v>
      </c>
      <c r="M64" s="150" t="s">
        <v>113</v>
      </c>
      <c r="N64" s="533" t="s">
        <v>305</v>
      </c>
      <c r="O64" s="151" t="s">
        <v>304</v>
      </c>
      <c r="P64" s="151" t="s">
        <v>306</v>
      </c>
    </row>
    <row r="65" spans="2:16" x14ac:dyDescent="0.3">
      <c r="B65" s="105" t="s">
        <v>250</v>
      </c>
      <c r="C65" s="107">
        <f ca="1">I65/'Peças por Hora Galvanoplastia'!B43</f>
        <v>0</v>
      </c>
      <c r="D65" s="409">
        <f ca="1">I65/'Peças por Hora Galvanoplastia'!C43</f>
        <v>0</v>
      </c>
      <c r="E65" s="409">
        <f>K65/'Peças por Hora Galvanoplastia'!B43</f>
        <v>0</v>
      </c>
      <c r="F65" s="409">
        <f>K65/'Peças por Hora Galvanoplastia'!C43</f>
        <v>0</v>
      </c>
      <c r="H65" s="105" t="s">
        <v>250</v>
      </c>
      <c r="I65" s="110">
        <f ca="1">IF(J65=1,HLOOKUP(G6,'Resumo de Custo'!DS7:ED15,6,0),0)</f>
        <v>0</v>
      </c>
      <c r="J65" s="111">
        <v>1</v>
      </c>
      <c r="K65" s="395">
        <f>IF(J65=1,HLOOKUP(G6,'Resumo de Custo'!EF7:EQ15,6,0),0)</f>
        <v>0</v>
      </c>
      <c r="M65" s="105" t="s">
        <v>307</v>
      </c>
      <c r="N65" s="534">
        <v>1</v>
      </c>
      <c r="O65" s="536">
        <f ca="1">C74</f>
        <v>0</v>
      </c>
      <c r="P65" s="540">
        <f ca="1">D74</f>
        <v>0</v>
      </c>
    </row>
    <row r="66" spans="2:16" x14ac:dyDescent="0.3">
      <c r="B66" s="105"/>
      <c r="C66" s="107"/>
      <c r="D66" s="403"/>
      <c r="E66" s="403"/>
      <c r="F66" s="403"/>
      <c r="H66" s="118"/>
      <c r="I66" s="112"/>
      <c r="J66" s="113"/>
      <c r="K66" s="396"/>
      <c r="M66" s="118" t="s">
        <v>308</v>
      </c>
      <c r="N66" s="535">
        <v>0.15</v>
      </c>
      <c r="O66" s="537">
        <f ca="1">O65*N66</f>
        <v>0</v>
      </c>
      <c r="P66" s="541">
        <f ca="1">P65*N66</f>
        <v>0</v>
      </c>
    </row>
    <row r="67" spans="2:16" x14ac:dyDescent="0.3">
      <c r="B67" s="105"/>
      <c r="C67" s="107"/>
      <c r="D67" s="403"/>
      <c r="E67" s="403"/>
      <c r="F67" s="403"/>
      <c r="H67" s="118"/>
      <c r="I67" s="112"/>
      <c r="J67" s="114"/>
      <c r="K67" s="396"/>
      <c r="M67" s="118"/>
      <c r="N67" s="112"/>
      <c r="O67" s="113"/>
      <c r="P67" s="396"/>
    </row>
    <row r="68" spans="2:16" x14ac:dyDescent="0.3">
      <c r="B68" s="105"/>
      <c r="C68" s="107"/>
      <c r="D68" s="399"/>
      <c r="E68" s="399"/>
      <c r="F68" s="399"/>
      <c r="H68" s="118"/>
      <c r="I68" s="115"/>
      <c r="J68" s="114"/>
      <c r="K68" s="396"/>
      <c r="M68" s="118"/>
      <c r="N68" s="112"/>
      <c r="O68" s="113"/>
      <c r="P68" s="396"/>
    </row>
    <row r="69" spans="2:16" x14ac:dyDescent="0.3">
      <c r="B69" s="105"/>
      <c r="C69" s="107"/>
      <c r="D69" s="405"/>
      <c r="E69" s="405"/>
      <c r="F69" s="405"/>
      <c r="H69" s="118"/>
      <c r="I69" s="115"/>
      <c r="J69" s="114"/>
      <c r="K69" s="396"/>
      <c r="M69" s="118"/>
      <c r="N69" s="112"/>
      <c r="O69" s="114"/>
      <c r="P69" s="396"/>
    </row>
    <row r="70" spans="2:16" x14ac:dyDescent="0.3">
      <c r="B70" s="105"/>
      <c r="C70" s="107"/>
      <c r="D70" s="406"/>
      <c r="E70" s="406"/>
      <c r="F70" s="406"/>
      <c r="H70" s="119"/>
      <c r="I70" s="115"/>
      <c r="J70" s="114"/>
      <c r="K70" s="396"/>
      <c r="M70" s="118"/>
      <c r="N70" s="115"/>
      <c r="O70" s="114"/>
      <c r="P70" s="396"/>
    </row>
    <row r="71" spans="2:16" x14ac:dyDescent="0.3">
      <c r="B71" s="105"/>
      <c r="C71" s="107"/>
      <c r="D71" s="397"/>
      <c r="E71" s="397"/>
      <c r="F71" s="397"/>
      <c r="H71" s="119"/>
      <c r="I71" s="115"/>
      <c r="J71" s="148"/>
      <c r="K71" s="400"/>
      <c r="M71" s="118"/>
      <c r="N71" s="115"/>
      <c r="O71" s="114"/>
      <c r="P71" s="396"/>
    </row>
    <row r="72" spans="2:16" ht="15" thickBot="1" x14ac:dyDescent="0.35">
      <c r="B72" s="108"/>
      <c r="C72" s="109"/>
      <c r="D72" s="397"/>
      <c r="E72" s="397"/>
      <c r="F72" s="397"/>
      <c r="H72" s="120"/>
      <c r="I72" s="115"/>
      <c r="J72" s="116"/>
      <c r="K72" s="400"/>
      <c r="M72" s="118"/>
      <c r="N72" s="115"/>
      <c r="O72" s="114"/>
      <c r="P72" s="396"/>
    </row>
    <row r="73" spans="2:16" ht="15" thickBot="1" x14ac:dyDescent="0.35">
      <c r="B73" s="108"/>
      <c r="C73" s="106"/>
      <c r="D73" s="397"/>
      <c r="E73" s="397"/>
      <c r="F73" s="397"/>
      <c r="H73" s="121" t="s">
        <v>7</v>
      </c>
      <c r="I73" s="117">
        <f ca="1">SUM(I65:I72)</f>
        <v>0</v>
      </c>
      <c r="J73" s="70"/>
      <c r="K73" s="398">
        <f>SUM(K65:K72)</f>
        <v>0</v>
      </c>
      <c r="M73" s="118"/>
      <c r="N73" s="115"/>
      <c r="O73" s="114"/>
      <c r="P73" s="396"/>
    </row>
    <row r="74" spans="2:16" ht="15" thickBot="1" x14ac:dyDescent="0.35">
      <c r="B74" s="105" t="s">
        <v>7</v>
      </c>
      <c r="C74" s="107">
        <f ca="1">SUM(C65:C73)</f>
        <v>0</v>
      </c>
      <c r="D74" s="539">
        <f ca="1">SUM(D65:D73)</f>
        <v>0</v>
      </c>
      <c r="E74" s="408">
        <f>SUM(E65:E73)</f>
        <v>0</v>
      </c>
      <c r="F74" s="408">
        <f>SUM(F65:F73)</f>
        <v>0</v>
      </c>
      <c r="M74" s="578" t="s">
        <v>309</v>
      </c>
      <c r="N74" s="579"/>
      <c r="O74" s="543">
        <f ca="1">SUM(O65:O73)</f>
        <v>0</v>
      </c>
      <c r="P74" s="542">
        <f ca="1">SUM(P65:P73)</f>
        <v>0</v>
      </c>
    </row>
    <row r="75" spans="2:16" x14ac:dyDescent="0.3">
      <c r="B75" s="143"/>
      <c r="C75" s="531"/>
      <c r="D75" s="532"/>
      <c r="E75" s="532"/>
      <c r="F75" s="532"/>
    </row>
    <row r="76" spans="2:16" ht="15" thickBot="1" x14ac:dyDescent="0.35">
      <c r="B76" s="143"/>
      <c r="C76" s="144"/>
      <c r="D76" s="402"/>
      <c r="E76" s="402"/>
      <c r="F76" s="402"/>
    </row>
    <row r="77" spans="2:16" ht="15" thickBot="1" x14ac:dyDescent="0.35">
      <c r="B77" s="150" t="s">
        <v>114</v>
      </c>
      <c r="C77" s="150" t="s">
        <v>93</v>
      </c>
      <c r="D77" s="150" t="s">
        <v>301</v>
      </c>
      <c r="E77" s="394" t="s">
        <v>94</v>
      </c>
      <c r="F77" s="394" t="s">
        <v>302</v>
      </c>
      <c r="H77" s="150" t="s">
        <v>114</v>
      </c>
      <c r="I77" s="151" t="s">
        <v>105</v>
      </c>
      <c r="J77" s="151"/>
      <c r="K77" s="404" t="s">
        <v>104</v>
      </c>
      <c r="M77" s="150" t="s">
        <v>114</v>
      </c>
      <c r="N77" s="533" t="s">
        <v>305</v>
      </c>
      <c r="O77" s="151" t="s">
        <v>304</v>
      </c>
      <c r="P77" s="151" t="s">
        <v>306</v>
      </c>
    </row>
    <row r="78" spans="2:16" x14ac:dyDescent="0.3">
      <c r="B78" s="105" t="s">
        <v>251</v>
      </c>
      <c r="C78" s="107">
        <f ca="1">I78/'Peças por Hora Galvanoplastia'!B51</f>
        <v>0</v>
      </c>
      <c r="D78" s="409">
        <f ca="1">I78/'Peças por Hora Galvanoplastia'!C51</f>
        <v>0</v>
      </c>
      <c r="E78" s="409">
        <f>K78/'Peças por Hora Galvanoplastia'!B51</f>
        <v>5.1581387646961407E-2</v>
      </c>
      <c r="F78" s="409">
        <f>K78/'Peças por Hora Galvanoplastia'!C51</f>
        <v>7.3687696638516306E-2</v>
      </c>
      <c r="H78" s="105" t="s">
        <v>251</v>
      </c>
      <c r="I78" s="110">
        <f ca="1">IF(J78=1,HLOOKUP(G6,'Resumo de Custo'!DS7:ED15,7,0),0)</f>
        <v>0</v>
      </c>
      <c r="J78" s="111">
        <v>1</v>
      </c>
      <c r="K78" s="395">
        <f>IF(J78=1,HLOOKUP(G6,'Resumo de Custo'!EF7:EQ15,7,0),0)</f>
        <v>181.81818181818181</v>
      </c>
      <c r="M78" s="105" t="s">
        <v>307</v>
      </c>
      <c r="N78" s="534">
        <v>1</v>
      </c>
      <c r="O78" s="544">
        <f ca="1">C87</f>
        <v>0</v>
      </c>
      <c r="P78" s="540">
        <f ca="1">D87</f>
        <v>0</v>
      </c>
    </row>
    <row r="79" spans="2:16" x14ac:dyDescent="0.3">
      <c r="B79" s="105"/>
      <c r="C79" s="107"/>
      <c r="D79" s="403"/>
      <c r="E79" s="403"/>
      <c r="F79" s="403"/>
      <c r="H79" s="118"/>
      <c r="I79" s="112"/>
      <c r="J79" s="113"/>
      <c r="K79" s="396"/>
      <c r="M79" s="118" t="s">
        <v>308</v>
      </c>
      <c r="N79" s="535">
        <v>0.15</v>
      </c>
      <c r="O79" s="537">
        <f ca="1">O78*N79</f>
        <v>0</v>
      </c>
      <c r="P79" s="541">
        <f ca="1">P78*N79</f>
        <v>0</v>
      </c>
    </row>
    <row r="80" spans="2:16" x14ac:dyDescent="0.3">
      <c r="B80" s="105"/>
      <c r="C80" s="107"/>
      <c r="D80" s="403"/>
      <c r="E80" s="403"/>
      <c r="F80" s="403"/>
      <c r="H80" s="118"/>
      <c r="I80" s="112"/>
      <c r="J80" s="114"/>
      <c r="K80" s="396"/>
      <c r="M80" s="118"/>
      <c r="N80" s="112"/>
      <c r="O80" s="113"/>
      <c r="P80" s="396"/>
    </row>
    <row r="81" spans="2:16" x14ac:dyDescent="0.3">
      <c r="B81" s="105"/>
      <c r="C81" s="107"/>
      <c r="D81" s="399"/>
      <c r="E81" s="399"/>
      <c r="F81" s="399"/>
      <c r="H81" s="118"/>
      <c r="I81" s="115"/>
      <c r="J81" s="114"/>
      <c r="K81" s="396"/>
      <c r="M81" s="118"/>
      <c r="N81" s="112"/>
      <c r="O81" s="113"/>
      <c r="P81" s="396"/>
    </row>
    <row r="82" spans="2:16" x14ac:dyDescent="0.3">
      <c r="B82" s="105"/>
      <c r="C82" s="107"/>
      <c r="D82" s="405"/>
      <c r="E82" s="405"/>
      <c r="F82" s="405"/>
      <c r="H82" s="118"/>
      <c r="I82" s="115"/>
      <c r="J82" s="114"/>
      <c r="K82" s="396"/>
      <c r="M82" s="118"/>
      <c r="N82" s="112"/>
      <c r="O82" s="114"/>
      <c r="P82" s="396"/>
    </row>
    <row r="83" spans="2:16" x14ac:dyDescent="0.3">
      <c r="B83" s="105"/>
      <c r="C83" s="107"/>
      <c r="D83" s="406"/>
      <c r="E83" s="406"/>
      <c r="F83" s="406"/>
      <c r="H83" s="119"/>
      <c r="I83" s="115"/>
      <c r="J83" s="114"/>
      <c r="K83" s="396"/>
      <c r="M83" s="118"/>
      <c r="N83" s="115"/>
      <c r="O83" s="114"/>
      <c r="P83" s="396"/>
    </row>
    <row r="84" spans="2:16" x14ac:dyDescent="0.3">
      <c r="B84" s="105"/>
      <c r="C84" s="107"/>
      <c r="D84" s="397"/>
      <c r="E84" s="397"/>
      <c r="F84" s="397"/>
      <c r="H84" s="119"/>
      <c r="I84" s="115"/>
      <c r="J84" s="148"/>
      <c r="K84" s="400"/>
      <c r="M84" s="118"/>
      <c r="N84" s="115"/>
      <c r="O84" s="114"/>
      <c r="P84" s="396"/>
    </row>
    <row r="85" spans="2:16" ht="15" thickBot="1" x14ac:dyDescent="0.35">
      <c r="B85" s="108"/>
      <c r="C85" s="109"/>
      <c r="D85" s="397"/>
      <c r="E85" s="397"/>
      <c r="F85" s="397"/>
      <c r="H85" s="120"/>
      <c r="I85" s="115"/>
      <c r="J85" s="116"/>
      <c r="K85" s="400"/>
      <c r="M85" s="118"/>
      <c r="N85" s="115"/>
      <c r="O85" s="114"/>
      <c r="P85" s="396"/>
    </row>
    <row r="86" spans="2:16" ht="15" thickBot="1" x14ac:dyDescent="0.35">
      <c r="B86" s="108"/>
      <c r="C86" s="106"/>
      <c r="D86" s="397"/>
      <c r="E86" s="397"/>
      <c r="F86" s="397"/>
      <c r="H86" s="121" t="s">
        <v>7</v>
      </c>
      <c r="I86" s="117">
        <f ca="1">SUM(I78:I85)</f>
        <v>0</v>
      </c>
      <c r="J86" s="70"/>
      <c r="K86" s="398">
        <f>SUM(K78:K85)</f>
        <v>181.81818181818181</v>
      </c>
      <c r="M86" s="118"/>
      <c r="N86" s="115"/>
      <c r="O86" s="114"/>
      <c r="P86" s="396"/>
    </row>
    <row r="87" spans="2:16" ht="15" thickBot="1" x14ac:dyDescent="0.35">
      <c r="B87" s="105" t="s">
        <v>7</v>
      </c>
      <c r="C87" s="538">
        <f ca="1">SUM(C78:C86)</f>
        <v>0</v>
      </c>
      <c r="D87" s="539">
        <f ca="1">SUM(D78:D86)</f>
        <v>0</v>
      </c>
      <c r="E87" s="408">
        <f>SUM(E78:E86)</f>
        <v>5.1581387646961407E-2</v>
      </c>
      <c r="F87" s="408">
        <f>SUM(F78:F86)</f>
        <v>7.3687696638516306E-2</v>
      </c>
      <c r="M87" s="578" t="s">
        <v>309</v>
      </c>
      <c r="N87" s="579"/>
      <c r="O87" s="543">
        <f ca="1">SUM(O78:O86)</f>
        <v>0</v>
      </c>
      <c r="P87" s="542">
        <f ca="1">SUM(P78:P86)</f>
        <v>0</v>
      </c>
    </row>
    <row r="88" spans="2:16" x14ac:dyDescent="0.3">
      <c r="B88" s="143"/>
      <c r="C88" s="531"/>
      <c r="D88" s="532"/>
      <c r="E88" s="532"/>
      <c r="F88" s="532"/>
    </row>
    <row r="89" spans="2:16" ht="15" thickBot="1" x14ac:dyDescent="0.35">
      <c r="B89" s="143"/>
      <c r="C89" s="144"/>
      <c r="D89" s="410"/>
      <c r="E89" s="410"/>
      <c r="F89" s="410"/>
    </row>
    <row r="90" spans="2:16" ht="15" thickBot="1" x14ac:dyDescent="0.35">
      <c r="B90" s="150" t="s">
        <v>115</v>
      </c>
      <c r="C90" s="150" t="s">
        <v>93</v>
      </c>
      <c r="D90" s="150" t="s">
        <v>301</v>
      </c>
      <c r="E90" s="394" t="s">
        <v>94</v>
      </c>
      <c r="F90" s="394" t="s">
        <v>302</v>
      </c>
      <c r="H90" s="150" t="s">
        <v>115</v>
      </c>
      <c r="I90" s="151" t="s">
        <v>105</v>
      </c>
      <c r="J90" s="151"/>
      <c r="K90" s="404" t="s">
        <v>104</v>
      </c>
      <c r="M90" s="150" t="s">
        <v>115</v>
      </c>
      <c r="N90" s="533" t="s">
        <v>305</v>
      </c>
      <c r="O90" s="151" t="s">
        <v>304</v>
      </c>
      <c r="P90" s="151" t="s">
        <v>306</v>
      </c>
    </row>
    <row r="91" spans="2:16" x14ac:dyDescent="0.3">
      <c r="B91" s="105" t="s">
        <v>253</v>
      </c>
      <c r="C91" s="107">
        <f ca="1">I91/'Peças por Hora Galvanoplastia'!B59</f>
        <v>0</v>
      </c>
      <c r="D91" s="409">
        <f ca="1">I91/'Peças por Hora Galvanoplastia'!C59</f>
        <v>0</v>
      </c>
      <c r="E91" s="409">
        <f>K91/'Peças por Hora Galvanoplastia'!B59</f>
        <v>0</v>
      </c>
      <c r="F91" s="409">
        <f>K91/'Peças por Hora Galvanoplastia'!C59</f>
        <v>0</v>
      </c>
      <c r="H91" s="105" t="s">
        <v>253</v>
      </c>
      <c r="I91" s="110">
        <f ca="1">IF(J91=1,HLOOKUP(G6,'Resumo de Custo'!DS7:ED15,8,0),0)</f>
        <v>0</v>
      </c>
      <c r="J91" s="111">
        <v>1</v>
      </c>
      <c r="K91" s="395">
        <f>IF(J91=1,HLOOKUP(G6,'Resumo de Custo'!EF7:EQ15,8,0),0)</f>
        <v>0</v>
      </c>
      <c r="M91" s="105" t="s">
        <v>307</v>
      </c>
      <c r="N91" s="534">
        <v>1</v>
      </c>
      <c r="O91" s="544">
        <f ca="1">C100</f>
        <v>0</v>
      </c>
      <c r="P91" s="540">
        <f ca="1">D100</f>
        <v>0</v>
      </c>
    </row>
    <row r="92" spans="2:16" x14ac:dyDescent="0.3">
      <c r="B92" s="105"/>
      <c r="C92" s="107"/>
      <c r="D92" s="403"/>
      <c r="E92" s="403"/>
      <c r="F92" s="403"/>
      <c r="H92" s="118"/>
      <c r="I92" s="112"/>
      <c r="J92" s="113"/>
      <c r="K92" s="396"/>
      <c r="M92" s="118" t="s">
        <v>308</v>
      </c>
      <c r="N92" s="535">
        <v>0.15</v>
      </c>
      <c r="O92" s="537">
        <f ca="1">O91*N92</f>
        <v>0</v>
      </c>
      <c r="P92" s="541">
        <f ca="1">P91*N92</f>
        <v>0</v>
      </c>
    </row>
    <row r="93" spans="2:16" x14ac:dyDescent="0.3">
      <c r="B93" s="105"/>
      <c r="C93" s="107"/>
      <c r="D93" s="403"/>
      <c r="E93" s="403"/>
      <c r="F93" s="403"/>
      <c r="H93" s="118"/>
      <c r="I93" s="112"/>
      <c r="J93" s="114"/>
      <c r="K93" s="396"/>
      <c r="M93" s="118"/>
      <c r="N93" s="112"/>
      <c r="O93" s="113"/>
      <c r="P93" s="396"/>
    </row>
    <row r="94" spans="2:16" x14ac:dyDescent="0.3">
      <c r="B94" s="105"/>
      <c r="C94" s="107"/>
      <c r="D94" s="399"/>
      <c r="E94" s="399"/>
      <c r="F94" s="399"/>
      <c r="H94" s="118"/>
      <c r="I94" s="115"/>
      <c r="J94" s="114"/>
      <c r="K94" s="396"/>
      <c r="M94" s="118"/>
      <c r="N94" s="112"/>
      <c r="O94" s="113"/>
      <c r="P94" s="396"/>
    </row>
    <row r="95" spans="2:16" x14ac:dyDescent="0.3">
      <c r="B95" s="105"/>
      <c r="C95" s="107"/>
      <c r="D95" s="405"/>
      <c r="E95" s="405"/>
      <c r="F95" s="405"/>
      <c r="H95" s="118"/>
      <c r="I95" s="115"/>
      <c r="J95" s="114"/>
      <c r="K95" s="396"/>
      <c r="M95" s="118"/>
      <c r="N95" s="112"/>
      <c r="O95" s="114"/>
      <c r="P95" s="396"/>
    </row>
    <row r="96" spans="2:16" x14ac:dyDescent="0.3">
      <c r="B96" s="105"/>
      <c r="C96" s="107"/>
      <c r="D96" s="406"/>
      <c r="E96" s="406"/>
      <c r="F96" s="406"/>
      <c r="H96" s="119"/>
      <c r="I96" s="115"/>
      <c r="J96" s="114"/>
      <c r="K96" s="396"/>
      <c r="M96" s="118"/>
      <c r="N96" s="115"/>
      <c r="O96" s="114"/>
      <c r="P96" s="396"/>
    </row>
    <row r="97" spans="1:16" x14ac:dyDescent="0.3">
      <c r="B97" s="105"/>
      <c r="C97" s="107"/>
      <c r="D97" s="397"/>
      <c r="E97" s="397"/>
      <c r="F97" s="397"/>
      <c r="H97" s="119"/>
      <c r="I97" s="115"/>
      <c r="J97" s="148"/>
      <c r="K97" s="400"/>
      <c r="M97" s="118"/>
      <c r="N97" s="115"/>
      <c r="O97" s="114"/>
      <c r="P97" s="396"/>
    </row>
    <row r="98" spans="1:16" ht="15" thickBot="1" x14ac:dyDescent="0.35">
      <c r="B98" s="108"/>
      <c r="C98" s="109"/>
      <c r="D98" s="397"/>
      <c r="E98" s="397"/>
      <c r="F98" s="397"/>
      <c r="H98" s="120"/>
      <c r="I98" s="115"/>
      <c r="J98" s="116"/>
      <c r="K98" s="400"/>
      <c r="M98" s="118"/>
      <c r="N98" s="115"/>
      <c r="O98" s="114"/>
      <c r="P98" s="396"/>
    </row>
    <row r="99" spans="1:16" ht="15" thickBot="1" x14ac:dyDescent="0.35">
      <c r="B99" s="108"/>
      <c r="C99" s="106"/>
      <c r="D99" s="397"/>
      <c r="E99" s="397"/>
      <c r="F99" s="397"/>
      <c r="H99" s="121" t="s">
        <v>7</v>
      </c>
      <c r="I99" s="117">
        <f ca="1">SUM(I91:I98)</f>
        <v>0</v>
      </c>
      <c r="J99" s="70"/>
      <c r="K99" s="398">
        <f>SUM(K91:K98)</f>
        <v>0</v>
      </c>
      <c r="M99" s="118"/>
      <c r="N99" s="115"/>
      <c r="O99" s="114"/>
      <c r="P99" s="396"/>
    </row>
    <row r="100" spans="1:16" ht="15" thickBot="1" x14ac:dyDescent="0.35">
      <c r="A100" s="255" t="s">
        <v>61</v>
      </c>
      <c r="B100" s="105" t="s">
        <v>7</v>
      </c>
      <c r="C100" s="538">
        <f ca="1">SUM(C91:C99)</f>
        <v>0</v>
      </c>
      <c r="D100" s="539">
        <f ca="1">SUM(D91:D99)</f>
        <v>0</v>
      </c>
      <c r="E100" s="408">
        <f>SUM(E91:E99)</f>
        <v>0</v>
      </c>
      <c r="F100" s="408">
        <f>SUM(F91:F99)</f>
        <v>0</v>
      </c>
      <c r="M100" s="578" t="s">
        <v>309</v>
      </c>
      <c r="N100" s="579"/>
      <c r="O100" s="543">
        <f ca="1">SUM(O91:O99)</f>
        <v>0</v>
      </c>
      <c r="P100" s="542">
        <f ca="1">SUM(P91:P99)</f>
        <v>0</v>
      </c>
    </row>
    <row r="101" spans="1:16" x14ac:dyDescent="0.3">
      <c r="A101" s="255" t="s">
        <v>62</v>
      </c>
      <c r="D101" s="37" t="s">
        <v>252</v>
      </c>
    </row>
    <row r="102" spans="1:16" x14ac:dyDescent="0.3">
      <c r="A102" s="255" t="s">
        <v>63</v>
      </c>
    </row>
    <row r="103" spans="1:16" x14ac:dyDescent="0.3">
      <c r="A103" s="255" t="s">
        <v>64</v>
      </c>
    </row>
    <row r="104" spans="1:16" x14ac:dyDescent="0.3">
      <c r="A104" s="255" t="s">
        <v>65</v>
      </c>
    </row>
    <row r="105" spans="1:16" x14ac:dyDescent="0.3">
      <c r="A105" s="255" t="s">
        <v>95</v>
      </c>
    </row>
    <row r="106" spans="1:16" x14ac:dyDescent="0.3">
      <c r="A106" s="255" t="s">
        <v>67</v>
      </c>
    </row>
    <row r="107" spans="1:16" x14ac:dyDescent="0.3">
      <c r="A107" s="255" t="s">
        <v>68</v>
      </c>
    </row>
    <row r="108" spans="1:16" x14ac:dyDescent="0.3">
      <c r="A108" s="255" t="s">
        <v>69</v>
      </c>
    </row>
    <row r="109" spans="1:16" x14ac:dyDescent="0.3">
      <c r="A109" s="255" t="s">
        <v>70</v>
      </c>
    </row>
    <row r="110" spans="1:16" x14ac:dyDescent="0.3">
      <c r="A110" s="255" t="s">
        <v>71</v>
      </c>
    </row>
    <row r="111" spans="1:16" x14ac:dyDescent="0.3">
      <c r="A111" s="255" t="s">
        <v>72</v>
      </c>
    </row>
  </sheetData>
  <sheetProtection algorithmName="SHA-512" hashValue="BITTnx4aM++WGq4g5mT6CbOV4HKTxLZzThy+4dInijkxUm5nhrvaSDb44TQl1cEp/WhgAVNl1Iq8WJuKTYaosA==" saltValue="vqd5ul3SdGOiJbUrBfVJ0A==" spinCount="100000" sheet="1" objects="1" scenarios="1"/>
  <protectedRanges>
    <protectedRange sqref="G6 J9:J46 J51:J59 J64:J72 J77:J85 J90:J98 O9:O17 O24:O32 O39:O47 O52:O60 O65:O73 O78:O86 O91:O99" name="Intervalo1"/>
  </protectedRanges>
  <mergeCells count="8">
    <mergeCell ref="M74:N74"/>
    <mergeCell ref="M87:N87"/>
    <mergeCell ref="M100:N100"/>
    <mergeCell ref="C2:M2"/>
    <mergeCell ref="M18:N18"/>
    <mergeCell ref="M33:N33"/>
    <mergeCell ref="M48:N48"/>
    <mergeCell ref="M61:N61"/>
  </mergeCells>
  <dataValidations count="1">
    <dataValidation type="list" allowBlank="1" showInputMessage="1" showErrorMessage="1" sqref="G6" xr:uid="{00000000-0002-0000-0400-000000000000}">
      <formula1>$A$100:$A$111</formula1>
    </dataValidation>
  </dataValidations>
  <hyperlinks>
    <hyperlink ref="A2" location="Menu!A1" display="Menu" xr:uid="{00000000-0004-0000-0400-000000000000}"/>
  </hyperlinks>
  <pageMargins left="0.511811024" right="0.511811024" top="0.78740157499999996" bottom="0.78740157499999996" header="0.31496062000000002" footer="0.31496062000000002"/>
  <ignoredErrors>
    <ignoredError sqref="D24:E24 D39:E39 D52 D65:E65 D78:E78 D91:E91"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13"/>
  <dimension ref="A1:AN15"/>
  <sheetViews>
    <sheetView workbookViewId="0">
      <pane xSplit="4" topLeftCell="AC1" activePane="topRight" state="frozen"/>
      <selection pane="topRight" activeCell="A2" sqref="A2"/>
    </sheetView>
  </sheetViews>
  <sheetFormatPr defaultColWidth="9.109375" defaultRowHeight="14.4" x14ac:dyDescent="0.3"/>
  <cols>
    <col min="1" max="1" width="35.77734375" style="1" bestFit="1" customWidth="1"/>
    <col min="2" max="2" width="10.109375" style="1" customWidth="1"/>
    <col min="3" max="3" width="18.77734375" style="1" bestFit="1" customWidth="1"/>
    <col min="4" max="4" width="16.6640625" style="1" bestFit="1" customWidth="1"/>
    <col min="5" max="5" width="14.109375" style="1" bestFit="1" customWidth="1"/>
    <col min="6" max="6" width="9.5546875" style="1" bestFit="1" customWidth="1"/>
    <col min="7" max="7" width="12.109375" style="1" bestFit="1" customWidth="1"/>
    <col min="8" max="8" width="14.109375" style="1" bestFit="1" customWidth="1"/>
    <col min="9" max="9" width="9.109375" style="1"/>
    <col min="10" max="10" width="10.88671875" style="1" bestFit="1" customWidth="1"/>
    <col min="11" max="11" width="14.109375" style="1" bestFit="1" customWidth="1"/>
    <col min="12" max="12" width="10.6640625" style="1" bestFit="1" customWidth="1"/>
    <col min="13" max="13" width="12.109375" style="1" bestFit="1" customWidth="1"/>
    <col min="14" max="14" width="14.109375" style="1" bestFit="1" customWidth="1"/>
    <col min="15" max="15" width="9.109375" style="1"/>
    <col min="16" max="16" width="10.88671875" style="1" bestFit="1" customWidth="1"/>
    <col min="17" max="17" width="14.109375" style="1" bestFit="1" customWidth="1"/>
    <col min="18" max="18" width="9.109375" style="1"/>
    <col min="19" max="19" width="10.88671875" style="1" bestFit="1" customWidth="1"/>
    <col min="20" max="20" width="14.109375" style="1" bestFit="1" customWidth="1"/>
    <col min="21" max="21" width="9.109375" style="1"/>
    <col min="22" max="22" width="10.88671875" style="1" bestFit="1" customWidth="1"/>
    <col min="23" max="23" width="14.109375" style="1" bestFit="1" customWidth="1"/>
    <col min="24" max="24" width="9.109375" style="1"/>
    <col min="25" max="25" width="10.88671875" style="1" bestFit="1" customWidth="1"/>
    <col min="26" max="26" width="14.109375" style="1" bestFit="1" customWidth="1"/>
    <col min="27" max="27" width="9.109375" style="1"/>
    <col min="28" max="28" width="10.88671875" style="1" bestFit="1" customWidth="1"/>
    <col min="29" max="29" width="14.109375" style="1" bestFit="1" customWidth="1"/>
    <col min="30" max="30" width="9.109375" style="1"/>
    <col min="31" max="31" width="10.88671875" style="1" bestFit="1" customWidth="1"/>
    <col min="32" max="32" width="14.109375" style="1" bestFit="1" customWidth="1"/>
    <col min="33" max="33" width="9.109375" style="1"/>
    <col min="34" max="34" width="10.88671875" style="1" bestFit="1" customWidth="1"/>
    <col min="35" max="35" width="14.109375" style="1" bestFit="1" customWidth="1"/>
    <col min="36" max="36" width="9.5546875" style="1" bestFit="1" customWidth="1"/>
    <col min="37" max="37" width="10.88671875" style="1" bestFit="1" customWidth="1"/>
    <col min="38" max="38" width="14.109375" style="1" bestFit="1" customWidth="1"/>
    <col min="39" max="39" width="9.5546875" style="1" bestFit="1" customWidth="1"/>
    <col min="40" max="40" width="10.88671875" style="1" bestFit="1" customWidth="1"/>
    <col min="41" max="16384" width="9.109375" style="1"/>
  </cols>
  <sheetData>
    <row r="1" spans="1:40" ht="21.6" thickBot="1" x14ac:dyDescent="0.45">
      <c r="A1" s="152"/>
      <c r="B1" s="152"/>
    </row>
    <row r="2" spans="1:40" ht="29.4" thickBot="1" x14ac:dyDescent="0.35">
      <c r="A2" s="185" t="s">
        <v>96</v>
      </c>
      <c r="B2" s="133"/>
    </row>
    <row r="3" spans="1:40" ht="29.4" thickBot="1" x14ac:dyDescent="0.35">
      <c r="A3" s="446" t="s">
        <v>150</v>
      </c>
      <c r="B3" s="174"/>
      <c r="C3" s="123"/>
      <c r="D3" s="123"/>
      <c r="E3" s="123"/>
      <c r="F3" s="123"/>
      <c r="G3" s="123"/>
    </row>
    <row r="4" spans="1:40" ht="15" customHeight="1" x14ac:dyDescent="0.3">
      <c r="A4" s="124"/>
      <c r="B4" s="124"/>
      <c r="C4" s="124"/>
      <c r="D4" s="124"/>
      <c r="E4" s="124"/>
      <c r="F4" s="124"/>
      <c r="G4" s="124"/>
    </row>
    <row r="5" spans="1:40" x14ac:dyDescent="0.3">
      <c r="A5" s="7"/>
      <c r="B5" s="7"/>
      <c r="C5" s="7"/>
      <c r="D5" s="7"/>
      <c r="E5" s="4">
        <v>45292</v>
      </c>
      <c r="F5" s="4">
        <v>45292</v>
      </c>
      <c r="G5" s="29">
        <v>45292</v>
      </c>
      <c r="H5" s="11">
        <v>45323</v>
      </c>
      <c r="I5" s="11">
        <v>45323</v>
      </c>
      <c r="J5" s="11">
        <v>45323</v>
      </c>
      <c r="K5" s="11">
        <v>45352</v>
      </c>
      <c r="L5" s="11">
        <v>45352</v>
      </c>
      <c r="M5" s="11">
        <v>45352</v>
      </c>
      <c r="N5" s="11">
        <v>45383</v>
      </c>
      <c r="O5" s="11">
        <v>45383</v>
      </c>
      <c r="P5" s="11">
        <v>45383</v>
      </c>
      <c r="Q5" s="11">
        <v>45413</v>
      </c>
      <c r="R5" s="11">
        <v>45413</v>
      </c>
      <c r="S5" s="11">
        <v>45413</v>
      </c>
      <c r="T5" s="11">
        <v>45444</v>
      </c>
      <c r="U5" s="11">
        <v>45444</v>
      </c>
      <c r="V5" s="11">
        <v>45444</v>
      </c>
      <c r="W5" s="11">
        <v>45474</v>
      </c>
      <c r="X5" s="11">
        <v>45474</v>
      </c>
      <c r="Y5" s="11">
        <v>45474</v>
      </c>
      <c r="Z5" s="11">
        <v>45505</v>
      </c>
      <c r="AA5" s="11">
        <v>45505</v>
      </c>
      <c r="AB5" s="11">
        <v>45505</v>
      </c>
      <c r="AC5" s="11">
        <v>45536</v>
      </c>
      <c r="AD5" s="11">
        <v>45536</v>
      </c>
      <c r="AE5" s="11">
        <v>45536</v>
      </c>
      <c r="AF5" s="11">
        <v>45566</v>
      </c>
      <c r="AG5" s="11">
        <v>45566</v>
      </c>
      <c r="AH5" s="11">
        <v>45566</v>
      </c>
      <c r="AI5" s="11">
        <v>45597</v>
      </c>
      <c r="AJ5" s="11">
        <v>45597</v>
      </c>
      <c r="AK5" s="11">
        <v>45597</v>
      </c>
      <c r="AL5" s="11">
        <v>45627</v>
      </c>
      <c r="AM5" s="11">
        <v>45627</v>
      </c>
      <c r="AN5" s="11">
        <v>45627</v>
      </c>
    </row>
    <row r="6" spans="1:40" x14ac:dyDescent="0.3">
      <c r="A6" s="5" t="s">
        <v>0</v>
      </c>
      <c r="B6" s="5" t="s">
        <v>1</v>
      </c>
      <c r="C6" s="5" t="s">
        <v>2</v>
      </c>
      <c r="D6" s="5" t="s">
        <v>8</v>
      </c>
      <c r="E6" s="5" t="s">
        <v>4</v>
      </c>
      <c r="F6" s="5" t="s">
        <v>5</v>
      </c>
      <c r="G6" s="23" t="s">
        <v>6</v>
      </c>
      <c r="H6" s="13" t="s">
        <v>4</v>
      </c>
      <c r="I6" s="13" t="s">
        <v>5</v>
      </c>
      <c r="J6" s="26" t="s">
        <v>6</v>
      </c>
      <c r="K6" s="13" t="s">
        <v>4</v>
      </c>
      <c r="L6" s="13" t="s">
        <v>98</v>
      </c>
      <c r="M6" s="26" t="s">
        <v>6</v>
      </c>
      <c r="N6" s="13" t="s">
        <v>4</v>
      </c>
      <c r="O6" s="13" t="s">
        <v>5</v>
      </c>
      <c r="P6" s="26" t="s">
        <v>6</v>
      </c>
      <c r="Q6" s="13" t="s">
        <v>4</v>
      </c>
      <c r="R6" s="13" t="s">
        <v>5</v>
      </c>
      <c r="S6" s="26" t="s">
        <v>6</v>
      </c>
      <c r="T6" s="13" t="s">
        <v>4</v>
      </c>
      <c r="U6" s="13" t="s">
        <v>5</v>
      </c>
      <c r="V6" s="26" t="s">
        <v>6</v>
      </c>
      <c r="W6" s="13" t="s">
        <v>4</v>
      </c>
      <c r="X6" s="13" t="s">
        <v>5</v>
      </c>
      <c r="Y6" s="26" t="s">
        <v>6</v>
      </c>
      <c r="Z6" s="13" t="s">
        <v>4</v>
      </c>
      <c r="AA6" s="13" t="s">
        <v>5</v>
      </c>
      <c r="AB6" s="26" t="s">
        <v>6</v>
      </c>
      <c r="AC6" s="13" t="s">
        <v>4</v>
      </c>
      <c r="AD6" s="13" t="s">
        <v>5</v>
      </c>
      <c r="AE6" s="26" t="s">
        <v>6</v>
      </c>
      <c r="AF6" s="13" t="s">
        <v>4</v>
      </c>
      <c r="AG6" s="13" t="s">
        <v>5</v>
      </c>
      <c r="AH6" s="26" t="s">
        <v>6</v>
      </c>
      <c r="AI6" s="13" t="s">
        <v>4</v>
      </c>
      <c r="AJ6" s="13" t="s">
        <v>5</v>
      </c>
      <c r="AK6" s="26" t="s">
        <v>6</v>
      </c>
      <c r="AL6" s="13" t="s">
        <v>4</v>
      </c>
      <c r="AM6" s="13" t="s">
        <v>5</v>
      </c>
      <c r="AN6" s="26" t="s">
        <v>6</v>
      </c>
    </row>
    <row r="7" spans="1:40" x14ac:dyDescent="0.3">
      <c r="A7" s="127" t="s">
        <v>171</v>
      </c>
      <c r="B7" s="126"/>
      <c r="C7" s="581">
        <v>5000</v>
      </c>
      <c r="D7" s="5">
        <v>0</v>
      </c>
      <c r="E7" s="9">
        <v>0</v>
      </c>
      <c r="F7" s="154">
        <v>0</v>
      </c>
      <c r="G7" s="160">
        <f>F7*E7</f>
        <v>0</v>
      </c>
      <c r="H7" s="14">
        <v>0</v>
      </c>
      <c r="I7" s="162">
        <v>0</v>
      </c>
      <c r="J7" s="164">
        <f t="shared" ref="J7:J13" si="0">I7*H7</f>
        <v>0</v>
      </c>
      <c r="K7" s="25">
        <v>0</v>
      </c>
      <c r="L7" s="154">
        <v>0</v>
      </c>
      <c r="M7" s="164">
        <f t="shared" ref="M7:M13" si="1">L7*K7</f>
        <v>0</v>
      </c>
      <c r="N7" s="14">
        <v>0</v>
      </c>
      <c r="O7" s="162">
        <v>0</v>
      </c>
      <c r="P7" s="164">
        <f t="shared" ref="P7:P13" si="2">O7*N7</f>
        <v>0</v>
      </c>
      <c r="Q7" s="14">
        <v>0</v>
      </c>
      <c r="R7" s="162">
        <v>0</v>
      </c>
      <c r="S7" s="164">
        <f t="shared" ref="S7:S13" si="3">R7*Q7</f>
        <v>0</v>
      </c>
      <c r="T7" s="14">
        <v>0</v>
      </c>
      <c r="U7" s="162">
        <v>0</v>
      </c>
      <c r="V7" s="164">
        <f t="shared" ref="V7:V13" si="4">U7*T7</f>
        <v>0</v>
      </c>
      <c r="W7" s="14">
        <v>0</v>
      </c>
      <c r="X7" s="162">
        <v>0</v>
      </c>
      <c r="Y7" s="164">
        <f t="shared" ref="Y7:Y13" si="5">X7*W7</f>
        <v>0</v>
      </c>
      <c r="Z7" s="14">
        <v>0</v>
      </c>
      <c r="AA7" s="162">
        <v>0</v>
      </c>
      <c r="AB7" s="164">
        <f t="shared" ref="AB7:AB13" si="6">AA7*Z7</f>
        <v>0</v>
      </c>
      <c r="AC7" s="14">
        <v>200</v>
      </c>
      <c r="AD7" s="162">
        <v>0</v>
      </c>
      <c r="AE7" s="164">
        <f t="shared" ref="AE7:AE13" si="7">AD7*AC7</f>
        <v>0</v>
      </c>
      <c r="AF7" s="14">
        <v>0</v>
      </c>
      <c r="AG7" s="162">
        <v>0</v>
      </c>
      <c r="AH7" s="164">
        <f t="shared" ref="AH7:AH13" si="8">AG7*AF7</f>
        <v>0</v>
      </c>
      <c r="AI7" s="14">
        <v>0</v>
      </c>
      <c r="AJ7" s="162">
        <v>0</v>
      </c>
      <c r="AK7" s="164">
        <f t="shared" ref="AK7:AK13" si="9">AJ7*AI7</f>
        <v>0</v>
      </c>
      <c r="AL7" s="14">
        <v>0</v>
      </c>
      <c r="AM7" s="162">
        <v>0</v>
      </c>
      <c r="AN7" s="164">
        <f t="shared" ref="AN7:AN13" si="10">AM7*AL7</f>
        <v>0</v>
      </c>
    </row>
    <row r="8" spans="1:40" x14ac:dyDescent="0.3">
      <c r="A8" s="127" t="s">
        <v>172</v>
      </c>
      <c r="B8" s="175"/>
      <c r="C8" s="582"/>
      <c r="D8" s="5">
        <v>0</v>
      </c>
      <c r="E8" s="9">
        <v>0</v>
      </c>
      <c r="F8" s="154">
        <v>0</v>
      </c>
      <c r="G8" s="160">
        <f t="shared" ref="G8:G13" si="11">F8*E8</f>
        <v>0</v>
      </c>
      <c r="H8" s="14">
        <v>0</v>
      </c>
      <c r="I8" s="162">
        <v>0</v>
      </c>
      <c r="J8" s="164">
        <f t="shared" si="0"/>
        <v>0</v>
      </c>
      <c r="K8" s="25">
        <v>0</v>
      </c>
      <c r="L8" s="154">
        <v>0</v>
      </c>
      <c r="M8" s="164">
        <f t="shared" si="1"/>
        <v>0</v>
      </c>
      <c r="N8" s="14">
        <v>0</v>
      </c>
      <c r="O8" s="162">
        <v>0</v>
      </c>
      <c r="P8" s="164">
        <f t="shared" si="2"/>
        <v>0</v>
      </c>
      <c r="Q8" s="14">
        <v>0</v>
      </c>
      <c r="R8" s="162">
        <v>0</v>
      </c>
      <c r="S8" s="164">
        <f t="shared" si="3"/>
        <v>0</v>
      </c>
      <c r="T8" s="14">
        <v>0</v>
      </c>
      <c r="U8" s="162">
        <v>0</v>
      </c>
      <c r="V8" s="164">
        <f t="shared" si="4"/>
        <v>0</v>
      </c>
      <c r="W8" s="14">
        <v>0</v>
      </c>
      <c r="X8" s="162">
        <v>0</v>
      </c>
      <c r="Y8" s="164">
        <f t="shared" si="5"/>
        <v>0</v>
      </c>
      <c r="Z8" s="14">
        <v>0</v>
      </c>
      <c r="AA8" s="162">
        <v>0</v>
      </c>
      <c r="AB8" s="164">
        <f t="shared" si="6"/>
        <v>0</v>
      </c>
      <c r="AC8" s="14">
        <v>100</v>
      </c>
      <c r="AD8" s="162">
        <v>0</v>
      </c>
      <c r="AE8" s="164">
        <f t="shared" si="7"/>
        <v>0</v>
      </c>
      <c r="AF8" s="14">
        <v>0</v>
      </c>
      <c r="AG8" s="162">
        <v>0</v>
      </c>
      <c r="AH8" s="164">
        <f t="shared" si="8"/>
        <v>0</v>
      </c>
      <c r="AI8" s="14">
        <v>0</v>
      </c>
      <c r="AJ8" s="162">
        <v>0</v>
      </c>
      <c r="AK8" s="164">
        <f t="shared" si="9"/>
        <v>0</v>
      </c>
      <c r="AL8" s="14">
        <v>0</v>
      </c>
      <c r="AM8" s="162">
        <v>0</v>
      </c>
      <c r="AN8" s="164">
        <f t="shared" si="10"/>
        <v>0</v>
      </c>
    </row>
    <row r="9" spans="1:40" x14ac:dyDescent="0.3">
      <c r="A9" s="127" t="s">
        <v>173</v>
      </c>
      <c r="B9" s="175"/>
      <c r="C9" s="583"/>
      <c r="D9" s="5">
        <v>0</v>
      </c>
      <c r="E9" s="9">
        <v>0</v>
      </c>
      <c r="F9" s="154">
        <v>0</v>
      </c>
      <c r="G9" s="160">
        <f t="shared" si="11"/>
        <v>0</v>
      </c>
      <c r="H9" s="14">
        <v>0</v>
      </c>
      <c r="I9" s="162">
        <v>0</v>
      </c>
      <c r="J9" s="164">
        <f t="shared" si="0"/>
        <v>0</v>
      </c>
      <c r="K9" s="25">
        <v>0</v>
      </c>
      <c r="L9" s="154">
        <v>0</v>
      </c>
      <c r="M9" s="164">
        <f t="shared" si="1"/>
        <v>0</v>
      </c>
      <c r="N9" s="14">
        <v>0</v>
      </c>
      <c r="O9" s="162">
        <v>0</v>
      </c>
      <c r="P9" s="164">
        <f t="shared" si="2"/>
        <v>0</v>
      </c>
      <c r="Q9" s="14">
        <v>0</v>
      </c>
      <c r="R9" s="162">
        <v>0</v>
      </c>
      <c r="S9" s="164">
        <f t="shared" si="3"/>
        <v>0</v>
      </c>
      <c r="T9" s="14">
        <v>0</v>
      </c>
      <c r="U9" s="162">
        <v>0</v>
      </c>
      <c r="V9" s="164">
        <f t="shared" si="4"/>
        <v>0</v>
      </c>
      <c r="W9" s="14">
        <v>0</v>
      </c>
      <c r="X9" s="162">
        <v>0</v>
      </c>
      <c r="Y9" s="164">
        <f t="shared" si="5"/>
        <v>0</v>
      </c>
      <c r="Z9" s="14">
        <v>0</v>
      </c>
      <c r="AA9" s="162">
        <v>0</v>
      </c>
      <c r="AB9" s="164">
        <f t="shared" si="6"/>
        <v>0</v>
      </c>
      <c r="AC9" s="14">
        <v>100</v>
      </c>
      <c r="AD9" s="162">
        <v>0</v>
      </c>
      <c r="AE9" s="164">
        <f t="shared" si="7"/>
        <v>0</v>
      </c>
      <c r="AF9" s="14">
        <v>0</v>
      </c>
      <c r="AG9" s="162">
        <v>0</v>
      </c>
      <c r="AH9" s="164">
        <f t="shared" si="8"/>
        <v>0</v>
      </c>
      <c r="AI9" s="14">
        <v>0</v>
      </c>
      <c r="AJ9" s="162">
        <v>0</v>
      </c>
      <c r="AK9" s="164">
        <f t="shared" si="9"/>
        <v>0</v>
      </c>
      <c r="AL9" s="14">
        <v>0</v>
      </c>
      <c r="AM9" s="162">
        <v>0</v>
      </c>
      <c r="AN9" s="164">
        <f t="shared" si="10"/>
        <v>0</v>
      </c>
    </row>
    <row r="10" spans="1:40" x14ac:dyDescent="0.3">
      <c r="A10" s="142" t="s">
        <v>174</v>
      </c>
      <c r="C10" s="450">
        <v>300</v>
      </c>
      <c r="D10" s="5">
        <v>0</v>
      </c>
      <c r="E10" s="9">
        <v>0</v>
      </c>
      <c r="F10" s="154">
        <v>0</v>
      </c>
      <c r="G10" s="160">
        <f t="shared" si="11"/>
        <v>0</v>
      </c>
      <c r="H10" s="14">
        <v>0</v>
      </c>
      <c r="I10" s="162">
        <v>0</v>
      </c>
      <c r="J10" s="164">
        <f t="shared" si="0"/>
        <v>0</v>
      </c>
      <c r="K10" s="25">
        <v>0</v>
      </c>
      <c r="L10" s="154">
        <v>0</v>
      </c>
      <c r="M10" s="164">
        <f t="shared" si="1"/>
        <v>0</v>
      </c>
      <c r="N10" s="14">
        <v>0</v>
      </c>
      <c r="O10" s="162">
        <v>0</v>
      </c>
      <c r="P10" s="164">
        <f t="shared" si="2"/>
        <v>0</v>
      </c>
      <c r="Q10" s="14">
        <v>0</v>
      </c>
      <c r="R10" s="162">
        <v>0</v>
      </c>
      <c r="S10" s="164">
        <f t="shared" si="3"/>
        <v>0</v>
      </c>
      <c r="T10" s="14">
        <v>0</v>
      </c>
      <c r="U10" s="162">
        <v>0</v>
      </c>
      <c r="V10" s="164">
        <f t="shared" si="4"/>
        <v>0</v>
      </c>
      <c r="W10" s="14">
        <v>0</v>
      </c>
      <c r="X10" s="162">
        <v>0</v>
      </c>
      <c r="Y10" s="164">
        <f t="shared" si="5"/>
        <v>0</v>
      </c>
      <c r="Z10" s="14">
        <v>0</v>
      </c>
      <c r="AA10" s="162">
        <v>0</v>
      </c>
      <c r="AB10" s="164">
        <f t="shared" si="6"/>
        <v>0</v>
      </c>
      <c r="AC10" s="14">
        <v>25</v>
      </c>
      <c r="AD10" s="162">
        <v>0</v>
      </c>
      <c r="AE10" s="164">
        <f t="shared" si="7"/>
        <v>0</v>
      </c>
      <c r="AF10" s="14">
        <v>0</v>
      </c>
      <c r="AG10" s="162">
        <v>0</v>
      </c>
      <c r="AH10" s="164">
        <f t="shared" si="8"/>
        <v>0</v>
      </c>
      <c r="AI10" s="14">
        <v>0</v>
      </c>
      <c r="AJ10" s="162">
        <v>0</v>
      </c>
      <c r="AK10" s="164">
        <f t="shared" si="9"/>
        <v>0</v>
      </c>
      <c r="AL10" s="14">
        <v>0</v>
      </c>
      <c r="AM10" s="162">
        <v>0</v>
      </c>
      <c r="AN10" s="164">
        <f t="shared" si="10"/>
        <v>0</v>
      </c>
    </row>
    <row r="11" spans="1:40" x14ac:dyDescent="0.3">
      <c r="A11" s="5" t="s">
        <v>175</v>
      </c>
      <c r="B11" s="5"/>
      <c r="C11" s="8">
        <v>300</v>
      </c>
      <c r="D11" s="5">
        <v>0</v>
      </c>
      <c r="E11" s="9">
        <v>0</v>
      </c>
      <c r="F11" s="154">
        <v>0</v>
      </c>
      <c r="G11" s="160">
        <f t="shared" si="11"/>
        <v>0</v>
      </c>
      <c r="H11" s="14">
        <v>0</v>
      </c>
      <c r="I11" s="162">
        <v>0</v>
      </c>
      <c r="J11" s="166">
        <f t="shared" si="0"/>
        <v>0</v>
      </c>
      <c r="K11" s="25">
        <v>0</v>
      </c>
      <c r="L11" s="154">
        <v>0</v>
      </c>
      <c r="M11" s="166">
        <f t="shared" si="1"/>
        <v>0</v>
      </c>
      <c r="N11" s="14">
        <v>0</v>
      </c>
      <c r="O11" s="162">
        <v>0</v>
      </c>
      <c r="P11" s="166">
        <f t="shared" si="2"/>
        <v>0</v>
      </c>
      <c r="Q11" s="14">
        <v>0</v>
      </c>
      <c r="R11" s="162">
        <v>0</v>
      </c>
      <c r="S11" s="166">
        <f t="shared" si="3"/>
        <v>0</v>
      </c>
      <c r="T11" s="14">
        <v>0</v>
      </c>
      <c r="U11" s="162">
        <v>0</v>
      </c>
      <c r="V11" s="166">
        <f t="shared" si="4"/>
        <v>0</v>
      </c>
      <c r="W11" s="14">
        <v>0</v>
      </c>
      <c r="X11" s="162">
        <v>0</v>
      </c>
      <c r="Y11" s="166">
        <f t="shared" si="5"/>
        <v>0</v>
      </c>
      <c r="Z11" s="14">
        <v>0</v>
      </c>
      <c r="AA11" s="162">
        <v>0</v>
      </c>
      <c r="AB11" s="166">
        <f t="shared" si="6"/>
        <v>0</v>
      </c>
      <c r="AC11" s="14">
        <v>25</v>
      </c>
      <c r="AD11" s="162">
        <v>0</v>
      </c>
      <c r="AE11" s="166">
        <f t="shared" si="7"/>
        <v>0</v>
      </c>
      <c r="AF11" s="14">
        <v>0</v>
      </c>
      <c r="AG11" s="162">
        <v>0</v>
      </c>
      <c r="AH11" s="166">
        <f t="shared" si="8"/>
        <v>0</v>
      </c>
      <c r="AI11" s="14">
        <v>0</v>
      </c>
      <c r="AJ11" s="162">
        <v>0</v>
      </c>
      <c r="AK11" s="166">
        <f t="shared" si="9"/>
        <v>0</v>
      </c>
      <c r="AL11" s="14">
        <v>0</v>
      </c>
      <c r="AM11" s="162">
        <v>0</v>
      </c>
      <c r="AN11" s="166">
        <f t="shared" si="10"/>
        <v>0</v>
      </c>
    </row>
    <row r="12" spans="1:40" x14ac:dyDescent="0.3">
      <c r="A12" s="5" t="s">
        <v>176</v>
      </c>
      <c r="B12" s="5"/>
      <c r="C12" s="5">
        <v>500</v>
      </c>
      <c r="D12" s="5">
        <v>0</v>
      </c>
      <c r="E12" s="5">
        <v>0</v>
      </c>
      <c r="F12" s="154">
        <v>0</v>
      </c>
      <c r="G12" s="160">
        <f t="shared" si="11"/>
        <v>0</v>
      </c>
      <c r="H12" s="13">
        <v>0</v>
      </c>
      <c r="I12" s="162">
        <v>0</v>
      </c>
      <c r="J12" s="165">
        <f t="shared" si="0"/>
        <v>0</v>
      </c>
      <c r="K12" s="31">
        <v>0</v>
      </c>
      <c r="L12" s="154">
        <v>0</v>
      </c>
      <c r="M12" s="165">
        <f t="shared" si="1"/>
        <v>0</v>
      </c>
      <c r="N12" s="13">
        <v>0</v>
      </c>
      <c r="O12" s="162">
        <v>0</v>
      </c>
      <c r="P12" s="165">
        <f t="shared" si="2"/>
        <v>0</v>
      </c>
      <c r="Q12" s="13">
        <v>0</v>
      </c>
      <c r="R12" s="162">
        <v>0</v>
      </c>
      <c r="S12" s="165">
        <f t="shared" si="3"/>
        <v>0</v>
      </c>
      <c r="T12" s="13">
        <v>0</v>
      </c>
      <c r="U12" s="162">
        <v>0</v>
      </c>
      <c r="V12" s="165">
        <f t="shared" si="4"/>
        <v>0</v>
      </c>
      <c r="W12" s="13">
        <v>0</v>
      </c>
      <c r="X12" s="162">
        <v>0</v>
      </c>
      <c r="Y12" s="165">
        <f t="shared" si="5"/>
        <v>0</v>
      </c>
      <c r="Z12" s="13">
        <v>0</v>
      </c>
      <c r="AA12" s="162">
        <v>0</v>
      </c>
      <c r="AB12" s="165">
        <f t="shared" si="6"/>
        <v>0</v>
      </c>
      <c r="AC12" s="13">
        <v>25</v>
      </c>
      <c r="AD12" s="162">
        <v>0</v>
      </c>
      <c r="AE12" s="165">
        <f t="shared" si="7"/>
        <v>0</v>
      </c>
      <c r="AF12" s="13">
        <v>0</v>
      </c>
      <c r="AG12" s="162">
        <v>0</v>
      </c>
      <c r="AH12" s="165">
        <f t="shared" si="8"/>
        <v>0</v>
      </c>
      <c r="AI12" s="13">
        <v>0</v>
      </c>
      <c r="AJ12" s="162">
        <v>0</v>
      </c>
      <c r="AK12" s="165">
        <f t="shared" si="9"/>
        <v>0</v>
      </c>
      <c r="AL12" s="13">
        <v>0</v>
      </c>
      <c r="AM12" s="162">
        <v>0</v>
      </c>
      <c r="AN12" s="165">
        <f t="shared" si="10"/>
        <v>0</v>
      </c>
    </row>
    <row r="13" spans="1:40" x14ac:dyDescent="0.3">
      <c r="A13" s="19" t="s">
        <v>244</v>
      </c>
      <c r="B13" s="5"/>
      <c r="C13" s="24">
        <v>0</v>
      </c>
      <c r="D13" s="5">
        <v>0</v>
      </c>
      <c r="E13" s="5">
        <v>0</v>
      </c>
      <c r="F13" s="154">
        <v>0</v>
      </c>
      <c r="G13" s="160">
        <f t="shared" si="11"/>
        <v>0</v>
      </c>
      <c r="H13" s="13">
        <v>0</v>
      </c>
      <c r="I13" s="162">
        <v>0</v>
      </c>
      <c r="J13" s="165">
        <f t="shared" si="0"/>
        <v>0</v>
      </c>
      <c r="K13" s="32">
        <v>0</v>
      </c>
      <c r="L13" s="155">
        <v>0</v>
      </c>
      <c r="M13" s="165">
        <f t="shared" si="1"/>
        <v>0</v>
      </c>
      <c r="N13" s="13">
        <v>0</v>
      </c>
      <c r="O13" s="162">
        <v>0</v>
      </c>
      <c r="P13" s="165">
        <f t="shared" si="2"/>
        <v>0</v>
      </c>
      <c r="Q13" s="13">
        <v>0</v>
      </c>
      <c r="R13" s="162">
        <v>0</v>
      </c>
      <c r="S13" s="165">
        <f t="shared" si="3"/>
        <v>0</v>
      </c>
      <c r="T13" s="13">
        <v>0</v>
      </c>
      <c r="U13" s="162">
        <v>0</v>
      </c>
      <c r="V13" s="165">
        <f t="shared" si="4"/>
        <v>0</v>
      </c>
      <c r="W13" s="13">
        <v>0</v>
      </c>
      <c r="X13" s="162">
        <v>0</v>
      </c>
      <c r="Y13" s="165">
        <f t="shared" si="5"/>
        <v>0</v>
      </c>
      <c r="Z13" s="13">
        <v>0</v>
      </c>
      <c r="AA13" s="162">
        <v>0</v>
      </c>
      <c r="AB13" s="165">
        <f t="shared" si="6"/>
        <v>0</v>
      </c>
      <c r="AC13" s="13">
        <v>200</v>
      </c>
      <c r="AD13" s="162">
        <v>0</v>
      </c>
      <c r="AE13" s="165">
        <f t="shared" si="7"/>
        <v>0</v>
      </c>
      <c r="AF13" s="13">
        <v>0</v>
      </c>
      <c r="AG13" s="162">
        <v>0</v>
      </c>
      <c r="AH13" s="165">
        <f t="shared" si="8"/>
        <v>0</v>
      </c>
      <c r="AI13" s="13">
        <v>0</v>
      </c>
      <c r="AJ13" s="162">
        <v>0</v>
      </c>
      <c r="AK13" s="165">
        <f t="shared" si="9"/>
        <v>0</v>
      </c>
      <c r="AL13" s="13">
        <v>0</v>
      </c>
      <c r="AM13" s="162">
        <v>0</v>
      </c>
      <c r="AN13" s="165">
        <f t="shared" si="10"/>
        <v>0</v>
      </c>
    </row>
    <row r="14" spans="1:40" x14ac:dyDescent="0.3">
      <c r="A14" s="451"/>
      <c r="B14" s="22"/>
      <c r="C14" s="8">
        <v>0</v>
      </c>
      <c r="D14" s="5">
        <v>0</v>
      </c>
      <c r="E14" s="5">
        <v>0</v>
      </c>
      <c r="F14" s="154"/>
      <c r="G14" s="161"/>
      <c r="H14" s="12"/>
      <c r="I14" s="163"/>
      <c r="J14" s="164"/>
      <c r="K14" s="12"/>
      <c r="L14" s="163"/>
      <c r="M14" s="164"/>
      <c r="N14" s="12"/>
      <c r="O14" s="163"/>
      <c r="P14" s="164"/>
      <c r="Q14" s="12"/>
      <c r="R14" s="163"/>
      <c r="S14" s="164"/>
      <c r="T14" s="12"/>
      <c r="U14" s="163"/>
      <c r="V14" s="164"/>
      <c r="W14" s="12"/>
      <c r="X14" s="163"/>
      <c r="Y14" s="164"/>
      <c r="Z14" s="12"/>
      <c r="AA14" s="163"/>
      <c r="AB14" s="164"/>
      <c r="AC14" s="12"/>
      <c r="AD14" s="163"/>
      <c r="AE14" s="164"/>
      <c r="AF14" s="12"/>
      <c r="AG14" s="163"/>
      <c r="AH14" s="164"/>
      <c r="AI14" s="12"/>
      <c r="AJ14" s="163"/>
      <c r="AK14" s="164"/>
      <c r="AL14" s="12"/>
      <c r="AM14" s="163"/>
      <c r="AN14" s="164"/>
    </row>
    <row r="15" spans="1:40" ht="16.2" x14ac:dyDescent="0.45">
      <c r="A15" s="22"/>
      <c r="B15" s="22"/>
      <c r="C15" s="8"/>
      <c r="D15" s="5"/>
      <c r="E15" s="5"/>
      <c r="F15" s="135" t="s">
        <v>7</v>
      </c>
      <c r="G15" s="169">
        <f>SUM(G7:G14)</f>
        <v>0</v>
      </c>
      <c r="H15" s="12"/>
      <c r="I15" s="137" t="s">
        <v>7</v>
      </c>
      <c r="J15" s="168">
        <f>SUM(J7:J14)</f>
        <v>0</v>
      </c>
      <c r="K15" s="12"/>
      <c r="L15" s="137" t="s">
        <v>7</v>
      </c>
      <c r="M15" s="168">
        <f>SUM(M7:M14)</f>
        <v>0</v>
      </c>
      <c r="N15" s="12"/>
      <c r="O15" s="137" t="s">
        <v>7</v>
      </c>
      <c r="P15" s="168">
        <f>SUM(P7:P14)</f>
        <v>0</v>
      </c>
      <c r="Q15" s="12"/>
      <c r="R15" s="137" t="s">
        <v>7</v>
      </c>
      <c r="S15" s="168">
        <f>SUM(S7:S14)</f>
        <v>0</v>
      </c>
      <c r="T15" s="12"/>
      <c r="U15" s="137" t="s">
        <v>7</v>
      </c>
      <c r="V15" s="168">
        <f>SUM(V7:V14)</f>
        <v>0</v>
      </c>
      <c r="W15" s="12"/>
      <c r="X15" s="137" t="s">
        <v>7</v>
      </c>
      <c r="Y15" s="168">
        <f>SUM(Y7:Y14)</f>
        <v>0</v>
      </c>
      <c r="Z15" s="12"/>
      <c r="AA15" s="137" t="s">
        <v>7</v>
      </c>
      <c r="AB15" s="168">
        <f>SUM(AB7:AB14)</f>
        <v>0</v>
      </c>
      <c r="AC15" s="12"/>
      <c r="AD15" s="137" t="s">
        <v>7</v>
      </c>
      <c r="AE15" s="168">
        <f>SUM(AE7:AE14)</f>
        <v>0</v>
      </c>
      <c r="AF15" s="12"/>
      <c r="AG15" s="137" t="s">
        <v>7</v>
      </c>
      <c r="AH15" s="168">
        <f>SUM(AH7:AH14)</f>
        <v>0</v>
      </c>
      <c r="AI15" s="12"/>
      <c r="AJ15" s="137" t="s">
        <v>7</v>
      </c>
      <c r="AK15" s="168">
        <f>SUM(AK7:AK14)</f>
        <v>0</v>
      </c>
      <c r="AL15" s="12"/>
      <c r="AM15" s="137" t="s">
        <v>7</v>
      </c>
      <c r="AN15" s="168">
        <f>SUM(AN7:AN14)</f>
        <v>0</v>
      </c>
    </row>
  </sheetData>
  <mergeCells count="1">
    <mergeCell ref="C7:C9"/>
  </mergeCells>
  <hyperlinks>
    <hyperlink ref="A2" location="Menu!A1" display="Menu" xr:uid="{00000000-0004-0000-0800-000000000000}"/>
  </hyperlink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1"/>
  <dimension ref="A1:AN16"/>
  <sheetViews>
    <sheetView workbookViewId="0">
      <pane xSplit="4" topLeftCell="AC1" activePane="topRight" state="frozen"/>
      <selection pane="topRight" sqref="A1:XFD1048576"/>
    </sheetView>
  </sheetViews>
  <sheetFormatPr defaultColWidth="9.109375" defaultRowHeight="14.4" x14ac:dyDescent="0.3"/>
  <cols>
    <col min="1" max="1" width="35.77734375" style="1" bestFit="1" customWidth="1"/>
    <col min="2" max="2" width="9.109375" style="1"/>
    <col min="3" max="3" width="18.77734375" style="1" bestFit="1" customWidth="1"/>
    <col min="4" max="4" width="16" style="1" bestFit="1" customWidth="1"/>
    <col min="5" max="5" width="14.109375" style="1" bestFit="1" customWidth="1"/>
    <col min="6" max="6" width="9.5546875" style="1" bestFit="1" customWidth="1"/>
    <col min="7" max="7" width="12.109375" style="1" bestFit="1" customWidth="1"/>
    <col min="8" max="8" width="14.109375" style="1" bestFit="1" customWidth="1"/>
    <col min="9" max="10" width="12.109375" style="1" bestFit="1" customWidth="1"/>
    <col min="11" max="11" width="14.109375" style="1" bestFit="1" customWidth="1"/>
    <col min="12" max="12" width="10.6640625" style="1" bestFit="1" customWidth="1"/>
    <col min="13" max="13" width="12.109375" style="1" bestFit="1" customWidth="1"/>
    <col min="14" max="14" width="14.109375" style="1" bestFit="1" customWidth="1"/>
    <col min="15" max="15" width="9.109375" style="1"/>
    <col min="16" max="16" width="11.6640625" style="1" bestFit="1" customWidth="1"/>
    <col min="17" max="17" width="14.109375" style="1" bestFit="1" customWidth="1"/>
    <col min="18" max="18" width="9.109375" style="1"/>
    <col min="19" max="19" width="11.6640625" style="1" bestFit="1" customWidth="1"/>
    <col min="20" max="20" width="14.109375" style="1" bestFit="1" customWidth="1"/>
    <col min="21" max="21" width="9.109375" style="1"/>
    <col min="22" max="22" width="11.6640625" style="1" bestFit="1" customWidth="1"/>
    <col min="23" max="23" width="14.109375" style="1" bestFit="1" customWidth="1"/>
    <col min="24" max="24" width="9.5546875" style="1" bestFit="1" customWidth="1"/>
    <col min="25" max="25" width="12.109375" style="1" bestFit="1" customWidth="1"/>
    <col min="26" max="26" width="14.109375" style="1" bestFit="1" customWidth="1"/>
    <col min="27" max="27" width="9.109375" style="1"/>
    <col min="28" max="28" width="10.88671875" style="1" bestFit="1" customWidth="1"/>
    <col min="29" max="29" width="14.109375" style="1" bestFit="1" customWidth="1"/>
    <col min="30" max="30" width="9.109375" style="1"/>
    <col min="31" max="31" width="10.88671875" style="1" bestFit="1" customWidth="1"/>
    <col min="32" max="32" width="14.109375" style="1" bestFit="1" customWidth="1"/>
    <col min="33" max="33" width="9.109375" style="1"/>
    <col min="34" max="34" width="10.88671875" style="1" bestFit="1" customWidth="1"/>
    <col min="35" max="35" width="14.109375" style="1" bestFit="1" customWidth="1"/>
    <col min="36" max="36" width="9.109375" style="1"/>
    <col min="37" max="37" width="10.88671875" style="1" bestFit="1" customWidth="1"/>
    <col min="38" max="38" width="14.109375" style="1" bestFit="1" customWidth="1"/>
    <col min="39" max="39" width="9.109375" style="1"/>
    <col min="40" max="40" width="10.88671875" style="1" bestFit="1" customWidth="1"/>
    <col min="41" max="16384" width="9.109375" style="1"/>
  </cols>
  <sheetData>
    <row r="1" spans="1:40" ht="15" thickBot="1" x14ac:dyDescent="0.35"/>
    <row r="2" spans="1:40" ht="21.75" customHeight="1" thickBot="1" x14ac:dyDescent="0.35">
      <c r="A2" s="185" t="s">
        <v>96</v>
      </c>
    </row>
    <row r="3" spans="1:40" ht="29.4" thickBot="1" x14ac:dyDescent="0.6">
      <c r="A3" s="446" t="s">
        <v>150</v>
      </c>
      <c r="B3" s="123"/>
      <c r="C3" s="123"/>
      <c r="D3" s="123"/>
      <c r="E3" s="6"/>
      <c r="F3" s="6"/>
      <c r="G3" s="6"/>
      <c r="H3" s="6"/>
      <c r="I3" s="6"/>
      <c r="J3" s="6"/>
      <c r="K3" s="6"/>
      <c r="L3" s="6"/>
      <c r="M3" s="6"/>
      <c r="N3" s="6"/>
      <c r="O3" s="6"/>
      <c r="P3" s="6"/>
      <c r="Q3" s="2"/>
      <c r="R3" s="6"/>
      <c r="S3" s="6"/>
      <c r="T3" s="6"/>
      <c r="U3" s="6"/>
      <c r="V3" s="6"/>
      <c r="W3" s="6"/>
      <c r="X3" s="6"/>
      <c r="Y3" s="6"/>
      <c r="Z3" s="6"/>
      <c r="AA3" s="6"/>
      <c r="AB3" s="6"/>
      <c r="AC3" s="6"/>
      <c r="AD3" s="6"/>
      <c r="AE3" s="6"/>
      <c r="AF3" s="6"/>
      <c r="AG3" s="6"/>
      <c r="AH3" s="6"/>
      <c r="AI3" s="6"/>
      <c r="AJ3" s="6"/>
      <c r="AK3" s="6"/>
      <c r="AL3" s="6"/>
      <c r="AM3" s="6"/>
      <c r="AN3" s="6"/>
    </row>
    <row r="4" spans="1:40" ht="15" customHeight="1" thickBot="1" x14ac:dyDescent="0.6">
      <c r="A4" s="131"/>
      <c r="B4" s="123"/>
      <c r="C4" s="123"/>
      <c r="D4" s="123"/>
      <c r="E4" s="6"/>
      <c r="F4" s="6"/>
      <c r="G4" s="6"/>
      <c r="H4" s="6"/>
      <c r="I4" s="6"/>
      <c r="J4" s="6"/>
      <c r="K4" s="6"/>
      <c r="L4" s="6"/>
      <c r="M4" s="6"/>
      <c r="N4" s="6"/>
      <c r="O4" s="6"/>
      <c r="P4" s="6"/>
      <c r="Q4" s="2"/>
      <c r="R4" s="6"/>
      <c r="S4" s="6"/>
      <c r="T4" s="6"/>
      <c r="U4" s="6"/>
      <c r="V4" s="6"/>
      <c r="W4" s="6"/>
      <c r="X4" s="6"/>
      <c r="Y4" s="6"/>
      <c r="Z4" s="6"/>
      <c r="AA4" s="6"/>
      <c r="AB4" s="6"/>
      <c r="AC4" s="6"/>
      <c r="AD4" s="6"/>
      <c r="AE4" s="6"/>
      <c r="AF4" s="6"/>
      <c r="AG4" s="6"/>
      <c r="AH4" s="6"/>
      <c r="AI4" s="6"/>
      <c r="AJ4" s="6"/>
      <c r="AK4" s="6"/>
      <c r="AL4" s="6"/>
      <c r="AM4" s="6"/>
      <c r="AN4" s="6"/>
    </row>
    <row r="5" spans="1:40" x14ac:dyDescent="0.3">
      <c r="A5" s="7"/>
      <c r="B5" s="5"/>
      <c r="C5" s="7"/>
      <c r="D5" s="7"/>
      <c r="E5" s="4">
        <v>45292</v>
      </c>
      <c r="F5" s="4">
        <v>45292</v>
      </c>
      <c r="G5" s="4">
        <v>45292</v>
      </c>
      <c r="H5" s="33">
        <v>45323</v>
      </c>
      <c r="I5" s="34">
        <v>45323</v>
      </c>
      <c r="J5" s="34">
        <v>45323</v>
      </c>
      <c r="K5" s="34">
        <v>45352</v>
      </c>
      <c r="L5" s="34">
        <v>45352</v>
      </c>
      <c r="M5" s="34">
        <v>45352</v>
      </c>
      <c r="N5" s="34">
        <v>45383</v>
      </c>
      <c r="O5" s="34">
        <v>45383</v>
      </c>
      <c r="P5" s="34">
        <v>45383</v>
      </c>
      <c r="Q5" s="34">
        <v>45413</v>
      </c>
      <c r="R5" s="34">
        <v>45413</v>
      </c>
      <c r="S5" s="34">
        <v>45413</v>
      </c>
      <c r="T5" s="34">
        <v>45444</v>
      </c>
      <c r="U5" s="34">
        <v>45444</v>
      </c>
      <c r="V5" s="34">
        <v>45444</v>
      </c>
      <c r="W5" s="34">
        <v>45474</v>
      </c>
      <c r="X5" s="34">
        <v>45474</v>
      </c>
      <c r="Y5" s="34">
        <v>45474</v>
      </c>
      <c r="Z5" s="34">
        <v>45505</v>
      </c>
      <c r="AA5" s="34">
        <v>45505</v>
      </c>
      <c r="AB5" s="34">
        <v>45505</v>
      </c>
      <c r="AC5" s="34">
        <v>45536</v>
      </c>
      <c r="AD5" s="34">
        <v>45536</v>
      </c>
      <c r="AE5" s="34">
        <v>45536</v>
      </c>
      <c r="AF5" s="34">
        <v>45566</v>
      </c>
      <c r="AG5" s="34">
        <v>45566</v>
      </c>
      <c r="AH5" s="34">
        <v>45566</v>
      </c>
      <c r="AI5" s="34">
        <v>45597</v>
      </c>
      <c r="AJ5" s="34">
        <v>45597</v>
      </c>
      <c r="AK5" s="34">
        <v>45597</v>
      </c>
      <c r="AL5" s="34">
        <v>45627</v>
      </c>
      <c r="AM5" s="34">
        <v>45627</v>
      </c>
      <c r="AN5" s="35">
        <v>45627</v>
      </c>
    </row>
    <row r="6" spans="1:40" ht="15" customHeight="1" x14ac:dyDescent="0.3">
      <c r="A6" s="10" t="s">
        <v>0</v>
      </c>
      <c r="B6" s="5" t="s">
        <v>1</v>
      </c>
      <c r="C6" s="5" t="s">
        <v>2</v>
      </c>
      <c r="D6" s="5" t="s">
        <v>3</v>
      </c>
      <c r="E6" s="5" t="s">
        <v>4</v>
      </c>
      <c r="F6" s="5" t="s">
        <v>5</v>
      </c>
      <c r="G6" s="30" t="s">
        <v>6</v>
      </c>
      <c r="H6" s="31" t="s">
        <v>4</v>
      </c>
      <c r="I6" s="5" t="s">
        <v>5</v>
      </c>
      <c r="J6" s="23" t="s">
        <v>6</v>
      </c>
      <c r="K6" s="31" t="s">
        <v>4</v>
      </c>
      <c r="L6" s="5" t="s">
        <v>98</v>
      </c>
      <c r="M6" s="23" t="s">
        <v>6</v>
      </c>
      <c r="N6" s="31" t="s">
        <v>4</v>
      </c>
      <c r="O6" s="5" t="s">
        <v>5</v>
      </c>
      <c r="P6" s="23" t="s">
        <v>6</v>
      </c>
      <c r="Q6" s="31" t="s">
        <v>4</v>
      </c>
      <c r="R6" s="5" t="s">
        <v>5</v>
      </c>
      <c r="S6" s="23" t="s">
        <v>6</v>
      </c>
      <c r="T6" s="31" t="s">
        <v>4</v>
      </c>
      <c r="U6" s="5" t="s">
        <v>5</v>
      </c>
      <c r="V6" s="23" t="s">
        <v>6</v>
      </c>
      <c r="W6" s="31" t="s">
        <v>4</v>
      </c>
      <c r="X6" s="5" t="s">
        <v>5</v>
      </c>
      <c r="Y6" s="23" t="s">
        <v>6</v>
      </c>
      <c r="Z6" s="31" t="s">
        <v>4</v>
      </c>
      <c r="AA6" s="5" t="s">
        <v>5</v>
      </c>
      <c r="AB6" s="23" t="s">
        <v>6</v>
      </c>
      <c r="AC6" s="31" t="s">
        <v>4</v>
      </c>
      <c r="AD6" s="5" t="s">
        <v>5</v>
      </c>
      <c r="AE6" s="23" t="s">
        <v>6</v>
      </c>
      <c r="AF6" s="31" t="s">
        <v>4</v>
      </c>
      <c r="AG6" s="5" t="s">
        <v>5</v>
      </c>
      <c r="AH6" s="23" t="s">
        <v>6</v>
      </c>
      <c r="AI6" s="31" t="s">
        <v>4</v>
      </c>
      <c r="AJ6" s="5" t="s">
        <v>5</v>
      </c>
      <c r="AK6" s="23" t="s">
        <v>6</v>
      </c>
      <c r="AL6" s="31" t="s">
        <v>4</v>
      </c>
      <c r="AM6" s="5" t="s">
        <v>5</v>
      </c>
      <c r="AN6" s="23" t="s">
        <v>6</v>
      </c>
    </row>
    <row r="7" spans="1:40" x14ac:dyDescent="0.3">
      <c r="A7" s="127" t="s">
        <v>171</v>
      </c>
      <c r="B7" s="13"/>
      <c r="C7" s="545">
        <v>5000</v>
      </c>
      <c r="D7" s="13">
        <v>0</v>
      </c>
      <c r="E7" s="3">
        <v>0</v>
      </c>
      <c r="F7" s="154">
        <v>0</v>
      </c>
      <c r="G7" s="156">
        <f t="shared" ref="G7:G14" si="0">F7*E7</f>
        <v>0</v>
      </c>
      <c r="H7" s="171">
        <v>0</v>
      </c>
      <c r="I7" s="154">
        <v>0</v>
      </c>
      <c r="J7" s="161">
        <f>I7*H7</f>
        <v>0</v>
      </c>
      <c r="K7" s="14">
        <v>0</v>
      </c>
      <c r="L7" s="154">
        <v>0</v>
      </c>
      <c r="M7" s="161">
        <f>L7*K7</f>
        <v>0</v>
      </c>
      <c r="N7" s="31">
        <v>0</v>
      </c>
      <c r="O7" s="154">
        <v>0</v>
      </c>
      <c r="P7" s="161">
        <f>O7*N7</f>
        <v>0</v>
      </c>
      <c r="Q7" s="31">
        <v>0</v>
      </c>
      <c r="R7" s="154">
        <v>0</v>
      </c>
      <c r="S7" s="161">
        <f>R7*Q7</f>
        <v>0</v>
      </c>
      <c r="T7" s="31">
        <v>0</v>
      </c>
      <c r="U7" s="154">
        <v>1</v>
      </c>
      <c r="V7" s="161">
        <f>U7*T7</f>
        <v>0</v>
      </c>
      <c r="W7" s="31">
        <v>0</v>
      </c>
      <c r="X7" s="154">
        <v>0</v>
      </c>
      <c r="Y7" s="161">
        <f>X7*W7</f>
        <v>0</v>
      </c>
      <c r="Z7" s="31">
        <v>0</v>
      </c>
      <c r="AA7" s="154">
        <v>0</v>
      </c>
      <c r="AB7" s="161">
        <f>AA7*Z7</f>
        <v>0</v>
      </c>
      <c r="AC7" s="31">
        <v>200</v>
      </c>
      <c r="AD7" s="154">
        <v>0</v>
      </c>
      <c r="AE7" s="161">
        <f>AD7*AC7</f>
        <v>0</v>
      </c>
      <c r="AF7" s="31">
        <v>0</v>
      </c>
      <c r="AG7" s="154">
        <v>0</v>
      </c>
      <c r="AH7" s="161">
        <f>AG7*AF7</f>
        <v>0</v>
      </c>
      <c r="AI7" s="31">
        <v>0</v>
      </c>
      <c r="AJ7" s="154">
        <v>0</v>
      </c>
      <c r="AK7" s="161">
        <f>AJ7*AI7</f>
        <v>0</v>
      </c>
      <c r="AL7" s="31">
        <v>0</v>
      </c>
      <c r="AM7" s="154">
        <v>0</v>
      </c>
      <c r="AN7" s="161">
        <f>AM7*AL7</f>
        <v>0</v>
      </c>
    </row>
    <row r="8" spans="1:40" x14ac:dyDescent="0.3">
      <c r="A8" s="127" t="s">
        <v>172</v>
      </c>
      <c r="B8" s="13"/>
      <c r="C8" s="546"/>
      <c r="D8" s="13">
        <v>0</v>
      </c>
      <c r="E8" s="9">
        <v>0</v>
      </c>
      <c r="F8" s="154">
        <v>0</v>
      </c>
      <c r="G8" s="156">
        <f t="shared" si="0"/>
        <v>0</v>
      </c>
      <c r="H8" s="171">
        <v>0</v>
      </c>
      <c r="I8" s="154">
        <v>0</v>
      </c>
      <c r="J8" s="161">
        <f t="shared" ref="J8:J15" si="1">I8*H8</f>
        <v>0</v>
      </c>
      <c r="K8" s="128">
        <v>0</v>
      </c>
      <c r="L8" s="154">
        <v>0</v>
      </c>
      <c r="M8" s="161">
        <f t="shared" ref="M8:M15" si="2">L8*K8</f>
        <v>0</v>
      </c>
      <c r="N8" s="31">
        <v>0</v>
      </c>
      <c r="O8" s="154">
        <v>0</v>
      </c>
      <c r="P8" s="161">
        <f t="shared" ref="P8:P15" si="3">O8*N8</f>
        <v>0</v>
      </c>
      <c r="Q8" s="31">
        <v>0</v>
      </c>
      <c r="R8" s="154">
        <v>0</v>
      </c>
      <c r="S8" s="161">
        <f t="shared" ref="S8:S15" si="4">R8*Q8</f>
        <v>0</v>
      </c>
      <c r="T8" s="31">
        <v>0</v>
      </c>
      <c r="U8" s="154">
        <v>0</v>
      </c>
      <c r="V8" s="161">
        <f t="shared" ref="V8:V15" si="5">U8*T8</f>
        <v>0</v>
      </c>
      <c r="W8" s="31">
        <v>0</v>
      </c>
      <c r="X8" s="154">
        <v>0</v>
      </c>
      <c r="Y8" s="161">
        <f t="shared" ref="Y8:Y15" si="6">X8*W8</f>
        <v>0</v>
      </c>
      <c r="Z8" s="31">
        <v>0</v>
      </c>
      <c r="AA8" s="154">
        <v>0</v>
      </c>
      <c r="AB8" s="161">
        <f t="shared" ref="AB8:AB15" si="7">AA8*Z8</f>
        <v>0</v>
      </c>
      <c r="AC8" s="31">
        <v>100</v>
      </c>
      <c r="AD8" s="154">
        <v>0</v>
      </c>
      <c r="AE8" s="161">
        <f t="shared" ref="AE8:AE15" si="8">AD8*AC8</f>
        <v>0</v>
      </c>
      <c r="AF8" s="31">
        <v>0</v>
      </c>
      <c r="AG8" s="154">
        <v>0</v>
      </c>
      <c r="AH8" s="161">
        <f t="shared" ref="AH8:AH15" si="9">AG8*AF8</f>
        <v>0</v>
      </c>
      <c r="AI8" s="31">
        <v>0</v>
      </c>
      <c r="AJ8" s="154">
        <v>0</v>
      </c>
      <c r="AK8" s="161">
        <f t="shared" ref="AK8:AK15" si="10">AJ8*AI8</f>
        <v>0</v>
      </c>
      <c r="AL8" s="31">
        <v>0</v>
      </c>
      <c r="AM8" s="154">
        <v>0</v>
      </c>
      <c r="AN8" s="161">
        <f t="shared" ref="AN8:AN15" si="11">AM8*AL8</f>
        <v>0</v>
      </c>
    </row>
    <row r="9" spans="1:40" x14ac:dyDescent="0.3">
      <c r="A9" s="127" t="s">
        <v>173</v>
      </c>
      <c r="B9" s="13"/>
      <c r="C9" s="547"/>
      <c r="D9" s="13">
        <v>0</v>
      </c>
      <c r="E9" s="9">
        <v>0</v>
      </c>
      <c r="F9" s="154">
        <v>0</v>
      </c>
      <c r="G9" s="156">
        <f t="shared" si="0"/>
        <v>0</v>
      </c>
      <c r="H9" s="171">
        <v>0</v>
      </c>
      <c r="I9" s="154">
        <v>0</v>
      </c>
      <c r="J9" s="161">
        <f t="shared" si="1"/>
        <v>0</v>
      </c>
      <c r="K9" s="128">
        <v>0</v>
      </c>
      <c r="L9" s="154">
        <v>0</v>
      </c>
      <c r="M9" s="161">
        <f t="shared" si="2"/>
        <v>0</v>
      </c>
      <c r="N9" s="31">
        <v>0</v>
      </c>
      <c r="O9" s="154">
        <v>0</v>
      </c>
      <c r="P9" s="161">
        <f t="shared" si="3"/>
        <v>0</v>
      </c>
      <c r="Q9" s="31">
        <v>0</v>
      </c>
      <c r="R9" s="154">
        <v>0</v>
      </c>
      <c r="S9" s="161">
        <f t="shared" si="4"/>
        <v>0</v>
      </c>
      <c r="T9" s="31">
        <v>0</v>
      </c>
      <c r="U9" s="154">
        <v>0</v>
      </c>
      <c r="V9" s="161">
        <f t="shared" si="5"/>
        <v>0</v>
      </c>
      <c r="W9" s="31">
        <v>0</v>
      </c>
      <c r="X9" s="154">
        <v>0</v>
      </c>
      <c r="Y9" s="161">
        <f t="shared" si="6"/>
        <v>0</v>
      </c>
      <c r="Z9" s="31">
        <v>0</v>
      </c>
      <c r="AA9" s="154">
        <v>0</v>
      </c>
      <c r="AB9" s="161">
        <f t="shared" si="7"/>
        <v>0</v>
      </c>
      <c r="AC9" s="31">
        <v>100</v>
      </c>
      <c r="AD9" s="154">
        <v>0</v>
      </c>
      <c r="AE9" s="161">
        <f t="shared" si="8"/>
        <v>0</v>
      </c>
      <c r="AF9" s="31">
        <v>0</v>
      </c>
      <c r="AG9" s="154">
        <v>0</v>
      </c>
      <c r="AH9" s="161">
        <f t="shared" si="9"/>
        <v>0</v>
      </c>
      <c r="AI9" s="31">
        <v>0</v>
      </c>
      <c r="AJ9" s="154">
        <v>0</v>
      </c>
      <c r="AK9" s="161">
        <f t="shared" si="10"/>
        <v>0</v>
      </c>
      <c r="AL9" s="31">
        <v>0</v>
      </c>
      <c r="AM9" s="154">
        <v>0</v>
      </c>
      <c r="AN9" s="161">
        <f t="shared" si="11"/>
        <v>0</v>
      </c>
    </row>
    <row r="10" spans="1:40" x14ac:dyDescent="0.3">
      <c r="A10" s="142" t="s">
        <v>174</v>
      </c>
      <c r="B10" s="13"/>
      <c r="C10" s="15">
        <v>300</v>
      </c>
      <c r="D10" s="13">
        <v>0</v>
      </c>
      <c r="E10" s="9">
        <v>0</v>
      </c>
      <c r="F10" s="154">
        <v>0</v>
      </c>
      <c r="G10" s="156">
        <f t="shared" si="0"/>
        <v>0</v>
      </c>
      <c r="H10" s="171">
        <v>0</v>
      </c>
      <c r="I10" s="154">
        <v>0</v>
      </c>
      <c r="J10" s="161">
        <f t="shared" si="1"/>
        <v>0</v>
      </c>
      <c r="K10" s="128">
        <v>0</v>
      </c>
      <c r="L10" s="154">
        <v>0</v>
      </c>
      <c r="M10" s="161">
        <f t="shared" si="2"/>
        <v>0</v>
      </c>
      <c r="N10" s="31">
        <v>0</v>
      </c>
      <c r="O10" s="154">
        <v>0</v>
      </c>
      <c r="P10" s="161">
        <f t="shared" si="3"/>
        <v>0</v>
      </c>
      <c r="Q10" s="31">
        <v>0</v>
      </c>
      <c r="R10" s="154">
        <v>0</v>
      </c>
      <c r="S10" s="161">
        <f t="shared" si="4"/>
        <v>0</v>
      </c>
      <c r="T10" s="31">
        <v>0</v>
      </c>
      <c r="U10" s="154">
        <v>0</v>
      </c>
      <c r="V10" s="161">
        <f t="shared" si="5"/>
        <v>0</v>
      </c>
      <c r="W10" s="31">
        <v>0</v>
      </c>
      <c r="X10" s="154">
        <v>0</v>
      </c>
      <c r="Y10" s="161">
        <f t="shared" si="6"/>
        <v>0</v>
      </c>
      <c r="Z10" s="31">
        <v>0</v>
      </c>
      <c r="AA10" s="154">
        <v>0</v>
      </c>
      <c r="AB10" s="161">
        <f t="shared" si="7"/>
        <v>0</v>
      </c>
      <c r="AC10" s="31">
        <v>25</v>
      </c>
      <c r="AD10" s="154">
        <v>0</v>
      </c>
      <c r="AE10" s="161">
        <f t="shared" si="8"/>
        <v>0</v>
      </c>
      <c r="AF10" s="31">
        <v>0</v>
      </c>
      <c r="AG10" s="154">
        <v>0</v>
      </c>
      <c r="AH10" s="161">
        <f t="shared" si="9"/>
        <v>0</v>
      </c>
      <c r="AI10" s="31">
        <v>0</v>
      </c>
      <c r="AJ10" s="154">
        <v>0</v>
      </c>
      <c r="AK10" s="161">
        <f t="shared" si="10"/>
        <v>0</v>
      </c>
      <c r="AL10" s="31">
        <v>0</v>
      </c>
      <c r="AM10" s="154">
        <v>0</v>
      </c>
      <c r="AN10" s="161">
        <f t="shared" si="11"/>
        <v>0</v>
      </c>
    </row>
    <row r="11" spans="1:40" x14ac:dyDescent="0.3">
      <c r="A11" s="5" t="s">
        <v>175</v>
      </c>
      <c r="B11" s="13"/>
      <c r="C11" s="15">
        <v>300</v>
      </c>
      <c r="D11" s="13">
        <v>0</v>
      </c>
      <c r="E11" s="9">
        <v>0</v>
      </c>
      <c r="F11" s="154">
        <v>0</v>
      </c>
      <c r="G11" s="159">
        <f t="shared" si="0"/>
        <v>0</v>
      </c>
      <c r="H11" s="171">
        <v>0</v>
      </c>
      <c r="I11" s="154">
        <v>0</v>
      </c>
      <c r="J11" s="161">
        <f t="shared" si="1"/>
        <v>0</v>
      </c>
      <c r="K11" s="128">
        <v>0</v>
      </c>
      <c r="L11" s="154">
        <v>0</v>
      </c>
      <c r="M11" s="161">
        <f t="shared" si="2"/>
        <v>0</v>
      </c>
      <c r="N11" s="31">
        <v>0</v>
      </c>
      <c r="O11" s="154">
        <v>0</v>
      </c>
      <c r="P11" s="161">
        <f t="shared" si="3"/>
        <v>0</v>
      </c>
      <c r="Q11" s="31">
        <v>0</v>
      </c>
      <c r="R11" s="154">
        <v>0</v>
      </c>
      <c r="S11" s="161">
        <f t="shared" si="4"/>
        <v>0</v>
      </c>
      <c r="T11" s="31">
        <v>0</v>
      </c>
      <c r="U11" s="154">
        <v>1</v>
      </c>
      <c r="V11" s="161">
        <f t="shared" si="5"/>
        <v>0</v>
      </c>
      <c r="W11" s="31">
        <v>0</v>
      </c>
      <c r="X11" s="154">
        <v>0</v>
      </c>
      <c r="Y11" s="161">
        <f t="shared" si="6"/>
        <v>0</v>
      </c>
      <c r="Z11" s="31">
        <v>0</v>
      </c>
      <c r="AA11" s="154">
        <v>0</v>
      </c>
      <c r="AB11" s="161">
        <f t="shared" si="7"/>
        <v>0</v>
      </c>
      <c r="AC11" s="31">
        <v>25</v>
      </c>
      <c r="AD11" s="154">
        <v>0</v>
      </c>
      <c r="AE11" s="161">
        <f t="shared" si="8"/>
        <v>0</v>
      </c>
      <c r="AF11" s="31">
        <v>0</v>
      </c>
      <c r="AG11" s="154">
        <v>0</v>
      </c>
      <c r="AH11" s="161">
        <f t="shared" si="9"/>
        <v>0</v>
      </c>
      <c r="AI11" s="31">
        <v>0</v>
      </c>
      <c r="AJ11" s="154">
        <v>0</v>
      </c>
      <c r="AK11" s="161">
        <f t="shared" si="10"/>
        <v>0</v>
      </c>
      <c r="AL11" s="31">
        <v>0</v>
      </c>
      <c r="AM11" s="154">
        <v>0</v>
      </c>
      <c r="AN11" s="161">
        <f t="shared" si="11"/>
        <v>0</v>
      </c>
    </row>
    <row r="12" spans="1:40" x14ac:dyDescent="0.3">
      <c r="A12" s="5" t="s">
        <v>177</v>
      </c>
      <c r="B12" s="5"/>
      <c r="C12" s="15">
        <v>600</v>
      </c>
      <c r="D12" s="13">
        <v>0</v>
      </c>
      <c r="E12" s="5">
        <v>0</v>
      </c>
      <c r="F12" s="154">
        <v>0</v>
      </c>
      <c r="G12" s="157">
        <f t="shared" si="0"/>
        <v>0</v>
      </c>
      <c r="H12" s="171">
        <v>0</v>
      </c>
      <c r="I12" s="154">
        <v>0</v>
      </c>
      <c r="J12" s="161">
        <f t="shared" si="1"/>
        <v>0</v>
      </c>
      <c r="K12" s="25">
        <v>0</v>
      </c>
      <c r="L12" s="154">
        <v>0</v>
      </c>
      <c r="M12" s="161">
        <f t="shared" si="2"/>
        <v>0</v>
      </c>
      <c r="N12" s="31">
        <v>0</v>
      </c>
      <c r="O12" s="154">
        <v>0</v>
      </c>
      <c r="P12" s="161">
        <f t="shared" si="3"/>
        <v>0</v>
      </c>
      <c r="Q12" s="31">
        <v>0</v>
      </c>
      <c r="R12" s="154">
        <v>0</v>
      </c>
      <c r="S12" s="161">
        <f t="shared" si="4"/>
        <v>0</v>
      </c>
      <c r="T12" s="31">
        <v>0</v>
      </c>
      <c r="U12" s="154">
        <v>0</v>
      </c>
      <c r="V12" s="161">
        <f t="shared" si="5"/>
        <v>0</v>
      </c>
      <c r="W12" s="31">
        <v>0</v>
      </c>
      <c r="X12" s="154">
        <v>0</v>
      </c>
      <c r="Y12" s="161">
        <f t="shared" si="6"/>
        <v>0</v>
      </c>
      <c r="Z12" s="31">
        <v>0</v>
      </c>
      <c r="AA12" s="154">
        <v>0</v>
      </c>
      <c r="AB12" s="161">
        <f t="shared" si="7"/>
        <v>0</v>
      </c>
      <c r="AC12" s="31">
        <v>25</v>
      </c>
      <c r="AD12" s="154">
        <v>0</v>
      </c>
      <c r="AE12" s="161">
        <f t="shared" si="8"/>
        <v>0</v>
      </c>
      <c r="AF12" s="31">
        <v>0</v>
      </c>
      <c r="AG12" s="154">
        <v>0</v>
      </c>
      <c r="AH12" s="161">
        <f t="shared" si="9"/>
        <v>0</v>
      </c>
      <c r="AI12" s="31">
        <v>0</v>
      </c>
      <c r="AJ12" s="154">
        <v>0</v>
      </c>
      <c r="AK12" s="161">
        <f t="shared" si="10"/>
        <v>0</v>
      </c>
      <c r="AL12" s="31">
        <v>0</v>
      </c>
      <c r="AM12" s="154">
        <v>0</v>
      </c>
      <c r="AN12" s="161">
        <f t="shared" si="11"/>
        <v>0</v>
      </c>
    </row>
    <row r="13" spans="1:40" x14ac:dyDescent="0.3">
      <c r="A13" s="25" t="s">
        <v>244</v>
      </c>
      <c r="B13" s="5"/>
      <c r="C13" s="5">
        <v>0</v>
      </c>
      <c r="D13" s="10">
        <v>0</v>
      </c>
      <c r="E13" s="10">
        <v>0</v>
      </c>
      <c r="F13" s="155">
        <v>0</v>
      </c>
      <c r="G13" s="158">
        <f t="shared" si="0"/>
        <v>0</v>
      </c>
      <c r="H13" s="172">
        <v>0</v>
      </c>
      <c r="I13" s="155">
        <v>0</v>
      </c>
      <c r="J13" s="161">
        <f t="shared" si="1"/>
        <v>0</v>
      </c>
      <c r="K13" s="25">
        <v>0</v>
      </c>
      <c r="L13" s="155">
        <v>0</v>
      </c>
      <c r="M13" s="161">
        <f t="shared" si="2"/>
        <v>0</v>
      </c>
      <c r="N13" s="32">
        <v>0</v>
      </c>
      <c r="O13" s="155">
        <v>0</v>
      </c>
      <c r="P13" s="161">
        <f t="shared" si="3"/>
        <v>0</v>
      </c>
      <c r="Q13" s="32">
        <v>0</v>
      </c>
      <c r="R13" s="155">
        <v>0</v>
      </c>
      <c r="S13" s="161">
        <f t="shared" si="4"/>
        <v>0</v>
      </c>
      <c r="T13" s="32">
        <v>0</v>
      </c>
      <c r="U13" s="155">
        <v>0</v>
      </c>
      <c r="V13" s="161">
        <f t="shared" si="5"/>
        <v>0</v>
      </c>
      <c r="W13" s="32">
        <v>0</v>
      </c>
      <c r="X13" s="155">
        <v>0</v>
      </c>
      <c r="Y13" s="161">
        <f t="shared" si="6"/>
        <v>0</v>
      </c>
      <c r="Z13" s="32">
        <v>0</v>
      </c>
      <c r="AA13" s="155">
        <v>0</v>
      </c>
      <c r="AB13" s="161">
        <f t="shared" si="7"/>
        <v>0</v>
      </c>
      <c r="AC13" s="32">
        <v>200</v>
      </c>
      <c r="AD13" s="155">
        <v>0</v>
      </c>
      <c r="AE13" s="161">
        <f t="shared" si="8"/>
        <v>0</v>
      </c>
      <c r="AF13" s="32">
        <v>0</v>
      </c>
      <c r="AG13" s="155">
        <v>0</v>
      </c>
      <c r="AH13" s="161">
        <f t="shared" si="9"/>
        <v>0</v>
      </c>
      <c r="AI13" s="32">
        <v>0</v>
      </c>
      <c r="AJ13" s="155">
        <v>0</v>
      </c>
      <c r="AK13" s="161">
        <f t="shared" si="10"/>
        <v>0</v>
      </c>
      <c r="AL13" s="32">
        <v>0</v>
      </c>
      <c r="AM13" s="155">
        <v>0</v>
      </c>
      <c r="AN13" s="161">
        <f t="shared" si="11"/>
        <v>0</v>
      </c>
    </row>
    <row r="14" spans="1:40" x14ac:dyDescent="0.3">
      <c r="A14" s="22"/>
      <c r="B14" s="5"/>
      <c r="C14" s="24">
        <v>0</v>
      </c>
      <c r="D14" s="10">
        <v>0</v>
      </c>
      <c r="E14" s="10">
        <v>0</v>
      </c>
      <c r="F14" s="155">
        <v>0</v>
      </c>
      <c r="G14" s="158">
        <f t="shared" si="0"/>
        <v>0</v>
      </c>
      <c r="H14" s="172">
        <v>0</v>
      </c>
      <c r="I14" s="155">
        <v>0</v>
      </c>
      <c r="J14" s="161">
        <f t="shared" si="1"/>
        <v>0</v>
      </c>
      <c r="K14" s="13">
        <v>0</v>
      </c>
      <c r="L14" s="155">
        <v>0</v>
      </c>
      <c r="M14" s="161">
        <f t="shared" si="2"/>
        <v>0</v>
      </c>
      <c r="N14" s="32">
        <v>0</v>
      </c>
      <c r="O14" s="155">
        <v>0</v>
      </c>
      <c r="P14" s="161">
        <f t="shared" si="3"/>
        <v>0</v>
      </c>
      <c r="Q14" s="32">
        <v>0</v>
      </c>
      <c r="R14" s="155">
        <v>0</v>
      </c>
      <c r="S14" s="161">
        <f t="shared" si="4"/>
        <v>0</v>
      </c>
      <c r="T14" s="32">
        <v>0</v>
      </c>
      <c r="U14" s="155">
        <v>0</v>
      </c>
      <c r="V14" s="161">
        <f t="shared" si="5"/>
        <v>0</v>
      </c>
      <c r="W14" s="32">
        <v>0</v>
      </c>
      <c r="X14" s="155">
        <v>0</v>
      </c>
      <c r="Y14" s="161">
        <f t="shared" si="6"/>
        <v>0</v>
      </c>
      <c r="Z14" s="32">
        <v>0</v>
      </c>
      <c r="AA14" s="155">
        <v>0</v>
      </c>
      <c r="AB14" s="161">
        <f t="shared" si="7"/>
        <v>0</v>
      </c>
      <c r="AC14" s="32">
        <v>0</v>
      </c>
      <c r="AD14" s="155">
        <v>0</v>
      </c>
      <c r="AE14" s="161">
        <f t="shared" si="8"/>
        <v>0</v>
      </c>
      <c r="AF14" s="32">
        <v>0</v>
      </c>
      <c r="AG14" s="155">
        <v>0</v>
      </c>
      <c r="AH14" s="161">
        <f t="shared" si="9"/>
        <v>0</v>
      </c>
      <c r="AI14" s="32">
        <v>0</v>
      </c>
      <c r="AJ14" s="155">
        <v>0</v>
      </c>
      <c r="AK14" s="161">
        <f t="shared" si="10"/>
        <v>0</v>
      </c>
      <c r="AL14" s="32">
        <v>0</v>
      </c>
      <c r="AM14" s="155">
        <v>0</v>
      </c>
      <c r="AN14" s="161">
        <f t="shared" si="11"/>
        <v>0</v>
      </c>
    </row>
    <row r="15" spans="1:40" x14ac:dyDescent="0.3">
      <c r="A15" s="5"/>
      <c r="B15" s="5"/>
      <c r="C15" s="8">
        <v>0</v>
      </c>
      <c r="D15" s="5">
        <v>0</v>
      </c>
      <c r="E15" s="9">
        <v>0</v>
      </c>
      <c r="F15" s="154">
        <v>0</v>
      </c>
      <c r="G15" s="156">
        <f>F15*E15</f>
        <v>0</v>
      </c>
      <c r="H15" s="171">
        <v>0</v>
      </c>
      <c r="I15" s="154">
        <v>0</v>
      </c>
      <c r="J15" s="161">
        <f t="shared" si="1"/>
        <v>0</v>
      </c>
      <c r="K15" s="31">
        <v>0</v>
      </c>
      <c r="L15" s="154">
        <v>0</v>
      </c>
      <c r="M15" s="161">
        <f t="shared" si="2"/>
        <v>0</v>
      </c>
      <c r="N15" s="31">
        <v>0</v>
      </c>
      <c r="O15" s="154">
        <v>0</v>
      </c>
      <c r="P15" s="161">
        <f t="shared" si="3"/>
        <v>0</v>
      </c>
      <c r="Q15" s="31">
        <v>0</v>
      </c>
      <c r="R15" s="154">
        <v>0</v>
      </c>
      <c r="S15" s="161">
        <f t="shared" si="4"/>
        <v>0</v>
      </c>
      <c r="T15" s="31">
        <v>0</v>
      </c>
      <c r="U15" s="154">
        <v>0</v>
      </c>
      <c r="V15" s="161">
        <f t="shared" si="5"/>
        <v>0</v>
      </c>
      <c r="W15" s="31">
        <v>0</v>
      </c>
      <c r="X15" s="154">
        <v>0</v>
      </c>
      <c r="Y15" s="161">
        <f t="shared" si="6"/>
        <v>0</v>
      </c>
      <c r="Z15" s="31">
        <v>0</v>
      </c>
      <c r="AA15" s="154">
        <v>0</v>
      </c>
      <c r="AB15" s="161">
        <f t="shared" si="7"/>
        <v>0</v>
      </c>
      <c r="AC15" s="31">
        <v>0</v>
      </c>
      <c r="AD15" s="154">
        <v>0</v>
      </c>
      <c r="AE15" s="161">
        <f t="shared" si="8"/>
        <v>0</v>
      </c>
      <c r="AF15" s="31">
        <v>0</v>
      </c>
      <c r="AG15" s="154">
        <v>0</v>
      </c>
      <c r="AH15" s="161">
        <f t="shared" si="9"/>
        <v>0</v>
      </c>
      <c r="AI15" s="31">
        <v>0</v>
      </c>
      <c r="AJ15" s="154">
        <v>0</v>
      </c>
      <c r="AK15" s="161">
        <f t="shared" si="10"/>
        <v>0</v>
      </c>
      <c r="AL15" s="31">
        <v>0</v>
      </c>
      <c r="AM15" s="154">
        <v>0</v>
      </c>
      <c r="AN15" s="161">
        <f t="shared" si="11"/>
        <v>0</v>
      </c>
    </row>
    <row r="16" spans="1:40" ht="16.2" x14ac:dyDescent="0.45">
      <c r="A16" s="5"/>
      <c r="B16" s="5"/>
      <c r="C16" s="8"/>
      <c r="D16" s="5"/>
      <c r="E16" s="5"/>
      <c r="F16" s="135" t="s">
        <v>7</v>
      </c>
      <c r="G16" s="170">
        <f>SUM(G7:G15)</f>
        <v>0</v>
      </c>
      <c r="H16" s="31"/>
      <c r="I16" s="135" t="s">
        <v>7</v>
      </c>
      <c r="J16" s="169">
        <f>SUM(J7:J15)</f>
        <v>0</v>
      </c>
      <c r="K16" s="31"/>
      <c r="L16" s="135" t="s">
        <v>7</v>
      </c>
      <c r="M16" s="169">
        <f>SUM(M7:M15)</f>
        <v>0</v>
      </c>
      <c r="N16" s="31"/>
      <c r="O16" s="135" t="s">
        <v>7</v>
      </c>
      <c r="P16" s="169">
        <f>SUM(P7:P15)</f>
        <v>0</v>
      </c>
      <c r="Q16" s="31"/>
      <c r="R16" s="135" t="s">
        <v>7</v>
      </c>
      <c r="S16" s="169">
        <f>SUM(S7:S15)</f>
        <v>0</v>
      </c>
      <c r="T16" s="31"/>
      <c r="U16" s="135" t="s">
        <v>7</v>
      </c>
      <c r="V16" s="169">
        <f>SUM(V7:V15)</f>
        <v>0</v>
      </c>
      <c r="W16" s="31"/>
      <c r="X16" s="135" t="s">
        <v>7</v>
      </c>
      <c r="Y16" s="169">
        <f>SUM(Y7:Y15)</f>
        <v>0</v>
      </c>
      <c r="Z16" s="31"/>
      <c r="AA16" s="135" t="s">
        <v>7</v>
      </c>
      <c r="AB16" s="169">
        <f>SUM(AB7:AB15)</f>
        <v>0</v>
      </c>
      <c r="AC16" s="31"/>
      <c r="AD16" s="135" t="s">
        <v>7</v>
      </c>
      <c r="AE16" s="169">
        <f>SUM(AE7:AE15)</f>
        <v>0</v>
      </c>
      <c r="AF16" s="31"/>
      <c r="AG16" s="135" t="s">
        <v>7</v>
      </c>
      <c r="AH16" s="169">
        <f>SUM(AH7:AH15)</f>
        <v>0</v>
      </c>
      <c r="AI16" s="31"/>
      <c r="AJ16" s="135" t="s">
        <v>7</v>
      </c>
      <c r="AK16" s="169">
        <f>SUM(AK7:AK15)</f>
        <v>0</v>
      </c>
      <c r="AL16" s="31"/>
      <c r="AM16" s="135" t="s">
        <v>7</v>
      </c>
      <c r="AN16" s="169">
        <f>SUM(AN7:AN15)</f>
        <v>0</v>
      </c>
    </row>
  </sheetData>
  <mergeCells count="1">
    <mergeCell ref="C7:C9"/>
  </mergeCells>
  <hyperlinks>
    <hyperlink ref="A2" location="Menu!A1" display="Menu" xr:uid="{00000000-0004-0000-0900-000000000000}"/>
  </hyperlinks>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2"/>
  <dimension ref="A1:AN17"/>
  <sheetViews>
    <sheetView workbookViewId="0">
      <pane xSplit="4" topLeftCell="AC1" activePane="topRight" state="frozen"/>
      <selection pane="topRight" activeCell="AC17" sqref="AC17"/>
    </sheetView>
  </sheetViews>
  <sheetFormatPr defaultColWidth="9.109375" defaultRowHeight="14.4" x14ac:dyDescent="0.3"/>
  <cols>
    <col min="1" max="1" width="35.77734375" style="1" bestFit="1" customWidth="1"/>
    <col min="2" max="2" width="11" style="1" bestFit="1" customWidth="1"/>
    <col min="3" max="3" width="18.77734375" style="1" bestFit="1" customWidth="1"/>
    <col min="4" max="4" width="16.6640625" style="1" bestFit="1" customWidth="1"/>
    <col min="5" max="5" width="14.109375" style="1" bestFit="1" customWidth="1"/>
    <col min="6" max="6" width="9.5546875" style="1" bestFit="1" customWidth="1"/>
    <col min="7" max="7" width="12.109375" style="1" bestFit="1" customWidth="1"/>
    <col min="8" max="8" width="14.109375" style="1" bestFit="1" customWidth="1"/>
    <col min="9" max="9" width="9.5546875" style="1" bestFit="1" customWidth="1"/>
    <col min="10" max="10" width="12.109375" style="1" bestFit="1" customWidth="1"/>
    <col min="11" max="11" width="14.109375" style="1" bestFit="1" customWidth="1"/>
    <col min="12" max="12" width="10.6640625" style="1" bestFit="1" customWidth="1"/>
    <col min="13" max="13" width="13.33203125" style="1" bestFit="1" customWidth="1"/>
    <col min="14" max="14" width="14.109375" style="1" bestFit="1" customWidth="1"/>
    <col min="15" max="15" width="9.109375" style="1"/>
    <col min="16" max="16" width="10.88671875" style="1" bestFit="1" customWidth="1"/>
    <col min="17" max="17" width="14.109375" style="1" bestFit="1" customWidth="1"/>
    <col min="18" max="18" width="9.109375" style="1"/>
    <col min="19" max="19" width="10.88671875" style="1" bestFit="1" customWidth="1"/>
    <col min="20" max="20" width="14.109375" style="1" bestFit="1" customWidth="1"/>
    <col min="21" max="21" width="9.109375" style="1"/>
    <col min="22" max="22" width="10.88671875" style="1" bestFit="1" customWidth="1"/>
    <col min="23" max="23" width="14.109375" style="1" bestFit="1" customWidth="1"/>
    <col min="24" max="24" width="9.109375" style="1"/>
    <col min="25" max="25" width="10.88671875" style="1" bestFit="1" customWidth="1"/>
    <col min="26" max="26" width="14.109375" style="1" bestFit="1" customWidth="1"/>
    <col min="27" max="27" width="9.109375" style="1"/>
    <col min="28" max="28" width="10.88671875" style="1" bestFit="1" customWidth="1"/>
    <col min="29" max="29" width="14.109375" style="1" bestFit="1" customWidth="1"/>
    <col min="30" max="30" width="9.109375" style="1"/>
    <col min="31" max="31" width="10.88671875" style="1" bestFit="1" customWidth="1"/>
    <col min="32" max="32" width="14.109375" style="1" bestFit="1" customWidth="1"/>
    <col min="33" max="33" width="9.109375" style="1"/>
    <col min="34" max="34" width="10.88671875" style="1" bestFit="1" customWidth="1"/>
    <col min="35" max="35" width="14.109375" style="1" bestFit="1" customWidth="1"/>
    <col min="36" max="36" width="9.109375" style="1"/>
    <col min="37" max="37" width="10.88671875" style="1" bestFit="1" customWidth="1"/>
    <col min="38" max="38" width="14.109375" style="1" bestFit="1" customWidth="1"/>
    <col min="39" max="39" width="9.109375" style="1"/>
    <col min="40" max="40" width="10.88671875" style="1" bestFit="1" customWidth="1"/>
    <col min="41" max="16384" width="9.109375" style="1"/>
  </cols>
  <sheetData>
    <row r="1" spans="1:40" ht="15" thickBot="1" x14ac:dyDescent="0.35"/>
    <row r="2" spans="1:40" ht="21.75" customHeight="1" thickBot="1" x14ac:dyDescent="0.35">
      <c r="A2" s="185" t="s">
        <v>96</v>
      </c>
      <c r="M2" s="98"/>
    </row>
    <row r="3" spans="1:40" ht="29.4" thickBot="1" x14ac:dyDescent="0.6">
      <c r="A3" s="446" t="s">
        <v>150</v>
      </c>
      <c r="B3" s="129"/>
      <c r="C3" s="129"/>
      <c r="D3" s="584"/>
      <c r="E3" s="6"/>
      <c r="F3" s="6"/>
      <c r="G3" s="6"/>
    </row>
    <row r="4" spans="1:40" ht="15" customHeight="1" x14ac:dyDescent="0.55000000000000004">
      <c r="A4" s="129"/>
      <c r="B4" s="130"/>
      <c r="C4" s="130"/>
      <c r="D4" s="584"/>
      <c r="E4" s="6"/>
      <c r="F4" s="6"/>
      <c r="G4" s="6"/>
    </row>
    <row r="5" spans="1:40" ht="15" customHeight="1" x14ac:dyDescent="0.3">
      <c r="A5" s="12"/>
      <c r="B5" s="12"/>
      <c r="C5" s="12"/>
      <c r="D5" s="12"/>
      <c r="E5" s="11">
        <v>45292</v>
      </c>
      <c r="F5" s="11">
        <v>45292</v>
      </c>
      <c r="G5" s="11">
        <v>45292</v>
      </c>
      <c r="H5" s="11">
        <v>45323</v>
      </c>
      <c r="I5" s="11">
        <v>45323</v>
      </c>
      <c r="J5" s="11">
        <v>45323</v>
      </c>
      <c r="K5" s="11">
        <v>45352</v>
      </c>
      <c r="L5" s="11">
        <v>45352</v>
      </c>
      <c r="M5" s="11">
        <v>45352</v>
      </c>
      <c r="N5" s="11">
        <v>45383</v>
      </c>
      <c r="O5" s="11">
        <v>45383</v>
      </c>
      <c r="P5" s="11">
        <v>45383</v>
      </c>
      <c r="Q5" s="11">
        <v>45413</v>
      </c>
      <c r="R5" s="11">
        <v>45413</v>
      </c>
      <c r="S5" s="11">
        <v>45413</v>
      </c>
      <c r="T5" s="11">
        <v>45444</v>
      </c>
      <c r="U5" s="11">
        <v>45444</v>
      </c>
      <c r="V5" s="11">
        <v>45444</v>
      </c>
      <c r="W5" s="11">
        <v>45474</v>
      </c>
      <c r="X5" s="11">
        <v>45474</v>
      </c>
      <c r="Y5" s="11">
        <v>45474</v>
      </c>
      <c r="Z5" s="11">
        <v>45505</v>
      </c>
      <c r="AA5" s="11">
        <v>45505</v>
      </c>
      <c r="AB5" s="11">
        <v>45505</v>
      </c>
      <c r="AC5" s="11">
        <v>45536</v>
      </c>
      <c r="AD5" s="11">
        <v>45536</v>
      </c>
      <c r="AE5" s="11">
        <v>45536</v>
      </c>
      <c r="AF5" s="11">
        <v>45566</v>
      </c>
      <c r="AG5" s="11">
        <v>45566</v>
      </c>
      <c r="AH5" s="11">
        <v>45566</v>
      </c>
      <c r="AI5" s="11">
        <v>45597</v>
      </c>
      <c r="AJ5" s="11">
        <v>45597</v>
      </c>
      <c r="AK5" s="11">
        <v>45597</v>
      </c>
      <c r="AL5" s="11">
        <v>45627</v>
      </c>
      <c r="AM5" s="11">
        <v>45627</v>
      </c>
      <c r="AN5" s="11">
        <v>45627</v>
      </c>
    </row>
    <row r="6" spans="1:40" x14ac:dyDescent="0.3">
      <c r="A6" s="13" t="s">
        <v>0</v>
      </c>
      <c r="B6" s="13" t="s">
        <v>1</v>
      </c>
      <c r="C6" s="13" t="s">
        <v>2</v>
      </c>
      <c r="D6" s="13" t="s">
        <v>8</v>
      </c>
      <c r="E6" s="13" t="s">
        <v>4</v>
      </c>
      <c r="F6" s="13" t="s">
        <v>5</v>
      </c>
      <c r="G6" s="26" t="s">
        <v>6</v>
      </c>
      <c r="H6" s="13" t="s">
        <v>4</v>
      </c>
      <c r="I6" s="13" t="s">
        <v>5</v>
      </c>
      <c r="J6" s="26" t="s">
        <v>6</v>
      </c>
      <c r="K6" s="13" t="s">
        <v>4</v>
      </c>
      <c r="L6" s="13" t="s">
        <v>98</v>
      </c>
      <c r="M6" s="26" t="s">
        <v>6</v>
      </c>
      <c r="N6" s="13" t="s">
        <v>4</v>
      </c>
      <c r="O6" s="13" t="s">
        <v>5</v>
      </c>
      <c r="P6" s="26" t="s">
        <v>6</v>
      </c>
      <c r="Q6" s="13" t="s">
        <v>4</v>
      </c>
      <c r="R6" s="13" t="s">
        <v>5</v>
      </c>
      <c r="S6" s="26" t="s">
        <v>6</v>
      </c>
      <c r="T6" s="13" t="s">
        <v>4</v>
      </c>
      <c r="U6" s="13" t="s">
        <v>5</v>
      </c>
      <c r="V6" s="26" t="s">
        <v>6</v>
      </c>
      <c r="W6" s="13" t="s">
        <v>4</v>
      </c>
      <c r="X6" s="13" t="s">
        <v>5</v>
      </c>
      <c r="Y6" s="26" t="s">
        <v>6</v>
      </c>
      <c r="Z6" s="13" t="s">
        <v>4</v>
      </c>
      <c r="AA6" s="13" t="s">
        <v>5</v>
      </c>
      <c r="AB6" s="26" t="s">
        <v>6</v>
      </c>
      <c r="AC6" s="13" t="s">
        <v>4</v>
      </c>
      <c r="AD6" s="13" t="s">
        <v>5</v>
      </c>
      <c r="AE6" s="26" t="s">
        <v>6</v>
      </c>
      <c r="AF6" s="13" t="s">
        <v>4</v>
      </c>
      <c r="AG6" s="13" t="s">
        <v>5</v>
      </c>
      <c r="AH6" s="26" t="s">
        <v>6</v>
      </c>
      <c r="AI6" s="13" t="s">
        <v>4</v>
      </c>
      <c r="AJ6" s="13" t="s">
        <v>5</v>
      </c>
      <c r="AK6" s="26" t="s">
        <v>6</v>
      </c>
      <c r="AL6" s="13" t="s">
        <v>4</v>
      </c>
      <c r="AM6" s="13" t="s">
        <v>5</v>
      </c>
      <c r="AN6" s="26" t="s">
        <v>6</v>
      </c>
    </row>
    <row r="7" spans="1:40" x14ac:dyDescent="0.3">
      <c r="A7" s="127" t="s">
        <v>171</v>
      </c>
      <c r="B7" s="5"/>
      <c r="C7" s="585">
        <v>5000</v>
      </c>
      <c r="D7" s="5">
        <v>0</v>
      </c>
      <c r="E7" s="14">
        <v>0</v>
      </c>
      <c r="F7" s="162">
        <v>0</v>
      </c>
      <c r="G7" s="164">
        <f t="shared" ref="G7:G16" si="0">F7*E7</f>
        <v>0</v>
      </c>
      <c r="H7" s="14">
        <v>0</v>
      </c>
      <c r="I7" s="162">
        <v>0</v>
      </c>
      <c r="J7" s="164">
        <f t="shared" ref="J7:J16" si="1">I7*H7</f>
        <v>0</v>
      </c>
      <c r="K7" s="128">
        <v>0</v>
      </c>
      <c r="L7" s="154">
        <v>0</v>
      </c>
      <c r="M7" s="164">
        <f t="shared" ref="M7:M16" si="2">L7*K7</f>
        <v>0</v>
      </c>
      <c r="N7" s="14">
        <v>0</v>
      </c>
      <c r="O7" s="162">
        <v>0</v>
      </c>
      <c r="P7" s="164">
        <f t="shared" ref="P7:P16" si="3">O7*N7</f>
        <v>0</v>
      </c>
      <c r="Q7" s="14">
        <v>0</v>
      </c>
      <c r="R7" s="162">
        <v>0</v>
      </c>
      <c r="S7" s="164">
        <f t="shared" ref="S7:S16" si="4">R7*Q7</f>
        <v>0</v>
      </c>
      <c r="T7" s="14">
        <v>0</v>
      </c>
      <c r="U7" s="162">
        <v>0</v>
      </c>
      <c r="V7" s="164">
        <f t="shared" ref="V7:V16" si="5">U7*T7</f>
        <v>0</v>
      </c>
      <c r="W7" s="14">
        <v>0</v>
      </c>
      <c r="X7" s="162">
        <v>0</v>
      </c>
      <c r="Y7" s="164">
        <f t="shared" ref="Y7:Y16" si="6">X7*W7</f>
        <v>0</v>
      </c>
      <c r="Z7" s="14">
        <v>0</v>
      </c>
      <c r="AA7" s="162">
        <v>0</v>
      </c>
      <c r="AB7" s="164">
        <f t="shared" ref="AB7:AB16" si="7">AA7*Z7</f>
        <v>0</v>
      </c>
      <c r="AC7" s="14">
        <v>200</v>
      </c>
      <c r="AD7" s="162">
        <v>0</v>
      </c>
      <c r="AE7" s="164">
        <f t="shared" ref="AE7:AE16" si="8">AD7*AC7</f>
        <v>0</v>
      </c>
      <c r="AF7" s="14">
        <v>0</v>
      </c>
      <c r="AG7" s="162">
        <v>0</v>
      </c>
      <c r="AH7" s="164">
        <f t="shared" ref="AH7:AH16" si="9">AG7*AF7</f>
        <v>0</v>
      </c>
      <c r="AI7" s="14">
        <v>0</v>
      </c>
      <c r="AJ7" s="162">
        <v>0</v>
      </c>
      <c r="AK7" s="164">
        <f t="shared" ref="AK7:AK16" si="10">AJ7*AI7</f>
        <v>0</v>
      </c>
      <c r="AL7" s="14">
        <v>0</v>
      </c>
      <c r="AM7" s="162">
        <v>0</v>
      </c>
      <c r="AN7" s="164">
        <f t="shared" ref="AN7:AN16" si="11">AM7*AL7</f>
        <v>0</v>
      </c>
    </row>
    <row r="8" spans="1:40" x14ac:dyDescent="0.3">
      <c r="A8" s="127" t="s">
        <v>172</v>
      </c>
      <c r="B8" s="5"/>
      <c r="C8" s="582"/>
      <c r="D8" s="5">
        <v>0</v>
      </c>
      <c r="E8" s="14">
        <v>0</v>
      </c>
      <c r="F8" s="162">
        <v>0</v>
      </c>
      <c r="G8" s="164">
        <f t="shared" si="0"/>
        <v>0</v>
      </c>
      <c r="H8" s="14">
        <v>0</v>
      </c>
      <c r="I8" s="162">
        <v>0</v>
      </c>
      <c r="J8" s="164">
        <f t="shared" si="1"/>
        <v>0</v>
      </c>
      <c r="K8" s="128">
        <v>0</v>
      </c>
      <c r="L8" s="154">
        <v>0</v>
      </c>
      <c r="M8" s="164">
        <f t="shared" si="2"/>
        <v>0</v>
      </c>
      <c r="N8" s="14">
        <v>0</v>
      </c>
      <c r="O8" s="162">
        <v>0</v>
      </c>
      <c r="P8" s="164">
        <f t="shared" si="3"/>
        <v>0</v>
      </c>
      <c r="Q8" s="14">
        <v>0</v>
      </c>
      <c r="R8" s="162">
        <v>0</v>
      </c>
      <c r="S8" s="164">
        <f t="shared" si="4"/>
        <v>0</v>
      </c>
      <c r="T8" s="14">
        <v>0</v>
      </c>
      <c r="U8" s="162">
        <v>0</v>
      </c>
      <c r="V8" s="164">
        <f t="shared" si="5"/>
        <v>0</v>
      </c>
      <c r="W8" s="14">
        <v>0</v>
      </c>
      <c r="X8" s="162">
        <v>0</v>
      </c>
      <c r="Y8" s="164">
        <f t="shared" si="6"/>
        <v>0</v>
      </c>
      <c r="Z8" s="14">
        <v>0</v>
      </c>
      <c r="AA8" s="162">
        <v>0</v>
      </c>
      <c r="AB8" s="164">
        <f t="shared" si="7"/>
        <v>0</v>
      </c>
      <c r="AC8" s="14">
        <v>100</v>
      </c>
      <c r="AD8" s="162">
        <v>0</v>
      </c>
      <c r="AE8" s="164">
        <f t="shared" si="8"/>
        <v>0</v>
      </c>
      <c r="AF8" s="14">
        <v>0</v>
      </c>
      <c r="AG8" s="162">
        <v>0</v>
      </c>
      <c r="AH8" s="164">
        <f t="shared" si="9"/>
        <v>0</v>
      </c>
      <c r="AI8" s="14">
        <v>0</v>
      </c>
      <c r="AJ8" s="162">
        <v>0</v>
      </c>
      <c r="AK8" s="164">
        <f t="shared" si="10"/>
        <v>0</v>
      </c>
      <c r="AL8" s="14">
        <v>0</v>
      </c>
      <c r="AM8" s="162">
        <v>0</v>
      </c>
      <c r="AN8" s="164">
        <f t="shared" si="11"/>
        <v>0</v>
      </c>
    </row>
    <row r="9" spans="1:40" x14ac:dyDescent="0.3">
      <c r="A9" s="127" t="s">
        <v>173</v>
      </c>
      <c r="B9" s="5"/>
      <c r="C9" s="583"/>
      <c r="D9" s="5">
        <v>0</v>
      </c>
      <c r="E9" s="14">
        <v>0</v>
      </c>
      <c r="F9" s="162">
        <v>0</v>
      </c>
      <c r="G9" s="164">
        <f t="shared" si="0"/>
        <v>0</v>
      </c>
      <c r="H9" s="14">
        <v>0</v>
      </c>
      <c r="I9" s="162">
        <v>0</v>
      </c>
      <c r="J9" s="164">
        <f t="shared" si="1"/>
        <v>0</v>
      </c>
      <c r="K9" s="128">
        <v>0</v>
      </c>
      <c r="L9" s="154">
        <v>0</v>
      </c>
      <c r="M9" s="164">
        <f t="shared" si="2"/>
        <v>0</v>
      </c>
      <c r="N9" s="14">
        <v>0</v>
      </c>
      <c r="O9" s="162">
        <v>0</v>
      </c>
      <c r="P9" s="164">
        <f t="shared" si="3"/>
        <v>0</v>
      </c>
      <c r="Q9" s="14">
        <v>0</v>
      </c>
      <c r="R9" s="162">
        <v>0</v>
      </c>
      <c r="S9" s="164">
        <f t="shared" si="4"/>
        <v>0</v>
      </c>
      <c r="T9" s="14">
        <v>0</v>
      </c>
      <c r="U9" s="162">
        <v>0</v>
      </c>
      <c r="V9" s="164">
        <f t="shared" si="5"/>
        <v>0</v>
      </c>
      <c r="W9" s="14">
        <v>0</v>
      </c>
      <c r="X9" s="162">
        <v>0</v>
      </c>
      <c r="Y9" s="164">
        <f t="shared" si="6"/>
        <v>0</v>
      </c>
      <c r="Z9" s="14">
        <v>0</v>
      </c>
      <c r="AA9" s="162">
        <v>0</v>
      </c>
      <c r="AB9" s="164">
        <f t="shared" si="7"/>
        <v>0</v>
      </c>
      <c r="AC9" s="14">
        <v>100</v>
      </c>
      <c r="AD9" s="162">
        <v>0</v>
      </c>
      <c r="AE9" s="164">
        <f t="shared" si="8"/>
        <v>0</v>
      </c>
      <c r="AF9" s="14">
        <v>0</v>
      </c>
      <c r="AG9" s="162">
        <v>0</v>
      </c>
      <c r="AH9" s="164">
        <f t="shared" si="9"/>
        <v>0</v>
      </c>
      <c r="AI9" s="14">
        <v>0</v>
      </c>
      <c r="AJ9" s="162">
        <v>0</v>
      </c>
      <c r="AK9" s="164">
        <f t="shared" si="10"/>
        <v>0</v>
      </c>
      <c r="AL9" s="14">
        <v>0</v>
      </c>
      <c r="AM9" s="162">
        <v>0</v>
      </c>
      <c r="AN9" s="164">
        <f t="shared" si="11"/>
        <v>0</v>
      </c>
    </row>
    <row r="10" spans="1:40" x14ac:dyDescent="0.3">
      <c r="A10" s="5" t="s">
        <v>176</v>
      </c>
      <c r="B10" s="5"/>
      <c r="C10" s="8">
        <v>300</v>
      </c>
      <c r="D10" s="5">
        <v>0</v>
      </c>
      <c r="E10" s="14">
        <v>0</v>
      </c>
      <c r="F10" s="162">
        <v>0</v>
      </c>
      <c r="G10" s="164">
        <f t="shared" si="0"/>
        <v>0</v>
      </c>
      <c r="H10" s="14">
        <v>0</v>
      </c>
      <c r="I10" s="162">
        <v>0</v>
      </c>
      <c r="J10" s="164">
        <f t="shared" si="1"/>
        <v>0</v>
      </c>
      <c r="K10" s="128">
        <v>0</v>
      </c>
      <c r="L10" s="154">
        <v>0</v>
      </c>
      <c r="M10" s="164">
        <f t="shared" si="2"/>
        <v>0</v>
      </c>
      <c r="N10" s="14">
        <v>0</v>
      </c>
      <c r="O10" s="162">
        <v>0</v>
      </c>
      <c r="P10" s="164">
        <f t="shared" si="3"/>
        <v>0</v>
      </c>
      <c r="Q10" s="14">
        <v>0</v>
      </c>
      <c r="R10" s="162">
        <v>0</v>
      </c>
      <c r="S10" s="164">
        <f t="shared" si="4"/>
        <v>0</v>
      </c>
      <c r="T10" s="14">
        <v>0</v>
      </c>
      <c r="U10" s="162">
        <v>0</v>
      </c>
      <c r="V10" s="164">
        <f t="shared" si="5"/>
        <v>0</v>
      </c>
      <c r="W10" s="14">
        <v>0</v>
      </c>
      <c r="X10" s="162">
        <v>0</v>
      </c>
      <c r="Y10" s="164">
        <f t="shared" si="6"/>
        <v>0</v>
      </c>
      <c r="Z10" s="14">
        <v>0</v>
      </c>
      <c r="AA10" s="162">
        <v>0</v>
      </c>
      <c r="AB10" s="164">
        <f t="shared" si="7"/>
        <v>0</v>
      </c>
      <c r="AC10" s="14">
        <v>25</v>
      </c>
      <c r="AD10" s="162">
        <v>0</v>
      </c>
      <c r="AE10" s="164">
        <f t="shared" si="8"/>
        <v>0</v>
      </c>
      <c r="AF10" s="14">
        <v>0</v>
      </c>
      <c r="AG10" s="162">
        <v>0</v>
      </c>
      <c r="AH10" s="164">
        <f t="shared" si="9"/>
        <v>0</v>
      </c>
      <c r="AI10" s="14">
        <v>0</v>
      </c>
      <c r="AJ10" s="162">
        <v>0</v>
      </c>
      <c r="AK10" s="164">
        <f t="shared" si="10"/>
        <v>0</v>
      </c>
      <c r="AL10" s="14">
        <v>0</v>
      </c>
      <c r="AM10" s="162">
        <v>0</v>
      </c>
      <c r="AN10" s="164">
        <f t="shared" si="11"/>
        <v>0</v>
      </c>
    </row>
    <row r="11" spans="1:40" x14ac:dyDescent="0.3">
      <c r="A11" s="5" t="s">
        <v>176</v>
      </c>
      <c r="B11" s="5"/>
      <c r="C11" s="8">
        <v>300</v>
      </c>
      <c r="D11" s="5">
        <v>0</v>
      </c>
      <c r="E11" s="14">
        <v>0</v>
      </c>
      <c r="F11" s="162">
        <v>0</v>
      </c>
      <c r="G11" s="166">
        <f t="shared" si="0"/>
        <v>0</v>
      </c>
      <c r="H11" s="14">
        <v>0</v>
      </c>
      <c r="I11" s="162">
        <v>0</v>
      </c>
      <c r="J11" s="166">
        <f t="shared" si="1"/>
        <v>0</v>
      </c>
      <c r="K11" s="128">
        <v>0</v>
      </c>
      <c r="L11" s="154">
        <v>0</v>
      </c>
      <c r="M11" s="166">
        <f t="shared" si="2"/>
        <v>0</v>
      </c>
      <c r="N11" s="14">
        <v>0</v>
      </c>
      <c r="O11" s="162">
        <v>0</v>
      </c>
      <c r="P11" s="166">
        <f t="shared" si="3"/>
        <v>0</v>
      </c>
      <c r="Q11" s="14">
        <v>0</v>
      </c>
      <c r="R11" s="162">
        <v>0</v>
      </c>
      <c r="S11" s="166">
        <f t="shared" si="4"/>
        <v>0</v>
      </c>
      <c r="T11" s="14">
        <v>0</v>
      </c>
      <c r="U11" s="162">
        <v>0</v>
      </c>
      <c r="V11" s="166">
        <f t="shared" si="5"/>
        <v>0</v>
      </c>
      <c r="W11" s="14">
        <v>0</v>
      </c>
      <c r="X11" s="162">
        <v>0</v>
      </c>
      <c r="Y11" s="166">
        <f t="shared" si="6"/>
        <v>0</v>
      </c>
      <c r="Z11" s="14">
        <v>0</v>
      </c>
      <c r="AA11" s="162">
        <v>0</v>
      </c>
      <c r="AB11" s="166">
        <f t="shared" si="7"/>
        <v>0</v>
      </c>
      <c r="AC11" s="14">
        <v>25</v>
      </c>
      <c r="AD11" s="162">
        <v>0</v>
      </c>
      <c r="AE11" s="166">
        <f t="shared" si="8"/>
        <v>0</v>
      </c>
      <c r="AF11" s="14">
        <v>0</v>
      </c>
      <c r="AG11" s="162">
        <v>0</v>
      </c>
      <c r="AH11" s="166">
        <f t="shared" si="9"/>
        <v>0</v>
      </c>
      <c r="AI11" s="14">
        <v>0</v>
      </c>
      <c r="AJ11" s="162">
        <v>0</v>
      </c>
      <c r="AK11" s="166">
        <f t="shared" si="10"/>
        <v>0</v>
      </c>
      <c r="AL11" s="14">
        <v>0</v>
      </c>
      <c r="AM11" s="162">
        <v>0</v>
      </c>
      <c r="AN11" s="166">
        <f t="shared" si="11"/>
        <v>0</v>
      </c>
    </row>
    <row r="12" spans="1:40" x14ac:dyDescent="0.3">
      <c r="A12" s="5" t="s">
        <v>177</v>
      </c>
      <c r="B12" s="5"/>
      <c r="C12" s="8">
        <v>300</v>
      </c>
      <c r="D12" s="5">
        <v>0</v>
      </c>
      <c r="E12" s="13">
        <v>0</v>
      </c>
      <c r="F12" s="162">
        <v>0</v>
      </c>
      <c r="G12" s="165">
        <f t="shared" si="0"/>
        <v>0</v>
      </c>
      <c r="H12" s="13">
        <v>0</v>
      </c>
      <c r="I12" s="162">
        <v>0</v>
      </c>
      <c r="J12" s="165">
        <f t="shared" si="1"/>
        <v>0</v>
      </c>
      <c r="K12" s="13">
        <v>0</v>
      </c>
      <c r="L12" s="184">
        <v>0</v>
      </c>
      <c r="M12" s="165">
        <f t="shared" si="2"/>
        <v>0</v>
      </c>
      <c r="N12" s="13">
        <v>0</v>
      </c>
      <c r="O12" s="162">
        <v>0</v>
      </c>
      <c r="P12" s="165">
        <f t="shared" si="3"/>
        <v>0</v>
      </c>
      <c r="Q12" s="13">
        <v>0</v>
      </c>
      <c r="R12" s="162">
        <v>0</v>
      </c>
      <c r="S12" s="165">
        <f t="shared" si="4"/>
        <v>0</v>
      </c>
      <c r="T12" s="13">
        <v>0</v>
      </c>
      <c r="U12" s="162">
        <v>0</v>
      </c>
      <c r="V12" s="165">
        <f t="shared" si="5"/>
        <v>0</v>
      </c>
      <c r="W12" s="13">
        <v>0</v>
      </c>
      <c r="X12" s="162">
        <v>0</v>
      </c>
      <c r="Y12" s="165">
        <f t="shared" si="6"/>
        <v>0</v>
      </c>
      <c r="Z12" s="13">
        <v>0</v>
      </c>
      <c r="AA12" s="162">
        <v>0</v>
      </c>
      <c r="AB12" s="165">
        <f t="shared" si="7"/>
        <v>0</v>
      </c>
      <c r="AC12" s="13">
        <v>25</v>
      </c>
      <c r="AD12" s="162">
        <v>0</v>
      </c>
      <c r="AE12" s="165">
        <f t="shared" si="8"/>
        <v>0</v>
      </c>
      <c r="AF12" s="13">
        <v>0</v>
      </c>
      <c r="AG12" s="162">
        <v>0</v>
      </c>
      <c r="AH12" s="165">
        <f t="shared" si="9"/>
        <v>0</v>
      </c>
      <c r="AI12" s="13">
        <v>0</v>
      </c>
      <c r="AJ12" s="162">
        <v>0</v>
      </c>
      <c r="AK12" s="165">
        <f t="shared" si="10"/>
        <v>0</v>
      </c>
      <c r="AL12" s="13">
        <v>0</v>
      </c>
      <c r="AM12" s="162">
        <v>0</v>
      </c>
      <c r="AN12" s="165">
        <f t="shared" si="11"/>
        <v>0</v>
      </c>
    </row>
    <row r="13" spans="1:40" x14ac:dyDescent="0.3">
      <c r="A13" s="5" t="s">
        <v>143</v>
      </c>
      <c r="B13" s="10"/>
      <c r="C13" s="13">
        <v>300</v>
      </c>
      <c r="D13" s="13">
        <v>0</v>
      </c>
      <c r="E13" s="13">
        <v>0</v>
      </c>
      <c r="F13" s="162">
        <v>0</v>
      </c>
      <c r="G13" s="165">
        <f t="shared" si="0"/>
        <v>0</v>
      </c>
      <c r="H13" s="13">
        <v>0</v>
      </c>
      <c r="I13" s="162">
        <v>0</v>
      </c>
      <c r="J13" s="165">
        <f t="shared" si="1"/>
        <v>0</v>
      </c>
      <c r="K13" s="13">
        <v>0</v>
      </c>
      <c r="L13" s="184">
        <v>0</v>
      </c>
      <c r="M13" s="165">
        <f t="shared" si="2"/>
        <v>0</v>
      </c>
      <c r="N13" s="13">
        <v>0</v>
      </c>
      <c r="O13" s="162">
        <v>0</v>
      </c>
      <c r="P13" s="165">
        <f t="shared" si="3"/>
        <v>0</v>
      </c>
      <c r="Q13" s="13">
        <v>0</v>
      </c>
      <c r="R13" s="162">
        <v>0</v>
      </c>
      <c r="S13" s="165">
        <f t="shared" si="4"/>
        <v>0</v>
      </c>
      <c r="T13" s="13">
        <v>0</v>
      </c>
      <c r="U13" s="162">
        <v>0</v>
      </c>
      <c r="V13" s="165">
        <f t="shared" si="5"/>
        <v>0</v>
      </c>
      <c r="W13" s="13">
        <v>0</v>
      </c>
      <c r="X13" s="162">
        <v>0</v>
      </c>
      <c r="Y13" s="165">
        <f t="shared" si="6"/>
        <v>0</v>
      </c>
      <c r="Z13" s="13">
        <v>0</v>
      </c>
      <c r="AA13" s="162">
        <v>0</v>
      </c>
      <c r="AB13" s="165">
        <f t="shared" si="7"/>
        <v>0</v>
      </c>
      <c r="AC13" s="13">
        <v>25</v>
      </c>
      <c r="AD13" s="162">
        <v>0</v>
      </c>
      <c r="AE13" s="165">
        <f t="shared" si="8"/>
        <v>0</v>
      </c>
      <c r="AF13" s="13">
        <v>0</v>
      </c>
      <c r="AG13" s="162">
        <v>0</v>
      </c>
      <c r="AH13" s="165">
        <f t="shared" si="9"/>
        <v>0</v>
      </c>
      <c r="AI13" s="13">
        <v>0</v>
      </c>
      <c r="AJ13" s="162">
        <v>0</v>
      </c>
      <c r="AK13" s="165">
        <f t="shared" si="10"/>
        <v>0</v>
      </c>
      <c r="AL13" s="13">
        <v>0</v>
      </c>
      <c r="AM13" s="162">
        <v>0</v>
      </c>
      <c r="AN13" s="165">
        <f t="shared" si="11"/>
        <v>0</v>
      </c>
    </row>
    <row r="14" spans="1:40" x14ac:dyDescent="0.3">
      <c r="A14" s="142" t="s">
        <v>174</v>
      </c>
      <c r="B14" s="10"/>
      <c r="C14" s="13">
        <v>300</v>
      </c>
      <c r="D14" s="13">
        <v>0</v>
      </c>
      <c r="E14" s="13">
        <v>0</v>
      </c>
      <c r="F14" s="162">
        <v>0</v>
      </c>
      <c r="G14" s="165">
        <f t="shared" si="0"/>
        <v>0</v>
      </c>
      <c r="H14" s="13">
        <v>0</v>
      </c>
      <c r="I14" s="162">
        <v>0</v>
      </c>
      <c r="J14" s="165">
        <f t="shared" si="1"/>
        <v>0</v>
      </c>
      <c r="K14" s="13">
        <v>0</v>
      </c>
      <c r="L14" s="184">
        <v>0</v>
      </c>
      <c r="M14" s="165">
        <f t="shared" si="2"/>
        <v>0</v>
      </c>
      <c r="N14" s="13">
        <v>0</v>
      </c>
      <c r="O14" s="162">
        <v>0</v>
      </c>
      <c r="P14" s="165">
        <f t="shared" si="3"/>
        <v>0</v>
      </c>
      <c r="Q14" s="13">
        <v>0</v>
      </c>
      <c r="R14" s="162">
        <v>0</v>
      </c>
      <c r="S14" s="165">
        <f t="shared" si="4"/>
        <v>0</v>
      </c>
      <c r="T14" s="13">
        <v>0</v>
      </c>
      <c r="U14" s="162">
        <v>0</v>
      </c>
      <c r="V14" s="165">
        <f t="shared" si="5"/>
        <v>0</v>
      </c>
      <c r="W14" s="13">
        <v>0</v>
      </c>
      <c r="X14" s="162">
        <v>0</v>
      </c>
      <c r="Y14" s="165">
        <f t="shared" si="6"/>
        <v>0</v>
      </c>
      <c r="Z14" s="13">
        <v>0</v>
      </c>
      <c r="AA14" s="162">
        <v>0</v>
      </c>
      <c r="AB14" s="165">
        <f t="shared" si="7"/>
        <v>0</v>
      </c>
      <c r="AC14" s="13">
        <v>25</v>
      </c>
      <c r="AD14" s="162">
        <v>0</v>
      </c>
      <c r="AE14" s="165">
        <f t="shared" si="8"/>
        <v>0</v>
      </c>
      <c r="AF14" s="13">
        <v>0</v>
      </c>
      <c r="AG14" s="162">
        <v>0</v>
      </c>
      <c r="AH14" s="165">
        <f t="shared" si="9"/>
        <v>0</v>
      </c>
      <c r="AI14" s="13">
        <v>0</v>
      </c>
      <c r="AJ14" s="162">
        <v>0</v>
      </c>
      <c r="AK14" s="165">
        <f t="shared" si="10"/>
        <v>0</v>
      </c>
      <c r="AL14" s="13">
        <v>0</v>
      </c>
      <c r="AM14" s="162">
        <v>0</v>
      </c>
      <c r="AN14" s="165">
        <f t="shared" si="11"/>
        <v>0</v>
      </c>
    </row>
    <row r="15" spans="1:40" x14ac:dyDescent="0.3">
      <c r="A15" s="5" t="s">
        <v>175</v>
      </c>
      <c r="B15" s="10"/>
      <c r="C15" s="13">
        <v>300</v>
      </c>
      <c r="D15" s="13">
        <v>0</v>
      </c>
      <c r="E15" s="13">
        <v>0</v>
      </c>
      <c r="F15" s="163">
        <v>0</v>
      </c>
      <c r="G15" s="165">
        <f t="shared" si="0"/>
        <v>0</v>
      </c>
      <c r="H15" s="13">
        <v>0</v>
      </c>
      <c r="I15" s="162">
        <v>0</v>
      </c>
      <c r="J15" s="165">
        <f t="shared" si="1"/>
        <v>0</v>
      </c>
      <c r="K15" s="13">
        <v>0</v>
      </c>
      <c r="L15" s="163">
        <v>0</v>
      </c>
      <c r="M15" s="164">
        <f t="shared" si="2"/>
        <v>0</v>
      </c>
      <c r="N15" s="13">
        <v>0</v>
      </c>
      <c r="O15" s="163">
        <v>0</v>
      </c>
      <c r="P15" s="164">
        <f t="shared" si="3"/>
        <v>0</v>
      </c>
      <c r="Q15" s="13">
        <v>0</v>
      </c>
      <c r="R15" s="163">
        <v>0</v>
      </c>
      <c r="S15" s="164">
        <f t="shared" si="4"/>
        <v>0</v>
      </c>
      <c r="T15" s="13">
        <v>0</v>
      </c>
      <c r="U15" s="163">
        <v>0</v>
      </c>
      <c r="V15" s="164">
        <f t="shared" si="5"/>
        <v>0</v>
      </c>
      <c r="W15" s="13">
        <v>0</v>
      </c>
      <c r="X15" s="163">
        <v>0</v>
      </c>
      <c r="Y15" s="164">
        <f t="shared" si="6"/>
        <v>0</v>
      </c>
      <c r="Z15" s="13">
        <v>0</v>
      </c>
      <c r="AA15" s="163">
        <v>0</v>
      </c>
      <c r="AB15" s="164">
        <f t="shared" si="7"/>
        <v>0</v>
      </c>
      <c r="AC15" s="13">
        <v>25</v>
      </c>
      <c r="AD15" s="163">
        <v>0</v>
      </c>
      <c r="AE15" s="164">
        <f t="shared" si="8"/>
        <v>0</v>
      </c>
      <c r="AF15" s="13">
        <v>0</v>
      </c>
      <c r="AG15" s="163">
        <v>0</v>
      </c>
      <c r="AH15" s="164">
        <f t="shared" si="9"/>
        <v>0</v>
      </c>
      <c r="AI15" s="13">
        <v>0</v>
      </c>
      <c r="AJ15" s="163">
        <v>0</v>
      </c>
      <c r="AK15" s="164">
        <f t="shared" si="10"/>
        <v>0</v>
      </c>
      <c r="AL15" s="13">
        <v>0</v>
      </c>
      <c r="AM15" s="163">
        <v>0</v>
      </c>
      <c r="AN15" s="164">
        <f t="shared" si="11"/>
        <v>0</v>
      </c>
    </row>
    <row r="16" spans="1:40" x14ac:dyDescent="0.3">
      <c r="A16" s="19" t="s">
        <v>244</v>
      </c>
      <c r="B16" s="13"/>
      <c r="C16" s="13"/>
      <c r="D16" s="13">
        <v>0</v>
      </c>
      <c r="E16" s="13">
        <v>0</v>
      </c>
      <c r="F16" s="163">
        <v>0</v>
      </c>
      <c r="G16" s="165">
        <f t="shared" si="0"/>
        <v>0</v>
      </c>
      <c r="H16" s="13">
        <v>0</v>
      </c>
      <c r="I16" s="162">
        <v>0</v>
      </c>
      <c r="J16" s="165">
        <f t="shared" si="1"/>
        <v>0</v>
      </c>
      <c r="K16" s="13">
        <v>0</v>
      </c>
      <c r="L16" s="163">
        <v>0</v>
      </c>
      <c r="M16" s="164">
        <f t="shared" si="2"/>
        <v>0</v>
      </c>
      <c r="N16" s="13">
        <v>0</v>
      </c>
      <c r="O16" s="163">
        <v>0</v>
      </c>
      <c r="P16" s="164">
        <f t="shared" si="3"/>
        <v>0</v>
      </c>
      <c r="Q16" s="13">
        <v>0</v>
      </c>
      <c r="R16" s="163">
        <v>0</v>
      </c>
      <c r="S16" s="164">
        <f t="shared" si="4"/>
        <v>0</v>
      </c>
      <c r="T16" s="13">
        <v>0</v>
      </c>
      <c r="U16" s="163">
        <v>0</v>
      </c>
      <c r="V16" s="164">
        <f t="shared" si="5"/>
        <v>0</v>
      </c>
      <c r="W16" s="13">
        <v>0</v>
      </c>
      <c r="X16" s="163">
        <v>0</v>
      </c>
      <c r="Y16" s="164">
        <f t="shared" si="6"/>
        <v>0</v>
      </c>
      <c r="Z16" s="13">
        <v>0</v>
      </c>
      <c r="AA16" s="163">
        <v>0</v>
      </c>
      <c r="AB16" s="164">
        <f t="shared" si="7"/>
        <v>0</v>
      </c>
      <c r="AC16" s="13">
        <v>200</v>
      </c>
      <c r="AD16" s="163">
        <v>0</v>
      </c>
      <c r="AE16" s="164">
        <f t="shared" si="8"/>
        <v>0</v>
      </c>
      <c r="AF16" s="13">
        <v>0</v>
      </c>
      <c r="AG16" s="163">
        <v>0</v>
      </c>
      <c r="AH16" s="164">
        <f t="shared" si="9"/>
        <v>0</v>
      </c>
      <c r="AI16" s="13">
        <v>0</v>
      </c>
      <c r="AJ16" s="163">
        <v>0</v>
      </c>
      <c r="AK16" s="164">
        <f t="shared" si="10"/>
        <v>0</v>
      </c>
      <c r="AL16" s="13">
        <v>0</v>
      </c>
      <c r="AM16" s="163">
        <v>0</v>
      </c>
      <c r="AN16" s="164">
        <f t="shared" si="11"/>
        <v>0</v>
      </c>
    </row>
    <row r="17" spans="1:40" ht="16.2" x14ac:dyDescent="0.45">
      <c r="A17" s="13"/>
      <c r="B17" s="12"/>
      <c r="C17" s="12"/>
      <c r="D17" s="12"/>
      <c r="E17" s="12"/>
      <c r="F17" s="137" t="s">
        <v>7</v>
      </c>
      <c r="G17" s="168">
        <f>SUM(G7:G16)</f>
        <v>0</v>
      </c>
      <c r="H17" s="12"/>
      <c r="I17" s="137" t="s">
        <v>7</v>
      </c>
      <c r="J17" s="168">
        <f>SUM(J7:J16)</f>
        <v>0</v>
      </c>
      <c r="K17" s="12"/>
      <c r="L17" s="137" t="s">
        <v>7</v>
      </c>
      <c r="M17" s="168">
        <f>SUM(M7:M16)</f>
        <v>0</v>
      </c>
      <c r="N17" s="12"/>
      <c r="O17" s="137" t="s">
        <v>7</v>
      </c>
      <c r="P17" s="168">
        <f>SUM(P7:P16)</f>
        <v>0</v>
      </c>
      <c r="Q17" s="12"/>
      <c r="R17" s="137" t="s">
        <v>7</v>
      </c>
      <c r="S17" s="168">
        <f>SUM(S7:S16)</f>
        <v>0</v>
      </c>
      <c r="T17" s="26"/>
      <c r="U17" s="137" t="s">
        <v>7</v>
      </c>
      <c r="V17" s="168">
        <f>SUM(V7:V16)</f>
        <v>0</v>
      </c>
      <c r="W17" s="452"/>
      <c r="X17" s="137" t="s">
        <v>7</v>
      </c>
      <c r="Y17" s="168">
        <f>SUM(Y7:Y16)</f>
        <v>0</v>
      </c>
      <c r="Z17" s="452"/>
      <c r="AA17" s="137" t="s">
        <v>7</v>
      </c>
      <c r="AB17" s="168">
        <f>SUM(AB7:AB16)</f>
        <v>0</v>
      </c>
      <c r="AC17" s="12"/>
      <c r="AD17" s="136" t="s">
        <v>7</v>
      </c>
      <c r="AE17" s="168">
        <f>SUM(AE7:AE16)</f>
        <v>0</v>
      </c>
      <c r="AF17" s="12"/>
      <c r="AG17" s="137" t="s">
        <v>7</v>
      </c>
      <c r="AH17" s="168">
        <f>SUM(AH7:AH16)</f>
        <v>0</v>
      </c>
      <c r="AI17" s="12"/>
      <c r="AJ17" s="137" t="s">
        <v>7</v>
      </c>
      <c r="AK17" s="168">
        <f>SUM(AK7:AK16)</f>
        <v>0</v>
      </c>
      <c r="AL17" s="12"/>
      <c r="AM17" s="137" t="s">
        <v>7</v>
      </c>
      <c r="AN17" s="168">
        <f>SUM(AN7:AN16)</f>
        <v>0</v>
      </c>
    </row>
  </sheetData>
  <mergeCells count="2">
    <mergeCell ref="D3:D4"/>
    <mergeCell ref="C7:C9"/>
  </mergeCells>
  <hyperlinks>
    <hyperlink ref="A2" location="Menu!A1" display="Menu" xr:uid="{00000000-0004-0000-0A00-000000000000}"/>
  </hyperlink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3"/>
  <dimension ref="A1:AN15"/>
  <sheetViews>
    <sheetView workbookViewId="0">
      <pane xSplit="1" topLeftCell="AC1" activePane="topRight" state="frozen"/>
      <selection pane="topRight" activeCell="A2" sqref="A2"/>
    </sheetView>
  </sheetViews>
  <sheetFormatPr defaultColWidth="9.109375" defaultRowHeight="14.4" x14ac:dyDescent="0.3"/>
  <cols>
    <col min="1" max="1" width="38.21875" style="1" bestFit="1" customWidth="1"/>
    <col min="2" max="2" width="11" style="1" bestFit="1" customWidth="1"/>
    <col min="3" max="3" width="18.77734375" style="1" bestFit="1" customWidth="1"/>
    <col min="4" max="4" width="16.6640625" style="1" bestFit="1" customWidth="1"/>
    <col min="5" max="5" width="14.109375" style="1" bestFit="1" customWidth="1"/>
    <col min="6" max="6" width="10.44140625" style="1" bestFit="1" customWidth="1"/>
    <col min="7" max="7" width="14.44140625" style="1" bestFit="1" customWidth="1"/>
    <col min="8" max="8" width="14.109375" style="1" bestFit="1" customWidth="1"/>
    <col min="9" max="9" width="9" style="1" bestFit="1" customWidth="1"/>
    <col min="10" max="10" width="10.88671875" style="1" bestFit="1" customWidth="1"/>
    <col min="11" max="11" width="14.109375" style="1" bestFit="1" customWidth="1"/>
    <col min="12" max="12" width="10.6640625" style="1" bestFit="1" customWidth="1"/>
    <col min="13" max="13" width="12.109375" style="1" bestFit="1" customWidth="1"/>
    <col min="14" max="14" width="14.109375" style="1" bestFit="1" customWidth="1"/>
    <col min="15" max="15" width="9.109375" style="1"/>
    <col min="16" max="16" width="11.6640625" style="1" bestFit="1" customWidth="1"/>
    <col min="17" max="17" width="14.109375" style="1" bestFit="1" customWidth="1"/>
    <col min="18" max="18" width="9.109375" style="1"/>
    <col min="19" max="19" width="10.88671875" style="1" bestFit="1" customWidth="1"/>
    <col min="20" max="20" width="14.109375" style="1" bestFit="1" customWidth="1"/>
    <col min="21" max="21" width="9.109375" style="1"/>
    <col min="22" max="22" width="11.6640625" style="1" bestFit="1" customWidth="1"/>
    <col min="23" max="23" width="14.109375" style="1" bestFit="1" customWidth="1"/>
    <col min="24" max="24" width="9.109375" style="1"/>
    <col min="25" max="25" width="10.88671875" style="1" bestFit="1" customWidth="1"/>
    <col min="26" max="26" width="14.109375" style="1" bestFit="1" customWidth="1"/>
    <col min="27" max="27" width="9.109375" style="1"/>
    <col min="28" max="28" width="10.88671875" style="1" bestFit="1" customWidth="1"/>
    <col min="29" max="29" width="14.109375" style="1" bestFit="1" customWidth="1"/>
    <col min="30" max="30" width="9.109375" style="1"/>
    <col min="31" max="31" width="10.88671875" style="1" bestFit="1" customWidth="1"/>
    <col min="32" max="32" width="14.109375" style="1" bestFit="1" customWidth="1"/>
    <col min="33" max="33" width="9" style="1" bestFit="1" customWidth="1"/>
    <col min="34" max="34" width="10.88671875" style="1" bestFit="1" customWidth="1"/>
    <col min="35" max="35" width="14.109375" style="1" bestFit="1" customWidth="1"/>
    <col min="36" max="36" width="9.109375" style="1"/>
    <col min="37" max="37" width="10.88671875" style="1" bestFit="1" customWidth="1"/>
    <col min="38" max="38" width="14.109375" style="1" bestFit="1" customWidth="1"/>
    <col min="39" max="39" width="9.109375" style="1"/>
    <col min="40" max="40" width="10.88671875" style="1" bestFit="1" customWidth="1"/>
    <col min="41" max="16384" width="9.109375" style="1"/>
  </cols>
  <sheetData>
    <row r="1" spans="1:40" ht="15" thickBot="1" x14ac:dyDescent="0.35"/>
    <row r="2" spans="1:40" ht="29.4" thickBot="1" x14ac:dyDescent="0.35">
      <c r="A2" s="185" t="s">
        <v>96</v>
      </c>
    </row>
    <row r="3" spans="1:40" ht="29.4" thickBot="1" x14ac:dyDescent="0.6">
      <c r="A3" s="446" t="s">
        <v>151</v>
      </c>
      <c r="B3" s="176"/>
      <c r="C3" s="176"/>
      <c r="D3" s="586"/>
      <c r="E3" s="6"/>
      <c r="F3" s="6"/>
      <c r="G3" s="6"/>
    </row>
    <row r="4" spans="1:40" ht="15" customHeight="1" x14ac:dyDescent="0.55000000000000004">
      <c r="A4" s="177"/>
      <c r="B4" s="177"/>
      <c r="C4" s="177"/>
      <c r="D4" s="587"/>
      <c r="E4" s="6"/>
      <c r="F4" s="6"/>
      <c r="G4" s="6"/>
    </row>
    <row r="5" spans="1:40" ht="15" customHeight="1" x14ac:dyDescent="0.3">
      <c r="A5" s="7"/>
      <c r="B5" s="7"/>
      <c r="C5" s="7"/>
      <c r="D5" s="7"/>
      <c r="E5" s="4">
        <v>45292</v>
      </c>
      <c r="F5" s="4">
        <v>45292</v>
      </c>
      <c r="G5" s="29">
        <v>45292</v>
      </c>
      <c r="H5" s="11">
        <v>45323</v>
      </c>
      <c r="I5" s="11">
        <v>45323</v>
      </c>
      <c r="J5" s="11">
        <v>45323</v>
      </c>
      <c r="K5" s="11">
        <v>45352</v>
      </c>
      <c r="L5" s="11">
        <v>45352</v>
      </c>
      <c r="M5" s="11">
        <v>45352</v>
      </c>
      <c r="N5" s="11">
        <v>45383</v>
      </c>
      <c r="O5" s="11">
        <v>45383</v>
      </c>
      <c r="P5" s="11">
        <v>45383</v>
      </c>
      <c r="Q5" s="11">
        <v>45413</v>
      </c>
      <c r="R5" s="11">
        <v>45413</v>
      </c>
      <c r="S5" s="11">
        <v>45413</v>
      </c>
      <c r="T5" s="11">
        <v>45444</v>
      </c>
      <c r="U5" s="11">
        <v>45444</v>
      </c>
      <c r="V5" s="11">
        <v>45444</v>
      </c>
      <c r="W5" s="11">
        <v>45474</v>
      </c>
      <c r="X5" s="11">
        <v>45474</v>
      </c>
      <c r="Y5" s="11">
        <v>45474</v>
      </c>
      <c r="Z5" s="11">
        <v>45505</v>
      </c>
      <c r="AA5" s="11">
        <v>45505</v>
      </c>
      <c r="AB5" s="11">
        <v>45505</v>
      </c>
      <c r="AC5" s="11">
        <v>45536</v>
      </c>
      <c r="AD5" s="11">
        <v>45536</v>
      </c>
      <c r="AE5" s="11">
        <v>45536</v>
      </c>
      <c r="AF5" s="11">
        <v>45566</v>
      </c>
      <c r="AG5" s="11">
        <v>45566</v>
      </c>
      <c r="AH5" s="11">
        <v>45566</v>
      </c>
      <c r="AI5" s="11">
        <v>45597</v>
      </c>
      <c r="AJ5" s="11">
        <v>45597</v>
      </c>
      <c r="AK5" s="11">
        <v>45597</v>
      </c>
      <c r="AL5" s="11">
        <v>45627</v>
      </c>
      <c r="AM5" s="11">
        <v>45627</v>
      </c>
      <c r="AN5" s="11">
        <v>45627</v>
      </c>
    </row>
    <row r="6" spans="1:40" x14ac:dyDescent="0.3">
      <c r="A6" s="5" t="s">
        <v>0</v>
      </c>
      <c r="B6" s="5" t="s">
        <v>1</v>
      </c>
      <c r="C6" s="5" t="s">
        <v>2</v>
      </c>
      <c r="D6" s="5" t="s">
        <v>8</v>
      </c>
      <c r="E6" s="5" t="s">
        <v>4</v>
      </c>
      <c r="F6" s="5" t="s">
        <v>5</v>
      </c>
      <c r="G6" s="5" t="s">
        <v>6</v>
      </c>
      <c r="H6" s="13" t="s">
        <v>4</v>
      </c>
      <c r="I6" s="13" t="s">
        <v>5</v>
      </c>
      <c r="J6" s="26" t="s">
        <v>6</v>
      </c>
      <c r="K6" s="13" t="s">
        <v>4</v>
      </c>
      <c r="L6" s="13" t="s">
        <v>98</v>
      </c>
      <c r="M6" s="26" t="s">
        <v>6</v>
      </c>
      <c r="N6" s="13" t="s">
        <v>4</v>
      </c>
      <c r="O6" s="13" t="s">
        <v>5</v>
      </c>
      <c r="P6" s="26" t="s">
        <v>6</v>
      </c>
      <c r="Q6" s="13" t="s">
        <v>4</v>
      </c>
      <c r="R6" s="13" t="s">
        <v>5</v>
      </c>
      <c r="S6" s="26" t="s">
        <v>6</v>
      </c>
      <c r="T6" s="13" t="s">
        <v>4</v>
      </c>
      <c r="U6" s="13" t="s">
        <v>5</v>
      </c>
      <c r="V6" s="26" t="s">
        <v>6</v>
      </c>
      <c r="W6" s="13" t="s">
        <v>4</v>
      </c>
      <c r="X6" s="13" t="s">
        <v>5</v>
      </c>
      <c r="Y6" s="26" t="s">
        <v>6</v>
      </c>
      <c r="Z6" s="13" t="s">
        <v>4</v>
      </c>
      <c r="AA6" s="13" t="s">
        <v>5</v>
      </c>
      <c r="AB6" s="26" t="s">
        <v>6</v>
      </c>
      <c r="AC6" s="13" t="s">
        <v>4</v>
      </c>
      <c r="AD6" s="13" t="s">
        <v>5</v>
      </c>
      <c r="AE6" s="26" t="s">
        <v>6</v>
      </c>
      <c r="AF6" s="13" t="s">
        <v>4</v>
      </c>
      <c r="AG6" s="13" t="s">
        <v>5</v>
      </c>
      <c r="AH6" s="26" t="s">
        <v>6</v>
      </c>
      <c r="AI6" s="13" t="s">
        <v>4</v>
      </c>
      <c r="AJ6" s="13" t="s">
        <v>5</v>
      </c>
      <c r="AK6" s="26" t="s">
        <v>6</v>
      </c>
      <c r="AL6" s="13" t="s">
        <v>4</v>
      </c>
      <c r="AM6" s="13" t="s">
        <v>5</v>
      </c>
      <c r="AN6" s="26" t="s">
        <v>6</v>
      </c>
    </row>
    <row r="7" spans="1:40" x14ac:dyDescent="0.3">
      <c r="A7" s="25" t="s">
        <v>225</v>
      </c>
      <c r="B7" s="5"/>
      <c r="C7" s="581">
        <v>2600</v>
      </c>
      <c r="D7" s="5">
        <v>0</v>
      </c>
      <c r="E7" s="9">
        <v>0</v>
      </c>
      <c r="F7" s="154">
        <v>0</v>
      </c>
      <c r="G7" s="160">
        <f>F7*E7</f>
        <v>0</v>
      </c>
      <c r="H7" s="14">
        <v>0</v>
      </c>
      <c r="I7" s="162">
        <v>0</v>
      </c>
      <c r="J7" s="164">
        <f t="shared" ref="J7:J14" si="0">I7*H7</f>
        <v>0</v>
      </c>
      <c r="K7" s="128">
        <v>0</v>
      </c>
      <c r="L7" s="154">
        <v>0</v>
      </c>
      <c r="M7" s="164">
        <f t="shared" ref="M7:M14" si="1">L7*K7</f>
        <v>0</v>
      </c>
      <c r="N7" s="14">
        <v>0</v>
      </c>
      <c r="O7" s="162">
        <v>0</v>
      </c>
      <c r="P7" s="164">
        <f t="shared" ref="P7:P14" si="2">O7*N7</f>
        <v>0</v>
      </c>
      <c r="Q7" s="14">
        <v>0</v>
      </c>
      <c r="R7" s="162">
        <v>0</v>
      </c>
      <c r="S7" s="164">
        <f t="shared" ref="S7:S14" si="3">R7*Q7</f>
        <v>0</v>
      </c>
      <c r="T7" s="14">
        <v>0</v>
      </c>
      <c r="U7" s="162">
        <v>0</v>
      </c>
      <c r="V7" s="164">
        <f t="shared" ref="V7:V14" si="4">U7*T7</f>
        <v>0</v>
      </c>
      <c r="W7" s="14">
        <v>0</v>
      </c>
      <c r="X7" s="162">
        <v>0</v>
      </c>
      <c r="Y7" s="164">
        <f t="shared" ref="Y7:Y14" si="5">X7*W7</f>
        <v>0</v>
      </c>
      <c r="Z7" s="14">
        <v>0</v>
      </c>
      <c r="AA7" s="162">
        <v>0</v>
      </c>
      <c r="AB7" s="164">
        <f t="shared" ref="AB7:AB14" si="6">AA7*Z7</f>
        <v>0</v>
      </c>
      <c r="AC7" s="14">
        <v>100</v>
      </c>
      <c r="AD7" s="162">
        <v>0</v>
      </c>
      <c r="AE7" s="164">
        <f t="shared" ref="AE7:AE14" si="7">AD7*AC7</f>
        <v>0</v>
      </c>
      <c r="AF7" s="14">
        <v>0</v>
      </c>
      <c r="AG7" s="162">
        <v>0</v>
      </c>
      <c r="AH7" s="164">
        <f t="shared" ref="AH7:AH14" si="8">AG7*AF7</f>
        <v>0</v>
      </c>
      <c r="AI7" s="14">
        <v>0</v>
      </c>
      <c r="AJ7" s="162">
        <v>0</v>
      </c>
      <c r="AK7" s="164">
        <f t="shared" ref="AK7:AK14" si="9">AJ7*AI7</f>
        <v>0</v>
      </c>
      <c r="AL7" s="14">
        <v>0</v>
      </c>
      <c r="AM7" s="162">
        <v>5</v>
      </c>
      <c r="AN7" s="164">
        <f t="shared" ref="AN7:AN14" si="10">AM7*AL7</f>
        <v>0</v>
      </c>
    </row>
    <row r="8" spans="1:40" x14ac:dyDescent="0.3">
      <c r="A8" s="25" t="s">
        <v>226</v>
      </c>
      <c r="B8" s="5"/>
      <c r="C8" s="582"/>
      <c r="D8" s="5">
        <v>0</v>
      </c>
      <c r="E8" s="9">
        <v>0</v>
      </c>
      <c r="F8" s="154">
        <v>0</v>
      </c>
      <c r="G8" s="160">
        <f>F8*E8</f>
        <v>0</v>
      </c>
      <c r="H8" s="14">
        <v>0</v>
      </c>
      <c r="I8" s="162">
        <v>0</v>
      </c>
      <c r="J8" s="164">
        <f t="shared" si="0"/>
        <v>0</v>
      </c>
      <c r="K8" s="128">
        <v>0</v>
      </c>
      <c r="L8" s="154">
        <v>0</v>
      </c>
      <c r="M8" s="164">
        <f t="shared" si="1"/>
        <v>0</v>
      </c>
      <c r="N8" s="14">
        <v>0</v>
      </c>
      <c r="O8" s="162">
        <v>0</v>
      </c>
      <c r="P8" s="164">
        <f t="shared" si="2"/>
        <v>0</v>
      </c>
      <c r="Q8" s="14">
        <v>0</v>
      </c>
      <c r="R8" s="162">
        <v>0</v>
      </c>
      <c r="S8" s="164">
        <f t="shared" si="3"/>
        <v>0</v>
      </c>
      <c r="T8" s="442">
        <v>0</v>
      </c>
      <c r="U8" s="162">
        <v>0</v>
      </c>
      <c r="V8" s="164">
        <f t="shared" si="4"/>
        <v>0</v>
      </c>
      <c r="W8" s="14">
        <v>0</v>
      </c>
      <c r="X8" s="162">
        <v>0</v>
      </c>
      <c r="Y8" s="164">
        <f t="shared" si="5"/>
        <v>0</v>
      </c>
      <c r="Z8" s="14">
        <v>0</v>
      </c>
      <c r="AA8" s="162">
        <v>0</v>
      </c>
      <c r="AB8" s="164">
        <f t="shared" si="6"/>
        <v>0</v>
      </c>
      <c r="AC8" s="14">
        <v>50</v>
      </c>
      <c r="AD8" s="162">
        <v>0</v>
      </c>
      <c r="AE8" s="164">
        <f t="shared" si="7"/>
        <v>0</v>
      </c>
      <c r="AF8" s="14">
        <v>0</v>
      </c>
      <c r="AG8" s="162">
        <v>0</v>
      </c>
      <c r="AH8" s="164">
        <f t="shared" si="8"/>
        <v>0</v>
      </c>
      <c r="AI8" s="14">
        <v>0</v>
      </c>
      <c r="AJ8" s="162">
        <v>0</v>
      </c>
      <c r="AK8" s="164">
        <f t="shared" si="9"/>
        <v>0</v>
      </c>
      <c r="AL8" s="14">
        <v>0</v>
      </c>
      <c r="AM8" s="162">
        <v>0</v>
      </c>
      <c r="AN8" s="164">
        <f t="shared" si="10"/>
        <v>0</v>
      </c>
    </row>
    <row r="9" spans="1:40" x14ac:dyDescent="0.3">
      <c r="A9" s="25" t="s">
        <v>227</v>
      </c>
      <c r="B9" s="5"/>
      <c r="C9" s="583"/>
      <c r="D9" s="5">
        <v>0</v>
      </c>
      <c r="E9" s="9">
        <v>0</v>
      </c>
      <c r="F9" s="154">
        <v>0</v>
      </c>
      <c r="G9" s="160">
        <f t="shared" ref="G9:G14" si="11">F9*E9</f>
        <v>0</v>
      </c>
      <c r="H9" s="14">
        <v>0</v>
      </c>
      <c r="I9" s="162">
        <v>0</v>
      </c>
      <c r="J9" s="164">
        <f t="shared" si="0"/>
        <v>0</v>
      </c>
      <c r="K9" s="128">
        <v>0</v>
      </c>
      <c r="L9" s="154">
        <v>0</v>
      </c>
      <c r="M9" s="164">
        <f t="shared" si="1"/>
        <v>0</v>
      </c>
      <c r="N9" s="14">
        <v>0</v>
      </c>
      <c r="O9" s="162">
        <v>0</v>
      </c>
      <c r="P9" s="164">
        <f t="shared" si="2"/>
        <v>0</v>
      </c>
      <c r="Q9" s="14">
        <v>0</v>
      </c>
      <c r="R9" s="162">
        <v>0</v>
      </c>
      <c r="S9" s="164">
        <f t="shared" si="3"/>
        <v>0</v>
      </c>
      <c r="T9" s="14">
        <v>0</v>
      </c>
      <c r="U9" s="162">
        <v>0</v>
      </c>
      <c r="V9" s="164">
        <f t="shared" si="4"/>
        <v>0</v>
      </c>
      <c r="W9" s="14">
        <v>0</v>
      </c>
      <c r="X9" s="162">
        <v>0</v>
      </c>
      <c r="Y9" s="164">
        <f t="shared" si="5"/>
        <v>0</v>
      </c>
      <c r="Z9" s="14">
        <v>0</v>
      </c>
      <c r="AA9" s="162">
        <v>0</v>
      </c>
      <c r="AB9" s="164">
        <f t="shared" si="6"/>
        <v>0</v>
      </c>
      <c r="AC9" s="14">
        <v>50</v>
      </c>
      <c r="AD9" s="162">
        <v>0</v>
      </c>
      <c r="AE9" s="164">
        <f t="shared" si="7"/>
        <v>0</v>
      </c>
      <c r="AF9" s="14">
        <v>0</v>
      </c>
      <c r="AG9" s="162">
        <v>0</v>
      </c>
      <c r="AH9" s="164">
        <f t="shared" si="8"/>
        <v>0</v>
      </c>
      <c r="AI9" s="14">
        <v>0</v>
      </c>
      <c r="AJ9" s="162">
        <v>0</v>
      </c>
      <c r="AK9" s="164">
        <f t="shared" si="9"/>
        <v>0</v>
      </c>
      <c r="AL9" s="14">
        <v>0</v>
      </c>
      <c r="AM9" s="162">
        <v>0</v>
      </c>
      <c r="AN9" s="164">
        <f t="shared" si="10"/>
        <v>0</v>
      </c>
    </row>
    <row r="10" spans="1:40" x14ac:dyDescent="0.3">
      <c r="A10" s="25" t="s">
        <v>228</v>
      </c>
      <c r="B10" s="5"/>
      <c r="C10" s="8">
        <v>440</v>
      </c>
      <c r="D10" s="5">
        <v>0</v>
      </c>
      <c r="E10" s="9">
        <v>0</v>
      </c>
      <c r="F10" s="154">
        <v>0</v>
      </c>
      <c r="G10" s="160">
        <f t="shared" si="11"/>
        <v>0</v>
      </c>
      <c r="H10" s="14">
        <v>0</v>
      </c>
      <c r="I10" s="162">
        <v>0</v>
      </c>
      <c r="J10" s="164">
        <f t="shared" si="0"/>
        <v>0</v>
      </c>
      <c r="K10" s="128">
        <v>0</v>
      </c>
      <c r="L10" s="154">
        <v>0</v>
      </c>
      <c r="M10" s="164">
        <f t="shared" si="1"/>
        <v>0</v>
      </c>
      <c r="N10" s="14">
        <v>0</v>
      </c>
      <c r="O10" s="162">
        <v>0</v>
      </c>
      <c r="P10" s="164">
        <f t="shared" si="2"/>
        <v>0</v>
      </c>
      <c r="Q10" s="14">
        <v>0</v>
      </c>
      <c r="R10" s="162">
        <v>0</v>
      </c>
      <c r="S10" s="164">
        <f t="shared" si="3"/>
        <v>0</v>
      </c>
      <c r="T10" s="14">
        <v>0</v>
      </c>
      <c r="U10" s="162">
        <v>0</v>
      </c>
      <c r="V10" s="164">
        <f t="shared" si="4"/>
        <v>0</v>
      </c>
      <c r="W10" s="14">
        <v>0</v>
      </c>
      <c r="X10" s="162">
        <v>0</v>
      </c>
      <c r="Y10" s="164">
        <f t="shared" si="5"/>
        <v>0</v>
      </c>
      <c r="Z10" s="14">
        <v>0</v>
      </c>
      <c r="AA10" s="162">
        <v>0</v>
      </c>
      <c r="AB10" s="164">
        <f t="shared" si="6"/>
        <v>0</v>
      </c>
      <c r="AC10" s="14">
        <v>0</v>
      </c>
      <c r="AD10" s="162">
        <v>0</v>
      </c>
      <c r="AE10" s="164">
        <f t="shared" si="7"/>
        <v>0</v>
      </c>
      <c r="AF10" s="14">
        <v>0</v>
      </c>
      <c r="AG10" s="162">
        <v>0</v>
      </c>
      <c r="AH10" s="164">
        <f t="shared" si="8"/>
        <v>0</v>
      </c>
      <c r="AI10" s="14">
        <v>0</v>
      </c>
      <c r="AJ10" s="162">
        <v>0</v>
      </c>
      <c r="AK10" s="164">
        <f t="shared" si="9"/>
        <v>0</v>
      </c>
      <c r="AL10" s="14">
        <v>0</v>
      </c>
      <c r="AM10" s="162">
        <v>0</v>
      </c>
      <c r="AN10" s="164">
        <f t="shared" si="10"/>
        <v>0</v>
      </c>
    </row>
    <row r="11" spans="1:40" x14ac:dyDescent="0.3">
      <c r="A11" s="25" t="s">
        <v>229</v>
      </c>
      <c r="B11" s="5"/>
      <c r="C11" s="8">
        <v>240</v>
      </c>
      <c r="D11" s="5">
        <v>0</v>
      </c>
      <c r="E11" s="9">
        <v>0</v>
      </c>
      <c r="F11" s="154">
        <v>0</v>
      </c>
      <c r="G11" s="160">
        <f t="shared" si="11"/>
        <v>0</v>
      </c>
      <c r="H11" s="14">
        <v>0</v>
      </c>
      <c r="I11" s="162">
        <v>0</v>
      </c>
      <c r="J11" s="166">
        <f t="shared" si="0"/>
        <v>0</v>
      </c>
      <c r="K11" s="128">
        <v>0</v>
      </c>
      <c r="L11" s="154">
        <v>0</v>
      </c>
      <c r="M11" s="166">
        <f t="shared" si="1"/>
        <v>0</v>
      </c>
      <c r="N11" s="14">
        <v>0</v>
      </c>
      <c r="O11" s="162">
        <v>0</v>
      </c>
      <c r="P11" s="166">
        <f t="shared" si="2"/>
        <v>0</v>
      </c>
      <c r="Q11" s="14">
        <v>0</v>
      </c>
      <c r="R11" s="162">
        <v>0</v>
      </c>
      <c r="S11" s="166">
        <f t="shared" si="3"/>
        <v>0</v>
      </c>
      <c r="T11" s="14">
        <v>0</v>
      </c>
      <c r="U11" s="162">
        <v>0</v>
      </c>
      <c r="V11" s="166">
        <f t="shared" si="4"/>
        <v>0</v>
      </c>
      <c r="W11" s="14">
        <v>0</v>
      </c>
      <c r="X11" s="162">
        <v>0</v>
      </c>
      <c r="Y11" s="166">
        <f t="shared" si="5"/>
        <v>0</v>
      </c>
      <c r="Z11" s="14">
        <v>0</v>
      </c>
      <c r="AA11" s="162">
        <v>0</v>
      </c>
      <c r="AB11" s="166">
        <f t="shared" si="6"/>
        <v>0</v>
      </c>
      <c r="AC11" s="14">
        <v>0</v>
      </c>
      <c r="AD11" s="162">
        <v>0</v>
      </c>
      <c r="AE11" s="166">
        <f t="shared" si="7"/>
        <v>0</v>
      </c>
      <c r="AF11" s="14">
        <v>0</v>
      </c>
      <c r="AG11" s="162">
        <v>0</v>
      </c>
      <c r="AH11" s="166">
        <f t="shared" si="8"/>
        <v>0</v>
      </c>
      <c r="AI11" s="14">
        <v>0</v>
      </c>
      <c r="AJ11" s="162">
        <v>0</v>
      </c>
      <c r="AK11" s="166">
        <f t="shared" si="9"/>
        <v>0</v>
      </c>
      <c r="AL11" s="14">
        <v>0</v>
      </c>
      <c r="AM11" s="162">
        <v>0</v>
      </c>
      <c r="AN11" s="166">
        <f t="shared" si="10"/>
        <v>0</v>
      </c>
    </row>
    <row r="12" spans="1:40" x14ac:dyDescent="0.3">
      <c r="A12" s="25" t="s">
        <v>244</v>
      </c>
      <c r="B12" s="5"/>
      <c r="C12" s="8">
        <v>0</v>
      </c>
      <c r="D12" s="5">
        <v>0</v>
      </c>
      <c r="E12" s="5">
        <v>0</v>
      </c>
      <c r="F12" s="154">
        <v>0</v>
      </c>
      <c r="G12" s="160">
        <f t="shared" si="11"/>
        <v>0</v>
      </c>
      <c r="H12" s="13">
        <v>0</v>
      </c>
      <c r="I12" s="162">
        <v>0</v>
      </c>
      <c r="J12" s="165">
        <f t="shared" si="0"/>
        <v>0</v>
      </c>
      <c r="K12" s="128">
        <v>0</v>
      </c>
      <c r="L12" s="154">
        <v>0</v>
      </c>
      <c r="M12" s="165">
        <f t="shared" si="1"/>
        <v>0</v>
      </c>
      <c r="N12" s="13">
        <v>0</v>
      </c>
      <c r="O12" s="162">
        <v>0</v>
      </c>
      <c r="P12" s="165">
        <f t="shared" si="2"/>
        <v>0</v>
      </c>
      <c r="Q12" s="13">
        <v>0</v>
      </c>
      <c r="R12" s="162">
        <v>0</v>
      </c>
      <c r="S12" s="165">
        <f t="shared" si="3"/>
        <v>0</v>
      </c>
      <c r="T12" s="13">
        <v>0</v>
      </c>
      <c r="U12" s="162">
        <v>0</v>
      </c>
      <c r="V12" s="165">
        <f t="shared" si="4"/>
        <v>0</v>
      </c>
      <c r="W12" s="13">
        <v>0</v>
      </c>
      <c r="X12" s="162">
        <v>0</v>
      </c>
      <c r="Y12" s="165">
        <f t="shared" si="5"/>
        <v>0</v>
      </c>
      <c r="Z12" s="13">
        <v>0</v>
      </c>
      <c r="AA12" s="162">
        <v>0</v>
      </c>
      <c r="AB12" s="165">
        <f t="shared" si="6"/>
        <v>0</v>
      </c>
      <c r="AC12" s="13">
        <v>25</v>
      </c>
      <c r="AD12" s="162">
        <v>0</v>
      </c>
      <c r="AE12" s="165">
        <f t="shared" si="7"/>
        <v>0</v>
      </c>
      <c r="AF12" s="13">
        <v>0</v>
      </c>
      <c r="AG12" s="162">
        <v>0</v>
      </c>
      <c r="AH12" s="165">
        <f t="shared" si="8"/>
        <v>0</v>
      </c>
      <c r="AI12" s="13">
        <v>0</v>
      </c>
      <c r="AJ12" s="162">
        <v>0</v>
      </c>
      <c r="AK12" s="165">
        <f t="shared" si="9"/>
        <v>0</v>
      </c>
      <c r="AL12" s="13">
        <v>0</v>
      </c>
      <c r="AM12" s="162">
        <v>0</v>
      </c>
      <c r="AN12" s="165">
        <f t="shared" si="10"/>
        <v>0</v>
      </c>
    </row>
    <row r="13" spans="1:40" x14ac:dyDescent="0.3">
      <c r="A13" s="25"/>
      <c r="B13" s="10"/>
      <c r="C13" s="67">
        <v>0</v>
      </c>
      <c r="D13" s="10">
        <v>0</v>
      </c>
      <c r="E13" s="10">
        <v>0</v>
      </c>
      <c r="F13" s="155">
        <v>0</v>
      </c>
      <c r="G13" s="160">
        <f t="shared" si="11"/>
        <v>0</v>
      </c>
      <c r="H13" s="13">
        <v>0</v>
      </c>
      <c r="I13" s="162">
        <v>0</v>
      </c>
      <c r="J13" s="165">
        <f t="shared" si="0"/>
        <v>0</v>
      </c>
      <c r="K13" s="25">
        <v>0</v>
      </c>
      <c r="L13" s="155">
        <v>0</v>
      </c>
      <c r="M13" s="165">
        <f t="shared" si="1"/>
        <v>0</v>
      </c>
      <c r="N13" s="13">
        <v>0</v>
      </c>
      <c r="O13" s="162">
        <v>0</v>
      </c>
      <c r="P13" s="165">
        <f t="shared" si="2"/>
        <v>0</v>
      </c>
      <c r="Q13" s="13">
        <v>0</v>
      </c>
      <c r="R13" s="162">
        <v>0</v>
      </c>
      <c r="S13" s="165">
        <f t="shared" si="3"/>
        <v>0</v>
      </c>
      <c r="T13" s="13">
        <v>0</v>
      </c>
      <c r="U13" s="162">
        <v>0</v>
      </c>
      <c r="V13" s="165">
        <f t="shared" si="4"/>
        <v>0</v>
      </c>
      <c r="W13" s="13">
        <v>0</v>
      </c>
      <c r="X13" s="162">
        <v>0</v>
      </c>
      <c r="Y13" s="165">
        <f t="shared" si="5"/>
        <v>0</v>
      </c>
      <c r="Z13" s="13">
        <v>0</v>
      </c>
      <c r="AA13" s="162">
        <v>0</v>
      </c>
      <c r="AB13" s="165">
        <f t="shared" si="6"/>
        <v>0</v>
      </c>
      <c r="AC13" s="13">
        <v>0</v>
      </c>
      <c r="AD13" s="162">
        <v>0</v>
      </c>
      <c r="AE13" s="165">
        <f t="shared" si="7"/>
        <v>0</v>
      </c>
      <c r="AF13" s="13">
        <v>0</v>
      </c>
      <c r="AG13" s="162">
        <v>0</v>
      </c>
      <c r="AH13" s="165">
        <f t="shared" si="8"/>
        <v>0</v>
      </c>
      <c r="AI13" s="13">
        <v>0</v>
      </c>
      <c r="AJ13" s="162">
        <v>0</v>
      </c>
      <c r="AK13" s="165">
        <f t="shared" si="9"/>
        <v>0</v>
      </c>
      <c r="AL13" s="13">
        <v>0</v>
      </c>
      <c r="AM13" s="162">
        <v>0</v>
      </c>
      <c r="AN13" s="165">
        <f t="shared" si="10"/>
        <v>0</v>
      </c>
    </row>
    <row r="14" spans="1:40" x14ac:dyDescent="0.3">
      <c r="A14" s="25"/>
      <c r="B14" s="10"/>
      <c r="C14" s="8">
        <v>0</v>
      </c>
      <c r="D14" s="10">
        <v>0</v>
      </c>
      <c r="E14" s="5">
        <v>0</v>
      </c>
      <c r="F14" s="155">
        <v>0</v>
      </c>
      <c r="G14" s="160">
        <f t="shared" si="11"/>
        <v>0</v>
      </c>
      <c r="H14" s="13">
        <v>0</v>
      </c>
      <c r="I14" s="162">
        <v>0</v>
      </c>
      <c r="J14" s="165">
        <f t="shared" si="0"/>
        <v>0</v>
      </c>
      <c r="K14" s="25">
        <v>0</v>
      </c>
      <c r="L14" s="155">
        <v>0</v>
      </c>
      <c r="M14" s="165">
        <f t="shared" si="1"/>
        <v>0</v>
      </c>
      <c r="N14" s="13">
        <v>0</v>
      </c>
      <c r="O14" s="163">
        <v>0</v>
      </c>
      <c r="P14" s="164">
        <f t="shared" si="2"/>
        <v>0</v>
      </c>
      <c r="Q14" s="13">
        <v>0</v>
      </c>
      <c r="R14" s="163">
        <v>0</v>
      </c>
      <c r="S14" s="165">
        <f t="shared" si="3"/>
        <v>0</v>
      </c>
      <c r="T14" s="13">
        <v>0</v>
      </c>
      <c r="U14" s="163">
        <v>0</v>
      </c>
      <c r="V14" s="165">
        <f t="shared" si="4"/>
        <v>0</v>
      </c>
      <c r="W14" s="13">
        <v>0</v>
      </c>
      <c r="X14" s="162">
        <v>0</v>
      </c>
      <c r="Y14" s="165">
        <f t="shared" si="5"/>
        <v>0</v>
      </c>
      <c r="Z14" s="13">
        <v>0</v>
      </c>
      <c r="AA14" s="162">
        <v>0</v>
      </c>
      <c r="AB14" s="165">
        <f t="shared" si="6"/>
        <v>0</v>
      </c>
      <c r="AC14" s="13">
        <v>0</v>
      </c>
      <c r="AD14" s="162">
        <v>0</v>
      </c>
      <c r="AE14" s="165">
        <f t="shared" si="7"/>
        <v>0</v>
      </c>
      <c r="AF14" s="13">
        <v>0</v>
      </c>
      <c r="AG14" s="162">
        <v>0</v>
      </c>
      <c r="AH14" s="165">
        <f t="shared" si="8"/>
        <v>0</v>
      </c>
      <c r="AI14" s="13">
        <v>0</v>
      </c>
      <c r="AJ14" s="162">
        <v>0</v>
      </c>
      <c r="AK14" s="165">
        <f t="shared" si="9"/>
        <v>0</v>
      </c>
      <c r="AL14" s="13">
        <v>0</v>
      </c>
      <c r="AM14" s="162">
        <v>0</v>
      </c>
      <c r="AN14" s="165">
        <f t="shared" si="10"/>
        <v>0</v>
      </c>
    </row>
    <row r="15" spans="1:40" ht="16.2" x14ac:dyDescent="0.45">
      <c r="A15" s="12"/>
      <c r="B15" s="12"/>
      <c r="C15" s="12"/>
      <c r="D15" s="12"/>
      <c r="E15" s="12"/>
      <c r="F15" s="137" t="s">
        <v>7</v>
      </c>
      <c r="G15" s="168">
        <f>SUM(G7:G14)</f>
        <v>0</v>
      </c>
      <c r="H15" s="12"/>
      <c r="I15" s="137" t="s">
        <v>7</v>
      </c>
      <c r="J15" s="168">
        <f>SUM(J7:J14)</f>
        <v>0</v>
      </c>
      <c r="K15" s="12"/>
      <c r="L15" s="137" t="s">
        <v>7</v>
      </c>
      <c r="M15" s="168">
        <f>SUM(M7:M14)</f>
        <v>0</v>
      </c>
      <c r="N15" s="12"/>
      <c r="O15" s="137" t="s">
        <v>7</v>
      </c>
      <c r="P15" s="168">
        <f>SUM(P7:P14)</f>
        <v>0</v>
      </c>
      <c r="Q15" s="12"/>
      <c r="R15" s="137" t="s">
        <v>7</v>
      </c>
      <c r="S15" s="168">
        <f>SUM(S7:S14)</f>
        <v>0</v>
      </c>
      <c r="T15" s="12"/>
      <c r="U15" s="137" t="s">
        <v>7</v>
      </c>
      <c r="V15" s="168">
        <f>SUM(V7:V14)</f>
        <v>0</v>
      </c>
      <c r="W15" s="12"/>
      <c r="X15" s="137" t="s">
        <v>7</v>
      </c>
      <c r="Y15" s="168">
        <f>SUM(Y7:Y14)</f>
        <v>0</v>
      </c>
      <c r="Z15" s="12"/>
      <c r="AA15" s="137" t="s">
        <v>7</v>
      </c>
      <c r="AB15" s="168">
        <f>SUM(AB7:AB14)</f>
        <v>0</v>
      </c>
      <c r="AC15" s="12"/>
      <c r="AD15" s="137" t="s">
        <v>7</v>
      </c>
      <c r="AE15" s="168">
        <f>SUM(AE7:AE14)</f>
        <v>0</v>
      </c>
      <c r="AF15" s="12"/>
      <c r="AG15" s="137" t="s">
        <v>7</v>
      </c>
      <c r="AH15" s="168">
        <f>SUM(AH7:AH14)</f>
        <v>0</v>
      </c>
      <c r="AI15" s="12"/>
      <c r="AJ15" s="137" t="s">
        <v>7</v>
      </c>
      <c r="AK15" s="168">
        <f>SUM(AK7:AK14)</f>
        <v>0</v>
      </c>
      <c r="AL15" s="12"/>
      <c r="AM15" s="137" t="s">
        <v>7</v>
      </c>
      <c r="AN15" s="168">
        <f>SUM(AN7:AN14)</f>
        <v>0</v>
      </c>
    </row>
  </sheetData>
  <mergeCells count="2">
    <mergeCell ref="D3:D4"/>
    <mergeCell ref="C7:C9"/>
  </mergeCells>
  <hyperlinks>
    <hyperlink ref="A2" location="Menu!A1" display="Menu" xr:uid="{00000000-0004-0000-0B00-000000000000}"/>
  </hyperlink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4"/>
  <dimension ref="A1:AN21"/>
  <sheetViews>
    <sheetView workbookViewId="0">
      <pane xSplit="1" topLeftCell="AC1" activePane="topRight" state="frozen"/>
      <selection pane="topRight" activeCell="AC15" sqref="AC15"/>
    </sheetView>
  </sheetViews>
  <sheetFormatPr defaultColWidth="9.109375" defaultRowHeight="14.4" x14ac:dyDescent="0.3"/>
  <cols>
    <col min="1" max="1" width="44.44140625" style="1" bestFit="1" customWidth="1"/>
    <col min="2" max="2" width="9.109375" style="1"/>
    <col min="3" max="3" width="18.77734375" style="1" bestFit="1" customWidth="1"/>
    <col min="4" max="4" width="16.6640625" style="1" bestFit="1" customWidth="1"/>
    <col min="5" max="5" width="14.109375" style="1" bestFit="1" customWidth="1"/>
    <col min="6" max="6" width="10.44140625" style="1" bestFit="1" customWidth="1"/>
    <col min="7" max="7" width="13.33203125" style="1" bestFit="1" customWidth="1"/>
    <col min="8" max="8" width="14.109375" style="1" bestFit="1" customWidth="1"/>
    <col min="9" max="9" width="9.109375" style="1"/>
    <col min="10" max="10" width="10.88671875" style="1" bestFit="1" customWidth="1"/>
    <col min="11" max="11" width="14.109375" style="1" bestFit="1" customWidth="1"/>
    <col min="12" max="12" width="10.6640625" style="1" bestFit="1" customWidth="1"/>
    <col min="13" max="13" width="12.109375" style="1" bestFit="1" customWidth="1"/>
    <col min="14" max="14" width="14.109375" style="1" bestFit="1" customWidth="1"/>
    <col min="15" max="15" width="9.109375" style="1"/>
    <col min="16" max="16" width="10.88671875" style="1" bestFit="1" customWidth="1"/>
    <col min="17" max="17" width="14.109375" style="1" bestFit="1" customWidth="1"/>
    <col min="18" max="18" width="9.109375" style="1"/>
    <col min="19" max="19" width="10.88671875" style="1" bestFit="1" customWidth="1"/>
    <col min="20" max="20" width="14.109375" style="1" bestFit="1" customWidth="1"/>
    <col min="21" max="21" width="9" style="1" bestFit="1" customWidth="1"/>
    <col min="22" max="22" width="10.88671875" style="1" bestFit="1" customWidth="1"/>
    <col min="23" max="23" width="14.109375" style="1" bestFit="1" customWidth="1"/>
    <col min="24" max="24" width="9.5546875" style="1" bestFit="1" customWidth="1"/>
    <col min="25" max="25" width="10.88671875" style="1" bestFit="1" customWidth="1"/>
    <col min="26" max="26" width="14.109375" style="1" bestFit="1" customWidth="1"/>
    <col min="27" max="27" width="9.5546875" style="1" bestFit="1" customWidth="1"/>
    <col min="28" max="28" width="10.88671875" style="1" bestFit="1" customWidth="1"/>
    <col min="29" max="29" width="14.109375" style="1" bestFit="1" customWidth="1"/>
    <col min="30" max="30" width="9.5546875" style="1" bestFit="1" customWidth="1"/>
    <col min="31" max="31" width="10.88671875" style="1" bestFit="1" customWidth="1"/>
    <col min="32" max="32" width="14.109375" style="1" bestFit="1" customWidth="1"/>
    <col min="33" max="33" width="9.5546875" style="1" bestFit="1" customWidth="1"/>
    <col min="34" max="34" width="10.88671875" style="1" bestFit="1" customWidth="1"/>
    <col min="35" max="35" width="14.109375" style="1" bestFit="1" customWidth="1"/>
    <col min="36" max="36" width="9.5546875" style="1" bestFit="1" customWidth="1"/>
    <col min="37" max="37" width="10.88671875" style="1" bestFit="1" customWidth="1"/>
    <col min="38" max="38" width="14.109375" style="1" bestFit="1" customWidth="1"/>
    <col min="39" max="39" width="9.5546875" style="1" bestFit="1" customWidth="1"/>
    <col min="40" max="40" width="10.88671875" style="1" bestFit="1" customWidth="1"/>
    <col min="41" max="16384" width="9.109375" style="1"/>
  </cols>
  <sheetData>
    <row r="1" spans="1:40" ht="15" thickBot="1" x14ac:dyDescent="0.35"/>
    <row r="2" spans="1:40" ht="29.4" thickBot="1" x14ac:dyDescent="0.35">
      <c r="A2" s="187" t="s">
        <v>96</v>
      </c>
    </row>
    <row r="3" spans="1:40" ht="29.4" thickBot="1" x14ac:dyDescent="0.35">
      <c r="A3" s="446" t="s">
        <v>153</v>
      </c>
      <c r="B3" s="179"/>
      <c r="C3" s="20"/>
      <c r="D3" s="588"/>
      <c r="E3" s="20"/>
      <c r="F3" s="20"/>
      <c r="G3" s="20"/>
    </row>
    <row r="4" spans="1:40" ht="15" customHeight="1" x14ac:dyDescent="0.3">
      <c r="A4" s="178"/>
      <c r="B4" s="177"/>
      <c r="C4" s="180"/>
      <c r="D4" s="588"/>
      <c r="E4" s="20"/>
      <c r="F4" s="20"/>
      <c r="G4" s="20"/>
    </row>
    <row r="5" spans="1:40" x14ac:dyDescent="0.3">
      <c r="A5" s="132"/>
      <c r="B5" s="132"/>
      <c r="C5" s="21"/>
      <c r="D5" s="21"/>
      <c r="E5" s="4">
        <v>45292</v>
      </c>
      <c r="F5" s="4">
        <v>45292</v>
      </c>
      <c r="G5" s="29">
        <v>45292</v>
      </c>
      <c r="H5" s="11">
        <v>45323</v>
      </c>
      <c r="I5" s="11">
        <v>45323</v>
      </c>
      <c r="J5" s="11">
        <v>45323</v>
      </c>
      <c r="K5" s="11">
        <v>45352</v>
      </c>
      <c r="L5" s="11">
        <v>45352</v>
      </c>
      <c r="M5" s="11">
        <v>45352</v>
      </c>
      <c r="N5" s="11">
        <v>45383</v>
      </c>
      <c r="O5" s="11">
        <v>45383</v>
      </c>
      <c r="P5" s="11">
        <v>45383</v>
      </c>
      <c r="Q5" s="11">
        <v>45413</v>
      </c>
      <c r="R5" s="11">
        <v>45413</v>
      </c>
      <c r="S5" s="11">
        <v>45413</v>
      </c>
      <c r="T5" s="11">
        <v>45444</v>
      </c>
      <c r="U5" s="11">
        <v>45444</v>
      </c>
      <c r="V5" s="11">
        <v>45444</v>
      </c>
      <c r="W5" s="11">
        <v>45474</v>
      </c>
      <c r="X5" s="11">
        <v>45474</v>
      </c>
      <c r="Y5" s="11">
        <v>45474</v>
      </c>
      <c r="Z5" s="11">
        <v>45505</v>
      </c>
      <c r="AA5" s="11">
        <v>45505</v>
      </c>
      <c r="AB5" s="11">
        <v>45505</v>
      </c>
      <c r="AC5" s="11">
        <v>45536</v>
      </c>
      <c r="AD5" s="11">
        <v>45536</v>
      </c>
      <c r="AE5" s="11">
        <v>45536</v>
      </c>
      <c r="AF5" s="11">
        <v>45566</v>
      </c>
      <c r="AG5" s="11">
        <v>45566</v>
      </c>
      <c r="AH5" s="11">
        <v>45566</v>
      </c>
      <c r="AI5" s="11">
        <v>45597</v>
      </c>
      <c r="AJ5" s="11">
        <v>45597</v>
      </c>
      <c r="AK5" s="11">
        <v>45597</v>
      </c>
      <c r="AL5" s="11">
        <v>45627</v>
      </c>
      <c r="AM5" s="11">
        <v>45627</v>
      </c>
      <c r="AN5" s="11">
        <v>45627</v>
      </c>
    </row>
    <row r="6" spans="1:40" x14ac:dyDescent="0.3">
      <c r="A6" s="5" t="s">
        <v>0</v>
      </c>
      <c r="B6" s="5" t="s">
        <v>1</v>
      </c>
      <c r="C6" s="5" t="s">
        <v>2</v>
      </c>
      <c r="D6" s="5" t="s">
        <v>8</v>
      </c>
      <c r="E6" s="5" t="s">
        <v>4</v>
      </c>
      <c r="F6" s="5" t="s">
        <v>5</v>
      </c>
      <c r="G6" s="5" t="s">
        <v>6</v>
      </c>
      <c r="H6" s="13" t="s">
        <v>4</v>
      </c>
      <c r="I6" s="13" t="s">
        <v>5</v>
      </c>
      <c r="J6" s="26" t="s">
        <v>6</v>
      </c>
      <c r="K6" s="13" t="s">
        <v>4</v>
      </c>
      <c r="L6" s="13" t="s">
        <v>98</v>
      </c>
      <c r="M6" s="26" t="s">
        <v>6</v>
      </c>
      <c r="N6" s="13" t="s">
        <v>4</v>
      </c>
      <c r="O6" s="13" t="s">
        <v>5</v>
      </c>
      <c r="P6" s="26" t="s">
        <v>6</v>
      </c>
      <c r="Q6" s="13" t="s">
        <v>4</v>
      </c>
      <c r="R6" s="13" t="s">
        <v>5</v>
      </c>
      <c r="S6" s="26" t="s">
        <v>6</v>
      </c>
      <c r="T6" s="13" t="s">
        <v>4</v>
      </c>
      <c r="U6" s="13" t="s">
        <v>5</v>
      </c>
      <c r="V6" s="26" t="s">
        <v>6</v>
      </c>
      <c r="W6" s="13" t="s">
        <v>4</v>
      </c>
      <c r="X6" s="13" t="s">
        <v>5</v>
      </c>
      <c r="Y6" s="26" t="s">
        <v>6</v>
      </c>
      <c r="Z6" s="13" t="s">
        <v>4</v>
      </c>
      <c r="AA6" s="13" t="s">
        <v>5</v>
      </c>
      <c r="AB6" s="26" t="s">
        <v>6</v>
      </c>
      <c r="AC6" s="13" t="s">
        <v>4</v>
      </c>
      <c r="AD6" s="13" t="s">
        <v>5</v>
      </c>
      <c r="AE6" s="26" t="s">
        <v>6</v>
      </c>
      <c r="AF6" s="13" t="s">
        <v>4</v>
      </c>
      <c r="AG6" s="13" t="s">
        <v>5</v>
      </c>
      <c r="AH6" s="26" t="s">
        <v>6</v>
      </c>
      <c r="AI6" s="13" t="s">
        <v>4</v>
      </c>
      <c r="AJ6" s="13" t="s">
        <v>5</v>
      </c>
      <c r="AK6" s="26" t="s">
        <v>6</v>
      </c>
      <c r="AL6" s="13" t="s">
        <v>4</v>
      </c>
      <c r="AM6" s="13" t="s">
        <v>5</v>
      </c>
      <c r="AN6" s="26" t="s">
        <v>6</v>
      </c>
    </row>
    <row r="7" spans="1:40" x14ac:dyDescent="0.3">
      <c r="A7" s="25" t="s">
        <v>225</v>
      </c>
      <c r="B7" s="5"/>
      <c r="C7" s="581">
        <v>6000</v>
      </c>
      <c r="D7" s="5">
        <v>0</v>
      </c>
      <c r="E7" s="9">
        <v>0</v>
      </c>
      <c r="F7" s="167">
        <v>5</v>
      </c>
      <c r="G7" s="181">
        <f>F7*E7</f>
        <v>0</v>
      </c>
      <c r="H7" s="14">
        <v>0</v>
      </c>
      <c r="I7" s="162">
        <v>0</v>
      </c>
      <c r="J7" s="164">
        <f t="shared" ref="J7:J14" si="0">I7*H7</f>
        <v>0</v>
      </c>
      <c r="K7" s="14">
        <v>0</v>
      </c>
      <c r="L7" s="154">
        <v>0</v>
      </c>
      <c r="M7" s="164">
        <f t="shared" ref="M7:M14" si="1">L7*K7</f>
        <v>0</v>
      </c>
      <c r="N7" s="14">
        <v>0</v>
      </c>
      <c r="O7" s="162">
        <v>0</v>
      </c>
      <c r="P7" s="164">
        <f t="shared" ref="P7:P14" si="2">O7*N7</f>
        <v>0</v>
      </c>
      <c r="Q7" s="14">
        <v>0</v>
      </c>
      <c r="R7" s="162">
        <v>0</v>
      </c>
      <c r="S7" s="164">
        <f t="shared" ref="S7:S14" si="3">R7*Q7</f>
        <v>0</v>
      </c>
      <c r="T7" s="14">
        <v>0</v>
      </c>
      <c r="U7" s="162">
        <v>0</v>
      </c>
      <c r="V7" s="164">
        <f t="shared" ref="V7:V14" si="4">U7*T7</f>
        <v>0</v>
      </c>
      <c r="W7" s="14">
        <v>0</v>
      </c>
      <c r="X7" s="162">
        <v>0</v>
      </c>
      <c r="Y7" s="164">
        <f t="shared" ref="Y7:Y14" si="5">X7*W7</f>
        <v>0</v>
      </c>
      <c r="Z7" s="14">
        <v>0</v>
      </c>
      <c r="AA7" s="162">
        <v>0</v>
      </c>
      <c r="AB7" s="164">
        <f t="shared" ref="AB7:AB14" si="6">AA7*Z7</f>
        <v>0</v>
      </c>
      <c r="AC7" s="14">
        <v>50</v>
      </c>
      <c r="AD7" s="162">
        <v>0</v>
      </c>
      <c r="AE7" s="164">
        <f t="shared" ref="AE7:AE14" si="7">AD7*AC7</f>
        <v>0</v>
      </c>
      <c r="AF7" s="14">
        <v>0</v>
      </c>
      <c r="AG7" s="162">
        <v>0</v>
      </c>
      <c r="AH7" s="164">
        <f t="shared" ref="AH7:AH14" si="8">AG7*AF7</f>
        <v>0</v>
      </c>
      <c r="AI7" s="14">
        <v>0</v>
      </c>
      <c r="AJ7" s="162">
        <v>0</v>
      </c>
      <c r="AK7" s="164">
        <f t="shared" ref="AK7:AK14" si="9">AJ7*AI7</f>
        <v>0</v>
      </c>
      <c r="AL7" s="14">
        <v>0</v>
      </c>
      <c r="AM7" s="162">
        <v>15</v>
      </c>
      <c r="AN7" s="164">
        <f t="shared" ref="AN7:AN14" si="10">AM7*AL7</f>
        <v>0</v>
      </c>
    </row>
    <row r="8" spans="1:40" x14ac:dyDescent="0.3">
      <c r="A8" s="5" t="s">
        <v>172</v>
      </c>
      <c r="B8" s="5"/>
      <c r="C8" s="582"/>
      <c r="D8" s="5">
        <v>0</v>
      </c>
      <c r="E8" s="9">
        <v>0</v>
      </c>
      <c r="F8" s="167">
        <v>0</v>
      </c>
      <c r="G8" s="181">
        <f t="shared" ref="G8:G14" si="11">F8*E8</f>
        <v>0</v>
      </c>
      <c r="H8" s="14">
        <v>0</v>
      </c>
      <c r="I8" s="162">
        <v>0</v>
      </c>
      <c r="J8" s="164">
        <f t="shared" si="0"/>
        <v>0</v>
      </c>
      <c r="K8" s="14">
        <v>0</v>
      </c>
      <c r="L8" s="184">
        <v>0</v>
      </c>
      <c r="M8" s="164">
        <f t="shared" si="1"/>
        <v>0</v>
      </c>
      <c r="N8" s="14">
        <v>0</v>
      </c>
      <c r="O8" s="162">
        <v>0</v>
      </c>
      <c r="P8" s="164">
        <f t="shared" si="2"/>
        <v>0</v>
      </c>
      <c r="Q8" s="14">
        <v>0</v>
      </c>
      <c r="R8" s="162">
        <v>0</v>
      </c>
      <c r="S8" s="164">
        <f t="shared" si="3"/>
        <v>0</v>
      </c>
      <c r="T8" s="14">
        <v>0</v>
      </c>
      <c r="U8" s="162">
        <v>0</v>
      </c>
      <c r="V8" s="164">
        <f t="shared" si="4"/>
        <v>0</v>
      </c>
      <c r="W8" s="14">
        <v>0</v>
      </c>
      <c r="X8" s="162">
        <v>0</v>
      </c>
      <c r="Y8" s="164">
        <f t="shared" si="5"/>
        <v>0</v>
      </c>
      <c r="Z8" s="14">
        <v>0</v>
      </c>
      <c r="AA8" s="162">
        <v>0</v>
      </c>
      <c r="AB8" s="164">
        <f t="shared" si="6"/>
        <v>0</v>
      </c>
      <c r="AC8" s="14">
        <v>25</v>
      </c>
      <c r="AD8" s="162">
        <v>0</v>
      </c>
      <c r="AE8" s="164">
        <f t="shared" si="7"/>
        <v>0</v>
      </c>
      <c r="AF8" s="14">
        <v>0</v>
      </c>
      <c r="AG8" s="162">
        <v>0</v>
      </c>
      <c r="AH8" s="164">
        <f t="shared" si="8"/>
        <v>0</v>
      </c>
      <c r="AI8" s="14">
        <v>0</v>
      </c>
      <c r="AJ8" s="162">
        <v>0</v>
      </c>
      <c r="AK8" s="164">
        <f t="shared" si="9"/>
        <v>0</v>
      </c>
      <c r="AL8" s="14">
        <v>0</v>
      </c>
      <c r="AM8" s="162">
        <v>0</v>
      </c>
      <c r="AN8" s="164">
        <f t="shared" si="10"/>
        <v>0</v>
      </c>
    </row>
    <row r="9" spans="1:40" x14ac:dyDescent="0.3">
      <c r="A9" s="5" t="s">
        <v>230</v>
      </c>
      <c r="B9" s="5"/>
      <c r="C9" s="583"/>
      <c r="D9" s="5">
        <v>0</v>
      </c>
      <c r="E9" s="9">
        <v>0</v>
      </c>
      <c r="F9" s="167">
        <v>0</v>
      </c>
      <c r="G9" s="181">
        <f t="shared" si="11"/>
        <v>0</v>
      </c>
      <c r="H9" s="14">
        <v>0</v>
      </c>
      <c r="I9" s="162">
        <v>0</v>
      </c>
      <c r="J9" s="164">
        <f t="shared" si="0"/>
        <v>0</v>
      </c>
      <c r="K9" s="14">
        <v>0</v>
      </c>
      <c r="L9" s="184">
        <v>0</v>
      </c>
      <c r="M9" s="164">
        <f t="shared" si="1"/>
        <v>0</v>
      </c>
      <c r="N9" s="14">
        <v>0</v>
      </c>
      <c r="O9" s="162">
        <v>0</v>
      </c>
      <c r="P9" s="164">
        <f t="shared" si="2"/>
        <v>0</v>
      </c>
      <c r="Q9" s="14">
        <v>0</v>
      </c>
      <c r="R9" s="162">
        <v>0</v>
      </c>
      <c r="S9" s="164">
        <f t="shared" si="3"/>
        <v>0</v>
      </c>
      <c r="T9" s="14">
        <v>0</v>
      </c>
      <c r="U9" s="162">
        <v>0</v>
      </c>
      <c r="V9" s="164">
        <f t="shared" si="4"/>
        <v>0</v>
      </c>
      <c r="W9" s="14">
        <v>0</v>
      </c>
      <c r="X9" s="162">
        <v>0</v>
      </c>
      <c r="Y9" s="164">
        <f t="shared" si="5"/>
        <v>0</v>
      </c>
      <c r="Z9" s="14">
        <v>0</v>
      </c>
      <c r="AA9" s="162">
        <v>0</v>
      </c>
      <c r="AB9" s="164">
        <f t="shared" si="6"/>
        <v>0</v>
      </c>
      <c r="AC9" s="14">
        <v>25</v>
      </c>
      <c r="AD9" s="162">
        <v>0</v>
      </c>
      <c r="AE9" s="164">
        <f t="shared" si="7"/>
        <v>0</v>
      </c>
      <c r="AF9" s="14">
        <v>0</v>
      </c>
      <c r="AG9" s="162">
        <v>0</v>
      </c>
      <c r="AH9" s="164">
        <f t="shared" si="8"/>
        <v>0</v>
      </c>
      <c r="AI9" s="14">
        <v>0</v>
      </c>
      <c r="AJ9" s="162">
        <v>0</v>
      </c>
      <c r="AK9" s="164">
        <f t="shared" si="9"/>
        <v>0</v>
      </c>
      <c r="AL9" s="14">
        <v>0</v>
      </c>
      <c r="AM9" s="162">
        <v>0</v>
      </c>
      <c r="AN9" s="164">
        <f t="shared" si="10"/>
        <v>0</v>
      </c>
    </row>
    <row r="10" spans="1:40" x14ac:dyDescent="0.3">
      <c r="A10" s="5" t="s">
        <v>231</v>
      </c>
      <c r="B10" s="5"/>
      <c r="C10" s="8">
        <v>900</v>
      </c>
      <c r="D10" s="5">
        <v>0</v>
      </c>
      <c r="E10" s="9">
        <v>0</v>
      </c>
      <c r="F10" s="167">
        <v>0</v>
      </c>
      <c r="G10" s="181">
        <f t="shared" si="11"/>
        <v>0</v>
      </c>
      <c r="H10" s="14">
        <v>0</v>
      </c>
      <c r="I10" s="162">
        <v>0</v>
      </c>
      <c r="J10" s="164">
        <f t="shared" si="0"/>
        <v>0</v>
      </c>
      <c r="K10" s="14">
        <v>0</v>
      </c>
      <c r="L10" s="184">
        <v>0</v>
      </c>
      <c r="M10" s="164">
        <f t="shared" si="1"/>
        <v>0</v>
      </c>
      <c r="N10" s="14">
        <v>0</v>
      </c>
      <c r="O10" s="162">
        <v>0</v>
      </c>
      <c r="P10" s="164">
        <f t="shared" si="2"/>
        <v>0</v>
      </c>
      <c r="Q10" s="14">
        <v>0</v>
      </c>
      <c r="R10" s="162">
        <v>0</v>
      </c>
      <c r="S10" s="164">
        <f t="shared" si="3"/>
        <v>0</v>
      </c>
      <c r="T10" s="14">
        <v>0</v>
      </c>
      <c r="U10" s="162">
        <v>0</v>
      </c>
      <c r="V10" s="164">
        <f t="shared" si="4"/>
        <v>0</v>
      </c>
      <c r="W10" s="14">
        <v>0</v>
      </c>
      <c r="X10" s="162">
        <v>0</v>
      </c>
      <c r="Y10" s="164">
        <f t="shared" si="5"/>
        <v>0</v>
      </c>
      <c r="Z10" s="14">
        <v>0</v>
      </c>
      <c r="AA10" s="162">
        <v>0</v>
      </c>
      <c r="AB10" s="164">
        <f t="shared" si="6"/>
        <v>0</v>
      </c>
      <c r="AC10" s="14">
        <v>25</v>
      </c>
      <c r="AD10" s="162">
        <v>0</v>
      </c>
      <c r="AE10" s="164">
        <f t="shared" si="7"/>
        <v>0</v>
      </c>
      <c r="AF10" s="14">
        <v>0</v>
      </c>
      <c r="AG10" s="162">
        <v>0</v>
      </c>
      <c r="AH10" s="164">
        <f t="shared" si="8"/>
        <v>0</v>
      </c>
      <c r="AI10" s="14">
        <v>0</v>
      </c>
      <c r="AJ10" s="162">
        <v>0</v>
      </c>
      <c r="AK10" s="164">
        <f t="shared" si="9"/>
        <v>0</v>
      </c>
      <c r="AL10" s="14">
        <v>0</v>
      </c>
      <c r="AM10" s="162">
        <v>0</v>
      </c>
      <c r="AN10" s="164">
        <f t="shared" si="10"/>
        <v>0</v>
      </c>
    </row>
    <row r="11" spans="1:40" x14ac:dyDescent="0.3">
      <c r="A11" s="5" t="s">
        <v>232</v>
      </c>
      <c r="B11" s="5"/>
      <c r="C11" s="8">
        <v>900</v>
      </c>
      <c r="D11" s="5">
        <v>0</v>
      </c>
      <c r="E11" s="9">
        <v>0</v>
      </c>
      <c r="F11" s="167">
        <v>0</v>
      </c>
      <c r="G11" s="181">
        <f t="shared" si="11"/>
        <v>0</v>
      </c>
      <c r="H11" s="14">
        <v>0</v>
      </c>
      <c r="I11" s="162">
        <v>0</v>
      </c>
      <c r="J11" s="166">
        <f t="shared" si="0"/>
        <v>0</v>
      </c>
      <c r="K11" s="14">
        <v>0</v>
      </c>
      <c r="L11" s="184">
        <v>0</v>
      </c>
      <c r="M11" s="166">
        <f t="shared" si="1"/>
        <v>0</v>
      </c>
      <c r="N11" s="14">
        <v>0</v>
      </c>
      <c r="O11" s="162">
        <v>0</v>
      </c>
      <c r="P11" s="166">
        <f t="shared" si="2"/>
        <v>0</v>
      </c>
      <c r="Q11" s="14">
        <v>0</v>
      </c>
      <c r="R11" s="162">
        <v>0</v>
      </c>
      <c r="S11" s="166">
        <f t="shared" si="3"/>
        <v>0</v>
      </c>
      <c r="T11" s="14">
        <v>0</v>
      </c>
      <c r="U11" s="162">
        <v>0</v>
      </c>
      <c r="V11" s="166">
        <f t="shared" si="4"/>
        <v>0</v>
      </c>
      <c r="W11" s="14">
        <v>0</v>
      </c>
      <c r="X11" s="162">
        <v>0</v>
      </c>
      <c r="Y11" s="166">
        <f t="shared" si="5"/>
        <v>0</v>
      </c>
      <c r="Z11" s="14">
        <v>0</v>
      </c>
      <c r="AA11" s="162">
        <v>0</v>
      </c>
      <c r="AB11" s="166">
        <f t="shared" si="6"/>
        <v>0</v>
      </c>
      <c r="AC11" s="14">
        <v>25</v>
      </c>
      <c r="AD11" s="162">
        <v>0</v>
      </c>
      <c r="AE11" s="166">
        <f t="shared" si="7"/>
        <v>0</v>
      </c>
      <c r="AF11" s="14">
        <v>0</v>
      </c>
      <c r="AG11" s="162">
        <v>0</v>
      </c>
      <c r="AH11" s="166">
        <f t="shared" si="8"/>
        <v>0</v>
      </c>
      <c r="AI11" s="14">
        <v>0</v>
      </c>
      <c r="AJ11" s="162">
        <v>0</v>
      </c>
      <c r="AK11" s="166">
        <f t="shared" si="9"/>
        <v>0</v>
      </c>
      <c r="AL11" s="14">
        <v>0</v>
      </c>
      <c r="AM11" s="162">
        <v>0</v>
      </c>
      <c r="AN11" s="166">
        <f t="shared" si="10"/>
        <v>0</v>
      </c>
    </row>
    <row r="12" spans="1:40" x14ac:dyDescent="0.3">
      <c r="A12" s="5" t="s">
        <v>233</v>
      </c>
      <c r="B12" s="5"/>
      <c r="C12" s="8">
        <v>1500</v>
      </c>
      <c r="D12" s="5">
        <v>0</v>
      </c>
      <c r="E12" s="5">
        <v>0</v>
      </c>
      <c r="F12" s="167">
        <v>0</v>
      </c>
      <c r="G12" s="181">
        <f t="shared" si="11"/>
        <v>0</v>
      </c>
      <c r="H12" s="13">
        <v>0</v>
      </c>
      <c r="I12" s="162">
        <v>0</v>
      </c>
      <c r="J12" s="165">
        <f t="shared" si="0"/>
        <v>0</v>
      </c>
      <c r="K12" s="13">
        <v>0</v>
      </c>
      <c r="L12" s="184">
        <v>0</v>
      </c>
      <c r="M12" s="165">
        <f t="shared" si="1"/>
        <v>0</v>
      </c>
      <c r="N12" s="13">
        <v>0</v>
      </c>
      <c r="O12" s="162">
        <v>0</v>
      </c>
      <c r="P12" s="165">
        <f t="shared" si="2"/>
        <v>0</v>
      </c>
      <c r="Q12" s="13">
        <v>0</v>
      </c>
      <c r="R12" s="162">
        <v>0</v>
      </c>
      <c r="S12" s="165">
        <f t="shared" si="3"/>
        <v>0</v>
      </c>
      <c r="T12" s="13">
        <v>0</v>
      </c>
      <c r="U12" s="162">
        <v>0</v>
      </c>
      <c r="V12" s="165">
        <f t="shared" si="4"/>
        <v>0</v>
      </c>
      <c r="W12" s="13">
        <v>0</v>
      </c>
      <c r="X12" s="162">
        <v>0</v>
      </c>
      <c r="Y12" s="165">
        <f t="shared" si="5"/>
        <v>0</v>
      </c>
      <c r="Z12" s="13">
        <v>0</v>
      </c>
      <c r="AA12" s="162">
        <v>0</v>
      </c>
      <c r="AB12" s="165">
        <f t="shared" si="6"/>
        <v>0</v>
      </c>
      <c r="AC12" s="13">
        <v>25</v>
      </c>
      <c r="AD12" s="162">
        <v>0</v>
      </c>
      <c r="AE12" s="165">
        <f t="shared" si="7"/>
        <v>0</v>
      </c>
      <c r="AF12" s="13">
        <v>0</v>
      </c>
      <c r="AG12" s="162">
        <v>0</v>
      </c>
      <c r="AH12" s="165">
        <f t="shared" si="8"/>
        <v>0</v>
      </c>
      <c r="AI12" s="13">
        <v>0</v>
      </c>
      <c r="AJ12" s="162">
        <v>0</v>
      </c>
      <c r="AK12" s="165">
        <f t="shared" si="9"/>
        <v>0</v>
      </c>
      <c r="AL12" s="13">
        <v>0</v>
      </c>
      <c r="AM12" s="162">
        <v>0</v>
      </c>
      <c r="AN12" s="165">
        <f t="shared" si="10"/>
        <v>0</v>
      </c>
    </row>
    <row r="13" spans="1:40" x14ac:dyDescent="0.3">
      <c r="A13" s="10" t="s">
        <v>176</v>
      </c>
      <c r="B13" s="10"/>
      <c r="C13" s="10">
        <v>750</v>
      </c>
      <c r="D13" s="10">
        <v>0</v>
      </c>
      <c r="E13" s="10">
        <v>0</v>
      </c>
      <c r="F13" s="173">
        <v>0</v>
      </c>
      <c r="G13" s="181">
        <f t="shared" si="11"/>
        <v>0</v>
      </c>
      <c r="H13" s="13">
        <v>0</v>
      </c>
      <c r="I13" s="162">
        <v>0</v>
      </c>
      <c r="J13" s="165">
        <f t="shared" si="0"/>
        <v>0</v>
      </c>
      <c r="K13" s="13">
        <v>0</v>
      </c>
      <c r="L13" s="184">
        <v>0</v>
      </c>
      <c r="M13" s="165">
        <f t="shared" si="1"/>
        <v>0</v>
      </c>
      <c r="N13" s="13">
        <v>0</v>
      </c>
      <c r="O13" s="162">
        <v>0</v>
      </c>
      <c r="P13" s="165">
        <f t="shared" si="2"/>
        <v>0</v>
      </c>
      <c r="Q13" s="13">
        <v>0</v>
      </c>
      <c r="R13" s="162">
        <v>0</v>
      </c>
      <c r="S13" s="165">
        <f t="shared" si="3"/>
        <v>0</v>
      </c>
      <c r="T13" s="13">
        <v>0</v>
      </c>
      <c r="U13" s="162">
        <v>0</v>
      </c>
      <c r="V13" s="165">
        <f t="shared" si="4"/>
        <v>0</v>
      </c>
      <c r="W13" s="13">
        <v>0</v>
      </c>
      <c r="X13" s="162">
        <v>0</v>
      </c>
      <c r="Y13" s="165">
        <f t="shared" si="5"/>
        <v>0</v>
      </c>
      <c r="Z13" s="13">
        <v>0</v>
      </c>
      <c r="AA13" s="162">
        <v>0</v>
      </c>
      <c r="AB13" s="165">
        <f t="shared" si="6"/>
        <v>0</v>
      </c>
      <c r="AC13" s="13">
        <v>0</v>
      </c>
      <c r="AD13" s="162">
        <v>0</v>
      </c>
      <c r="AE13" s="165">
        <f t="shared" si="7"/>
        <v>0</v>
      </c>
      <c r="AF13" s="13">
        <v>0</v>
      </c>
      <c r="AG13" s="162">
        <v>0</v>
      </c>
      <c r="AH13" s="165">
        <f t="shared" si="8"/>
        <v>0</v>
      </c>
      <c r="AI13" s="13">
        <v>0</v>
      </c>
      <c r="AJ13" s="162">
        <v>0</v>
      </c>
      <c r="AK13" s="165">
        <f t="shared" si="9"/>
        <v>0</v>
      </c>
      <c r="AL13" s="13">
        <v>0</v>
      </c>
      <c r="AM13" s="162">
        <v>0</v>
      </c>
      <c r="AN13" s="165">
        <f t="shared" si="10"/>
        <v>0</v>
      </c>
    </row>
    <row r="14" spans="1:40" x14ac:dyDescent="0.3">
      <c r="A14" s="10" t="s">
        <v>244</v>
      </c>
      <c r="B14" s="10"/>
      <c r="C14" s="18"/>
      <c r="D14" s="18">
        <v>0</v>
      </c>
      <c r="E14" s="18">
        <v>0</v>
      </c>
      <c r="F14" s="173">
        <v>0</v>
      </c>
      <c r="G14" s="181">
        <f t="shared" si="11"/>
        <v>0</v>
      </c>
      <c r="H14" s="13">
        <v>0</v>
      </c>
      <c r="I14" s="162">
        <v>0</v>
      </c>
      <c r="J14" s="165">
        <f t="shared" si="0"/>
        <v>0</v>
      </c>
      <c r="K14" s="25">
        <v>0</v>
      </c>
      <c r="L14" s="155">
        <v>0</v>
      </c>
      <c r="M14" s="164">
        <f t="shared" si="1"/>
        <v>0</v>
      </c>
      <c r="N14" s="13">
        <v>0</v>
      </c>
      <c r="O14" s="162">
        <v>0</v>
      </c>
      <c r="P14" s="165">
        <f t="shared" si="2"/>
        <v>0</v>
      </c>
      <c r="Q14" s="13">
        <v>0</v>
      </c>
      <c r="R14" s="162">
        <v>0</v>
      </c>
      <c r="S14" s="165">
        <f t="shared" si="3"/>
        <v>0</v>
      </c>
      <c r="T14" s="13">
        <v>0</v>
      </c>
      <c r="U14" s="162">
        <v>0</v>
      </c>
      <c r="V14" s="165">
        <f t="shared" si="4"/>
        <v>0</v>
      </c>
      <c r="W14" s="13">
        <v>0</v>
      </c>
      <c r="X14" s="162">
        <v>0</v>
      </c>
      <c r="Y14" s="165">
        <f t="shared" si="5"/>
        <v>0</v>
      </c>
      <c r="Z14" s="13">
        <v>0</v>
      </c>
      <c r="AA14" s="162">
        <v>0</v>
      </c>
      <c r="AB14" s="165">
        <f t="shared" si="6"/>
        <v>0</v>
      </c>
      <c r="AC14" s="13">
        <v>50</v>
      </c>
      <c r="AD14" s="163">
        <v>0</v>
      </c>
      <c r="AE14" s="165">
        <f t="shared" si="7"/>
        <v>0</v>
      </c>
      <c r="AF14" s="13">
        <v>0</v>
      </c>
      <c r="AG14" s="162">
        <v>0</v>
      </c>
      <c r="AH14" s="165">
        <f t="shared" si="8"/>
        <v>0</v>
      </c>
      <c r="AI14" s="13">
        <v>0</v>
      </c>
      <c r="AJ14" s="162">
        <v>0</v>
      </c>
      <c r="AK14" s="165">
        <f t="shared" si="9"/>
        <v>0</v>
      </c>
      <c r="AL14" s="13">
        <v>0</v>
      </c>
      <c r="AM14" s="162">
        <v>0</v>
      </c>
      <c r="AN14" s="165">
        <f t="shared" si="10"/>
        <v>0</v>
      </c>
    </row>
    <row r="15" spans="1:40" ht="16.2" x14ac:dyDescent="0.45">
      <c r="A15" s="5"/>
      <c r="B15" s="5"/>
      <c r="C15" s="17"/>
      <c r="D15" s="16"/>
      <c r="E15" s="16"/>
      <c r="F15" s="138" t="s">
        <v>7</v>
      </c>
      <c r="G15" s="182">
        <f>SUM(G7:G14)</f>
        <v>0</v>
      </c>
      <c r="H15" s="12"/>
      <c r="I15" s="137" t="s">
        <v>7</v>
      </c>
      <c r="J15" s="168">
        <f>SUM(J7:J14)</f>
        <v>0</v>
      </c>
      <c r="K15" s="12"/>
      <c r="L15" s="137" t="s">
        <v>7</v>
      </c>
      <c r="M15" s="168">
        <f>SUM(M7:M14)</f>
        <v>0</v>
      </c>
      <c r="N15" s="12"/>
      <c r="O15" s="137" t="s">
        <v>7</v>
      </c>
      <c r="P15" s="168">
        <f>SUM(P7:P14)</f>
        <v>0</v>
      </c>
      <c r="Q15" s="12"/>
      <c r="R15" s="137" t="s">
        <v>7</v>
      </c>
      <c r="S15" s="168">
        <f>SUM(S7:S14)</f>
        <v>0</v>
      </c>
      <c r="T15" s="12"/>
      <c r="U15" s="137" t="s">
        <v>7</v>
      </c>
      <c r="V15" s="168">
        <f>SUM(V7:V14)</f>
        <v>0</v>
      </c>
      <c r="W15" s="12"/>
      <c r="X15" s="137" t="s">
        <v>7</v>
      </c>
      <c r="Y15" s="168">
        <f>SUM(Y7:Y14)</f>
        <v>0</v>
      </c>
      <c r="Z15" s="12"/>
      <c r="AA15" s="137" t="s">
        <v>7</v>
      </c>
      <c r="AB15" s="168">
        <f>SUM(AB7:AB14)</f>
        <v>0</v>
      </c>
      <c r="AC15" s="12"/>
      <c r="AD15" s="137" t="s">
        <v>7</v>
      </c>
      <c r="AE15" s="168">
        <f>SUM(AE7:AE14)</f>
        <v>0</v>
      </c>
      <c r="AF15" s="12"/>
      <c r="AG15" s="137" t="s">
        <v>7</v>
      </c>
      <c r="AH15" s="168">
        <f>SUM(AH7:AH14)</f>
        <v>0</v>
      </c>
      <c r="AI15" s="12"/>
      <c r="AJ15" s="137" t="s">
        <v>7</v>
      </c>
      <c r="AK15" s="168">
        <f>SUM(AK7:AK14)</f>
        <v>0</v>
      </c>
      <c r="AL15" s="12"/>
      <c r="AM15" s="137" t="s">
        <v>7</v>
      </c>
      <c r="AN15" s="168">
        <f>SUM(AN7:AN14)</f>
        <v>0</v>
      </c>
    </row>
    <row r="21" spans="15:15" x14ac:dyDescent="0.3">
      <c r="O21" s="1" t="s">
        <v>152</v>
      </c>
    </row>
  </sheetData>
  <mergeCells count="2">
    <mergeCell ref="D3:D4"/>
    <mergeCell ref="C7:C9"/>
  </mergeCells>
  <hyperlinks>
    <hyperlink ref="A2" location="Menu!A1" display="Menu" xr:uid="{00000000-0004-0000-0C00-000000000000}"/>
  </hyperlink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5"/>
  <dimension ref="A1:AN16"/>
  <sheetViews>
    <sheetView workbookViewId="0">
      <pane xSplit="1" topLeftCell="S1" activePane="topRight" state="frozen"/>
      <selection pane="topRight" activeCell="A2" sqref="A2"/>
    </sheetView>
  </sheetViews>
  <sheetFormatPr defaultColWidth="9.109375" defaultRowHeight="14.4" x14ac:dyDescent="0.3"/>
  <cols>
    <col min="1" max="1" width="34.33203125" style="1" bestFit="1" customWidth="1"/>
    <col min="2" max="2" width="7" style="1" bestFit="1" customWidth="1"/>
    <col min="3" max="3" width="18.77734375" style="1" bestFit="1" customWidth="1"/>
    <col min="4" max="4" width="16.6640625" style="1" bestFit="1" customWidth="1"/>
    <col min="5" max="5" width="14.109375" style="1" bestFit="1" customWidth="1"/>
    <col min="6" max="6" width="10.44140625" style="1" bestFit="1" customWidth="1"/>
    <col min="7" max="7" width="13.33203125" style="1" bestFit="1" customWidth="1"/>
    <col min="8" max="8" width="14.109375" style="1" bestFit="1" customWidth="1"/>
    <col min="9" max="9" width="9.109375" style="1"/>
    <col min="10" max="10" width="10.88671875" style="1" bestFit="1" customWidth="1"/>
    <col min="11" max="11" width="14.109375" style="1" bestFit="1" customWidth="1"/>
    <col min="12" max="12" width="10.6640625" style="1" bestFit="1" customWidth="1"/>
    <col min="13" max="13" width="11.6640625" style="1" bestFit="1" customWidth="1"/>
    <col min="14" max="14" width="14.109375" style="1" bestFit="1" customWidth="1"/>
    <col min="15" max="15" width="9.109375" style="1"/>
    <col min="16" max="16" width="11.6640625" style="1" bestFit="1" customWidth="1"/>
    <col min="17" max="17" width="14.109375" style="1" bestFit="1" customWidth="1"/>
    <col min="18" max="18" width="9.109375" style="1"/>
    <col min="19" max="19" width="10.88671875" style="1" bestFit="1" customWidth="1"/>
    <col min="20" max="20" width="14.109375" style="1" bestFit="1" customWidth="1"/>
    <col min="21" max="21" width="9.109375" style="1"/>
    <col min="22" max="22" width="10.88671875" style="1" bestFit="1" customWidth="1"/>
    <col min="23" max="23" width="14.109375" style="1" bestFit="1" customWidth="1"/>
    <col min="24" max="24" width="9.5546875" style="1" bestFit="1" customWidth="1"/>
    <col min="25" max="25" width="10.88671875" style="1" bestFit="1" customWidth="1"/>
    <col min="26" max="26" width="14.109375" style="1" bestFit="1" customWidth="1"/>
    <col min="27" max="27" width="9.5546875" style="1" bestFit="1" customWidth="1"/>
    <col min="28" max="28" width="10.88671875" style="1" bestFit="1" customWidth="1"/>
    <col min="29" max="29" width="14.109375" style="1" bestFit="1" customWidth="1"/>
    <col min="30" max="30" width="9.5546875" style="1" bestFit="1" customWidth="1"/>
    <col min="31" max="31" width="11.6640625" style="1" bestFit="1" customWidth="1"/>
    <col min="32" max="32" width="14.109375" style="1" bestFit="1" customWidth="1"/>
    <col min="33" max="33" width="9.5546875" style="1" bestFit="1" customWidth="1"/>
    <col min="34" max="34" width="10.88671875" style="1" bestFit="1" customWidth="1"/>
    <col min="35" max="35" width="14.109375" style="1" bestFit="1" customWidth="1"/>
    <col min="36" max="36" width="9.5546875" style="1" bestFit="1" customWidth="1"/>
    <col min="37" max="37" width="10.88671875" style="1" bestFit="1" customWidth="1"/>
    <col min="38" max="38" width="14.109375" style="1" bestFit="1" customWidth="1"/>
    <col min="39" max="39" width="9.5546875" style="1" bestFit="1" customWidth="1"/>
    <col min="40" max="40" width="10.88671875" style="1" bestFit="1" customWidth="1"/>
    <col min="41" max="16384" width="9.109375" style="1"/>
  </cols>
  <sheetData>
    <row r="1" spans="1:40" ht="15" thickBot="1" x14ac:dyDescent="0.35"/>
    <row r="2" spans="1:40" ht="29.4" thickBot="1" x14ac:dyDescent="0.35">
      <c r="A2" s="186" t="s">
        <v>96</v>
      </c>
    </row>
    <row r="3" spans="1:40" ht="29.4" thickBot="1" x14ac:dyDescent="0.35">
      <c r="A3" s="446" t="s">
        <v>154</v>
      </c>
      <c r="B3" s="183"/>
      <c r="C3" s="20"/>
      <c r="D3" s="588"/>
      <c r="E3" s="20"/>
      <c r="F3" s="20"/>
      <c r="G3" s="20"/>
    </row>
    <row r="4" spans="1:40" ht="15" customHeight="1" x14ac:dyDescent="0.3">
      <c r="A4" s="124"/>
      <c r="B4" s="124"/>
      <c r="C4" s="20"/>
      <c r="D4" s="589"/>
      <c r="E4" s="20"/>
      <c r="F4" s="20"/>
      <c r="G4" s="20"/>
    </row>
    <row r="5" spans="1:40" ht="15" customHeight="1" x14ac:dyDescent="0.3">
      <c r="A5" s="21"/>
      <c r="B5" s="21"/>
      <c r="C5" s="21"/>
      <c r="D5" s="21"/>
      <c r="E5" s="4">
        <v>45292</v>
      </c>
      <c r="F5" s="4">
        <v>45292</v>
      </c>
      <c r="G5" s="29">
        <v>45292</v>
      </c>
      <c r="H5" s="11">
        <v>45323</v>
      </c>
      <c r="I5" s="11">
        <v>45323</v>
      </c>
      <c r="J5" s="11">
        <v>45323</v>
      </c>
      <c r="K5" s="11">
        <v>45352</v>
      </c>
      <c r="L5" s="11">
        <v>45352</v>
      </c>
      <c r="M5" s="11">
        <v>45352</v>
      </c>
      <c r="N5" s="11">
        <v>45383</v>
      </c>
      <c r="O5" s="11">
        <v>45383</v>
      </c>
      <c r="P5" s="11">
        <v>45383</v>
      </c>
      <c r="Q5" s="11">
        <v>45413</v>
      </c>
      <c r="R5" s="11">
        <v>45413</v>
      </c>
      <c r="S5" s="11">
        <v>45413</v>
      </c>
      <c r="T5" s="11">
        <v>45444</v>
      </c>
      <c r="U5" s="11">
        <v>45444</v>
      </c>
      <c r="V5" s="11">
        <v>45444</v>
      </c>
      <c r="W5" s="11">
        <v>45474</v>
      </c>
      <c r="X5" s="11">
        <v>45474</v>
      </c>
      <c r="Y5" s="11">
        <v>45474</v>
      </c>
      <c r="Z5" s="11">
        <v>45505</v>
      </c>
      <c r="AA5" s="11">
        <v>45505</v>
      </c>
      <c r="AB5" s="11">
        <v>45505</v>
      </c>
      <c r="AC5" s="11">
        <v>45536</v>
      </c>
      <c r="AD5" s="11">
        <v>45536</v>
      </c>
      <c r="AE5" s="11">
        <v>45536</v>
      </c>
      <c r="AF5" s="11">
        <v>45566</v>
      </c>
      <c r="AG5" s="11">
        <v>45566</v>
      </c>
      <c r="AH5" s="11">
        <v>45566</v>
      </c>
      <c r="AI5" s="11">
        <v>45597</v>
      </c>
      <c r="AJ5" s="11">
        <v>45597</v>
      </c>
      <c r="AK5" s="11">
        <v>45597</v>
      </c>
      <c r="AL5" s="11">
        <v>45627</v>
      </c>
      <c r="AM5" s="11">
        <v>45627</v>
      </c>
      <c r="AN5" s="11">
        <v>45627</v>
      </c>
    </row>
    <row r="6" spans="1:40" x14ac:dyDescent="0.3">
      <c r="A6" s="5" t="s">
        <v>0</v>
      </c>
      <c r="B6" s="5" t="s">
        <v>1</v>
      </c>
      <c r="C6" s="5" t="s">
        <v>2</v>
      </c>
      <c r="D6" s="5" t="s">
        <v>8</v>
      </c>
      <c r="E6" s="5" t="s">
        <v>4</v>
      </c>
      <c r="F6" s="5" t="s">
        <v>5</v>
      </c>
      <c r="G6" s="5" t="s">
        <v>6</v>
      </c>
      <c r="H6" s="13" t="s">
        <v>4</v>
      </c>
      <c r="I6" s="13" t="s">
        <v>5</v>
      </c>
      <c r="J6" s="26" t="s">
        <v>6</v>
      </c>
      <c r="K6" s="13" t="s">
        <v>4</v>
      </c>
      <c r="L6" s="13" t="s">
        <v>98</v>
      </c>
      <c r="M6" s="26" t="s">
        <v>6</v>
      </c>
      <c r="N6" s="13" t="s">
        <v>4</v>
      </c>
      <c r="O6" s="13" t="s">
        <v>5</v>
      </c>
      <c r="P6" s="26" t="s">
        <v>6</v>
      </c>
      <c r="Q6" s="13" t="s">
        <v>4</v>
      </c>
      <c r="R6" s="13" t="s">
        <v>5</v>
      </c>
      <c r="S6" s="26" t="s">
        <v>6</v>
      </c>
      <c r="T6" s="13" t="s">
        <v>4</v>
      </c>
      <c r="U6" s="13" t="s">
        <v>5</v>
      </c>
      <c r="V6" s="26" t="s">
        <v>6</v>
      </c>
      <c r="W6" s="13" t="s">
        <v>4</v>
      </c>
      <c r="X6" s="13" t="s">
        <v>5</v>
      </c>
      <c r="Y6" s="26" t="s">
        <v>6</v>
      </c>
      <c r="Z6" s="13" t="s">
        <v>4</v>
      </c>
      <c r="AA6" s="13" t="s">
        <v>5</v>
      </c>
      <c r="AB6" s="26" t="s">
        <v>6</v>
      </c>
      <c r="AC6" s="13" t="s">
        <v>4</v>
      </c>
      <c r="AD6" s="13" t="s">
        <v>5</v>
      </c>
      <c r="AE6" s="26" t="s">
        <v>6</v>
      </c>
      <c r="AF6" s="13" t="s">
        <v>4</v>
      </c>
      <c r="AG6" s="13" t="s">
        <v>5</v>
      </c>
      <c r="AH6" s="26" t="s">
        <v>6</v>
      </c>
      <c r="AI6" s="13" t="s">
        <v>4</v>
      </c>
      <c r="AJ6" s="13" t="s">
        <v>5</v>
      </c>
      <c r="AK6" s="26" t="s">
        <v>6</v>
      </c>
      <c r="AL6" s="13" t="s">
        <v>4</v>
      </c>
      <c r="AM6" s="13" t="s">
        <v>5</v>
      </c>
      <c r="AN6" s="26" t="s">
        <v>6</v>
      </c>
    </row>
    <row r="7" spans="1:40" x14ac:dyDescent="0.3">
      <c r="A7" s="25" t="s">
        <v>225</v>
      </c>
      <c r="B7" s="5"/>
      <c r="C7" s="581">
        <v>8400</v>
      </c>
      <c r="D7" s="5">
        <v>0</v>
      </c>
      <c r="E7" s="9">
        <v>0</v>
      </c>
      <c r="F7" s="167">
        <v>0</v>
      </c>
      <c r="G7" s="181">
        <f>F7*E7</f>
        <v>0</v>
      </c>
      <c r="H7" s="14">
        <v>0</v>
      </c>
      <c r="I7" s="162">
        <v>0</v>
      </c>
      <c r="J7" s="164">
        <f t="shared" ref="J7:J15" si="0">I7*H7</f>
        <v>0</v>
      </c>
      <c r="K7" s="128">
        <v>0</v>
      </c>
      <c r="L7" s="154">
        <v>0</v>
      </c>
      <c r="M7" s="164">
        <f t="shared" ref="M7:M15" si="1">L7*K7</f>
        <v>0</v>
      </c>
      <c r="N7" s="14">
        <v>0</v>
      </c>
      <c r="O7" s="162">
        <v>0</v>
      </c>
      <c r="P7" s="164">
        <f t="shared" ref="P7:P15" si="2">O7*N7</f>
        <v>0</v>
      </c>
      <c r="Q7" s="14">
        <v>0</v>
      </c>
      <c r="R7" s="162">
        <v>0</v>
      </c>
      <c r="S7" s="164">
        <f t="shared" ref="S7:S15" si="3">R7*Q7</f>
        <v>0</v>
      </c>
      <c r="T7" s="14">
        <v>0</v>
      </c>
      <c r="U7" s="162">
        <v>0</v>
      </c>
      <c r="V7" s="164">
        <f t="shared" ref="V7:V15" si="4">U7*T7</f>
        <v>0</v>
      </c>
      <c r="W7" s="14">
        <v>0</v>
      </c>
      <c r="X7" s="162">
        <v>0</v>
      </c>
      <c r="Y7" s="164">
        <f t="shared" ref="Y7:Y15" si="5">X7*W7</f>
        <v>0</v>
      </c>
      <c r="Z7" s="14">
        <v>0</v>
      </c>
      <c r="AA7" s="162">
        <v>0</v>
      </c>
      <c r="AB7" s="164">
        <f t="shared" ref="AB7:AB15" si="6">AA7*Z7</f>
        <v>0</v>
      </c>
      <c r="AC7" s="14">
        <v>200</v>
      </c>
      <c r="AD7" s="162">
        <v>200</v>
      </c>
      <c r="AE7" s="164">
        <f t="shared" ref="AE7:AE15" si="7">AD7*AC7</f>
        <v>40000</v>
      </c>
      <c r="AF7" s="14">
        <v>0</v>
      </c>
      <c r="AG7" s="162">
        <v>0</v>
      </c>
      <c r="AH7" s="164">
        <f t="shared" ref="AH7:AH15" si="8">AG7*AF7</f>
        <v>0</v>
      </c>
      <c r="AI7" s="14">
        <v>0</v>
      </c>
      <c r="AJ7" s="162">
        <v>0</v>
      </c>
      <c r="AK7" s="164">
        <f t="shared" ref="AK7:AK15" si="9">AJ7*AI7</f>
        <v>0</v>
      </c>
      <c r="AL7" s="14">
        <v>0</v>
      </c>
      <c r="AM7" s="162">
        <v>0</v>
      </c>
      <c r="AN7" s="164">
        <f t="shared" ref="AN7:AN15" si="10">AM7*AL7</f>
        <v>0</v>
      </c>
    </row>
    <row r="8" spans="1:40" x14ac:dyDescent="0.3">
      <c r="A8" s="25" t="s">
        <v>226</v>
      </c>
      <c r="B8" s="5"/>
      <c r="C8" s="582"/>
      <c r="D8" s="5">
        <v>0</v>
      </c>
      <c r="E8" s="9">
        <v>0</v>
      </c>
      <c r="F8" s="167">
        <v>0</v>
      </c>
      <c r="G8" s="181">
        <f t="shared" ref="G8:G15" si="11">F8*E8</f>
        <v>0</v>
      </c>
      <c r="H8" s="14">
        <v>0</v>
      </c>
      <c r="I8" s="162">
        <v>0</v>
      </c>
      <c r="J8" s="164">
        <f t="shared" si="0"/>
        <v>0</v>
      </c>
      <c r="K8" s="128">
        <v>0</v>
      </c>
      <c r="L8" s="154">
        <v>0</v>
      </c>
      <c r="M8" s="164">
        <f t="shared" si="1"/>
        <v>0</v>
      </c>
      <c r="N8" s="14">
        <v>0</v>
      </c>
      <c r="O8" s="162">
        <v>0</v>
      </c>
      <c r="P8" s="164">
        <f t="shared" si="2"/>
        <v>0</v>
      </c>
      <c r="Q8" s="14">
        <v>0</v>
      </c>
      <c r="R8" s="162">
        <v>0</v>
      </c>
      <c r="S8" s="164">
        <f t="shared" si="3"/>
        <v>0</v>
      </c>
      <c r="T8" s="14">
        <v>0</v>
      </c>
      <c r="U8" s="162">
        <v>0</v>
      </c>
      <c r="V8" s="164">
        <f t="shared" si="4"/>
        <v>0</v>
      </c>
      <c r="W8" s="14">
        <v>0</v>
      </c>
      <c r="X8" s="162">
        <v>0</v>
      </c>
      <c r="Y8" s="164">
        <f t="shared" si="5"/>
        <v>0</v>
      </c>
      <c r="Z8" s="14">
        <v>0</v>
      </c>
      <c r="AA8" s="162">
        <v>0</v>
      </c>
      <c r="AB8" s="164">
        <f t="shared" si="6"/>
        <v>0</v>
      </c>
      <c r="AC8" s="14">
        <v>150</v>
      </c>
      <c r="AD8" s="162">
        <v>0</v>
      </c>
      <c r="AE8" s="164">
        <f t="shared" si="7"/>
        <v>0</v>
      </c>
      <c r="AF8" s="14">
        <v>0</v>
      </c>
      <c r="AG8" s="162">
        <v>0</v>
      </c>
      <c r="AH8" s="164">
        <f t="shared" si="8"/>
        <v>0</v>
      </c>
      <c r="AI8" s="14">
        <v>0</v>
      </c>
      <c r="AJ8" s="162">
        <v>0</v>
      </c>
      <c r="AK8" s="164">
        <f t="shared" si="9"/>
        <v>0</v>
      </c>
      <c r="AL8" s="14">
        <v>0</v>
      </c>
      <c r="AM8" s="162">
        <v>0</v>
      </c>
      <c r="AN8" s="164">
        <f t="shared" si="10"/>
        <v>0</v>
      </c>
    </row>
    <row r="9" spans="1:40" x14ac:dyDescent="0.3">
      <c r="A9" s="25" t="s">
        <v>234</v>
      </c>
      <c r="B9" s="5"/>
      <c r="C9" s="583"/>
      <c r="D9" s="5">
        <v>0</v>
      </c>
      <c r="E9" s="9">
        <v>0</v>
      </c>
      <c r="F9" s="167">
        <v>0</v>
      </c>
      <c r="G9" s="181">
        <f t="shared" si="11"/>
        <v>0</v>
      </c>
      <c r="H9" s="14">
        <v>0</v>
      </c>
      <c r="I9" s="162">
        <v>0</v>
      </c>
      <c r="J9" s="164">
        <f t="shared" si="0"/>
        <v>0</v>
      </c>
      <c r="K9" s="128">
        <v>0</v>
      </c>
      <c r="L9" s="154">
        <v>0</v>
      </c>
      <c r="M9" s="164">
        <f t="shared" si="1"/>
        <v>0</v>
      </c>
      <c r="N9" s="14">
        <v>0</v>
      </c>
      <c r="O9" s="162">
        <v>0</v>
      </c>
      <c r="P9" s="164">
        <f t="shared" si="2"/>
        <v>0</v>
      </c>
      <c r="Q9" s="14">
        <v>0</v>
      </c>
      <c r="R9" s="162">
        <v>0</v>
      </c>
      <c r="S9" s="164">
        <f t="shared" si="3"/>
        <v>0</v>
      </c>
      <c r="T9" s="14">
        <v>0</v>
      </c>
      <c r="U9" s="162">
        <v>0</v>
      </c>
      <c r="V9" s="164">
        <f t="shared" si="4"/>
        <v>0</v>
      </c>
      <c r="W9" s="14">
        <v>0</v>
      </c>
      <c r="X9" s="162">
        <v>0</v>
      </c>
      <c r="Y9" s="164">
        <f t="shared" si="5"/>
        <v>0</v>
      </c>
      <c r="Z9" s="14">
        <v>0</v>
      </c>
      <c r="AA9" s="162">
        <v>0</v>
      </c>
      <c r="AB9" s="164">
        <f t="shared" si="6"/>
        <v>0</v>
      </c>
      <c r="AC9" s="14">
        <v>150</v>
      </c>
      <c r="AD9" s="162">
        <v>0</v>
      </c>
      <c r="AE9" s="164">
        <f t="shared" si="7"/>
        <v>0</v>
      </c>
      <c r="AF9" s="14">
        <v>0</v>
      </c>
      <c r="AG9" s="162">
        <v>0</v>
      </c>
      <c r="AH9" s="164">
        <f t="shared" si="8"/>
        <v>0</v>
      </c>
      <c r="AI9" s="14">
        <v>0</v>
      </c>
      <c r="AJ9" s="162">
        <v>0</v>
      </c>
      <c r="AK9" s="164">
        <f t="shared" si="9"/>
        <v>0</v>
      </c>
      <c r="AL9" s="14">
        <v>0</v>
      </c>
      <c r="AM9" s="162">
        <v>0</v>
      </c>
      <c r="AN9" s="164">
        <f t="shared" si="10"/>
        <v>0</v>
      </c>
    </row>
    <row r="10" spans="1:40" x14ac:dyDescent="0.3">
      <c r="A10" s="25" t="s">
        <v>229</v>
      </c>
      <c r="B10" s="5"/>
      <c r="C10" s="8">
        <v>850</v>
      </c>
      <c r="D10" s="5">
        <v>0</v>
      </c>
      <c r="E10" s="9">
        <v>0</v>
      </c>
      <c r="F10" s="167">
        <v>0</v>
      </c>
      <c r="G10" s="181">
        <f t="shared" si="11"/>
        <v>0</v>
      </c>
      <c r="H10" s="14">
        <v>0</v>
      </c>
      <c r="I10" s="162">
        <v>0</v>
      </c>
      <c r="J10" s="164">
        <f t="shared" si="0"/>
        <v>0</v>
      </c>
      <c r="K10" s="128">
        <v>0</v>
      </c>
      <c r="L10" s="154">
        <v>0</v>
      </c>
      <c r="M10" s="164">
        <f t="shared" si="1"/>
        <v>0</v>
      </c>
      <c r="N10" s="14">
        <v>0</v>
      </c>
      <c r="O10" s="162">
        <v>0</v>
      </c>
      <c r="P10" s="164">
        <f t="shared" si="2"/>
        <v>0</v>
      </c>
      <c r="Q10" s="14">
        <v>0</v>
      </c>
      <c r="R10" s="162">
        <v>0</v>
      </c>
      <c r="S10" s="164">
        <f t="shared" si="3"/>
        <v>0</v>
      </c>
      <c r="T10" s="14">
        <v>0</v>
      </c>
      <c r="U10" s="162">
        <v>0</v>
      </c>
      <c r="V10" s="164">
        <f t="shared" si="4"/>
        <v>0</v>
      </c>
      <c r="W10" s="14">
        <v>0</v>
      </c>
      <c r="X10" s="162">
        <v>0</v>
      </c>
      <c r="Y10" s="164">
        <f t="shared" si="5"/>
        <v>0</v>
      </c>
      <c r="Z10" s="14">
        <v>0</v>
      </c>
      <c r="AA10" s="162">
        <v>0</v>
      </c>
      <c r="AB10" s="164">
        <f t="shared" si="6"/>
        <v>0</v>
      </c>
      <c r="AC10" s="14">
        <v>0</v>
      </c>
      <c r="AD10" s="162">
        <v>0</v>
      </c>
      <c r="AE10" s="164">
        <f t="shared" si="7"/>
        <v>0</v>
      </c>
      <c r="AF10" s="14">
        <v>0</v>
      </c>
      <c r="AG10" s="162">
        <v>0</v>
      </c>
      <c r="AH10" s="164">
        <f t="shared" si="8"/>
        <v>0</v>
      </c>
      <c r="AI10" s="14">
        <v>0</v>
      </c>
      <c r="AJ10" s="162">
        <v>0</v>
      </c>
      <c r="AK10" s="164">
        <f t="shared" si="9"/>
        <v>0</v>
      </c>
      <c r="AL10" s="14">
        <v>0</v>
      </c>
      <c r="AM10" s="162">
        <v>0</v>
      </c>
      <c r="AN10" s="164">
        <f t="shared" si="10"/>
        <v>0</v>
      </c>
    </row>
    <row r="11" spans="1:40" x14ac:dyDescent="0.3">
      <c r="A11" s="25" t="s">
        <v>228</v>
      </c>
      <c r="B11" s="5"/>
      <c r="C11" s="8">
        <v>850</v>
      </c>
      <c r="D11" s="5">
        <v>0</v>
      </c>
      <c r="E11" s="9">
        <v>0</v>
      </c>
      <c r="F11" s="167">
        <v>0</v>
      </c>
      <c r="G11" s="181">
        <f t="shared" si="11"/>
        <v>0</v>
      </c>
      <c r="H11" s="14">
        <v>0</v>
      </c>
      <c r="I11" s="162">
        <v>0</v>
      </c>
      <c r="J11" s="166">
        <f t="shared" si="0"/>
        <v>0</v>
      </c>
      <c r="K11" s="128">
        <v>0</v>
      </c>
      <c r="L11" s="154">
        <v>0</v>
      </c>
      <c r="M11" s="166">
        <f t="shared" si="1"/>
        <v>0</v>
      </c>
      <c r="N11" s="14">
        <v>0</v>
      </c>
      <c r="O11" s="162">
        <v>0</v>
      </c>
      <c r="P11" s="166">
        <v>0</v>
      </c>
      <c r="Q11" s="14">
        <v>0</v>
      </c>
      <c r="R11" s="162">
        <v>0</v>
      </c>
      <c r="S11" s="166">
        <f t="shared" si="3"/>
        <v>0</v>
      </c>
      <c r="T11" s="14">
        <v>0</v>
      </c>
      <c r="U11" s="162">
        <v>0</v>
      </c>
      <c r="V11" s="166">
        <f t="shared" si="4"/>
        <v>0</v>
      </c>
      <c r="W11" s="14">
        <v>0</v>
      </c>
      <c r="X11" s="162">
        <v>0</v>
      </c>
      <c r="Y11" s="166">
        <f t="shared" si="5"/>
        <v>0</v>
      </c>
      <c r="Z11" s="14">
        <v>0</v>
      </c>
      <c r="AA11" s="162">
        <v>0</v>
      </c>
      <c r="AB11" s="166">
        <f t="shared" si="6"/>
        <v>0</v>
      </c>
      <c r="AC11" s="14">
        <v>0</v>
      </c>
      <c r="AD11" s="162">
        <v>0</v>
      </c>
      <c r="AE11" s="166">
        <f t="shared" si="7"/>
        <v>0</v>
      </c>
      <c r="AF11" s="14">
        <v>0</v>
      </c>
      <c r="AG11" s="162">
        <v>0</v>
      </c>
      <c r="AH11" s="166">
        <f t="shared" si="8"/>
        <v>0</v>
      </c>
      <c r="AI11" s="14">
        <v>0</v>
      </c>
      <c r="AJ11" s="162">
        <v>0</v>
      </c>
      <c r="AK11" s="166">
        <f t="shared" si="9"/>
        <v>0</v>
      </c>
      <c r="AL11" s="14">
        <v>0</v>
      </c>
      <c r="AM11" s="162">
        <v>0</v>
      </c>
      <c r="AN11" s="166">
        <f t="shared" si="10"/>
        <v>0</v>
      </c>
    </row>
    <row r="12" spans="1:40" x14ac:dyDescent="0.3">
      <c r="A12" s="25" t="s">
        <v>233</v>
      </c>
      <c r="B12" s="5"/>
      <c r="C12" s="8">
        <v>2040</v>
      </c>
      <c r="D12" s="5">
        <v>0</v>
      </c>
      <c r="E12" s="5">
        <v>0</v>
      </c>
      <c r="F12" s="167">
        <v>0</v>
      </c>
      <c r="G12" s="181">
        <f t="shared" si="11"/>
        <v>0</v>
      </c>
      <c r="H12" s="13">
        <v>0</v>
      </c>
      <c r="I12" s="162">
        <v>0</v>
      </c>
      <c r="J12" s="165">
        <f t="shared" si="0"/>
        <v>0</v>
      </c>
      <c r="K12" s="128">
        <v>0</v>
      </c>
      <c r="L12" s="154">
        <v>0</v>
      </c>
      <c r="M12" s="165">
        <f t="shared" si="1"/>
        <v>0</v>
      </c>
      <c r="N12" s="13">
        <v>0</v>
      </c>
      <c r="O12" s="162">
        <v>0</v>
      </c>
      <c r="P12" s="165">
        <f t="shared" si="2"/>
        <v>0</v>
      </c>
      <c r="Q12" s="13">
        <v>0</v>
      </c>
      <c r="R12" s="162">
        <v>0</v>
      </c>
      <c r="S12" s="165">
        <f t="shared" si="3"/>
        <v>0</v>
      </c>
      <c r="T12" s="13">
        <v>0</v>
      </c>
      <c r="U12" s="162">
        <v>0</v>
      </c>
      <c r="V12" s="165">
        <f t="shared" si="4"/>
        <v>0</v>
      </c>
      <c r="W12" s="13">
        <v>0</v>
      </c>
      <c r="X12" s="162">
        <v>0</v>
      </c>
      <c r="Y12" s="165">
        <f t="shared" si="5"/>
        <v>0</v>
      </c>
      <c r="Z12" s="13">
        <v>0</v>
      </c>
      <c r="AA12" s="162">
        <v>0</v>
      </c>
      <c r="AB12" s="165">
        <f t="shared" si="6"/>
        <v>0</v>
      </c>
      <c r="AC12" s="13">
        <v>0</v>
      </c>
      <c r="AD12" s="162">
        <v>0</v>
      </c>
      <c r="AE12" s="165">
        <f t="shared" si="7"/>
        <v>0</v>
      </c>
      <c r="AF12" s="13">
        <v>0</v>
      </c>
      <c r="AG12" s="162">
        <v>0</v>
      </c>
      <c r="AH12" s="165">
        <f t="shared" si="8"/>
        <v>0</v>
      </c>
      <c r="AI12" s="13">
        <v>0</v>
      </c>
      <c r="AJ12" s="162">
        <v>0</v>
      </c>
      <c r="AK12" s="165">
        <f t="shared" si="9"/>
        <v>0</v>
      </c>
      <c r="AL12" s="13">
        <v>0</v>
      </c>
      <c r="AM12" s="162">
        <v>0</v>
      </c>
      <c r="AN12" s="165">
        <f t="shared" si="10"/>
        <v>0</v>
      </c>
    </row>
    <row r="13" spans="1:40" x14ac:dyDescent="0.3">
      <c r="A13" s="25" t="s">
        <v>143</v>
      </c>
      <c r="B13" s="10"/>
      <c r="C13" s="10">
        <v>850</v>
      </c>
      <c r="D13" s="10">
        <v>0</v>
      </c>
      <c r="E13" s="10">
        <v>0</v>
      </c>
      <c r="F13" s="173">
        <v>0</v>
      </c>
      <c r="G13" s="181">
        <f t="shared" si="11"/>
        <v>0</v>
      </c>
      <c r="H13" s="13">
        <v>0</v>
      </c>
      <c r="I13" s="162">
        <v>0</v>
      </c>
      <c r="J13" s="165">
        <f t="shared" si="0"/>
        <v>0</v>
      </c>
      <c r="K13" s="25">
        <v>0</v>
      </c>
      <c r="L13" s="155">
        <v>0</v>
      </c>
      <c r="M13" s="165">
        <f t="shared" si="1"/>
        <v>0</v>
      </c>
      <c r="N13" s="13">
        <v>0</v>
      </c>
      <c r="O13" s="162">
        <v>0</v>
      </c>
      <c r="P13" s="165">
        <f t="shared" si="2"/>
        <v>0</v>
      </c>
      <c r="Q13" s="13">
        <v>0</v>
      </c>
      <c r="R13" s="162">
        <v>0</v>
      </c>
      <c r="S13" s="165">
        <f t="shared" si="3"/>
        <v>0</v>
      </c>
      <c r="T13" s="13">
        <v>0</v>
      </c>
      <c r="U13" s="162">
        <v>0</v>
      </c>
      <c r="V13" s="165">
        <f t="shared" si="4"/>
        <v>0</v>
      </c>
      <c r="W13" s="13">
        <v>0</v>
      </c>
      <c r="X13" s="162">
        <v>0</v>
      </c>
      <c r="Y13" s="165">
        <f t="shared" si="5"/>
        <v>0</v>
      </c>
      <c r="Z13" s="13">
        <v>0</v>
      </c>
      <c r="AA13" s="162">
        <v>0</v>
      </c>
      <c r="AB13" s="165">
        <f t="shared" si="6"/>
        <v>0</v>
      </c>
      <c r="AC13" s="13">
        <v>0</v>
      </c>
      <c r="AD13" s="162">
        <v>0</v>
      </c>
      <c r="AE13" s="165">
        <f t="shared" si="7"/>
        <v>0</v>
      </c>
      <c r="AF13" s="13">
        <v>0</v>
      </c>
      <c r="AG13" s="162">
        <v>0</v>
      </c>
      <c r="AH13" s="165">
        <f t="shared" si="8"/>
        <v>0</v>
      </c>
      <c r="AI13" s="13">
        <v>0</v>
      </c>
      <c r="AJ13" s="162">
        <v>0</v>
      </c>
      <c r="AK13" s="165">
        <f t="shared" si="9"/>
        <v>0</v>
      </c>
      <c r="AL13" s="13">
        <v>0</v>
      </c>
      <c r="AM13" s="162">
        <v>0</v>
      </c>
      <c r="AN13" s="165">
        <f t="shared" si="10"/>
        <v>0</v>
      </c>
    </row>
    <row r="14" spans="1:40" x14ac:dyDescent="0.3">
      <c r="A14" s="25" t="s">
        <v>235</v>
      </c>
      <c r="B14" s="10"/>
      <c r="C14" s="18">
        <v>850</v>
      </c>
      <c r="D14" s="18">
        <v>0</v>
      </c>
      <c r="E14" s="18">
        <v>0</v>
      </c>
      <c r="F14" s="173">
        <v>0</v>
      </c>
      <c r="G14" s="181">
        <f t="shared" si="11"/>
        <v>0</v>
      </c>
      <c r="H14" s="13">
        <v>0</v>
      </c>
      <c r="I14" s="162">
        <v>0</v>
      </c>
      <c r="J14" s="165">
        <f t="shared" si="0"/>
        <v>0</v>
      </c>
      <c r="K14" s="25">
        <v>0</v>
      </c>
      <c r="L14" s="155">
        <v>0</v>
      </c>
      <c r="M14" s="165">
        <f t="shared" si="1"/>
        <v>0</v>
      </c>
      <c r="N14" s="13">
        <v>0</v>
      </c>
      <c r="O14" s="163">
        <v>0</v>
      </c>
      <c r="P14" s="164">
        <f t="shared" si="2"/>
        <v>0</v>
      </c>
      <c r="Q14" s="13">
        <v>0</v>
      </c>
      <c r="R14" s="163">
        <v>0</v>
      </c>
      <c r="S14" s="165">
        <f t="shared" si="3"/>
        <v>0</v>
      </c>
      <c r="T14" s="13">
        <v>0</v>
      </c>
      <c r="U14" s="163">
        <v>0</v>
      </c>
      <c r="V14" s="165">
        <f t="shared" si="4"/>
        <v>0</v>
      </c>
      <c r="W14" s="13">
        <v>0</v>
      </c>
      <c r="X14" s="162">
        <v>0</v>
      </c>
      <c r="Y14" s="165">
        <f t="shared" si="5"/>
        <v>0</v>
      </c>
      <c r="Z14" s="13">
        <v>0</v>
      </c>
      <c r="AA14" s="162">
        <v>0</v>
      </c>
      <c r="AB14" s="165">
        <f t="shared" si="6"/>
        <v>0</v>
      </c>
      <c r="AC14" s="13">
        <v>0</v>
      </c>
      <c r="AD14" s="162">
        <v>0</v>
      </c>
      <c r="AE14" s="165">
        <f t="shared" si="7"/>
        <v>0</v>
      </c>
      <c r="AF14" s="13">
        <v>0</v>
      </c>
      <c r="AG14" s="162">
        <v>0</v>
      </c>
      <c r="AH14" s="165">
        <f t="shared" si="8"/>
        <v>0</v>
      </c>
      <c r="AI14" s="13">
        <v>0</v>
      </c>
      <c r="AJ14" s="162">
        <v>0</v>
      </c>
      <c r="AK14" s="165">
        <f t="shared" si="9"/>
        <v>0</v>
      </c>
      <c r="AL14" s="13">
        <v>0</v>
      </c>
      <c r="AM14" s="162">
        <v>0</v>
      </c>
      <c r="AN14" s="165">
        <f t="shared" si="10"/>
        <v>0</v>
      </c>
    </row>
    <row r="15" spans="1:40" x14ac:dyDescent="0.3">
      <c r="A15" s="5" t="s">
        <v>236</v>
      </c>
      <c r="B15" s="10"/>
      <c r="C15" s="18"/>
      <c r="D15" s="18">
        <v>0</v>
      </c>
      <c r="E15" s="18">
        <v>0</v>
      </c>
      <c r="F15" s="173">
        <v>0</v>
      </c>
      <c r="G15" s="181">
        <f t="shared" si="11"/>
        <v>0</v>
      </c>
      <c r="H15" s="13">
        <v>0</v>
      </c>
      <c r="I15" s="162">
        <v>0</v>
      </c>
      <c r="J15" s="165">
        <f t="shared" si="0"/>
        <v>0</v>
      </c>
      <c r="K15" s="25">
        <v>0</v>
      </c>
      <c r="L15" s="155">
        <v>0</v>
      </c>
      <c r="M15" s="165">
        <f t="shared" si="1"/>
        <v>0</v>
      </c>
      <c r="N15" s="13">
        <v>0</v>
      </c>
      <c r="O15" s="163">
        <v>0</v>
      </c>
      <c r="P15" s="164">
        <f t="shared" si="2"/>
        <v>0</v>
      </c>
      <c r="Q15" s="13">
        <v>0</v>
      </c>
      <c r="R15" s="163">
        <v>0</v>
      </c>
      <c r="S15" s="165">
        <f t="shared" si="3"/>
        <v>0</v>
      </c>
      <c r="T15" s="13">
        <v>0</v>
      </c>
      <c r="U15" s="163">
        <v>0</v>
      </c>
      <c r="V15" s="165">
        <f t="shared" si="4"/>
        <v>0</v>
      </c>
      <c r="W15" s="13">
        <v>0</v>
      </c>
      <c r="X15" s="162">
        <v>0</v>
      </c>
      <c r="Y15" s="165">
        <f t="shared" si="5"/>
        <v>0</v>
      </c>
      <c r="Z15" s="13">
        <v>0</v>
      </c>
      <c r="AA15" s="162">
        <v>0</v>
      </c>
      <c r="AB15" s="165">
        <f t="shared" si="6"/>
        <v>0</v>
      </c>
      <c r="AC15" s="13">
        <v>50</v>
      </c>
      <c r="AD15" s="162">
        <v>0</v>
      </c>
      <c r="AE15" s="165">
        <f t="shared" si="7"/>
        <v>0</v>
      </c>
      <c r="AF15" s="13">
        <v>0</v>
      </c>
      <c r="AG15" s="162">
        <v>0</v>
      </c>
      <c r="AH15" s="165">
        <f t="shared" si="8"/>
        <v>0</v>
      </c>
      <c r="AI15" s="13">
        <v>0</v>
      </c>
      <c r="AJ15" s="162">
        <v>0</v>
      </c>
      <c r="AK15" s="165">
        <f t="shared" si="9"/>
        <v>0</v>
      </c>
      <c r="AL15" s="13">
        <v>0</v>
      </c>
      <c r="AM15" s="162">
        <v>0</v>
      </c>
      <c r="AN15" s="165">
        <f t="shared" si="10"/>
        <v>0</v>
      </c>
    </row>
    <row r="16" spans="1:40" ht="16.2" x14ac:dyDescent="0.45">
      <c r="A16" s="5"/>
      <c r="B16" s="5"/>
      <c r="C16" s="17"/>
      <c r="D16" s="16"/>
      <c r="E16" s="16"/>
      <c r="F16" s="138" t="s">
        <v>7</v>
      </c>
      <c r="G16" s="182">
        <f>SUM(G7:G14)</f>
        <v>0</v>
      </c>
      <c r="H16" s="12"/>
      <c r="I16" s="137" t="s">
        <v>7</v>
      </c>
      <c r="J16" s="168">
        <f>SUM(J7:J14)</f>
        <v>0</v>
      </c>
      <c r="K16" s="12"/>
      <c r="L16" s="137" t="s">
        <v>7</v>
      </c>
      <c r="M16" s="168">
        <f>SUM(M7:M14)</f>
        <v>0</v>
      </c>
      <c r="N16" s="12"/>
      <c r="O16" s="137" t="s">
        <v>7</v>
      </c>
      <c r="P16" s="168">
        <f>SUM(P7:P14)</f>
        <v>0</v>
      </c>
      <c r="Q16" s="12"/>
      <c r="R16" s="137" t="s">
        <v>7</v>
      </c>
      <c r="S16" s="168">
        <f>SUM(S7:S14)</f>
        <v>0</v>
      </c>
      <c r="T16" s="12"/>
      <c r="U16" s="137" t="s">
        <v>7</v>
      </c>
      <c r="V16" s="168">
        <f>SUM(V7:V14)</f>
        <v>0</v>
      </c>
      <c r="W16" s="12"/>
      <c r="X16" s="137" t="s">
        <v>7</v>
      </c>
      <c r="Y16" s="168">
        <f>SUM(Y7:Y14)</f>
        <v>0</v>
      </c>
      <c r="Z16" s="12"/>
      <c r="AA16" s="137" t="s">
        <v>7</v>
      </c>
      <c r="AB16" s="168">
        <f>SUM(AB7:AB14)</f>
        <v>0</v>
      </c>
      <c r="AC16" s="12"/>
      <c r="AD16" s="137" t="s">
        <v>7</v>
      </c>
      <c r="AE16" s="168">
        <f>SUM(AE7:AE14)</f>
        <v>40000</v>
      </c>
      <c r="AF16" s="12"/>
      <c r="AG16" s="137" t="s">
        <v>7</v>
      </c>
      <c r="AH16" s="168">
        <f>SUM(AH7:AH14)</f>
        <v>0</v>
      </c>
      <c r="AI16" s="12"/>
      <c r="AJ16" s="137" t="s">
        <v>7</v>
      </c>
      <c r="AK16" s="168">
        <f>SUM(AK7:AK14)</f>
        <v>0</v>
      </c>
      <c r="AL16" s="12"/>
      <c r="AM16" s="137" t="s">
        <v>7</v>
      </c>
      <c r="AN16" s="168">
        <f>SUM(AN7:AN14)</f>
        <v>0</v>
      </c>
    </row>
  </sheetData>
  <mergeCells count="2">
    <mergeCell ref="D3:D4"/>
    <mergeCell ref="C7:C9"/>
  </mergeCells>
  <hyperlinks>
    <hyperlink ref="A2" location="Menu!A1" display="Menu" xr:uid="{00000000-0004-0000-0D00-000000000000}"/>
  </hyperlink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6"/>
  <dimension ref="A1:AN14"/>
  <sheetViews>
    <sheetView workbookViewId="0">
      <pane xSplit="1" topLeftCell="B1" activePane="topRight" state="frozen"/>
      <selection pane="topRight" activeCell="A2" sqref="A2"/>
    </sheetView>
  </sheetViews>
  <sheetFormatPr defaultColWidth="9.109375" defaultRowHeight="14.4" x14ac:dyDescent="0.3"/>
  <cols>
    <col min="1" max="1" width="40.6640625" style="1" bestFit="1" customWidth="1"/>
    <col min="2" max="2" width="11" style="1" bestFit="1" customWidth="1"/>
    <col min="3" max="3" width="18.77734375" style="1" bestFit="1" customWidth="1"/>
    <col min="4" max="4" width="16.6640625" style="1" bestFit="1" customWidth="1"/>
    <col min="5" max="5" width="14.109375" style="1" bestFit="1" customWidth="1"/>
    <col min="6" max="6" width="10.44140625" style="1" bestFit="1" customWidth="1"/>
    <col min="7" max="7" width="14.44140625" style="1" bestFit="1" customWidth="1"/>
    <col min="8" max="8" width="14.109375" style="1" bestFit="1" customWidth="1"/>
    <col min="9" max="9" width="9.109375" style="1"/>
    <col min="10" max="10" width="10.88671875" style="1" bestFit="1" customWidth="1"/>
    <col min="11" max="11" width="14.109375" style="1" bestFit="1" customWidth="1"/>
    <col min="12" max="12" width="11.109375" style="1" bestFit="1" customWidth="1"/>
    <col min="13" max="13" width="13.33203125" style="1" bestFit="1" customWidth="1"/>
    <col min="14" max="14" width="14.109375" style="1" bestFit="1" customWidth="1"/>
    <col min="15" max="15" width="9.109375" style="1"/>
    <col min="16" max="16" width="10.88671875" style="1" bestFit="1" customWidth="1"/>
    <col min="17" max="17" width="14.109375" style="1" bestFit="1" customWidth="1"/>
    <col min="18" max="18" width="9.109375" style="1"/>
    <col min="19" max="19" width="11.6640625" style="1" bestFit="1" customWidth="1"/>
    <col min="20" max="20" width="14.109375" style="1" bestFit="1" customWidth="1"/>
    <col min="21" max="21" width="9.109375" style="1"/>
    <col min="22" max="22" width="10.88671875" style="1" bestFit="1" customWidth="1"/>
    <col min="23" max="23" width="14.109375" style="1" bestFit="1" customWidth="1"/>
    <col min="24" max="24" width="9.5546875" style="1" bestFit="1" customWidth="1"/>
    <col min="25" max="25" width="10.88671875" style="1" bestFit="1" customWidth="1"/>
    <col min="26" max="26" width="14.109375" style="1" bestFit="1" customWidth="1"/>
    <col min="27" max="27" width="9.5546875" style="1" bestFit="1" customWidth="1"/>
    <col min="28" max="28" width="10.88671875" style="1" bestFit="1" customWidth="1"/>
    <col min="29" max="29" width="14.109375" style="1" bestFit="1" customWidth="1"/>
    <col min="30" max="30" width="9.5546875" style="1" bestFit="1" customWidth="1"/>
    <col min="31" max="31" width="10.88671875" style="1" bestFit="1" customWidth="1"/>
    <col min="32" max="32" width="14.109375" style="1" bestFit="1" customWidth="1"/>
    <col min="33" max="33" width="9.5546875" style="1" bestFit="1" customWidth="1"/>
    <col min="34" max="34" width="10.88671875" style="1" bestFit="1" customWidth="1"/>
    <col min="35" max="35" width="14.109375" style="1" bestFit="1" customWidth="1"/>
    <col min="36" max="36" width="9.5546875" style="1" bestFit="1" customWidth="1"/>
    <col min="37" max="37" width="10.88671875" style="1" bestFit="1" customWidth="1"/>
    <col min="38" max="38" width="14.109375" style="1" bestFit="1" customWidth="1"/>
    <col min="39" max="39" width="9.5546875" style="1" bestFit="1" customWidth="1"/>
    <col min="40" max="40" width="10.88671875" style="1" bestFit="1" customWidth="1"/>
    <col min="41" max="16384" width="9.109375" style="1"/>
  </cols>
  <sheetData>
    <row r="1" spans="1:40" ht="15" thickBot="1" x14ac:dyDescent="0.35"/>
    <row r="2" spans="1:40" ht="29.4" thickBot="1" x14ac:dyDescent="0.35">
      <c r="A2" s="185" t="s">
        <v>96</v>
      </c>
    </row>
    <row r="3" spans="1:40" ht="29.4" thickBot="1" x14ac:dyDescent="0.6">
      <c r="A3" s="446" t="s">
        <v>155</v>
      </c>
      <c r="B3" s="123"/>
      <c r="C3" s="123"/>
      <c r="D3" s="149"/>
      <c r="E3" s="6"/>
      <c r="F3" s="6"/>
      <c r="G3" s="6"/>
    </row>
    <row r="4" spans="1:40" x14ac:dyDescent="0.3">
      <c r="A4" s="7"/>
      <c r="B4" s="7"/>
      <c r="C4" s="7"/>
      <c r="D4" s="7"/>
      <c r="E4" s="4">
        <v>45292</v>
      </c>
      <c r="F4" s="4">
        <v>45292</v>
      </c>
      <c r="G4" s="29">
        <v>45292</v>
      </c>
      <c r="H4" s="11">
        <v>45323</v>
      </c>
      <c r="I4" s="11">
        <v>45323</v>
      </c>
      <c r="J4" s="11">
        <v>45323</v>
      </c>
      <c r="K4" s="11">
        <v>45352</v>
      </c>
      <c r="L4" s="11">
        <v>45352</v>
      </c>
      <c r="M4" s="11">
        <v>45352</v>
      </c>
      <c r="N4" s="11">
        <v>45383</v>
      </c>
      <c r="O4" s="11">
        <v>45383</v>
      </c>
      <c r="P4" s="11">
        <v>45383</v>
      </c>
      <c r="Q4" s="11">
        <v>45413</v>
      </c>
      <c r="R4" s="11">
        <v>45413</v>
      </c>
      <c r="S4" s="11">
        <v>45413</v>
      </c>
      <c r="T4" s="11">
        <v>45444</v>
      </c>
      <c r="U4" s="11">
        <v>45444</v>
      </c>
      <c r="V4" s="11">
        <v>45444</v>
      </c>
      <c r="W4" s="11">
        <v>45474</v>
      </c>
      <c r="X4" s="11">
        <v>45474</v>
      </c>
      <c r="Y4" s="11">
        <v>45474</v>
      </c>
      <c r="Z4" s="11">
        <v>45505</v>
      </c>
      <c r="AA4" s="11">
        <v>45505</v>
      </c>
      <c r="AB4" s="11">
        <v>45505</v>
      </c>
      <c r="AC4" s="11">
        <v>45536</v>
      </c>
      <c r="AD4" s="11">
        <v>45536</v>
      </c>
      <c r="AE4" s="11">
        <v>45536</v>
      </c>
      <c r="AF4" s="11">
        <v>45566</v>
      </c>
      <c r="AG4" s="11">
        <v>45566</v>
      </c>
      <c r="AH4" s="11">
        <v>45566</v>
      </c>
      <c r="AI4" s="11">
        <v>45597</v>
      </c>
      <c r="AJ4" s="11">
        <v>45597</v>
      </c>
      <c r="AK4" s="11">
        <v>45597</v>
      </c>
      <c r="AL4" s="11">
        <v>45627</v>
      </c>
      <c r="AM4" s="11">
        <v>45627</v>
      </c>
      <c r="AN4" s="11">
        <v>45627</v>
      </c>
    </row>
    <row r="5" spans="1:40" x14ac:dyDescent="0.3">
      <c r="A5" s="5" t="s">
        <v>0</v>
      </c>
      <c r="B5" s="5" t="s">
        <v>1</v>
      </c>
      <c r="C5" s="5" t="s">
        <v>2</v>
      </c>
      <c r="D5" s="5" t="s">
        <v>8</v>
      </c>
      <c r="E5" s="5" t="s">
        <v>4</v>
      </c>
      <c r="F5" s="5" t="s">
        <v>5</v>
      </c>
      <c r="G5" s="5" t="s">
        <v>6</v>
      </c>
      <c r="H5" s="13" t="s">
        <v>4</v>
      </c>
      <c r="I5" s="13" t="s">
        <v>5</v>
      </c>
      <c r="J5" s="26" t="s">
        <v>6</v>
      </c>
      <c r="K5" s="13" t="s">
        <v>4</v>
      </c>
      <c r="L5" s="13" t="s">
        <v>97</v>
      </c>
      <c r="M5" s="26" t="s">
        <v>6</v>
      </c>
      <c r="N5" s="13" t="s">
        <v>4</v>
      </c>
      <c r="O5" s="13" t="s">
        <v>5</v>
      </c>
      <c r="P5" s="26" t="s">
        <v>6</v>
      </c>
      <c r="Q5" s="13" t="s">
        <v>4</v>
      </c>
      <c r="R5" s="13" t="s">
        <v>5</v>
      </c>
      <c r="S5" s="26" t="s">
        <v>6</v>
      </c>
      <c r="T5" s="13" t="s">
        <v>4</v>
      </c>
      <c r="U5" s="13" t="s">
        <v>5</v>
      </c>
      <c r="V5" s="26" t="s">
        <v>6</v>
      </c>
      <c r="W5" s="13" t="s">
        <v>4</v>
      </c>
      <c r="X5" s="13" t="s">
        <v>5</v>
      </c>
      <c r="Y5" s="26" t="s">
        <v>6</v>
      </c>
      <c r="Z5" s="13" t="s">
        <v>4</v>
      </c>
      <c r="AA5" s="13" t="s">
        <v>5</v>
      </c>
      <c r="AB5" s="26" t="s">
        <v>6</v>
      </c>
      <c r="AC5" s="13" t="s">
        <v>4</v>
      </c>
      <c r="AD5" s="13" t="s">
        <v>5</v>
      </c>
      <c r="AE5" s="26" t="s">
        <v>6</v>
      </c>
      <c r="AF5" s="13" t="s">
        <v>4</v>
      </c>
      <c r="AG5" s="13" t="s">
        <v>5</v>
      </c>
      <c r="AH5" s="26" t="s">
        <v>6</v>
      </c>
      <c r="AI5" s="13" t="s">
        <v>4</v>
      </c>
      <c r="AJ5" s="13" t="s">
        <v>5</v>
      </c>
      <c r="AK5" s="26" t="s">
        <v>6</v>
      </c>
      <c r="AL5" s="13" t="s">
        <v>4</v>
      </c>
      <c r="AM5" s="13" t="s">
        <v>5</v>
      </c>
      <c r="AN5" s="26" t="s">
        <v>6</v>
      </c>
    </row>
    <row r="6" spans="1:40" x14ac:dyDescent="0.3">
      <c r="A6" s="25" t="s">
        <v>233</v>
      </c>
      <c r="B6" s="5"/>
      <c r="C6" s="8">
        <v>2300</v>
      </c>
      <c r="D6" s="5">
        <v>0</v>
      </c>
      <c r="E6" s="9">
        <v>0</v>
      </c>
      <c r="F6" s="154">
        <v>0</v>
      </c>
      <c r="G6" s="160">
        <f>F6*E6</f>
        <v>0</v>
      </c>
      <c r="H6" s="14">
        <v>0</v>
      </c>
      <c r="I6" s="162">
        <v>0</v>
      </c>
      <c r="J6" s="164">
        <f t="shared" ref="J6:J13" si="0">I6*H6</f>
        <v>0</v>
      </c>
      <c r="K6" s="128">
        <v>0</v>
      </c>
      <c r="L6" s="154">
        <v>0</v>
      </c>
      <c r="M6" s="164">
        <f t="shared" ref="M6:M13" si="1">L6*K6</f>
        <v>0</v>
      </c>
      <c r="N6" s="14">
        <v>0</v>
      </c>
      <c r="O6" s="162">
        <v>0</v>
      </c>
      <c r="P6" s="164">
        <f t="shared" ref="P6:P13" si="2">O6*N6</f>
        <v>0</v>
      </c>
      <c r="Q6" s="14">
        <v>0</v>
      </c>
      <c r="R6" s="162">
        <v>0</v>
      </c>
      <c r="S6" s="164">
        <f t="shared" ref="S6:S13" si="3">R6*Q6</f>
        <v>0</v>
      </c>
      <c r="T6" s="14">
        <v>0</v>
      </c>
      <c r="U6" s="162">
        <v>0</v>
      </c>
      <c r="V6" s="164">
        <f t="shared" ref="V6:V13" si="4">U6*T6</f>
        <v>0</v>
      </c>
      <c r="W6" s="14">
        <v>0</v>
      </c>
      <c r="X6" s="162">
        <v>0</v>
      </c>
      <c r="Y6" s="164">
        <f t="shared" ref="Y6:Y13" si="5">X6*W6</f>
        <v>0</v>
      </c>
      <c r="Z6" s="14">
        <v>0</v>
      </c>
      <c r="AA6" s="162">
        <v>0</v>
      </c>
      <c r="AB6" s="164">
        <f t="shared" ref="AB6:AB13" si="6">AA6*Z6</f>
        <v>0</v>
      </c>
      <c r="AC6" s="14">
        <v>0</v>
      </c>
      <c r="AD6" s="162">
        <v>0</v>
      </c>
      <c r="AE6" s="164">
        <f t="shared" ref="AE6:AE13" si="7">AD6*AC6</f>
        <v>0</v>
      </c>
      <c r="AF6" s="14">
        <v>0</v>
      </c>
      <c r="AG6" s="162">
        <v>0</v>
      </c>
      <c r="AH6" s="164">
        <f t="shared" ref="AH6:AH13" si="8">AG6*AF6</f>
        <v>0</v>
      </c>
      <c r="AI6" s="14">
        <v>0</v>
      </c>
      <c r="AJ6" s="162">
        <v>0</v>
      </c>
      <c r="AK6" s="164">
        <f t="shared" ref="AK6:AK13" si="9">AJ6*AI6</f>
        <v>0</v>
      </c>
      <c r="AL6" s="14">
        <v>0</v>
      </c>
      <c r="AM6" s="162">
        <v>0</v>
      </c>
      <c r="AN6" s="164">
        <f t="shared" ref="AN6:AN13" si="10">AM6*AL6</f>
        <v>0</v>
      </c>
    </row>
    <row r="7" spans="1:40" x14ac:dyDescent="0.3">
      <c r="A7" s="25" t="s">
        <v>237</v>
      </c>
      <c r="B7" s="5"/>
      <c r="C7" s="8">
        <v>1000</v>
      </c>
      <c r="D7" s="5">
        <v>0</v>
      </c>
      <c r="E7" s="9">
        <v>0</v>
      </c>
      <c r="F7" s="154">
        <v>0</v>
      </c>
      <c r="G7" s="160">
        <f t="shared" ref="G7:G13" si="11">F7*E7</f>
        <v>0</v>
      </c>
      <c r="H7" s="14">
        <v>0</v>
      </c>
      <c r="I7" s="162">
        <v>0</v>
      </c>
      <c r="J7" s="164">
        <f t="shared" si="0"/>
        <v>0</v>
      </c>
      <c r="K7" s="128">
        <v>0</v>
      </c>
      <c r="L7" s="154">
        <v>0</v>
      </c>
      <c r="M7" s="164">
        <f t="shared" si="1"/>
        <v>0</v>
      </c>
      <c r="N7" s="14">
        <v>0</v>
      </c>
      <c r="O7" s="162">
        <v>0</v>
      </c>
      <c r="P7" s="164">
        <f t="shared" si="2"/>
        <v>0</v>
      </c>
      <c r="Q7" s="14">
        <v>0</v>
      </c>
      <c r="R7" s="162">
        <v>0</v>
      </c>
      <c r="S7" s="164">
        <f t="shared" si="3"/>
        <v>0</v>
      </c>
      <c r="T7" s="14">
        <v>0</v>
      </c>
      <c r="U7" s="162">
        <v>0</v>
      </c>
      <c r="V7" s="164">
        <f t="shared" si="4"/>
        <v>0</v>
      </c>
      <c r="W7" s="14">
        <v>0</v>
      </c>
      <c r="X7" s="162">
        <v>0</v>
      </c>
      <c r="Y7" s="164">
        <f t="shared" si="5"/>
        <v>0</v>
      </c>
      <c r="Z7" s="14">
        <v>0</v>
      </c>
      <c r="AA7" s="162">
        <v>0</v>
      </c>
      <c r="AB7" s="164">
        <f t="shared" si="6"/>
        <v>0</v>
      </c>
      <c r="AC7" s="14">
        <v>0</v>
      </c>
      <c r="AD7" s="162">
        <v>0</v>
      </c>
      <c r="AE7" s="164">
        <f t="shared" si="7"/>
        <v>0</v>
      </c>
      <c r="AF7" s="14">
        <v>0</v>
      </c>
      <c r="AG7" s="162">
        <v>0</v>
      </c>
      <c r="AH7" s="164">
        <f t="shared" si="8"/>
        <v>0</v>
      </c>
      <c r="AI7" s="14">
        <v>0</v>
      </c>
      <c r="AJ7" s="162">
        <v>0</v>
      </c>
      <c r="AK7" s="164">
        <f t="shared" si="9"/>
        <v>0</v>
      </c>
      <c r="AL7" s="14">
        <v>0</v>
      </c>
      <c r="AM7" s="162">
        <v>0</v>
      </c>
      <c r="AN7" s="164">
        <f t="shared" si="10"/>
        <v>0</v>
      </c>
    </row>
    <row r="8" spans="1:40" x14ac:dyDescent="0.3">
      <c r="A8" s="25" t="s">
        <v>238</v>
      </c>
      <c r="B8" s="5"/>
      <c r="C8" s="8">
        <v>1000</v>
      </c>
      <c r="D8" s="5">
        <v>0</v>
      </c>
      <c r="E8" s="9">
        <v>0</v>
      </c>
      <c r="F8" s="154">
        <v>0</v>
      </c>
      <c r="G8" s="160">
        <f t="shared" si="11"/>
        <v>0</v>
      </c>
      <c r="H8" s="14">
        <v>0</v>
      </c>
      <c r="I8" s="162">
        <v>0</v>
      </c>
      <c r="J8" s="164">
        <f t="shared" si="0"/>
        <v>0</v>
      </c>
      <c r="K8" s="128">
        <v>0</v>
      </c>
      <c r="L8" s="154">
        <v>0</v>
      </c>
      <c r="M8" s="164">
        <f t="shared" si="1"/>
        <v>0</v>
      </c>
      <c r="N8" s="14">
        <v>0</v>
      </c>
      <c r="O8" s="162">
        <v>0</v>
      </c>
      <c r="P8" s="164">
        <f t="shared" si="2"/>
        <v>0</v>
      </c>
      <c r="Q8" s="14">
        <v>0</v>
      </c>
      <c r="R8" s="162">
        <v>0</v>
      </c>
      <c r="S8" s="164">
        <f t="shared" si="3"/>
        <v>0</v>
      </c>
      <c r="T8" s="14">
        <v>0</v>
      </c>
      <c r="U8" s="162">
        <v>0</v>
      </c>
      <c r="V8" s="164">
        <f t="shared" si="4"/>
        <v>0</v>
      </c>
      <c r="W8" s="14">
        <v>0</v>
      </c>
      <c r="X8" s="162">
        <v>0</v>
      </c>
      <c r="Y8" s="164">
        <f t="shared" si="5"/>
        <v>0</v>
      </c>
      <c r="Z8" s="14">
        <v>0</v>
      </c>
      <c r="AA8" s="162">
        <v>0</v>
      </c>
      <c r="AB8" s="164">
        <f t="shared" si="6"/>
        <v>0</v>
      </c>
      <c r="AC8" s="14">
        <v>0</v>
      </c>
      <c r="AD8" s="162">
        <v>0</v>
      </c>
      <c r="AE8" s="164">
        <f t="shared" si="7"/>
        <v>0</v>
      </c>
      <c r="AF8" s="14">
        <v>0</v>
      </c>
      <c r="AG8" s="162">
        <v>0</v>
      </c>
      <c r="AH8" s="164">
        <f t="shared" si="8"/>
        <v>0</v>
      </c>
      <c r="AI8" s="14">
        <v>0</v>
      </c>
      <c r="AJ8" s="162">
        <v>0</v>
      </c>
      <c r="AK8" s="164">
        <f t="shared" si="9"/>
        <v>0</v>
      </c>
      <c r="AL8" s="14">
        <v>0</v>
      </c>
      <c r="AM8" s="162">
        <v>0</v>
      </c>
      <c r="AN8" s="164">
        <f t="shared" si="10"/>
        <v>0</v>
      </c>
    </row>
    <row r="9" spans="1:40" x14ac:dyDescent="0.3">
      <c r="A9" s="25" t="s">
        <v>239</v>
      </c>
      <c r="B9" s="5"/>
      <c r="C9" s="8">
        <v>1000</v>
      </c>
      <c r="D9" s="5">
        <v>0</v>
      </c>
      <c r="E9" s="9">
        <v>0</v>
      </c>
      <c r="F9" s="154">
        <v>0</v>
      </c>
      <c r="G9" s="160">
        <f t="shared" si="11"/>
        <v>0</v>
      </c>
      <c r="H9" s="14">
        <v>0</v>
      </c>
      <c r="I9" s="162">
        <v>0</v>
      </c>
      <c r="J9" s="164">
        <f t="shared" si="0"/>
        <v>0</v>
      </c>
      <c r="K9" s="128">
        <v>0</v>
      </c>
      <c r="L9" s="154">
        <v>0</v>
      </c>
      <c r="M9" s="164">
        <f t="shared" si="1"/>
        <v>0</v>
      </c>
      <c r="N9" s="14">
        <v>0</v>
      </c>
      <c r="O9" s="162">
        <v>0</v>
      </c>
      <c r="P9" s="164">
        <f t="shared" si="2"/>
        <v>0</v>
      </c>
      <c r="Q9" s="14">
        <v>0</v>
      </c>
      <c r="R9" s="162">
        <v>0</v>
      </c>
      <c r="S9" s="164">
        <f t="shared" si="3"/>
        <v>0</v>
      </c>
      <c r="T9" s="14">
        <v>0</v>
      </c>
      <c r="U9" s="162">
        <v>0</v>
      </c>
      <c r="V9" s="164">
        <f t="shared" si="4"/>
        <v>0</v>
      </c>
      <c r="W9" s="14">
        <v>0</v>
      </c>
      <c r="X9" s="162">
        <v>0</v>
      </c>
      <c r="Y9" s="164">
        <f t="shared" si="5"/>
        <v>0</v>
      </c>
      <c r="Z9" s="14">
        <v>0</v>
      </c>
      <c r="AA9" s="162">
        <v>0</v>
      </c>
      <c r="AB9" s="164">
        <f t="shared" si="6"/>
        <v>0</v>
      </c>
      <c r="AC9" s="14">
        <v>0</v>
      </c>
      <c r="AD9" s="162">
        <v>0</v>
      </c>
      <c r="AE9" s="164">
        <f t="shared" si="7"/>
        <v>0</v>
      </c>
      <c r="AF9" s="14">
        <v>0</v>
      </c>
      <c r="AG9" s="162">
        <v>0</v>
      </c>
      <c r="AH9" s="164">
        <f t="shared" si="8"/>
        <v>0</v>
      </c>
      <c r="AI9" s="14">
        <v>0</v>
      </c>
      <c r="AJ9" s="162">
        <v>0</v>
      </c>
      <c r="AK9" s="164">
        <f t="shared" si="9"/>
        <v>0</v>
      </c>
      <c r="AL9" s="14">
        <v>0</v>
      </c>
      <c r="AM9" s="162">
        <v>0</v>
      </c>
      <c r="AN9" s="164">
        <f t="shared" si="10"/>
        <v>0</v>
      </c>
    </row>
    <row r="10" spans="1:40" x14ac:dyDescent="0.3">
      <c r="A10" s="25" t="s">
        <v>240</v>
      </c>
      <c r="B10" s="5"/>
      <c r="C10" s="8">
        <v>1000</v>
      </c>
      <c r="D10" s="5">
        <v>0</v>
      </c>
      <c r="E10" s="9">
        <v>0</v>
      </c>
      <c r="F10" s="154">
        <v>0</v>
      </c>
      <c r="G10" s="160">
        <f t="shared" si="11"/>
        <v>0</v>
      </c>
      <c r="H10" s="14">
        <v>0</v>
      </c>
      <c r="I10" s="162">
        <v>0</v>
      </c>
      <c r="J10" s="166">
        <f t="shared" si="0"/>
        <v>0</v>
      </c>
      <c r="K10" s="128">
        <v>0</v>
      </c>
      <c r="L10" s="154">
        <v>0</v>
      </c>
      <c r="M10" s="166">
        <f t="shared" si="1"/>
        <v>0</v>
      </c>
      <c r="N10" s="14">
        <v>0</v>
      </c>
      <c r="O10" s="162">
        <v>0</v>
      </c>
      <c r="P10" s="166">
        <f t="shared" si="2"/>
        <v>0</v>
      </c>
      <c r="Q10" s="14">
        <v>0</v>
      </c>
      <c r="R10" s="162">
        <v>0</v>
      </c>
      <c r="S10" s="166">
        <f t="shared" si="3"/>
        <v>0</v>
      </c>
      <c r="T10" s="14">
        <v>0</v>
      </c>
      <c r="U10" s="162">
        <v>0</v>
      </c>
      <c r="V10" s="166">
        <f t="shared" si="4"/>
        <v>0</v>
      </c>
      <c r="W10" s="14">
        <v>0</v>
      </c>
      <c r="X10" s="162">
        <v>0</v>
      </c>
      <c r="Y10" s="166">
        <f t="shared" si="5"/>
        <v>0</v>
      </c>
      <c r="Z10" s="14">
        <v>0</v>
      </c>
      <c r="AA10" s="162">
        <v>0</v>
      </c>
      <c r="AB10" s="166">
        <f t="shared" si="6"/>
        <v>0</v>
      </c>
      <c r="AC10" s="14">
        <v>0</v>
      </c>
      <c r="AD10" s="162">
        <v>0</v>
      </c>
      <c r="AE10" s="166">
        <f t="shared" si="7"/>
        <v>0</v>
      </c>
      <c r="AF10" s="14">
        <v>0</v>
      </c>
      <c r="AG10" s="162">
        <v>0</v>
      </c>
      <c r="AH10" s="166">
        <f t="shared" si="8"/>
        <v>0</v>
      </c>
      <c r="AI10" s="14">
        <v>0</v>
      </c>
      <c r="AJ10" s="162">
        <v>0</v>
      </c>
      <c r="AK10" s="166">
        <f t="shared" si="9"/>
        <v>0</v>
      </c>
      <c r="AL10" s="14">
        <v>0</v>
      </c>
      <c r="AM10" s="162">
        <v>0</v>
      </c>
      <c r="AN10" s="166">
        <f t="shared" si="10"/>
        <v>0</v>
      </c>
    </row>
    <row r="11" spans="1:40" x14ac:dyDescent="0.3">
      <c r="A11" s="5" t="s">
        <v>241</v>
      </c>
      <c r="B11" s="5"/>
      <c r="C11" s="8">
        <v>1000</v>
      </c>
      <c r="D11" s="5">
        <v>0</v>
      </c>
      <c r="E11" s="5">
        <v>0</v>
      </c>
      <c r="F11" s="154">
        <v>0</v>
      </c>
      <c r="G11" s="160">
        <f t="shared" si="11"/>
        <v>0</v>
      </c>
      <c r="H11" s="13">
        <v>0</v>
      </c>
      <c r="I11" s="162">
        <v>0</v>
      </c>
      <c r="J11" s="165">
        <f t="shared" si="0"/>
        <v>0</v>
      </c>
      <c r="K11" s="128">
        <v>0</v>
      </c>
      <c r="L11" s="154">
        <v>0</v>
      </c>
      <c r="M11" s="165">
        <f t="shared" si="1"/>
        <v>0</v>
      </c>
      <c r="N11" s="13">
        <v>0</v>
      </c>
      <c r="O11" s="162">
        <v>0</v>
      </c>
      <c r="P11" s="165">
        <f t="shared" si="2"/>
        <v>0</v>
      </c>
      <c r="Q11" s="13">
        <v>0</v>
      </c>
      <c r="R11" s="162">
        <v>0</v>
      </c>
      <c r="S11" s="165">
        <f t="shared" si="3"/>
        <v>0</v>
      </c>
      <c r="T11" s="13">
        <v>0</v>
      </c>
      <c r="U11" s="162">
        <v>0</v>
      </c>
      <c r="V11" s="165">
        <f t="shared" si="4"/>
        <v>0</v>
      </c>
      <c r="W11" s="13">
        <v>0</v>
      </c>
      <c r="X11" s="162">
        <v>0</v>
      </c>
      <c r="Y11" s="165">
        <f t="shared" si="5"/>
        <v>0</v>
      </c>
      <c r="Z11" s="13">
        <v>0</v>
      </c>
      <c r="AA11" s="162">
        <v>0</v>
      </c>
      <c r="AB11" s="165">
        <f t="shared" si="6"/>
        <v>0</v>
      </c>
      <c r="AC11" s="13">
        <v>0</v>
      </c>
      <c r="AD11" s="162">
        <v>0</v>
      </c>
      <c r="AE11" s="165">
        <f t="shared" si="7"/>
        <v>0</v>
      </c>
      <c r="AF11" s="13">
        <v>0</v>
      </c>
      <c r="AG11" s="162">
        <v>0</v>
      </c>
      <c r="AH11" s="165">
        <f t="shared" si="8"/>
        <v>0</v>
      </c>
      <c r="AI11" s="13">
        <v>0</v>
      </c>
      <c r="AJ11" s="162">
        <v>0</v>
      </c>
      <c r="AK11" s="165">
        <f t="shared" si="9"/>
        <v>0</v>
      </c>
      <c r="AL11" s="13">
        <v>0</v>
      </c>
      <c r="AM11" s="162">
        <v>0</v>
      </c>
      <c r="AN11" s="165">
        <f t="shared" si="10"/>
        <v>0</v>
      </c>
    </row>
    <row r="12" spans="1:40" x14ac:dyDescent="0.3">
      <c r="A12" s="10" t="s">
        <v>242</v>
      </c>
      <c r="B12" s="10"/>
      <c r="C12" s="67">
        <v>1000</v>
      </c>
      <c r="D12" s="10">
        <v>0</v>
      </c>
      <c r="E12" s="10">
        <v>0</v>
      </c>
      <c r="F12" s="155">
        <v>0</v>
      </c>
      <c r="G12" s="160">
        <f t="shared" si="11"/>
        <v>0</v>
      </c>
      <c r="H12" s="13">
        <v>0</v>
      </c>
      <c r="I12" s="162">
        <v>0</v>
      </c>
      <c r="J12" s="165">
        <f t="shared" si="0"/>
        <v>0</v>
      </c>
      <c r="K12" s="25">
        <v>0</v>
      </c>
      <c r="L12" s="155">
        <v>0</v>
      </c>
      <c r="M12" s="165">
        <f t="shared" si="1"/>
        <v>0</v>
      </c>
      <c r="N12" s="13">
        <v>0</v>
      </c>
      <c r="O12" s="162">
        <v>0</v>
      </c>
      <c r="P12" s="165">
        <f t="shared" si="2"/>
        <v>0</v>
      </c>
      <c r="Q12" s="13">
        <v>0</v>
      </c>
      <c r="R12" s="162">
        <v>0</v>
      </c>
      <c r="S12" s="165">
        <f t="shared" si="3"/>
        <v>0</v>
      </c>
      <c r="T12" s="13">
        <v>0</v>
      </c>
      <c r="U12" s="162">
        <v>0</v>
      </c>
      <c r="V12" s="165">
        <f t="shared" si="4"/>
        <v>0</v>
      </c>
      <c r="W12" s="13">
        <v>0</v>
      </c>
      <c r="X12" s="162">
        <v>0</v>
      </c>
      <c r="Y12" s="165">
        <f t="shared" si="5"/>
        <v>0</v>
      </c>
      <c r="Z12" s="13">
        <v>0</v>
      </c>
      <c r="AA12" s="162">
        <v>0</v>
      </c>
      <c r="AB12" s="165">
        <f t="shared" si="6"/>
        <v>0</v>
      </c>
      <c r="AC12" s="13">
        <v>0</v>
      </c>
      <c r="AD12" s="162">
        <v>0</v>
      </c>
      <c r="AE12" s="165">
        <f t="shared" si="7"/>
        <v>0</v>
      </c>
      <c r="AF12" s="13">
        <v>0</v>
      </c>
      <c r="AG12" s="162">
        <v>0</v>
      </c>
      <c r="AH12" s="165">
        <f t="shared" si="8"/>
        <v>0</v>
      </c>
      <c r="AI12" s="13">
        <v>0</v>
      </c>
      <c r="AJ12" s="162">
        <v>0</v>
      </c>
      <c r="AK12" s="165">
        <f t="shared" si="9"/>
        <v>0</v>
      </c>
      <c r="AL12" s="13">
        <v>0</v>
      </c>
      <c r="AM12" s="162">
        <v>0</v>
      </c>
      <c r="AN12" s="165">
        <f t="shared" si="10"/>
        <v>0</v>
      </c>
    </row>
    <row r="13" spans="1:40" x14ac:dyDescent="0.3">
      <c r="A13" s="10" t="s">
        <v>243</v>
      </c>
      <c r="B13" s="10"/>
      <c r="C13" s="8">
        <v>1000</v>
      </c>
      <c r="D13" s="10">
        <v>0</v>
      </c>
      <c r="E13" s="5">
        <v>0</v>
      </c>
      <c r="F13" s="155">
        <v>0</v>
      </c>
      <c r="G13" s="160">
        <f t="shared" si="11"/>
        <v>0</v>
      </c>
      <c r="H13" s="13">
        <v>0</v>
      </c>
      <c r="I13" s="162">
        <v>0</v>
      </c>
      <c r="J13" s="165">
        <f t="shared" si="0"/>
        <v>0</v>
      </c>
      <c r="K13" s="25">
        <v>0</v>
      </c>
      <c r="L13" s="155">
        <v>0</v>
      </c>
      <c r="M13" s="164">
        <f t="shared" si="1"/>
        <v>0</v>
      </c>
      <c r="N13" s="13">
        <v>0</v>
      </c>
      <c r="O13" s="162">
        <v>0</v>
      </c>
      <c r="P13" s="165">
        <f t="shared" si="2"/>
        <v>0</v>
      </c>
      <c r="Q13" s="13">
        <v>0</v>
      </c>
      <c r="R13" s="162">
        <v>0</v>
      </c>
      <c r="S13" s="165">
        <f t="shared" si="3"/>
        <v>0</v>
      </c>
      <c r="T13" s="13">
        <v>0</v>
      </c>
      <c r="U13" s="162">
        <v>0</v>
      </c>
      <c r="V13" s="165">
        <f t="shared" si="4"/>
        <v>0</v>
      </c>
      <c r="W13" s="13">
        <v>0</v>
      </c>
      <c r="X13" s="162">
        <v>0</v>
      </c>
      <c r="Y13" s="165">
        <f t="shared" si="5"/>
        <v>0</v>
      </c>
      <c r="Z13" s="13">
        <v>0</v>
      </c>
      <c r="AA13" s="162">
        <v>0</v>
      </c>
      <c r="AB13" s="165">
        <f t="shared" si="6"/>
        <v>0</v>
      </c>
      <c r="AC13" s="13">
        <v>0</v>
      </c>
      <c r="AD13" s="162">
        <v>0</v>
      </c>
      <c r="AE13" s="165">
        <f t="shared" si="7"/>
        <v>0</v>
      </c>
      <c r="AF13" s="13">
        <v>0</v>
      </c>
      <c r="AG13" s="162">
        <v>0</v>
      </c>
      <c r="AH13" s="165">
        <f t="shared" si="8"/>
        <v>0</v>
      </c>
      <c r="AI13" s="13">
        <v>0</v>
      </c>
      <c r="AJ13" s="162">
        <v>0</v>
      </c>
      <c r="AK13" s="165">
        <f t="shared" si="9"/>
        <v>0</v>
      </c>
      <c r="AL13" s="13">
        <v>0</v>
      </c>
      <c r="AM13" s="162">
        <v>0</v>
      </c>
      <c r="AN13" s="165">
        <f t="shared" si="10"/>
        <v>0</v>
      </c>
    </row>
    <row r="14" spans="1:40" ht="16.2" x14ac:dyDescent="0.45">
      <c r="A14" s="12"/>
      <c r="B14" s="12"/>
      <c r="C14" s="12"/>
      <c r="D14" s="12"/>
      <c r="E14" s="12"/>
      <c r="F14" s="137" t="s">
        <v>7</v>
      </c>
      <c r="G14" s="168">
        <f>+SUM(G6:G13)</f>
        <v>0</v>
      </c>
      <c r="H14" s="12"/>
      <c r="I14" s="137" t="s">
        <v>7</v>
      </c>
      <c r="J14" s="168">
        <f>SUM(J6:J13)</f>
        <v>0</v>
      </c>
      <c r="K14" s="12"/>
      <c r="L14" s="137" t="s">
        <v>7</v>
      </c>
      <c r="M14" s="168">
        <f>SUM(M6:M13)</f>
        <v>0</v>
      </c>
      <c r="N14" s="12"/>
      <c r="O14" s="137" t="s">
        <v>7</v>
      </c>
      <c r="P14" s="168">
        <f>SUM(P6:P13)</f>
        <v>0</v>
      </c>
      <c r="Q14" s="12"/>
      <c r="R14" s="137" t="s">
        <v>7</v>
      </c>
      <c r="S14" s="168">
        <f>SUM(S6:S13)</f>
        <v>0</v>
      </c>
      <c r="T14" s="12"/>
      <c r="U14" s="137" t="s">
        <v>7</v>
      </c>
      <c r="V14" s="168">
        <f>SUM(V6:V13)</f>
        <v>0</v>
      </c>
      <c r="W14" s="12"/>
      <c r="X14" s="137" t="s">
        <v>7</v>
      </c>
      <c r="Y14" s="168">
        <f>SUM(Y6:Y13)</f>
        <v>0</v>
      </c>
      <c r="Z14" s="12"/>
      <c r="AA14" s="139" t="s">
        <v>7</v>
      </c>
      <c r="AB14" s="168">
        <f>SUM(AB6:AB13)</f>
        <v>0</v>
      </c>
      <c r="AC14" s="12"/>
      <c r="AD14" s="137" t="s">
        <v>7</v>
      </c>
      <c r="AE14" s="168">
        <f>SUM(AE6:AE13)</f>
        <v>0</v>
      </c>
      <c r="AF14" s="12"/>
      <c r="AG14" s="137" t="s">
        <v>7</v>
      </c>
      <c r="AH14" s="168">
        <f>SUM(AH6:AH13)</f>
        <v>0</v>
      </c>
      <c r="AI14" s="12"/>
      <c r="AJ14" s="137" t="s">
        <v>7</v>
      </c>
      <c r="AK14" s="168">
        <f>SUM(AK6:AK13)</f>
        <v>0</v>
      </c>
      <c r="AL14" s="12"/>
      <c r="AM14" s="137" t="s">
        <v>7</v>
      </c>
      <c r="AN14" s="168">
        <f>SUM(AN6:AN13)</f>
        <v>0</v>
      </c>
    </row>
  </sheetData>
  <hyperlinks>
    <hyperlink ref="A2" location="Menu!A1" display="Menu" xr:uid="{00000000-0004-0000-0E00-000000000000}"/>
  </hyperlink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12"/>
  <dimension ref="A1:AN14"/>
  <sheetViews>
    <sheetView workbookViewId="0">
      <pane xSplit="1" topLeftCell="B1" activePane="topRight" state="frozen"/>
      <selection pane="topRight" activeCell="D18" sqref="D18"/>
    </sheetView>
  </sheetViews>
  <sheetFormatPr defaultColWidth="9.109375" defaultRowHeight="14.4" x14ac:dyDescent="0.3"/>
  <cols>
    <col min="1" max="1" width="22.44140625" style="1" bestFit="1" customWidth="1"/>
    <col min="2" max="2" width="9.109375" style="1"/>
    <col min="3" max="3" width="18.77734375" style="1" bestFit="1" customWidth="1"/>
    <col min="4" max="4" width="16.6640625" style="1" bestFit="1" customWidth="1"/>
    <col min="5" max="5" width="14.109375" style="1" bestFit="1" customWidth="1"/>
    <col min="6" max="6" width="9.109375" style="1"/>
    <col min="7" max="7" width="12.109375" style="1" bestFit="1" customWidth="1"/>
    <col min="8" max="8" width="14.109375" style="1" bestFit="1" customWidth="1"/>
    <col min="9" max="9" width="9.109375" style="1"/>
    <col min="10" max="10" width="10.88671875" style="1" bestFit="1" customWidth="1"/>
    <col min="11" max="11" width="14.109375" style="1" bestFit="1" customWidth="1"/>
    <col min="12" max="12" width="10.6640625" style="1" bestFit="1" customWidth="1"/>
    <col min="13" max="13" width="10.88671875" style="1" bestFit="1" customWidth="1"/>
    <col min="14" max="14" width="14.109375" style="1" bestFit="1" customWidth="1"/>
    <col min="15" max="15" width="9.109375" style="1"/>
    <col min="16" max="16" width="10.88671875" style="1" bestFit="1" customWidth="1"/>
    <col min="17" max="17" width="14.109375" style="1" bestFit="1" customWidth="1"/>
    <col min="18" max="18" width="9" style="1" bestFit="1" customWidth="1"/>
    <col min="19" max="19" width="10.88671875" style="1" bestFit="1" customWidth="1"/>
    <col min="20" max="20" width="14.109375" style="1" bestFit="1" customWidth="1"/>
    <col min="21" max="21" width="9.109375" style="1"/>
    <col min="22" max="22" width="10.88671875" style="1" bestFit="1" customWidth="1"/>
    <col min="23" max="23" width="14.109375" style="1" bestFit="1" customWidth="1"/>
    <col min="24" max="24" width="9.109375" style="1"/>
    <col min="25" max="25" width="10.88671875" style="1" bestFit="1" customWidth="1"/>
    <col min="26" max="26" width="14.109375" style="1" bestFit="1" customWidth="1"/>
    <col min="27" max="27" width="9.109375" style="1"/>
    <col min="28" max="28" width="10.88671875" style="1" bestFit="1" customWidth="1"/>
    <col min="29" max="29" width="14.109375" style="1" bestFit="1" customWidth="1"/>
    <col min="30" max="30" width="9.109375" style="1"/>
    <col min="31" max="31" width="10.88671875" style="1" bestFit="1" customWidth="1"/>
    <col min="32" max="32" width="14.109375" style="1" bestFit="1" customWidth="1"/>
    <col min="33" max="33" width="9.5546875" style="1" bestFit="1" customWidth="1"/>
    <col min="34" max="34" width="10.88671875" style="1" bestFit="1" customWidth="1"/>
    <col min="35" max="35" width="14.109375" style="1" bestFit="1" customWidth="1"/>
    <col min="36" max="36" width="9.5546875" style="1" bestFit="1" customWidth="1"/>
    <col min="37" max="37" width="10.88671875" style="1" bestFit="1" customWidth="1"/>
    <col min="38" max="38" width="14.109375" style="1" bestFit="1" customWidth="1"/>
    <col min="39" max="39" width="9.5546875" style="1" bestFit="1" customWidth="1"/>
    <col min="40" max="40" width="10.88671875" style="1" bestFit="1" customWidth="1"/>
    <col min="41" max="16384" width="9.109375" style="1"/>
  </cols>
  <sheetData>
    <row r="1" spans="1:40" ht="15" thickBot="1" x14ac:dyDescent="0.35"/>
    <row r="2" spans="1:40" ht="28.5" customHeight="1" thickBot="1" x14ac:dyDescent="0.6">
      <c r="A2" s="185" t="s">
        <v>96</v>
      </c>
      <c r="B2" s="123"/>
      <c r="C2" s="123"/>
      <c r="D2" s="590"/>
      <c r="E2" s="6"/>
      <c r="F2" s="6"/>
      <c r="G2" s="6"/>
    </row>
    <row r="3" spans="1:40" ht="28.8" x14ac:dyDescent="0.55000000000000004">
      <c r="A3" s="188" t="s">
        <v>40</v>
      </c>
      <c r="B3" s="124"/>
      <c r="C3" s="124"/>
      <c r="D3" s="590"/>
      <c r="E3" s="6"/>
      <c r="F3" s="6"/>
      <c r="G3" s="6"/>
    </row>
    <row r="4" spans="1:40" x14ac:dyDescent="0.3">
      <c r="A4" s="7"/>
      <c r="B4" s="7"/>
      <c r="C4" s="7"/>
      <c r="D4" s="7"/>
      <c r="E4" s="4">
        <v>44562</v>
      </c>
      <c r="F4" s="4">
        <v>44562</v>
      </c>
      <c r="G4" s="29">
        <v>44562</v>
      </c>
      <c r="H4" s="11">
        <v>45323</v>
      </c>
      <c r="I4" s="11">
        <v>45323</v>
      </c>
      <c r="J4" s="11">
        <v>45323</v>
      </c>
      <c r="K4" s="11">
        <v>45352</v>
      </c>
      <c r="L4" s="11">
        <v>45352</v>
      </c>
      <c r="M4" s="11">
        <v>45352</v>
      </c>
      <c r="N4" s="11">
        <v>45383</v>
      </c>
      <c r="O4" s="11">
        <v>45383</v>
      </c>
      <c r="P4" s="11">
        <v>45383</v>
      </c>
      <c r="Q4" s="11">
        <v>45413</v>
      </c>
      <c r="R4" s="11">
        <v>45413</v>
      </c>
      <c r="S4" s="11">
        <v>45413</v>
      </c>
      <c r="T4" s="11">
        <v>45444</v>
      </c>
      <c r="U4" s="11">
        <v>45444</v>
      </c>
      <c r="V4" s="11">
        <v>45444</v>
      </c>
      <c r="W4" s="11">
        <v>45474</v>
      </c>
      <c r="X4" s="11">
        <v>45474</v>
      </c>
      <c r="Y4" s="11">
        <v>45474</v>
      </c>
      <c r="Z4" s="11">
        <v>45505</v>
      </c>
      <c r="AA4" s="11">
        <v>45505</v>
      </c>
      <c r="AB4" s="11">
        <v>45505</v>
      </c>
      <c r="AC4" s="11">
        <v>45536</v>
      </c>
      <c r="AD4" s="11">
        <v>45536</v>
      </c>
      <c r="AE4" s="11">
        <v>45536</v>
      </c>
      <c r="AF4" s="11">
        <v>45566</v>
      </c>
      <c r="AG4" s="11">
        <v>45566</v>
      </c>
      <c r="AH4" s="11">
        <v>45566</v>
      </c>
      <c r="AI4" s="11">
        <v>45597</v>
      </c>
      <c r="AJ4" s="11">
        <v>45597</v>
      </c>
      <c r="AK4" s="11">
        <v>45597</v>
      </c>
      <c r="AL4" s="11">
        <v>45627</v>
      </c>
      <c r="AM4" s="11">
        <v>45627</v>
      </c>
      <c r="AN4" s="11">
        <v>45627</v>
      </c>
    </row>
    <row r="5" spans="1:40" x14ac:dyDescent="0.3">
      <c r="A5" s="5" t="s">
        <v>0</v>
      </c>
      <c r="B5" s="5" t="s">
        <v>1</v>
      </c>
      <c r="C5" s="5" t="s">
        <v>2</v>
      </c>
      <c r="D5" s="5" t="s">
        <v>8</v>
      </c>
      <c r="E5" s="5" t="s">
        <v>4</v>
      </c>
      <c r="F5" s="5" t="s">
        <v>5</v>
      </c>
      <c r="G5" s="23" t="s">
        <v>6</v>
      </c>
      <c r="H5" s="13" t="s">
        <v>4</v>
      </c>
      <c r="I5" s="13" t="s">
        <v>5</v>
      </c>
      <c r="J5" s="26" t="s">
        <v>6</v>
      </c>
      <c r="K5" s="13" t="s">
        <v>4</v>
      </c>
      <c r="L5" s="13" t="s">
        <v>98</v>
      </c>
      <c r="M5" s="26" t="s">
        <v>6</v>
      </c>
      <c r="N5" s="13" t="s">
        <v>4</v>
      </c>
      <c r="O5" s="13" t="s">
        <v>5</v>
      </c>
      <c r="P5" s="26" t="s">
        <v>6</v>
      </c>
      <c r="Q5" s="13" t="s">
        <v>4</v>
      </c>
      <c r="R5" s="13" t="s">
        <v>5</v>
      </c>
      <c r="S5" s="26" t="s">
        <v>6</v>
      </c>
      <c r="T5" s="13" t="s">
        <v>4</v>
      </c>
      <c r="U5" s="13" t="s">
        <v>5</v>
      </c>
      <c r="V5" s="26" t="s">
        <v>6</v>
      </c>
      <c r="W5" s="13" t="s">
        <v>4</v>
      </c>
      <c r="X5" s="13" t="s">
        <v>5</v>
      </c>
      <c r="Y5" s="26" t="s">
        <v>6</v>
      </c>
      <c r="Z5" s="13" t="s">
        <v>4</v>
      </c>
      <c r="AA5" s="13" t="s">
        <v>5</v>
      </c>
      <c r="AB5" s="26" t="s">
        <v>6</v>
      </c>
      <c r="AC5" s="13" t="s">
        <v>4</v>
      </c>
      <c r="AD5" s="13" t="s">
        <v>5</v>
      </c>
      <c r="AE5" s="26" t="s">
        <v>6</v>
      </c>
      <c r="AF5" s="13" t="s">
        <v>4</v>
      </c>
      <c r="AG5" s="13" t="s">
        <v>5</v>
      </c>
      <c r="AH5" s="26" t="s">
        <v>6</v>
      </c>
      <c r="AI5" s="13" t="s">
        <v>4</v>
      </c>
      <c r="AJ5" s="13" t="s">
        <v>5</v>
      </c>
      <c r="AK5" s="26" t="s">
        <v>6</v>
      </c>
      <c r="AL5" s="13" t="s">
        <v>4</v>
      </c>
      <c r="AM5" s="13" t="s">
        <v>5</v>
      </c>
      <c r="AN5" s="26" t="s">
        <v>6</v>
      </c>
    </row>
    <row r="6" spans="1:40" x14ac:dyDescent="0.3">
      <c r="A6" s="25" t="s">
        <v>142</v>
      </c>
      <c r="B6" s="5">
        <v>0</v>
      </c>
      <c r="C6" s="5">
        <v>0</v>
      </c>
      <c r="D6" s="5">
        <v>0</v>
      </c>
      <c r="E6" s="9">
        <v>0</v>
      </c>
      <c r="F6" s="154">
        <v>0</v>
      </c>
      <c r="G6" s="181">
        <f>E6*F6</f>
        <v>0</v>
      </c>
      <c r="H6" s="14">
        <v>0</v>
      </c>
      <c r="I6" s="162">
        <v>0</v>
      </c>
      <c r="J6" s="166">
        <f t="shared" ref="J6:J13" si="0">I6*H6</f>
        <v>0</v>
      </c>
      <c r="K6" s="128">
        <v>0</v>
      </c>
      <c r="L6" s="184">
        <v>0</v>
      </c>
      <c r="M6" s="166">
        <f t="shared" ref="M6:M13" si="1">L6*K6</f>
        <v>0</v>
      </c>
      <c r="N6" s="14">
        <v>0</v>
      </c>
      <c r="O6" s="162">
        <v>0</v>
      </c>
      <c r="P6" s="166">
        <f t="shared" ref="P6:P13" si="2">O6*N6</f>
        <v>0</v>
      </c>
      <c r="Q6" s="14">
        <v>0</v>
      </c>
      <c r="R6" s="162">
        <v>0</v>
      </c>
      <c r="S6" s="166">
        <f t="shared" ref="S6:S13" si="3">R6*Q6</f>
        <v>0</v>
      </c>
      <c r="T6" s="14">
        <v>0</v>
      </c>
      <c r="U6" s="162">
        <v>0</v>
      </c>
      <c r="V6" s="166">
        <f t="shared" ref="V6:V13" si="4">U6*T6</f>
        <v>0</v>
      </c>
      <c r="W6" s="14">
        <v>0</v>
      </c>
      <c r="X6" s="162">
        <v>0</v>
      </c>
      <c r="Y6" s="166">
        <f t="shared" ref="Y6:Y13" si="5">X6*W6</f>
        <v>0</v>
      </c>
      <c r="Z6" s="14">
        <v>0</v>
      </c>
      <c r="AA6" s="162">
        <v>0</v>
      </c>
      <c r="AB6" s="166">
        <f t="shared" ref="AB6:AB13" si="6">AA6*Z6</f>
        <v>0</v>
      </c>
      <c r="AC6" s="14">
        <v>0</v>
      </c>
      <c r="AD6" s="162">
        <v>0</v>
      </c>
      <c r="AE6" s="166">
        <f t="shared" ref="AE6:AE13" si="7">AD6*AC6</f>
        <v>0</v>
      </c>
      <c r="AF6" s="14">
        <v>0</v>
      </c>
      <c r="AG6" s="162">
        <v>0</v>
      </c>
      <c r="AH6" s="166">
        <f t="shared" ref="AH6:AH13" si="8">AG6*AF6</f>
        <v>0</v>
      </c>
      <c r="AI6" s="14">
        <v>0</v>
      </c>
      <c r="AJ6" s="162">
        <v>0</v>
      </c>
      <c r="AK6" s="166">
        <f t="shared" ref="AK6:AK13" si="9">AJ6*AI6</f>
        <v>0</v>
      </c>
      <c r="AL6" s="14">
        <v>0</v>
      </c>
      <c r="AM6" s="162">
        <v>0</v>
      </c>
      <c r="AN6" s="166">
        <f t="shared" ref="AN6:AN13" si="10">AM6*AL6</f>
        <v>0</v>
      </c>
    </row>
    <row r="7" spans="1:40" x14ac:dyDescent="0.3">
      <c r="A7" s="25" t="s">
        <v>143</v>
      </c>
      <c r="B7" s="5">
        <v>0</v>
      </c>
      <c r="C7" s="5">
        <v>0</v>
      </c>
      <c r="D7" s="5">
        <v>0</v>
      </c>
      <c r="E7" s="9">
        <v>0</v>
      </c>
      <c r="F7" s="154">
        <v>0</v>
      </c>
      <c r="G7" s="181">
        <f t="shared" ref="G7:G13" si="11">E7*F7</f>
        <v>0</v>
      </c>
      <c r="H7" s="14">
        <v>0</v>
      </c>
      <c r="I7" s="162">
        <v>0</v>
      </c>
      <c r="J7" s="166">
        <f t="shared" si="0"/>
        <v>0</v>
      </c>
      <c r="K7" s="128">
        <v>0</v>
      </c>
      <c r="L7" s="162">
        <v>0</v>
      </c>
      <c r="M7" s="166">
        <f t="shared" si="1"/>
        <v>0</v>
      </c>
      <c r="N7" s="14">
        <v>0</v>
      </c>
      <c r="O7" s="162">
        <v>0</v>
      </c>
      <c r="P7" s="166">
        <f t="shared" si="2"/>
        <v>0</v>
      </c>
      <c r="Q7" s="14">
        <v>0</v>
      </c>
      <c r="R7" s="162">
        <v>0</v>
      </c>
      <c r="S7" s="166">
        <f t="shared" si="3"/>
        <v>0</v>
      </c>
      <c r="T7" s="14">
        <v>0</v>
      </c>
      <c r="U7" s="162">
        <v>0</v>
      </c>
      <c r="V7" s="166">
        <f t="shared" si="4"/>
        <v>0</v>
      </c>
      <c r="W7" s="14">
        <v>0</v>
      </c>
      <c r="X7" s="162">
        <v>0</v>
      </c>
      <c r="Y7" s="166">
        <f t="shared" si="5"/>
        <v>0</v>
      </c>
      <c r="Z7" s="14">
        <v>0</v>
      </c>
      <c r="AA7" s="162">
        <v>0</v>
      </c>
      <c r="AB7" s="166">
        <f t="shared" si="6"/>
        <v>0</v>
      </c>
      <c r="AC7" s="14">
        <v>0</v>
      </c>
      <c r="AD7" s="162">
        <v>0</v>
      </c>
      <c r="AE7" s="166">
        <f t="shared" si="7"/>
        <v>0</v>
      </c>
      <c r="AF7" s="14">
        <v>0</v>
      </c>
      <c r="AG7" s="162">
        <v>0</v>
      </c>
      <c r="AH7" s="166">
        <f t="shared" si="8"/>
        <v>0</v>
      </c>
      <c r="AI7" s="14">
        <v>0</v>
      </c>
      <c r="AJ7" s="162">
        <v>0</v>
      </c>
      <c r="AK7" s="166">
        <f t="shared" si="9"/>
        <v>0</v>
      </c>
      <c r="AL7" s="14">
        <v>0</v>
      </c>
      <c r="AM7" s="162">
        <v>0</v>
      </c>
      <c r="AN7" s="166">
        <f t="shared" si="10"/>
        <v>0</v>
      </c>
    </row>
    <row r="8" spans="1:40" x14ac:dyDescent="0.3">
      <c r="A8" s="25" t="s">
        <v>144</v>
      </c>
      <c r="B8" s="5">
        <v>0</v>
      </c>
      <c r="C8" s="5">
        <v>0</v>
      </c>
      <c r="D8" s="5">
        <v>0</v>
      </c>
      <c r="E8" s="9">
        <v>0</v>
      </c>
      <c r="F8" s="154">
        <v>0</v>
      </c>
      <c r="G8" s="181">
        <f t="shared" si="11"/>
        <v>0</v>
      </c>
      <c r="H8" s="14">
        <v>0</v>
      </c>
      <c r="I8" s="162">
        <v>0</v>
      </c>
      <c r="J8" s="166">
        <f t="shared" si="0"/>
        <v>0</v>
      </c>
      <c r="K8" s="128">
        <v>0</v>
      </c>
      <c r="L8" s="162">
        <v>0</v>
      </c>
      <c r="M8" s="166">
        <f t="shared" si="1"/>
        <v>0</v>
      </c>
      <c r="N8" s="14">
        <v>0</v>
      </c>
      <c r="O8" s="162">
        <v>0</v>
      </c>
      <c r="P8" s="166">
        <f t="shared" si="2"/>
        <v>0</v>
      </c>
      <c r="Q8" s="14">
        <v>0</v>
      </c>
      <c r="R8" s="162">
        <v>0</v>
      </c>
      <c r="S8" s="166">
        <f t="shared" si="3"/>
        <v>0</v>
      </c>
      <c r="T8" s="14">
        <v>0</v>
      </c>
      <c r="U8" s="162">
        <v>0</v>
      </c>
      <c r="V8" s="166">
        <f t="shared" si="4"/>
        <v>0</v>
      </c>
      <c r="W8" s="14">
        <v>0</v>
      </c>
      <c r="X8" s="162">
        <v>0</v>
      </c>
      <c r="Y8" s="166">
        <f t="shared" si="5"/>
        <v>0</v>
      </c>
      <c r="Z8" s="14">
        <v>0</v>
      </c>
      <c r="AA8" s="162">
        <v>0</v>
      </c>
      <c r="AB8" s="166">
        <f t="shared" si="6"/>
        <v>0</v>
      </c>
      <c r="AC8" s="14">
        <v>0</v>
      </c>
      <c r="AD8" s="162">
        <v>0</v>
      </c>
      <c r="AE8" s="166">
        <f t="shared" si="7"/>
        <v>0</v>
      </c>
      <c r="AF8" s="14">
        <v>0</v>
      </c>
      <c r="AG8" s="162">
        <v>0</v>
      </c>
      <c r="AH8" s="166">
        <f t="shared" si="8"/>
        <v>0</v>
      </c>
      <c r="AI8" s="14">
        <v>0</v>
      </c>
      <c r="AJ8" s="162">
        <v>0</v>
      </c>
      <c r="AK8" s="166">
        <f t="shared" si="9"/>
        <v>0</v>
      </c>
      <c r="AL8" s="14">
        <v>0</v>
      </c>
      <c r="AM8" s="162">
        <v>0</v>
      </c>
      <c r="AN8" s="166">
        <f t="shared" si="10"/>
        <v>0</v>
      </c>
    </row>
    <row r="9" spans="1:40" x14ac:dyDescent="0.3">
      <c r="A9" s="25" t="s">
        <v>145</v>
      </c>
      <c r="B9" s="5">
        <v>0</v>
      </c>
      <c r="C9" s="5">
        <v>0</v>
      </c>
      <c r="D9" s="5">
        <v>0</v>
      </c>
      <c r="E9" s="9">
        <v>0</v>
      </c>
      <c r="F9" s="154">
        <v>0</v>
      </c>
      <c r="G9" s="181">
        <f t="shared" si="11"/>
        <v>0</v>
      </c>
      <c r="H9" s="14">
        <v>0</v>
      </c>
      <c r="I9" s="162">
        <v>0</v>
      </c>
      <c r="J9" s="166">
        <f t="shared" si="0"/>
        <v>0</v>
      </c>
      <c r="K9" s="128">
        <v>0</v>
      </c>
      <c r="L9" s="162">
        <v>0</v>
      </c>
      <c r="M9" s="166">
        <f t="shared" si="1"/>
        <v>0</v>
      </c>
      <c r="N9" s="14">
        <v>0</v>
      </c>
      <c r="O9" s="162">
        <v>0</v>
      </c>
      <c r="P9" s="166">
        <f t="shared" si="2"/>
        <v>0</v>
      </c>
      <c r="Q9" s="14">
        <v>0</v>
      </c>
      <c r="R9" s="162">
        <v>0</v>
      </c>
      <c r="S9" s="166">
        <f t="shared" si="3"/>
        <v>0</v>
      </c>
      <c r="T9" s="14">
        <v>0</v>
      </c>
      <c r="U9" s="162">
        <v>0</v>
      </c>
      <c r="V9" s="166">
        <f t="shared" si="4"/>
        <v>0</v>
      </c>
      <c r="W9" s="14">
        <v>0</v>
      </c>
      <c r="X9" s="162">
        <v>0</v>
      </c>
      <c r="Y9" s="166">
        <f t="shared" si="5"/>
        <v>0</v>
      </c>
      <c r="Z9" s="14">
        <v>0</v>
      </c>
      <c r="AA9" s="162">
        <v>0</v>
      </c>
      <c r="AB9" s="166">
        <f t="shared" si="6"/>
        <v>0</v>
      </c>
      <c r="AC9" s="14">
        <v>0</v>
      </c>
      <c r="AD9" s="162">
        <v>0</v>
      </c>
      <c r="AE9" s="166">
        <f t="shared" si="7"/>
        <v>0</v>
      </c>
      <c r="AF9" s="14">
        <v>0</v>
      </c>
      <c r="AG9" s="162">
        <v>0</v>
      </c>
      <c r="AH9" s="166">
        <f t="shared" si="8"/>
        <v>0</v>
      </c>
      <c r="AI9" s="14">
        <v>0</v>
      </c>
      <c r="AJ9" s="162">
        <v>0</v>
      </c>
      <c r="AK9" s="166">
        <f t="shared" si="9"/>
        <v>0</v>
      </c>
      <c r="AL9" s="14">
        <v>0</v>
      </c>
      <c r="AM9" s="162">
        <v>0</v>
      </c>
      <c r="AN9" s="166">
        <f t="shared" si="10"/>
        <v>0</v>
      </c>
    </row>
    <row r="10" spans="1:40" x14ac:dyDescent="0.3">
      <c r="A10" s="25" t="s">
        <v>146</v>
      </c>
      <c r="B10" s="5">
        <v>0</v>
      </c>
      <c r="C10" s="5">
        <v>0</v>
      </c>
      <c r="D10" s="5">
        <v>0</v>
      </c>
      <c r="E10" s="9">
        <v>0</v>
      </c>
      <c r="F10" s="154">
        <v>0</v>
      </c>
      <c r="G10" s="181">
        <f t="shared" si="11"/>
        <v>0</v>
      </c>
      <c r="H10" s="14">
        <v>0</v>
      </c>
      <c r="I10" s="162">
        <v>0</v>
      </c>
      <c r="J10" s="166">
        <f t="shared" si="0"/>
        <v>0</v>
      </c>
      <c r="K10" s="128">
        <v>0</v>
      </c>
      <c r="L10" s="162">
        <v>0</v>
      </c>
      <c r="M10" s="166">
        <f t="shared" si="1"/>
        <v>0</v>
      </c>
      <c r="N10" s="14">
        <v>0</v>
      </c>
      <c r="O10" s="162">
        <v>0</v>
      </c>
      <c r="P10" s="166">
        <f t="shared" si="2"/>
        <v>0</v>
      </c>
      <c r="Q10" s="14">
        <v>0</v>
      </c>
      <c r="R10" s="162">
        <v>0</v>
      </c>
      <c r="S10" s="166">
        <f t="shared" si="3"/>
        <v>0</v>
      </c>
      <c r="T10" s="14">
        <v>0</v>
      </c>
      <c r="U10" s="162">
        <v>0</v>
      </c>
      <c r="V10" s="166">
        <f t="shared" si="4"/>
        <v>0</v>
      </c>
      <c r="W10" s="14">
        <v>0</v>
      </c>
      <c r="X10" s="162">
        <v>0</v>
      </c>
      <c r="Y10" s="166">
        <f t="shared" si="5"/>
        <v>0</v>
      </c>
      <c r="Z10" s="14">
        <v>0</v>
      </c>
      <c r="AA10" s="162">
        <v>0</v>
      </c>
      <c r="AB10" s="166">
        <f t="shared" si="6"/>
        <v>0</v>
      </c>
      <c r="AC10" s="14">
        <v>0</v>
      </c>
      <c r="AD10" s="162">
        <v>0</v>
      </c>
      <c r="AE10" s="166">
        <f t="shared" si="7"/>
        <v>0</v>
      </c>
      <c r="AF10" s="14">
        <v>0</v>
      </c>
      <c r="AG10" s="162">
        <v>0</v>
      </c>
      <c r="AH10" s="166">
        <f t="shared" si="8"/>
        <v>0</v>
      </c>
      <c r="AI10" s="14">
        <v>0</v>
      </c>
      <c r="AJ10" s="162">
        <v>0</v>
      </c>
      <c r="AK10" s="166">
        <f t="shared" si="9"/>
        <v>0</v>
      </c>
      <c r="AL10" s="14">
        <v>0</v>
      </c>
      <c r="AM10" s="162">
        <v>0</v>
      </c>
      <c r="AN10" s="166">
        <f t="shared" si="10"/>
        <v>0</v>
      </c>
    </row>
    <row r="11" spans="1:40" x14ac:dyDescent="0.3">
      <c r="A11" s="25" t="s">
        <v>147</v>
      </c>
      <c r="B11" s="5">
        <v>0</v>
      </c>
      <c r="C11" s="5">
        <v>0</v>
      </c>
      <c r="D11" s="5">
        <v>0</v>
      </c>
      <c r="E11" s="5">
        <v>0</v>
      </c>
      <c r="F11" s="154">
        <v>0</v>
      </c>
      <c r="G11" s="191">
        <f t="shared" si="11"/>
        <v>0</v>
      </c>
      <c r="H11" s="13">
        <v>0</v>
      </c>
      <c r="I11" s="162">
        <v>0</v>
      </c>
      <c r="J11" s="189">
        <f t="shared" si="0"/>
        <v>0</v>
      </c>
      <c r="K11" s="25">
        <v>0</v>
      </c>
      <c r="L11" s="162">
        <v>0</v>
      </c>
      <c r="M11" s="189">
        <f t="shared" si="1"/>
        <v>0</v>
      </c>
      <c r="N11" s="13">
        <v>0</v>
      </c>
      <c r="O11" s="162">
        <v>0</v>
      </c>
      <c r="P11" s="189">
        <f t="shared" si="2"/>
        <v>0</v>
      </c>
      <c r="Q11" s="13">
        <v>0</v>
      </c>
      <c r="R11" s="162">
        <v>0</v>
      </c>
      <c r="S11" s="189">
        <f t="shared" si="3"/>
        <v>0</v>
      </c>
      <c r="T11" s="13">
        <v>0</v>
      </c>
      <c r="U11" s="162">
        <v>0</v>
      </c>
      <c r="V11" s="189">
        <f t="shared" si="4"/>
        <v>0</v>
      </c>
      <c r="W11" s="13">
        <v>0</v>
      </c>
      <c r="X11" s="162">
        <v>0</v>
      </c>
      <c r="Y11" s="189">
        <f t="shared" si="5"/>
        <v>0</v>
      </c>
      <c r="Z11" s="13">
        <v>0</v>
      </c>
      <c r="AA11" s="162">
        <v>0</v>
      </c>
      <c r="AB11" s="189">
        <f t="shared" si="6"/>
        <v>0</v>
      </c>
      <c r="AC11" s="13">
        <v>0</v>
      </c>
      <c r="AD11" s="162">
        <v>0</v>
      </c>
      <c r="AE11" s="189">
        <f t="shared" si="7"/>
        <v>0</v>
      </c>
      <c r="AF11" s="13">
        <v>0</v>
      </c>
      <c r="AG11" s="162">
        <v>0</v>
      </c>
      <c r="AH11" s="189">
        <f t="shared" si="8"/>
        <v>0</v>
      </c>
      <c r="AI11" s="13">
        <v>0</v>
      </c>
      <c r="AJ11" s="162">
        <v>0</v>
      </c>
      <c r="AK11" s="189">
        <f t="shared" si="9"/>
        <v>0</v>
      </c>
      <c r="AL11" s="13">
        <v>0</v>
      </c>
      <c r="AM11" s="162">
        <v>0</v>
      </c>
      <c r="AN11" s="189">
        <f t="shared" si="10"/>
        <v>0</v>
      </c>
    </row>
    <row r="12" spans="1:40" x14ac:dyDescent="0.3">
      <c r="A12" s="5"/>
      <c r="B12" s="5">
        <v>0</v>
      </c>
      <c r="C12" s="5">
        <v>0</v>
      </c>
      <c r="D12" s="5">
        <v>0</v>
      </c>
      <c r="E12" s="5">
        <v>0</v>
      </c>
      <c r="F12" s="154">
        <v>0</v>
      </c>
      <c r="G12" s="191">
        <f t="shared" si="11"/>
        <v>0</v>
      </c>
      <c r="H12" s="13">
        <v>0</v>
      </c>
      <c r="I12" s="162">
        <v>0</v>
      </c>
      <c r="J12" s="189">
        <f t="shared" si="0"/>
        <v>0</v>
      </c>
      <c r="K12" s="13">
        <v>0</v>
      </c>
      <c r="L12" s="162">
        <v>0</v>
      </c>
      <c r="M12" s="189">
        <f t="shared" si="1"/>
        <v>0</v>
      </c>
      <c r="N12" s="13">
        <v>0</v>
      </c>
      <c r="O12" s="162">
        <v>0</v>
      </c>
      <c r="P12" s="189">
        <f t="shared" si="2"/>
        <v>0</v>
      </c>
      <c r="Q12" s="13">
        <v>0</v>
      </c>
      <c r="R12" s="162">
        <v>0</v>
      </c>
      <c r="S12" s="189">
        <f t="shared" si="3"/>
        <v>0</v>
      </c>
      <c r="T12" s="13">
        <v>0</v>
      </c>
      <c r="U12" s="162">
        <v>0</v>
      </c>
      <c r="V12" s="189">
        <f t="shared" si="4"/>
        <v>0</v>
      </c>
      <c r="W12" s="13">
        <v>0</v>
      </c>
      <c r="X12" s="162">
        <v>0</v>
      </c>
      <c r="Y12" s="189">
        <f t="shared" si="5"/>
        <v>0</v>
      </c>
      <c r="Z12" s="13">
        <v>0</v>
      </c>
      <c r="AA12" s="162">
        <v>0</v>
      </c>
      <c r="AB12" s="189">
        <f t="shared" si="6"/>
        <v>0</v>
      </c>
      <c r="AC12" s="13">
        <v>0</v>
      </c>
      <c r="AD12" s="162">
        <v>0</v>
      </c>
      <c r="AE12" s="189">
        <f t="shared" si="7"/>
        <v>0</v>
      </c>
      <c r="AF12" s="13">
        <v>0</v>
      </c>
      <c r="AG12" s="162">
        <v>0</v>
      </c>
      <c r="AH12" s="189">
        <f t="shared" si="8"/>
        <v>0</v>
      </c>
      <c r="AI12" s="13">
        <v>0</v>
      </c>
      <c r="AJ12" s="162">
        <v>0</v>
      </c>
      <c r="AK12" s="189">
        <f t="shared" si="9"/>
        <v>0</v>
      </c>
      <c r="AL12" s="13">
        <v>0</v>
      </c>
      <c r="AM12" s="162">
        <v>0</v>
      </c>
      <c r="AN12" s="189">
        <f t="shared" si="10"/>
        <v>0</v>
      </c>
    </row>
    <row r="13" spans="1:40" x14ac:dyDescent="0.3">
      <c r="A13" s="5"/>
      <c r="B13" s="5">
        <v>0</v>
      </c>
      <c r="C13" s="5">
        <v>0</v>
      </c>
      <c r="D13" s="5">
        <v>0</v>
      </c>
      <c r="E13" s="5">
        <v>0</v>
      </c>
      <c r="F13" s="154">
        <v>0</v>
      </c>
      <c r="G13" s="191">
        <f t="shared" si="11"/>
        <v>0</v>
      </c>
      <c r="H13" s="13">
        <v>0</v>
      </c>
      <c r="I13" s="163">
        <v>0</v>
      </c>
      <c r="J13" s="166">
        <f t="shared" si="0"/>
        <v>0</v>
      </c>
      <c r="K13" s="13">
        <v>0</v>
      </c>
      <c r="L13" s="163">
        <v>0</v>
      </c>
      <c r="M13" s="166">
        <f t="shared" si="1"/>
        <v>0</v>
      </c>
      <c r="N13" s="13">
        <v>0</v>
      </c>
      <c r="O13" s="163">
        <v>0</v>
      </c>
      <c r="P13" s="166">
        <f t="shared" si="2"/>
        <v>0</v>
      </c>
      <c r="Q13" s="13">
        <v>0</v>
      </c>
      <c r="R13" s="163">
        <v>0</v>
      </c>
      <c r="S13" s="166">
        <f t="shared" si="3"/>
        <v>0</v>
      </c>
      <c r="T13" s="13">
        <v>0</v>
      </c>
      <c r="U13" s="163">
        <v>0</v>
      </c>
      <c r="V13" s="166">
        <f t="shared" si="4"/>
        <v>0</v>
      </c>
      <c r="W13" s="13">
        <v>0</v>
      </c>
      <c r="X13" s="163">
        <v>0</v>
      </c>
      <c r="Y13" s="166">
        <f t="shared" si="5"/>
        <v>0</v>
      </c>
      <c r="Z13" s="13">
        <v>0</v>
      </c>
      <c r="AA13" s="163">
        <v>0</v>
      </c>
      <c r="AB13" s="166">
        <f t="shared" si="6"/>
        <v>0</v>
      </c>
      <c r="AC13" s="13">
        <v>0</v>
      </c>
      <c r="AD13" s="163">
        <v>0</v>
      </c>
      <c r="AE13" s="166">
        <f t="shared" si="7"/>
        <v>0</v>
      </c>
      <c r="AF13" s="13">
        <v>0</v>
      </c>
      <c r="AG13" s="163">
        <v>0</v>
      </c>
      <c r="AH13" s="166">
        <f t="shared" si="8"/>
        <v>0</v>
      </c>
      <c r="AI13" s="13">
        <v>0</v>
      </c>
      <c r="AJ13" s="163">
        <v>0</v>
      </c>
      <c r="AK13" s="166">
        <f t="shared" si="9"/>
        <v>0</v>
      </c>
      <c r="AL13" s="13">
        <v>0</v>
      </c>
      <c r="AM13" s="163">
        <v>0</v>
      </c>
      <c r="AN13" s="166">
        <f t="shared" si="10"/>
        <v>0</v>
      </c>
    </row>
    <row r="14" spans="1:40" ht="16.2" x14ac:dyDescent="0.45">
      <c r="A14" s="68"/>
      <c r="B14" s="68"/>
      <c r="C14" s="68"/>
      <c r="D14" s="68"/>
      <c r="E14" s="68"/>
      <c r="F14" s="140" t="s">
        <v>7</v>
      </c>
      <c r="G14" s="192">
        <f>SUM(G6:G13)</f>
        <v>0</v>
      </c>
      <c r="H14" s="12"/>
      <c r="I14" s="137" t="s">
        <v>7</v>
      </c>
      <c r="J14" s="190">
        <f>SUM(J6:J13)</f>
        <v>0</v>
      </c>
      <c r="K14" s="12"/>
      <c r="L14" s="137" t="s">
        <v>7</v>
      </c>
      <c r="M14" s="190">
        <f>SUM(M6:M13)</f>
        <v>0</v>
      </c>
      <c r="N14" s="12"/>
      <c r="O14" s="137" t="s">
        <v>7</v>
      </c>
      <c r="P14" s="190">
        <f>SUM(P6:P13)</f>
        <v>0</v>
      </c>
      <c r="Q14" s="12"/>
      <c r="R14" s="137" t="s">
        <v>7</v>
      </c>
      <c r="S14" s="190">
        <f>SUM(S6:S13)</f>
        <v>0</v>
      </c>
      <c r="T14" s="12"/>
      <c r="U14" s="137" t="s">
        <v>7</v>
      </c>
      <c r="V14" s="190">
        <f>SUM(V6:V13)</f>
        <v>0</v>
      </c>
      <c r="W14" s="12"/>
      <c r="X14" s="137" t="s">
        <v>7</v>
      </c>
      <c r="Y14" s="190">
        <f>SUM(Y6:Y13)</f>
        <v>0</v>
      </c>
      <c r="Z14" s="12"/>
      <c r="AA14" s="137" t="s">
        <v>7</v>
      </c>
      <c r="AB14" s="190">
        <f>SUM(AB6:AB13)</f>
        <v>0</v>
      </c>
      <c r="AC14" s="12"/>
      <c r="AD14" s="137" t="s">
        <v>7</v>
      </c>
      <c r="AE14" s="190">
        <f>SUM(AE6:AE13)</f>
        <v>0</v>
      </c>
      <c r="AF14" s="12"/>
      <c r="AG14" s="137" t="s">
        <v>7</v>
      </c>
      <c r="AH14" s="190">
        <f>SUM(AH6:AH13)</f>
        <v>0</v>
      </c>
      <c r="AI14" s="12"/>
      <c r="AJ14" s="137" t="s">
        <v>7</v>
      </c>
      <c r="AK14" s="190">
        <f>SUM(AK6:AK13)</f>
        <v>0</v>
      </c>
      <c r="AL14" s="12"/>
      <c r="AM14" s="137" t="s">
        <v>7</v>
      </c>
      <c r="AN14" s="190">
        <f>SUM(AN6:AN13)</f>
        <v>0</v>
      </c>
    </row>
  </sheetData>
  <mergeCells count="1">
    <mergeCell ref="D2:D3"/>
  </mergeCells>
  <hyperlinks>
    <hyperlink ref="A2" location="Menu!A1" display="Menu" xr:uid="{00000000-0004-0000-1800-000000000000}"/>
  </hyperlink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Plan14"/>
  <dimension ref="A1:N20"/>
  <sheetViews>
    <sheetView workbookViewId="0">
      <selection activeCell="H27" sqref="H27"/>
    </sheetView>
  </sheetViews>
  <sheetFormatPr defaultColWidth="9.109375" defaultRowHeight="14.4" x14ac:dyDescent="0.3"/>
  <cols>
    <col min="1" max="1" width="22.44140625" style="37" bestFit="1" customWidth="1"/>
    <col min="2" max="2" width="13.44140625" style="37" bestFit="1" customWidth="1"/>
    <col min="3" max="14" width="12.6640625" style="37" customWidth="1"/>
    <col min="15" max="16384" width="9.109375" style="37"/>
  </cols>
  <sheetData>
    <row r="1" spans="1:14" ht="15" thickBot="1" x14ac:dyDescent="0.35"/>
    <row r="2" spans="1:14" ht="29.4" thickBot="1" x14ac:dyDescent="0.6">
      <c r="A2" s="439" t="s">
        <v>96</v>
      </c>
    </row>
    <row r="3" spans="1:14" ht="28.8" x14ac:dyDescent="0.3">
      <c r="A3" s="370" t="s">
        <v>39</v>
      </c>
      <c r="B3" s="371"/>
    </row>
    <row r="4" spans="1:14" ht="21" x14ac:dyDescent="0.3">
      <c r="A4" s="372"/>
      <c r="B4" s="373"/>
      <c r="C4" s="591" t="s">
        <v>41</v>
      </c>
      <c r="D4" s="591" t="s">
        <v>42</v>
      </c>
      <c r="E4" s="591" t="s">
        <v>43</v>
      </c>
      <c r="F4" s="591" t="s">
        <v>44</v>
      </c>
      <c r="G4" s="591" t="s">
        <v>45</v>
      </c>
      <c r="H4" s="591" t="s">
        <v>46</v>
      </c>
      <c r="I4" s="591" t="s">
        <v>47</v>
      </c>
      <c r="J4" s="591" t="s">
        <v>48</v>
      </c>
      <c r="K4" s="591" t="s">
        <v>49</v>
      </c>
      <c r="L4" s="591" t="s">
        <v>50</v>
      </c>
      <c r="M4" s="591" t="s">
        <v>51</v>
      </c>
      <c r="N4" s="591" t="s">
        <v>52</v>
      </c>
    </row>
    <row r="5" spans="1:14" x14ac:dyDescent="0.3">
      <c r="A5" s="374" t="s">
        <v>0</v>
      </c>
      <c r="B5" s="374" t="s">
        <v>11</v>
      </c>
      <c r="C5" s="591"/>
      <c r="D5" s="591"/>
      <c r="E5" s="591"/>
      <c r="F5" s="591"/>
      <c r="G5" s="591"/>
      <c r="H5" s="591"/>
      <c r="I5" s="591"/>
      <c r="J5" s="591"/>
      <c r="K5" s="591"/>
      <c r="L5" s="591"/>
      <c r="M5" s="591"/>
      <c r="N5" s="591"/>
    </row>
    <row r="6" spans="1:14" x14ac:dyDescent="0.3">
      <c r="A6" s="374"/>
      <c r="B6" s="375"/>
      <c r="C6" s="376">
        <v>0</v>
      </c>
      <c r="D6" s="376">
        <v>0</v>
      </c>
      <c r="E6" s="376">
        <v>0</v>
      </c>
      <c r="F6" s="376">
        <v>0</v>
      </c>
      <c r="G6" s="376">
        <v>0</v>
      </c>
      <c r="H6" s="376">
        <v>0</v>
      </c>
      <c r="I6" s="376">
        <v>0</v>
      </c>
      <c r="J6" s="376">
        <v>0</v>
      </c>
      <c r="K6" s="376">
        <v>0</v>
      </c>
      <c r="L6" s="376">
        <v>0</v>
      </c>
      <c r="M6" s="376">
        <v>0</v>
      </c>
      <c r="N6" s="376">
        <v>0</v>
      </c>
    </row>
    <row r="7" spans="1:14" x14ac:dyDescent="0.3">
      <c r="A7" s="374"/>
      <c r="B7" s="374"/>
      <c r="C7" s="376">
        <v>0</v>
      </c>
      <c r="D7" s="376">
        <v>0</v>
      </c>
      <c r="E7" s="376">
        <v>0</v>
      </c>
      <c r="F7" s="376">
        <v>0</v>
      </c>
      <c r="G7" s="376">
        <v>0</v>
      </c>
      <c r="H7" s="376">
        <v>0</v>
      </c>
      <c r="I7" s="376">
        <v>0</v>
      </c>
      <c r="J7" s="376">
        <v>0</v>
      </c>
      <c r="K7" s="376">
        <v>0</v>
      </c>
      <c r="L7" s="376">
        <v>0</v>
      </c>
      <c r="M7" s="376">
        <v>0</v>
      </c>
      <c r="N7" s="376">
        <v>0</v>
      </c>
    </row>
    <row r="8" spans="1:14" x14ac:dyDescent="0.3">
      <c r="A8" s="374"/>
      <c r="B8" s="377"/>
      <c r="C8" s="376">
        <v>0</v>
      </c>
      <c r="D8" s="376">
        <v>0</v>
      </c>
      <c r="E8" s="376">
        <v>0</v>
      </c>
      <c r="F8" s="376">
        <v>0</v>
      </c>
      <c r="G8" s="376">
        <v>0</v>
      </c>
      <c r="H8" s="376">
        <v>0</v>
      </c>
      <c r="I8" s="376">
        <v>0</v>
      </c>
      <c r="J8" s="376">
        <v>0</v>
      </c>
      <c r="K8" s="376">
        <v>0</v>
      </c>
      <c r="L8" s="376">
        <v>0</v>
      </c>
      <c r="M8" s="376">
        <v>0</v>
      </c>
      <c r="N8" s="376">
        <v>0</v>
      </c>
    </row>
    <row r="9" spans="1:14" x14ac:dyDescent="0.3">
      <c r="A9" s="374"/>
      <c r="B9" s="377"/>
      <c r="C9" s="376">
        <v>0</v>
      </c>
      <c r="D9" s="376">
        <v>0</v>
      </c>
      <c r="E9" s="376">
        <v>0</v>
      </c>
      <c r="F9" s="376">
        <v>0</v>
      </c>
      <c r="G9" s="376">
        <v>0</v>
      </c>
      <c r="H9" s="376">
        <v>0</v>
      </c>
      <c r="I9" s="376">
        <v>0</v>
      </c>
      <c r="J9" s="376">
        <v>0</v>
      </c>
      <c r="K9" s="376">
        <v>0</v>
      </c>
      <c r="L9" s="376">
        <v>0</v>
      </c>
      <c r="M9" s="376">
        <v>0</v>
      </c>
      <c r="N9" s="376">
        <v>0</v>
      </c>
    </row>
    <row r="10" spans="1:14" x14ac:dyDescent="0.3">
      <c r="A10" s="374"/>
      <c r="B10" s="377"/>
      <c r="C10" s="376">
        <v>0</v>
      </c>
      <c r="D10" s="376">
        <v>0</v>
      </c>
      <c r="E10" s="376">
        <v>0</v>
      </c>
      <c r="F10" s="376">
        <v>0</v>
      </c>
      <c r="G10" s="376">
        <v>0</v>
      </c>
      <c r="H10" s="376">
        <v>0</v>
      </c>
      <c r="I10" s="376">
        <v>0</v>
      </c>
      <c r="J10" s="376">
        <v>0</v>
      </c>
      <c r="K10" s="376">
        <v>0</v>
      </c>
      <c r="L10" s="376">
        <v>0</v>
      </c>
      <c r="M10" s="376">
        <v>0</v>
      </c>
      <c r="N10" s="376">
        <v>0</v>
      </c>
    </row>
    <row r="11" spans="1:14" x14ac:dyDescent="0.3">
      <c r="A11" s="378"/>
      <c r="B11" s="377"/>
      <c r="C11" s="376">
        <v>0</v>
      </c>
      <c r="D11" s="376">
        <v>0</v>
      </c>
      <c r="E11" s="376">
        <v>0</v>
      </c>
      <c r="F11" s="376">
        <v>0</v>
      </c>
      <c r="G11" s="376">
        <v>0</v>
      </c>
      <c r="H11" s="376">
        <v>0</v>
      </c>
      <c r="I11" s="376">
        <v>0</v>
      </c>
      <c r="J11" s="376">
        <v>0</v>
      </c>
      <c r="K11" s="376">
        <v>0</v>
      </c>
      <c r="L11" s="376">
        <v>0</v>
      </c>
      <c r="M11" s="376">
        <v>0</v>
      </c>
      <c r="N11" s="376">
        <v>0</v>
      </c>
    </row>
    <row r="12" spans="1:14" x14ac:dyDescent="0.3">
      <c r="A12" s="377"/>
      <c r="B12" s="377"/>
      <c r="C12" s="376">
        <v>0</v>
      </c>
      <c r="D12" s="376">
        <v>0</v>
      </c>
      <c r="E12" s="376">
        <v>0</v>
      </c>
      <c r="F12" s="376">
        <v>0</v>
      </c>
      <c r="G12" s="376">
        <v>0</v>
      </c>
      <c r="H12" s="376">
        <v>0</v>
      </c>
      <c r="I12" s="376">
        <v>0</v>
      </c>
      <c r="J12" s="376">
        <v>0</v>
      </c>
      <c r="K12" s="376">
        <v>0</v>
      </c>
      <c r="L12" s="376">
        <v>0</v>
      </c>
      <c r="M12" s="376">
        <v>0</v>
      </c>
      <c r="N12" s="376">
        <v>0</v>
      </c>
    </row>
    <row r="13" spans="1:14" x14ac:dyDescent="0.3">
      <c r="A13" s="378"/>
      <c r="B13" s="377"/>
      <c r="C13" s="376">
        <v>0</v>
      </c>
      <c r="D13" s="376">
        <v>0</v>
      </c>
      <c r="E13" s="376">
        <v>0</v>
      </c>
      <c r="F13" s="376">
        <v>0</v>
      </c>
      <c r="G13" s="376">
        <v>0</v>
      </c>
      <c r="H13" s="376">
        <v>0</v>
      </c>
      <c r="I13" s="376">
        <v>0</v>
      </c>
      <c r="J13" s="376">
        <v>0</v>
      </c>
      <c r="K13" s="376">
        <v>0</v>
      </c>
      <c r="L13" s="376">
        <v>0</v>
      </c>
      <c r="M13" s="376">
        <v>0</v>
      </c>
      <c r="N13" s="376">
        <v>0</v>
      </c>
    </row>
    <row r="14" spans="1:14" x14ac:dyDescent="0.3">
      <c r="A14" s="377"/>
      <c r="B14" s="377"/>
      <c r="C14" s="376">
        <v>0</v>
      </c>
      <c r="D14" s="376">
        <v>0</v>
      </c>
      <c r="E14" s="376">
        <v>0</v>
      </c>
      <c r="F14" s="376">
        <v>0</v>
      </c>
      <c r="G14" s="376">
        <v>0</v>
      </c>
      <c r="H14" s="376">
        <v>0</v>
      </c>
      <c r="I14" s="376">
        <v>0</v>
      </c>
      <c r="J14" s="376">
        <v>0</v>
      </c>
      <c r="K14" s="376">
        <v>0</v>
      </c>
      <c r="L14" s="376">
        <v>0</v>
      </c>
      <c r="M14" s="376">
        <v>0</v>
      </c>
      <c r="N14" s="376">
        <v>0</v>
      </c>
    </row>
    <row r="15" spans="1:14" x14ac:dyDescent="0.3">
      <c r="A15" s="377"/>
      <c r="B15" s="377"/>
      <c r="C15" s="376">
        <v>0</v>
      </c>
      <c r="D15" s="376">
        <v>0</v>
      </c>
      <c r="E15" s="376">
        <v>0</v>
      </c>
      <c r="F15" s="376">
        <v>0</v>
      </c>
      <c r="G15" s="376">
        <v>0</v>
      </c>
      <c r="H15" s="376">
        <v>0</v>
      </c>
      <c r="I15" s="376">
        <v>0</v>
      </c>
      <c r="J15" s="376">
        <v>0</v>
      </c>
      <c r="K15" s="376">
        <v>0</v>
      </c>
      <c r="L15" s="376">
        <v>0</v>
      </c>
      <c r="M15" s="376">
        <v>0</v>
      </c>
      <c r="N15" s="376">
        <v>0</v>
      </c>
    </row>
    <row r="16" spans="1:14" x14ac:dyDescent="0.3">
      <c r="A16" s="377"/>
      <c r="B16" s="377"/>
      <c r="C16" s="376">
        <v>0</v>
      </c>
      <c r="D16" s="376">
        <v>0</v>
      </c>
      <c r="E16" s="376">
        <v>0</v>
      </c>
      <c r="F16" s="376">
        <v>0</v>
      </c>
      <c r="G16" s="376">
        <v>0</v>
      </c>
      <c r="H16" s="376">
        <v>0</v>
      </c>
      <c r="I16" s="376">
        <v>0</v>
      </c>
      <c r="J16" s="376">
        <v>0</v>
      </c>
      <c r="K16" s="376">
        <v>0</v>
      </c>
      <c r="L16" s="376">
        <v>0</v>
      </c>
      <c r="M16" s="376">
        <v>0</v>
      </c>
      <c r="N16" s="376">
        <v>0</v>
      </c>
    </row>
    <row r="17" spans="1:14" x14ac:dyDescent="0.3">
      <c r="A17" s="377"/>
      <c r="B17" s="377"/>
      <c r="C17" s="376">
        <v>0</v>
      </c>
      <c r="D17" s="376">
        <v>0</v>
      </c>
      <c r="E17" s="376">
        <v>0</v>
      </c>
      <c r="F17" s="376">
        <v>0</v>
      </c>
      <c r="G17" s="376">
        <v>0</v>
      </c>
      <c r="H17" s="376">
        <v>0</v>
      </c>
      <c r="I17" s="376">
        <v>0</v>
      </c>
      <c r="J17" s="376">
        <v>0</v>
      </c>
      <c r="K17" s="376">
        <v>0</v>
      </c>
      <c r="L17" s="376">
        <v>0</v>
      </c>
      <c r="M17" s="376">
        <v>0</v>
      </c>
      <c r="N17" s="376">
        <v>0</v>
      </c>
    </row>
    <row r="18" spans="1:14" x14ac:dyDescent="0.3">
      <c r="A18" s="377"/>
      <c r="B18" s="377"/>
      <c r="C18" s="376">
        <v>0</v>
      </c>
      <c r="D18" s="376">
        <v>0</v>
      </c>
      <c r="E18" s="376">
        <v>0</v>
      </c>
      <c r="F18" s="376">
        <v>0</v>
      </c>
      <c r="G18" s="376">
        <v>0</v>
      </c>
      <c r="H18" s="376">
        <v>0</v>
      </c>
      <c r="I18" s="376">
        <v>0</v>
      </c>
      <c r="J18" s="376">
        <v>0</v>
      </c>
      <c r="K18" s="376">
        <v>0</v>
      </c>
      <c r="L18" s="376">
        <v>0</v>
      </c>
      <c r="M18" s="376">
        <v>0</v>
      </c>
      <c r="N18" s="376">
        <v>0</v>
      </c>
    </row>
    <row r="19" spans="1:14" x14ac:dyDescent="0.3">
      <c r="A19" s="66"/>
      <c r="B19" s="379"/>
      <c r="C19" s="376">
        <v>0</v>
      </c>
      <c r="D19" s="376">
        <f t="shared" ref="D19" si="0">SUM(D6:D18)</f>
        <v>0</v>
      </c>
      <c r="E19" s="376">
        <v>0</v>
      </c>
      <c r="F19" s="376">
        <v>0</v>
      </c>
      <c r="G19" s="376">
        <v>0</v>
      </c>
      <c r="H19" s="376">
        <v>0</v>
      </c>
      <c r="I19" s="376">
        <v>0</v>
      </c>
      <c r="J19" s="376">
        <v>0</v>
      </c>
      <c r="K19" s="376">
        <v>0</v>
      </c>
      <c r="L19" s="376">
        <v>0</v>
      </c>
      <c r="M19" s="376">
        <v>0</v>
      </c>
      <c r="N19" s="376">
        <v>0</v>
      </c>
    </row>
    <row r="20" spans="1:14" x14ac:dyDescent="0.3">
      <c r="A20" s="592" t="s">
        <v>7</v>
      </c>
      <c r="B20" s="592"/>
      <c r="C20" s="380">
        <f>SUM(C6:C19)</f>
        <v>0</v>
      </c>
      <c r="D20" s="381">
        <f>SUM(D19)</f>
        <v>0</v>
      </c>
      <c r="E20" s="382">
        <f t="shared" ref="E20:N20" si="1">SUM(E6:E19)</f>
        <v>0</v>
      </c>
      <c r="F20" s="380">
        <f t="shared" si="1"/>
        <v>0</v>
      </c>
      <c r="G20" s="382">
        <f t="shared" si="1"/>
        <v>0</v>
      </c>
      <c r="H20" s="382">
        <f t="shared" si="1"/>
        <v>0</v>
      </c>
      <c r="I20" s="380">
        <f t="shared" si="1"/>
        <v>0</v>
      </c>
      <c r="J20" s="382">
        <f t="shared" si="1"/>
        <v>0</v>
      </c>
      <c r="K20" s="382">
        <f t="shared" si="1"/>
        <v>0</v>
      </c>
      <c r="L20" s="380">
        <f t="shared" si="1"/>
        <v>0</v>
      </c>
      <c r="M20" s="382">
        <f t="shared" si="1"/>
        <v>0</v>
      </c>
      <c r="N20" s="382">
        <f t="shared" si="1"/>
        <v>0</v>
      </c>
    </row>
  </sheetData>
  <protectedRanges>
    <protectedRange sqref="A6:N19" name="Intervalo1"/>
  </protectedRanges>
  <mergeCells count="13">
    <mergeCell ref="M4:M5"/>
    <mergeCell ref="N4:N5"/>
    <mergeCell ref="A20:B20"/>
    <mergeCell ref="G4:G5"/>
    <mergeCell ref="H4:H5"/>
    <mergeCell ref="I4:I5"/>
    <mergeCell ref="J4:J5"/>
    <mergeCell ref="K4:K5"/>
    <mergeCell ref="L4:L5"/>
    <mergeCell ref="D4:D5"/>
    <mergeCell ref="C4:C5"/>
    <mergeCell ref="E4:E5"/>
    <mergeCell ref="F4:F5"/>
  </mergeCells>
  <hyperlinks>
    <hyperlink ref="A2" location="Menu!A1" display="Menu" xr:uid="{00000000-0004-0000-1900-000000000000}"/>
  </hyperlink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21"/>
  <sheetViews>
    <sheetView workbookViewId="0">
      <pane xSplit="1" topLeftCell="B1" activePane="topRight" state="frozen"/>
      <selection pane="topRight" activeCell="A2" sqref="A2"/>
    </sheetView>
  </sheetViews>
  <sheetFormatPr defaultColWidth="9.109375" defaultRowHeight="14.4" x14ac:dyDescent="0.3"/>
  <cols>
    <col min="1" max="1" width="24" style="70" bestFit="1" customWidth="1"/>
    <col min="2" max="2" width="5" style="70" bestFit="1" customWidth="1"/>
    <col min="3" max="3" width="11.33203125" style="70" customWidth="1"/>
    <col min="4" max="4" width="12" style="70" customWidth="1"/>
    <col min="5" max="5" width="12.88671875" style="70" customWidth="1"/>
    <col min="6" max="6" width="11.6640625" style="70" customWidth="1"/>
    <col min="7" max="7" width="12.6640625" style="70" customWidth="1"/>
    <col min="8" max="8" width="11.6640625" style="70" bestFit="1" customWidth="1"/>
    <col min="9" max="9" width="11.44140625" style="70" customWidth="1"/>
    <col min="10" max="10" width="11" style="70" customWidth="1"/>
    <col min="11" max="11" width="12.33203125" style="70" customWidth="1"/>
    <col min="12" max="12" width="11.5546875" style="70" bestFit="1" customWidth="1"/>
    <col min="13" max="14" width="11.88671875" style="70" customWidth="1"/>
    <col min="15" max="15" width="9.109375" style="70"/>
    <col min="16" max="17" width="10.6640625" style="70" bestFit="1" customWidth="1"/>
    <col min="18" max="16384" width="9.109375" style="70"/>
  </cols>
  <sheetData>
    <row r="1" spans="1:19" ht="15" thickBot="1" x14ac:dyDescent="0.35"/>
    <row r="2" spans="1:19" ht="29.4" thickBot="1" x14ac:dyDescent="0.6">
      <c r="A2" s="440" t="s">
        <v>96</v>
      </c>
      <c r="B2" s="193"/>
      <c r="C2" s="37">
        <v>7</v>
      </c>
      <c r="P2" s="102"/>
      <c r="Q2" s="102"/>
      <c r="S2" s="37"/>
    </row>
    <row r="3" spans="1:19" ht="29.4" thickBot="1" x14ac:dyDescent="0.6">
      <c r="A3" s="207" t="s">
        <v>117</v>
      </c>
      <c r="B3" s="193"/>
      <c r="C3" s="37"/>
    </row>
    <row r="4" spans="1:19" ht="15" thickBot="1" x14ac:dyDescent="0.35"/>
    <row r="5" spans="1:19" x14ac:dyDescent="0.3">
      <c r="A5" s="593" t="s">
        <v>0</v>
      </c>
      <c r="B5" s="202" t="s">
        <v>11</v>
      </c>
      <c r="C5" s="595" t="s">
        <v>41</v>
      </c>
      <c r="D5" s="595" t="s">
        <v>42</v>
      </c>
      <c r="E5" s="595" t="s">
        <v>43</v>
      </c>
      <c r="F5" s="595" t="s">
        <v>44</v>
      </c>
      <c r="G5" s="595" t="s">
        <v>45</v>
      </c>
      <c r="H5" s="595" t="s">
        <v>46</v>
      </c>
      <c r="I5" s="595" t="s">
        <v>47</v>
      </c>
      <c r="J5" s="595" t="s">
        <v>48</v>
      </c>
      <c r="K5" s="595" t="s">
        <v>49</v>
      </c>
      <c r="L5" s="595" t="s">
        <v>50</v>
      </c>
      <c r="M5" s="595" t="s">
        <v>51</v>
      </c>
      <c r="N5" s="595" t="s">
        <v>52</v>
      </c>
    </row>
    <row r="6" spans="1:19" x14ac:dyDescent="0.3">
      <c r="A6" s="594"/>
      <c r="B6" s="203"/>
      <c r="C6" s="595"/>
      <c r="D6" s="595"/>
      <c r="E6" s="595"/>
      <c r="F6" s="595"/>
      <c r="G6" s="595"/>
      <c r="H6" s="595"/>
      <c r="I6" s="595"/>
      <c r="J6" s="595"/>
      <c r="K6" s="595"/>
      <c r="L6" s="595"/>
      <c r="M6" s="595"/>
      <c r="N6" s="595"/>
    </row>
    <row r="7" spans="1:19" x14ac:dyDescent="0.3">
      <c r="A7" s="97" t="s">
        <v>156</v>
      </c>
      <c r="B7" s="203"/>
      <c r="C7" s="64">
        <v>0</v>
      </c>
      <c r="D7" s="64">
        <v>0</v>
      </c>
      <c r="E7" s="64">
        <v>0</v>
      </c>
      <c r="F7" s="64">
        <v>0</v>
      </c>
      <c r="G7" s="64">
        <v>0</v>
      </c>
      <c r="H7" s="64">
        <v>0</v>
      </c>
      <c r="I7" s="64">
        <v>0</v>
      </c>
      <c r="J7" s="64">
        <v>0</v>
      </c>
      <c r="K7" s="64">
        <v>70000</v>
      </c>
      <c r="L7" s="64">
        <v>70000</v>
      </c>
      <c r="M7" s="64">
        <v>70000</v>
      </c>
      <c r="N7" s="64">
        <v>70000</v>
      </c>
    </row>
    <row r="8" spans="1:19" x14ac:dyDescent="0.3">
      <c r="A8" s="97"/>
      <c r="B8" s="203"/>
      <c r="C8" s="64">
        <v>0</v>
      </c>
      <c r="D8" s="64">
        <v>0</v>
      </c>
      <c r="E8" s="64">
        <v>0</v>
      </c>
      <c r="F8" s="64">
        <v>0</v>
      </c>
      <c r="G8" s="64">
        <v>0</v>
      </c>
      <c r="H8" s="64">
        <v>0</v>
      </c>
      <c r="I8" s="64">
        <v>0</v>
      </c>
      <c r="J8" s="64">
        <v>0</v>
      </c>
      <c r="K8" s="64">
        <v>0</v>
      </c>
      <c r="L8" s="64">
        <v>0</v>
      </c>
      <c r="M8" s="64">
        <v>0</v>
      </c>
      <c r="N8" s="64">
        <v>0</v>
      </c>
    </row>
    <row r="9" spans="1:19" x14ac:dyDescent="0.3">
      <c r="A9" s="97"/>
      <c r="B9" s="203"/>
      <c r="C9" s="64">
        <v>0</v>
      </c>
      <c r="D9" s="64">
        <v>0</v>
      </c>
      <c r="E9" s="64">
        <v>0</v>
      </c>
      <c r="F9" s="64">
        <v>0</v>
      </c>
      <c r="G9" s="64">
        <v>0</v>
      </c>
      <c r="H9" s="64">
        <v>0</v>
      </c>
      <c r="I9" s="64">
        <v>0</v>
      </c>
      <c r="J9" s="64">
        <v>0</v>
      </c>
      <c r="K9" s="64">
        <v>0</v>
      </c>
      <c r="L9" s="64">
        <v>0</v>
      </c>
      <c r="M9" s="64">
        <v>0</v>
      </c>
      <c r="N9" s="64">
        <v>0</v>
      </c>
    </row>
    <row r="10" spans="1:19" x14ac:dyDescent="0.3">
      <c r="A10" s="97"/>
      <c r="B10" s="203"/>
      <c r="C10" s="64">
        <v>0</v>
      </c>
      <c r="D10" s="64">
        <v>0</v>
      </c>
      <c r="E10" s="64">
        <v>0</v>
      </c>
      <c r="F10" s="64">
        <v>0</v>
      </c>
      <c r="G10" s="64">
        <v>0</v>
      </c>
      <c r="H10" s="64">
        <v>0</v>
      </c>
      <c r="I10" s="64">
        <v>0</v>
      </c>
      <c r="J10" s="64">
        <v>0</v>
      </c>
      <c r="K10" s="64">
        <v>0</v>
      </c>
      <c r="L10" s="64">
        <v>0</v>
      </c>
      <c r="M10" s="64">
        <v>0</v>
      </c>
      <c r="N10" s="64">
        <v>0</v>
      </c>
    </row>
    <row r="11" spans="1:19" x14ac:dyDescent="0.3">
      <c r="A11" s="199"/>
      <c r="B11" s="203"/>
      <c r="C11" s="64">
        <v>0</v>
      </c>
      <c r="D11" s="64">
        <v>0</v>
      </c>
      <c r="E11" s="64">
        <v>0</v>
      </c>
      <c r="F11" s="64">
        <v>0</v>
      </c>
      <c r="G11" s="64">
        <v>0</v>
      </c>
      <c r="H11" s="64">
        <v>0</v>
      </c>
      <c r="I11" s="64">
        <v>0</v>
      </c>
      <c r="J11" s="64">
        <v>0</v>
      </c>
      <c r="K11" s="64">
        <v>0</v>
      </c>
      <c r="L11" s="64">
        <v>0</v>
      </c>
      <c r="M11" s="64">
        <v>0</v>
      </c>
      <c r="N11" s="64">
        <v>0</v>
      </c>
    </row>
    <row r="12" spans="1:19" ht="15.6" x14ac:dyDescent="0.3">
      <c r="A12" s="200"/>
      <c r="B12" s="204"/>
      <c r="C12" s="64">
        <v>0</v>
      </c>
      <c r="D12" s="64">
        <v>0</v>
      </c>
      <c r="E12" s="64">
        <v>0</v>
      </c>
      <c r="F12" s="64">
        <v>0</v>
      </c>
      <c r="G12" s="64">
        <v>0</v>
      </c>
      <c r="H12" s="64">
        <v>0</v>
      </c>
      <c r="I12" s="64">
        <v>0</v>
      </c>
      <c r="J12" s="64">
        <v>0</v>
      </c>
      <c r="K12" s="64">
        <v>0</v>
      </c>
      <c r="L12" s="64">
        <v>0</v>
      </c>
      <c r="M12" s="64">
        <v>0</v>
      </c>
      <c r="N12" s="64">
        <v>0</v>
      </c>
    </row>
    <row r="13" spans="1:19" ht="15.6" x14ac:dyDescent="0.3">
      <c r="A13" s="194"/>
      <c r="B13" s="204"/>
      <c r="C13" s="64">
        <v>0</v>
      </c>
      <c r="D13" s="64">
        <v>0</v>
      </c>
      <c r="E13" s="64">
        <v>0</v>
      </c>
      <c r="F13" s="64">
        <v>0</v>
      </c>
      <c r="G13" s="64">
        <v>0</v>
      </c>
      <c r="H13" s="64">
        <v>0</v>
      </c>
      <c r="I13" s="64">
        <v>0</v>
      </c>
      <c r="J13" s="64">
        <v>0</v>
      </c>
      <c r="K13" s="64">
        <v>0</v>
      </c>
      <c r="L13" s="64">
        <v>0</v>
      </c>
      <c r="M13" s="64">
        <v>0</v>
      </c>
      <c r="N13" s="64">
        <v>0</v>
      </c>
    </row>
    <row r="14" spans="1:19" ht="15.6" x14ac:dyDescent="0.3">
      <c r="A14" s="200"/>
      <c r="B14" s="204"/>
      <c r="C14" s="64">
        <v>0</v>
      </c>
      <c r="D14" s="64">
        <v>0</v>
      </c>
      <c r="E14" s="64">
        <v>0</v>
      </c>
      <c r="F14" s="64">
        <v>0</v>
      </c>
      <c r="G14" s="64">
        <v>0</v>
      </c>
      <c r="H14" s="64">
        <v>0</v>
      </c>
      <c r="I14" s="64">
        <v>0</v>
      </c>
      <c r="J14" s="64">
        <v>0</v>
      </c>
      <c r="K14" s="64">
        <v>0</v>
      </c>
      <c r="L14" s="64">
        <v>0</v>
      </c>
      <c r="M14" s="64">
        <v>0</v>
      </c>
      <c r="N14" s="64">
        <v>0</v>
      </c>
    </row>
    <row r="15" spans="1:19" ht="15.6" x14ac:dyDescent="0.3">
      <c r="A15" s="200"/>
      <c r="B15" s="204"/>
      <c r="C15" s="64">
        <v>0</v>
      </c>
      <c r="D15" s="64">
        <v>0</v>
      </c>
      <c r="E15" s="64">
        <v>0</v>
      </c>
      <c r="F15" s="64">
        <v>0</v>
      </c>
      <c r="G15" s="64">
        <v>0</v>
      </c>
      <c r="H15" s="64">
        <v>0</v>
      </c>
      <c r="I15" s="64">
        <v>0</v>
      </c>
      <c r="J15" s="64">
        <v>0</v>
      </c>
      <c r="K15" s="64">
        <v>0</v>
      </c>
      <c r="L15" s="64">
        <v>0</v>
      </c>
      <c r="M15" s="64">
        <v>0</v>
      </c>
      <c r="N15" s="64">
        <v>0</v>
      </c>
    </row>
    <row r="16" spans="1:19" ht="15.6" x14ac:dyDescent="0.3">
      <c r="A16" s="200"/>
      <c r="B16" s="204"/>
      <c r="C16" s="64">
        <v>0</v>
      </c>
      <c r="D16" s="64">
        <v>0</v>
      </c>
      <c r="E16" s="64">
        <v>0</v>
      </c>
      <c r="F16" s="64">
        <v>0</v>
      </c>
      <c r="G16" s="64">
        <v>0</v>
      </c>
      <c r="H16" s="64">
        <v>0</v>
      </c>
      <c r="I16" s="64">
        <v>0</v>
      </c>
      <c r="J16" s="64">
        <v>0</v>
      </c>
      <c r="K16" s="64">
        <v>0</v>
      </c>
      <c r="L16" s="64">
        <v>0</v>
      </c>
      <c r="M16" s="64">
        <v>0</v>
      </c>
      <c r="N16" s="64">
        <v>0</v>
      </c>
    </row>
    <row r="17" spans="1:14" ht="15.6" x14ac:dyDescent="0.3">
      <c r="A17" s="200"/>
      <c r="B17" s="204"/>
      <c r="C17" s="64">
        <v>0</v>
      </c>
      <c r="D17" s="64">
        <v>0</v>
      </c>
      <c r="E17" s="64">
        <v>0</v>
      </c>
      <c r="F17" s="64">
        <v>0</v>
      </c>
      <c r="G17" s="64">
        <v>0</v>
      </c>
      <c r="H17" s="64">
        <v>0</v>
      </c>
      <c r="I17" s="64">
        <v>0</v>
      </c>
      <c r="J17" s="64">
        <v>0</v>
      </c>
      <c r="K17" s="64">
        <v>0</v>
      </c>
      <c r="L17" s="64">
        <v>0</v>
      </c>
      <c r="M17" s="64">
        <v>0</v>
      </c>
      <c r="N17" s="64">
        <v>0</v>
      </c>
    </row>
    <row r="18" spans="1:14" ht="15.6" x14ac:dyDescent="0.3">
      <c r="A18" s="200"/>
      <c r="B18" s="204"/>
      <c r="C18" s="197">
        <v>0</v>
      </c>
      <c r="D18" s="64">
        <v>0</v>
      </c>
      <c r="E18" s="64">
        <v>0</v>
      </c>
      <c r="F18" s="64">
        <v>0</v>
      </c>
      <c r="G18" s="64">
        <v>0</v>
      </c>
      <c r="H18" s="64">
        <v>0</v>
      </c>
      <c r="I18" s="64">
        <v>0</v>
      </c>
      <c r="J18" s="64">
        <v>0</v>
      </c>
      <c r="K18" s="64">
        <v>0</v>
      </c>
      <c r="L18" s="64">
        <v>0</v>
      </c>
      <c r="M18" s="64">
        <v>0</v>
      </c>
      <c r="N18" s="64">
        <v>0</v>
      </c>
    </row>
    <row r="19" spans="1:14" x14ac:dyDescent="0.3">
      <c r="A19" s="201"/>
      <c r="B19" s="205"/>
      <c r="C19" s="197">
        <v>0</v>
      </c>
      <c r="D19" s="64">
        <v>0</v>
      </c>
      <c r="E19" s="64">
        <v>0</v>
      </c>
      <c r="F19" s="64">
        <v>0</v>
      </c>
      <c r="G19" s="64">
        <v>0</v>
      </c>
      <c r="H19" s="64">
        <v>0</v>
      </c>
      <c r="I19" s="64">
        <v>0</v>
      </c>
      <c r="J19" s="64">
        <v>0</v>
      </c>
      <c r="K19" s="64">
        <v>0</v>
      </c>
      <c r="L19" s="64">
        <v>0</v>
      </c>
      <c r="M19" s="64">
        <v>0</v>
      </c>
      <c r="N19" s="64">
        <v>0</v>
      </c>
    </row>
    <row r="20" spans="1:14" ht="15.6" x14ac:dyDescent="0.3">
      <c r="A20" s="200"/>
      <c r="B20" s="204"/>
      <c r="C20" s="197">
        <v>0</v>
      </c>
      <c r="D20" s="64">
        <v>0</v>
      </c>
      <c r="E20" s="64">
        <v>0</v>
      </c>
      <c r="F20" s="64">
        <v>0</v>
      </c>
      <c r="G20" s="64">
        <v>0</v>
      </c>
      <c r="H20" s="64">
        <v>0</v>
      </c>
      <c r="I20" s="64">
        <v>0</v>
      </c>
      <c r="J20" s="64">
        <v>0</v>
      </c>
      <c r="K20" s="64">
        <v>0</v>
      </c>
      <c r="L20" s="64">
        <v>0</v>
      </c>
      <c r="M20" s="64">
        <v>0</v>
      </c>
      <c r="N20" s="64">
        <v>0</v>
      </c>
    </row>
    <row r="21" spans="1:14" x14ac:dyDescent="0.3">
      <c r="A21" s="201"/>
      <c r="B21" s="205"/>
      <c r="C21" s="208">
        <f>SUM(C6:C20)/C2</f>
        <v>0</v>
      </c>
      <c r="D21" s="208">
        <f>SUM(D6:D20)/C2</f>
        <v>0</v>
      </c>
      <c r="E21" s="208">
        <f>SUM(E6:E20)/C2</f>
        <v>0</v>
      </c>
      <c r="F21" s="208">
        <f>SUM(F6:F20)/C2</f>
        <v>0</v>
      </c>
      <c r="G21" s="208">
        <f>SUM(G6:G20)/C2</f>
        <v>0</v>
      </c>
      <c r="H21" s="208">
        <f>SUM(H6:H20)/C2</f>
        <v>0</v>
      </c>
      <c r="I21" s="208">
        <f>SUM(I6:I20)/C2</f>
        <v>0</v>
      </c>
      <c r="J21" s="208">
        <f>SUM(J6:J20)/C2</f>
        <v>0</v>
      </c>
      <c r="K21" s="208">
        <f>SUM(K6:K20)/C2</f>
        <v>10000</v>
      </c>
      <c r="L21" s="208">
        <f>SUM(L6:L20)/C2</f>
        <v>10000</v>
      </c>
      <c r="M21" s="208">
        <f>SUM(M6:M20)/C2</f>
        <v>10000</v>
      </c>
      <c r="N21" s="208">
        <f>SUM(N6:N20)/C2</f>
        <v>10000</v>
      </c>
    </row>
  </sheetData>
  <protectedRanges>
    <protectedRange sqref="C7:N20" name="Intervalo2"/>
    <protectedRange sqref="A6:B20" name="Intervalo1"/>
  </protectedRanges>
  <mergeCells count="13">
    <mergeCell ref="A5:A6"/>
    <mergeCell ref="N5:N6"/>
    <mergeCell ref="C5:C6"/>
    <mergeCell ref="D5:D6"/>
    <mergeCell ref="E5:E6"/>
    <mergeCell ref="F5:F6"/>
    <mergeCell ref="G5:G6"/>
    <mergeCell ref="H5:H6"/>
    <mergeCell ref="I5:I6"/>
    <mergeCell ref="J5:J6"/>
    <mergeCell ref="K5:K6"/>
    <mergeCell ref="L5:L6"/>
    <mergeCell ref="M5:M6"/>
  </mergeCells>
  <hyperlinks>
    <hyperlink ref="A2" location="Menu!A1" display="Menu" xr:uid="{00000000-0004-0000-1A00-000000000000}"/>
  </hyperlink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31"/>
  <sheetViews>
    <sheetView workbookViewId="0">
      <pane xSplit="1" topLeftCell="B1" activePane="topRight" state="frozen"/>
      <selection pane="topRight" activeCell="A2" sqref="A2"/>
    </sheetView>
  </sheetViews>
  <sheetFormatPr defaultColWidth="9.109375" defaultRowHeight="14.4" x14ac:dyDescent="0.3"/>
  <cols>
    <col min="1" max="1" width="40.88671875" style="70" bestFit="1" customWidth="1"/>
    <col min="2" max="2" width="6.6640625" style="70" customWidth="1"/>
    <col min="3" max="14" width="10.44140625" style="70" customWidth="1"/>
    <col min="15" max="16" width="10.6640625" style="70" bestFit="1" customWidth="1"/>
    <col min="17" max="16384" width="9.109375" style="70"/>
  </cols>
  <sheetData>
    <row r="1" spans="1:18" ht="15" thickBot="1" x14ac:dyDescent="0.35"/>
    <row r="2" spans="1:18" ht="29.4" thickBot="1" x14ac:dyDescent="0.6">
      <c r="A2" s="440" t="s">
        <v>96</v>
      </c>
      <c r="B2" s="37">
        <v>7</v>
      </c>
      <c r="O2" s="102"/>
      <c r="P2" s="102"/>
      <c r="R2" s="37"/>
    </row>
    <row r="3" spans="1:18" ht="29.4" thickBot="1" x14ac:dyDescent="0.6">
      <c r="A3" s="449" t="s">
        <v>89</v>
      </c>
      <c r="B3" s="37"/>
    </row>
    <row r="4" spans="1:18" ht="15" thickBot="1" x14ac:dyDescent="0.35"/>
    <row r="5" spans="1:18" ht="15" thickBot="1" x14ac:dyDescent="0.35">
      <c r="A5" s="71" t="s">
        <v>0</v>
      </c>
      <c r="B5" s="202" t="s">
        <v>55</v>
      </c>
      <c r="C5" s="72" t="s">
        <v>12</v>
      </c>
      <c r="D5" s="196" t="s">
        <v>24</v>
      </c>
      <c r="E5" s="196" t="s">
        <v>25</v>
      </c>
      <c r="F5" s="196" t="s">
        <v>26</v>
      </c>
      <c r="G5" s="196" t="s">
        <v>27</v>
      </c>
      <c r="H5" s="196" t="s">
        <v>28</v>
      </c>
      <c r="I5" s="196" t="s">
        <v>60</v>
      </c>
      <c r="J5" s="196" t="s">
        <v>29</v>
      </c>
      <c r="K5" s="196" t="s">
        <v>30</v>
      </c>
      <c r="L5" s="196" t="s">
        <v>31</v>
      </c>
      <c r="M5" s="196" t="s">
        <v>32</v>
      </c>
      <c r="N5" s="196" t="s">
        <v>33</v>
      </c>
    </row>
    <row r="6" spans="1:18" x14ac:dyDescent="0.3">
      <c r="A6" s="13" t="s">
        <v>157</v>
      </c>
      <c r="B6" s="203"/>
      <c r="C6" s="206">
        <v>0</v>
      </c>
      <c r="D6" s="198">
        <v>0</v>
      </c>
      <c r="E6" s="198">
        <v>0</v>
      </c>
      <c r="F6" s="198">
        <v>0</v>
      </c>
      <c r="G6" s="198">
        <v>0</v>
      </c>
      <c r="H6" s="198">
        <v>0</v>
      </c>
      <c r="I6" s="198">
        <v>0</v>
      </c>
      <c r="J6" s="198">
        <v>0</v>
      </c>
      <c r="K6" s="198">
        <v>2500</v>
      </c>
      <c r="L6" s="198">
        <v>0</v>
      </c>
      <c r="M6" s="198">
        <v>0</v>
      </c>
      <c r="N6" s="198">
        <v>0</v>
      </c>
    </row>
    <row r="7" spans="1:18" x14ac:dyDescent="0.3">
      <c r="A7" s="13" t="s">
        <v>158</v>
      </c>
      <c r="B7" s="203"/>
      <c r="C7" s="64">
        <v>0</v>
      </c>
      <c r="D7" s="64">
        <v>0</v>
      </c>
      <c r="E7" s="64">
        <v>0</v>
      </c>
      <c r="F7" s="64">
        <v>0</v>
      </c>
      <c r="G7" s="64">
        <v>0</v>
      </c>
      <c r="H7" s="64">
        <v>0</v>
      </c>
      <c r="I7" s="64">
        <v>0</v>
      </c>
      <c r="J7" s="64">
        <v>0</v>
      </c>
      <c r="K7" s="64">
        <v>5000</v>
      </c>
      <c r="L7" s="64">
        <v>0</v>
      </c>
      <c r="M7" s="64">
        <v>0</v>
      </c>
      <c r="N7" s="64">
        <v>0</v>
      </c>
    </row>
    <row r="8" spans="1:18" x14ac:dyDescent="0.3">
      <c r="A8" s="13" t="s">
        <v>159</v>
      </c>
      <c r="B8" s="203"/>
      <c r="C8" s="64">
        <v>0</v>
      </c>
      <c r="D8" s="64">
        <v>0</v>
      </c>
      <c r="E8" s="64">
        <v>0</v>
      </c>
      <c r="F8" s="64">
        <v>0</v>
      </c>
      <c r="G8" s="64">
        <v>0</v>
      </c>
      <c r="H8" s="64">
        <v>0</v>
      </c>
      <c r="I8" s="64">
        <v>0</v>
      </c>
      <c r="J8" s="64">
        <v>0</v>
      </c>
      <c r="K8" s="64">
        <v>5280</v>
      </c>
      <c r="L8" s="64">
        <v>0</v>
      </c>
      <c r="M8" s="64">
        <v>0</v>
      </c>
      <c r="N8" s="64">
        <v>0</v>
      </c>
    </row>
    <row r="9" spans="1:18" x14ac:dyDescent="0.3">
      <c r="A9" s="13" t="s">
        <v>160</v>
      </c>
      <c r="B9" s="203"/>
      <c r="C9" s="64">
        <v>0</v>
      </c>
      <c r="D9" s="64">
        <v>0</v>
      </c>
      <c r="E9" s="64">
        <v>0</v>
      </c>
      <c r="F9" s="64">
        <v>0</v>
      </c>
      <c r="G9" s="64">
        <v>0</v>
      </c>
      <c r="H9" s="64">
        <v>0</v>
      </c>
      <c r="I9" s="64">
        <v>0</v>
      </c>
      <c r="J9" s="64">
        <v>0</v>
      </c>
      <c r="K9" s="64">
        <v>1000</v>
      </c>
      <c r="L9" s="64">
        <v>0</v>
      </c>
      <c r="M9" s="64">
        <v>0</v>
      </c>
      <c r="N9" s="64">
        <v>0</v>
      </c>
    </row>
    <row r="10" spans="1:18" x14ac:dyDescent="0.3">
      <c r="A10" s="13" t="s">
        <v>161</v>
      </c>
      <c r="B10" s="203"/>
      <c r="C10" s="64">
        <v>0</v>
      </c>
      <c r="D10" s="64">
        <v>0</v>
      </c>
      <c r="E10" s="64">
        <v>0</v>
      </c>
      <c r="F10" s="64">
        <v>0</v>
      </c>
      <c r="G10" s="64">
        <v>0</v>
      </c>
      <c r="H10" s="64">
        <v>0</v>
      </c>
      <c r="I10" s="64">
        <v>0</v>
      </c>
      <c r="J10" s="64">
        <v>0</v>
      </c>
      <c r="K10" s="64">
        <v>200</v>
      </c>
      <c r="L10" s="64">
        <v>0</v>
      </c>
      <c r="M10" s="64">
        <v>0</v>
      </c>
      <c r="N10" s="64">
        <v>0</v>
      </c>
    </row>
    <row r="11" spans="1:18" x14ac:dyDescent="0.3">
      <c r="A11" s="13" t="s">
        <v>118</v>
      </c>
      <c r="B11" s="203"/>
      <c r="C11" s="64">
        <v>0</v>
      </c>
      <c r="D11" s="64">
        <v>0</v>
      </c>
      <c r="E11" s="64">
        <v>0</v>
      </c>
      <c r="F11" s="64">
        <v>0</v>
      </c>
      <c r="G11" s="64">
        <v>0</v>
      </c>
      <c r="H11" s="64">
        <v>0</v>
      </c>
      <c r="I11" s="64">
        <v>0</v>
      </c>
      <c r="J11" s="64">
        <v>0</v>
      </c>
      <c r="K11" s="64">
        <v>0</v>
      </c>
      <c r="L11" s="64">
        <v>0</v>
      </c>
      <c r="M11" s="64">
        <v>0</v>
      </c>
      <c r="N11" s="64">
        <v>0</v>
      </c>
    </row>
    <row r="12" spans="1:18" ht="15.6" x14ac:dyDescent="0.3">
      <c r="A12" s="13" t="s">
        <v>119</v>
      </c>
      <c r="B12" s="204"/>
      <c r="C12" s="64">
        <v>0</v>
      </c>
      <c r="D12" s="64">
        <v>0</v>
      </c>
      <c r="E12" s="64">
        <v>0</v>
      </c>
      <c r="F12" s="64">
        <v>0</v>
      </c>
      <c r="G12" s="64">
        <v>0</v>
      </c>
      <c r="H12" s="64">
        <v>0</v>
      </c>
      <c r="I12" s="64">
        <v>0</v>
      </c>
      <c r="J12" s="64">
        <v>0</v>
      </c>
      <c r="K12" s="64">
        <v>1000</v>
      </c>
      <c r="L12" s="64">
        <v>0</v>
      </c>
      <c r="M12" s="64">
        <v>0</v>
      </c>
      <c r="N12" s="64">
        <v>0</v>
      </c>
    </row>
    <row r="13" spans="1:18" ht="15.6" x14ac:dyDescent="0.3">
      <c r="A13" s="194"/>
      <c r="B13" s="204"/>
      <c r="C13" s="64">
        <v>0</v>
      </c>
      <c r="D13" s="64">
        <v>0</v>
      </c>
      <c r="E13" s="64">
        <v>0</v>
      </c>
      <c r="F13" s="64">
        <v>0</v>
      </c>
      <c r="G13" s="64">
        <v>0</v>
      </c>
      <c r="H13" s="64">
        <v>0</v>
      </c>
      <c r="I13" s="64">
        <v>0</v>
      </c>
      <c r="J13" s="64">
        <v>0</v>
      </c>
      <c r="K13" s="64">
        <v>0</v>
      </c>
      <c r="L13" s="64">
        <v>0</v>
      </c>
      <c r="M13" s="64">
        <v>0</v>
      </c>
      <c r="N13" s="64">
        <v>0</v>
      </c>
    </row>
    <row r="14" spans="1:18" ht="15.6" x14ac:dyDescent="0.3">
      <c r="A14" s="194"/>
      <c r="B14" s="204"/>
      <c r="C14" s="64">
        <v>0</v>
      </c>
      <c r="D14" s="64">
        <v>0</v>
      </c>
      <c r="E14" s="64">
        <v>0</v>
      </c>
      <c r="F14" s="64">
        <v>0</v>
      </c>
      <c r="G14" s="64">
        <v>0</v>
      </c>
      <c r="H14" s="64">
        <v>0</v>
      </c>
      <c r="I14" s="64">
        <v>0</v>
      </c>
      <c r="J14" s="64">
        <v>0</v>
      </c>
      <c r="K14" s="64">
        <v>0</v>
      </c>
      <c r="L14" s="64">
        <v>0</v>
      </c>
      <c r="M14" s="64">
        <v>0</v>
      </c>
      <c r="N14" s="64">
        <v>0</v>
      </c>
    </row>
    <row r="15" spans="1:18" ht="15.6" x14ac:dyDescent="0.3">
      <c r="A15" s="194"/>
      <c r="B15" s="204"/>
      <c r="C15" s="64">
        <v>0</v>
      </c>
      <c r="D15" s="64">
        <v>0</v>
      </c>
      <c r="E15" s="64">
        <v>0</v>
      </c>
      <c r="F15" s="64">
        <v>0</v>
      </c>
      <c r="G15" s="64">
        <v>0</v>
      </c>
      <c r="H15" s="64">
        <v>0</v>
      </c>
      <c r="I15" s="64">
        <v>0</v>
      </c>
      <c r="J15" s="64">
        <v>0</v>
      </c>
      <c r="K15" s="64">
        <v>0</v>
      </c>
      <c r="L15" s="64">
        <v>0</v>
      </c>
      <c r="M15" s="64">
        <v>0</v>
      </c>
      <c r="N15" s="64">
        <v>0</v>
      </c>
    </row>
    <row r="16" spans="1:18" ht="15.6" x14ac:dyDescent="0.3">
      <c r="A16" s="194"/>
      <c r="B16" s="204"/>
      <c r="C16" s="64">
        <v>0</v>
      </c>
      <c r="D16" s="64">
        <v>0</v>
      </c>
      <c r="E16" s="64">
        <v>0</v>
      </c>
      <c r="F16" s="64">
        <v>0</v>
      </c>
      <c r="G16" s="64">
        <v>0</v>
      </c>
      <c r="H16" s="64">
        <v>0</v>
      </c>
      <c r="I16" s="64">
        <v>0</v>
      </c>
      <c r="J16" s="64">
        <v>0</v>
      </c>
      <c r="K16" s="64">
        <v>0</v>
      </c>
      <c r="L16" s="64">
        <v>0</v>
      </c>
      <c r="M16" s="64">
        <v>0</v>
      </c>
      <c r="N16" s="64">
        <v>0</v>
      </c>
    </row>
    <row r="17" spans="1:14" ht="15.6" x14ac:dyDescent="0.3">
      <c r="A17" s="194"/>
      <c r="B17" s="204"/>
      <c r="C17" s="64">
        <v>0</v>
      </c>
      <c r="D17" s="64">
        <v>0</v>
      </c>
      <c r="E17" s="64">
        <v>0</v>
      </c>
      <c r="F17" s="64">
        <v>0</v>
      </c>
      <c r="G17" s="64">
        <v>0</v>
      </c>
      <c r="H17" s="64">
        <v>0</v>
      </c>
      <c r="I17" s="64">
        <v>0</v>
      </c>
      <c r="J17" s="64">
        <v>0</v>
      </c>
      <c r="K17" s="64">
        <v>0</v>
      </c>
      <c r="L17" s="64">
        <v>0</v>
      </c>
      <c r="M17" s="64">
        <v>0</v>
      </c>
      <c r="N17" s="64">
        <v>0</v>
      </c>
    </row>
    <row r="18" spans="1:14" ht="15.6" x14ac:dyDescent="0.3">
      <c r="A18" s="194"/>
      <c r="B18" s="204"/>
      <c r="C18" s="64">
        <v>0</v>
      </c>
      <c r="D18" s="64">
        <v>0</v>
      </c>
      <c r="E18" s="64">
        <v>0</v>
      </c>
      <c r="F18" s="64">
        <v>0</v>
      </c>
      <c r="G18" s="64">
        <v>0</v>
      </c>
      <c r="H18" s="64">
        <v>0</v>
      </c>
      <c r="I18" s="64">
        <v>0</v>
      </c>
      <c r="J18" s="64">
        <v>0</v>
      </c>
      <c r="K18" s="64">
        <v>0</v>
      </c>
      <c r="L18" s="64">
        <v>0</v>
      </c>
      <c r="M18" s="64">
        <v>0</v>
      </c>
      <c r="N18" s="64">
        <v>0</v>
      </c>
    </row>
    <row r="19" spans="1:14" ht="15.6" x14ac:dyDescent="0.3">
      <c r="A19" s="13"/>
      <c r="B19" s="204"/>
      <c r="C19" s="64">
        <v>0</v>
      </c>
      <c r="D19" s="64">
        <v>0</v>
      </c>
      <c r="E19" s="64">
        <v>0</v>
      </c>
      <c r="F19" s="64">
        <v>0</v>
      </c>
      <c r="G19" s="64">
        <v>0</v>
      </c>
      <c r="H19" s="64">
        <v>0</v>
      </c>
      <c r="I19" s="64">
        <v>0</v>
      </c>
      <c r="J19" s="64">
        <v>0</v>
      </c>
      <c r="K19" s="64">
        <v>0</v>
      </c>
      <c r="L19" s="64">
        <v>0</v>
      </c>
      <c r="M19" s="64">
        <v>0</v>
      </c>
      <c r="N19" s="64">
        <v>0</v>
      </c>
    </row>
    <row r="20" spans="1:14" ht="15.6" x14ac:dyDescent="0.3">
      <c r="A20" s="13"/>
      <c r="B20" s="204"/>
      <c r="C20" s="64">
        <v>0</v>
      </c>
      <c r="D20" s="64">
        <v>0</v>
      </c>
      <c r="E20" s="64">
        <v>0</v>
      </c>
      <c r="F20" s="64">
        <v>0</v>
      </c>
      <c r="G20" s="64">
        <v>0</v>
      </c>
      <c r="H20" s="64">
        <v>0</v>
      </c>
      <c r="I20" s="64">
        <v>0</v>
      </c>
      <c r="J20" s="64">
        <v>0</v>
      </c>
      <c r="K20" s="64">
        <v>0</v>
      </c>
      <c r="L20" s="64">
        <v>0</v>
      </c>
      <c r="M20" s="64">
        <v>0</v>
      </c>
      <c r="N20" s="64">
        <v>0</v>
      </c>
    </row>
    <row r="21" spans="1:14" ht="15.6" x14ac:dyDescent="0.3">
      <c r="A21" s="13"/>
      <c r="B21" s="204"/>
      <c r="C21" s="64">
        <v>0</v>
      </c>
      <c r="D21" s="64">
        <v>0</v>
      </c>
      <c r="E21" s="64">
        <v>0</v>
      </c>
      <c r="F21" s="64">
        <v>0</v>
      </c>
      <c r="G21" s="64">
        <v>0</v>
      </c>
      <c r="H21" s="64">
        <v>0</v>
      </c>
      <c r="I21" s="64">
        <v>0</v>
      </c>
      <c r="J21" s="64">
        <v>0</v>
      </c>
      <c r="K21" s="64">
        <v>0</v>
      </c>
      <c r="L21" s="64">
        <v>0</v>
      </c>
      <c r="M21" s="64">
        <v>0</v>
      </c>
      <c r="N21" s="64">
        <v>0</v>
      </c>
    </row>
    <row r="22" spans="1:14" ht="15.6" x14ac:dyDescent="0.3">
      <c r="A22" s="13"/>
      <c r="B22" s="204"/>
      <c r="C22" s="64">
        <v>0</v>
      </c>
      <c r="D22" s="64">
        <v>0</v>
      </c>
      <c r="E22" s="64">
        <v>0</v>
      </c>
      <c r="F22" s="64">
        <v>0</v>
      </c>
      <c r="G22" s="64">
        <v>0</v>
      </c>
      <c r="H22" s="64">
        <v>0</v>
      </c>
      <c r="I22" s="64">
        <v>0</v>
      </c>
      <c r="J22" s="64">
        <v>0</v>
      </c>
      <c r="K22" s="64">
        <v>0</v>
      </c>
      <c r="L22" s="64">
        <v>0</v>
      </c>
      <c r="M22" s="64">
        <v>0</v>
      </c>
      <c r="N22" s="64">
        <v>0</v>
      </c>
    </row>
    <row r="23" spans="1:14" ht="15.6" x14ac:dyDescent="0.3">
      <c r="A23" s="13"/>
      <c r="B23" s="204"/>
      <c r="C23" s="64">
        <v>0</v>
      </c>
      <c r="D23" s="64">
        <v>0</v>
      </c>
      <c r="E23" s="64">
        <v>0</v>
      </c>
      <c r="F23" s="64">
        <v>0</v>
      </c>
      <c r="G23" s="64">
        <v>0</v>
      </c>
      <c r="H23" s="64">
        <v>0</v>
      </c>
      <c r="I23" s="64">
        <v>0</v>
      </c>
      <c r="J23" s="64">
        <v>0</v>
      </c>
      <c r="K23" s="64">
        <v>0</v>
      </c>
      <c r="L23" s="64">
        <v>0</v>
      </c>
      <c r="M23" s="64">
        <v>0</v>
      </c>
      <c r="N23" s="64">
        <v>0</v>
      </c>
    </row>
    <row r="24" spans="1:14" ht="15.6" x14ac:dyDescent="0.3">
      <c r="A24" s="18"/>
      <c r="B24" s="204"/>
      <c r="C24" s="64">
        <v>0</v>
      </c>
      <c r="D24" s="64">
        <v>0</v>
      </c>
      <c r="E24" s="64">
        <v>0</v>
      </c>
      <c r="F24" s="64">
        <v>0</v>
      </c>
      <c r="G24" s="64">
        <v>0</v>
      </c>
      <c r="H24" s="64">
        <v>0</v>
      </c>
      <c r="I24" s="64">
        <v>0</v>
      </c>
      <c r="J24" s="64">
        <v>0</v>
      </c>
      <c r="K24" s="64">
        <v>0</v>
      </c>
      <c r="L24" s="64">
        <v>0</v>
      </c>
      <c r="M24" s="64">
        <v>0</v>
      </c>
      <c r="N24" s="64">
        <v>0</v>
      </c>
    </row>
    <row r="25" spans="1:14" ht="15.6" x14ac:dyDescent="0.3">
      <c r="A25" s="194"/>
      <c r="B25" s="204"/>
      <c r="C25" s="64">
        <v>0</v>
      </c>
      <c r="D25" s="64">
        <v>0</v>
      </c>
      <c r="E25" s="64">
        <v>0</v>
      </c>
      <c r="F25" s="64">
        <v>0</v>
      </c>
      <c r="G25" s="64">
        <v>0</v>
      </c>
      <c r="H25" s="64">
        <v>0</v>
      </c>
      <c r="I25" s="64">
        <v>0</v>
      </c>
      <c r="J25" s="64">
        <v>0</v>
      </c>
      <c r="K25" s="64">
        <v>0</v>
      </c>
      <c r="L25" s="64">
        <v>0</v>
      </c>
      <c r="M25" s="64">
        <v>0</v>
      </c>
      <c r="N25" s="64">
        <v>0</v>
      </c>
    </row>
    <row r="26" spans="1:14" ht="15.6" x14ac:dyDescent="0.3">
      <c r="A26" s="194"/>
      <c r="B26" s="204"/>
      <c r="C26" s="64">
        <v>0</v>
      </c>
      <c r="D26" s="64">
        <v>0</v>
      </c>
      <c r="E26" s="64">
        <v>0</v>
      </c>
      <c r="F26" s="64">
        <v>0</v>
      </c>
      <c r="G26" s="64">
        <v>0</v>
      </c>
      <c r="H26" s="64">
        <v>0</v>
      </c>
      <c r="I26" s="64">
        <v>0</v>
      </c>
      <c r="J26" s="64">
        <v>0</v>
      </c>
      <c r="K26" s="64">
        <v>0</v>
      </c>
      <c r="L26" s="64">
        <v>0</v>
      </c>
      <c r="M26" s="64">
        <v>0</v>
      </c>
      <c r="N26" s="64">
        <v>0</v>
      </c>
    </row>
    <row r="27" spans="1:14" ht="15.6" x14ac:dyDescent="0.3">
      <c r="A27" s="194"/>
      <c r="B27" s="204"/>
      <c r="C27" s="64">
        <v>0</v>
      </c>
      <c r="D27" s="64">
        <v>0</v>
      </c>
      <c r="E27" s="64">
        <v>0</v>
      </c>
      <c r="F27" s="64">
        <v>0</v>
      </c>
      <c r="G27" s="64">
        <v>0</v>
      </c>
      <c r="H27" s="64">
        <v>0</v>
      </c>
      <c r="I27" s="64">
        <v>0</v>
      </c>
      <c r="J27" s="64">
        <v>0</v>
      </c>
      <c r="K27" s="64">
        <v>0</v>
      </c>
      <c r="L27" s="64">
        <v>0</v>
      </c>
      <c r="M27" s="64">
        <v>0</v>
      </c>
      <c r="N27" s="64">
        <v>0</v>
      </c>
    </row>
    <row r="28" spans="1:14" ht="15.6" x14ac:dyDescent="0.3">
      <c r="A28" s="194"/>
      <c r="B28" s="204"/>
      <c r="C28" s="197">
        <v>0</v>
      </c>
      <c r="D28" s="64">
        <v>0</v>
      </c>
      <c r="E28" s="64">
        <v>0</v>
      </c>
      <c r="F28" s="64">
        <v>0</v>
      </c>
      <c r="G28" s="64">
        <v>0</v>
      </c>
      <c r="H28" s="64">
        <v>0</v>
      </c>
      <c r="I28" s="64">
        <v>0</v>
      </c>
      <c r="J28" s="64">
        <v>0</v>
      </c>
      <c r="K28" s="64">
        <v>0</v>
      </c>
      <c r="L28" s="64">
        <v>0</v>
      </c>
      <c r="M28" s="64">
        <v>0</v>
      </c>
      <c r="N28" s="64">
        <v>0</v>
      </c>
    </row>
    <row r="29" spans="1:14" x14ac:dyDescent="0.3">
      <c r="A29" s="195"/>
      <c r="B29" s="205"/>
      <c r="C29" s="197">
        <v>0</v>
      </c>
      <c r="D29" s="64">
        <v>0</v>
      </c>
      <c r="E29" s="64">
        <v>0</v>
      </c>
      <c r="F29" s="64">
        <v>0</v>
      </c>
      <c r="G29" s="64">
        <v>0</v>
      </c>
      <c r="H29" s="64">
        <v>0</v>
      </c>
      <c r="I29" s="64">
        <v>0</v>
      </c>
      <c r="J29" s="64">
        <v>0</v>
      </c>
      <c r="K29" s="64">
        <v>0</v>
      </c>
      <c r="L29" s="64">
        <v>0</v>
      </c>
      <c r="M29" s="64">
        <v>0</v>
      </c>
      <c r="N29" s="64">
        <v>0</v>
      </c>
    </row>
    <row r="30" spans="1:14" ht="15.6" x14ac:dyDescent="0.3">
      <c r="A30" s="194"/>
      <c r="B30" s="204"/>
      <c r="C30" s="197">
        <v>0</v>
      </c>
      <c r="D30" s="64">
        <v>0</v>
      </c>
      <c r="E30" s="64">
        <v>0</v>
      </c>
      <c r="F30" s="64">
        <v>0</v>
      </c>
      <c r="G30" s="64">
        <v>0</v>
      </c>
      <c r="H30" s="64">
        <v>0</v>
      </c>
      <c r="I30" s="64">
        <v>0</v>
      </c>
      <c r="J30" s="64">
        <v>0</v>
      </c>
      <c r="K30" s="64">
        <v>0</v>
      </c>
      <c r="L30" s="64">
        <v>0</v>
      </c>
      <c r="M30" s="64">
        <v>0</v>
      </c>
      <c r="N30" s="64">
        <v>0</v>
      </c>
    </row>
    <row r="31" spans="1:14" ht="18" x14ac:dyDescent="0.35">
      <c r="A31" s="596" t="s">
        <v>124</v>
      </c>
      <c r="B31" s="597"/>
      <c r="C31" s="208">
        <f>SUM(C6:C30)/B2</f>
        <v>0</v>
      </c>
      <c r="D31" s="208">
        <f>SUM(D6:D30)/B2</f>
        <v>0</v>
      </c>
      <c r="E31" s="208">
        <f>SUM(E6:E30)/B2</f>
        <v>0</v>
      </c>
      <c r="F31" s="208">
        <f>SUM(F6:F30)/B2</f>
        <v>0</v>
      </c>
      <c r="G31" s="208">
        <f>SUM(G6:G30)/B2</f>
        <v>0</v>
      </c>
      <c r="H31" s="208">
        <f>SUM(H6:H30)/B2</f>
        <v>0</v>
      </c>
      <c r="I31" s="208">
        <f>SUM(I6:I30)/B2</f>
        <v>0</v>
      </c>
      <c r="J31" s="208">
        <f>SUM(J6:J30)/B2</f>
        <v>0</v>
      </c>
      <c r="K31" s="208">
        <f>SUM(K6:K30)/B2</f>
        <v>2140</v>
      </c>
      <c r="L31" s="208">
        <f>SUM(L6:L30)/B2</f>
        <v>0</v>
      </c>
      <c r="M31" s="208">
        <f>SUM(M6:M30)/B2</f>
        <v>0</v>
      </c>
      <c r="N31" s="208">
        <f>SUM(N6:N30)/B2</f>
        <v>0</v>
      </c>
    </row>
  </sheetData>
  <protectedRanges>
    <protectedRange sqref="C6:N30" name="Intervalo2"/>
    <protectedRange sqref="A6:B30" name="Intervalo1"/>
  </protectedRanges>
  <mergeCells count="1">
    <mergeCell ref="A31:B31"/>
  </mergeCells>
  <hyperlinks>
    <hyperlink ref="A2" location="Menu!A1" display="Menu" xr:uid="{00000000-0004-0000-1B00-000000000000}"/>
  </hyperlink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Plan15"/>
  <dimension ref="A1:KJ333"/>
  <sheetViews>
    <sheetView zoomScaleNormal="100" workbookViewId="0">
      <selection activeCell="A2" sqref="A2"/>
    </sheetView>
  </sheetViews>
  <sheetFormatPr defaultColWidth="9.109375" defaultRowHeight="14.4" x14ac:dyDescent="0.3"/>
  <cols>
    <col min="1" max="1" width="10.6640625" style="58" bestFit="1" customWidth="1"/>
    <col min="2" max="2" width="26.88671875" style="39" bestFit="1" customWidth="1"/>
    <col min="3" max="3" width="10.6640625" style="39" bestFit="1" customWidth="1"/>
    <col min="4" max="4" width="13.33203125" style="39" bestFit="1" customWidth="1"/>
    <col min="5" max="5" width="11.109375" style="39" bestFit="1" customWidth="1"/>
    <col min="6" max="6" width="9.5546875" style="39" bestFit="1" customWidth="1"/>
    <col min="7" max="7" width="11.109375" style="39" bestFit="1" customWidth="1"/>
    <col min="8" max="8" width="9.5546875" style="39" bestFit="1" customWidth="1"/>
    <col min="9" max="9" width="11.109375" style="39" bestFit="1" customWidth="1"/>
    <col min="10" max="10" width="12.21875" style="39" bestFit="1" customWidth="1"/>
    <col min="11" max="15" width="8.21875" style="39" customWidth="1"/>
    <col min="16" max="16" width="8.21875" style="39" bestFit="1" customWidth="1"/>
    <col min="17" max="17" width="8.21875" style="39" customWidth="1"/>
    <col min="18" max="19" width="9" style="39" bestFit="1" customWidth="1"/>
    <col min="20" max="20" width="10.44140625" style="39" bestFit="1" customWidth="1"/>
    <col min="21" max="21" width="9.109375" style="39"/>
    <col min="22" max="22" width="10.6640625" style="39" bestFit="1" customWidth="1"/>
    <col min="23" max="23" width="9.5546875" style="39" bestFit="1" customWidth="1"/>
    <col min="24" max="24" width="13.33203125" style="39" bestFit="1" customWidth="1"/>
    <col min="25" max="25" width="12" style="37" customWidth="1"/>
    <col min="26" max="26" width="31.5546875" style="39" bestFit="1" customWidth="1"/>
    <col min="27" max="27" width="10.6640625" style="39" bestFit="1" customWidth="1"/>
    <col min="28" max="28" width="11.5546875" style="39" bestFit="1" customWidth="1"/>
    <col min="29" max="29" width="10.6640625" style="39" bestFit="1" customWidth="1"/>
    <col min="30" max="30" width="9.5546875" style="39" bestFit="1" customWidth="1"/>
    <col min="31" max="31" width="10.44140625" style="39" bestFit="1" customWidth="1"/>
    <col min="32" max="32" width="9.109375" style="39"/>
    <col min="33" max="33" width="10.44140625" style="39" bestFit="1" customWidth="1"/>
    <col min="34" max="34" width="11.5546875" style="39" bestFit="1" customWidth="1"/>
    <col min="35" max="39" width="8.21875" style="39" customWidth="1"/>
    <col min="40" max="44" width="9.109375" style="39"/>
    <col min="45" max="45" width="10.6640625" style="39" bestFit="1" customWidth="1"/>
    <col min="46" max="46" width="9.5546875" style="39" bestFit="1" customWidth="1"/>
    <col min="47" max="47" width="13.33203125" style="39" bestFit="1" customWidth="1"/>
    <col min="48" max="48" width="12.77734375" style="468" bestFit="1" customWidth="1"/>
    <col min="49" max="49" width="12" style="468" customWidth="1"/>
    <col min="50" max="50" width="31.5546875" style="39" bestFit="1" customWidth="1"/>
    <col min="51" max="51" width="10.88671875" style="39" bestFit="1" customWidth="1"/>
    <col min="52" max="52" width="11.5546875" style="39" bestFit="1" customWidth="1"/>
    <col min="53" max="53" width="10.6640625" style="39" customWidth="1"/>
    <col min="54" max="54" width="9.109375" style="39"/>
    <col min="55" max="55" width="11.5546875" style="39" bestFit="1" customWidth="1"/>
    <col min="56" max="56" width="9.109375" style="39"/>
    <col min="57" max="57" width="10.44140625" style="39" bestFit="1" customWidth="1"/>
    <col min="58" max="58" width="11.5546875" style="39" bestFit="1" customWidth="1"/>
    <col min="59" max="63" width="8.21875" style="39" customWidth="1"/>
    <col min="64" max="68" width="9.109375" style="39"/>
    <col min="69" max="69" width="10.6640625" style="39" bestFit="1" customWidth="1"/>
    <col min="70" max="70" width="9.109375" style="39"/>
    <col min="71" max="71" width="13.33203125" style="39" bestFit="1" customWidth="1"/>
    <col min="72" max="72" width="12.77734375" style="39" bestFit="1" customWidth="1"/>
    <col min="73" max="73" width="12" style="39" customWidth="1"/>
    <col min="74" max="74" width="26.88671875" style="39" bestFit="1" customWidth="1"/>
    <col min="75" max="75" width="10.6640625" style="39" bestFit="1" customWidth="1"/>
    <col min="76" max="77" width="11.5546875" style="39" customWidth="1"/>
    <col min="78" max="78" width="9.109375" style="39"/>
    <col min="79" max="79" width="10.44140625" style="39" bestFit="1" customWidth="1"/>
    <col min="80" max="80" width="9.109375" style="39"/>
    <col min="81" max="81" width="10.6640625" style="39" bestFit="1" customWidth="1"/>
    <col min="82" max="82" width="11.5546875" style="39" bestFit="1" customWidth="1"/>
    <col min="83" max="87" width="8.21875" style="39" customWidth="1"/>
    <col min="88" max="88" width="9.109375" style="39"/>
    <col min="89" max="89" width="13.33203125" style="39" bestFit="1" customWidth="1"/>
    <col min="90" max="91" width="12" style="39" customWidth="1"/>
    <col min="92" max="92" width="9.109375" style="39"/>
    <col min="93" max="93" width="10.6640625" style="39" bestFit="1" customWidth="1"/>
    <col min="94" max="95" width="9.109375" style="39"/>
    <col min="96" max="96" width="12.77734375" style="39" bestFit="1" customWidth="1"/>
    <col min="97" max="97" width="12" style="39" customWidth="1"/>
    <col min="98" max="98" width="26.88671875" style="39" bestFit="1" customWidth="1"/>
    <col min="99" max="99" width="10.6640625" style="39" bestFit="1" customWidth="1"/>
    <col min="100" max="100" width="11.5546875" style="39" bestFit="1" customWidth="1"/>
    <col min="101" max="101" width="12" style="39" customWidth="1"/>
    <col min="102" max="102" width="10.6640625" style="39" bestFit="1" customWidth="1"/>
    <col min="103" max="103" width="12" style="39" customWidth="1"/>
    <col min="104" max="104" width="9.109375" style="39"/>
    <col min="105" max="105" width="10.6640625" style="39" bestFit="1" customWidth="1"/>
    <col min="106" max="106" width="11.5546875" style="39" bestFit="1" customWidth="1"/>
    <col min="107" max="111" width="8.21875" style="39" customWidth="1"/>
    <col min="112" max="116" width="9.109375" style="39"/>
    <col min="117" max="117" width="10.6640625" style="39" bestFit="1" customWidth="1"/>
    <col min="118" max="119" width="9.109375" style="39"/>
    <col min="120" max="120" width="12.77734375" style="39" bestFit="1" customWidth="1"/>
    <col min="121" max="121" width="12" style="39" customWidth="1"/>
    <col min="122" max="122" width="26.88671875" style="39" bestFit="1" customWidth="1"/>
    <col min="123" max="123" width="10.6640625" style="39" bestFit="1" customWidth="1"/>
    <col min="124" max="124" width="11.5546875" style="39" bestFit="1" customWidth="1"/>
    <col min="125" max="125" width="13.33203125" style="39" bestFit="1" customWidth="1"/>
    <col min="126" max="126" width="12" style="49" customWidth="1"/>
    <col min="127" max="127" width="12" style="39" customWidth="1"/>
    <col min="128" max="129" width="10.6640625" style="39" bestFit="1" customWidth="1"/>
    <col min="130" max="130" width="11.5546875" style="39" bestFit="1" customWidth="1"/>
    <col min="131" max="135" width="8.21875" style="39" customWidth="1"/>
    <col min="136" max="140" width="9.109375" style="39"/>
    <col min="141" max="141" width="10.6640625" style="39" bestFit="1" customWidth="1"/>
    <col min="142" max="142" width="9.109375" style="39"/>
    <col min="143" max="143" width="13.33203125" style="39" bestFit="1" customWidth="1"/>
    <col min="144" max="144" width="12.77734375" style="49" bestFit="1" customWidth="1"/>
    <col min="145" max="145" width="12" style="39" customWidth="1"/>
    <col min="146" max="146" width="26.88671875" style="39" bestFit="1" customWidth="1"/>
    <col min="147" max="147" width="10.6640625" style="39" bestFit="1" customWidth="1"/>
    <col min="148" max="148" width="11.5546875" style="39" bestFit="1" customWidth="1"/>
    <col min="149" max="149" width="12" style="39" customWidth="1"/>
    <col min="150" max="150" width="9.109375" style="39"/>
    <col min="151" max="151" width="10.44140625" style="39" bestFit="1" customWidth="1"/>
    <col min="152" max="152" width="9.109375" style="39"/>
    <col min="153" max="153" width="10.6640625" style="39" bestFit="1" customWidth="1"/>
    <col min="154" max="154" width="11.5546875" style="39" bestFit="1" customWidth="1"/>
    <col min="155" max="159" width="8.21875" style="39" customWidth="1"/>
    <col min="160" max="160" width="9.109375" style="39"/>
    <col min="161" max="161" width="13.33203125" style="39" bestFit="1" customWidth="1"/>
    <col min="162" max="162" width="12" style="49" customWidth="1"/>
    <col min="163" max="163" width="12" style="39" customWidth="1"/>
    <col min="164" max="164" width="9.109375" style="39"/>
    <col min="165" max="165" width="10.6640625" style="39" bestFit="1" customWidth="1"/>
    <col min="166" max="167" width="9.109375" style="39"/>
    <col min="168" max="168" width="12.77734375" style="39" bestFit="1" customWidth="1"/>
    <col min="169" max="169" width="12" style="39" customWidth="1"/>
    <col min="170" max="170" width="26.88671875" style="39" bestFit="1" customWidth="1"/>
    <col min="171" max="171" width="10.6640625" style="39" bestFit="1" customWidth="1"/>
    <col min="172" max="172" width="11.5546875" style="39" bestFit="1" customWidth="1"/>
    <col min="173" max="173" width="12" style="39" customWidth="1"/>
    <col min="174" max="174" width="9.109375" style="39"/>
    <col min="175" max="175" width="10.44140625" style="39" bestFit="1" customWidth="1"/>
    <col min="176" max="176" width="9.109375" style="39"/>
    <col min="177" max="177" width="10.6640625" style="39" bestFit="1" customWidth="1"/>
    <col min="178" max="178" width="11.5546875" style="39" bestFit="1" customWidth="1"/>
    <col min="179" max="179" width="8.21875" style="39" customWidth="1"/>
    <col min="180" max="180" width="8.21875" style="49" customWidth="1"/>
    <col min="181" max="183" width="8.21875" style="39" customWidth="1"/>
    <col min="184" max="188" width="9.109375" style="39"/>
    <col min="189" max="189" width="10.6640625" style="39" bestFit="1" customWidth="1"/>
    <col min="190" max="191" width="9.109375" style="39"/>
    <col min="192" max="192" width="12.77734375" style="39" bestFit="1" customWidth="1"/>
    <col min="193" max="193" width="12" style="39" customWidth="1"/>
    <col min="194" max="194" width="26.88671875" style="39" bestFit="1" customWidth="1"/>
    <col min="195" max="195" width="10.6640625" style="39" bestFit="1" customWidth="1"/>
    <col min="196" max="196" width="11.5546875" style="39" bestFit="1" customWidth="1"/>
    <col min="197" max="197" width="13.33203125" style="39" bestFit="1" customWidth="1"/>
    <col min="198" max="198" width="12" style="49" customWidth="1"/>
    <col min="199" max="199" width="12" style="39" customWidth="1"/>
    <col min="200" max="200" width="9.109375" style="39"/>
    <col min="201" max="201" width="10.6640625" style="39" bestFit="1" customWidth="1"/>
    <col min="202" max="202" width="11.5546875" style="39" bestFit="1" customWidth="1"/>
    <col min="203" max="207" width="8.21875" style="39" customWidth="1"/>
    <col min="208" max="212" width="9.109375" style="39"/>
    <col min="213" max="213" width="10.6640625" style="39" bestFit="1" customWidth="1"/>
    <col min="214" max="214" width="9.109375" style="39"/>
    <col min="215" max="215" width="13.33203125" style="39" bestFit="1" customWidth="1"/>
    <col min="216" max="216" width="12.77734375" style="49" bestFit="1" customWidth="1"/>
    <col min="217" max="217" width="12" style="39" customWidth="1"/>
    <col min="218" max="218" width="26.88671875" style="39" bestFit="1" customWidth="1"/>
    <col min="219" max="219" width="10.6640625" style="39" bestFit="1" customWidth="1"/>
    <col min="220" max="220" width="11.5546875" style="39" bestFit="1" customWidth="1"/>
    <col min="221" max="221" width="12" style="39" customWidth="1"/>
    <col min="222" max="222" width="9.109375" style="39"/>
    <col min="223" max="223" width="10.44140625" style="39" bestFit="1" customWidth="1"/>
    <col min="224" max="224" width="9.109375" style="39"/>
    <col min="225" max="225" width="10.6640625" style="39" bestFit="1" customWidth="1"/>
    <col min="226" max="226" width="11.5546875" style="39" bestFit="1" customWidth="1"/>
    <col min="227" max="231" width="8.21875" style="39" customWidth="1"/>
    <col min="232" max="232" width="9.109375" style="39"/>
    <col min="233" max="233" width="12" style="39" customWidth="1"/>
    <col min="234" max="234" width="9.109375" style="37"/>
    <col min="235" max="239" width="9.109375" style="39"/>
    <col min="240" max="240" width="12.77734375" style="39" bestFit="1" customWidth="1"/>
    <col min="241" max="241" width="12" style="39" customWidth="1"/>
    <col min="242" max="242" width="26.88671875" style="39" bestFit="1" customWidth="1"/>
    <col min="243" max="243" width="9.109375" style="39"/>
    <col min="244" max="244" width="11.5546875" style="39" bestFit="1" customWidth="1"/>
    <col min="245" max="245" width="12" style="39" customWidth="1"/>
    <col min="246" max="246" width="9.109375" style="39"/>
    <col min="247" max="247" width="10.44140625" style="39" bestFit="1" customWidth="1"/>
    <col min="248" max="248" width="9.109375" style="39"/>
    <col min="249" max="249" width="10.44140625" style="39" bestFit="1" customWidth="1"/>
    <col min="250" max="250" width="11.5546875" style="39" bestFit="1" customWidth="1"/>
    <col min="251" max="255" width="8.21875" style="39" customWidth="1"/>
    <col min="256" max="263" width="9.109375" style="39"/>
    <col min="264" max="264" width="12.77734375" style="39" bestFit="1" customWidth="1"/>
    <col min="265" max="265" width="12" style="39" customWidth="1"/>
    <col min="266" max="266" width="26.88671875" style="39" bestFit="1" customWidth="1"/>
    <col min="267" max="267" width="9.109375" style="39"/>
    <col min="268" max="269" width="11.5546875" style="39" customWidth="1"/>
    <col min="270" max="270" width="9.109375" style="39"/>
    <col min="271" max="271" width="10.44140625" style="39" bestFit="1" customWidth="1"/>
    <col min="272" max="272" width="9.109375" style="39"/>
    <col min="273" max="273" width="10.44140625" style="39" bestFit="1" customWidth="1"/>
    <col min="274" max="274" width="11.5546875" style="39" bestFit="1" customWidth="1"/>
    <col min="275" max="279" width="8.21875" style="39" customWidth="1"/>
    <col min="280" max="281" width="9.109375" style="39"/>
    <col min="282" max="282" width="9.109375" style="39" bestFit="1" customWidth="1"/>
    <col min="283" max="283" width="10.6640625" style="39" bestFit="1" customWidth="1"/>
    <col min="284" max="285" width="9" style="39" bestFit="1" customWidth="1"/>
    <col min="286" max="286" width="10.6640625" style="39" bestFit="1" customWidth="1"/>
    <col min="287" max="287" width="9.109375" style="39"/>
    <col min="288" max="288" width="12.77734375" style="39" bestFit="1" customWidth="1"/>
    <col min="289" max="290" width="9.109375" style="39"/>
    <col min="291" max="291" width="12" style="39" bestFit="1" customWidth="1"/>
    <col min="292" max="292" width="32.6640625" style="39" customWidth="1"/>
    <col min="293" max="293" width="12.33203125" style="39" bestFit="1" customWidth="1"/>
    <col min="294" max="294" width="9.109375" style="39"/>
    <col min="295" max="295" width="10.6640625" style="39" bestFit="1" customWidth="1"/>
    <col min="296" max="300" width="9.109375" style="39"/>
    <col min="301" max="301" width="10.6640625" style="39" bestFit="1" customWidth="1"/>
    <col min="302" max="308" width="9.109375" style="39"/>
    <col min="309" max="309" width="12" style="39" bestFit="1" customWidth="1"/>
    <col min="310" max="310" width="32.6640625" style="39" customWidth="1"/>
    <col min="311" max="311" width="12.33203125" style="39" bestFit="1" customWidth="1"/>
    <col min="312" max="312" width="9.109375" style="39"/>
    <col min="313" max="313" width="10.6640625" style="39" bestFit="1" customWidth="1"/>
    <col min="314" max="318" width="9.109375" style="39"/>
    <col min="319" max="319" width="10.6640625" style="39" bestFit="1" customWidth="1"/>
    <col min="320" max="326" width="9.109375" style="39"/>
    <col min="327" max="327" width="12" style="39" bestFit="1" customWidth="1"/>
    <col min="328" max="328" width="32.6640625" style="39" customWidth="1"/>
    <col min="329" max="329" width="12.33203125" style="39" bestFit="1" customWidth="1"/>
    <col min="330" max="330" width="9.109375" style="39"/>
    <col min="331" max="331" width="10.6640625" style="39" bestFit="1" customWidth="1"/>
    <col min="332" max="336" width="9.109375" style="39"/>
    <col min="337" max="337" width="10.6640625" style="39" bestFit="1" customWidth="1"/>
    <col min="338" max="344" width="9.109375" style="39"/>
    <col min="345" max="345" width="12" style="39" bestFit="1" customWidth="1"/>
    <col min="346" max="346" width="32.6640625" style="39" customWidth="1"/>
    <col min="347" max="347" width="12.33203125" style="39" bestFit="1" customWidth="1"/>
    <col min="348" max="348" width="9.109375" style="39"/>
    <col min="349" max="349" width="10.6640625" style="39" bestFit="1" customWidth="1"/>
    <col min="350" max="354" width="9.109375" style="39"/>
    <col min="355" max="355" width="10.6640625" style="39" bestFit="1" customWidth="1"/>
    <col min="356" max="362" width="9.109375" style="39"/>
    <col min="363" max="363" width="12" style="39" bestFit="1" customWidth="1"/>
    <col min="364" max="364" width="32.6640625" style="39" customWidth="1"/>
    <col min="365" max="365" width="12.33203125" style="39" bestFit="1" customWidth="1"/>
    <col min="366" max="366" width="9.109375" style="39"/>
    <col min="367" max="367" width="10.6640625" style="39" bestFit="1" customWidth="1"/>
    <col min="368" max="372" width="9.109375" style="39"/>
    <col min="373" max="373" width="10.6640625" style="39" bestFit="1" customWidth="1"/>
    <col min="374" max="380" width="9.109375" style="39"/>
    <col min="381" max="381" width="12" style="39" bestFit="1" customWidth="1"/>
    <col min="382" max="382" width="32.6640625" style="39" customWidth="1"/>
    <col min="383" max="383" width="12.33203125" style="39" bestFit="1" customWidth="1"/>
    <col min="384" max="384" width="9.109375" style="39"/>
    <col min="385" max="385" width="10.6640625" style="39" bestFit="1" customWidth="1"/>
    <col min="386" max="390" width="9.109375" style="39"/>
    <col min="391" max="391" width="10.6640625" style="39" bestFit="1" customWidth="1"/>
    <col min="392" max="398" width="9.109375" style="39"/>
    <col min="399" max="399" width="12" style="39" bestFit="1" customWidth="1"/>
    <col min="400" max="400" width="32.6640625" style="39" customWidth="1"/>
    <col min="401" max="401" width="12.33203125" style="39" bestFit="1" customWidth="1"/>
    <col min="402" max="402" width="9.109375" style="39"/>
    <col min="403" max="403" width="10.6640625" style="39" bestFit="1" customWidth="1"/>
    <col min="404" max="408" width="9.109375" style="39"/>
    <col min="409" max="409" width="10.6640625" style="39" bestFit="1" customWidth="1"/>
    <col min="410" max="416" width="9.109375" style="39"/>
    <col min="417" max="417" width="12" style="39" bestFit="1" customWidth="1"/>
    <col min="418" max="418" width="32.6640625" style="39" customWidth="1"/>
    <col min="419" max="419" width="12.33203125" style="39" bestFit="1" customWidth="1"/>
    <col min="420" max="420" width="9.109375" style="39"/>
    <col min="421" max="421" width="10.6640625" style="39" bestFit="1" customWidth="1"/>
    <col min="422" max="426" width="9.109375" style="39"/>
    <col min="427" max="427" width="10.6640625" style="39" bestFit="1" customWidth="1"/>
    <col min="428" max="434" width="9.109375" style="39"/>
    <col min="435" max="435" width="12" style="39" bestFit="1" customWidth="1"/>
    <col min="436" max="436" width="32.6640625" style="39" customWidth="1"/>
    <col min="437" max="437" width="12.33203125" style="39" bestFit="1" customWidth="1"/>
    <col min="438" max="438" width="9.109375" style="39"/>
    <col min="439" max="439" width="10.6640625" style="39" bestFit="1" customWidth="1"/>
    <col min="440" max="444" width="9.109375" style="39"/>
    <col min="445" max="445" width="10.6640625" style="39" bestFit="1" customWidth="1"/>
    <col min="446" max="452" width="9.109375" style="39"/>
    <col min="453" max="453" width="12" style="39" bestFit="1" customWidth="1"/>
    <col min="454" max="454" width="32.6640625" style="39" customWidth="1"/>
    <col min="455" max="455" width="12.33203125" style="39" bestFit="1" customWidth="1"/>
    <col min="456" max="456" width="9.109375" style="39"/>
    <col min="457" max="457" width="10.6640625" style="39" bestFit="1" customWidth="1"/>
    <col min="458" max="462" width="9.109375" style="39"/>
    <col min="463" max="463" width="10.6640625" style="39" bestFit="1" customWidth="1"/>
    <col min="464" max="470" width="9.109375" style="39"/>
    <col min="471" max="471" width="13.33203125" style="39" bestFit="1" customWidth="1"/>
    <col min="472" max="472" width="32.6640625" style="39" customWidth="1"/>
    <col min="473" max="473" width="12.33203125" style="39" bestFit="1" customWidth="1"/>
    <col min="474" max="474" width="9.109375" style="39"/>
    <col min="475" max="475" width="10.6640625" style="39" bestFit="1" customWidth="1"/>
    <col min="476" max="480" width="9.109375" style="39"/>
    <col min="481" max="481" width="10.6640625" style="39" bestFit="1" customWidth="1"/>
    <col min="482" max="488" width="9.109375" style="39"/>
    <col min="489" max="489" width="12" style="39" bestFit="1" customWidth="1"/>
    <col min="490" max="530" width="9.109375" style="39"/>
    <col min="531" max="531" width="12.33203125" style="39" bestFit="1" customWidth="1"/>
    <col min="532" max="532" width="10.109375" style="39" bestFit="1" customWidth="1"/>
    <col min="533" max="533" width="10.6640625" style="39" bestFit="1" customWidth="1"/>
    <col min="534" max="537" width="9.109375" style="39"/>
    <col min="538" max="538" width="9.109375" style="39" bestFit="1" customWidth="1"/>
    <col min="539" max="539" width="10.6640625" style="39" bestFit="1" customWidth="1"/>
    <col min="540" max="540" width="4.5546875" style="39" bestFit="1" customWidth="1"/>
    <col min="541" max="541" width="5.5546875" style="39" bestFit="1" customWidth="1"/>
    <col min="542" max="542" width="10.6640625" style="39" bestFit="1" customWidth="1"/>
    <col min="543" max="546" width="9.109375" style="39"/>
    <col min="547" max="547" width="12" style="39" bestFit="1" customWidth="1"/>
    <col min="548" max="548" width="32.6640625" style="39" customWidth="1"/>
    <col min="549" max="549" width="12.33203125" style="39" bestFit="1" customWidth="1"/>
    <col min="550" max="550" width="9.109375" style="39"/>
    <col min="551" max="551" width="10.6640625" style="39" bestFit="1" customWidth="1"/>
    <col min="552" max="556" width="9.109375" style="39"/>
    <col min="557" max="557" width="10.6640625" style="39" bestFit="1" customWidth="1"/>
    <col min="558" max="564" width="9.109375" style="39"/>
    <col min="565" max="565" width="12" style="39" bestFit="1" customWidth="1"/>
    <col min="566" max="566" width="32.6640625" style="39" customWidth="1"/>
    <col min="567" max="567" width="12.33203125" style="39" bestFit="1" customWidth="1"/>
    <col min="568" max="568" width="9.109375" style="39"/>
    <col min="569" max="569" width="10.6640625" style="39" bestFit="1" customWidth="1"/>
    <col min="570" max="574" width="9.109375" style="39"/>
    <col min="575" max="575" width="10.6640625" style="39" bestFit="1" customWidth="1"/>
    <col min="576" max="582" width="9.109375" style="39"/>
    <col min="583" max="583" width="12" style="39" bestFit="1" customWidth="1"/>
    <col min="584" max="584" width="32.6640625" style="39" customWidth="1"/>
    <col min="585" max="585" width="12.33203125" style="39" bestFit="1" customWidth="1"/>
    <col min="586" max="586" width="9.109375" style="39"/>
    <col min="587" max="587" width="10.6640625" style="39" bestFit="1" customWidth="1"/>
    <col min="588" max="592" width="9.109375" style="39"/>
    <col min="593" max="593" width="10.6640625" style="39" bestFit="1" customWidth="1"/>
    <col min="594" max="600" width="9.109375" style="39"/>
    <col min="601" max="601" width="12" style="39" bestFit="1" customWidth="1"/>
    <col min="602" max="602" width="32.6640625" style="39" customWidth="1"/>
    <col min="603" max="603" width="12.33203125" style="39" bestFit="1" customWidth="1"/>
    <col min="604" max="604" width="9.109375" style="39"/>
    <col min="605" max="605" width="10.6640625" style="39" bestFit="1" customWidth="1"/>
    <col min="606" max="610" width="9.109375" style="39"/>
    <col min="611" max="611" width="10.6640625" style="39" bestFit="1" customWidth="1"/>
    <col min="612" max="618" width="9.109375" style="39"/>
    <col min="619" max="619" width="12" style="39" bestFit="1" customWidth="1"/>
    <col min="620" max="620" width="32.6640625" style="39" customWidth="1"/>
    <col min="621" max="621" width="12.33203125" style="39" bestFit="1" customWidth="1"/>
    <col min="622" max="622" width="9.109375" style="39"/>
    <col min="623" max="623" width="10.6640625" style="39" bestFit="1" customWidth="1"/>
    <col min="624" max="628" width="9.109375" style="39"/>
    <col min="629" max="629" width="10.6640625" style="39" bestFit="1" customWidth="1"/>
    <col min="630" max="636" width="9.109375" style="39"/>
    <col min="637" max="637" width="12" style="39" bestFit="1" customWidth="1"/>
    <col min="638" max="638" width="32.6640625" style="39" customWidth="1"/>
    <col min="639" max="639" width="12.33203125" style="39" bestFit="1" customWidth="1"/>
    <col min="640" max="640" width="9.109375" style="39"/>
    <col min="641" max="641" width="10.6640625" style="39" bestFit="1" customWidth="1"/>
    <col min="642" max="646" width="9.109375" style="39"/>
    <col min="647" max="647" width="10.6640625" style="39" bestFit="1" customWidth="1"/>
    <col min="648" max="654" width="9.109375" style="39"/>
    <col min="655" max="655" width="12" style="39" bestFit="1" customWidth="1"/>
    <col min="656" max="656" width="32.6640625" style="39" customWidth="1"/>
    <col min="657" max="657" width="12.33203125" style="39" bestFit="1" customWidth="1"/>
    <col min="658" max="658" width="9.109375" style="39"/>
    <col min="659" max="659" width="10.6640625" style="39" bestFit="1" customWidth="1"/>
    <col min="660" max="664" width="9.109375" style="39"/>
    <col min="665" max="665" width="10.6640625" style="39" bestFit="1" customWidth="1"/>
    <col min="666" max="672" width="9.109375" style="39"/>
    <col min="673" max="673" width="12" style="39" bestFit="1" customWidth="1"/>
    <col min="674" max="674" width="32.6640625" style="39" customWidth="1"/>
    <col min="675" max="675" width="12.33203125" style="39" bestFit="1" customWidth="1"/>
    <col min="676" max="676" width="9.109375" style="39"/>
    <col min="677" max="677" width="10.6640625" style="39" bestFit="1" customWidth="1"/>
    <col min="678" max="682" width="9.109375" style="39"/>
    <col min="683" max="683" width="10.6640625" style="39" bestFit="1" customWidth="1"/>
    <col min="684" max="690" width="9.109375" style="39"/>
    <col min="691" max="691" width="12" style="39" bestFit="1" customWidth="1"/>
    <col min="692" max="692" width="32.6640625" style="39" customWidth="1"/>
    <col min="693" max="693" width="12.33203125" style="39" bestFit="1" customWidth="1"/>
    <col min="694" max="694" width="9.109375" style="39"/>
    <col min="695" max="695" width="10.6640625" style="39" bestFit="1" customWidth="1"/>
    <col min="696" max="700" width="9.109375" style="39"/>
    <col min="701" max="701" width="10.6640625" style="39" bestFit="1" customWidth="1"/>
    <col min="702" max="708" width="9.109375" style="39"/>
    <col min="709" max="709" width="12" style="39" bestFit="1" customWidth="1"/>
    <col min="710" max="710" width="32.6640625" style="39" customWidth="1"/>
    <col min="711" max="711" width="12.33203125" style="39" bestFit="1" customWidth="1"/>
    <col min="712" max="712" width="9.109375" style="39"/>
    <col min="713" max="713" width="10.6640625" style="39" bestFit="1" customWidth="1"/>
    <col min="714" max="718" width="9.109375" style="39"/>
    <col min="719" max="719" width="10.6640625" style="39" bestFit="1" customWidth="1"/>
    <col min="720" max="726" width="9.109375" style="39"/>
    <col min="727" max="727" width="13.33203125" style="39" bestFit="1" customWidth="1"/>
    <col min="728" max="728" width="32.6640625" style="39" customWidth="1"/>
    <col min="729" max="729" width="12.33203125" style="39" bestFit="1" customWidth="1"/>
    <col min="730" max="730" width="9.109375" style="39"/>
    <col min="731" max="731" width="10.6640625" style="39" bestFit="1" customWidth="1"/>
    <col min="732" max="736" width="9.109375" style="39"/>
    <col min="737" max="737" width="10.6640625" style="39" bestFit="1" customWidth="1"/>
    <col min="738" max="744" width="9.109375" style="39"/>
    <col min="745" max="745" width="12" style="39" bestFit="1" customWidth="1"/>
    <col min="746" max="786" width="9.109375" style="39"/>
    <col min="787" max="787" width="12.33203125" style="39" bestFit="1" customWidth="1"/>
    <col min="788" max="788" width="10.109375" style="39" bestFit="1" customWidth="1"/>
    <col min="789" max="789" width="10.6640625" style="39" bestFit="1" customWidth="1"/>
    <col min="790" max="793" width="9.109375" style="39"/>
    <col min="794" max="794" width="9.109375" style="39" bestFit="1" customWidth="1"/>
    <col min="795" max="795" width="10.6640625" style="39" bestFit="1" customWidth="1"/>
    <col min="796" max="796" width="4.5546875" style="39" bestFit="1" customWidth="1"/>
    <col min="797" max="797" width="5.5546875" style="39" bestFit="1" customWidth="1"/>
    <col min="798" max="798" width="10.6640625" style="39" bestFit="1" customWidth="1"/>
    <col min="799" max="802" width="9.109375" style="39"/>
    <col min="803" max="803" width="12" style="39" bestFit="1" customWidth="1"/>
    <col min="804" max="804" width="32.6640625" style="39" customWidth="1"/>
    <col min="805" max="805" width="12.33203125" style="39" bestFit="1" customWidth="1"/>
    <col min="806" max="806" width="9.109375" style="39"/>
    <col min="807" max="807" width="10.6640625" style="39" bestFit="1" customWidth="1"/>
    <col min="808" max="812" width="9.109375" style="39"/>
    <col min="813" max="813" width="10.6640625" style="39" bestFit="1" customWidth="1"/>
    <col min="814" max="820" width="9.109375" style="39"/>
    <col min="821" max="821" width="12" style="39" bestFit="1" customWidth="1"/>
    <col min="822" max="822" width="32.6640625" style="39" customWidth="1"/>
    <col min="823" max="823" width="12.33203125" style="39" bestFit="1" customWidth="1"/>
    <col min="824" max="824" width="9.109375" style="39"/>
    <col min="825" max="825" width="10.6640625" style="39" bestFit="1" customWidth="1"/>
    <col min="826" max="830" width="9.109375" style="39"/>
    <col min="831" max="831" width="10.6640625" style="39" bestFit="1" customWidth="1"/>
    <col min="832" max="838" width="9.109375" style="39"/>
    <col min="839" max="839" width="12" style="39" bestFit="1" customWidth="1"/>
    <col min="840" max="840" width="32.6640625" style="39" customWidth="1"/>
    <col min="841" max="841" width="12.33203125" style="39" bestFit="1" customWidth="1"/>
    <col min="842" max="842" width="9.109375" style="39"/>
    <col min="843" max="843" width="10.6640625" style="39" bestFit="1" customWidth="1"/>
    <col min="844" max="848" width="9.109375" style="39"/>
    <col min="849" max="849" width="10.6640625" style="39" bestFit="1" customWidth="1"/>
    <col min="850" max="856" width="9.109375" style="39"/>
    <col min="857" max="857" width="12" style="39" bestFit="1" customWidth="1"/>
    <col min="858" max="858" width="32.6640625" style="39" customWidth="1"/>
    <col min="859" max="859" width="12.33203125" style="39" bestFit="1" customWidth="1"/>
    <col min="860" max="860" width="9.109375" style="39"/>
    <col min="861" max="861" width="10.6640625" style="39" bestFit="1" customWidth="1"/>
    <col min="862" max="866" width="9.109375" style="39"/>
    <col min="867" max="867" width="10.6640625" style="39" bestFit="1" customWidth="1"/>
    <col min="868" max="874" width="9.109375" style="39"/>
    <col min="875" max="875" width="12" style="39" bestFit="1" customWidth="1"/>
    <col min="876" max="876" width="32.6640625" style="39" customWidth="1"/>
    <col min="877" max="877" width="12.33203125" style="39" bestFit="1" customWidth="1"/>
    <col min="878" max="878" width="9.109375" style="39"/>
    <col min="879" max="879" width="10.6640625" style="39" bestFit="1" customWidth="1"/>
    <col min="880" max="884" width="9.109375" style="39"/>
    <col min="885" max="885" width="10.6640625" style="39" bestFit="1" customWidth="1"/>
    <col min="886" max="892" width="9.109375" style="39"/>
    <col min="893" max="893" width="12" style="39" bestFit="1" customWidth="1"/>
    <col min="894" max="894" width="32.6640625" style="39" customWidth="1"/>
    <col min="895" max="895" width="12.33203125" style="39" bestFit="1" customWidth="1"/>
    <col min="896" max="896" width="9.109375" style="39"/>
    <col min="897" max="897" width="10.6640625" style="39" bestFit="1" customWidth="1"/>
    <col min="898" max="902" width="9.109375" style="39"/>
    <col min="903" max="903" width="10.6640625" style="39" bestFit="1" customWidth="1"/>
    <col min="904" max="910" width="9.109375" style="39"/>
    <col min="911" max="911" width="12" style="39" bestFit="1" customWidth="1"/>
    <col min="912" max="912" width="32.6640625" style="39" customWidth="1"/>
    <col min="913" max="913" width="12.33203125" style="39" bestFit="1" customWidth="1"/>
    <col min="914" max="914" width="9.109375" style="39"/>
    <col min="915" max="915" width="10.6640625" style="39" bestFit="1" customWidth="1"/>
    <col min="916" max="920" width="9.109375" style="39"/>
    <col min="921" max="921" width="10.6640625" style="39" bestFit="1" customWidth="1"/>
    <col min="922" max="928" width="9.109375" style="39"/>
    <col min="929" max="929" width="12" style="39" bestFit="1" customWidth="1"/>
    <col min="930" max="930" width="32.6640625" style="39" customWidth="1"/>
    <col min="931" max="931" width="12.33203125" style="39" bestFit="1" customWidth="1"/>
    <col min="932" max="932" width="9.109375" style="39"/>
    <col min="933" max="933" width="10.6640625" style="39" bestFit="1" customWidth="1"/>
    <col min="934" max="938" width="9.109375" style="39"/>
    <col min="939" max="939" width="10.6640625" style="39" bestFit="1" customWidth="1"/>
    <col min="940" max="946" width="9.109375" style="39"/>
    <col min="947" max="947" width="12" style="39" bestFit="1" customWidth="1"/>
    <col min="948" max="948" width="32.6640625" style="39" customWidth="1"/>
    <col min="949" max="949" width="12.33203125" style="39" bestFit="1" customWidth="1"/>
    <col min="950" max="950" width="9.109375" style="39"/>
    <col min="951" max="951" width="10.6640625" style="39" bestFit="1" customWidth="1"/>
    <col min="952" max="956" width="9.109375" style="39"/>
    <col min="957" max="957" width="10.6640625" style="39" bestFit="1" customWidth="1"/>
    <col min="958" max="964" width="9.109375" style="39"/>
    <col min="965" max="965" width="12" style="39" bestFit="1" customWidth="1"/>
    <col min="966" max="966" width="32.6640625" style="39" customWidth="1"/>
    <col min="967" max="967" width="12.33203125" style="39" bestFit="1" customWidth="1"/>
    <col min="968" max="968" width="9.109375" style="39"/>
    <col min="969" max="969" width="10.6640625" style="39" bestFit="1" customWidth="1"/>
    <col min="970" max="974" width="9.109375" style="39"/>
    <col min="975" max="975" width="10.6640625" style="39" bestFit="1" customWidth="1"/>
    <col min="976" max="982" width="9.109375" style="39"/>
    <col min="983" max="983" width="13.33203125" style="39" bestFit="1" customWidth="1"/>
    <col min="984" max="984" width="32.6640625" style="39" customWidth="1"/>
    <col min="985" max="985" width="12.33203125" style="39" bestFit="1" customWidth="1"/>
    <col min="986" max="986" width="9.109375" style="39"/>
    <col min="987" max="987" width="10.6640625" style="39" bestFit="1" customWidth="1"/>
    <col min="988" max="992" width="9.109375" style="39"/>
    <col min="993" max="993" width="10.6640625" style="39" bestFit="1" customWidth="1"/>
    <col min="994" max="1000" width="9.109375" style="39"/>
    <col min="1001" max="1001" width="12" style="39" bestFit="1" customWidth="1"/>
    <col min="1002" max="1042" width="9.109375" style="39"/>
    <col min="1043" max="1043" width="12.33203125" style="39" bestFit="1" customWidth="1"/>
    <col min="1044" max="1044" width="10.109375" style="39" bestFit="1" customWidth="1"/>
    <col min="1045" max="1045" width="10.6640625" style="39" bestFit="1" customWidth="1"/>
    <col min="1046" max="1049" width="9.109375" style="39"/>
    <col min="1050" max="1050" width="9.109375" style="39" bestFit="1" customWidth="1"/>
    <col min="1051" max="1051" width="10.6640625" style="39" bestFit="1" customWidth="1"/>
    <col min="1052" max="1052" width="4.5546875" style="39" bestFit="1" customWidth="1"/>
    <col min="1053" max="1053" width="5.5546875" style="39" bestFit="1" customWidth="1"/>
    <col min="1054" max="1054" width="10.6640625" style="39" bestFit="1" customWidth="1"/>
    <col min="1055" max="1058" width="9.109375" style="39"/>
    <col min="1059" max="1059" width="12" style="39" bestFit="1" customWidth="1"/>
    <col min="1060" max="1060" width="32.6640625" style="39" customWidth="1"/>
    <col min="1061" max="1061" width="12.33203125" style="39" bestFit="1" customWidth="1"/>
    <col min="1062" max="1062" width="9.109375" style="39"/>
    <col min="1063" max="1063" width="10.6640625" style="39" bestFit="1" customWidth="1"/>
    <col min="1064" max="1068" width="9.109375" style="39"/>
    <col min="1069" max="1069" width="10.6640625" style="39" bestFit="1" customWidth="1"/>
    <col min="1070" max="1076" width="9.109375" style="39"/>
    <col min="1077" max="1077" width="12" style="39" bestFit="1" customWidth="1"/>
    <col min="1078" max="1078" width="32.6640625" style="39" customWidth="1"/>
    <col min="1079" max="1079" width="12.33203125" style="39" bestFit="1" customWidth="1"/>
    <col min="1080" max="1080" width="9.109375" style="39"/>
    <col min="1081" max="1081" width="10.6640625" style="39" bestFit="1" customWidth="1"/>
    <col min="1082" max="1086" width="9.109375" style="39"/>
    <col min="1087" max="1087" width="10.6640625" style="39" bestFit="1" customWidth="1"/>
    <col min="1088" max="1094" width="9.109375" style="39"/>
    <col min="1095" max="1095" width="12" style="39" bestFit="1" customWidth="1"/>
    <col min="1096" max="1096" width="32.6640625" style="39" customWidth="1"/>
    <col min="1097" max="1097" width="12.33203125" style="39" bestFit="1" customWidth="1"/>
    <col min="1098" max="1098" width="9.109375" style="39"/>
    <col min="1099" max="1099" width="10.6640625" style="39" bestFit="1" customWidth="1"/>
    <col min="1100" max="1104" width="9.109375" style="39"/>
    <col min="1105" max="1105" width="10.6640625" style="39" bestFit="1" customWidth="1"/>
    <col min="1106" max="1112" width="9.109375" style="39"/>
    <col min="1113" max="1113" width="12" style="39" bestFit="1" customWidth="1"/>
    <col min="1114" max="1114" width="32.6640625" style="39" customWidth="1"/>
    <col min="1115" max="1115" width="12.33203125" style="39" bestFit="1" customWidth="1"/>
    <col min="1116" max="1116" width="9.109375" style="39"/>
    <col min="1117" max="1117" width="10.6640625" style="39" bestFit="1" customWidth="1"/>
    <col min="1118" max="1122" width="9.109375" style="39"/>
    <col min="1123" max="1123" width="10.6640625" style="39" bestFit="1" customWidth="1"/>
    <col min="1124" max="1130" width="9.109375" style="39"/>
    <col min="1131" max="1131" width="12" style="39" bestFit="1" customWidth="1"/>
    <col min="1132" max="1132" width="32.6640625" style="39" customWidth="1"/>
    <col min="1133" max="1133" width="12.33203125" style="39" bestFit="1" customWidth="1"/>
    <col min="1134" max="1134" width="9.109375" style="39"/>
    <col min="1135" max="1135" width="10.6640625" style="39" bestFit="1" customWidth="1"/>
    <col min="1136" max="1140" width="9.109375" style="39"/>
    <col min="1141" max="1141" width="10.6640625" style="39" bestFit="1" customWidth="1"/>
    <col min="1142" max="1148" width="9.109375" style="39"/>
    <col min="1149" max="1149" width="12" style="39" bestFit="1" customWidth="1"/>
    <col min="1150" max="1150" width="32.6640625" style="39" customWidth="1"/>
    <col min="1151" max="1151" width="12.33203125" style="39" bestFit="1" customWidth="1"/>
    <col min="1152" max="1152" width="9.109375" style="39"/>
    <col min="1153" max="1153" width="10.6640625" style="39" bestFit="1" customWidth="1"/>
    <col min="1154" max="1158" width="9.109375" style="39"/>
    <col min="1159" max="1159" width="10.6640625" style="39" bestFit="1" customWidth="1"/>
    <col min="1160" max="1166" width="9.109375" style="39"/>
    <col min="1167" max="1167" width="12" style="39" bestFit="1" customWidth="1"/>
    <col min="1168" max="1168" width="32.6640625" style="39" customWidth="1"/>
    <col min="1169" max="1169" width="12.33203125" style="39" bestFit="1" customWidth="1"/>
    <col min="1170" max="1170" width="9.109375" style="39"/>
    <col min="1171" max="1171" width="10.6640625" style="39" bestFit="1" customWidth="1"/>
    <col min="1172" max="1176" width="9.109375" style="39"/>
    <col min="1177" max="1177" width="10.6640625" style="39" bestFit="1" customWidth="1"/>
    <col min="1178" max="1184" width="9.109375" style="39"/>
    <col min="1185" max="1185" width="12" style="39" bestFit="1" customWidth="1"/>
    <col min="1186" max="1186" width="32.6640625" style="39" customWidth="1"/>
    <col min="1187" max="1187" width="12.33203125" style="39" bestFit="1" customWidth="1"/>
    <col min="1188" max="1188" width="9.109375" style="39"/>
    <col min="1189" max="1189" width="10.6640625" style="39" bestFit="1" customWidth="1"/>
    <col min="1190" max="1194" width="9.109375" style="39"/>
    <col min="1195" max="1195" width="10.6640625" style="39" bestFit="1" customWidth="1"/>
    <col min="1196" max="1202" width="9.109375" style="39"/>
    <col min="1203" max="1203" width="12" style="39" bestFit="1" customWidth="1"/>
    <col min="1204" max="1204" width="32.6640625" style="39" customWidth="1"/>
    <col min="1205" max="1205" width="12.33203125" style="39" bestFit="1" customWidth="1"/>
    <col min="1206" max="1206" width="9.109375" style="39"/>
    <col min="1207" max="1207" width="10.6640625" style="39" bestFit="1" customWidth="1"/>
    <col min="1208" max="1212" width="9.109375" style="39"/>
    <col min="1213" max="1213" width="10.6640625" style="39" bestFit="1" customWidth="1"/>
    <col min="1214" max="1220" width="9.109375" style="39"/>
    <col min="1221" max="1221" width="12" style="39" bestFit="1" customWidth="1"/>
    <col min="1222" max="1222" width="32.6640625" style="39" customWidth="1"/>
    <col min="1223" max="1223" width="12.33203125" style="39" bestFit="1" customWidth="1"/>
    <col min="1224" max="1224" width="9.109375" style="39"/>
    <col min="1225" max="1225" width="10.6640625" style="39" bestFit="1" customWidth="1"/>
    <col min="1226" max="1230" width="9.109375" style="39"/>
    <col min="1231" max="1231" width="10.6640625" style="39" bestFit="1" customWidth="1"/>
    <col min="1232" max="1238" width="9.109375" style="39"/>
    <col min="1239" max="1239" width="13.33203125" style="39" bestFit="1" customWidth="1"/>
    <col min="1240" max="1240" width="32.6640625" style="39" customWidth="1"/>
    <col min="1241" max="1241" width="12.33203125" style="39" bestFit="1" customWidth="1"/>
    <col min="1242" max="1242" width="9.109375" style="39"/>
    <col min="1243" max="1243" width="10.6640625" style="39" bestFit="1" customWidth="1"/>
    <col min="1244" max="1248" width="9.109375" style="39"/>
    <col min="1249" max="1249" width="10.6640625" style="39" bestFit="1" customWidth="1"/>
    <col min="1250" max="1256" width="9.109375" style="39"/>
    <col min="1257" max="1257" width="12" style="39" bestFit="1" customWidth="1"/>
    <col min="1258" max="1298" width="9.109375" style="39"/>
    <col min="1299" max="1299" width="12.33203125" style="39" bestFit="1" customWidth="1"/>
    <col min="1300" max="1300" width="10.109375" style="39" bestFit="1" customWidth="1"/>
    <col min="1301" max="1301" width="10.6640625" style="39" bestFit="1" customWidth="1"/>
    <col min="1302" max="1305" width="9.109375" style="39"/>
    <col min="1306" max="1306" width="9.109375" style="39" bestFit="1" customWidth="1"/>
    <col min="1307" max="1307" width="10.6640625" style="39" bestFit="1" customWidth="1"/>
    <col min="1308" max="1308" width="4.5546875" style="39" bestFit="1" customWidth="1"/>
    <col min="1309" max="1309" width="5.5546875" style="39" bestFit="1" customWidth="1"/>
    <col min="1310" max="1310" width="10.6640625" style="39" bestFit="1" customWidth="1"/>
    <col min="1311" max="1314" width="9.109375" style="39"/>
    <col min="1315" max="1315" width="12" style="39" bestFit="1" customWidth="1"/>
    <col min="1316" max="1316" width="32.6640625" style="39" customWidth="1"/>
    <col min="1317" max="1317" width="12.33203125" style="39" bestFit="1" customWidth="1"/>
    <col min="1318" max="1318" width="9.109375" style="39"/>
    <col min="1319" max="1319" width="10.6640625" style="39" bestFit="1" customWidth="1"/>
    <col min="1320" max="1324" width="9.109375" style="39"/>
    <col min="1325" max="1325" width="10.6640625" style="39" bestFit="1" customWidth="1"/>
    <col min="1326" max="1332" width="9.109375" style="39"/>
    <col min="1333" max="1333" width="12" style="39" bestFit="1" customWidth="1"/>
    <col min="1334" max="1334" width="32.6640625" style="39" customWidth="1"/>
    <col min="1335" max="1335" width="12.33203125" style="39" bestFit="1" customWidth="1"/>
    <col min="1336" max="1336" width="9.109375" style="39"/>
    <col min="1337" max="1337" width="10.6640625" style="39" bestFit="1" customWidth="1"/>
    <col min="1338" max="1342" width="9.109375" style="39"/>
    <col min="1343" max="1343" width="10.6640625" style="39" bestFit="1" customWidth="1"/>
    <col min="1344" max="1350" width="9.109375" style="39"/>
    <col min="1351" max="1351" width="12" style="39" bestFit="1" customWidth="1"/>
    <col min="1352" max="1352" width="32.6640625" style="39" customWidth="1"/>
    <col min="1353" max="1353" width="12.33203125" style="39" bestFit="1" customWidth="1"/>
    <col min="1354" max="1354" width="9.109375" style="39"/>
    <col min="1355" max="1355" width="10.6640625" style="39" bestFit="1" customWidth="1"/>
    <col min="1356" max="1360" width="9.109375" style="39"/>
    <col min="1361" max="1361" width="10.6640625" style="39" bestFit="1" customWidth="1"/>
    <col min="1362" max="1368" width="9.109375" style="39"/>
    <col min="1369" max="1369" width="12" style="39" bestFit="1" customWidth="1"/>
    <col min="1370" max="1370" width="32.6640625" style="39" customWidth="1"/>
    <col min="1371" max="1371" width="12.33203125" style="39" bestFit="1" customWidth="1"/>
    <col min="1372" max="1372" width="9.109375" style="39"/>
    <col min="1373" max="1373" width="10.6640625" style="39" bestFit="1" customWidth="1"/>
    <col min="1374" max="1378" width="9.109375" style="39"/>
    <col min="1379" max="1379" width="10.6640625" style="39" bestFit="1" customWidth="1"/>
    <col min="1380" max="1386" width="9.109375" style="39"/>
    <col min="1387" max="1387" width="12" style="39" bestFit="1" customWidth="1"/>
    <col min="1388" max="1388" width="32.6640625" style="39" customWidth="1"/>
    <col min="1389" max="1389" width="12.33203125" style="39" bestFit="1" customWidth="1"/>
    <col min="1390" max="1390" width="9.109375" style="39"/>
    <col min="1391" max="1391" width="10.6640625" style="39" bestFit="1" customWidth="1"/>
    <col min="1392" max="1396" width="9.109375" style="39"/>
    <col min="1397" max="1397" width="10.6640625" style="39" bestFit="1" customWidth="1"/>
    <col min="1398" max="1404" width="9.109375" style="39"/>
    <col min="1405" max="1405" width="12" style="39" bestFit="1" customWidth="1"/>
    <col min="1406" max="1406" width="32.6640625" style="39" customWidth="1"/>
    <col min="1407" max="1407" width="12.33203125" style="39" bestFit="1" customWidth="1"/>
    <col min="1408" max="1408" width="9.109375" style="39"/>
    <col min="1409" max="1409" width="10.6640625" style="39" bestFit="1" customWidth="1"/>
    <col min="1410" max="1414" width="9.109375" style="39"/>
    <col min="1415" max="1415" width="10.6640625" style="39" bestFit="1" customWidth="1"/>
    <col min="1416" max="1422" width="9.109375" style="39"/>
    <col min="1423" max="1423" width="12" style="39" bestFit="1" customWidth="1"/>
    <col min="1424" max="1424" width="32.6640625" style="39" customWidth="1"/>
    <col min="1425" max="1425" width="12.33203125" style="39" bestFit="1" customWidth="1"/>
    <col min="1426" max="1426" width="9.109375" style="39"/>
    <col min="1427" max="1427" width="10.6640625" style="39" bestFit="1" customWidth="1"/>
    <col min="1428" max="1432" width="9.109375" style="39"/>
    <col min="1433" max="1433" width="10.6640625" style="39" bestFit="1" customWidth="1"/>
    <col min="1434" max="1440" width="9.109375" style="39"/>
    <col min="1441" max="1441" width="12" style="39" bestFit="1" customWidth="1"/>
    <col min="1442" max="1442" width="32.6640625" style="39" customWidth="1"/>
    <col min="1443" max="1443" width="12.33203125" style="39" bestFit="1" customWidth="1"/>
    <col min="1444" max="1444" width="9.109375" style="39"/>
    <col min="1445" max="1445" width="10.6640625" style="39" bestFit="1" customWidth="1"/>
    <col min="1446" max="1450" width="9.109375" style="39"/>
    <col min="1451" max="1451" width="10.6640625" style="39" bestFit="1" customWidth="1"/>
    <col min="1452" max="1458" width="9.109375" style="39"/>
    <col min="1459" max="1459" width="12" style="39" bestFit="1" customWidth="1"/>
    <col min="1460" max="1460" width="32.6640625" style="39" customWidth="1"/>
    <col min="1461" max="1461" width="12.33203125" style="39" bestFit="1" customWidth="1"/>
    <col min="1462" max="1462" width="9.109375" style="39"/>
    <col min="1463" max="1463" width="10.6640625" style="39" bestFit="1" customWidth="1"/>
    <col min="1464" max="1468" width="9.109375" style="39"/>
    <col min="1469" max="1469" width="10.6640625" style="39" bestFit="1" customWidth="1"/>
    <col min="1470" max="1476" width="9.109375" style="39"/>
    <col min="1477" max="1477" width="12" style="39" bestFit="1" customWidth="1"/>
    <col min="1478" max="1478" width="32.6640625" style="39" customWidth="1"/>
    <col min="1479" max="1479" width="12.33203125" style="39" bestFit="1" customWidth="1"/>
    <col min="1480" max="1480" width="9.109375" style="39"/>
    <col min="1481" max="1481" width="10.6640625" style="39" bestFit="1" customWidth="1"/>
    <col min="1482" max="1486" width="9.109375" style="39"/>
    <col min="1487" max="1487" width="10.6640625" style="39" bestFit="1" customWidth="1"/>
    <col min="1488" max="1494" width="9.109375" style="39"/>
    <col min="1495" max="1495" width="13.33203125" style="39" bestFit="1" customWidth="1"/>
    <col min="1496" max="1496" width="32.6640625" style="39" customWidth="1"/>
    <col min="1497" max="1497" width="12.33203125" style="39" bestFit="1" customWidth="1"/>
    <col min="1498" max="1498" width="9.109375" style="39"/>
    <col min="1499" max="1499" width="10.6640625" style="39" bestFit="1" customWidth="1"/>
    <col min="1500" max="1504" width="9.109375" style="39"/>
    <col min="1505" max="1505" width="10.6640625" style="39" bestFit="1" customWidth="1"/>
    <col min="1506" max="1512" width="9.109375" style="39"/>
    <col min="1513" max="1513" width="12" style="39" bestFit="1" customWidth="1"/>
    <col min="1514" max="1554" width="9.109375" style="39"/>
    <col min="1555" max="1555" width="12.33203125" style="39" bestFit="1" customWidth="1"/>
    <col min="1556" max="1556" width="10.109375" style="39" bestFit="1" customWidth="1"/>
    <col min="1557" max="1557" width="10.6640625" style="39" bestFit="1" customWidth="1"/>
    <col min="1558" max="1561" width="9.109375" style="39"/>
    <col min="1562" max="1562" width="9.109375" style="39" bestFit="1" customWidth="1"/>
    <col min="1563" max="1563" width="10.6640625" style="39" bestFit="1" customWidth="1"/>
    <col min="1564" max="1564" width="4.5546875" style="39" bestFit="1" customWidth="1"/>
    <col min="1565" max="1565" width="5.5546875" style="39" bestFit="1" customWidth="1"/>
    <col min="1566" max="1566" width="10.6640625" style="39" bestFit="1" customWidth="1"/>
    <col min="1567" max="1570" width="9.109375" style="39"/>
    <col min="1571" max="1571" width="12" style="39" bestFit="1" customWidth="1"/>
    <col min="1572" max="1572" width="32.6640625" style="39" customWidth="1"/>
    <col min="1573" max="1573" width="12.33203125" style="39" bestFit="1" customWidth="1"/>
    <col min="1574" max="1574" width="9.109375" style="39"/>
    <col min="1575" max="1575" width="10.6640625" style="39" bestFit="1" customWidth="1"/>
    <col min="1576" max="1580" width="9.109375" style="39"/>
    <col min="1581" max="1581" width="10.6640625" style="39" bestFit="1" customWidth="1"/>
    <col min="1582" max="1588" width="9.109375" style="39"/>
    <col min="1589" max="1589" width="12" style="39" bestFit="1" customWidth="1"/>
    <col min="1590" max="1590" width="32.6640625" style="39" customWidth="1"/>
    <col min="1591" max="1591" width="12.33203125" style="39" bestFit="1" customWidth="1"/>
    <col min="1592" max="1592" width="9.109375" style="39"/>
    <col min="1593" max="1593" width="10.6640625" style="39" bestFit="1" customWidth="1"/>
    <col min="1594" max="1598" width="9.109375" style="39"/>
    <col min="1599" max="1599" width="10.6640625" style="39" bestFit="1" customWidth="1"/>
    <col min="1600" max="1606" width="9.109375" style="39"/>
    <col min="1607" max="1607" width="12" style="39" bestFit="1" customWidth="1"/>
    <col min="1608" max="1608" width="32.6640625" style="39" customWidth="1"/>
    <col min="1609" max="1609" width="12.33203125" style="39" bestFit="1" customWidth="1"/>
    <col min="1610" max="1610" width="9.109375" style="39"/>
    <col min="1611" max="1611" width="10.6640625" style="39" bestFit="1" customWidth="1"/>
    <col min="1612" max="1616" width="9.109375" style="39"/>
    <col min="1617" max="1617" width="10.6640625" style="39" bestFit="1" customWidth="1"/>
    <col min="1618" max="1624" width="9.109375" style="39"/>
    <col min="1625" max="1625" width="12" style="39" bestFit="1" customWidth="1"/>
    <col min="1626" max="1626" width="32.6640625" style="39" customWidth="1"/>
    <col min="1627" max="1627" width="12.33203125" style="39" bestFit="1" customWidth="1"/>
    <col min="1628" max="1628" width="9.109375" style="39"/>
    <col min="1629" max="1629" width="10.6640625" style="39" bestFit="1" customWidth="1"/>
    <col min="1630" max="1634" width="9.109375" style="39"/>
    <col min="1635" max="1635" width="10.6640625" style="39" bestFit="1" customWidth="1"/>
    <col min="1636" max="1642" width="9.109375" style="39"/>
    <col min="1643" max="1643" width="12" style="39" bestFit="1" customWidth="1"/>
    <col min="1644" max="1644" width="32.6640625" style="39" customWidth="1"/>
    <col min="1645" max="1645" width="12.33203125" style="39" bestFit="1" customWidth="1"/>
    <col min="1646" max="1646" width="9.109375" style="39"/>
    <col min="1647" max="1647" width="10.6640625" style="39" bestFit="1" customWidth="1"/>
    <col min="1648" max="1652" width="9.109375" style="39"/>
    <col min="1653" max="1653" width="10.6640625" style="39" bestFit="1" customWidth="1"/>
    <col min="1654" max="1660" width="9.109375" style="39"/>
    <col min="1661" max="1661" width="12" style="39" bestFit="1" customWidth="1"/>
    <col min="1662" max="1662" width="32.6640625" style="39" customWidth="1"/>
    <col min="1663" max="1663" width="12.33203125" style="39" bestFit="1" customWidth="1"/>
    <col min="1664" max="1664" width="9.109375" style="39"/>
    <col min="1665" max="1665" width="10.6640625" style="39" bestFit="1" customWidth="1"/>
    <col min="1666" max="1670" width="9.109375" style="39"/>
    <col min="1671" max="1671" width="10.6640625" style="39" bestFit="1" customWidth="1"/>
    <col min="1672" max="1678" width="9.109375" style="39"/>
    <col min="1679" max="1679" width="12" style="39" bestFit="1" customWidth="1"/>
    <col min="1680" max="1680" width="32.6640625" style="39" customWidth="1"/>
    <col min="1681" max="1681" width="12.33203125" style="39" bestFit="1" customWidth="1"/>
    <col min="1682" max="1682" width="9.109375" style="39"/>
    <col min="1683" max="1683" width="10.6640625" style="39" bestFit="1" customWidth="1"/>
    <col min="1684" max="1688" width="9.109375" style="39"/>
    <col min="1689" max="1689" width="10.6640625" style="39" bestFit="1" customWidth="1"/>
    <col min="1690" max="1696" width="9.109375" style="39"/>
    <col min="1697" max="1697" width="12" style="39" bestFit="1" customWidth="1"/>
    <col min="1698" max="1698" width="32.6640625" style="39" customWidth="1"/>
    <col min="1699" max="1699" width="12.33203125" style="39" bestFit="1" customWidth="1"/>
    <col min="1700" max="1700" width="9.109375" style="39"/>
    <col min="1701" max="1701" width="10.6640625" style="39" bestFit="1" customWidth="1"/>
    <col min="1702" max="1706" width="9.109375" style="39"/>
    <col min="1707" max="1707" width="10.6640625" style="39" bestFit="1" customWidth="1"/>
    <col min="1708" max="1714" width="9.109375" style="39"/>
    <col min="1715" max="1715" width="12" style="39" bestFit="1" customWidth="1"/>
    <col min="1716" max="1716" width="32.6640625" style="39" customWidth="1"/>
    <col min="1717" max="1717" width="12.33203125" style="39" bestFit="1" customWidth="1"/>
    <col min="1718" max="1718" width="9.109375" style="39"/>
    <col min="1719" max="1719" width="10.6640625" style="39" bestFit="1" customWidth="1"/>
    <col min="1720" max="1724" width="9.109375" style="39"/>
    <col min="1725" max="1725" width="10.6640625" style="39" bestFit="1" customWidth="1"/>
    <col min="1726" max="1732" width="9.109375" style="39"/>
    <col min="1733" max="1733" width="12" style="39" bestFit="1" customWidth="1"/>
    <col min="1734" max="1734" width="32.6640625" style="39" customWidth="1"/>
    <col min="1735" max="1735" width="12.33203125" style="39" bestFit="1" customWidth="1"/>
    <col min="1736" max="1736" width="9.109375" style="39"/>
    <col min="1737" max="1737" width="10.6640625" style="39" bestFit="1" customWidth="1"/>
    <col min="1738" max="1742" width="9.109375" style="39"/>
    <col min="1743" max="1743" width="10.6640625" style="39" bestFit="1" customWidth="1"/>
    <col min="1744" max="1750" width="9.109375" style="39"/>
    <col min="1751" max="1751" width="13.33203125" style="39" bestFit="1" customWidth="1"/>
    <col min="1752" max="1752" width="32.6640625" style="39" customWidth="1"/>
    <col min="1753" max="1753" width="12.33203125" style="39" bestFit="1" customWidth="1"/>
    <col min="1754" max="1754" width="9.109375" style="39"/>
    <col min="1755" max="1755" width="10.6640625" style="39" bestFit="1" customWidth="1"/>
    <col min="1756" max="1760" width="9.109375" style="39"/>
    <col min="1761" max="1761" width="10.6640625" style="39" bestFit="1" customWidth="1"/>
    <col min="1762" max="1768" width="9.109375" style="39"/>
    <col min="1769" max="1769" width="12" style="39" bestFit="1" customWidth="1"/>
    <col min="1770" max="1810" width="9.109375" style="39"/>
    <col min="1811" max="1811" width="12.33203125" style="39" bestFit="1" customWidth="1"/>
    <col min="1812" max="1812" width="10.109375" style="39" bestFit="1" customWidth="1"/>
    <col min="1813" max="1813" width="10.6640625" style="39" bestFit="1" customWidth="1"/>
    <col min="1814" max="1817" width="9.109375" style="39"/>
    <col min="1818" max="1818" width="9.109375" style="39" bestFit="1" customWidth="1"/>
    <col min="1819" max="1819" width="10.6640625" style="39" bestFit="1" customWidth="1"/>
    <col min="1820" max="1820" width="4.5546875" style="39" bestFit="1" customWidth="1"/>
    <col min="1821" max="1821" width="5.5546875" style="39" bestFit="1" customWidth="1"/>
    <col min="1822" max="1822" width="10.6640625" style="39" bestFit="1" customWidth="1"/>
    <col min="1823" max="1826" width="9.109375" style="39"/>
    <col min="1827" max="1827" width="12" style="39" bestFit="1" customWidth="1"/>
    <col min="1828" max="1828" width="32.6640625" style="39" customWidth="1"/>
    <col min="1829" max="1829" width="12.33203125" style="39" bestFit="1" customWidth="1"/>
    <col min="1830" max="1830" width="9.109375" style="39"/>
    <col min="1831" max="1831" width="10.6640625" style="39" bestFit="1" customWidth="1"/>
    <col min="1832" max="1836" width="9.109375" style="39"/>
    <col min="1837" max="1837" width="10.6640625" style="39" bestFit="1" customWidth="1"/>
    <col min="1838" max="1844" width="9.109375" style="39"/>
    <col min="1845" max="1845" width="12" style="39" bestFit="1" customWidth="1"/>
    <col min="1846" max="1846" width="32.6640625" style="39" customWidth="1"/>
    <col min="1847" max="1847" width="12.33203125" style="39" bestFit="1" customWidth="1"/>
    <col min="1848" max="1848" width="9.109375" style="39"/>
    <col min="1849" max="1849" width="10.6640625" style="39" bestFit="1" customWidth="1"/>
    <col min="1850" max="1854" width="9.109375" style="39"/>
    <col min="1855" max="1855" width="10.6640625" style="39" bestFit="1" customWidth="1"/>
    <col min="1856" max="1862" width="9.109375" style="39"/>
    <col min="1863" max="1863" width="12" style="39" bestFit="1" customWidth="1"/>
    <col min="1864" max="1864" width="32.6640625" style="39" customWidth="1"/>
    <col min="1865" max="1865" width="12.33203125" style="39" bestFit="1" customWidth="1"/>
    <col min="1866" max="1866" width="9.109375" style="39"/>
    <col min="1867" max="1867" width="10.6640625" style="39" bestFit="1" customWidth="1"/>
    <col min="1868" max="1872" width="9.109375" style="39"/>
    <col min="1873" max="1873" width="10.6640625" style="39" bestFit="1" customWidth="1"/>
    <col min="1874" max="1880" width="9.109375" style="39"/>
    <col min="1881" max="1881" width="12" style="39" bestFit="1" customWidth="1"/>
    <col min="1882" max="1882" width="32.6640625" style="39" customWidth="1"/>
    <col min="1883" max="1883" width="12.33203125" style="39" bestFit="1" customWidth="1"/>
    <col min="1884" max="1884" width="9.109375" style="39"/>
    <col min="1885" max="1885" width="10.6640625" style="39" bestFit="1" customWidth="1"/>
    <col min="1886" max="1890" width="9.109375" style="39"/>
    <col min="1891" max="1891" width="10.6640625" style="39" bestFit="1" customWidth="1"/>
    <col min="1892" max="1898" width="9.109375" style="39"/>
    <col min="1899" max="1899" width="12" style="39" bestFit="1" customWidth="1"/>
    <col min="1900" max="1900" width="32.6640625" style="39" customWidth="1"/>
    <col min="1901" max="1901" width="12.33203125" style="39" bestFit="1" customWidth="1"/>
    <col min="1902" max="1902" width="9.109375" style="39"/>
    <col min="1903" max="1903" width="10.6640625" style="39" bestFit="1" customWidth="1"/>
    <col min="1904" max="1908" width="9.109375" style="39"/>
    <col min="1909" max="1909" width="10.6640625" style="39" bestFit="1" customWidth="1"/>
    <col min="1910" max="1916" width="9.109375" style="39"/>
    <col min="1917" max="1917" width="12" style="39" bestFit="1" customWidth="1"/>
    <col min="1918" max="1918" width="32.6640625" style="39" customWidth="1"/>
    <col min="1919" max="1919" width="12.33203125" style="39" bestFit="1" customWidth="1"/>
    <col min="1920" max="1920" width="9.109375" style="39"/>
    <col min="1921" max="1921" width="10.6640625" style="39" bestFit="1" customWidth="1"/>
    <col min="1922" max="1926" width="9.109375" style="39"/>
    <col min="1927" max="1927" width="10.6640625" style="39" bestFit="1" customWidth="1"/>
    <col min="1928" max="1934" width="9.109375" style="39"/>
    <col min="1935" max="1935" width="12" style="39" bestFit="1" customWidth="1"/>
    <col min="1936" max="1936" width="32.6640625" style="39" customWidth="1"/>
    <col min="1937" max="1937" width="12.33203125" style="39" bestFit="1" customWidth="1"/>
    <col min="1938" max="1938" width="9.109375" style="39"/>
    <col min="1939" max="1939" width="10.6640625" style="39" bestFit="1" customWidth="1"/>
    <col min="1940" max="1944" width="9.109375" style="39"/>
    <col min="1945" max="1945" width="10.6640625" style="39" bestFit="1" customWidth="1"/>
    <col min="1946" max="1952" width="9.109375" style="39"/>
    <col min="1953" max="1953" width="12" style="39" bestFit="1" customWidth="1"/>
    <col min="1954" max="1954" width="32.6640625" style="39" customWidth="1"/>
    <col min="1955" max="1955" width="12.33203125" style="39" bestFit="1" customWidth="1"/>
    <col min="1956" max="1956" width="9.109375" style="39"/>
    <col min="1957" max="1957" width="10.6640625" style="39" bestFit="1" customWidth="1"/>
    <col min="1958" max="1962" width="9.109375" style="39"/>
    <col min="1963" max="1963" width="10.6640625" style="39" bestFit="1" customWidth="1"/>
    <col min="1964" max="1970" width="9.109375" style="39"/>
    <col min="1971" max="1971" width="12" style="39" bestFit="1" customWidth="1"/>
    <col min="1972" max="1972" width="32.6640625" style="39" customWidth="1"/>
    <col min="1973" max="1973" width="12.33203125" style="39" bestFit="1" customWidth="1"/>
    <col min="1974" max="1974" width="9.109375" style="39"/>
    <col min="1975" max="1975" width="10.6640625" style="39" bestFit="1" customWidth="1"/>
    <col min="1976" max="1980" width="9.109375" style="39"/>
    <col min="1981" max="1981" width="10.6640625" style="39" bestFit="1" customWidth="1"/>
    <col min="1982" max="1988" width="9.109375" style="39"/>
    <col min="1989" max="1989" width="12" style="39" bestFit="1" customWidth="1"/>
    <col min="1990" max="1990" width="32.6640625" style="39" customWidth="1"/>
    <col min="1991" max="1991" width="12.33203125" style="39" bestFit="1" customWidth="1"/>
    <col min="1992" max="1992" width="9.109375" style="39"/>
    <col min="1993" max="1993" width="10.6640625" style="39" bestFit="1" customWidth="1"/>
    <col min="1994" max="1998" width="9.109375" style="39"/>
    <col min="1999" max="1999" width="10.6640625" style="39" bestFit="1" customWidth="1"/>
    <col min="2000" max="2006" width="9.109375" style="39"/>
    <col min="2007" max="2007" width="13.33203125" style="39" bestFit="1" customWidth="1"/>
    <col min="2008" max="2008" width="32.6640625" style="39" customWidth="1"/>
    <col min="2009" max="2009" width="12.33203125" style="39" bestFit="1" customWidth="1"/>
    <col min="2010" max="2010" width="9.109375" style="39"/>
    <col min="2011" max="2011" width="10.6640625" style="39" bestFit="1" customWidth="1"/>
    <col min="2012" max="2016" width="9.109375" style="39"/>
    <col min="2017" max="2017" width="10.6640625" style="39" bestFit="1" customWidth="1"/>
    <col min="2018" max="2024" width="9.109375" style="39"/>
    <col min="2025" max="2025" width="12" style="39" bestFit="1" customWidth="1"/>
    <col min="2026" max="2066" width="9.109375" style="39"/>
    <col min="2067" max="2067" width="12.33203125" style="39" bestFit="1" customWidth="1"/>
    <col min="2068" max="2068" width="10.109375" style="39" bestFit="1" customWidth="1"/>
    <col min="2069" max="2069" width="10.6640625" style="39" bestFit="1" customWidth="1"/>
    <col min="2070" max="2073" width="9.109375" style="39"/>
    <col min="2074" max="2074" width="9.109375" style="39" bestFit="1" customWidth="1"/>
    <col min="2075" max="2075" width="10.6640625" style="39" bestFit="1" customWidth="1"/>
    <col min="2076" max="2076" width="4.5546875" style="39" bestFit="1" customWidth="1"/>
    <col min="2077" max="2077" width="5.5546875" style="39" bestFit="1" customWidth="1"/>
    <col min="2078" max="2078" width="10.6640625" style="39" bestFit="1" customWidth="1"/>
    <col min="2079" max="2082" width="9.109375" style="39"/>
    <col min="2083" max="2083" width="12" style="39" bestFit="1" customWidth="1"/>
    <col min="2084" max="2084" width="32.6640625" style="39" customWidth="1"/>
    <col min="2085" max="2085" width="12.33203125" style="39" bestFit="1" customWidth="1"/>
    <col min="2086" max="2086" width="9.109375" style="39"/>
    <col min="2087" max="2087" width="10.6640625" style="39" bestFit="1" customWidth="1"/>
    <col min="2088" max="2092" width="9.109375" style="39"/>
    <col min="2093" max="2093" width="10.6640625" style="39" bestFit="1" customWidth="1"/>
    <col min="2094" max="2100" width="9.109375" style="39"/>
    <col min="2101" max="2101" width="12" style="39" bestFit="1" customWidth="1"/>
    <col min="2102" max="2102" width="32.6640625" style="39" customWidth="1"/>
    <col min="2103" max="2103" width="12.33203125" style="39" bestFit="1" customWidth="1"/>
    <col min="2104" max="2104" width="9.109375" style="39"/>
    <col min="2105" max="2105" width="10.6640625" style="39" bestFit="1" customWidth="1"/>
    <col min="2106" max="2110" width="9.109375" style="39"/>
    <col min="2111" max="2111" width="10.6640625" style="39" bestFit="1" customWidth="1"/>
    <col min="2112" max="2118" width="9.109375" style="39"/>
    <col min="2119" max="2119" width="12" style="39" bestFit="1" customWidth="1"/>
    <col min="2120" max="2120" width="32.6640625" style="39" customWidth="1"/>
    <col min="2121" max="2121" width="12.33203125" style="39" bestFit="1" customWidth="1"/>
    <col min="2122" max="2122" width="9.109375" style="39"/>
    <col min="2123" max="2123" width="10.6640625" style="39" bestFit="1" customWidth="1"/>
    <col min="2124" max="2128" width="9.109375" style="39"/>
    <col min="2129" max="2129" width="10.6640625" style="39" bestFit="1" customWidth="1"/>
    <col min="2130" max="2136" width="9.109375" style="39"/>
    <col min="2137" max="2137" width="12" style="39" bestFit="1" customWidth="1"/>
    <col min="2138" max="2138" width="32.6640625" style="39" customWidth="1"/>
    <col min="2139" max="2139" width="12.33203125" style="39" bestFit="1" customWidth="1"/>
    <col min="2140" max="2140" width="9.109375" style="39"/>
    <col min="2141" max="2141" width="10.6640625" style="39" bestFit="1" customWidth="1"/>
    <col min="2142" max="2146" width="9.109375" style="39"/>
    <col min="2147" max="2147" width="10.6640625" style="39" bestFit="1" customWidth="1"/>
    <col min="2148" max="2154" width="9.109375" style="39"/>
    <col min="2155" max="2155" width="12" style="39" bestFit="1" customWidth="1"/>
    <col min="2156" max="2156" width="32.6640625" style="39" customWidth="1"/>
    <col min="2157" max="2157" width="12.33203125" style="39" bestFit="1" customWidth="1"/>
    <col min="2158" max="2158" width="9.109375" style="39"/>
    <col min="2159" max="2159" width="10.6640625" style="39" bestFit="1" customWidth="1"/>
    <col min="2160" max="2164" width="9.109375" style="39"/>
    <col min="2165" max="2165" width="10.6640625" style="39" bestFit="1" customWidth="1"/>
    <col min="2166" max="2172" width="9.109375" style="39"/>
    <col min="2173" max="2173" width="12" style="39" bestFit="1" customWidth="1"/>
    <col min="2174" max="2174" width="32.6640625" style="39" customWidth="1"/>
    <col min="2175" max="2175" width="12.33203125" style="39" bestFit="1" customWidth="1"/>
    <col min="2176" max="2176" width="9.109375" style="39"/>
    <col min="2177" max="2177" width="10.6640625" style="39" bestFit="1" customWidth="1"/>
    <col min="2178" max="2182" width="9.109375" style="39"/>
    <col min="2183" max="2183" width="10.6640625" style="39" bestFit="1" customWidth="1"/>
    <col min="2184" max="2190" width="9.109375" style="39"/>
    <col min="2191" max="2191" width="12" style="39" bestFit="1" customWidth="1"/>
    <col min="2192" max="2192" width="32.6640625" style="39" customWidth="1"/>
    <col min="2193" max="2193" width="12.33203125" style="39" bestFit="1" customWidth="1"/>
    <col min="2194" max="2194" width="9.109375" style="39"/>
    <col min="2195" max="2195" width="10.6640625" style="39" bestFit="1" customWidth="1"/>
    <col min="2196" max="2200" width="9.109375" style="39"/>
    <col min="2201" max="2201" width="10.6640625" style="39" bestFit="1" customWidth="1"/>
    <col min="2202" max="2208" width="9.109375" style="39"/>
    <col min="2209" max="2209" width="12" style="39" bestFit="1" customWidth="1"/>
    <col min="2210" max="2210" width="32.6640625" style="39" customWidth="1"/>
    <col min="2211" max="2211" width="12.33203125" style="39" bestFit="1" customWidth="1"/>
    <col min="2212" max="2212" width="9.109375" style="39"/>
    <col min="2213" max="2213" width="10.6640625" style="39" bestFit="1" customWidth="1"/>
    <col min="2214" max="2218" width="9.109375" style="39"/>
    <col min="2219" max="2219" width="10.6640625" style="39" bestFit="1" customWidth="1"/>
    <col min="2220" max="2226" width="9.109375" style="39"/>
    <col min="2227" max="2227" width="12" style="39" bestFit="1" customWidth="1"/>
    <col min="2228" max="2228" width="32.6640625" style="39" customWidth="1"/>
    <col min="2229" max="2229" width="12.33203125" style="39" bestFit="1" customWidth="1"/>
    <col min="2230" max="2230" width="9.109375" style="39"/>
    <col min="2231" max="2231" width="10.6640625" style="39" bestFit="1" customWidth="1"/>
    <col min="2232" max="2236" width="9.109375" style="39"/>
    <col min="2237" max="2237" width="10.6640625" style="39" bestFit="1" customWidth="1"/>
    <col min="2238" max="2244" width="9.109375" style="39"/>
    <col min="2245" max="2245" width="12" style="39" bestFit="1" customWidth="1"/>
    <col min="2246" max="2246" width="32.6640625" style="39" customWidth="1"/>
    <col min="2247" max="2247" width="12.33203125" style="39" bestFit="1" customWidth="1"/>
    <col min="2248" max="2248" width="9.109375" style="39"/>
    <col min="2249" max="2249" width="10.6640625" style="39" bestFit="1" customWidth="1"/>
    <col min="2250" max="2254" width="9.109375" style="39"/>
    <col min="2255" max="2255" width="10.6640625" style="39" bestFit="1" customWidth="1"/>
    <col min="2256" max="2262" width="9.109375" style="39"/>
    <col min="2263" max="2263" width="13.33203125" style="39" bestFit="1" customWidth="1"/>
    <col min="2264" max="2264" width="32.6640625" style="39" customWidth="1"/>
    <col min="2265" max="2265" width="12.33203125" style="39" bestFit="1" customWidth="1"/>
    <col min="2266" max="2266" width="9.109375" style="39"/>
    <col min="2267" max="2267" width="10.6640625" style="39" bestFit="1" customWidth="1"/>
    <col min="2268" max="2272" width="9.109375" style="39"/>
    <col min="2273" max="2273" width="10.6640625" style="39" bestFit="1" customWidth="1"/>
    <col min="2274" max="2280" width="9.109375" style="39"/>
    <col min="2281" max="2281" width="12" style="39" bestFit="1" customWidth="1"/>
    <col min="2282" max="2322" width="9.109375" style="39"/>
    <col min="2323" max="2323" width="12.33203125" style="39" bestFit="1" customWidth="1"/>
    <col min="2324" max="2324" width="10.109375" style="39" bestFit="1" customWidth="1"/>
    <col min="2325" max="2325" width="10.6640625" style="39" bestFit="1" customWidth="1"/>
    <col min="2326" max="2329" width="9.109375" style="39"/>
    <col min="2330" max="2330" width="9.109375" style="39" bestFit="1" customWidth="1"/>
    <col min="2331" max="2331" width="10.6640625" style="39" bestFit="1" customWidth="1"/>
    <col min="2332" max="2332" width="4.5546875" style="39" bestFit="1" customWidth="1"/>
    <col min="2333" max="2333" width="5.5546875" style="39" bestFit="1" customWidth="1"/>
    <col min="2334" max="2334" width="10.6640625" style="39" bestFit="1" customWidth="1"/>
    <col min="2335" max="2338" width="9.109375" style="39"/>
    <col min="2339" max="2339" width="12" style="39" bestFit="1" customWidth="1"/>
    <col min="2340" max="2340" width="32.6640625" style="39" customWidth="1"/>
    <col min="2341" max="2341" width="12.33203125" style="39" bestFit="1" customWidth="1"/>
    <col min="2342" max="2342" width="9.109375" style="39"/>
    <col min="2343" max="2343" width="10.6640625" style="39" bestFit="1" customWidth="1"/>
    <col min="2344" max="2348" width="9.109375" style="39"/>
    <col min="2349" max="2349" width="10.6640625" style="39" bestFit="1" customWidth="1"/>
    <col min="2350" max="2356" width="9.109375" style="39"/>
    <col min="2357" max="2357" width="12" style="39" bestFit="1" customWidth="1"/>
    <col min="2358" max="2358" width="32.6640625" style="39" customWidth="1"/>
    <col min="2359" max="2359" width="12.33203125" style="39" bestFit="1" customWidth="1"/>
    <col min="2360" max="2360" width="9.109375" style="39"/>
    <col min="2361" max="2361" width="10.6640625" style="39" bestFit="1" customWidth="1"/>
    <col min="2362" max="2366" width="9.109375" style="39"/>
    <col min="2367" max="2367" width="10.6640625" style="39" bestFit="1" customWidth="1"/>
    <col min="2368" max="2374" width="9.109375" style="39"/>
    <col min="2375" max="2375" width="12" style="39" bestFit="1" customWidth="1"/>
    <col min="2376" max="2376" width="32.6640625" style="39" customWidth="1"/>
    <col min="2377" max="2377" width="12.33203125" style="39" bestFit="1" customWidth="1"/>
    <col min="2378" max="2378" width="9.109375" style="39"/>
    <col min="2379" max="2379" width="10.6640625" style="39" bestFit="1" customWidth="1"/>
    <col min="2380" max="2384" width="9.109375" style="39"/>
    <col min="2385" max="2385" width="10.6640625" style="39" bestFit="1" customWidth="1"/>
    <col min="2386" max="2392" width="9.109375" style="39"/>
    <col min="2393" max="2393" width="12" style="39" bestFit="1" customWidth="1"/>
    <col min="2394" max="2394" width="32.6640625" style="39" customWidth="1"/>
    <col min="2395" max="2395" width="12.33203125" style="39" bestFit="1" customWidth="1"/>
    <col min="2396" max="2396" width="9.109375" style="39"/>
    <col min="2397" max="2397" width="10.6640625" style="39" bestFit="1" customWidth="1"/>
    <col min="2398" max="2402" width="9.109375" style="39"/>
    <col min="2403" max="2403" width="10.6640625" style="39" bestFit="1" customWidth="1"/>
    <col min="2404" max="2410" width="9.109375" style="39"/>
    <col min="2411" max="2411" width="12" style="39" bestFit="1" customWidth="1"/>
    <col min="2412" max="2412" width="32.6640625" style="39" customWidth="1"/>
    <col min="2413" max="2413" width="12.33203125" style="39" bestFit="1" customWidth="1"/>
    <col min="2414" max="2414" width="9.109375" style="39"/>
    <col min="2415" max="2415" width="10.6640625" style="39" bestFit="1" customWidth="1"/>
    <col min="2416" max="2420" width="9.109375" style="39"/>
    <col min="2421" max="2421" width="10.6640625" style="39" bestFit="1" customWidth="1"/>
    <col min="2422" max="2428" width="9.109375" style="39"/>
    <col min="2429" max="2429" width="12" style="39" bestFit="1" customWidth="1"/>
    <col min="2430" max="2430" width="32.6640625" style="39" customWidth="1"/>
    <col min="2431" max="2431" width="12.33203125" style="39" bestFit="1" customWidth="1"/>
    <col min="2432" max="2432" width="9.109375" style="39"/>
    <col min="2433" max="2433" width="10.6640625" style="39" bestFit="1" customWidth="1"/>
    <col min="2434" max="2438" width="9.109375" style="39"/>
    <col min="2439" max="2439" width="10.6640625" style="39" bestFit="1" customWidth="1"/>
    <col min="2440" max="2446" width="9.109375" style="39"/>
    <col min="2447" max="2447" width="12" style="39" bestFit="1" customWidth="1"/>
    <col min="2448" max="2448" width="32.6640625" style="39" customWidth="1"/>
    <col min="2449" max="2449" width="12.33203125" style="39" bestFit="1" customWidth="1"/>
    <col min="2450" max="2450" width="9.109375" style="39"/>
    <col min="2451" max="2451" width="10.6640625" style="39" bestFit="1" customWidth="1"/>
    <col min="2452" max="2456" width="9.109375" style="39"/>
    <col min="2457" max="2457" width="10.6640625" style="39" bestFit="1" customWidth="1"/>
    <col min="2458" max="2464" width="9.109375" style="39"/>
    <col min="2465" max="2465" width="12" style="39" bestFit="1" customWidth="1"/>
    <col min="2466" max="2466" width="32.6640625" style="39" customWidth="1"/>
    <col min="2467" max="2467" width="12.33203125" style="39" bestFit="1" customWidth="1"/>
    <col min="2468" max="2468" width="9.109375" style="39"/>
    <col min="2469" max="2469" width="10.6640625" style="39" bestFit="1" customWidth="1"/>
    <col min="2470" max="2474" width="9.109375" style="39"/>
    <col min="2475" max="2475" width="10.6640625" style="39" bestFit="1" customWidth="1"/>
    <col min="2476" max="2482" width="9.109375" style="39"/>
    <col min="2483" max="2483" width="12" style="39" bestFit="1" customWidth="1"/>
    <col min="2484" max="2484" width="32.6640625" style="39" customWidth="1"/>
    <col min="2485" max="2485" width="12.33203125" style="39" bestFit="1" customWidth="1"/>
    <col min="2486" max="2486" width="9.109375" style="39"/>
    <col min="2487" max="2487" width="10.6640625" style="39" bestFit="1" customWidth="1"/>
    <col min="2488" max="2492" width="9.109375" style="39"/>
    <col min="2493" max="2493" width="10.6640625" style="39" bestFit="1" customWidth="1"/>
    <col min="2494" max="2500" width="9.109375" style="39"/>
    <col min="2501" max="2501" width="12" style="39" bestFit="1" customWidth="1"/>
    <col min="2502" max="2502" width="32.6640625" style="39" customWidth="1"/>
    <col min="2503" max="2503" width="12.33203125" style="39" bestFit="1" customWidth="1"/>
    <col min="2504" max="2504" width="9.109375" style="39"/>
    <col min="2505" max="2505" width="10.6640625" style="39" bestFit="1" customWidth="1"/>
    <col min="2506" max="2510" width="9.109375" style="39"/>
    <col min="2511" max="2511" width="10.6640625" style="39" bestFit="1" customWidth="1"/>
    <col min="2512" max="2518" width="9.109375" style="39"/>
    <col min="2519" max="2519" width="13.33203125" style="39" bestFit="1" customWidth="1"/>
    <col min="2520" max="2520" width="32.6640625" style="39" customWidth="1"/>
    <col min="2521" max="2521" width="12.33203125" style="39" bestFit="1" customWidth="1"/>
    <col min="2522" max="2522" width="9.109375" style="39"/>
    <col min="2523" max="2523" width="10.6640625" style="39" bestFit="1" customWidth="1"/>
    <col min="2524" max="2528" width="9.109375" style="39"/>
    <col min="2529" max="2529" width="10.6640625" style="39" bestFit="1" customWidth="1"/>
    <col min="2530" max="2536" width="9.109375" style="39"/>
    <col min="2537" max="2537" width="12" style="39" bestFit="1" customWidth="1"/>
    <col min="2538" max="2578" width="9.109375" style="39"/>
    <col min="2579" max="2579" width="12.33203125" style="39" bestFit="1" customWidth="1"/>
    <col min="2580" max="2580" width="10.109375" style="39" bestFit="1" customWidth="1"/>
    <col min="2581" max="2581" width="10.6640625" style="39" bestFit="1" customWidth="1"/>
    <col min="2582" max="2585" width="9.109375" style="39"/>
    <col min="2586" max="2586" width="9.109375" style="39" bestFit="1" customWidth="1"/>
    <col min="2587" max="2587" width="10.6640625" style="39" bestFit="1" customWidth="1"/>
    <col min="2588" max="2588" width="4.5546875" style="39" bestFit="1" customWidth="1"/>
    <col min="2589" max="2589" width="5.5546875" style="39" bestFit="1" customWidth="1"/>
    <col min="2590" max="2590" width="10.6640625" style="39" bestFit="1" customWidth="1"/>
    <col min="2591" max="2594" width="9.109375" style="39"/>
    <col min="2595" max="2595" width="12" style="39" bestFit="1" customWidth="1"/>
    <col min="2596" max="2596" width="32.6640625" style="39" customWidth="1"/>
    <col min="2597" max="2597" width="12.33203125" style="39" bestFit="1" customWidth="1"/>
    <col min="2598" max="2598" width="9.109375" style="39"/>
    <col min="2599" max="2599" width="10.6640625" style="39" bestFit="1" customWidth="1"/>
    <col min="2600" max="2604" width="9.109375" style="39"/>
    <col min="2605" max="2605" width="10.6640625" style="39" bestFit="1" customWidth="1"/>
    <col min="2606" max="2612" width="9.109375" style="39"/>
    <col min="2613" max="2613" width="12" style="39" bestFit="1" customWidth="1"/>
    <col min="2614" max="2614" width="32.6640625" style="39" customWidth="1"/>
    <col min="2615" max="2615" width="12.33203125" style="39" bestFit="1" customWidth="1"/>
    <col min="2616" max="2616" width="9.109375" style="39"/>
    <col min="2617" max="2617" width="10.6640625" style="39" bestFit="1" customWidth="1"/>
    <col min="2618" max="2622" width="9.109375" style="39"/>
    <col min="2623" max="2623" width="10.6640625" style="39" bestFit="1" customWidth="1"/>
    <col min="2624" max="2630" width="9.109375" style="39"/>
    <col min="2631" max="2631" width="12" style="39" bestFit="1" customWidth="1"/>
    <col min="2632" max="2632" width="32.6640625" style="39" customWidth="1"/>
    <col min="2633" max="2633" width="12.33203125" style="39" bestFit="1" customWidth="1"/>
    <col min="2634" max="2634" width="9.109375" style="39"/>
    <col min="2635" max="2635" width="10.6640625" style="39" bestFit="1" customWidth="1"/>
    <col min="2636" max="2640" width="9.109375" style="39"/>
    <col min="2641" max="2641" width="10.6640625" style="39" bestFit="1" customWidth="1"/>
    <col min="2642" max="2648" width="9.109375" style="39"/>
    <col min="2649" max="2649" width="12" style="39" bestFit="1" customWidth="1"/>
    <col min="2650" max="2650" width="32.6640625" style="39" customWidth="1"/>
    <col min="2651" max="2651" width="12.33203125" style="39" bestFit="1" customWidth="1"/>
    <col min="2652" max="2652" width="9.109375" style="39"/>
    <col min="2653" max="2653" width="10.6640625" style="39" bestFit="1" customWidth="1"/>
    <col min="2654" max="2658" width="9.109375" style="39"/>
    <col min="2659" max="2659" width="10.6640625" style="39" bestFit="1" customWidth="1"/>
    <col min="2660" max="2666" width="9.109375" style="39"/>
    <col min="2667" max="2667" width="12" style="39" bestFit="1" customWidth="1"/>
    <col min="2668" max="2668" width="32.6640625" style="39" customWidth="1"/>
    <col min="2669" max="2669" width="12.33203125" style="39" bestFit="1" customWidth="1"/>
    <col min="2670" max="2670" width="9.109375" style="39"/>
    <col min="2671" max="2671" width="10.6640625" style="39" bestFit="1" customWidth="1"/>
    <col min="2672" max="2676" width="9.109375" style="39"/>
    <col min="2677" max="2677" width="10.6640625" style="39" bestFit="1" customWidth="1"/>
    <col min="2678" max="2684" width="9.109375" style="39"/>
    <col min="2685" max="2685" width="12" style="39" bestFit="1" customWidth="1"/>
    <col min="2686" max="2686" width="32.6640625" style="39" customWidth="1"/>
    <col min="2687" max="2687" width="12.33203125" style="39" bestFit="1" customWidth="1"/>
    <col min="2688" max="2688" width="9.109375" style="39"/>
    <col min="2689" max="2689" width="10.6640625" style="39" bestFit="1" customWidth="1"/>
    <col min="2690" max="2694" width="9.109375" style="39"/>
    <col min="2695" max="2695" width="10.6640625" style="39" bestFit="1" customWidth="1"/>
    <col min="2696" max="2702" width="9.109375" style="39"/>
    <col min="2703" max="2703" width="12" style="39" bestFit="1" customWidth="1"/>
    <col min="2704" max="2704" width="32.6640625" style="39" customWidth="1"/>
    <col min="2705" max="2705" width="12.33203125" style="39" bestFit="1" customWidth="1"/>
    <col min="2706" max="2706" width="9.109375" style="39"/>
    <col min="2707" max="2707" width="10.6640625" style="39" bestFit="1" customWidth="1"/>
    <col min="2708" max="2712" width="9.109375" style="39"/>
    <col min="2713" max="2713" width="10.6640625" style="39" bestFit="1" customWidth="1"/>
    <col min="2714" max="2720" width="9.109375" style="39"/>
    <col min="2721" max="2721" width="12" style="39" bestFit="1" customWidth="1"/>
    <col min="2722" max="2722" width="32.6640625" style="39" customWidth="1"/>
    <col min="2723" max="2723" width="12.33203125" style="39" bestFit="1" customWidth="1"/>
    <col min="2724" max="2724" width="9.109375" style="39"/>
    <col min="2725" max="2725" width="10.6640625" style="39" bestFit="1" customWidth="1"/>
    <col min="2726" max="2730" width="9.109375" style="39"/>
    <col min="2731" max="2731" width="10.6640625" style="39" bestFit="1" customWidth="1"/>
    <col min="2732" max="2738" width="9.109375" style="39"/>
    <col min="2739" max="2739" width="12" style="39" bestFit="1" customWidth="1"/>
    <col min="2740" max="2740" width="32.6640625" style="39" customWidth="1"/>
    <col min="2741" max="2741" width="12.33203125" style="39" bestFit="1" customWidth="1"/>
    <col min="2742" max="2742" width="9.109375" style="39"/>
    <col min="2743" max="2743" width="10.6640625" style="39" bestFit="1" customWidth="1"/>
    <col min="2744" max="2748" width="9.109375" style="39"/>
    <col min="2749" max="2749" width="10.6640625" style="39" bestFit="1" customWidth="1"/>
    <col min="2750" max="2756" width="9.109375" style="39"/>
    <col min="2757" max="2757" width="12" style="39" bestFit="1" customWidth="1"/>
    <col min="2758" max="2758" width="32.6640625" style="39" customWidth="1"/>
    <col min="2759" max="2759" width="12.33203125" style="39" bestFit="1" customWidth="1"/>
    <col min="2760" max="2760" width="9.109375" style="39"/>
    <col min="2761" max="2761" width="10.6640625" style="39" bestFit="1" customWidth="1"/>
    <col min="2762" max="2766" width="9.109375" style="39"/>
    <col min="2767" max="2767" width="10.6640625" style="39" bestFit="1" customWidth="1"/>
    <col min="2768" max="2774" width="9.109375" style="39"/>
    <col min="2775" max="2775" width="13.33203125" style="39" bestFit="1" customWidth="1"/>
    <col min="2776" max="2776" width="32.6640625" style="39" customWidth="1"/>
    <col min="2777" max="2777" width="12.33203125" style="39" bestFit="1" customWidth="1"/>
    <col min="2778" max="2778" width="9.109375" style="39"/>
    <col min="2779" max="2779" width="10.6640625" style="39" bestFit="1" customWidth="1"/>
    <col min="2780" max="2784" width="9.109375" style="39"/>
    <col min="2785" max="2785" width="10.6640625" style="39" bestFit="1" customWidth="1"/>
    <col min="2786" max="2792" width="9.109375" style="39"/>
    <col min="2793" max="2793" width="12" style="39" bestFit="1" customWidth="1"/>
    <col min="2794" max="2834" width="9.109375" style="39"/>
    <col min="2835" max="2835" width="12.33203125" style="39" bestFit="1" customWidth="1"/>
    <col min="2836" max="2836" width="10.109375" style="39" bestFit="1" customWidth="1"/>
    <col min="2837" max="2837" width="10.6640625" style="39" bestFit="1" customWidth="1"/>
    <col min="2838" max="2841" width="9.109375" style="39"/>
    <col min="2842" max="2842" width="9.109375" style="39" bestFit="1" customWidth="1"/>
    <col min="2843" max="2843" width="10.6640625" style="39" bestFit="1" customWidth="1"/>
    <col min="2844" max="2844" width="4.5546875" style="39" bestFit="1" customWidth="1"/>
    <col min="2845" max="2845" width="5.5546875" style="39" bestFit="1" customWidth="1"/>
    <col min="2846" max="2846" width="10.6640625" style="39" bestFit="1" customWidth="1"/>
    <col min="2847" max="2850" width="9.109375" style="39"/>
    <col min="2851" max="2851" width="12" style="39" bestFit="1" customWidth="1"/>
    <col min="2852" max="2852" width="32.6640625" style="39" customWidth="1"/>
    <col min="2853" max="2853" width="12.33203125" style="39" bestFit="1" customWidth="1"/>
    <col min="2854" max="2854" width="9.109375" style="39"/>
    <col min="2855" max="2855" width="10.6640625" style="39" bestFit="1" customWidth="1"/>
    <col min="2856" max="2860" width="9.109375" style="39"/>
    <col min="2861" max="2861" width="10.6640625" style="39" bestFit="1" customWidth="1"/>
    <col min="2862" max="2868" width="9.109375" style="39"/>
    <col min="2869" max="2869" width="12" style="39" bestFit="1" customWidth="1"/>
    <col min="2870" max="2870" width="32.6640625" style="39" customWidth="1"/>
    <col min="2871" max="2871" width="12.33203125" style="39" bestFit="1" customWidth="1"/>
    <col min="2872" max="2872" width="9.109375" style="39"/>
    <col min="2873" max="2873" width="10.6640625" style="39" bestFit="1" customWidth="1"/>
    <col min="2874" max="2878" width="9.109375" style="39"/>
    <col min="2879" max="2879" width="10.6640625" style="39" bestFit="1" customWidth="1"/>
    <col min="2880" max="2886" width="9.109375" style="39"/>
    <col min="2887" max="2887" width="12" style="39" bestFit="1" customWidth="1"/>
    <col min="2888" max="2888" width="32.6640625" style="39" customWidth="1"/>
    <col min="2889" max="2889" width="12.33203125" style="39" bestFit="1" customWidth="1"/>
    <col min="2890" max="2890" width="9.109375" style="39"/>
    <col min="2891" max="2891" width="10.6640625" style="39" bestFit="1" customWidth="1"/>
    <col min="2892" max="2896" width="9.109375" style="39"/>
    <col min="2897" max="2897" width="10.6640625" style="39" bestFit="1" customWidth="1"/>
    <col min="2898" max="2904" width="9.109375" style="39"/>
    <col min="2905" max="2905" width="12" style="39" bestFit="1" customWidth="1"/>
    <col min="2906" max="2906" width="32.6640625" style="39" customWidth="1"/>
    <col min="2907" max="2907" width="12.33203125" style="39" bestFit="1" customWidth="1"/>
    <col min="2908" max="2908" width="9.109375" style="39"/>
    <col min="2909" max="2909" width="10.6640625" style="39" bestFit="1" customWidth="1"/>
    <col min="2910" max="2914" width="9.109375" style="39"/>
    <col min="2915" max="2915" width="10.6640625" style="39" bestFit="1" customWidth="1"/>
    <col min="2916" max="2922" width="9.109375" style="39"/>
    <col min="2923" max="2923" width="12" style="39" bestFit="1" customWidth="1"/>
    <col min="2924" max="2924" width="32.6640625" style="39" customWidth="1"/>
    <col min="2925" max="2925" width="12.33203125" style="39" bestFit="1" customWidth="1"/>
    <col min="2926" max="2926" width="9.109375" style="39"/>
    <col min="2927" max="2927" width="10.6640625" style="39" bestFit="1" customWidth="1"/>
    <col min="2928" max="2932" width="9.109375" style="39"/>
    <col min="2933" max="2933" width="10.6640625" style="39" bestFit="1" customWidth="1"/>
    <col min="2934" max="2940" width="9.109375" style="39"/>
    <col min="2941" max="2941" width="12" style="39" bestFit="1" customWidth="1"/>
    <col min="2942" max="2942" width="32.6640625" style="39" customWidth="1"/>
    <col min="2943" max="2943" width="12.33203125" style="39" bestFit="1" customWidth="1"/>
    <col min="2944" max="2944" width="9.109375" style="39"/>
    <col min="2945" max="2945" width="10.6640625" style="39" bestFit="1" customWidth="1"/>
    <col min="2946" max="2950" width="9.109375" style="39"/>
    <col min="2951" max="2951" width="10.6640625" style="39" bestFit="1" customWidth="1"/>
    <col min="2952" max="2958" width="9.109375" style="39"/>
    <col min="2959" max="2959" width="12" style="39" bestFit="1" customWidth="1"/>
    <col min="2960" max="2960" width="32.6640625" style="39" customWidth="1"/>
    <col min="2961" max="2961" width="12.33203125" style="39" bestFit="1" customWidth="1"/>
    <col min="2962" max="2962" width="9.109375" style="39"/>
    <col min="2963" max="2963" width="10.6640625" style="39" bestFit="1" customWidth="1"/>
    <col min="2964" max="2968" width="9.109375" style="39"/>
    <col min="2969" max="2969" width="10.6640625" style="39" bestFit="1" customWidth="1"/>
    <col min="2970" max="2976" width="9.109375" style="39"/>
    <col min="2977" max="2977" width="12" style="39" bestFit="1" customWidth="1"/>
    <col min="2978" max="2978" width="32.6640625" style="39" customWidth="1"/>
    <col min="2979" max="2979" width="12.33203125" style="39" bestFit="1" customWidth="1"/>
    <col min="2980" max="2980" width="9.109375" style="39"/>
    <col min="2981" max="2981" width="10.6640625" style="39" bestFit="1" customWidth="1"/>
    <col min="2982" max="2986" width="9.109375" style="39"/>
    <col min="2987" max="2987" width="10.6640625" style="39" bestFit="1" customWidth="1"/>
    <col min="2988" max="2994" width="9.109375" style="39"/>
    <col min="2995" max="2995" width="12" style="39" bestFit="1" customWidth="1"/>
    <col min="2996" max="2996" width="32.6640625" style="39" customWidth="1"/>
    <col min="2997" max="2997" width="12.33203125" style="39" bestFit="1" customWidth="1"/>
    <col min="2998" max="2998" width="9.109375" style="39"/>
    <col min="2999" max="2999" width="10.6640625" style="39" bestFit="1" customWidth="1"/>
    <col min="3000" max="3004" width="9.109375" style="39"/>
    <col min="3005" max="3005" width="10.6640625" style="39" bestFit="1" customWidth="1"/>
    <col min="3006" max="3012" width="9.109375" style="39"/>
    <col min="3013" max="3013" width="12" style="39" bestFit="1" customWidth="1"/>
    <col min="3014" max="3014" width="32.6640625" style="39" customWidth="1"/>
    <col min="3015" max="3015" width="12.33203125" style="39" bestFit="1" customWidth="1"/>
    <col min="3016" max="3016" width="9.109375" style="39"/>
    <col min="3017" max="3017" width="10.6640625" style="39" bestFit="1" customWidth="1"/>
    <col min="3018" max="3022" width="9.109375" style="39"/>
    <col min="3023" max="3023" width="10.6640625" style="39" bestFit="1" customWidth="1"/>
    <col min="3024" max="3030" width="9.109375" style="39"/>
    <col min="3031" max="3031" width="13.33203125" style="39" bestFit="1" customWidth="1"/>
    <col min="3032" max="3032" width="32.6640625" style="39" customWidth="1"/>
    <col min="3033" max="3033" width="12.33203125" style="39" bestFit="1" customWidth="1"/>
    <col min="3034" max="3034" width="9.109375" style="39"/>
    <col min="3035" max="3035" width="10.6640625" style="39" bestFit="1" customWidth="1"/>
    <col min="3036" max="3040" width="9.109375" style="39"/>
    <col min="3041" max="3041" width="10.6640625" style="39" bestFit="1" customWidth="1"/>
    <col min="3042" max="3048" width="9.109375" style="39"/>
    <col min="3049" max="3049" width="12" style="39" bestFit="1" customWidth="1"/>
    <col min="3050" max="3090" width="9.109375" style="39"/>
    <col min="3091" max="3091" width="12.33203125" style="39" bestFit="1" customWidth="1"/>
    <col min="3092" max="3092" width="10.109375" style="39" bestFit="1" customWidth="1"/>
    <col min="3093" max="3093" width="10.6640625" style="39" bestFit="1" customWidth="1"/>
    <col min="3094" max="3097" width="9.109375" style="39"/>
    <col min="3098" max="3098" width="9.109375" style="39" bestFit="1" customWidth="1"/>
    <col min="3099" max="3099" width="10.6640625" style="39" bestFit="1" customWidth="1"/>
    <col min="3100" max="3100" width="4.5546875" style="39" bestFit="1" customWidth="1"/>
    <col min="3101" max="3101" width="5.5546875" style="39" bestFit="1" customWidth="1"/>
    <col min="3102" max="3102" width="10.6640625" style="39" bestFit="1" customWidth="1"/>
    <col min="3103" max="3106" width="9.109375" style="39"/>
    <col min="3107" max="3107" width="12" style="39" bestFit="1" customWidth="1"/>
    <col min="3108" max="3108" width="32.6640625" style="39" customWidth="1"/>
    <col min="3109" max="3109" width="12.33203125" style="39" bestFit="1" customWidth="1"/>
    <col min="3110" max="3110" width="9.109375" style="39"/>
    <col min="3111" max="3111" width="10.6640625" style="39" bestFit="1" customWidth="1"/>
    <col min="3112" max="3116" width="9.109375" style="39"/>
    <col min="3117" max="3117" width="10.6640625" style="39" bestFit="1" customWidth="1"/>
    <col min="3118" max="3124" width="9.109375" style="39"/>
    <col min="3125" max="3125" width="12" style="39" bestFit="1" customWidth="1"/>
    <col min="3126" max="3126" width="32.6640625" style="39" customWidth="1"/>
    <col min="3127" max="3127" width="12.33203125" style="39" bestFit="1" customWidth="1"/>
    <col min="3128" max="3128" width="9.109375" style="39"/>
    <col min="3129" max="3129" width="10.6640625" style="39" bestFit="1" customWidth="1"/>
    <col min="3130" max="3134" width="9.109375" style="39"/>
    <col min="3135" max="3135" width="10.6640625" style="39" bestFit="1" customWidth="1"/>
    <col min="3136" max="3142" width="9.109375" style="39"/>
    <col min="3143" max="3143" width="12" style="39" bestFit="1" customWidth="1"/>
    <col min="3144" max="3144" width="32.6640625" style="39" customWidth="1"/>
    <col min="3145" max="3145" width="12.33203125" style="39" bestFit="1" customWidth="1"/>
    <col min="3146" max="3146" width="9.109375" style="39"/>
    <col min="3147" max="3147" width="10.6640625" style="39" bestFit="1" customWidth="1"/>
    <col min="3148" max="3152" width="9.109375" style="39"/>
    <col min="3153" max="3153" width="10.6640625" style="39" bestFit="1" customWidth="1"/>
    <col min="3154" max="3160" width="9.109375" style="39"/>
    <col min="3161" max="3161" width="12" style="39" bestFit="1" customWidth="1"/>
    <col min="3162" max="3162" width="32.6640625" style="39" customWidth="1"/>
    <col min="3163" max="3163" width="12.33203125" style="39" bestFit="1" customWidth="1"/>
    <col min="3164" max="3164" width="9.109375" style="39"/>
    <col min="3165" max="3165" width="10.6640625" style="39" bestFit="1" customWidth="1"/>
    <col min="3166" max="3170" width="9.109375" style="39"/>
    <col min="3171" max="3171" width="10.6640625" style="39" bestFit="1" customWidth="1"/>
    <col min="3172" max="3178" width="9.109375" style="39"/>
    <col min="3179" max="3179" width="12" style="39" bestFit="1" customWidth="1"/>
    <col min="3180" max="3180" width="32.6640625" style="39" customWidth="1"/>
    <col min="3181" max="3181" width="12.33203125" style="39" bestFit="1" customWidth="1"/>
    <col min="3182" max="3182" width="9.109375" style="39"/>
    <col min="3183" max="3183" width="10.6640625" style="39" bestFit="1" customWidth="1"/>
    <col min="3184" max="3188" width="9.109375" style="39"/>
    <col min="3189" max="3189" width="10.6640625" style="39" bestFit="1" customWidth="1"/>
    <col min="3190" max="3196" width="9.109375" style="39"/>
    <col min="3197" max="3197" width="12" style="39" bestFit="1" customWidth="1"/>
    <col min="3198" max="3198" width="32.6640625" style="39" customWidth="1"/>
    <col min="3199" max="3199" width="12.33203125" style="39" bestFit="1" customWidth="1"/>
    <col min="3200" max="3200" width="9.109375" style="39"/>
    <col min="3201" max="3201" width="10.6640625" style="39" bestFit="1" customWidth="1"/>
    <col min="3202" max="3206" width="9.109375" style="39"/>
    <col min="3207" max="3207" width="10.6640625" style="39" bestFit="1" customWidth="1"/>
    <col min="3208" max="3214" width="9.109375" style="39"/>
    <col min="3215" max="3215" width="12" style="39" bestFit="1" customWidth="1"/>
    <col min="3216" max="3216" width="32.6640625" style="39" customWidth="1"/>
    <col min="3217" max="3217" width="12.33203125" style="39" bestFit="1" customWidth="1"/>
    <col min="3218" max="3218" width="9.109375" style="39"/>
    <col min="3219" max="3219" width="10.6640625" style="39" bestFit="1" customWidth="1"/>
    <col min="3220" max="3224" width="9.109375" style="39"/>
    <col min="3225" max="3225" width="10.6640625" style="39" bestFit="1" customWidth="1"/>
    <col min="3226" max="3232" width="9.109375" style="39"/>
    <col min="3233" max="3233" width="12" style="39" bestFit="1" customWidth="1"/>
    <col min="3234" max="3234" width="32.6640625" style="39" customWidth="1"/>
    <col min="3235" max="3235" width="12.33203125" style="39" bestFit="1" customWidth="1"/>
    <col min="3236" max="3236" width="9.109375" style="39"/>
    <col min="3237" max="3237" width="10.6640625" style="39" bestFit="1" customWidth="1"/>
    <col min="3238" max="3242" width="9.109375" style="39"/>
    <col min="3243" max="3243" width="10.6640625" style="39" bestFit="1" customWidth="1"/>
    <col min="3244" max="3250" width="9.109375" style="39"/>
    <col min="3251" max="3251" width="12" style="39" bestFit="1" customWidth="1"/>
    <col min="3252" max="3252" width="32.6640625" style="39" customWidth="1"/>
    <col min="3253" max="3253" width="12.33203125" style="39" bestFit="1" customWidth="1"/>
    <col min="3254" max="3254" width="9.109375" style="39"/>
    <col min="3255" max="3255" width="10.6640625" style="39" bestFit="1" customWidth="1"/>
    <col min="3256" max="3260" width="9.109375" style="39"/>
    <col min="3261" max="3261" width="10.6640625" style="39" bestFit="1" customWidth="1"/>
    <col min="3262" max="3268" width="9.109375" style="39"/>
    <col min="3269" max="3269" width="12" style="39" bestFit="1" customWidth="1"/>
    <col min="3270" max="3270" width="32.6640625" style="39" customWidth="1"/>
    <col min="3271" max="3271" width="12.33203125" style="39" bestFit="1" customWidth="1"/>
    <col min="3272" max="3272" width="9.109375" style="39"/>
    <col min="3273" max="3273" width="10.6640625" style="39" bestFit="1" customWidth="1"/>
    <col min="3274" max="3278" width="9.109375" style="39"/>
    <col min="3279" max="3279" width="10.6640625" style="39" bestFit="1" customWidth="1"/>
    <col min="3280" max="3286" width="9.109375" style="39"/>
    <col min="3287" max="3287" width="13.33203125" style="39" bestFit="1" customWidth="1"/>
    <col min="3288" max="3288" width="32.6640625" style="39" customWidth="1"/>
    <col min="3289" max="3289" width="12.33203125" style="39" bestFit="1" customWidth="1"/>
    <col min="3290" max="3290" width="9.109375" style="39"/>
    <col min="3291" max="3291" width="10.6640625" style="39" bestFit="1" customWidth="1"/>
    <col min="3292" max="3296" width="9.109375" style="39"/>
    <col min="3297" max="3297" width="10.6640625" style="39" bestFit="1" customWidth="1"/>
    <col min="3298" max="3304" width="9.109375" style="39"/>
    <col min="3305" max="3305" width="12" style="39" bestFit="1" customWidth="1"/>
    <col min="3306" max="3346" width="9.109375" style="39"/>
    <col min="3347" max="3347" width="12.33203125" style="39" bestFit="1" customWidth="1"/>
    <col min="3348" max="3348" width="10.109375" style="39" bestFit="1" customWidth="1"/>
    <col min="3349" max="3349" width="10.6640625" style="39" bestFit="1" customWidth="1"/>
    <col min="3350" max="3353" width="9.109375" style="39"/>
    <col min="3354" max="3354" width="9.109375" style="39" bestFit="1" customWidth="1"/>
    <col min="3355" max="3355" width="10.6640625" style="39" bestFit="1" customWidth="1"/>
    <col min="3356" max="3356" width="4.5546875" style="39" bestFit="1" customWidth="1"/>
    <col min="3357" max="3357" width="5.5546875" style="39" bestFit="1" customWidth="1"/>
    <col min="3358" max="3358" width="10.6640625" style="39" bestFit="1" customWidth="1"/>
    <col min="3359" max="3362" width="9.109375" style="39"/>
    <col min="3363" max="3363" width="12" style="39" bestFit="1" customWidth="1"/>
    <col min="3364" max="3364" width="32.6640625" style="39" customWidth="1"/>
    <col min="3365" max="3365" width="12.33203125" style="39" bestFit="1" customWidth="1"/>
    <col min="3366" max="3366" width="9.109375" style="39"/>
    <col min="3367" max="3367" width="10.6640625" style="39" bestFit="1" customWidth="1"/>
    <col min="3368" max="3372" width="9.109375" style="39"/>
    <col min="3373" max="3373" width="10.6640625" style="39" bestFit="1" customWidth="1"/>
    <col min="3374" max="3380" width="9.109375" style="39"/>
    <col min="3381" max="3381" width="12" style="39" bestFit="1" customWidth="1"/>
    <col min="3382" max="3382" width="32.6640625" style="39" customWidth="1"/>
    <col min="3383" max="3383" width="12.33203125" style="39" bestFit="1" customWidth="1"/>
    <col min="3384" max="3384" width="9.109375" style="39"/>
    <col min="3385" max="3385" width="10.6640625" style="39" bestFit="1" customWidth="1"/>
    <col min="3386" max="3390" width="9.109375" style="39"/>
    <col min="3391" max="3391" width="10.6640625" style="39" bestFit="1" customWidth="1"/>
    <col min="3392" max="3398" width="9.109375" style="39"/>
    <col min="3399" max="3399" width="12" style="39" bestFit="1" customWidth="1"/>
    <col min="3400" max="3400" width="32.6640625" style="39" customWidth="1"/>
    <col min="3401" max="3401" width="12.33203125" style="39" bestFit="1" customWidth="1"/>
    <col min="3402" max="3402" width="9.109375" style="39"/>
    <col min="3403" max="3403" width="10.6640625" style="39" bestFit="1" customWidth="1"/>
    <col min="3404" max="3408" width="9.109375" style="39"/>
    <col min="3409" max="3409" width="10.6640625" style="39" bestFit="1" customWidth="1"/>
    <col min="3410" max="3416" width="9.109375" style="39"/>
    <col min="3417" max="3417" width="12" style="39" bestFit="1" customWidth="1"/>
    <col min="3418" max="3418" width="32.6640625" style="39" customWidth="1"/>
    <col min="3419" max="3419" width="12.33203125" style="39" bestFit="1" customWidth="1"/>
    <col min="3420" max="3420" width="9.109375" style="39"/>
    <col min="3421" max="3421" width="10.6640625" style="39" bestFit="1" customWidth="1"/>
    <col min="3422" max="3426" width="9.109375" style="39"/>
    <col min="3427" max="3427" width="10.6640625" style="39" bestFit="1" customWidth="1"/>
    <col min="3428" max="3434" width="9.109375" style="39"/>
    <col min="3435" max="3435" width="12" style="39" bestFit="1" customWidth="1"/>
    <col min="3436" max="3436" width="32.6640625" style="39" customWidth="1"/>
    <col min="3437" max="3437" width="12.33203125" style="39" bestFit="1" customWidth="1"/>
    <col min="3438" max="3438" width="9.109375" style="39"/>
    <col min="3439" max="3439" width="10.6640625" style="39" bestFit="1" customWidth="1"/>
    <col min="3440" max="3444" width="9.109375" style="39"/>
    <col min="3445" max="3445" width="10.6640625" style="39" bestFit="1" customWidth="1"/>
    <col min="3446" max="3452" width="9.109375" style="39"/>
    <col min="3453" max="3453" width="12" style="39" bestFit="1" customWidth="1"/>
    <col min="3454" max="3454" width="32.6640625" style="39" customWidth="1"/>
    <col min="3455" max="3455" width="12.33203125" style="39" bestFit="1" customWidth="1"/>
    <col min="3456" max="3456" width="9.109375" style="39"/>
    <col min="3457" max="3457" width="10.6640625" style="39" bestFit="1" customWidth="1"/>
    <col min="3458" max="3462" width="9.109375" style="39"/>
    <col min="3463" max="3463" width="10.6640625" style="39" bestFit="1" customWidth="1"/>
    <col min="3464" max="3470" width="9.109375" style="39"/>
    <col min="3471" max="3471" width="12" style="39" bestFit="1" customWidth="1"/>
    <col min="3472" max="3472" width="32.6640625" style="39" customWidth="1"/>
    <col min="3473" max="3473" width="12.33203125" style="39" bestFit="1" customWidth="1"/>
    <col min="3474" max="3474" width="9.109375" style="39"/>
    <col min="3475" max="3475" width="10.6640625" style="39" bestFit="1" customWidth="1"/>
    <col min="3476" max="3480" width="9.109375" style="39"/>
    <col min="3481" max="3481" width="10.6640625" style="39" bestFit="1" customWidth="1"/>
    <col min="3482" max="3488" width="9.109375" style="39"/>
    <col min="3489" max="3489" width="12" style="39" bestFit="1" customWidth="1"/>
    <col min="3490" max="3490" width="32.6640625" style="39" customWidth="1"/>
    <col min="3491" max="3491" width="12.33203125" style="39" bestFit="1" customWidth="1"/>
    <col min="3492" max="3492" width="9.109375" style="39"/>
    <col min="3493" max="3493" width="10.6640625" style="39" bestFit="1" customWidth="1"/>
    <col min="3494" max="3498" width="9.109375" style="39"/>
    <col min="3499" max="3499" width="10.6640625" style="39" bestFit="1" customWidth="1"/>
    <col min="3500" max="3506" width="9.109375" style="39"/>
    <col min="3507" max="3507" width="12" style="39" bestFit="1" customWidth="1"/>
    <col min="3508" max="3508" width="32.6640625" style="39" customWidth="1"/>
    <col min="3509" max="3509" width="12.33203125" style="39" bestFit="1" customWidth="1"/>
    <col min="3510" max="3510" width="9.109375" style="39"/>
    <col min="3511" max="3511" width="10.6640625" style="39" bestFit="1" customWidth="1"/>
    <col min="3512" max="3516" width="9.109375" style="39"/>
    <col min="3517" max="3517" width="10.6640625" style="39" bestFit="1" customWidth="1"/>
    <col min="3518" max="3524" width="9.109375" style="39"/>
    <col min="3525" max="3525" width="12" style="39" bestFit="1" customWidth="1"/>
    <col min="3526" max="3526" width="32.6640625" style="39" customWidth="1"/>
    <col min="3527" max="3527" width="12.33203125" style="39" bestFit="1" customWidth="1"/>
    <col min="3528" max="3528" width="9.109375" style="39"/>
    <col min="3529" max="3529" width="10.6640625" style="39" bestFit="1" customWidth="1"/>
    <col min="3530" max="3534" width="9.109375" style="39"/>
    <col min="3535" max="3535" width="10.6640625" style="39" bestFit="1" customWidth="1"/>
    <col min="3536" max="3542" width="9.109375" style="39"/>
    <col min="3543" max="3543" width="13.33203125" style="39" bestFit="1" customWidth="1"/>
    <col min="3544" max="3544" width="32.6640625" style="39" customWidth="1"/>
    <col min="3545" max="3545" width="12.33203125" style="39" bestFit="1" customWidth="1"/>
    <col min="3546" max="3546" width="9.109375" style="39"/>
    <col min="3547" max="3547" width="10.6640625" style="39" bestFit="1" customWidth="1"/>
    <col min="3548" max="3552" width="9.109375" style="39"/>
    <col min="3553" max="3553" width="10.6640625" style="39" bestFit="1" customWidth="1"/>
    <col min="3554" max="3560" width="9.109375" style="39"/>
    <col min="3561" max="3561" width="12" style="39" bestFit="1" customWidth="1"/>
    <col min="3562" max="3602" width="9.109375" style="39"/>
    <col min="3603" max="3603" width="12.33203125" style="39" bestFit="1" customWidth="1"/>
    <col min="3604" max="3604" width="10.109375" style="39" bestFit="1" customWidth="1"/>
    <col min="3605" max="3605" width="10.6640625" style="39" bestFit="1" customWidth="1"/>
    <col min="3606" max="3609" width="9.109375" style="39"/>
    <col min="3610" max="3610" width="9.109375" style="39" bestFit="1" customWidth="1"/>
    <col min="3611" max="3611" width="10.6640625" style="39" bestFit="1" customWidth="1"/>
    <col min="3612" max="3612" width="4.5546875" style="39" bestFit="1" customWidth="1"/>
    <col min="3613" max="3613" width="5.5546875" style="39" bestFit="1" customWidth="1"/>
    <col min="3614" max="3614" width="10.6640625" style="39" bestFit="1" customWidth="1"/>
    <col min="3615" max="3618" width="9.109375" style="39"/>
    <col min="3619" max="3619" width="12" style="39" bestFit="1" customWidth="1"/>
    <col min="3620" max="3620" width="32.6640625" style="39" customWidth="1"/>
    <col min="3621" max="3621" width="12.33203125" style="39" bestFit="1" customWidth="1"/>
    <col min="3622" max="3622" width="9.109375" style="39"/>
    <col min="3623" max="3623" width="10.6640625" style="39" bestFit="1" customWidth="1"/>
    <col min="3624" max="3628" width="9.109375" style="39"/>
    <col min="3629" max="3629" width="10.6640625" style="39" bestFit="1" customWidth="1"/>
    <col min="3630" max="3636" width="9.109375" style="39"/>
    <col min="3637" max="3637" width="12" style="39" bestFit="1" customWidth="1"/>
    <col min="3638" max="3638" width="32.6640625" style="39" customWidth="1"/>
    <col min="3639" max="3639" width="12.33203125" style="39" bestFit="1" customWidth="1"/>
    <col min="3640" max="3640" width="9.109375" style="39"/>
    <col min="3641" max="3641" width="10.6640625" style="39" bestFit="1" customWidth="1"/>
    <col min="3642" max="3646" width="9.109375" style="39"/>
    <col min="3647" max="3647" width="10.6640625" style="39" bestFit="1" customWidth="1"/>
    <col min="3648" max="3654" width="9.109375" style="39"/>
    <col min="3655" max="3655" width="12" style="39" bestFit="1" customWidth="1"/>
    <col min="3656" max="3656" width="32.6640625" style="39" customWidth="1"/>
    <col min="3657" max="3657" width="12.33203125" style="39" bestFit="1" customWidth="1"/>
    <col min="3658" max="3658" width="9.109375" style="39"/>
    <col min="3659" max="3659" width="10.6640625" style="39" bestFit="1" customWidth="1"/>
    <col min="3660" max="3664" width="9.109375" style="39"/>
    <col min="3665" max="3665" width="10.6640625" style="39" bestFit="1" customWidth="1"/>
    <col min="3666" max="3672" width="9.109375" style="39"/>
    <col min="3673" max="3673" width="12" style="39" bestFit="1" customWidth="1"/>
    <col min="3674" max="3674" width="32.6640625" style="39" customWidth="1"/>
    <col min="3675" max="3675" width="12.33203125" style="39" bestFit="1" customWidth="1"/>
    <col min="3676" max="3676" width="9.109375" style="39"/>
    <col min="3677" max="3677" width="10.6640625" style="39" bestFit="1" customWidth="1"/>
    <col min="3678" max="3682" width="9.109375" style="39"/>
    <col min="3683" max="3683" width="10.6640625" style="39" bestFit="1" customWidth="1"/>
    <col min="3684" max="3690" width="9.109375" style="39"/>
    <col min="3691" max="3691" width="12" style="39" bestFit="1" customWidth="1"/>
    <col min="3692" max="3692" width="32.6640625" style="39" customWidth="1"/>
    <col min="3693" max="3693" width="12.33203125" style="39" bestFit="1" customWidth="1"/>
    <col min="3694" max="3694" width="9.109375" style="39"/>
    <col min="3695" max="3695" width="10.6640625" style="39" bestFit="1" customWidth="1"/>
    <col min="3696" max="3700" width="9.109375" style="39"/>
    <col min="3701" max="3701" width="10.6640625" style="39" bestFit="1" customWidth="1"/>
    <col min="3702" max="3708" width="9.109375" style="39"/>
    <col min="3709" max="3709" width="12" style="39" bestFit="1" customWidth="1"/>
    <col min="3710" max="3710" width="32.6640625" style="39" customWidth="1"/>
    <col min="3711" max="3711" width="12.33203125" style="39" bestFit="1" customWidth="1"/>
    <col min="3712" max="3712" width="9.109375" style="39"/>
    <col min="3713" max="3713" width="10.6640625" style="39" bestFit="1" customWidth="1"/>
    <col min="3714" max="3718" width="9.109375" style="39"/>
    <col min="3719" max="3719" width="10.6640625" style="39" bestFit="1" customWidth="1"/>
    <col min="3720" max="3726" width="9.109375" style="39"/>
    <col min="3727" max="3727" width="12" style="39" bestFit="1" customWidth="1"/>
    <col min="3728" max="3728" width="32.6640625" style="39" customWidth="1"/>
    <col min="3729" max="3729" width="12.33203125" style="39" bestFit="1" customWidth="1"/>
    <col min="3730" max="3730" width="9.109375" style="39"/>
    <col min="3731" max="3731" width="10.6640625" style="39" bestFit="1" customWidth="1"/>
    <col min="3732" max="3736" width="9.109375" style="39"/>
    <col min="3737" max="3737" width="10.6640625" style="39" bestFit="1" customWidth="1"/>
    <col min="3738" max="3744" width="9.109375" style="39"/>
    <col min="3745" max="3745" width="12" style="39" bestFit="1" customWidth="1"/>
    <col min="3746" max="3746" width="32.6640625" style="39" customWidth="1"/>
    <col min="3747" max="3747" width="12.33203125" style="39" bestFit="1" customWidth="1"/>
    <col min="3748" max="3748" width="9.109375" style="39"/>
    <col min="3749" max="3749" width="10.6640625" style="39" bestFit="1" customWidth="1"/>
    <col min="3750" max="3754" width="9.109375" style="39"/>
    <col min="3755" max="3755" width="10.6640625" style="39" bestFit="1" customWidth="1"/>
    <col min="3756" max="3762" width="9.109375" style="39"/>
    <col min="3763" max="3763" width="12" style="39" bestFit="1" customWidth="1"/>
    <col min="3764" max="3764" width="32.6640625" style="39" customWidth="1"/>
    <col min="3765" max="3765" width="12.33203125" style="39" bestFit="1" customWidth="1"/>
    <col min="3766" max="3766" width="9.109375" style="39"/>
    <col min="3767" max="3767" width="10.6640625" style="39" bestFit="1" customWidth="1"/>
    <col min="3768" max="3772" width="9.109375" style="39"/>
    <col min="3773" max="3773" width="10.6640625" style="39" bestFit="1" customWidth="1"/>
    <col min="3774" max="3780" width="9.109375" style="39"/>
    <col min="3781" max="3781" width="12" style="39" bestFit="1" customWidth="1"/>
    <col min="3782" max="3782" width="32.6640625" style="39" customWidth="1"/>
    <col min="3783" max="3783" width="12.33203125" style="39" bestFit="1" customWidth="1"/>
    <col min="3784" max="3784" width="9.109375" style="39"/>
    <col min="3785" max="3785" width="10.6640625" style="39" bestFit="1" customWidth="1"/>
    <col min="3786" max="3790" width="9.109375" style="39"/>
    <col min="3791" max="3791" width="10.6640625" style="39" bestFit="1" customWidth="1"/>
    <col min="3792" max="3798" width="9.109375" style="39"/>
    <col min="3799" max="3799" width="13.33203125" style="39" bestFit="1" customWidth="1"/>
    <col min="3800" max="3800" width="32.6640625" style="39" customWidth="1"/>
    <col min="3801" max="3801" width="12.33203125" style="39" bestFit="1" customWidth="1"/>
    <col min="3802" max="3802" width="9.109375" style="39"/>
    <col min="3803" max="3803" width="10.6640625" style="39" bestFit="1" customWidth="1"/>
    <col min="3804" max="3808" width="9.109375" style="39"/>
    <col min="3809" max="3809" width="10.6640625" style="39" bestFit="1" customWidth="1"/>
    <col min="3810" max="3816" width="9.109375" style="39"/>
    <col min="3817" max="3817" width="12" style="39" bestFit="1" customWidth="1"/>
    <col min="3818" max="3858" width="9.109375" style="39"/>
    <col min="3859" max="3859" width="12.33203125" style="39" bestFit="1" customWidth="1"/>
    <col min="3860" max="3860" width="10.109375" style="39" bestFit="1" customWidth="1"/>
    <col min="3861" max="3861" width="10.6640625" style="39" bestFit="1" customWidth="1"/>
    <col min="3862" max="3865" width="9.109375" style="39"/>
    <col min="3866" max="3866" width="9.109375" style="39" bestFit="1" customWidth="1"/>
    <col min="3867" max="3867" width="10.6640625" style="39" bestFit="1" customWidth="1"/>
    <col min="3868" max="3868" width="4.5546875" style="39" bestFit="1" customWidth="1"/>
    <col min="3869" max="3869" width="5.5546875" style="39" bestFit="1" customWidth="1"/>
    <col min="3870" max="3870" width="10.6640625" style="39" bestFit="1" customWidth="1"/>
    <col min="3871" max="3874" width="9.109375" style="39"/>
    <col min="3875" max="3875" width="12" style="39" bestFit="1" customWidth="1"/>
    <col min="3876" max="3876" width="32.6640625" style="39" customWidth="1"/>
    <col min="3877" max="3877" width="12.33203125" style="39" bestFit="1" customWidth="1"/>
    <col min="3878" max="3878" width="9.109375" style="39"/>
    <col min="3879" max="3879" width="10.6640625" style="39" bestFit="1" customWidth="1"/>
    <col min="3880" max="3884" width="9.109375" style="39"/>
    <col min="3885" max="3885" width="10.6640625" style="39" bestFit="1" customWidth="1"/>
    <col min="3886" max="3892" width="9.109375" style="39"/>
    <col min="3893" max="3893" width="12" style="39" bestFit="1" customWidth="1"/>
    <col min="3894" max="3894" width="32.6640625" style="39" customWidth="1"/>
    <col min="3895" max="3895" width="12.33203125" style="39" bestFit="1" customWidth="1"/>
    <col min="3896" max="3896" width="9.109375" style="39"/>
    <col min="3897" max="3897" width="10.6640625" style="39" bestFit="1" customWidth="1"/>
    <col min="3898" max="3902" width="9.109375" style="39"/>
    <col min="3903" max="3903" width="10.6640625" style="39" bestFit="1" customWidth="1"/>
    <col min="3904" max="3910" width="9.109375" style="39"/>
    <col min="3911" max="3911" width="12" style="39" bestFit="1" customWidth="1"/>
    <col min="3912" max="3912" width="32.6640625" style="39" customWidth="1"/>
    <col min="3913" max="3913" width="12.33203125" style="39" bestFit="1" customWidth="1"/>
    <col min="3914" max="3914" width="9.109375" style="39"/>
    <col min="3915" max="3915" width="10.6640625" style="39" bestFit="1" customWidth="1"/>
    <col min="3916" max="3920" width="9.109375" style="39"/>
    <col min="3921" max="3921" width="10.6640625" style="39" bestFit="1" customWidth="1"/>
    <col min="3922" max="3928" width="9.109375" style="39"/>
    <col min="3929" max="3929" width="12" style="39" bestFit="1" customWidth="1"/>
    <col min="3930" max="3930" width="32.6640625" style="39" customWidth="1"/>
    <col min="3931" max="3931" width="12.33203125" style="39" bestFit="1" customWidth="1"/>
    <col min="3932" max="3932" width="9.109375" style="39"/>
    <col min="3933" max="3933" width="10.6640625" style="39" bestFit="1" customWidth="1"/>
    <col min="3934" max="3938" width="9.109375" style="39"/>
    <col min="3939" max="3939" width="10.6640625" style="39" bestFit="1" customWidth="1"/>
    <col min="3940" max="3946" width="9.109375" style="39"/>
    <col min="3947" max="3947" width="12" style="39" bestFit="1" customWidth="1"/>
    <col min="3948" max="3948" width="32.6640625" style="39" customWidth="1"/>
    <col min="3949" max="3949" width="12.33203125" style="39" bestFit="1" customWidth="1"/>
    <col min="3950" max="3950" width="9.109375" style="39"/>
    <col min="3951" max="3951" width="10.6640625" style="39" bestFit="1" customWidth="1"/>
    <col min="3952" max="3956" width="9.109375" style="39"/>
    <col min="3957" max="3957" width="10.6640625" style="39" bestFit="1" customWidth="1"/>
    <col min="3958" max="3964" width="9.109375" style="39"/>
    <col min="3965" max="3965" width="12" style="39" bestFit="1" customWidth="1"/>
    <col min="3966" max="3966" width="32.6640625" style="39" customWidth="1"/>
    <col min="3967" max="3967" width="12.33203125" style="39" bestFit="1" customWidth="1"/>
    <col min="3968" max="3968" width="9.109375" style="39"/>
    <col min="3969" max="3969" width="10.6640625" style="39" bestFit="1" customWidth="1"/>
    <col min="3970" max="3974" width="9.109375" style="39"/>
    <col min="3975" max="3975" width="10.6640625" style="39" bestFit="1" customWidth="1"/>
    <col min="3976" max="3982" width="9.109375" style="39"/>
    <col min="3983" max="3983" width="12" style="39" bestFit="1" customWidth="1"/>
    <col min="3984" max="3984" width="32.6640625" style="39" customWidth="1"/>
    <col min="3985" max="3985" width="12.33203125" style="39" bestFit="1" customWidth="1"/>
    <col min="3986" max="3986" width="9.109375" style="39"/>
    <col min="3987" max="3987" width="10.6640625" style="39" bestFit="1" customWidth="1"/>
    <col min="3988" max="3992" width="9.109375" style="39"/>
    <col min="3993" max="3993" width="10.6640625" style="39" bestFit="1" customWidth="1"/>
    <col min="3994" max="4000" width="9.109375" style="39"/>
    <col min="4001" max="4001" width="12" style="39" bestFit="1" customWidth="1"/>
    <col min="4002" max="4002" width="32.6640625" style="39" customWidth="1"/>
    <col min="4003" max="4003" width="12.33203125" style="39" bestFit="1" customWidth="1"/>
    <col min="4004" max="4004" width="9.109375" style="39"/>
    <col min="4005" max="4005" width="10.6640625" style="39" bestFit="1" customWidth="1"/>
    <col min="4006" max="4010" width="9.109375" style="39"/>
    <col min="4011" max="4011" width="10.6640625" style="39" bestFit="1" customWidth="1"/>
    <col min="4012" max="4018" width="9.109375" style="39"/>
    <col min="4019" max="4019" width="12" style="39" bestFit="1" customWidth="1"/>
    <col min="4020" max="4020" width="32.6640625" style="39" customWidth="1"/>
    <col min="4021" max="4021" width="12.33203125" style="39" bestFit="1" customWidth="1"/>
    <col min="4022" max="4022" width="9.109375" style="39"/>
    <col min="4023" max="4023" width="10.6640625" style="39" bestFit="1" customWidth="1"/>
    <col min="4024" max="4028" width="9.109375" style="39"/>
    <col min="4029" max="4029" width="10.6640625" style="39" bestFit="1" customWidth="1"/>
    <col min="4030" max="4036" width="9.109375" style="39"/>
    <col min="4037" max="4037" width="12" style="39" bestFit="1" customWidth="1"/>
    <col min="4038" max="4038" width="32.6640625" style="39" customWidth="1"/>
    <col min="4039" max="4039" width="12.33203125" style="39" bestFit="1" customWidth="1"/>
    <col min="4040" max="4040" width="9.109375" style="39"/>
    <col min="4041" max="4041" width="10.6640625" style="39" bestFit="1" customWidth="1"/>
    <col min="4042" max="4046" width="9.109375" style="39"/>
    <col min="4047" max="4047" width="10.6640625" style="39" bestFit="1" customWidth="1"/>
    <col min="4048" max="4054" width="9.109375" style="39"/>
    <col min="4055" max="4055" width="13.33203125" style="39" bestFit="1" customWidth="1"/>
    <col min="4056" max="4056" width="32.6640625" style="39" customWidth="1"/>
    <col min="4057" max="4057" width="12.33203125" style="39" bestFit="1" customWidth="1"/>
    <col min="4058" max="4058" width="9.109375" style="39"/>
    <col min="4059" max="4059" width="10.6640625" style="39" bestFit="1" customWidth="1"/>
    <col min="4060" max="4064" width="9.109375" style="39"/>
    <col min="4065" max="4065" width="10.6640625" style="39" bestFit="1" customWidth="1"/>
    <col min="4066" max="4072" width="9.109375" style="39"/>
    <col min="4073" max="4073" width="12" style="39" bestFit="1" customWidth="1"/>
    <col min="4074" max="4114" width="9.109375" style="39"/>
    <col min="4115" max="4115" width="12.33203125" style="39" bestFit="1" customWidth="1"/>
    <col min="4116" max="4116" width="10.109375" style="39" bestFit="1" customWidth="1"/>
    <col min="4117" max="4117" width="10.6640625" style="39" bestFit="1" customWidth="1"/>
    <col min="4118" max="4121" width="9.109375" style="39"/>
    <col min="4122" max="4122" width="9.109375" style="39" bestFit="1" customWidth="1"/>
    <col min="4123" max="4123" width="10.6640625" style="39" bestFit="1" customWidth="1"/>
    <col min="4124" max="4124" width="4.5546875" style="39" bestFit="1" customWidth="1"/>
    <col min="4125" max="4125" width="5.5546875" style="39" bestFit="1" customWidth="1"/>
    <col min="4126" max="4126" width="10.6640625" style="39" bestFit="1" customWidth="1"/>
    <col min="4127" max="4130" width="9.109375" style="39"/>
    <col min="4131" max="4131" width="12" style="39" bestFit="1" customWidth="1"/>
    <col min="4132" max="4132" width="32.6640625" style="39" customWidth="1"/>
    <col min="4133" max="4133" width="12.33203125" style="39" bestFit="1" customWidth="1"/>
    <col min="4134" max="4134" width="9.109375" style="39"/>
    <col min="4135" max="4135" width="10.6640625" style="39" bestFit="1" customWidth="1"/>
    <col min="4136" max="4140" width="9.109375" style="39"/>
    <col min="4141" max="4141" width="10.6640625" style="39" bestFit="1" customWidth="1"/>
    <col min="4142" max="4148" width="9.109375" style="39"/>
    <col min="4149" max="4149" width="12" style="39" bestFit="1" customWidth="1"/>
    <col min="4150" max="4150" width="32.6640625" style="39" customWidth="1"/>
    <col min="4151" max="4151" width="12.33203125" style="39" bestFit="1" customWidth="1"/>
    <col min="4152" max="4152" width="9.109375" style="39"/>
    <col min="4153" max="4153" width="10.6640625" style="39" bestFit="1" customWidth="1"/>
    <col min="4154" max="4158" width="9.109375" style="39"/>
    <col min="4159" max="4159" width="10.6640625" style="39" bestFit="1" customWidth="1"/>
    <col min="4160" max="4166" width="9.109375" style="39"/>
    <col min="4167" max="4167" width="12" style="39" bestFit="1" customWidth="1"/>
    <col min="4168" max="4168" width="32.6640625" style="39" customWidth="1"/>
    <col min="4169" max="4169" width="12.33203125" style="39" bestFit="1" customWidth="1"/>
    <col min="4170" max="4170" width="9.109375" style="39"/>
    <col min="4171" max="4171" width="10.6640625" style="39" bestFit="1" customWidth="1"/>
    <col min="4172" max="4176" width="9.109375" style="39"/>
    <col min="4177" max="4177" width="10.6640625" style="39" bestFit="1" customWidth="1"/>
    <col min="4178" max="4184" width="9.109375" style="39"/>
    <col min="4185" max="4185" width="12" style="39" bestFit="1" customWidth="1"/>
    <col min="4186" max="4186" width="32.6640625" style="39" customWidth="1"/>
    <col min="4187" max="4187" width="12.33203125" style="39" bestFit="1" customWidth="1"/>
    <col min="4188" max="4188" width="9.109375" style="39"/>
    <col min="4189" max="4189" width="10.6640625" style="39" bestFit="1" customWidth="1"/>
    <col min="4190" max="4194" width="9.109375" style="39"/>
    <col min="4195" max="4195" width="10.6640625" style="39" bestFit="1" customWidth="1"/>
    <col min="4196" max="4202" width="9.109375" style="39"/>
    <col min="4203" max="4203" width="12" style="39" bestFit="1" customWidth="1"/>
    <col min="4204" max="4204" width="32.6640625" style="39" customWidth="1"/>
    <col min="4205" max="4205" width="12.33203125" style="39" bestFit="1" customWidth="1"/>
    <col min="4206" max="4206" width="9.109375" style="39"/>
    <col min="4207" max="4207" width="10.6640625" style="39" bestFit="1" customWidth="1"/>
    <col min="4208" max="4212" width="9.109375" style="39"/>
    <col min="4213" max="4213" width="10.6640625" style="39" bestFit="1" customWidth="1"/>
    <col min="4214" max="4220" width="9.109375" style="39"/>
    <col min="4221" max="4221" width="12" style="39" bestFit="1" customWidth="1"/>
    <col min="4222" max="4222" width="32.6640625" style="39" customWidth="1"/>
    <col min="4223" max="4223" width="12.33203125" style="39" bestFit="1" customWidth="1"/>
    <col min="4224" max="4224" width="9.109375" style="39"/>
    <col min="4225" max="4225" width="10.6640625" style="39" bestFit="1" customWidth="1"/>
    <col min="4226" max="4230" width="9.109375" style="39"/>
    <col min="4231" max="4231" width="10.6640625" style="39" bestFit="1" customWidth="1"/>
    <col min="4232" max="4238" width="9.109375" style="39"/>
    <col min="4239" max="4239" width="12" style="39" bestFit="1" customWidth="1"/>
    <col min="4240" max="4240" width="32.6640625" style="39" customWidth="1"/>
    <col min="4241" max="4241" width="12.33203125" style="39" bestFit="1" customWidth="1"/>
    <col min="4242" max="4242" width="9.109375" style="39"/>
    <col min="4243" max="4243" width="10.6640625" style="39" bestFit="1" customWidth="1"/>
    <col min="4244" max="4248" width="9.109375" style="39"/>
    <col min="4249" max="4249" width="10.6640625" style="39" bestFit="1" customWidth="1"/>
    <col min="4250" max="4256" width="9.109375" style="39"/>
    <col min="4257" max="4257" width="12" style="39" bestFit="1" customWidth="1"/>
    <col min="4258" max="4258" width="32.6640625" style="39" customWidth="1"/>
    <col min="4259" max="4259" width="12.33203125" style="39" bestFit="1" customWidth="1"/>
    <col min="4260" max="4260" width="9.109375" style="39"/>
    <col min="4261" max="4261" width="10.6640625" style="39" bestFit="1" customWidth="1"/>
    <col min="4262" max="4266" width="9.109375" style="39"/>
    <col min="4267" max="4267" width="10.6640625" style="39" bestFit="1" customWidth="1"/>
    <col min="4268" max="4274" width="9.109375" style="39"/>
    <col min="4275" max="4275" width="12" style="39" bestFit="1" customWidth="1"/>
    <col min="4276" max="4276" width="32.6640625" style="39" customWidth="1"/>
    <col min="4277" max="4277" width="12.33203125" style="39" bestFit="1" customWidth="1"/>
    <col min="4278" max="4278" width="9.109375" style="39"/>
    <col min="4279" max="4279" width="10.6640625" style="39" bestFit="1" customWidth="1"/>
    <col min="4280" max="4284" width="9.109375" style="39"/>
    <col min="4285" max="4285" width="10.6640625" style="39" bestFit="1" customWidth="1"/>
    <col min="4286" max="4292" width="9.109375" style="39"/>
    <col min="4293" max="4293" width="12" style="39" bestFit="1" customWidth="1"/>
    <col min="4294" max="4294" width="32.6640625" style="39" customWidth="1"/>
    <col min="4295" max="4295" width="12.33203125" style="39" bestFit="1" customWidth="1"/>
    <col min="4296" max="4296" width="9.109375" style="39"/>
    <col min="4297" max="4297" width="10.6640625" style="39" bestFit="1" customWidth="1"/>
    <col min="4298" max="4302" width="9.109375" style="39"/>
    <col min="4303" max="4303" width="10.6640625" style="39" bestFit="1" customWidth="1"/>
    <col min="4304" max="4310" width="9.109375" style="39"/>
    <col min="4311" max="4311" width="13.33203125" style="39" bestFit="1" customWidth="1"/>
    <col min="4312" max="4312" width="32.6640625" style="39" customWidth="1"/>
    <col min="4313" max="4313" width="12.33203125" style="39" bestFit="1" customWidth="1"/>
    <col min="4314" max="4314" width="9.109375" style="39"/>
    <col min="4315" max="4315" width="10.6640625" style="39" bestFit="1" customWidth="1"/>
    <col min="4316" max="4320" width="9.109375" style="39"/>
    <col min="4321" max="4321" width="10.6640625" style="39" bestFit="1" customWidth="1"/>
    <col min="4322" max="4328" width="9.109375" style="39"/>
    <col min="4329" max="4329" width="12" style="39" bestFit="1" customWidth="1"/>
    <col min="4330" max="4370" width="9.109375" style="39"/>
    <col min="4371" max="4371" width="12.33203125" style="39" bestFit="1" customWidth="1"/>
    <col min="4372" max="4372" width="10.109375" style="39" bestFit="1" customWidth="1"/>
    <col min="4373" max="4373" width="10.6640625" style="39" bestFit="1" customWidth="1"/>
    <col min="4374" max="4377" width="9.109375" style="39"/>
    <col min="4378" max="4378" width="9.109375" style="39" bestFit="1" customWidth="1"/>
    <col min="4379" max="4379" width="10.6640625" style="39" bestFit="1" customWidth="1"/>
    <col min="4380" max="4380" width="4.5546875" style="39" bestFit="1" customWidth="1"/>
    <col min="4381" max="4381" width="5.5546875" style="39" bestFit="1" customWidth="1"/>
    <col min="4382" max="4382" width="10.6640625" style="39" bestFit="1" customWidth="1"/>
    <col min="4383" max="4386" width="9.109375" style="39"/>
    <col min="4387" max="4387" width="12" style="39" bestFit="1" customWidth="1"/>
    <col min="4388" max="4388" width="32.6640625" style="39" customWidth="1"/>
    <col min="4389" max="4389" width="12.33203125" style="39" bestFit="1" customWidth="1"/>
    <col min="4390" max="4390" width="9.109375" style="39"/>
    <col min="4391" max="4391" width="10.6640625" style="39" bestFit="1" customWidth="1"/>
    <col min="4392" max="4396" width="9.109375" style="39"/>
    <col min="4397" max="4397" width="10.6640625" style="39" bestFit="1" customWidth="1"/>
    <col min="4398" max="4404" width="9.109375" style="39"/>
    <col min="4405" max="4405" width="12" style="39" bestFit="1" customWidth="1"/>
    <col min="4406" max="4406" width="32.6640625" style="39" customWidth="1"/>
    <col min="4407" max="4407" width="12.33203125" style="39" bestFit="1" customWidth="1"/>
    <col min="4408" max="4408" width="9.109375" style="39"/>
    <col min="4409" max="4409" width="10.6640625" style="39" bestFit="1" customWidth="1"/>
    <col min="4410" max="4414" width="9.109375" style="39"/>
    <col min="4415" max="4415" width="10.6640625" style="39" bestFit="1" customWidth="1"/>
    <col min="4416" max="4422" width="9.109375" style="39"/>
    <col min="4423" max="4423" width="12" style="39" bestFit="1" customWidth="1"/>
    <col min="4424" max="4424" width="32.6640625" style="39" customWidth="1"/>
    <col min="4425" max="4425" width="12.33203125" style="39" bestFit="1" customWidth="1"/>
    <col min="4426" max="4426" width="9.109375" style="39"/>
    <col min="4427" max="4427" width="10.6640625" style="39" bestFit="1" customWidth="1"/>
    <col min="4428" max="4432" width="9.109375" style="39"/>
    <col min="4433" max="4433" width="10.6640625" style="39" bestFit="1" customWidth="1"/>
    <col min="4434" max="4440" width="9.109375" style="39"/>
    <col min="4441" max="4441" width="12" style="39" bestFit="1" customWidth="1"/>
    <col min="4442" max="4442" width="32.6640625" style="39" customWidth="1"/>
    <col min="4443" max="4443" width="12.33203125" style="39" bestFit="1" customWidth="1"/>
    <col min="4444" max="4444" width="9.109375" style="39"/>
    <col min="4445" max="4445" width="10.6640625" style="39" bestFit="1" customWidth="1"/>
    <col min="4446" max="4450" width="9.109375" style="39"/>
    <col min="4451" max="4451" width="10.6640625" style="39" bestFit="1" customWidth="1"/>
    <col min="4452" max="4458" width="9.109375" style="39"/>
    <col min="4459" max="4459" width="12" style="39" bestFit="1" customWidth="1"/>
    <col min="4460" max="4460" width="32.6640625" style="39" customWidth="1"/>
    <col min="4461" max="4461" width="12.33203125" style="39" bestFit="1" customWidth="1"/>
    <col min="4462" max="4462" width="9.109375" style="39"/>
    <col min="4463" max="4463" width="10.6640625" style="39" bestFit="1" customWidth="1"/>
    <col min="4464" max="4468" width="9.109375" style="39"/>
    <col min="4469" max="4469" width="10.6640625" style="39" bestFit="1" customWidth="1"/>
    <col min="4470" max="4476" width="9.109375" style="39"/>
    <col min="4477" max="4477" width="12" style="39" bestFit="1" customWidth="1"/>
    <col min="4478" max="4478" width="32.6640625" style="39" customWidth="1"/>
    <col min="4479" max="4479" width="12.33203125" style="39" bestFit="1" customWidth="1"/>
    <col min="4480" max="4480" width="9.109375" style="39"/>
    <col min="4481" max="4481" width="10.6640625" style="39" bestFit="1" customWidth="1"/>
    <col min="4482" max="4486" width="9.109375" style="39"/>
    <col min="4487" max="4487" width="10.6640625" style="39" bestFit="1" customWidth="1"/>
    <col min="4488" max="4494" width="9.109375" style="39"/>
    <col min="4495" max="4495" width="12" style="39" bestFit="1" customWidth="1"/>
    <col min="4496" max="4496" width="32.6640625" style="39" customWidth="1"/>
    <col min="4497" max="4497" width="12.33203125" style="39" bestFit="1" customWidth="1"/>
    <col min="4498" max="4498" width="9.109375" style="39"/>
    <col min="4499" max="4499" width="10.6640625" style="39" bestFit="1" customWidth="1"/>
    <col min="4500" max="4504" width="9.109375" style="39"/>
    <col min="4505" max="4505" width="10.6640625" style="39" bestFit="1" customWidth="1"/>
    <col min="4506" max="4512" width="9.109375" style="39"/>
    <col min="4513" max="4513" width="12" style="39" bestFit="1" customWidth="1"/>
    <col min="4514" max="4514" width="32.6640625" style="39" customWidth="1"/>
    <col min="4515" max="4515" width="12.33203125" style="39" bestFit="1" customWidth="1"/>
    <col min="4516" max="4516" width="9.109375" style="39"/>
    <col min="4517" max="4517" width="10.6640625" style="39" bestFit="1" customWidth="1"/>
    <col min="4518" max="4522" width="9.109375" style="39"/>
    <col min="4523" max="4523" width="10.6640625" style="39" bestFit="1" customWidth="1"/>
    <col min="4524" max="4530" width="9.109375" style="39"/>
    <col min="4531" max="4531" width="12" style="39" bestFit="1" customWidth="1"/>
    <col min="4532" max="4532" width="32.6640625" style="39" customWidth="1"/>
    <col min="4533" max="4533" width="12.33203125" style="39" bestFit="1" customWidth="1"/>
    <col min="4534" max="4534" width="9.109375" style="39"/>
    <col min="4535" max="4535" width="10.6640625" style="39" bestFit="1" customWidth="1"/>
    <col min="4536" max="4540" width="9.109375" style="39"/>
    <col min="4541" max="4541" width="10.6640625" style="39" bestFit="1" customWidth="1"/>
    <col min="4542" max="4548" width="9.109375" style="39"/>
    <col min="4549" max="4549" width="12" style="39" bestFit="1" customWidth="1"/>
    <col min="4550" max="4550" width="32.6640625" style="39" customWidth="1"/>
    <col min="4551" max="4551" width="12.33203125" style="39" bestFit="1" customWidth="1"/>
    <col min="4552" max="4552" width="9.109375" style="39"/>
    <col min="4553" max="4553" width="10.6640625" style="39" bestFit="1" customWidth="1"/>
    <col min="4554" max="4558" width="9.109375" style="39"/>
    <col min="4559" max="4559" width="10.6640625" style="39" bestFit="1" customWidth="1"/>
    <col min="4560" max="4566" width="9.109375" style="39"/>
    <col min="4567" max="4567" width="13.33203125" style="39" bestFit="1" customWidth="1"/>
    <col min="4568" max="4568" width="32.6640625" style="39" customWidth="1"/>
    <col min="4569" max="4569" width="12.33203125" style="39" bestFit="1" customWidth="1"/>
    <col min="4570" max="4570" width="9.109375" style="39"/>
    <col min="4571" max="4571" width="10.6640625" style="39" bestFit="1" customWidth="1"/>
    <col min="4572" max="4576" width="9.109375" style="39"/>
    <col min="4577" max="4577" width="10.6640625" style="39" bestFit="1" customWidth="1"/>
    <col min="4578" max="4584" width="9.109375" style="39"/>
    <col min="4585" max="4585" width="12" style="39" bestFit="1" customWidth="1"/>
    <col min="4586" max="4626" width="9.109375" style="39"/>
    <col min="4627" max="4627" width="12.33203125" style="39" bestFit="1" customWidth="1"/>
    <col min="4628" max="4628" width="10.109375" style="39" bestFit="1" customWidth="1"/>
    <col min="4629" max="4629" width="10.6640625" style="39" bestFit="1" customWidth="1"/>
    <col min="4630" max="4633" width="9.109375" style="39"/>
    <col min="4634" max="4634" width="9.109375" style="39" bestFit="1" customWidth="1"/>
    <col min="4635" max="4635" width="10.6640625" style="39" bestFit="1" customWidth="1"/>
    <col min="4636" max="4636" width="4.5546875" style="39" bestFit="1" customWidth="1"/>
    <col min="4637" max="4637" width="5.5546875" style="39" bestFit="1" customWidth="1"/>
    <col min="4638" max="4638" width="10.6640625" style="39" bestFit="1" customWidth="1"/>
    <col min="4639" max="4642" width="9.109375" style="39"/>
    <col min="4643" max="4643" width="12" style="39" bestFit="1" customWidth="1"/>
    <col min="4644" max="4644" width="32.6640625" style="39" customWidth="1"/>
    <col min="4645" max="4645" width="12.33203125" style="39" bestFit="1" customWidth="1"/>
    <col min="4646" max="4646" width="9.109375" style="39"/>
    <col min="4647" max="4647" width="10.6640625" style="39" bestFit="1" customWidth="1"/>
    <col min="4648" max="4652" width="9.109375" style="39"/>
    <col min="4653" max="4653" width="10.6640625" style="39" bestFit="1" customWidth="1"/>
    <col min="4654" max="4660" width="9.109375" style="39"/>
    <col min="4661" max="4661" width="12" style="39" bestFit="1" customWidth="1"/>
    <col min="4662" max="4662" width="32.6640625" style="39" customWidth="1"/>
    <col min="4663" max="4663" width="12.33203125" style="39" bestFit="1" customWidth="1"/>
    <col min="4664" max="4664" width="9.109375" style="39"/>
    <col min="4665" max="4665" width="10.6640625" style="39" bestFit="1" customWidth="1"/>
    <col min="4666" max="4670" width="9.109375" style="39"/>
    <col min="4671" max="4671" width="10.6640625" style="39" bestFit="1" customWidth="1"/>
    <col min="4672" max="4678" width="9.109375" style="39"/>
    <col min="4679" max="4679" width="12" style="39" bestFit="1" customWidth="1"/>
    <col min="4680" max="4680" width="32.6640625" style="39" customWidth="1"/>
    <col min="4681" max="4681" width="12.33203125" style="39" bestFit="1" customWidth="1"/>
    <col min="4682" max="4682" width="9.109375" style="39"/>
    <col min="4683" max="4683" width="10.6640625" style="39" bestFit="1" customWidth="1"/>
    <col min="4684" max="4688" width="9.109375" style="39"/>
    <col min="4689" max="4689" width="10.6640625" style="39" bestFit="1" customWidth="1"/>
    <col min="4690" max="4696" width="9.109375" style="39"/>
    <col min="4697" max="4697" width="12" style="39" bestFit="1" customWidth="1"/>
    <col min="4698" max="4698" width="32.6640625" style="39" customWidth="1"/>
    <col min="4699" max="4699" width="12.33203125" style="39" bestFit="1" customWidth="1"/>
    <col min="4700" max="4700" width="9.109375" style="39"/>
    <col min="4701" max="4701" width="10.6640625" style="39" bestFit="1" customWidth="1"/>
    <col min="4702" max="4706" width="9.109375" style="39"/>
    <col min="4707" max="4707" width="10.6640625" style="39" bestFit="1" customWidth="1"/>
    <col min="4708" max="4714" width="9.109375" style="39"/>
    <col min="4715" max="4715" width="12" style="39" bestFit="1" customWidth="1"/>
    <col min="4716" max="4716" width="32.6640625" style="39" customWidth="1"/>
    <col min="4717" max="4717" width="12.33203125" style="39" bestFit="1" customWidth="1"/>
    <col min="4718" max="4718" width="9.109375" style="39"/>
    <col min="4719" max="4719" width="10.6640625" style="39" bestFit="1" customWidth="1"/>
    <col min="4720" max="4724" width="9.109375" style="39"/>
    <col min="4725" max="4725" width="10.6640625" style="39" bestFit="1" customWidth="1"/>
    <col min="4726" max="4732" width="9.109375" style="39"/>
    <col min="4733" max="4733" width="12" style="39" bestFit="1" customWidth="1"/>
    <col min="4734" max="4734" width="32.6640625" style="39" customWidth="1"/>
    <col min="4735" max="4735" width="12.33203125" style="39" bestFit="1" customWidth="1"/>
    <col min="4736" max="4736" width="9.109375" style="39"/>
    <col min="4737" max="4737" width="10.6640625" style="39" bestFit="1" customWidth="1"/>
    <col min="4738" max="4742" width="9.109375" style="39"/>
    <col min="4743" max="4743" width="10.6640625" style="39" bestFit="1" customWidth="1"/>
    <col min="4744" max="4750" width="9.109375" style="39"/>
    <col min="4751" max="4751" width="12" style="39" bestFit="1" customWidth="1"/>
    <col min="4752" max="4752" width="32.6640625" style="39" customWidth="1"/>
    <col min="4753" max="4753" width="12.33203125" style="39" bestFit="1" customWidth="1"/>
    <col min="4754" max="4754" width="9.109375" style="39"/>
    <col min="4755" max="4755" width="10.6640625" style="39" bestFit="1" customWidth="1"/>
    <col min="4756" max="4760" width="9.109375" style="39"/>
    <col min="4761" max="4761" width="10.6640625" style="39" bestFit="1" customWidth="1"/>
    <col min="4762" max="4768" width="9.109375" style="39"/>
    <col min="4769" max="4769" width="12" style="39" bestFit="1" customWidth="1"/>
    <col min="4770" max="4770" width="32.6640625" style="39" customWidth="1"/>
    <col min="4771" max="4771" width="12.33203125" style="39" bestFit="1" customWidth="1"/>
    <col min="4772" max="4772" width="9.109375" style="39"/>
    <col min="4773" max="4773" width="10.6640625" style="39" bestFit="1" customWidth="1"/>
    <col min="4774" max="4778" width="9.109375" style="39"/>
    <col min="4779" max="4779" width="10.6640625" style="39" bestFit="1" customWidth="1"/>
    <col min="4780" max="4786" width="9.109375" style="39"/>
    <col min="4787" max="4787" width="12" style="39" bestFit="1" customWidth="1"/>
    <col min="4788" max="4788" width="32.6640625" style="39" customWidth="1"/>
    <col min="4789" max="4789" width="12.33203125" style="39" bestFit="1" customWidth="1"/>
    <col min="4790" max="4790" width="9.109375" style="39"/>
    <col min="4791" max="4791" width="10.6640625" style="39" bestFit="1" customWidth="1"/>
    <col min="4792" max="4796" width="9.109375" style="39"/>
    <col min="4797" max="4797" width="10.6640625" style="39" bestFit="1" customWidth="1"/>
    <col min="4798" max="4804" width="9.109375" style="39"/>
    <col min="4805" max="4805" width="12" style="39" bestFit="1" customWidth="1"/>
    <col min="4806" max="4806" width="32.6640625" style="39" customWidth="1"/>
    <col min="4807" max="4807" width="12.33203125" style="39" bestFit="1" customWidth="1"/>
    <col min="4808" max="4808" width="9.109375" style="39"/>
    <col min="4809" max="4809" width="10.6640625" style="39" bestFit="1" customWidth="1"/>
    <col min="4810" max="4814" width="9.109375" style="39"/>
    <col min="4815" max="4815" width="10.6640625" style="39" bestFit="1" customWidth="1"/>
    <col min="4816" max="4822" width="9.109375" style="39"/>
    <col min="4823" max="4823" width="13.33203125" style="39" bestFit="1" customWidth="1"/>
    <col min="4824" max="4824" width="32.6640625" style="39" customWidth="1"/>
    <col min="4825" max="4825" width="12.33203125" style="39" bestFit="1" customWidth="1"/>
    <col min="4826" max="4826" width="9.109375" style="39"/>
    <col min="4827" max="4827" width="10.6640625" style="39" bestFit="1" customWidth="1"/>
    <col min="4828" max="4832" width="9.109375" style="39"/>
    <col min="4833" max="4833" width="10.6640625" style="39" bestFit="1" customWidth="1"/>
    <col min="4834" max="4840" width="9.109375" style="39"/>
    <col min="4841" max="4841" width="12" style="39" bestFit="1" customWidth="1"/>
    <col min="4842" max="4882" width="9.109375" style="39"/>
    <col min="4883" max="4883" width="12.33203125" style="39" bestFit="1" customWidth="1"/>
    <col min="4884" max="4884" width="10.109375" style="39" bestFit="1" customWidth="1"/>
    <col min="4885" max="4885" width="10.6640625" style="39" bestFit="1" customWidth="1"/>
    <col min="4886" max="4889" width="9.109375" style="39"/>
    <col min="4890" max="4890" width="9.109375" style="39" bestFit="1" customWidth="1"/>
    <col min="4891" max="4891" width="10.6640625" style="39" bestFit="1" customWidth="1"/>
    <col min="4892" max="4892" width="4.5546875" style="39" bestFit="1" customWidth="1"/>
    <col min="4893" max="4893" width="5.5546875" style="39" bestFit="1" customWidth="1"/>
    <col min="4894" max="4894" width="10.6640625" style="39" bestFit="1" customWidth="1"/>
    <col min="4895" max="4898" width="9.109375" style="39"/>
    <col min="4899" max="4899" width="12" style="39" bestFit="1" customWidth="1"/>
    <col min="4900" max="4900" width="32.6640625" style="39" customWidth="1"/>
    <col min="4901" max="4901" width="12.33203125" style="39" bestFit="1" customWidth="1"/>
    <col min="4902" max="4902" width="9.109375" style="39"/>
    <col min="4903" max="4903" width="10.6640625" style="39" bestFit="1" customWidth="1"/>
    <col min="4904" max="4908" width="9.109375" style="39"/>
    <col min="4909" max="4909" width="10.6640625" style="39" bestFit="1" customWidth="1"/>
    <col min="4910" max="4916" width="9.109375" style="39"/>
    <col min="4917" max="4917" width="12" style="39" bestFit="1" customWidth="1"/>
    <col min="4918" max="4918" width="32.6640625" style="39" customWidth="1"/>
    <col min="4919" max="4919" width="12.33203125" style="39" bestFit="1" customWidth="1"/>
    <col min="4920" max="4920" width="9.109375" style="39"/>
    <col min="4921" max="4921" width="10.6640625" style="39" bestFit="1" customWidth="1"/>
    <col min="4922" max="4926" width="9.109375" style="39"/>
    <col min="4927" max="4927" width="10.6640625" style="39" bestFit="1" customWidth="1"/>
    <col min="4928" max="4934" width="9.109375" style="39"/>
    <col min="4935" max="4935" width="12" style="39" bestFit="1" customWidth="1"/>
    <col min="4936" max="4936" width="32.6640625" style="39" customWidth="1"/>
    <col min="4937" max="4937" width="12.33203125" style="39" bestFit="1" customWidth="1"/>
    <col min="4938" max="4938" width="9.109375" style="39"/>
    <col min="4939" max="4939" width="10.6640625" style="39" bestFit="1" customWidth="1"/>
    <col min="4940" max="4944" width="9.109375" style="39"/>
    <col min="4945" max="4945" width="10.6640625" style="39" bestFit="1" customWidth="1"/>
    <col min="4946" max="4952" width="9.109375" style="39"/>
    <col min="4953" max="4953" width="12" style="39" bestFit="1" customWidth="1"/>
    <col min="4954" max="4954" width="32.6640625" style="39" customWidth="1"/>
    <col min="4955" max="4955" width="12.33203125" style="39" bestFit="1" customWidth="1"/>
    <col min="4956" max="4956" width="9.109375" style="39"/>
    <col min="4957" max="4957" width="10.6640625" style="39" bestFit="1" customWidth="1"/>
    <col min="4958" max="4962" width="9.109375" style="39"/>
    <col min="4963" max="4963" width="10.6640625" style="39" bestFit="1" customWidth="1"/>
    <col min="4964" max="4970" width="9.109375" style="39"/>
    <col min="4971" max="4971" width="12" style="39" bestFit="1" customWidth="1"/>
    <col min="4972" max="4972" width="32.6640625" style="39" customWidth="1"/>
    <col min="4973" max="4973" width="12.33203125" style="39" bestFit="1" customWidth="1"/>
    <col min="4974" max="4974" width="9.109375" style="39"/>
    <col min="4975" max="4975" width="10.6640625" style="39" bestFit="1" customWidth="1"/>
    <col min="4976" max="4980" width="9.109375" style="39"/>
    <col min="4981" max="4981" width="10.6640625" style="39" bestFit="1" customWidth="1"/>
    <col min="4982" max="4988" width="9.109375" style="39"/>
    <col min="4989" max="4989" width="12" style="39" bestFit="1" customWidth="1"/>
    <col min="4990" max="4990" width="32.6640625" style="39" customWidth="1"/>
    <col min="4991" max="4991" width="12.33203125" style="39" bestFit="1" customWidth="1"/>
    <col min="4992" max="4992" width="9.109375" style="39"/>
    <col min="4993" max="4993" width="10.6640625" style="39" bestFit="1" customWidth="1"/>
    <col min="4994" max="4998" width="9.109375" style="39"/>
    <col min="4999" max="4999" width="10.6640625" style="39" bestFit="1" customWidth="1"/>
    <col min="5000" max="5006" width="9.109375" style="39"/>
    <col min="5007" max="5007" width="12" style="39" bestFit="1" customWidth="1"/>
    <col min="5008" max="5008" width="32.6640625" style="39" customWidth="1"/>
    <col min="5009" max="5009" width="12.33203125" style="39" bestFit="1" customWidth="1"/>
    <col min="5010" max="5010" width="9.109375" style="39"/>
    <col min="5011" max="5011" width="10.6640625" style="39" bestFit="1" customWidth="1"/>
    <col min="5012" max="5016" width="9.109375" style="39"/>
    <col min="5017" max="5017" width="10.6640625" style="39" bestFit="1" customWidth="1"/>
    <col min="5018" max="5024" width="9.109375" style="39"/>
    <col min="5025" max="5025" width="12" style="39" bestFit="1" customWidth="1"/>
    <col min="5026" max="5026" width="32.6640625" style="39" customWidth="1"/>
    <col min="5027" max="5027" width="12.33203125" style="39" bestFit="1" customWidth="1"/>
    <col min="5028" max="5028" width="9.109375" style="39"/>
    <col min="5029" max="5029" width="10.6640625" style="39" bestFit="1" customWidth="1"/>
    <col min="5030" max="5034" width="9.109375" style="39"/>
    <col min="5035" max="5035" width="10.6640625" style="39" bestFit="1" customWidth="1"/>
    <col min="5036" max="5042" width="9.109375" style="39"/>
    <col min="5043" max="5043" width="12" style="39" bestFit="1" customWidth="1"/>
    <col min="5044" max="5044" width="32.6640625" style="39" customWidth="1"/>
    <col min="5045" max="5045" width="12.33203125" style="39" bestFit="1" customWidth="1"/>
    <col min="5046" max="5046" width="9.109375" style="39"/>
    <col min="5047" max="5047" width="10.6640625" style="39" bestFit="1" customWidth="1"/>
    <col min="5048" max="5052" width="9.109375" style="39"/>
    <col min="5053" max="5053" width="10.6640625" style="39" bestFit="1" customWidth="1"/>
    <col min="5054" max="5060" width="9.109375" style="39"/>
    <col min="5061" max="5061" width="12" style="39" bestFit="1" customWidth="1"/>
    <col min="5062" max="5062" width="32.6640625" style="39" customWidth="1"/>
    <col min="5063" max="5063" width="12.33203125" style="39" bestFit="1" customWidth="1"/>
    <col min="5064" max="5064" width="9.109375" style="39"/>
    <col min="5065" max="5065" width="10.6640625" style="39" bestFit="1" customWidth="1"/>
    <col min="5066" max="5070" width="9.109375" style="39"/>
    <col min="5071" max="5071" width="10.6640625" style="39" bestFit="1" customWidth="1"/>
    <col min="5072" max="5078" width="9.109375" style="39"/>
    <col min="5079" max="5079" width="13.33203125" style="39" bestFit="1" customWidth="1"/>
    <col min="5080" max="5080" width="32.6640625" style="39" customWidth="1"/>
    <col min="5081" max="5081" width="12.33203125" style="39" bestFit="1" customWidth="1"/>
    <col min="5082" max="5082" width="9.109375" style="39"/>
    <col min="5083" max="5083" width="10.6640625" style="39" bestFit="1" customWidth="1"/>
    <col min="5084" max="5088" width="9.109375" style="39"/>
    <col min="5089" max="5089" width="10.6640625" style="39" bestFit="1" customWidth="1"/>
    <col min="5090" max="5096" width="9.109375" style="39"/>
    <col min="5097" max="5097" width="12" style="39" bestFit="1" customWidth="1"/>
    <col min="5098" max="5138" width="9.109375" style="39"/>
    <col min="5139" max="5139" width="12.33203125" style="39" bestFit="1" customWidth="1"/>
    <col min="5140" max="5140" width="10.109375" style="39" bestFit="1" customWidth="1"/>
    <col min="5141" max="5141" width="10.6640625" style="39" bestFit="1" customWidth="1"/>
    <col min="5142" max="5145" width="9.109375" style="39"/>
    <col min="5146" max="5146" width="9.109375" style="39" bestFit="1" customWidth="1"/>
    <col min="5147" max="5147" width="10.6640625" style="39" bestFit="1" customWidth="1"/>
    <col min="5148" max="5148" width="4.5546875" style="39" bestFit="1" customWidth="1"/>
    <col min="5149" max="5149" width="5.5546875" style="39" bestFit="1" customWidth="1"/>
    <col min="5150" max="5150" width="10.6640625" style="39" bestFit="1" customWidth="1"/>
    <col min="5151" max="5154" width="9.109375" style="39"/>
    <col min="5155" max="5155" width="12" style="39" bestFit="1" customWidth="1"/>
    <col min="5156" max="5156" width="32.6640625" style="39" customWidth="1"/>
    <col min="5157" max="5157" width="12.33203125" style="39" bestFit="1" customWidth="1"/>
    <col min="5158" max="5158" width="9.109375" style="39"/>
    <col min="5159" max="5159" width="10.6640625" style="39" bestFit="1" customWidth="1"/>
    <col min="5160" max="5164" width="9.109375" style="39"/>
    <col min="5165" max="5165" width="10.6640625" style="39" bestFit="1" customWidth="1"/>
    <col min="5166" max="5172" width="9.109375" style="39"/>
    <col min="5173" max="5173" width="12" style="39" bestFit="1" customWidth="1"/>
    <col min="5174" max="5174" width="32.6640625" style="39" customWidth="1"/>
    <col min="5175" max="5175" width="12.33203125" style="39" bestFit="1" customWidth="1"/>
    <col min="5176" max="5176" width="9.109375" style="39"/>
    <col min="5177" max="5177" width="10.6640625" style="39" bestFit="1" customWidth="1"/>
    <col min="5178" max="5182" width="9.109375" style="39"/>
    <col min="5183" max="5183" width="10.6640625" style="39" bestFit="1" customWidth="1"/>
    <col min="5184" max="5190" width="9.109375" style="39"/>
    <col min="5191" max="5191" width="12" style="39" bestFit="1" customWidth="1"/>
    <col min="5192" max="5192" width="32.6640625" style="39" customWidth="1"/>
    <col min="5193" max="5193" width="12.33203125" style="39" bestFit="1" customWidth="1"/>
    <col min="5194" max="5194" width="9.109375" style="39"/>
    <col min="5195" max="5195" width="10.6640625" style="39" bestFit="1" customWidth="1"/>
    <col min="5196" max="5200" width="9.109375" style="39"/>
    <col min="5201" max="5201" width="10.6640625" style="39" bestFit="1" customWidth="1"/>
    <col min="5202" max="5208" width="9.109375" style="39"/>
    <col min="5209" max="5209" width="12" style="39" bestFit="1" customWidth="1"/>
    <col min="5210" max="5210" width="32.6640625" style="39" customWidth="1"/>
    <col min="5211" max="5211" width="12.33203125" style="39" bestFit="1" customWidth="1"/>
    <col min="5212" max="5212" width="9.109375" style="39"/>
    <col min="5213" max="5213" width="10.6640625" style="39" bestFit="1" customWidth="1"/>
    <col min="5214" max="5218" width="9.109375" style="39"/>
    <col min="5219" max="5219" width="10.6640625" style="39" bestFit="1" customWidth="1"/>
    <col min="5220" max="5226" width="9.109375" style="39"/>
    <col min="5227" max="5227" width="12" style="39" bestFit="1" customWidth="1"/>
    <col min="5228" max="5228" width="32.6640625" style="39" customWidth="1"/>
    <col min="5229" max="5229" width="12.33203125" style="39" bestFit="1" customWidth="1"/>
    <col min="5230" max="5230" width="9.109375" style="39"/>
    <col min="5231" max="5231" width="10.6640625" style="39" bestFit="1" customWidth="1"/>
    <col min="5232" max="5236" width="9.109375" style="39"/>
    <col min="5237" max="5237" width="10.6640625" style="39" bestFit="1" customWidth="1"/>
    <col min="5238" max="5244" width="9.109375" style="39"/>
    <col min="5245" max="5245" width="12" style="39" bestFit="1" customWidth="1"/>
    <col min="5246" max="5246" width="32.6640625" style="39" customWidth="1"/>
    <col min="5247" max="5247" width="12.33203125" style="39" bestFit="1" customWidth="1"/>
    <col min="5248" max="5248" width="9.109375" style="39"/>
    <col min="5249" max="5249" width="10.6640625" style="39" bestFit="1" customWidth="1"/>
    <col min="5250" max="5254" width="9.109375" style="39"/>
    <col min="5255" max="5255" width="10.6640625" style="39" bestFit="1" customWidth="1"/>
    <col min="5256" max="5262" width="9.109375" style="39"/>
    <col min="5263" max="5263" width="12" style="39" bestFit="1" customWidth="1"/>
    <col min="5264" max="5264" width="32.6640625" style="39" customWidth="1"/>
    <col min="5265" max="5265" width="12.33203125" style="39" bestFit="1" customWidth="1"/>
    <col min="5266" max="5266" width="9.109375" style="39"/>
    <col min="5267" max="5267" width="10.6640625" style="39" bestFit="1" customWidth="1"/>
    <col min="5268" max="5272" width="9.109375" style="39"/>
    <col min="5273" max="5273" width="10.6640625" style="39" bestFit="1" customWidth="1"/>
    <col min="5274" max="5280" width="9.109375" style="39"/>
    <col min="5281" max="5281" width="12" style="39" bestFit="1" customWidth="1"/>
    <col min="5282" max="5282" width="32.6640625" style="39" customWidth="1"/>
    <col min="5283" max="5283" width="12.33203125" style="39" bestFit="1" customWidth="1"/>
    <col min="5284" max="5284" width="9.109375" style="39"/>
    <col min="5285" max="5285" width="10.6640625" style="39" bestFit="1" customWidth="1"/>
    <col min="5286" max="5290" width="9.109375" style="39"/>
    <col min="5291" max="5291" width="10.6640625" style="39" bestFit="1" customWidth="1"/>
    <col min="5292" max="5298" width="9.109375" style="39"/>
    <col min="5299" max="5299" width="12" style="39" bestFit="1" customWidth="1"/>
    <col min="5300" max="5300" width="32.6640625" style="39" customWidth="1"/>
    <col min="5301" max="5301" width="12.33203125" style="39" bestFit="1" customWidth="1"/>
    <col min="5302" max="5302" width="9.109375" style="39"/>
    <col min="5303" max="5303" width="10.6640625" style="39" bestFit="1" customWidth="1"/>
    <col min="5304" max="5308" width="9.109375" style="39"/>
    <col min="5309" max="5309" width="10.6640625" style="39" bestFit="1" customWidth="1"/>
    <col min="5310" max="5316" width="9.109375" style="39"/>
    <col min="5317" max="5317" width="12" style="39" bestFit="1" customWidth="1"/>
    <col min="5318" max="5318" width="32.6640625" style="39" customWidth="1"/>
    <col min="5319" max="5319" width="12.33203125" style="39" bestFit="1" customWidth="1"/>
    <col min="5320" max="5320" width="9.109375" style="39"/>
    <col min="5321" max="5321" width="10.6640625" style="39" bestFit="1" customWidth="1"/>
    <col min="5322" max="5326" width="9.109375" style="39"/>
    <col min="5327" max="5327" width="10.6640625" style="39" bestFit="1" customWidth="1"/>
    <col min="5328" max="5334" width="9.109375" style="39"/>
    <col min="5335" max="5335" width="13.33203125" style="39" bestFit="1" customWidth="1"/>
    <col min="5336" max="5336" width="32.6640625" style="39" customWidth="1"/>
    <col min="5337" max="5337" width="12.33203125" style="39" bestFit="1" customWidth="1"/>
    <col min="5338" max="5338" width="9.109375" style="39"/>
    <col min="5339" max="5339" width="10.6640625" style="39" bestFit="1" customWidth="1"/>
    <col min="5340" max="5344" width="9.109375" style="39"/>
    <col min="5345" max="5345" width="10.6640625" style="39" bestFit="1" customWidth="1"/>
    <col min="5346" max="5352" width="9.109375" style="39"/>
    <col min="5353" max="5353" width="12" style="39" bestFit="1" customWidth="1"/>
    <col min="5354" max="5394" width="9.109375" style="39"/>
    <col min="5395" max="5395" width="12.33203125" style="39" bestFit="1" customWidth="1"/>
    <col min="5396" max="5396" width="10.109375" style="39" bestFit="1" customWidth="1"/>
    <col min="5397" max="5397" width="10.6640625" style="39" bestFit="1" customWidth="1"/>
    <col min="5398" max="5401" width="9.109375" style="39"/>
    <col min="5402" max="5402" width="9.109375" style="39" bestFit="1" customWidth="1"/>
    <col min="5403" max="5403" width="10.6640625" style="39" bestFit="1" customWidth="1"/>
    <col min="5404" max="5404" width="4.5546875" style="39" bestFit="1" customWidth="1"/>
    <col min="5405" max="5405" width="5.5546875" style="39" bestFit="1" customWidth="1"/>
    <col min="5406" max="5406" width="10.6640625" style="39" bestFit="1" customWidth="1"/>
    <col min="5407" max="5410" width="9.109375" style="39"/>
    <col min="5411" max="5411" width="12" style="39" bestFit="1" customWidth="1"/>
    <col min="5412" max="5412" width="32.6640625" style="39" customWidth="1"/>
    <col min="5413" max="5413" width="12.33203125" style="39" bestFit="1" customWidth="1"/>
    <col min="5414" max="5414" width="9.109375" style="39"/>
    <col min="5415" max="5415" width="10.6640625" style="39" bestFit="1" customWidth="1"/>
    <col min="5416" max="5420" width="9.109375" style="39"/>
    <col min="5421" max="5421" width="10.6640625" style="39" bestFit="1" customWidth="1"/>
    <col min="5422" max="5428" width="9.109375" style="39"/>
    <col min="5429" max="5429" width="12" style="39" bestFit="1" customWidth="1"/>
    <col min="5430" max="5430" width="32.6640625" style="39" customWidth="1"/>
    <col min="5431" max="5431" width="12.33203125" style="39" bestFit="1" customWidth="1"/>
    <col min="5432" max="5432" width="9.109375" style="39"/>
    <col min="5433" max="5433" width="10.6640625" style="39" bestFit="1" customWidth="1"/>
    <col min="5434" max="5438" width="9.109375" style="39"/>
    <col min="5439" max="5439" width="10.6640625" style="39" bestFit="1" customWidth="1"/>
    <col min="5440" max="5446" width="9.109375" style="39"/>
    <col min="5447" max="5447" width="12" style="39" bestFit="1" customWidth="1"/>
    <col min="5448" max="5448" width="32.6640625" style="39" customWidth="1"/>
    <col min="5449" max="5449" width="12.33203125" style="39" bestFit="1" customWidth="1"/>
    <col min="5450" max="5450" width="9.109375" style="39"/>
    <col min="5451" max="5451" width="10.6640625" style="39" bestFit="1" customWidth="1"/>
    <col min="5452" max="5456" width="9.109375" style="39"/>
    <col min="5457" max="5457" width="10.6640625" style="39" bestFit="1" customWidth="1"/>
    <col min="5458" max="5464" width="9.109375" style="39"/>
    <col min="5465" max="5465" width="12" style="39" bestFit="1" customWidth="1"/>
    <col min="5466" max="5466" width="32.6640625" style="39" customWidth="1"/>
    <col min="5467" max="5467" width="12.33203125" style="39" bestFit="1" customWidth="1"/>
    <col min="5468" max="5468" width="9.109375" style="39"/>
    <col min="5469" max="5469" width="10.6640625" style="39" bestFit="1" customWidth="1"/>
    <col min="5470" max="5474" width="9.109375" style="39"/>
    <col min="5475" max="5475" width="10.6640625" style="39" bestFit="1" customWidth="1"/>
    <col min="5476" max="5482" width="9.109375" style="39"/>
    <col min="5483" max="5483" width="12" style="39" bestFit="1" customWidth="1"/>
    <col min="5484" max="5484" width="32.6640625" style="39" customWidth="1"/>
    <col min="5485" max="5485" width="12.33203125" style="39" bestFit="1" customWidth="1"/>
    <col min="5486" max="5486" width="9.109375" style="39"/>
    <col min="5487" max="5487" width="10.6640625" style="39" bestFit="1" customWidth="1"/>
    <col min="5488" max="5492" width="9.109375" style="39"/>
    <col min="5493" max="5493" width="10.6640625" style="39" bestFit="1" customWidth="1"/>
    <col min="5494" max="5500" width="9.109375" style="39"/>
    <col min="5501" max="5501" width="12" style="39" bestFit="1" customWidth="1"/>
    <col min="5502" max="5502" width="32.6640625" style="39" customWidth="1"/>
    <col min="5503" max="5503" width="12.33203125" style="39" bestFit="1" customWidth="1"/>
    <col min="5504" max="5504" width="9.109375" style="39"/>
    <col min="5505" max="5505" width="10.6640625" style="39" bestFit="1" customWidth="1"/>
    <col min="5506" max="5510" width="9.109375" style="39"/>
    <col min="5511" max="5511" width="10.6640625" style="39" bestFit="1" customWidth="1"/>
    <col min="5512" max="5518" width="9.109375" style="39"/>
    <col min="5519" max="5519" width="12" style="39" bestFit="1" customWidth="1"/>
    <col min="5520" max="5520" width="32.6640625" style="39" customWidth="1"/>
    <col min="5521" max="5521" width="12.33203125" style="39" bestFit="1" customWidth="1"/>
    <col min="5522" max="5522" width="9.109375" style="39"/>
    <col min="5523" max="5523" width="10.6640625" style="39" bestFit="1" customWidth="1"/>
    <col min="5524" max="5528" width="9.109375" style="39"/>
    <col min="5529" max="5529" width="10.6640625" style="39" bestFit="1" customWidth="1"/>
    <col min="5530" max="5536" width="9.109375" style="39"/>
    <col min="5537" max="5537" width="12" style="39" bestFit="1" customWidth="1"/>
    <col min="5538" max="5538" width="32.6640625" style="39" customWidth="1"/>
    <col min="5539" max="5539" width="12.33203125" style="39" bestFit="1" customWidth="1"/>
    <col min="5540" max="5540" width="9.109375" style="39"/>
    <col min="5541" max="5541" width="10.6640625" style="39" bestFit="1" customWidth="1"/>
    <col min="5542" max="5546" width="9.109375" style="39"/>
    <col min="5547" max="5547" width="10.6640625" style="39" bestFit="1" customWidth="1"/>
    <col min="5548" max="5554" width="9.109375" style="39"/>
    <col min="5555" max="5555" width="12" style="39" bestFit="1" customWidth="1"/>
    <col min="5556" max="5556" width="32.6640625" style="39" customWidth="1"/>
    <col min="5557" max="5557" width="12.33203125" style="39" bestFit="1" customWidth="1"/>
    <col min="5558" max="5558" width="9.109375" style="39"/>
    <col min="5559" max="5559" width="10.6640625" style="39" bestFit="1" customWidth="1"/>
    <col min="5560" max="5564" width="9.109375" style="39"/>
    <col min="5565" max="5565" width="10.6640625" style="39" bestFit="1" customWidth="1"/>
    <col min="5566" max="5572" width="9.109375" style="39"/>
    <col min="5573" max="5573" width="12" style="39" bestFit="1" customWidth="1"/>
    <col min="5574" max="5574" width="32.6640625" style="39" customWidth="1"/>
    <col min="5575" max="5575" width="12.33203125" style="39" bestFit="1" customWidth="1"/>
    <col min="5576" max="5576" width="9.109375" style="39"/>
    <col min="5577" max="5577" width="10.6640625" style="39" bestFit="1" customWidth="1"/>
    <col min="5578" max="5582" width="9.109375" style="39"/>
    <col min="5583" max="5583" width="10.6640625" style="39" bestFit="1" customWidth="1"/>
    <col min="5584" max="5590" width="9.109375" style="39"/>
    <col min="5591" max="5591" width="13.33203125" style="39" bestFit="1" customWidth="1"/>
    <col min="5592" max="5592" width="32.6640625" style="39" customWidth="1"/>
    <col min="5593" max="5593" width="12.33203125" style="39" bestFit="1" customWidth="1"/>
    <col min="5594" max="5594" width="9.109375" style="39"/>
    <col min="5595" max="5595" width="10.6640625" style="39" bestFit="1" customWidth="1"/>
    <col min="5596" max="5600" width="9.109375" style="39"/>
    <col min="5601" max="5601" width="10.6640625" style="39" bestFit="1" customWidth="1"/>
    <col min="5602" max="5608" width="9.109375" style="39"/>
    <col min="5609" max="5609" width="12" style="39" bestFit="1" customWidth="1"/>
    <col min="5610" max="5650" width="9.109375" style="39"/>
    <col min="5651" max="5651" width="12.33203125" style="39" bestFit="1" customWidth="1"/>
    <col min="5652" max="5652" width="10.109375" style="39" bestFit="1" customWidth="1"/>
    <col min="5653" max="5653" width="10.6640625" style="39" bestFit="1" customWidth="1"/>
    <col min="5654" max="5657" width="9.109375" style="39"/>
    <col min="5658" max="5658" width="9.109375" style="39" bestFit="1" customWidth="1"/>
    <col min="5659" max="5659" width="10.6640625" style="39" bestFit="1" customWidth="1"/>
    <col min="5660" max="5660" width="4.5546875" style="39" bestFit="1" customWidth="1"/>
    <col min="5661" max="5661" width="5.5546875" style="39" bestFit="1" customWidth="1"/>
    <col min="5662" max="5662" width="10.6640625" style="39" bestFit="1" customWidth="1"/>
    <col min="5663" max="5666" width="9.109375" style="39"/>
    <col min="5667" max="5667" width="12" style="39" bestFit="1" customWidth="1"/>
    <col min="5668" max="5668" width="32.6640625" style="39" customWidth="1"/>
    <col min="5669" max="5669" width="12.33203125" style="39" bestFit="1" customWidth="1"/>
    <col min="5670" max="5670" width="9.109375" style="39"/>
    <col min="5671" max="5671" width="10.6640625" style="39" bestFit="1" customWidth="1"/>
    <col min="5672" max="5676" width="9.109375" style="39"/>
    <col min="5677" max="5677" width="10.6640625" style="39" bestFit="1" customWidth="1"/>
    <col min="5678" max="5684" width="9.109375" style="39"/>
    <col min="5685" max="5685" width="12" style="39" bestFit="1" customWidth="1"/>
    <col min="5686" max="5686" width="32.6640625" style="39" customWidth="1"/>
    <col min="5687" max="5687" width="12.33203125" style="39" bestFit="1" customWidth="1"/>
    <col min="5688" max="5688" width="9.109375" style="39"/>
    <col min="5689" max="5689" width="10.6640625" style="39" bestFit="1" customWidth="1"/>
    <col min="5690" max="5694" width="9.109375" style="39"/>
    <col min="5695" max="5695" width="10.6640625" style="39" bestFit="1" customWidth="1"/>
    <col min="5696" max="5702" width="9.109375" style="39"/>
    <col min="5703" max="5703" width="12" style="39" bestFit="1" customWidth="1"/>
    <col min="5704" max="5704" width="32.6640625" style="39" customWidth="1"/>
    <col min="5705" max="5705" width="12.33203125" style="39" bestFit="1" customWidth="1"/>
    <col min="5706" max="5706" width="9.109375" style="39"/>
    <col min="5707" max="5707" width="10.6640625" style="39" bestFit="1" customWidth="1"/>
    <col min="5708" max="5712" width="9.109375" style="39"/>
    <col min="5713" max="5713" width="10.6640625" style="39" bestFit="1" customWidth="1"/>
    <col min="5714" max="5720" width="9.109375" style="39"/>
    <col min="5721" max="5721" width="12" style="39" bestFit="1" customWidth="1"/>
    <col min="5722" max="5722" width="32.6640625" style="39" customWidth="1"/>
    <col min="5723" max="5723" width="12.33203125" style="39" bestFit="1" customWidth="1"/>
    <col min="5724" max="5724" width="9.109375" style="39"/>
    <col min="5725" max="5725" width="10.6640625" style="39" bestFit="1" customWidth="1"/>
    <col min="5726" max="5730" width="9.109375" style="39"/>
    <col min="5731" max="5731" width="10.6640625" style="39" bestFit="1" customWidth="1"/>
    <col min="5732" max="5738" width="9.109375" style="39"/>
    <col min="5739" max="5739" width="12" style="39" bestFit="1" customWidth="1"/>
    <col min="5740" max="5740" width="32.6640625" style="39" customWidth="1"/>
    <col min="5741" max="5741" width="12.33203125" style="39" bestFit="1" customWidth="1"/>
    <col min="5742" max="5742" width="9.109375" style="39"/>
    <col min="5743" max="5743" width="10.6640625" style="39" bestFit="1" customWidth="1"/>
    <col min="5744" max="5748" width="9.109375" style="39"/>
    <col min="5749" max="5749" width="10.6640625" style="39" bestFit="1" customWidth="1"/>
    <col min="5750" max="5756" width="9.109375" style="39"/>
    <col min="5757" max="5757" width="12" style="39" bestFit="1" customWidth="1"/>
    <col min="5758" max="5758" width="32.6640625" style="39" customWidth="1"/>
    <col min="5759" max="5759" width="12.33203125" style="39" bestFit="1" customWidth="1"/>
    <col min="5760" max="5760" width="9.109375" style="39"/>
    <col min="5761" max="5761" width="10.6640625" style="39" bestFit="1" customWidth="1"/>
    <col min="5762" max="5766" width="9.109375" style="39"/>
    <col min="5767" max="5767" width="10.6640625" style="39" bestFit="1" customWidth="1"/>
    <col min="5768" max="5774" width="9.109375" style="39"/>
    <col min="5775" max="5775" width="12" style="39" bestFit="1" customWidth="1"/>
    <col min="5776" max="5776" width="32.6640625" style="39" customWidth="1"/>
    <col min="5777" max="5777" width="12.33203125" style="39" bestFit="1" customWidth="1"/>
    <col min="5778" max="5778" width="9.109375" style="39"/>
    <col min="5779" max="5779" width="10.6640625" style="39" bestFit="1" customWidth="1"/>
    <col min="5780" max="5784" width="9.109375" style="39"/>
    <col min="5785" max="5785" width="10.6640625" style="39" bestFit="1" customWidth="1"/>
    <col min="5786" max="5792" width="9.109375" style="39"/>
    <col min="5793" max="5793" width="12" style="39" bestFit="1" customWidth="1"/>
    <col min="5794" max="5794" width="32.6640625" style="39" customWidth="1"/>
    <col min="5795" max="5795" width="12.33203125" style="39" bestFit="1" customWidth="1"/>
    <col min="5796" max="5796" width="9.109375" style="39"/>
    <col min="5797" max="5797" width="10.6640625" style="39" bestFit="1" customWidth="1"/>
    <col min="5798" max="5802" width="9.109375" style="39"/>
    <col min="5803" max="5803" width="10.6640625" style="39" bestFit="1" customWidth="1"/>
    <col min="5804" max="5810" width="9.109375" style="39"/>
    <col min="5811" max="5811" width="12" style="39" bestFit="1" customWidth="1"/>
    <col min="5812" max="5812" width="32.6640625" style="39" customWidth="1"/>
    <col min="5813" max="5813" width="12.33203125" style="39" bestFit="1" customWidth="1"/>
    <col min="5814" max="5814" width="9.109375" style="39"/>
    <col min="5815" max="5815" width="10.6640625" style="39" bestFit="1" customWidth="1"/>
    <col min="5816" max="5820" width="9.109375" style="39"/>
    <col min="5821" max="5821" width="10.6640625" style="39" bestFit="1" customWidth="1"/>
    <col min="5822" max="5828" width="9.109375" style="39"/>
    <col min="5829" max="5829" width="12" style="39" bestFit="1" customWidth="1"/>
    <col min="5830" max="5830" width="32.6640625" style="39" customWidth="1"/>
    <col min="5831" max="5831" width="12.33203125" style="39" bestFit="1" customWidth="1"/>
    <col min="5832" max="5832" width="9.109375" style="39"/>
    <col min="5833" max="5833" width="10.6640625" style="39" bestFit="1" customWidth="1"/>
    <col min="5834" max="5838" width="9.109375" style="39"/>
    <col min="5839" max="5839" width="10.6640625" style="39" bestFit="1" customWidth="1"/>
    <col min="5840" max="5846" width="9.109375" style="39"/>
    <col min="5847" max="5847" width="13.33203125" style="39" bestFit="1" customWidth="1"/>
    <col min="5848" max="5848" width="32.6640625" style="39" customWidth="1"/>
    <col min="5849" max="5849" width="12.33203125" style="39" bestFit="1" customWidth="1"/>
    <col min="5850" max="5850" width="9.109375" style="39"/>
    <col min="5851" max="5851" width="10.6640625" style="39" bestFit="1" customWidth="1"/>
    <col min="5852" max="5856" width="9.109375" style="39"/>
    <col min="5857" max="5857" width="10.6640625" style="39" bestFit="1" customWidth="1"/>
    <col min="5858" max="5864" width="9.109375" style="39"/>
    <col min="5865" max="5865" width="12" style="39" bestFit="1" customWidth="1"/>
    <col min="5866" max="5906" width="9.109375" style="39"/>
    <col min="5907" max="5907" width="12.33203125" style="39" bestFit="1" customWidth="1"/>
    <col min="5908" max="5908" width="10.109375" style="39" bestFit="1" customWidth="1"/>
    <col min="5909" max="5909" width="10.6640625" style="39" bestFit="1" customWidth="1"/>
    <col min="5910" max="5913" width="9.109375" style="39"/>
    <col min="5914" max="5914" width="9.109375" style="39" bestFit="1" customWidth="1"/>
    <col min="5915" max="5915" width="10.6640625" style="39" bestFit="1" customWidth="1"/>
    <col min="5916" max="5916" width="4.5546875" style="39" bestFit="1" customWidth="1"/>
    <col min="5917" max="5917" width="5.5546875" style="39" bestFit="1" customWidth="1"/>
    <col min="5918" max="5918" width="10.6640625" style="39" bestFit="1" customWidth="1"/>
    <col min="5919" max="5922" width="9.109375" style="39"/>
    <col min="5923" max="5923" width="12" style="39" bestFit="1" customWidth="1"/>
    <col min="5924" max="5924" width="32.6640625" style="39" customWidth="1"/>
    <col min="5925" max="5925" width="12.33203125" style="39" bestFit="1" customWidth="1"/>
    <col min="5926" max="5926" width="9.109375" style="39"/>
    <col min="5927" max="5927" width="10.6640625" style="39" bestFit="1" customWidth="1"/>
    <col min="5928" max="5932" width="9.109375" style="39"/>
    <col min="5933" max="5933" width="10.6640625" style="39" bestFit="1" customWidth="1"/>
    <col min="5934" max="5940" width="9.109375" style="39"/>
    <col min="5941" max="5941" width="12" style="39" bestFit="1" customWidth="1"/>
    <col min="5942" max="5942" width="32.6640625" style="39" customWidth="1"/>
    <col min="5943" max="5943" width="12.33203125" style="39" bestFit="1" customWidth="1"/>
    <col min="5944" max="5944" width="9.109375" style="39"/>
    <col min="5945" max="5945" width="10.6640625" style="39" bestFit="1" customWidth="1"/>
    <col min="5946" max="5950" width="9.109375" style="39"/>
    <col min="5951" max="5951" width="10.6640625" style="39" bestFit="1" customWidth="1"/>
    <col min="5952" max="5958" width="9.109375" style="39"/>
    <col min="5959" max="5959" width="12" style="39" bestFit="1" customWidth="1"/>
    <col min="5960" max="5960" width="32.6640625" style="39" customWidth="1"/>
    <col min="5961" max="5961" width="12.33203125" style="39" bestFit="1" customWidth="1"/>
    <col min="5962" max="5962" width="9.109375" style="39"/>
    <col min="5963" max="5963" width="10.6640625" style="39" bestFit="1" customWidth="1"/>
    <col min="5964" max="5968" width="9.109375" style="39"/>
    <col min="5969" max="5969" width="10.6640625" style="39" bestFit="1" customWidth="1"/>
    <col min="5970" max="5976" width="9.109375" style="39"/>
    <col min="5977" max="5977" width="12" style="39" bestFit="1" customWidth="1"/>
    <col min="5978" max="5978" width="32.6640625" style="39" customWidth="1"/>
    <col min="5979" max="5979" width="12.33203125" style="39" bestFit="1" customWidth="1"/>
    <col min="5980" max="5980" width="9.109375" style="39"/>
    <col min="5981" max="5981" width="10.6640625" style="39" bestFit="1" customWidth="1"/>
    <col min="5982" max="5986" width="9.109375" style="39"/>
    <col min="5987" max="5987" width="10.6640625" style="39" bestFit="1" customWidth="1"/>
    <col min="5988" max="5994" width="9.109375" style="39"/>
    <col min="5995" max="5995" width="12" style="39" bestFit="1" customWidth="1"/>
    <col min="5996" max="5996" width="32.6640625" style="39" customWidth="1"/>
    <col min="5997" max="5997" width="12.33203125" style="39" bestFit="1" customWidth="1"/>
    <col min="5998" max="5998" width="9.109375" style="39"/>
    <col min="5999" max="5999" width="10.6640625" style="39" bestFit="1" customWidth="1"/>
    <col min="6000" max="6004" width="9.109375" style="39"/>
    <col min="6005" max="6005" width="10.6640625" style="39" bestFit="1" customWidth="1"/>
    <col min="6006" max="6012" width="9.109375" style="39"/>
    <col min="6013" max="6013" width="12" style="39" bestFit="1" customWidth="1"/>
    <col min="6014" max="6014" width="32.6640625" style="39" customWidth="1"/>
    <col min="6015" max="6015" width="12.33203125" style="39" bestFit="1" customWidth="1"/>
    <col min="6016" max="6016" width="9.109375" style="39"/>
    <col min="6017" max="6017" width="10.6640625" style="39" bestFit="1" customWidth="1"/>
    <col min="6018" max="6022" width="9.109375" style="39"/>
    <col min="6023" max="6023" width="10.6640625" style="39" bestFit="1" customWidth="1"/>
    <col min="6024" max="6030" width="9.109375" style="39"/>
    <col min="6031" max="6031" width="12" style="39" bestFit="1" customWidth="1"/>
    <col min="6032" max="6032" width="32.6640625" style="39" customWidth="1"/>
    <col min="6033" max="6033" width="12.33203125" style="39" bestFit="1" customWidth="1"/>
    <col min="6034" max="6034" width="9.109375" style="39"/>
    <col min="6035" max="6035" width="10.6640625" style="39" bestFit="1" customWidth="1"/>
    <col min="6036" max="6040" width="9.109375" style="39"/>
    <col min="6041" max="6041" width="10.6640625" style="39" bestFit="1" customWidth="1"/>
    <col min="6042" max="6048" width="9.109375" style="39"/>
    <col min="6049" max="6049" width="12" style="39" bestFit="1" customWidth="1"/>
    <col min="6050" max="6050" width="32.6640625" style="39" customWidth="1"/>
    <col min="6051" max="6051" width="12.33203125" style="39" bestFit="1" customWidth="1"/>
    <col min="6052" max="6052" width="9.109375" style="39"/>
    <col min="6053" max="6053" width="10.6640625" style="39" bestFit="1" customWidth="1"/>
    <col min="6054" max="6058" width="9.109375" style="39"/>
    <col min="6059" max="6059" width="10.6640625" style="39" bestFit="1" customWidth="1"/>
    <col min="6060" max="6066" width="9.109375" style="39"/>
    <col min="6067" max="6067" width="12" style="39" bestFit="1" customWidth="1"/>
    <col min="6068" max="6068" width="32.6640625" style="39" customWidth="1"/>
    <col min="6069" max="6069" width="12.33203125" style="39" bestFit="1" customWidth="1"/>
    <col min="6070" max="6070" width="9.109375" style="39"/>
    <col min="6071" max="6071" width="10.6640625" style="39" bestFit="1" customWidth="1"/>
    <col min="6072" max="6076" width="9.109375" style="39"/>
    <col min="6077" max="6077" width="10.6640625" style="39" bestFit="1" customWidth="1"/>
    <col min="6078" max="6084" width="9.109375" style="39"/>
    <col min="6085" max="6085" width="12" style="39" bestFit="1" customWidth="1"/>
    <col min="6086" max="6086" width="32.6640625" style="39" customWidth="1"/>
    <col min="6087" max="6087" width="12.33203125" style="39" bestFit="1" customWidth="1"/>
    <col min="6088" max="6088" width="9.109375" style="39"/>
    <col min="6089" max="6089" width="10.6640625" style="39" bestFit="1" customWidth="1"/>
    <col min="6090" max="6094" width="9.109375" style="39"/>
    <col min="6095" max="6095" width="10.6640625" style="39" bestFit="1" customWidth="1"/>
    <col min="6096" max="6102" width="9.109375" style="39"/>
    <col min="6103" max="6103" width="13.33203125" style="39" bestFit="1" customWidth="1"/>
    <col min="6104" max="6104" width="32.6640625" style="39" customWidth="1"/>
    <col min="6105" max="6105" width="12.33203125" style="39" bestFit="1" customWidth="1"/>
    <col min="6106" max="6106" width="9.109375" style="39"/>
    <col min="6107" max="6107" width="10.6640625" style="39" bestFit="1" customWidth="1"/>
    <col min="6108" max="6112" width="9.109375" style="39"/>
    <col min="6113" max="6113" width="10.6640625" style="39" bestFit="1" customWidth="1"/>
    <col min="6114" max="6120" width="9.109375" style="39"/>
    <col min="6121" max="6121" width="12" style="39" bestFit="1" customWidth="1"/>
    <col min="6122" max="6162" width="9.109375" style="39"/>
    <col min="6163" max="6163" width="12.33203125" style="39" bestFit="1" customWidth="1"/>
    <col min="6164" max="6164" width="10.109375" style="39" bestFit="1" customWidth="1"/>
    <col min="6165" max="6165" width="10.6640625" style="39" bestFit="1" customWidth="1"/>
    <col min="6166" max="6169" width="9.109375" style="39"/>
    <col min="6170" max="6170" width="9.109375" style="39" bestFit="1" customWidth="1"/>
    <col min="6171" max="6171" width="10.6640625" style="39" bestFit="1" customWidth="1"/>
    <col min="6172" max="6172" width="4.5546875" style="39" bestFit="1" customWidth="1"/>
    <col min="6173" max="6173" width="5.5546875" style="39" bestFit="1" customWidth="1"/>
    <col min="6174" max="6174" width="10.6640625" style="39" bestFit="1" customWidth="1"/>
    <col min="6175" max="6178" width="9.109375" style="39"/>
    <col min="6179" max="6179" width="12" style="39" bestFit="1" customWidth="1"/>
    <col min="6180" max="6180" width="32.6640625" style="39" customWidth="1"/>
    <col min="6181" max="6181" width="12.33203125" style="39" bestFit="1" customWidth="1"/>
    <col min="6182" max="6182" width="9.109375" style="39"/>
    <col min="6183" max="6183" width="10.6640625" style="39" bestFit="1" customWidth="1"/>
    <col min="6184" max="6188" width="9.109375" style="39"/>
    <col min="6189" max="6189" width="10.6640625" style="39" bestFit="1" customWidth="1"/>
    <col min="6190" max="6196" width="9.109375" style="39"/>
    <col min="6197" max="6197" width="12" style="39" bestFit="1" customWidth="1"/>
    <col min="6198" max="6198" width="32.6640625" style="39" customWidth="1"/>
    <col min="6199" max="6199" width="12.33203125" style="39" bestFit="1" customWidth="1"/>
    <col min="6200" max="6200" width="9.109375" style="39"/>
    <col min="6201" max="6201" width="10.6640625" style="39" bestFit="1" customWidth="1"/>
    <col min="6202" max="6206" width="9.109375" style="39"/>
    <col min="6207" max="6207" width="10.6640625" style="39" bestFit="1" customWidth="1"/>
    <col min="6208" max="6214" width="9.109375" style="39"/>
    <col min="6215" max="6215" width="12" style="39" bestFit="1" customWidth="1"/>
    <col min="6216" max="6216" width="32.6640625" style="39" customWidth="1"/>
    <col min="6217" max="6217" width="12.33203125" style="39" bestFit="1" customWidth="1"/>
    <col min="6218" max="6218" width="9.109375" style="39"/>
    <col min="6219" max="6219" width="10.6640625" style="39" bestFit="1" customWidth="1"/>
    <col min="6220" max="6224" width="9.109375" style="39"/>
    <col min="6225" max="6225" width="10.6640625" style="39" bestFit="1" customWidth="1"/>
    <col min="6226" max="6232" width="9.109375" style="39"/>
    <col min="6233" max="6233" width="12" style="39" bestFit="1" customWidth="1"/>
    <col min="6234" max="6234" width="32.6640625" style="39" customWidth="1"/>
    <col min="6235" max="6235" width="12.33203125" style="39" bestFit="1" customWidth="1"/>
    <col min="6236" max="6236" width="9.109375" style="39"/>
    <col min="6237" max="6237" width="10.6640625" style="39" bestFit="1" customWidth="1"/>
    <col min="6238" max="6242" width="9.109375" style="39"/>
    <col min="6243" max="6243" width="10.6640625" style="39" bestFit="1" customWidth="1"/>
    <col min="6244" max="6250" width="9.109375" style="39"/>
    <col min="6251" max="6251" width="12" style="39" bestFit="1" customWidth="1"/>
    <col min="6252" max="6252" width="32.6640625" style="39" customWidth="1"/>
    <col min="6253" max="6253" width="12.33203125" style="39" bestFit="1" customWidth="1"/>
    <col min="6254" max="6254" width="9.109375" style="39"/>
    <col min="6255" max="6255" width="10.6640625" style="39" bestFit="1" customWidth="1"/>
    <col min="6256" max="6260" width="9.109375" style="39"/>
    <col min="6261" max="6261" width="10.6640625" style="39" bestFit="1" customWidth="1"/>
    <col min="6262" max="6268" width="9.109375" style="39"/>
    <col min="6269" max="6269" width="12" style="39" bestFit="1" customWidth="1"/>
    <col min="6270" max="6270" width="32.6640625" style="39" customWidth="1"/>
    <col min="6271" max="6271" width="12.33203125" style="39" bestFit="1" customWidth="1"/>
    <col min="6272" max="6272" width="9.109375" style="39"/>
    <col min="6273" max="6273" width="10.6640625" style="39" bestFit="1" customWidth="1"/>
    <col min="6274" max="6278" width="9.109375" style="39"/>
    <col min="6279" max="6279" width="10.6640625" style="39" bestFit="1" customWidth="1"/>
    <col min="6280" max="6286" width="9.109375" style="39"/>
    <col min="6287" max="6287" width="12" style="39" bestFit="1" customWidth="1"/>
    <col min="6288" max="6288" width="32.6640625" style="39" customWidth="1"/>
    <col min="6289" max="6289" width="12.33203125" style="39" bestFit="1" customWidth="1"/>
    <col min="6290" max="6290" width="9.109375" style="39"/>
    <col min="6291" max="6291" width="10.6640625" style="39" bestFit="1" customWidth="1"/>
    <col min="6292" max="6296" width="9.109375" style="39"/>
    <col min="6297" max="6297" width="10.6640625" style="39" bestFit="1" customWidth="1"/>
    <col min="6298" max="6304" width="9.109375" style="39"/>
    <col min="6305" max="6305" width="12" style="39" bestFit="1" customWidth="1"/>
    <col min="6306" max="6306" width="32.6640625" style="39" customWidth="1"/>
    <col min="6307" max="6307" width="12.33203125" style="39" bestFit="1" customWidth="1"/>
    <col min="6308" max="6308" width="9.109375" style="39"/>
    <col min="6309" max="6309" width="10.6640625" style="39" bestFit="1" customWidth="1"/>
    <col min="6310" max="6314" width="9.109375" style="39"/>
    <col min="6315" max="6315" width="10.6640625" style="39" bestFit="1" customWidth="1"/>
    <col min="6316" max="6322" width="9.109375" style="39"/>
    <col min="6323" max="6323" width="12" style="39" bestFit="1" customWidth="1"/>
    <col min="6324" max="6324" width="32.6640625" style="39" customWidth="1"/>
    <col min="6325" max="6325" width="12.33203125" style="39" bestFit="1" customWidth="1"/>
    <col min="6326" max="6326" width="9.109375" style="39"/>
    <col min="6327" max="6327" width="10.6640625" style="39" bestFit="1" customWidth="1"/>
    <col min="6328" max="6332" width="9.109375" style="39"/>
    <col min="6333" max="6333" width="10.6640625" style="39" bestFit="1" customWidth="1"/>
    <col min="6334" max="6340" width="9.109375" style="39"/>
    <col min="6341" max="6341" width="12" style="39" bestFit="1" customWidth="1"/>
    <col min="6342" max="6342" width="32.6640625" style="39" customWidth="1"/>
    <col min="6343" max="6343" width="12.33203125" style="39" bestFit="1" customWidth="1"/>
    <col min="6344" max="6344" width="9.109375" style="39"/>
    <col min="6345" max="6345" width="10.6640625" style="39" bestFit="1" customWidth="1"/>
    <col min="6346" max="6350" width="9.109375" style="39"/>
    <col min="6351" max="6351" width="10.6640625" style="39" bestFit="1" customWidth="1"/>
    <col min="6352" max="6358" width="9.109375" style="39"/>
    <col min="6359" max="6359" width="13.33203125" style="39" bestFit="1" customWidth="1"/>
    <col min="6360" max="6360" width="32.6640625" style="39" customWidth="1"/>
    <col min="6361" max="6361" width="12.33203125" style="39" bestFit="1" customWidth="1"/>
    <col min="6362" max="6362" width="9.109375" style="39"/>
    <col min="6363" max="6363" width="10.6640625" style="39" bestFit="1" customWidth="1"/>
    <col min="6364" max="6368" width="9.109375" style="39"/>
    <col min="6369" max="6369" width="10.6640625" style="39" bestFit="1" customWidth="1"/>
    <col min="6370" max="6376" width="9.109375" style="39"/>
    <col min="6377" max="6377" width="12" style="39" bestFit="1" customWidth="1"/>
    <col min="6378" max="6418" width="9.109375" style="39"/>
    <col min="6419" max="6419" width="12.33203125" style="39" bestFit="1" customWidth="1"/>
    <col min="6420" max="6420" width="10.109375" style="39" bestFit="1" customWidth="1"/>
    <col min="6421" max="6421" width="10.6640625" style="39" bestFit="1" customWidth="1"/>
    <col min="6422" max="6425" width="9.109375" style="39"/>
    <col min="6426" max="6426" width="9.109375" style="39" bestFit="1" customWidth="1"/>
    <col min="6427" max="6427" width="10.6640625" style="39" bestFit="1" customWidth="1"/>
    <col min="6428" max="6428" width="4.5546875" style="39" bestFit="1" customWidth="1"/>
    <col min="6429" max="6429" width="5.5546875" style="39" bestFit="1" customWidth="1"/>
    <col min="6430" max="6430" width="10.6640625" style="39" bestFit="1" customWidth="1"/>
    <col min="6431" max="6434" width="9.109375" style="39"/>
    <col min="6435" max="6435" width="12" style="39" bestFit="1" customWidth="1"/>
    <col min="6436" max="6436" width="32.6640625" style="39" customWidth="1"/>
    <col min="6437" max="6437" width="12.33203125" style="39" bestFit="1" customWidth="1"/>
    <col min="6438" max="6438" width="9.109375" style="39"/>
    <col min="6439" max="6439" width="10.6640625" style="39" bestFit="1" customWidth="1"/>
    <col min="6440" max="6444" width="9.109375" style="39"/>
    <col min="6445" max="6445" width="10.6640625" style="39" bestFit="1" customWidth="1"/>
    <col min="6446" max="6452" width="9.109375" style="39"/>
    <col min="6453" max="6453" width="12" style="39" bestFit="1" customWidth="1"/>
    <col min="6454" max="6454" width="32.6640625" style="39" customWidth="1"/>
    <col min="6455" max="6455" width="12.33203125" style="39" bestFit="1" customWidth="1"/>
    <col min="6456" max="6456" width="9.109375" style="39"/>
    <col min="6457" max="6457" width="10.6640625" style="39" bestFit="1" customWidth="1"/>
    <col min="6458" max="6462" width="9.109375" style="39"/>
    <col min="6463" max="6463" width="10.6640625" style="39" bestFit="1" customWidth="1"/>
    <col min="6464" max="6470" width="9.109375" style="39"/>
    <col min="6471" max="6471" width="12" style="39" bestFit="1" customWidth="1"/>
    <col min="6472" max="6472" width="32.6640625" style="39" customWidth="1"/>
    <col min="6473" max="6473" width="12.33203125" style="39" bestFit="1" customWidth="1"/>
    <col min="6474" max="6474" width="9.109375" style="39"/>
    <col min="6475" max="6475" width="10.6640625" style="39" bestFit="1" customWidth="1"/>
    <col min="6476" max="6480" width="9.109375" style="39"/>
    <col min="6481" max="6481" width="10.6640625" style="39" bestFit="1" customWidth="1"/>
    <col min="6482" max="6488" width="9.109375" style="39"/>
    <col min="6489" max="6489" width="12" style="39" bestFit="1" customWidth="1"/>
    <col min="6490" max="6490" width="32.6640625" style="39" customWidth="1"/>
    <col min="6491" max="6491" width="12.33203125" style="39" bestFit="1" customWidth="1"/>
    <col min="6492" max="6492" width="9.109375" style="39"/>
    <col min="6493" max="6493" width="10.6640625" style="39" bestFit="1" customWidth="1"/>
    <col min="6494" max="6498" width="9.109375" style="39"/>
    <col min="6499" max="6499" width="10.6640625" style="39" bestFit="1" customWidth="1"/>
    <col min="6500" max="6506" width="9.109375" style="39"/>
    <col min="6507" max="6507" width="12" style="39" bestFit="1" customWidth="1"/>
    <col min="6508" max="6508" width="32.6640625" style="39" customWidth="1"/>
    <col min="6509" max="6509" width="12.33203125" style="39" bestFit="1" customWidth="1"/>
    <col min="6510" max="6510" width="9.109375" style="39"/>
    <col min="6511" max="6511" width="10.6640625" style="39" bestFit="1" customWidth="1"/>
    <col min="6512" max="6516" width="9.109375" style="39"/>
    <col min="6517" max="6517" width="10.6640625" style="39" bestFit="1" customWidth="1"/>
    <col min="6518" max="6524" width="9.109375" style="39"/>
    <col min="6525" max="6525" width="12" style="39" bestFit="1" customWidth="1"/>
    <col min="6526" max="6526" width="32.6640625" style="39" customWidth="1"/>
    <col min="6527" max="6527" width="12.33203125" style="39" bestFit="1" customWidth="1"/>
    <col min="6528" max="6528" width="9.109375" style="39"/>
    <col min="6529" max="6529" width="10.6640625" style="39" bestFit="1" customWidth="1"/>
    <col min="6530" max="6534" width="9.109375" style="39"/>
    <col min="6535" max="6535" width="10.6640625" style="39" bestFit="1" customWidth="1"/>
    <col min="6536" max="6542" width="9.109375" style="39"/>
    <col min="6543" max="6543" width="12" style="39" bestFit="1" customWidth="1"/>
    <col min="6544" max="6544" width="32.6640625" style="39" customWidth="1"/>
    <col min="6545" max="6545" width="12.33203125" style="39" bestFit="1" customWidth="1"/>
    <col min="6546" max="6546" width="9.109375" style="39"/>
    <col min="6547" max="6547" width="10.6640625" style="39" bestFit="1" customWidth="1"/>
    <col min="6548" max="6552" width="9.109375" style="39"/>
    <col min="6553" max="6553" width="10.6640625" style="39" bestFit="1" customWidth="1"/>
    <col min="6554" max="6560" width="9.109375" style="39"/>
    <col min="6561" max="6561" width="12" style="39" bestFit="1" customWidth="1"/>
    <col min="6562" max="6562" width="32.6640625" style="39" customWidth="1"/>
    <col min="6563" max="6563" width="12.33203125" style="39" bestFit="1" customWidth="1"/>
    <col min="6564" max="6564" width="9.109375" style="39"/>
    <col min="6565" max="6565" width="10.6640625" style="39" bestFit="1" customWidth="1"/>
    <col min="6566" max="6570" width="9.109375" style="39"/>
    <col min="6571" max="6571" width="10.6640625" style="39" bestFit="1" customWidth="1"/>
    <col min="6572" max="6578" width="9.109375" style="39"/>
    <col min="6579" max="6579" width="12" style="39" bestFit="1" customWidth="1"/>
    <col min="6580" max="6580" width="32.6640625" style="39" customWidth="1"/>
    <col min="6581" max="6581" width="12.33203125" style="39" bestFit="1" customWidth="1"/>
    <col min="6582" max="6582" width="9.109375" style="39"/>
    <col min="6583" max="6583" width="10.6640625" style="39" bestFit="1" customWidth="1"/>
    <col min="6584" max="6588" width="9.109375" style="39"/>
    <col min="6589" max="6589" width="10.6640625" style="39" bestFit="1" customWidth="1"/>
    <col min="6590" max="6596" width="9.109375" style="39"/>
    <col min="6597" max="6597" width="12" style="39" bestFit="1" customWidth="1"/>
    <col min="6598" max="6598" width="32.6640625" style="39" customWidth="1"/>
    <col min="6599" max="6599" width="12.33203125" style="39" bestFit="1" customWidth="1"/>
    <col min="6600" max="6600" width="9.109375" style="39"/>
    <col min="6601" max="6601" width="10.6640625" style="39" bestFit="1" customWidth="1"/>
    <col min="6602" max="6606" width="9.109375" style="39"/>
    <col min="6607" max="6607" width="10.6640625" style="39" bestFit="1" customWidth="1"/>
    <col min="6608" max="6614" width="9.109375" style="39"/>
    <col min="6615" max="6615" width="13.33203125" style="39" bestFit="1" customWidth="1"/>
    <col min="6616" max="6616" width="32.6640625" style="39" customWidth="1"/>
    <col min="6617" max="6617" width="12.33203125" style="39" bestFit="1" customWidth="1"/>
    <col min="6618" max="6618" width="9.109375" style="39"/>
    <col min="6619" max="6619" width="10.6640625" style="39" bestFit="1" customWidth="1"/>
    <col min="6620" max="6624" width="9.109375" style="39"/>
    <col min="6625" max="6625" width="10.6640625" style="39" bestFit="1" customWidth="1"/>
    <col min="6626" max="6632" width="9.109375" style="39"/>
    <col min="6633" max="6633" width="12" style="39" bestFit="1" customWidth="1"/>
    <col min="6634" max="6674" width="9.109375" style="39"/>
    <col min="6675" max="6675" width="12.33203125" style="39" bestFit="1" customWidth="1"/>
    <col min="6676" max="6676" width="10.109375" style="39" bestFit="1" customWidth="1"/>
    <col min="6677" max="6677" width="10.6640625" style="39" bestFit="1" customWidth="1"/>
    <col min="6678" max="6681" width="9.109375" style="39"/>
    <col min="6682" max="6682" width="9.109375" style="39" bestFit="1" customWidth="1"/>
    <col min="6683" max="6683" width="10.6640625" style="39" bestFit="1" customWidth="1"/>
    <col min="6684" max="6684" width="4.5546875" style="39" bestFit="1" customWidth="1"/>
    <col min="6685" max="6685" width="5.5546875" style="39" bestFit="1" customWidth="1"/>
    <col min="6686" max="6686" width="10.6640625" style="39" bestFit="1" customWidth="1"/>
    <col min="6687" max="6690" width="9.109375" style="39"/>
    <col min="6691" max="6691" width="12" style="39" bestFit="1" customWidth="1"/>
    <col min="6692" max="6692" width="32.6640625" style="39" customWidth="1"/>
    <col min="6693" max="6693" width="12.33203125" style="39" bestFit="1" customWidth="1"/>
    <col min="6694" max="6694" width="9.109375" style="39"/>
    <col min="6695" max="6695" width="10.6640625" style="39" bestFit="1" customWidth="1"/>
    <col min="6696" max="6700" width="9.109375" style="39"/>
    <col min="6701" max="6701" width="10.6640625" style="39" bestFit="1" customWidth="1"/>
    <col min="6702" max="6708" width="9.109375" style="39"/>
    <col min="6709" max="6709" width="12" style="39" bestFit="1" customWidth="1"/>
    <col min="6710" max="6710" width="32.6640625" style="39" customWidth="1"/>
    <col min="6711" max="6711" width="12.33203125" style="39" bestFit="1" customWidth="1"/>
    <col min="6712" max="6712" width="9.109375" style="39"/>
    <col min="6713" max="6713" width="10.6640625" style="39" bestFit="1" customWidth="1"/>
    <col min="6714" max="6718" width="9.109375" style="39"/>
    <col min="6719" max="6719" width="10.6640625" style="39" bestFit="1" customWidth="1"/>
    <col min="6720" max="6726" width="9.109375" style="39"/>
    <col min="6727" max="6727" width="12" style="39" bestFit="1" customWidth="1"/>
    <col min="6728" max="6728" width="32.6640625" style="39" customWidth="1"/>
    <col min="6729" max="6729" width="12.33203125" style="39" bestFit="1" customWidth="1"/>
    <col min="6730" max="6730" width="9.109375" style="39"/>
    <col min="6731" max="6731" width="10.6640625" style="39" bestFit="1" customWidth="1"/>
    <col min="6732" max="6736" width="9.109375" style="39"/>
    <col min="6737" max="6737" width="10.6640625" style="39" bestFit="1" customWidth="1"/>
    <col min="6738" max="6744" width="9.109375" style="39"/>
    <col min="6745" max="6745" width="12" style="39" bestFit="1" customWidth="1"/>
    <col min="6746" max="6746" width="32.6640625" style="39" customWidth="1"/>
    <col min="6747" max="6747" width="12.33203125" style="39" bestFit="1" customWidth="1"/>
    <col min="6748" max="6748" width="9.109375" style="39"/>
    <col min="6749" max="6749" width="10.6640625" style="39" bestFit="1" customWidth="1"/>
    <col min="6750" max="6754" width="9.109375" style="39"/>
    <col min="6755" max="6755" width="10.6640625" style="39" bestFit="1" customWidth="1"/>
    <col min="6756" max="6762" width="9.109375" style="39"/>
    <col min="6763" max="6763" width="12" style="39" bestFit="1" customWidth="1"/>
    <col min="6764" max="6764" width="32.6640625" style="39" customWidth="1"/>
    <col min="6765" max="6765" width="12.33203125" style="39" bestFit="1" customWidth="1"/>
    <col min="6766" max="6766" width="9.109375" style="39"/>
    <col min="6767" max="6767" width="10.6640625" style="39" bestFit="1" customWidth="1"/>
    <col min="6768" max="6772" width="9.109375" style="39"/>
    <col min="6773" max="6773" width="10.6640625" style="39" bestFit="1" customWidth="1"/>
    <col min="6774" max="6780" width="9.109375" style="39"/>
    <col min="6781" max="6781" width="12" style="39" bestFit="1" customWidth="1"/>
    <col min="6782" max="6782" width="32.6640625" style="39" customWidth="1"/>
    <col min="6783" max="6783" width="12.33203125" style="39" bestFit="1" customWidth="1"/>
    <col min="6784" max="6784" width="9.109375" style="39"/>
    <col min="6785" max="6785" width="10.6640625" style="39" bestFit="1" customWidth="1"/>
    <col min="6786" max="6790" width="9.109375" style="39"/>
    <col min="6791" max="6791" width="10.6640625" style="39" bestFit="1" customWidth="1"/>
    <col min="6792" max="6798" width="9.109375" style="39"/>
    <col min="6799" max="6799" width="12" style="39" bestFit="1" customWidth="1"/>
    <col min="6800" max="6800" width="32.6640625" style="39" customWidth="1"/>
    <col min="6801" max="6801" width="12.33203125" style="39" bestFit="1" customWidth="1"/>
    <col min="6802" max="6802" width="9.109375" style="39"/>
    <col min="6803" max="6803" width="10.6640625" style="39" bestFit="1" customWidth="1"/>
    <col min="6804" max="6808" width="9.109375" style="39"/>
    <col min="6809" max="6809" width="10.6640625" style="39" bestFit="1" customWidth="1"/>
    <col min="6810" max="6816" width="9.109375" style="39"/>
    <col min="6817" max="6817" width="12" style="39" bestFit="1" customWidth="1"/>
    <col min="6818" max="6818" width="32.6640625" style="39" customWidth="1"/>
    <col min="6819" max="6819" width="12.33203125" style="39" bestFit="1" customWidth="1"/>
    <col min="6820" max="6820" width="9.109375" style="39"/>
    <col min="6821" max="6821" width="10.6640625" style="39" bestFit="1" customWidth="1"/>
    <col min="6822" max="6826" width="9.109375" style="39"/>
    <col min="6827" max="6827" width="10.6640625" style="39" bestFit="1" customWidth="1"/>
    <col min="6828" max="6834" width="9.109375" style="39"/>
    <col min="6835" max="6835" width="12" style="39" bestFit="1" customWidth="1"/>
    <col min="6836" max="6836" width="32.6640625" style="39" customWidth="1"/>
    <col min="6837" max="6837" width="12.33203125" style="39" bestFit="1" customWidth="1"/>
    <col min="6838" max="6838" width="9.109375" style="39"/>
    <col min="6839" max="6839" width="10.6640625" style="39" bestFit="1" customWidth="1"/>
    <col min="6840" max="6844" width="9.109375" style="39"/>
    <col min="6845" max="6845" width="10.6640625" style="39" bestFit="1" customWidth="1"/>
    <col min="6846" max="6852" width="9.109375" style="39"/>
    <col min="6853" max="6853" width="12" style="39" bestFit="1" customWidth="1"/>
    <col min="6854" max="6854" width="32.6640625" style="39" customWidth="1"/>
    <col min="6855" max="6855" width="12.33203125" style="39" bestFit="1" customWidth="1"/>
    <col min="6856" max="6856" width="9.109375" style="39"/>
    <col min="6857" max="6857" width="10.6640625" style="39" bestFit="1" customWidth="1"/>
    <col min="6858" max="6862" width="9.109375" style="39"/>
    <col min="6863" max="6863" width="10.6640625" style="39" bestFit="1" customWidth="1"/>
    <col min="6864" max="6870" width="9.109375" style="39"/>
    <col min="6871" max="6871" width="13.33203125" style="39" bestFit="1" customWidth="1"/>
    <col min="6872" max="6872" width="32.6640625" style="39" customWidth="1"/>
    <col min="6873" max="6873" width="12.33203125" style="39" bestFit="1" customWidth="1"/>
    <col min="6874" max="6874" width="9.109375" style="39"/>
    <col min="6875" max="6875" width="10.6640625" style="39" bestFit="1" customWidth="1"/>
    <col min="6876" max="6880" width="9.109375" style="39"/>
    <col min="6881" max="6881" width="10.6640625" style="39" bestFit="1" customWidth="1"/>
    <col min="6882" max="6888" width="9.109375" style="39"/>
    <col min="6889" max="6889" width="12" style="39" bestFit="1" customWidth="1"/>
    <col min="6890" max="6930" width="9.109375" style="39"/>
    <col min="6931" max="6931" width="12.33203125" style="39" bestFit="1" customWidth="1"/>
    <col min="6932" max="6932" width="10.109375" style="39" bestFit="1" customWidth="1"/>
    <col min="6933" max="6933" width="10.6640625" style="39" bestFit="1" customWidth="1"/>
    <col min="6934" max="6937" width="9.109375" style="39"/>
    <col min="6938" max="6938" width="9.109375" style="39" bestFit="1" customWidth="1"/>
    <col min="6939" max="6939" width="10.6640625" style="39" bestFit="1" customWidth="1"/>
    <col min="6940" max="6940" width="4.5546875" style="39" bestFit="1" customWidth="1"/>
    <col min="6941" max="6941" width="5.5546875" style="39" bestFit="1" customWidth="1"/>
    <col min="6942" max="6942" width="10.6640625" style="39" bestFit="1" customWidth="1"/>
    <col min="6943" max="6946" width="9.109375" style="39"/>
    <col min="6947" max="6947" width="12" style="39" bestFit="1" customWidth="1"/>
    <col min="6948" max="6948" width="32.6640625" style="39" customWidth="1"/>
    <col min="6949" max="6949" width="12.33203125" style="39" bestFit="1" customWidth="1"/>
    <col min="6950" max="6950" width="9.109375" style="39"/>
    <col min="6951" max="6951" width="10.6640625" style="39" bestFit="1" customWidth="1"/>
    <col min="6952" max="6956" width="9.109375" style="39"/>
    <col min="6957" max="6957" width="10.6640625" style="39" bestFit="1" customWidth="1"/>
    <col min="6958" max="6964" width="9.109375" style="39"/>
    <col min="6965" max="6965" width="12" style="39" bestFit="1" customWidth="1"/>
    <col min="6966" max="6966" width="32.6640625" style="39" customWidth="1"/>
    <col min="6967" max="6967" width="12.33203125" style="39" bestFit="1" customWidth="1"/>
    <col min="6968" max="6968" width="9.109375" style="39"/>
    <col min="6969" max="6969" width="10.6640625" style="39" bestFit="1" customWidth="1"/>
    <col min="6970" max="6974" width="9.109375" style="39"/>
    <col min="6975" max="6975" width="10.6640625" style="39" bestFit="1" customWidth="1"/>
    <col min="6976" max="6982" width="9.109375" style="39"/>
    <col min="6983" max="6983" width="12" style="39" bestFit="1" customWidth="1"/>
    <col min="6984" max="6984" width="32.6640625" style="39" customWidth="1"/>
    <col min="6985" max="6985" width="12.33203125" style="39" bestFit="1" customWidth="1"/>
    <col min="6986" max="6986" width="9.109375" style="39"/>
    <col min="6987" max="6987" width="10.6640625" style="39" bestFit="1" customWidth="1"/>
    <col min="6988" max="6992" width="9.109375" style="39"/>
    <col min="6993" max="6993" width="10.6640625" style="39" bestFit="1" customWidth="1"/>
    <col min="6994" max="7000" width="9.109375" style="39"/>
    <col min="7001" max="7001" width="12" style="39" bestFit="1" customWidth="1"/>
    <col min="7002" max="7002" width="32.6640625" style="39" customWidth="1"/>
    <col min="7003" max="7003" width="12.33203125" style="39" bestFit="1" customWidth="1"/>
    <col min="7004" max="7004" width="9.109375" style="39"/>
    <col min="7005" max="7005" width="10.6640625" style="39" bestFit="1" customWidth="1"/>
    <col min="7006" max="7010" width="9.109375" style="39"/>
    <col min="7011" max="7011" width="10.6640625" style="39" bestFit="1" customWidth="1"/>
    <col min="7012" max="7018" width="9.109375" style="39"/>
    <col min="7019" max="7019" width="12" style="39" bestFit="1" customWidth="1"/>
    <col min="7020" max="7020" width="32.6640625" style="39" customWidth="1"/>
    <col min="7021" max="7021" width="12.33203125" style="39" bestFit="1" customWidth="1"/>
    <col min="7022" max="7022" width="9.109375" style="39"/>
    <col min="7023" max="7023" width="10.6640625" style="39" bestFit="1" customWidth="1"/>
    <col min="7024" max="7028" width="9.109375" style="39"/>
    <col min="7029" max="7029" width="10.6640625" style="39" bestFit="1" customWidth="1"/>
    <col min="7030" max="7036" width="9.109375" style="39"/>
    <col min="7037" max="7037" width="12" style="39" bestFit="1" customWidth="1"/>
    <col min="7038" max="7038" width="32.6640625" style="39" customWidth="1"/>
    <col min="7039" max="7039" width="12.33203125" style="39" bestFit="1" customWidth="1"/>
    <col min="7040" max="7040" width="9.109375" style="39"/>
    <col min="7041" max="7041" width="10.6640625" style="39" bestFit="1" customWidth="1"/>
    <col min="7042" max="7046" width="9.109375" style="39"/>
    <col min="7047" max="7047" width="10.6640625" style="39" bestFit="1" customWidth="1"/>
    <col min="7048" max="7054" width="9.109375" style="39"/>
    <col min="7055" max="7055" width="12" style="39" bestFit="1" customWidth="1"/>
    <col min="7056" max="7056" width="32.6640625" style="39" customWidth="1"/>
    <col min="7057" max="7057" width="12.33203125" style="39" bestFit="1" customWidth="1"/>
    <col min="7058" max="7058" width="9.109375" style="39"/>
    <col min="7059" max="7059" width="10.6640625" style="39" bestFit="1" customWidth="1"/>
    <col min="7060" max="7064" width="9.109375" style="39"/>
    <col min="7065" max="7065" width="10.6640625" style="39" bestFit="1" customWidth="1"/>
    <col min="7066" max="7072" width="9.109375" style="39"/>
    <col min="7073" max="7073" width="12" style="39" bestFit="1" customWidth="1"/>
    <col min="7074" max="7074" width="32.6640625" style="39" customWidth="1"/>
    <col min="7075" max="7075" width="12.33203125" style="39" bestFit="1" customWidth="1"/>
    <col min="7076" max="7076" width="9.109375" style="39"/>
    <col min="7077" max="7077" width="10.6640625" style="39" bestFit="1" customWidth="1"/>
    <col min="7078" max="7082" width="9.109375" style="39"/>
    <col min="7083" max="7083" width="10.6640625" style="39" bestFit="1" customWidth="1"/>
    <col min="7084" max="7090" width="9.109375" style="39"/>
    <col min="7091" max="7091" width="12" style="39" bestFit="1" customWidth="1"/>
    <col min="7092" max="7092" width="32.6640625" style="39" customWidth="1"/>
    <col min="7093" max="7093" width="12.33203125" style="39" bestFit="1" customWidth="1"/>
    <col min="7094" max="7094" width="9.109375" style="39"/>
    <col min="7095" max="7095" width="10.6640625" style="39" bestFit="1" customWidth="1"/>
    <col min="7096" max="7100" width="9.109375" style="39"/>
    <col min="7101" max="7101" width="10.6640625" style="39" bestFit="1" customWidth="1"/>
    <col min="7102" max="7108" width="9.109375" style="39"/>
    <col min="7109" max="7109" width="12" style="39" bestFit="1" customWidth="1"/>
    <col min="7110" max="7110" width="32.6640625" style="39" customWidth="1"/>
    <col min="7111" max="7111" width="12.33203125" style="39" bestFit="1" customWidth="1"/>
    <col min="7112" max="7112" width="9.109375" style="39"/>
    <col min="7113" max="7113" width="10.6640625" style="39" bestFit="1" customWidth="1"/>
    <col min="7114" max="7118" width="9.109375" style="39"/>
    <col min="7119" max="7119" width="10.6640625" style="39" bestFit="1" customWidth="1"/>
    <col min="7120" max="7126" width="9.109375" style="39"/>
    <col min="7127" max="7127" width="13.33203125" style="39" bestFit="1" customWidth="1"/>
    <col min="7128" max="7128" width="32.6640625" style="39" customWidth="1"/>
    <col min="7129" max="7129" width="12.33203125" style="39" bestFit="1" customWidth="1"/>
    <col min="7130" max="7130" width="9.109375" style="39"/>
    <col min="7131" max="7131" width="10.6640625" style="39" bestFit="1" customWidth="1"/>
    <col min="7132" max="7136" width="9.109375" style="39"/>
    <col min="7137" max="7137" width="10.6640625" style="39" bestFit="1" customWidth="1"/>
    <col min="7138" max="7144" width="9.109375" style="39"/>
    <col min="7145" max="7145" width="12" style="39" bestFit="1" customWidth="1"/>
    <col min="7146" max="7186" width="9.109375" style="39"/>
    <col min="7187" max="7187" width="12.33203125" style="39" bestFit="1" customWidth="1"/>
    <col min="7188" max="7188" width="10.109375" style="39" bestFit="1" customWidth="1"/>
    <col min="7189" max="7189" width="10.6640625" style="39" bestFit="1" customWidth="1"/>
    <col min="7190" max="7193" width="9.109375" style="39"/>
    <col min="7194" max="7194" width="9.109375" style="39" bestFit="1" customWidth="1"/>
    <col min="7195" max="7195" width="10.6640625" style="39" bestFit="1" customWidth="1"/>
    <col min="7196" max="7196" width="4.5546875" style="39" bestFit="1" customWidth="1"/>
    <col min="7197" max="7197" width="5.5546875" style="39" bestFit="1" customWidth="1"/>
    <col min="7198" max="7198" width="10.6640625" style="39" bestFit="1" customWidth="1"/>
    <col min="7199" max="7202" width="9.109375" style="39"/>
    <col min="7203" max="7203" width="12" style="39" bestFit="1" customWidth="1"/>
    <col min="7204" max="7204" width="32.6640625" style="39" customWidth="1"/>
    <col min="7205" max="7205" width="12.33203125" style="39" bestFit="1" customWidth="1"/>
    <col min="7206" max="7206" width="9.109375" style="39"/>
    <col min="7207" max="7207" width="10.6640625" style="39" bestFit="1" customWidth="1"/>
    <col min="7208" max="7212" width="9.109375" style="39"/>
    <col min="7213" max="7213" width="10.6640625" style="39" bestFit="1" customWidth="1"/>
    <col min="7214" max="7220" width="9.109375" style="39"/>
    <col min="7221" max="7221" width="12" style="39" bestFit="1" customWidth="1"/>
    <col min="7222" max="7222" width="32.6640625" style="39" customWidth="1"/>
    <col min="7223" max="7223" width="12.33203125" style="39" bestFit="1" customWidth="1"/>
    <col min="7224" max="7224" width="9.109375" style="39"/>
    <col min="7225" max="7225" width="10.6640625" style="39" bestFit="1" customWidth="1"/>
    <col min="7226" max="7230" width="9.109375" style="39"/>
    <col min="7231" max="7231" width="10.6640625" style="39" bestFit="1" customWidth="1"/>
    <col min="7232" max="7238" width="9.109375" style="39"/>
    <col min="7239" max="7239" width="12" style="39" bestFit="1" customWidth="1"/>
    <col min="7240" max="7240" width="32.6640625" style="39" customWidth="1"/>
    <col min="7241" max="7241" width="12.33203125" style="39" bestFit="1" customWidth="1"/>
    <col min="7242" max="7242" width="9.109375" style="39"/>
    <col min="7243" max="7243" width="10.6640625" style="39" bestFit="1" customWidth="1"/>
    <col min="7244" max="7248" width="9.109375" style="39"/>
    <col min="7249" max="7249" width="10.6640625" style="39" bestFit="1" customWidth="1"/>
    <col min="7250" max="7256" width="9.109375" style="39"/>
    <col min="7257" max="7257" width="12" style="39" bestFit="1" customWidth="1"/>
    <col min="7258" max="7258" width="32.6640625" style="39" customWidth="1"/>
    <col min="7259" max="7259" width="12.33203125" style="39" bestFit="1" customWidth="1"/>
    <col min="7260" max="7260" width="9.109375" style="39"/>
    <col min="7261" max="7261" width="10.6640625" style="39" bestFit="1" customWidth="1"/>
    <col min="7262" max="7266" width="9.109375" style="39"/>
    <col min="7267" max="7267" width="10.6640625" style="39" bestFit="1" customWidth="1"/>
    <col min="7268" max="7274" width="9.109375" style="39"/>
    <col min="7275" max="7275" width="12" style="39" bestFit="1" customWidth="1"/>
    <col min="7276" max="7276" width="32.6640625" style="39" customWidth="1"/>
    <col min="7277" max="7277" width="12.33203125" style="39" bestFit="1" customWidth="1"/>
    <col min="7278" max="7278" width="9.109375" style="39"/>
    <col min="7279" max="7279" width="10.6640625" style="39" bestFit="1" customWidth="1"/>
    <col min="7280" max="7284" width="9.109375" style="39"/>
    <col min="7285" max="7285" width="10.6640625" style="39" bestFit="1" customWidth="1"/>
    <col min="7286" max="7292" width="9.109375" style="39"/>
    <col min="7293" max="7293" width="12" style="39" bestFit="1" customWidth="1"/>
    <col min="7294" max="7294" width="32.6640625" style="39" customWidth="1"/>
    <col min="7295" max="7295" width="12.33203125" style="39" bestFit="1" customWidth="1"/>
    <col min="7296" max="7296" width="9.109375" style="39"/>
    <col min="7297" max="7297" width="10.6640625" style="39" bestFit="1" customWidth="1"/>
    <col min="7298" max="7302" width="9.109375" style="39"/>
    <col min="7303" max="7303" width="10.6640625" style="39" bestFit="1" customWidth="1"/>
    <col min="7304" max="7310" width="9.109375" style="39"/>
    <col min="7311" max="7311" width="12" style="39" bestFit="1" customWidth="1"/>
    <col min="7312" max="7312" width="32.6640625" style="39" customWidth="1"/>
    <col min="7313" max="7313" width="12.33203125" style="39" bestFit="1" customWidth="1"/>
    <col min="7314" max="7314" width="9.109375" style="39"/>
    <col min="7315" max="7315" width="10.6640625" style="39" bestFit="1" customWidth="1"/>
    <col min="7316" max="7320" width="9.109375" style="39"/>
    <col min="7321" max="7321" width="10.6640625" style="39" bestFit="1" customWidth="1"/>
    <col min="7322" max="7328" width="9.109375" style="39"/>
    <col min="7329" max="7329" width="12" style="39" bestFit="1" customWidth="1"/>
    <col min="7330" max="7330" width="32.6640625" style="39" customWidth="1"/>
    <col min="7331" max="7331" width="12.33203125" style="39" bestFit="1" customWidth="1"/>
    <col min="7332" max="7332" width="9.109375" style="39"/>
    <col min="7333" max="7333" width="10.6640625" style="39" bestFit="1" customWidth="1"/>
    <col min="7334" max="7338" width="9.109375" style="39"/>
    <col min="7339" max="7339" width="10.6640625" style="39" bestFit="1" customWidth="1"/>
    <col min="7340" max="7346" width="9.109375" style="39"/>
    <col min="7347" max="7347" width="12" style="39" bestFit="1" customWidth="1"/>
    <col min="7348" max="7348" width="32.6640625" style="39" customWidth="1"/>
    <col min="7349" max="7349" width="12.33203125" style="39" bestFit="1" customWidth="1"/>
    <col min="7350" max="7350" width="9.109375" style="39"/>
    <col min="7351" max="7351" width="10.6640625" style="39" bestFit="1" customWidth="1"/>
    <col min="7352" max="7356" width="9.109375" style="39"/>
    <col min="7357" max="7357" width="10.6640625" style="39" bestFit="1" customWidth="1"/>
    <col min="7358" max="7364" width="9.109375" style="39"/>
    <col min="7365" max="7365" width="12" style="39" bestFit="1" customWidth="1"/>
    <col min="7366" max="7366" width="32.6640625" style="39" customWidth="1"/>
    <col min="7367" max="7367" width="12.33203125" style="39" bestFit="1" customWidth="1"/>
    <col min="7368" max="7368" width="9.109375" style="39"/>
    <col min="7369" max="7369" width="10.6640625" style="39" bestFit="1" customWidth="1"/>
    <col min="7370" max="7374" width="9.109375" style="39"/>
    <col min="7375" max="7375" width="10.6640625" style="39" bestFit="1" customWidth="1"/>
    <col min="7376" max="7382" width="9.109375" style="39"/>
    <col min="7383" max="7383" width="13.33203125" style="39" bestFit="1" customWidth="1"/>
    <col min="7384" max="7384" width="32.6640625" style="39" customWidth="1"/>
    <col min="7385" max="7385" width="12.33203125" style="39" bestFit="1" customWidth="1"/>
    <col min="7386" max="7386" width="9.109375" style="39"/>
    <col min="7387" max="7387" width="10.6640625" style="39" bestFit="1" customWidth="1"/>
    <col min="7388" max="7392" width="9.109375" style="39"/>
    <col min="7393" max="7393" width="10.6640625" style="39" bestFit="1" customWidth="1"/>
    <col min="7394" max="7400" width="9.109375" style="39"/>
    <col min="7401" max="7401" width="12" style="39" bestFit="1" customWidth="1"/>
    <col min="7402" max="7442" width="9.109375" style="39"/>
    <col min="7443" max="7443" width="12.33203125" style="39" bestFit="1" customWidth="1"/>
    <col min="7444" max="7444" width="10.109375" style="39" bestFit="1" customWidth="1"/>
    <col min="7445" max="7445" width="10.6640625" style="39" bestFit="1" customWidth="1"/>
    <col min="7446" max="7449" width="9.109375" style="39"/>
    <col min="7450" max="7450" width="9.109375" style="39" bestFit="1" customWidth="1"/>
    <col min="7451" max="7451" width="10.6640625" style="39" bestFit="1" customWidth="1"/>
    <col min="7452" max="7452" width="4.5546875" style="39" bestFit="1" customWidth="1"/>
    <col min="7453" max="7453" width="5.5546875" style="39" bestFit="1" customWidth="1"/>
    <col min="7454" max="7454" width="10.6640625" style="39" bestFit="1" customWidth="1"/>
    <col min="7455" max="7458" width="9.109375" style="39"/>
    <col min="7459" max="7459" width="12" style="39" bestFit="1" customWidth="1"/>
    <col min="7460" max="7460" width="32.6640625" style="39" customWidth="1"/>
    <col min="7461" max="7461" width="12.33203125" style="39" bestFit="1" customWidth="1"/>
    <col min="7462" max="7462" width="9.109375" style="39"/>
    <col min="7463" max="7463" width="10.6640625" style="39" bestFit="1" customWidth="1"/>
    <col min="7464" max="7468" width="9.109375" style="39"/>
    <col min="7469" max="7469" width="10.6640625" style="39" bestFit="1" customWidth="1"/>
    <col min="7470" max="7476" width="9.109375" style="39"/>
    <col min="7477" max="7477" width="12" style="39" bestFit="1" customWidth="1"/>
    <col min="7478" max="7478" width="32.6640625" style="39" customWidth="1"/>
    <col min="7479" max="7479" width="12.33203125" style="39" bestFit="1" customWidth="1"/>
    <col min="7480" max="7480" width="9.109375" style="39"/>
    <col min="7481" max="7481" width="10.6640625" style="39" bestFit="1" customWidth="1"/>
    <col min="7482" max="7486" width="9.109375" style="39"/>
    <col min="7487" max="7487" width="10.6640625" style="39" bestFit="1" customWidth="1"/>
    <col min="7488" max="7494" width="9.109375" style="39"/>
    <col min="7495" max="7495" width="12" style="39" bestFit="1" customWidth="1"/>
    <col min="7496" max="7496" width="32.6640625" style="39" customWidth="1"/>
    <col min="7497" max="7497" width="12.33203125" style="39" bestFit="1" customWidth="1"/>
    <col min="7498" max="7498" width="9.109375" style="39"/>
    <col min="7499" max="7499" width="10.6640625" style="39" bestFit="1" customWidth="1"/>
    <col min="7500" max="7504" width="9.109375" style="39"/>
    <col min="7505" max="7505" width="10.6640625" style="39" bestFit="1" customWidth="1"/>
    <col min="7506" max="7512" width="9.109375" style="39"/>
    <col min="7513" max="7513" width="12" style="39" bestFit="1" customWidth="1"/>
    <col min="7514" max="7514" width="32.6640625" style="39" customWidth="1"/>
    <col min="7515" max="7515" width="12.33203125" style="39" bestFit="1" customWidth="1"/>
    <col min="7516" max="7516" width="9.109375" style="39"/>
    <col min="7517" max="7517" width="10.6640625" style="39" bestFit="1" customWidth="1"/>
    <col min="7518" max="7522" width="9.109375" style="39"/>
    <col min="7523" max="7523" width="10.6640625" style="39" bestFit="1" customWidth="1"/>
    <col min="7524" max="7530" width="9.109375" style="39"/>
    <col min="7531" max="7531" width="12" style="39" bestFit="1" customWidth="1"/>
    <col min="7532" max="7532" width="32.6640625" style="39" customWidth="1"/>
    <col min="7533" max="7533" width="12.33203125" style="39" bestFit="1" customWidth="1"/>
    <col min="7534" max="7534" width="9.109375" style="39"/>
    <col min="7535" max="7535" width="10.6640625" style="39" bestFit="1" customWidth="1"/>
    <col min="7536" max="7540" width="9.109375" style="39"/>
    <col min="7541" max="7541" width="10.6640625" style="39" bestFit="1" customWidth="1"/>
    <col min="7542" max="7548" width="9.109375" style="39"/>
    <col min="7549" max="7549" width="12" style="39" bestFit="1" customWidth="1"/>
    <col min="7550" max="7550" width="32.6640625" style="39" customWidth="1"/>
    <col min="7551" max="7551" width="12.33203125" style="39" bestFit="1" customWidth="1"/>
    <col min="7552" max="7552" width="9.109375" style="39"/>
    <col min="7553" max="7553" width="10.6640625" style="39" bestFit="1" customWidth="1"/>
    <col min="7554" max="7558" width="9.109375" style="39"/>
    <col min="7559" max="7559" width="10.6640625" style="39" bestFit="1" customWidth="1"/>
    <col min="7560" max="7566" width="9.109375" style="39"/>
    <col min="7567" max="7567" width="12" style="39" bestFit="1" customWidth="1"/>
    <col min="7568" max="7568" width="32.6640625" style="39" customWidth="1"/>
    <col min="7569" max="7569" width="12.33203125" style="39" bestFit="1" customWidth="1"/>
    <col min="7570" max="7570" width="9.109375" style="39"/>
    <col min="7571" max="7571" width="10.6640625" style="39" bestFit="1" customWidth="1"/>
    <col min="7572" max="7576" width="9.109375" style="39"/>
    <col min="7577" max="7577" width="10.6640625" style="39" bestFit="1" customWidth="1"/>
    <col min="7578" max="7584" width="9.109375" style="39"/>
    <col min="7585" max="7585" width="12" style="39" bestFit="1" customWidth="1"/>
    <col min="7586" max="7586" width="32.6640625" style="39" customWidth="1"/>
    <col min="7587" max="7587" width="12.33203125" style="39" bestFit="1" customWidth="1"/>
    <col min="7588" max="7588" width="9.109375" style="39"/>
    <col min="7589" max="7589" width="10.6640625" style="39" bestFit="1" customWidth="1"/>
    <col min="7590" max="7594" width="9.109375" style="39"/>
    <col min="7595" max="7595" width="10.6640625" style="39" bestFit="1" customWidth="1"/>
    <col min="7596" max="7602" width="9.109375" style="39"/>
    <col min="7603" max="7603" width="12" style="39" bestFit="1" customWidth="1"/>
    <col min="7604" max="7604" width="32.6640625" style="39" customWidth="1"/>
    <col min="7605" max="7605" width="12.33203125" style="39" bestFit="1" customWidth="1"/>
    <col min="7606" max="7606" width="9.109375" style="39"/>
    <col min="7607" max="7607" width="10.6640625" style="39" bestFit="1" customWidth="1"/>
    <col min="7608" max="7612" width="9.109375" style="39"/>
    <col min="7613" max="7613" width="10.6640625" style="39" bestFit="1" customWidth="1"/>
    <col min="7614" max="7620" width="9.109375" style="39"/>
    <col min="7621" max="7621" width="12" style="39" bestFit="1" customWidth="1"/>
    <col min="7622" max="7622" width="32.6640625" style="39" customWidth="1"/>
    <col min="7623" max="7623" width="12.33203125" style="39" bestFit="1" customWidth="1"/>
    <col min="7624" max="7624" width="9.109375" style="39"/>
    <col min="7625" max="7625" width="10.6640625" style="39" bestFit="1" customWidth="1"/>
    <col min="7626" max="7630" width="9.109375" style="39"/>
    <col min="7631" max="7631" width="10.6640625" style="39" bestFit="1" customWidth="1"/>
    <col min="7632" max="7638" width="9.109375" style="39"/>
    <col min="7639" max="7639" width="13.33203125" style="39" bestFit="1" customWidth="1"/>
    <col min="7640" max="7640" width="32.6640625" style="39" customWidth="1"/>
    <col min="7641" max="7641" width="12.33203125" style="39" bestFit="1" customWidth="1"/>
    <col min="7642" max="7642" width="9.109375" style="39"/>
    <col min="7643" max="7643" width="10.6640625" style="39" bestFit="1" customWidth="1"/>
    <col min="7644" max="7648" width="9.109375" style="39"/>
    <col min="7649" max="7649" width="10.6640625" style="39" bestFit="1" customWidth="1"/>
    <col min="7650" max="7656" width="9.109375" style="39"/>
    <col min="7657" max="7657" width="12" style="39" bestFit="1" customWidth="1"/>
    <col min="7658" max="7698" width="9.109375" style="39"/>
    <col min="7699" max="7699" width="12.33203125" style="39" bestFit="1" customWidth="1"/>
    <col min="7700" max="7700" width="10.109375" style="39" bestFit="1" customWidth="1"/>
    <col min="7701" max="7701" width="10.6640625" style="39" bestFit="1" customWidth="1"/>
    <col min="7702" max="7705" width="9.109375" style="39"/>
    <col min="7706" max="7706" width="9.109375" style="39" bestFit="1" customWidth="1"/>
    <col min="7707" max="7707" width="10.6640625" style="39" bestFit="1" customWidth="1"/>
    <col min="7708" max="7708" width="4.5546875" style="39" bestFit="1" customWidth="1"/>
    <col min="7709" max="7709" width="5.5546875" style="39" bestFit="1" customWidth="1"/>
    <col min="7710" max="7710" width="10.6640625" style="39" bestFit="1" customWidth="1"/>
    <col min="7711" max="7714" width="9.109375" style="39"/>
    <col min="7715" max="7715" width="12" style="39" bestFit="1" customWidth="1"/>
    <col min="7716" max="7716" width="32.6640625" style="39" customWidth="1"/>
    <col min="7717" max="7717" width="12.33203125" style="39" bestFit="1" customWidth="1"/>
    <col min="7718" max="7718" width="9.109375" style="39"/>
    <col min="7719" max="7719" width="10.6640625" style="39" bestFit="1" customWidth="1"/>
    <col min="7720" max="7724" width="9.109375" style="39"/>
    <col min="7725" max="7725" width="10.6640625" style="39" bestFit="1" customWidth="1"/>
    <col min="7726" max="7732" width="9.109375" style="39"/>
    <col min="7733" max="7733" width="12" style="39" bestFit="1" customWidth="1"/>
    <col min="7734" max="7734" width="32.6640625" style="39" customWidth="1"/>
    <col min="7735" max="7735" width="12.33203125" style="39" bestFit="1" customWidth="1"/>
    <col min="7736" max="7736" width="9.109375" style="39"/>
    <col min="7737" max="7737" width="10.6640625" style="39" bestFit="1" customWidth="1"/>
    <col min="7738" max="7742" width="9.109375" style="39"/>
    <col min="7743" max="7743" width="10.6640625" style="39" bestFit="1" customWidth="1"/>
    <col min="7744" max="7750" width="9.109375" style="39"/>
    <col min="7751" max="7751" width="12" style="39" bestFit="1" customWidth="1"/>
    <col min="7752" max="7752" width="32.6640625" style="39" customWidth="1"/>
    <col min="7753" max="7753" width="12.33203125" style="39" bestFit="1" customWidth="1"/>
    <col min="7754" max="7754" width="9.109375" style="39"/>
    <col min="7755" max="7755" width="10.6640625" style="39" bestFit="1" customWidth="1"/>
    <col min="7756" max="7760" width="9.109375" style="39"/>
    <col min="7761" max="7761" width="10.6640625" style="39" bestFit="1" customWidth="1"/>
    <col min="7762" max="7768" width="9.109375" style="39"/>
    <col min="7769" max="7769" width="12" style="39" bestFit="1" customWidth="1"/>
    <col min="7770" max="7770" width="32.6640625" style="39" customWidth="1"/>
    <col min="7771" max="7771" width="12.33203125" style="39" bestFit="1" customWidth="1"/>
    <col min="7772" max="7772" width="9.109375" style="39"/>
    <col min="7773" max="7773" width="10.6640625" style="39" bestFit="1" customWidth="1"/>
    <col min="7774" max="7778" width="9.109375" style="39"/>
    <col min="7779" max="7779" width="10.6640625" style="39" bestFit="1" customWidth="1"/>
    <col min="7780" max="7786" width="9.109375" style="39"/>
    <col min="7787" max="7787" width="12" style="39" bestFit="1" customWidth="1"/>
    <col min="7788" max="7788" width="32.6640625" style="39" customWidth="1"/>
    <col min="7789" max="7789" width="12.33203125" style="39" bestFit="1" customWidth="1"/>
    <col min="7790" max="7790" width="9.109375" style="39"/>
    <col min="7791" max="7791" width="10.6640625" style="39" bestFit="1" customWidth="1"/>
    <col min="7792" max="7796" width="9.109375" style="39"/>
    <col min="7797" max="7797" width="10.6640625" style="39" bestFit="1" customWidth="1"/>
    <col min="7798" max="7804" width="9.109375" style="39"/>
    <col min="7805" max="7805" width="12" style="39" bestFit="1" customWidth="1"/>
    <col min="7806" max="7806" width="32.6640625" style="39" customWidth="1"/>
    <col min="7807" max="7807" width="12.33203125" style="39" bestFit="1" customWidth="1"/>
    <col min="7808" max="7808" width="9.109375" style="39"/>
    <col min="7809" max="7809" width="10.6640625" style="39" bestFit="1" customWidth="1"/>
    <col min="7810" max="7814" width="9.109375" style="39"/>
    <col min="7815" max="7815" width="10.6640625" style="39" bestFit="1" customWidth="1"/>
    <col min="7816" max="7822" width="9.109375" style="39"/>
    <col min="7823" max="7823" width="12" style="39" bestFit="1" customWidth="1"/>
    <col min="7824" max="7824" width="32.6640625" style="39" customWidth="1"/>
    <col min="7825" max="7825" width="12.33203125" style="39" bestFit="1" customWidth="1"/>
    <col min="7826" max="7826" width="9.109375" style="39"/>
    <col min="7827" max="7827" width="10.6640625" style="39" bestFit="1" customWidth="1"/>
    <col min="7828" max="7832" width="9.109375" style="39"/>
    <col min="7833" max="7833" width="10.6640625" style="39" bestFit="1" customWidth="1"/>
    <col min="7834" max="7840" width="9.109375" style="39"/>
    <col min="7841" max="7841" width="12" style="39" bestFit="1" customWidth="1"/>
    <col min="7842" max="7842" width="32.6640625" style="39" customWidth="1"/>
    <col min="7843" max="7843" width="12.33203125" style="39" bestFit="1" customWidth="1"/>
    <col min="7844" max="7844" width="9.109375" style="39"/>
    <col min="7845" max="7845" width="10.6640625" style="39" bestFit="1" customWidth="1"/>
    <col min="7846" max="7850" width="9.109375" style="39"/>
    <col min="7851" max="7851" width="10.6640625" style="39" bestFit="1" customWidth="1"/>
    <col min="7852" max="7858" width="9.109375" style="39"/>
    <col min="7859" max="7859" width="12" style="39" bestFit="1" customWidth="1"/>
    <col min="7860" max="7860" width="32.6640625" style="39" customWidth="1"/>
    <col min="7861" max="7861" width="12.33203125" style="39" bestFit="1" customWidth="1"/>
    <col min="7862" max="7862" width="9.109375" style="39"/>
    <col min="7863" max="7863" width="10.6640625" style="39" bestFit="1" customWidth="1"/>
    <col min="7864" max="7868" width="9.109375" style="39"/>
    <col min="7869" max="7869" width="10.6640625" style="39" bestFit="1" customWidth="1"/>
    <col min="7870" max="7876" width="9.109375" style="39"/>
    <col min="7877" max="7877" width="12" style="39" bestFit="1" customWidth="1"/>
    <col min="7878" max="7878" width="32.6640625" style="39" customWidth="1"/>
    <col min="7879" max="7879" width="12.33203125" style="39" bestFit="1" customWidth="1"/>
    <col min="7880" max="7880" width="9.109375" style="39"/>
    <col min="7881" max="7881" width="10.6640625" style="39" bestFit="1" customWidth="1"/>
    <col min="7882" max="7886" width="9.109375" style="39"/>
    <col min="7887" max="7887" width="10.6640625" style="39" bestFit="1" customWidth="1"/>
    <col min="7888" max="7894" width="9.109375" style="39"/>
    <col min="7895" max="7895" width="13.33203125" style="39" bestFit="1" customWidth="1"/>
    <col min="7896" max="7896" width="32.6640625" style="39" customWidth="1"/>
    <col min="7897" max="7897" width="12.33203125" style="39" bestFit="1" customWidth="1"/>
    <col min="7898" max="7898" width="9.109375" style="39"/>
    <col min="7899" max="7899" width="10.6640625" style="39" bestFit="1" customWidth="1"/>
    <col min="7900" max="7904" width="9.109375" style="39"/>
    <col min="7905" max="7905" width="10.6640625" style="39" bestFit="1" customWidth="1"/>
    <col min="7906" max="7912" width="9.109375" style="39"/>
    <col min="7913" max="7913" width="12" style="39" bestFit="1" customWidth="1"/>
    <col min="7914" max="7954" width="9.109375" style="39"/>
    <col min="7955" max="7955" width="12.33203125" style="39" bestFit="1" customWidth="1"/>
    <col min="7956" max="7956" width="10.109375" style="39" bestFit="1" customWidth="1"/>
    <col min="7957" max="7957" width="10.6640625" style="39" bestFit="1" customWidth="1"/>
    <col min="7958" max="7961" width="9.109375" style="39"/>
    <col min="7962" max="7962" width="9.109375" style="39" bestFit="1" customWidth="1"/>
    <col min="7963" max="7963" width="10.6640625" style="39" bestFit="1" customWidth="1"/>
    <col min="7964" max="7964" width="4.5546875" style="39" bestFit="1" customWidth="1"/>
    <col min="7965" max="7965" width="5.5546875" style="39" bestFit="1" customWidth="1"/>
    <col min="7966" max="7966" width="10.6640625" style="39" bestFit="1" customWidth="1"/>
    <col min="7967" max="7970" width="9.109375" style="39"/>
    <col min="7971" max="7971" width="12" style="39" bestFit="1" customWidth="1"/>
    <col min="7972" max="7972" width="32.6640625" style="39" customWidth="1"/>
    <col min="7973" max="7973" width="12.33203125" style="39" bestFit="1" customWidth="1"/>
    <col min="7974" max="7974" width="9.109375" style="39"/>
    <col min="7975" max="7975" width="10.6640625" style="39" bestFit="1" customWidth="1"/>
    <col min="7976" max="7980" width="9.109375" style="39"/>
    <col min="7981" max="7981" width="10.6640625" style="39" bestFit="1" customWidth="1"/>
    <col min="7982" max="7988" width="9.109375" style="39"/>
    <col min="7989" max="7989" width="12" style="39" bestFit="1" customWidth="1"/>
    <col min="7990" max="7990" width="32.6640625" style="39" customWidth="1"/>
    <col min="7991" max="7991" width="12.33203125" style="39" bestFit="1" customWidth="1"/>
    <col min="7992" max="7992" width="9.109375" style="39"/>
    <col min="7993" max="7993" width="10.6640625" style="39" bestFit="1" customWidth="1"/>
    <col min="7994" max="7998" width="9.109375" style="39"/>
    <col min="7999" max="7999" width="10.6640625" style="39" bestFit="1" customWidth="1"/>
    <col min="8000" max="8006" width="9.109375" style="39"/>
    <col min="8007" max="8007" width="12" style="39" bestFit="1" customWidth="1"/>
    <col min="8008" max="8008" width="32.6640625" style="39" customWidth="1"/>
    <col min="8009" max="8009" width="12.33203125" style="39" bestFit="1" customWidth="1"/>
    <col min="8010" max="8010" width="9.109375" style="39"/>
    <col min="8011" max="8011" width="10.6640625" style="39" bestFit="1" customWidth="1"/>
    <col min="8012" max="8016" width="9.109375" style="39"/>
    <col min="8017" max="8017" width="10.6640625" style="39" bestFit="1" customWidth="1"/>
    <col min="8018" max="8024" width="9.109375" style="39"/>
    <col min="8025" max="8025" width="12" style="39" bestFit="1" customWidth="1"/>
    <col min="8026" max="8026" width="32.6640625" style="39" customWidth="1"/>
    <col min="8027" max="8027" width="12.33203125" style="39" bestFit="1" customWidth="1"/>
    <col min="8028" max="8028" width="9.109375" style="39"/>
    <col min="8029" max="8029" width="10.6640625" style="39" bestFit="1" customWidth="1"/>
    <col min="8030" max="8034" width="9.109375" style="39"/>
    <col min="8035" max="8035" width="10.6640625" style="39" bestFit="1" customWidth="1"/>
    <col min="8036" max="8042" width="9.109375" style="39"/>
    <col min="8043" max="8043" width="12" style="39" bestFit="1" customWidth="1"/>
    <col min="8044" max="8044" width="32.6640625" style="39" customWidth="1"/>
    <col min="8045" max="8045" width="12.33203125" style="39" bestFit="1" customWidth="1"/>
    <col min="8046" max="8046" width="9.109375" style="39"/>
    <col min="8047" max="8047" width="10.6640625" style="39" bestFit="1" customWidth="1"/>
    <col min="8048" max="8052" width="9.109375" style="39"/>
    <col min="8053" max="8053" width="10.6640625" style="39" bestFit="1" customWidth="1"/>
    <col min="8054" max="8060" width="9.109375" style="39"/>
    <col min="8061" max="8061" width="12" style="39" bestFit="1" customWidth="1"/>
    <col min="8062" max="8062" width="32.6640625" style="39" customWidth="1"/>
    <col min="8063" max="8063" width="12.33203125" style="39" bestFit="1" customWidth="1"/>
    <col min="8064" max="8064" width="9.109375" style="39"/>
    <col min="8065" max="8065" width="10.6640625" style="39" bestFit="1" customWidth="1"/>
    <col min="8066" max="8070" width="9.109375" style="39"/>
    <col min="8071" max="8071" width="10.6640625" style="39" bestFit="1" customWidth="1"/>
    <col min="8072" max="8078" width="9.109375" style="39"/>
    <col min="8079" max="8079" width="12" style="39" bestFit="1" customWidth="1"/>
    <col min="8080" max="8080" width="32.6640625" style="39" customWidth="1"/>
    <col min="8081" max="8081" width="12.33203125" style="39" bestFit="1" customWidth="1"/>
    <col min="8082" max="8082" width="9.109375" style="39"/>
    <col min="8083" max="8083" width="10.6640625" style="39" bestFit="1" customWidth="1"/>
    <col min="8084" max="8088" width="9.109375" style="39"/>
    <col min="8089" max="8089" width="10.6640625" style="39" bestFit="1" customWidth="1"/>
    <col min="8090" max="8096" width="9.109375" style="39"/>
    <col min="8097" max="8097" width="12" style="39" bestFit="1" customWidth="1"/>
    <col min="8098" max="8098" width="32.6640625" style="39" customWidth="1"/>
    <col min="8099" max="8099" width="12.33203125" style="39" bestFit="1" customWidth="1"/>
    <col min="8100" max="8100" width="9.109375" style="39"/>
    <col min="8101" max="8101" width="10.6640625" style="39" bestFit="1" customWidth="1"/>
    <col min="8102" max="8106" width="9.109375" style="39"/>
    <col min="8107" max="8107" width="10.6640625" style="39" bestFit="1" customWidth="1"/>
    <col min="8108" max="8114" width="9.109375" style="39"/>
    <col min="8115" max="8115" width="12" style="39" bestFit="1" customWidth="1"/>
    <col min="8116" max="8116" width="32.6640625" style="39" customWidth="1"/>
    <col min="8117" max="8117" width="12.33203125" style="39" bestFit="1" customWidth="1"/>
    <col min="8118" max="8118" width="9.109375" style="39"/>
    <col min="8119" max="8119" width="10.6640625" style="39" bestFit="1" customWidth="1"/>
    <col min="8120" max="8124" width="9.109375" style="39"/>
    <col min="8125" max="8125" width="10.6640625" style="39" bestFit="1" customWidth="1"/>
    <col min="8126" max="8132" width="9.109375" style="39"/>
    <col min="8133" max="8133" width="12" style="39" bestFit="1" customWidth="1"/>
    <col min="8134" max="8134" width="32.6640625" style="39" customWidth="1"/>
    <col min="8135" max="8135" width="12.33203125" style="39" bestFit="1" customWidth="1"/>
    <col min="8136" max="8136" width="9.109375" style="39"/>
    <col min="8137" max="8137" width="10.6640625" style="39" bestFit="1" customWidth="1"/>
    <col min="8138" max="8142" width="9.109375" style="39"/>
    <col min="8143" max="8143" width="10.6640625" style="39" bestFit="1" customWidth="1"/>
    <col min="8144" max="8150" width="9.109375" style="39"/>
    <col min="8151" max="8151" width="13.33203125" style="39" bestFit="1" customWidth="1"/>
    <col min="8152" max="8152" width="32.6640625" style="39" customWidth="1"/>
    <col min="8153" max="8153" width="12.33203125" style="39" bestFit="1" customWidth="1"/>
    <col min="8154" max="8154" width="9.109375" style="39"/>
    <col min="8155" max="8155" width="10.6640625" style="39" bestFit="1" customWidth="1"/>
    <col min="8156" max="8160" width="9.109375" style="39"/>
    <col min="8161" max="8161" width="10.6640625" style="39" bestFit="1" customWidth="1"/>
    <col min="8162" max="8168" width="9.109375" style="39"/>
    <col min="8169" max="8169" width="12" style="39" bestFit="1" customWidth="1"/>
    <col min="8170" max="8210" width="9.109375" style="39"/>
    <col min="8211" max="8211" width="12.33203125" style="39" bestFit="1" customWidth="1"/>
    <col min="8212" max="8212" width="10.109375" style="39" bestFit="1" customWidth="1"/>
    <col min="8213" max="8213" width="10.6640625" style="39" bestFit="1" customWidth="1"/>
    <col min="8214" max="8217" width="9.109375" style="39"/>
    <col min="8218" max="8218" width="9.109375" style="39" bestFit="1" customWidth="1"/>
    <col min="8219" max="8219" width="10.6640625" style="39" bestFit="1" customWidth="1"/>
    <col min="8220" max="8220" width="4.5546875" style="39" bestFit="1" customWidth="1"/>
    <col min="8221" max="8221" width="5.5546875" style="39" bestFit="1" customWidth="1"/>
    <col min="8222" max="8222" width="10.6640625" style="39" bestFit="1" customWidth="1"/>
    <col min="8223" max="8226" width="9.109375" style="39"/>
    <col min="8227" max="8227" width="12" style="39" bestFit="1" customWidth="1"/>
    <col min="8228" max="8228" width="32.6640625" style="39" customWidth="1"/>
    <col min="8229" max="8229" width="12.33203125" style="39" bestFit="1" customWidth="1"/>
    <col min="8230" max="8230" width="9.109375" style="39"/>
    <col min="8231" max="8231" width="10.6640625" style="39" bestFit="1" customWidth="1"/>
    <col min="8232" max="8236" width="9.109375" style="39"/>
    <col min="8237" max="8237" width="10.6640625" style="39" bestFit="1" customWidth="1"/>
    <col min="8238" max="8244" width="9.109375" style="39"/>
    <col min="8245" max="8245" width="12" style="39" bestFit="1" customWidth="1"/>
    <col min="8246" max="8246" width="32.6640625" style="39" customWidth="1"/>
    <col min="8247" max="8247" width="12.33203125" style="39" bestFit="1" customWidth="1"/>
    <col min="8248" max="8248" width="9.109375" style="39"/>
    <col min="8249" max="8249" width="10.6640625" style="39" bestFit="1" customWidth="1"/>
    <col min="8250" max="8254" width="9.109375" style="39"/>
    <col min="8255" max="8255" width="10.6640625" style="39" bestFit="1" customWidth="1"/>
    <col min="8256" max="8262" width="9.109375" style="39"/>
    <col min="8263" max="8263" width="12" style="39" bestFit="1" customWidth="1"/>
    <col min="8264" max="8264" width="32.6640625" style="39" customWidth="1"/>
    <col min="8265" max="8265" width="12.33203125" style="39" bestFit="1" customWidth="1"/>
    <col min="8266" max="8266" width="9.109375" style="39"/>
    <col min="8267" max="8267" width="10.6640625" style="39" bestFit="1" customWidth="1"/>
    <col min="8268" max="8272" width="9.109375" style="39"/>
    <col min="8273" max="8273" width="10.6640625" style="39" bestFit="1" customWidth="1"/>
    <col min="8274" max="8280" width="9.109375" style="39"/>
    <col min="8281" max="8281" width="12" style="39" bestFit="1" customWidth="1"/>
    <col min="8282" max="8282" width="32.6640625" style="39" customWidth="1"/>
    <col min="8283" max="8283" width="12.33203125" style="39" bestFit="1" customWidth="1"/>
    <col min="8284" max="8284" width="9.109375" style="39"/>
    <col min="8285" max="8285" width="10.6640625" style="39" bestFit="1" customWidth="1"/>
    <col min="8286" max="8290" width="9.109375" style="39"/>
    <col min="8291" max="8291" width="10.6640625" style="39" bestFit="1" customWidth="1"/>
    <col min="8292" max="8298" width="9.109375" style="39"/>
    <col min="8299" max="8299" width="12" style="39" bestFit="1" customWidth="1"/>
    <col min="8300" max="8300" width="32.6640625" style="39" customWidth="1"/>
    <col min="8301" max="8301" width="12.33203125" style="39" bestFit="1" customWidth="1"/>
    <col min="8302" max="8302" width="9.109375" style="39"/>
    <col min="8303" max="8303" width="10.6640625" style="39" bestFit="1" customWidth="1"/>
    <col min="8304" max="8308" width="9.109375" style="39"/>
    <col min="8309" max="8309" width="10.6640625" style="39" bestFit="1" customWidth="1"/>
    <col min="8310" max="8316" width="9.109375" style="39"/>
    <col min="8317" max="8317" width="12" style="39" bestFit="1" customWidth="1"/>
    <col min="8318" max="8318" width="32.6640625" style="39" customWidth="1"/>
    <col min="8319" max="8319" width="12.33203125" style="39" bestFit="1" customWidth="1"/>
    <col min="8320" max="8320" width="9.109375" style="39"/>
    <col min="8321" max="8321" width="10.6640625" style="39" bestFit="1" customWidth="1"/>
    <col min="8322" max="8326" width="9.109375" style="39"/>
    <col min="8327" max="8327" width="10.6640625" style="39" bestFit="1" customWidth="1"/>
    <col min="8328" max="8334" width="9.109375" style="39"/>
    <col min="8335" max="8335" width="12" style="39" bestFit="1" customWidth="1"/>
    <col min="8336" max="8336" width="32.6640625" style="39" customWidth="1"/>
    <col min="8337" max="8337" width="12.33203125" style="39" bestFit="1" customWidth="1"/>
    <col min="8338" max="8338" width="9.109375" style="39"/>
    <col min="8339" max="8339" width="10.6640625" style="39" bestFit="1" customWidth="1"/>
    <col min="8340" max="8344" width="9.109375" style="39"/>
    <col min="8345" max="8345" width="10.6640625" style="39" bestFit="1" customWidth="1"/>
    <col min="8346" max="8352" width="9.109375" style="39"/>
    <col min="8353" max="8353" width="12" style="39" bestFit="1" customWidth="1"/>
    <col min="8354" max="8354" width="32.6640625" style="39" customWidth="1"/>
    <col min="8355" max="8355" width="12.33203125" style="39" bestFit="1" customWidth="1"/>
    <col min="8356" max="8356" width="9.109375" style="39"/>
    <col min="8357" max="8357" width="10.6640625" style="39" bestFit="1" customWidth="1"/>
    <col min="8358" max="8362" width="9.109375" style="39"/>
    <col min="8363" max="8363" width="10.6640625" style="39" bestFit="1" customWidth="1"/>
    <col min="8364" max="8370" width="9.109375" style="39"/>
    <col min="8371" max="8371" width="12" style="39" bestFit="1" customWidth="1"/>
    <col min="8372" max="8372" width="32.6640625" style="39" customWidth="1"/>
    <col min="8373" max="8373" width="12.33203125" style="39" bestFit="1" customWidth="1"/>
    <col min="8374" max="8374" width="9.109375" style="39"/>
    <col min="8375" max="8375" width="10.6640625" style="39" bestFit="1" customWidth="1"/>
    <col min="8376" max="8380" width="9.109375" style="39"/>
    <col min="8381" max="8381" width="10.6640625" style="39" bestFit="1" customWidth="1"/>
    <col min="8382" max="8388" width="9.109375" style="39"/>
    <col min="8389" max="8389" width="12" style="39" bestFit="1" customWidth="1"/>
    <col min="8390" max="8390" width="32.6640625" style="39" customWidth="1"/>
    <col min="8391" max="8391" width="12.33203125" style="39" bestFit="1" customWidth="1"/>
    <col min="8392" max="8392" width="9.109375" style="39"/>
    <col min="8393" max="8393" width="10.6640625" style="39" bestFit="1" customWidth="1"/>
    <col min="8394" max="8398" width="9.109375" style="39"/>
    <col min="8399" max="8399" width="10.6640625" style="39" bestFit="1" customWidth="1"/>
    <col min="8400" max="8406" width="9.109375" style="39"/>
    <col min="8407" max="8407" width="13.33203125" style="39" bestFit="1" customWidth="1"/>
    <col min="8408" max="8408" width="32.6640625" style="39" customWidth="1"/>
    <col min="8409" max="8409" width="12.33203125" style="39" bestFit="1" customWidth="1"/>
    <col min="8410" max="8410" width="9.109375" style="39"/>
    <col min="8411" max="8411" width="10.6640625" style="39" bestFit="1" customWidth="1"/>
    <col min="8412" max="8416" width="9.109375" style="39"/>
    <col min="8417" max="8417" width="10.6640625" style="39" bestFit="1" customWidth="1"/>
    <col min="8418" max="8424" width="9.109375" style="39"/>
    <col min="8425" max="8425" width="12" style="39" bestFit="1" customWidth="1"/>
    <col min="8426" max="8466" width="9.109375" style="39"/>
    <col min="8467" max="8467" width="12.33203125" style="39" bestFit="1" customWidth="1"/>
    <col min="8468" max="8468" width="10.109375" style="39" bestFit="1" customWidth="1"/>
    <col min="8469" max="8469" width="10.6640625" style="39" bestFit="1" customWidth="1"/>
    <col min="8470" max="8473" width="9.109375" style="39"/>
    <col min="8474" max="8474" width="9.109375" style="39" bestFit="1" customWidth="1"/>
    <col min="8475" max="8475" width="10.6640625" style="39" bestFit="1" customWidth="1"/>
    <col min="8476" max="8476" width="4.5546875" style="39" bestFit="1" customWidth="1"/>
    <col min="8477" max="8477" width="5.5546875" style="39" bestFit="1" customWidth="1"/>
    <col min="8478" max="8478" width="10.6640625" style="39" bestFit="1" customWidth="1"/>
    <col min="8479" max="8482" width="9.109375" style="39"/>
    <col min="8483" max="8483" width="12" style="39" bestFit="1" customWidth="1"/>
    <col min="8484" max="8484" width="32.6640625" style="39" customWidth="1"/>
    <col min="8485" max="8485" width="12.33203125" style="39" bestFit="1" customWidth="1"/>
    <col min="8486" max="8486" width="9.109375" style="39"/>
    <col min="8487" max="8487" width="10.6640625" style="39" bestFit="1" customWidth="1"/>
    <col min="8488" max="8492" width="9.109375" style="39"/>
    <col min="8493" max="8493" width="10.6640625" style="39" bestFit="1" customWidth="1"/>
    <col min="8494" max="8500" width="9.109375" style="39"/>
    <col min="8501" max="8501" width="12" style="39" bestFit="1" customWidth="1"/>
    <col min="8502" max="8502" width="32.6640625" style="39" customWidth="1"/>
    <col min="8503" max="8503" width="12.33203125" style="39" bestFit="1" customWidth="1"/>
    <col min="8504" max="8504" width="9.109375" style="39"/>
    <col min="8505" max="8505" width="10.6640625" style="39" bestFit="1" customWidth="1"/>
    <col min="8506" max="8510" width="9.109375" style="39"/>
    <col min="8511" max="8511" width="10.6640625" style="39" bestFit="1" customWidth="1"/>
    <col min="8512" max="8518" width="9.109375" style="39"/>
    <col min="8519" max="8519" width="12" style="39" bestFit="1" customWidth="1"/>
    <col min="8520" max="8520" width="32.6640625" style="39" customWidth="1"/>
    <col min="8521" max="8521" width="12.33203125" style="39" bestFit="1" customWidth="1"/>
    <col min="8522" max="8522" width="9.109375" style="39"/>
    <col min="8523" max="8523" width="10.6640625" style="39" bestFit="1" customWidth="1"/>
    <col min="8524" max="8528" width="9.109375" style="39"/>
    <col min="8529" max="8529" width="10.6640625" style="39" bestFit="1" customWidth="1"/>
    <col min="8530" max="8536" width="9.109375" style="39"/>
    <col min="8537" max="8537" width="12" style="39" bestFit="1" customWidth="1"/>
    <col min="8538" max="8538" width="32.6640625" style="39" customWidth="1"/>
    <col min="8539" max="8539" width="12.33203125" style="39" bestFit="1" customWidth="1"/>
    <col min="8540" max="8540" width="9.109375" style="39"/>
    <col min="8541" max="8541" width="10.6640625" style="39" bestFit="1" customWidth="1"/>
    <col min="8542" max="8546" width="9.109375" style="39"/>
    <col min="8547" max="8547" width="10.6640625" style="39" bestFit="1" customWidth="1"/>
    <col min="8548" max="8554" width="9.109375" style="39"/>
    <col min="8555" max="8555" width="12" style="39" bestFit="1" customWidth="1"/>
    <col min="8556" max="8556" width="32.6640625" style="39" customWidth="1"/>
    <col min="8557" max="8557" width="12.33203125" style="39" bestFit="1" customWidth="1"/>
    <col min="8558" max="8558" width="9.109375" style="39"/>
    <col min="8559" max="8559" width="10.6640625" style="39" bestFit="1" customWidth="1"/>
    <col min="8560" max="8564" width="9.109375" style="39"/>
    <col min="8565" max="8565" width="10.6640625" style="39" bestFit="1" customWidth="1"/>
    <col min="8566" max="8572" width="9.109375" style="39"/>
    <col min="8573" max="8573" width="12" style="39" bestFit="1" customWidth="1"/>
    <col min="8574" max="8574" width="32.6640625" style="39" customWidth="1"/>
    <col min="8575" max="8575" width="12.33203125" style="39" bestFit="1" customWidth="1"/>
    <col min="8576" max="8576" width="9.109375" style="39"/>
    <col min="8577" max="8577" width="10.6640625" style="39" bestFit="1" customWidth="1"/>
    <col min="8578" max="8582" width="9.109375" style="39"/>
    <col min="8583" max="8583" width="10.6640625" style="39" bestFit="1" customWidth="1"/>
    <col min="8584" max="8590" width="9.109375" style="39"/>
    <col min="8591" max="8591" width="12" style="39" bestFit="1" customWidth="1"/>
    <col min="8592" max="8592" width="32.6640625" style="39" customWidth="1"/>
    <col min="8593" max="8593" width="12.33203125" style="39" bestFit="1" customWidth="1"/>
    <col min="8594" max="8594" width="9.109375" style="39"/>
    <col min="8595" max="8595" width="10.6640625" style="39" bestFit="1" customWidth="1"/>
    <col min="8596" max="8600" width="9.109375" style="39"/>
    <col min="8601" max="8601" width="10.6640625" style="39" bestFit="1" customWidth="1"/>
    <col min="8602" max="8608" width="9.109375" style="39"/>
    <col min="8609" max="8609" width="12" style="39" bestFit="1" customWidth="1"/>
    <col min="8610" max="8610" width="32.6640625" style="39" customWidth="1"/>
    <col min="8611" max="8611" width="12.33203125" style="39" bestFit="1" customWidth="1"/>
    <col min="8612" max="8612" width="9.109375" style="39"/>
    <col min="8613" max="8613" width="10.6640625" style="39" bestFit="1" customWidth="1"/>
    <col min="8614" max="8618" width="9.109375" style="39"/>
    <col min="8619" max="8619" width="10.6640625" style="39" bestFit="1" customWidth="1"/>
    <col min="8620" max="8626" width="9.109375" style="39"/>
    <col min="8627" max="8627" width="12" style="39" bestFit="1" customWidth="1"/>
    <col min="8628" max="8628" width="32.6640625" style="39" customWidth="1"/>
    <col min="8629" max="8629" width="12.33203125" style="39" bestFit="1" customWidth="1"/>
    <col min="8630" max="8630" width="9.109375" style="39"/>
    <col min="8631" max="8631" width="10.6640625" style="39" bestFit="1" customWidth="1"/>
    <col min="8632" max="8636" width="9.109375" style="39"/>
    <col min="8637" max="8637" width="10.6640625" style="39" bestFit="1" customWidth="1"/>
    <col min="8638" max="8644" width="9.109375" style="39"/>
    <col min="8645" max="8645" width="12" style="39" bestFit="1" customWidth="1"/>
    <col min="8646" max="8646" width="32.6640625" style="39" customWidth="1"/>
    <col min="8647" max="8647" width="12.33203125" style="39" bestFit="1" customWidth="1"/>
    <col min="8648" max="8648" width="9.109375" style="39"/>
    <col min="8649" max="8649" width="10.6640625" style="39" bestFit="1" customWidth="1"/>
    <col min="8650" max="8654" width="9.109375" style="39"/>
    <col min="8655" max="8655" width="10.6640625" style="39" bestFit="1" customWidth="1"/>
    <col min="8656" max="8662" width="9.109375" style="39"/>
    <col min="8663" max="8663" width="13.33203125" style="39" bestFit="1" customWidth="1"/>
    <col min="8664" max="8664" width="32.6640625" style="39" customWidth="1"/>
    <col min="8665" max="8665" width="12.33203125" style="39" bestFit="1" customWidth="1"/>
    <col min="8666" max="8666" width="9.109375" style="39"/>
    <col min="8667" max="8667" width="10.6640625" style="39" bestFit="1" customWidth="1"/>
    <col min="8668" max="8672" width="9.109375" style="39"/>
    <col min="8673" max="8673" width="10.6640625" style="39" bestFit="1" customWidth="1"/>
    <col min="8674" max="8680" width="9.109375" style="39"/>
    <col min="8681" max="8681" width="12" style="39" bestFit="1" customWidth="1"/>
    <col min="8682" max="8722" width="9.109375" style="39"/>
    <col min="8723" max="8723" width="12.33203125" style="39" bestFit="1" customWidth="1"/>
    <col min="8724" max="8724" width="10.109375" style="39" bestFit="1" customWidth="1"/>
    <col min="8725" max="8725" width="10.6640625" style="39" bestFit="1" customWidth="1"/>
    <col min="8726" max="8729" width="9.109375" style="39"/>
    <col min="8730" max="8730" width="9.109375" style="39" bestFit="1" customWidth="1"/>
    <col min="8731" max="8731" width="10.6640625" style="39" bestFit="1" customWidth="1"/>
    <col min="8732" max="8732" width="4.5546875" style="39" bestFit="1" customWidth="1"/>
    <col min="8733" max="8733" width="5.5546875" style="39" bestFit="1" customWidth="1"/>
    <col min="8734" max="8734" width="10.6640625" style="39" bestFit="1" customWidth="1"/>
    <col min="8735" max="8738" width="9.109375" style="39"/>
    <col min="8739" max="8739" width="12" style="39" bestFit="1" customWidth="1"/>
    <col min="8740" max="8740" width="32.6640625" style="39" customWidth="1"/>
    <col min="8741" max="8741" width="12.33203125" style="39" bestFit="1" customWidth="1"/>
    <col min="8742" max="8742" width="9.109375" style="39"/>
    <col min="8743" max="8743" width="10.6640625" style="39" bestFit="1" customWidth="1"/>
    <col min="8744" max="8748" width="9.109375" style="39"/>
    <col min="8749" max="8749" width="10.6640625" style="39" bestFit="1" customWidth="1"/>
    <col min="8750" max="8756" width="9.109375" style="39"/>
    <col min="8757" max="8757" width="12" style="39" bestFit="1" customWidth="1"/>
    <col min="8758" max="8758" width="32.6640625" style="39" customWidth="1"/>
    <col min="8759" max="8759" width="12.33203125" style="39" bestFit="1" customWidth="1"/>
    <col min="8760" max="8760" width="9.109375" style="39"/>
    <col min="8761" max="8761" width="10.6640625" style="39" bestFit="1" customWidth="1"/>
    <col min="8762" max="8766" width="9.109375" style="39"/>
    <col min="8767" max="8767" width="10.6640625" style="39" bestFit="1" customWidth="1"/>
    <col min="8768" max="8774" width="9.109375" style="39"/>
    <col min="8775" max="8775" width="12" style="39" bestFit="1" customWidth="1"/>
    <col min="8776" max="8776" width="32.6640625" style="39" customWidth="1"/>
    <col min="8777" max="8777" width="12.33203125" style="39" bestFit="1" customWidth="1"/>
    <col min="8778" max="8778" width="9.109375" style="39"/>
    <col min="8779" max="8779" width="10.6640625" style="39" bestFit="1" customWidth="1"/>
    <col min="8780" max="8784" width="9.109375" style="39"/>
    <col min="8785" max="8785" width="10.6640625" style="39" bestFit="1" customWidth="1"/>
    <col min="8786" max="8792" width="9.109375" style="39"/>
    <col min="8793" max="8793" width="12" style="39" bestFit="1" customWidth="1"/>
    <col min="8794" max="8794" width="32.6640625" style="39" customWidth="1"/>
    <col min="8795" max="8795" width="12.33203125" style="39" bestFit="1" customWidth="1"/>
    <col min="8796" max="8796" width="9.109375" style="39"/>
    <col min="8797" max="8797" width="10.6640625" style="39" bestFit="1" customWidth="1"/>
    <col min="8798" max="8802" width="9.109375" style="39"/>
    <col min="8803" max="8803" width="10.6640625" style="39" bestFit="1" customWidth="1"/>
    <col min="8804" max="8810" width="9.109375" style="39"/>
    <col min="8811" max="8811" width="12" style="39" bestFit="1" customWidth="1"/>
    <col min="8812" max="8812" width="32.6640625" style="39" customWidth="1"/>
    <col min="8813" max="8813" width="12.33203125" style="39" bestFit="1" customWidth="1"/>
    <col min="8814" max="8814" width="9.109375" style="39"/>
    <col min="8815" max="8815" width="10.6640625" style="39" bestFit="1" customWidth="1"/>
    <col min="8816" max="8820" width="9.109375" style="39"/>
    <col min="8821" max="8821" width="10.6640625" style="39" bestFit="1" customWidth="1"/>
    <col min="8822" max="8828" width="9.109375" style="39"/>
    <col min="8829" max="8829" width="12" style="39" bestFit="1" customWidth="1"/>
    <col min="8830" max="8830" width="32.6640625" style="39" customWidth="1"/>
    <col min="8831" max="8831" width="12.33203125" style="39" bestFit="1" customWidth="1"/>
    <col min="8832" max="8832" width="9.109375" style="39"/>
    <col min="8833" max="8833" width="10.6640625" style="39" bestFit="1" customWidth="1"/>
    <col min="8834" max="8838" width="9.109375" style="39"/>
    <col min="8839" max="8839" width="10.6640625" style="39" bestFit="1" customWidth="1"/>
    <col min="8840" max="8846" width="9.109375" style="39"/>
    <col min="8847" max="8847" width="12" style="39" bestFit="1" customWidth="1"/>
    <col min="8848" max="8848" width="32.6640625" style="39" customWidth="1"/>
    <col min="8849" max="8849" width="12.33203125" style="39" bestFit="1" customWidth="1"/>
    <col min="8850" max="8850" width="9.109375" style="39"/>
    <col min="8851" max="8851" width="10.6640625" style="39" bestFit="1" customWidth="1"/>
    <col min="8852" max="8856" width="9.109375" style="39"/>
    <col min="8857" max="8857" width="10.6640625" style="39" bestFit="1" customWidth="1"/>
    <col min="8858" max="8864" width="9.109375" style="39"/>
    <col min="8865" max="8865" width="12" style="39" bestFit="1" customWidth="1"/>
    <col min="8866" max="8866" width="32.6640625" style="39" customWidth="1"/>
    <col min="8867" max="8867" width="12.33203125" style="39" bestFit="1" customWidth="1"/>
    <col min="8868" max="8868" width="9.109375" style="39"/>
    <col min="8869" max="8869" width="10.6640625" style="39" bestFit="1" customWidth="1"/>
    <col min="8870" max="8874" width="9.109375" style="39"/>
    <col min="8875" max="8875" width="10.6640625" style="39" bestFit="1" customWidth="1"/>
    <col min="8876" max="8882" width="9.109375" style="39"/>
    <col min="8883" max="8883" width="12" style="39" bestFit="1" customWidth="1"/>
    <col min="8884" max="8884" width="32.6640625" style="39" customWidth="1"/>
    <col min="8885" max="8885" width="12.33203125" style="39" bestFit="1" customWidth="1"/>
    <col min="8886" max="8886" width="9.109375" style="39"/>
    <col min="8887" max="8887" width="10.6640625" style="39" bestFit="1" customWidth="1"/>
    <col min="8888" max="8892" width="9.109375" style="39"/>
    <col min="8893" max="8893" width="10.6640625" style="39" bestFit="1" customWidth="1"/>
    <col min="8894" max="8900" width="9.109375" style="39"/>
    <col min="8901" max="8901" width="12" style="39" bestFit="1" customWidth="1"/>
    <col min="8902" max="8902" width="32.6640625" style="39" customWidth="1"/>
    <col min="8903" max="8903" width="12.33203125" style="39" bestFit="1" customWidth="1"/>
    <col min="8904" max="8904" width="9.109375" style="39"/>
    <col min="8905" max="8905" width="10.6640625" style="39" bestFit="1" customWidth="1"/>
    <col min="8906" max="8910" width="9.109375" style="39"/>
    <col min="8911" max="8911" width="10.6640625" style="39" bestFit="1" customWidth="1"/>
    <col min="8912" max="8918" width="9.109375" style="39"/>
    <col min="8919" max="8919" width="13.33203125" style="39" bestFit="1" customWidth="1"/>
    <col min="8920" max="8920" width="32.6640625" style="39" customWidth="1"/>
    <col min="8921" max="8921" width="12.33203125" style="39" bestFit="1" customWidth="1"/>
    <col min="8922" max="8922" width="9.109375" style="39"/>
    <col min="8923" max="8923" width="10.6640625" style="39" bestFit="1" customWidth="1"/>
    <col min="8924" max="8928" width="9.109375" style="39"/>
    <col min="8929" max="8929" width="10.6640625" style="39" bestFit="1" customWidth="1"/>
    <col min="8930" max="8936" width="9.109375" style="39"/>
    <col min="8937" max="8937" width="12" style="39" bestFit="1" customWidth="1"/>
    <col min="8938" max="8978" width="9.109375" style="39"/>
    <col min="8979" max="8979" width="12.33203125" style="39" bestFit="1" customWidth="1"/>
    <col min="8980" max="8980" width="10.109375" style="39" bestFit="1" customWidth="1"/>
    <col min="8981" max="8981" width="10.6640625" style="39" bestFit="1" customWidth="1"/>
    <col min="8982" max="8985" width="9.109375" style="39"/>
    <col min="8986" max="8986" width="9.109375" style="39" bestFit="1" customWidth="1"/>
    <col min="8987" max="8987" width="10.6640625" style="39" bestFit="1" customWidth="1"/>
    <col min="8988" max="8988" width="4.5546875" style="39" bestFit="1" customWidth="1"/>
    <col min="8989" max="8989" width="5.5546875" style="39" bestFit="1" customWidth="1"/>
    <col min="8990" max="8990" width="10.6640625" style="39" bestFit="1" customWidth="1"/>
    <col min="8991" max="8994" width="9.109375" style="39"/>
    <col min="8995" max="8995" width="12" style="39" bestFit="1" customWidth="1"/>
    <col min="8996" max="8996" width="32.6640625" style="39" customWidth="1"/>
    <col min="8997" max="8997" width="12.33203125" style="39" bestFit="1" customWidth="1"/>
    <col min="8998" max="8998" width="9.109375" style="39"/>
    <col min="8999" max="8999" width="10.6640625" style="39" bestFit="1" customWidth="1"/>
    <col min="9000" max="9004" width="9.109375" style="39"/>
    <col min="9005" max="9005" width="10.6640625" style="39" bestFit="1" customWidth="1"/>
    <col min="9006" max="9012" width="9.109375" style="39"/>
    <col min="9013" max="9013" width="12" style="39" bestFit="1" customWidth="1"/>
    <col min="9014" max="9014" width="32.6640625" style="39" customWidth="1"/>
    <col min="9015" max="9015" width="12.33203125" style="39" bestFit="1" customWidth="1"/>
    <col min="9016" max="9016" width="9.109375" style="39"/>
    <col min="9017" max="9017" width="10.6640625" style="39" bestFit="1" customWidth="1"/>
    <col min="9018" max="9022" width="9.109375" style="39"/>
    <col min="9023" max="9023" width="10.6640625" style="39" bestFit="1" customWidth="1"/>
    <col min="9024" max="9030" width="9.109375" style="39"/>
    <col min="9031" max="9031" width="12" style="39" bestFit="1" customWidth="1"/>
    <col min="9032" max="9032" width="32.6640625" style="39" customWidth="1"/>
    <col min="9033" max="9033" width="12.33203125" style="39" bestFit="1" customWidth="1"/>
    <col min="9034" max="9034" width="9.109375" style="39"/>
    <col min="9035" max="9035" width="10.6640625" style="39" bestFit="1" customWidth="1"/>
    <col min="9036" max="9040" width="9.109375" style="39"/>
    <col min="9041" max="9041" width="10.6640625" style="39" bestFit="1" customWidth="1"/>
    <col min="9042" max="9048" width="9.109375" style="39"/>
    <col min="9049" max="9049" width="12" style="39" bestFit="1" customWidth="1"/>
    <col min="9050" max="9050" width="32.6640625" style="39" customWidth="1"/>
    <col min="9051" max="9051" width="12.33203125" style="39" bestFit="1" customWidth="1"/>
    <col min="9052" max="9052" width="9.109375" style="39"/>
    <col min="9053" max="9053" width="10.6640625" style="39" bestFit="1" customWidth="1"/>
    <col min="9054" max="9058" width="9.109375" style="39"/>
    <col min="9059" max="9059" width="10.6640625" style="39" bestFit="1" customWidth="1"/>
    <col min="9060" max="9066" width="9.109375" style="39"/>
    <col min="9067" max="9067" width="12" style="39" bestFit="1" customWidth="1"/>
    <col min="9068" max="9068" width="32.6640625" style="39" customWidth="1"/>
    <col min="9069" max="9069" width="12.33203125" style="39" bestFit="1" customWidth="1"/>
    <col min="9070" max="9070" width="9.109375" style="39"/>
    <col min="9071" max="9071" width="10.6640625" style="39" bestFit="1" customWidth="1"/>
    <col min="9072" max="9076" width="9.109375" style="39"/>
    <col min="9077" max="9077" width="10.6640625" style="39" bestFit="1" customWidth="1"/>
    <col min="9078" max="9084" width="9.109375" style="39"/>
    <col min="9085" max="9085" width="12" style="39" bestFit="1" customWidth="1"/>
    <col min="9086" max="9086" width="32.6640625" style="39" customWidth="1"/>
    <col min="9087" max="9087" width="12.33203125" style="39" bestFit="1" customWidth="1"/>
    <col min="9088" max="9088" width="9.109375" style="39"/>
    <col min="9089" max="9089" width="10.6640625" style="39" bestFit="1" customWidth="1"/>
    <col min="9090" max="9094" width="9.109375" style="39"/>
    <col min="9095" max="9095" width="10.6640625" style="39" bestFit="1" customWidth="1"/>
    <col min="9096" max="9102" width="9.109375" style="39"/>
    <col min="9103" max="9103" width="12" style="39" bestFit="1" customWidth="1"/>
    <col min="9104" max="9104" width="32.6640625" style="39" customWidth="1"/>
    <col min="9105" max="9105" width="12.33203125" style="39" bestFit="1" customWidth="1"/>
    <col min="9106" max="9106" width="9.109375" style="39"/>
    <col min="9107" max="9107" width="10.6640625" style="39" bestFit="1" customWidth="1"/>
    <col min="9108" max="9112" width="9.109375" style="39"/>
    <col min="9113" max="9113" width="10.6640625" style="39" bestFit="1" customWidth="1"/>
    <col min="9114" max="9120" width="9.109375" style="39"/>
    <col min="9121" max="9121" width="12" style="39" bestFit="1" customWidth="1"/>
    <col min="9122" max="9122" width="32.6640625" style="39" customWidth="1"/>
    <col min="9123" max="9123" width="12.33203125" style="39" bestFit="1" customWidth="1"/>
    <col min="9124" max="9124" width="9.109375" style="39"/>
    <col min="9125" max="9125" width="10.6640625" style="39" bestFit="1" customWidth="1"/>
    <col min="9126" max="9130" width="9.109375" style="39"/>
    <col min="9131" max="9131" width="10.6640625" style="39" bestFit="1" customWidth="1"/>
    <col min="9132" max="9138" width="9.109375" style="39"/>
    <col min="9139" max="9139" width="12" style="39" bestFit="1" customWidth="1"/>
    <col min="9140" max="9140" width="32.6640625" style="39" customWidth="1"/>
    <col min="9141" max="9141" width="12.33203125" style="39" bestFit="1" customWidth="1"/>
    <col min="9142" max="9142" width="9.109375" style="39"/>
    <col min="9143" max="9143" width="10.6640625" style="39" bestFit="1" customWidth="1"/>
    <col min="9144" max="9148" width="9.109375" style="39"/>
    <col min="9149" max="9149" width="10.6640625" style="39" bestFit="1" customWidth="1"/>
    <col min="9150" max="9156" width="9.109375" style="39"/>
    <col min="9157" max="9157" width="12" style="39" bestFit="1" customWidth="1"/>
    <col min="9158" max="9158" width="32.6640625" style="39" customWidth="1"/>
    <col min="9159" max="9159" width="12.33203125" style="39" bestFit="1" customWidth="1"/>
    <col min="9160" max="9160" width="9.109375" style="39"/>
    <col min="9161" max="9161" width="10.6640625" style="39" bestFit="1" customWidth="1"/>
    <col min="9162" max="9166" width="9.109375" style="39"/>
    <col min="9167" max="9167" width="10.6640625" style="39" bestFit="1" customWidth="1"/>
    <col min="9168" max="9174" width="9.109375" style="39"/>
    <col min="9175" max="9175" width="13.33203125" style="39" bestFit="1" customWidth="1"/>
    <col min="9176" max="9176" width="32.6640625" style="39" customWidth="1"/>
    <col min="9177" max="9177" width="12.33203125" style="39" bestFit="1" customWidth="1"/>
    <col min="9178" max="9178" width="9.109375" style="39"/>
    <col min="9179" max="9179" width="10.6640625" style="39" bestFit="1" customWidth="1"/>
    <col min="9180" max="9184" width="9.109375" style="39"/>
    <col min="9185" max="9185" width="10.6640625" style="39" bestFit="1" customWidth="1"/>
    <col min="9186" max="9192" width="9.109375" style="39"/>
    <col min="9193" max="9193" width="12" style="39" bestFit="1" customWidth="1"/>
    <col min="9194" max="9234" width="9.109375" style="39"/>
    <col min="9235" max="9235" width="12.33203125" style="39" bestFit="1" customWidth="1"/>
    <col min="9236" max="9236" width="10.109375" style="39" bestFit="1" customWidth="1"/>
    <col min="9237" max="9237" width="10.6640625" style="39" bestFit="1" customWidth="1"/>
    <col min="9238" max="9241" width="9.109375" style="39"/>
    <col min="9242" max="9242" width="9.109375" style="39" bestFit="1" customWidth="1"/>
    <col min="9243" max="9243" width="10.6640625" style="39" bestFit="1" customWidth="1"/>
    <col min="9244" max="9244" width="4.5546875" style="39" bestFit="1" customWidth="1"/>
    <col min="9245" max="9245" width="5.5546875" style="39" bestFit="1" customWidth="1"/>
    <col min="9246" max="9246" width="10.6640625" style="39" bestFit="1" customWidth="1"/>
    <col min="9247" max="9250" width="9.109375" style="39"/>
    <col min="9251" max="9251" width="12" style="39" bestFit="1" customWidth="1"/>
    <col min="9252" max="9252" width="32.6640625" style="39" customWidth="1"/>
    <col min="9253" max="9253" width="12.33203125" style="39" bestFit="1" customWidth="1"/>
    <col min="9254" max="9254" width="9.109375" style="39"/>
    <col min="9255" max="9255" width="10.6640625" style="39" bestFit="1" customWidth="1"/>
    <col min="9256" max="9260" width="9.109375" style="39"/>
    <col min="9261" max="9261" width="10.6640625" style="39" bestFit="1" customWidth="1"/>
    <col min="9262" max="9268" width="9.109375" style="39"/>
    <col min="9269" max="9269" width="12" style="39" bestFit="1" customWidth="1"/>
    <col min="9270" max="9270" width="32.6640625" style="39" customWidth="1"/>
    <col min="9271" max="9271" width="12.33203125" style="39" bestFit="1" customWidth="1"/>
    <col min="9272" max="9272" width="9.109375" style="39"/>
    <col min="9273" max="9273" width="10.6640625" style="39" bestFit="1" customWidth="1"/>
    <col min="9274" max="9278" width="9.109375" style="39"/>
    <col min="9279" max="9279" width="10.6640625" style="39" bestFit="1" customWidth="1"/>
    <col min="9280" max="9286" width="9.109375" style="39"/>
    <col min="9287" max="9287" width="12" style="39" bestFit="1" customWidth="1"/>
    <col min="9288" max="9288" width="32.6640625" style="39" customWidth="1"/>
    <col min="9289" max="9289" width="12.33203125" style="39" bestFit="1" customWidth="1"/>
    <col min="9290" max="9290" width="9.109375" style="39"/>
    <col min="9291" max="9291" width="10.6640625" style="39" bestFit="1" customWidth="1"/>
    <col min="9292" max="9296" width="9.109375" style="39"/>
    <col min="9297" max="9297" width="10.6640625" style="39" bestFit="1" customWidth="1"/>
    <col min="9298" max="9304" width="9.109375" style="39"/>
    <col min="9305" max="9305" width="12" style="39" bestFit="1" customWidth="1"/>
    <col min="9306" max="9306" width="32.6640625" style="39" customWidth="1"/>
    <col min="9307" max="9307" width="12.33203125" style="39" bestFit="1" customWidth="1"/>
    <col min="9308" max="9308" width="9.109375" style="39"/>
    <col min="9309" max="9309" width="10.6640625" style="39" bestFit="1" customWidth="1"/>
    <col min="9310" max="9314" width="9.109375" style="39"/>
    <col min="9315" max="9315" width="10.6640625" style="39" bestFit="1" customWidth="1"/>
    <col min="9316" max="9322" width="9.109375" style="39"/>
    <col min="9323" max="9323" width="12" style="39" bestFit="1" customWidth="1"/>
    <col min="9324" max="9324" width="32.6640625" style="39" customWidth="1"/>
    <col min="9325" max="9325" width="12.33203125" style="39" bestFit="1" customWidth="1"/>
    <col min="9326" max="9326" width="9.109375" style="39"/>
    <col min="9327" max="9327" width="10.6640625" style="39" bestFit="1" customWidth="1"/>
    <col min="9328" max="9332" width="9.109375" style="39"/>
    <col min="9333" max="9333" width="10.6640625" style="39" bestFit="1" customWidth="1"/>
    <col min="9334" max="9340" width="9.109375" style="39"/>
    <col min="9341" max="9341" width="12" style="39" bestFit="1" customWidth="1"/>
    <col min="9342" max="9342" width="32.6640625" style="39" customWidth="1"/>
    <col min="9343" max="9343" width="12.33203125" style="39" bestFit="1" customWidth="1"/>
    <col min="9344" max="9344" width="9.109375" style="39"/>
    <col min="9345" max="9345" width="10.6640625" style="39" bestFit="1" customWidth="1"/>
    <col min="9346" max="9350" width="9.109375" style="39"/>
    <col min="9351" max="9351" width="10.6640625" style="39" bestFit="1" customWidth="1"/>
    <col min="9352" max="9358" width="9.109375" style="39"/>
    <col min="9359" max="9359" width="12" style="39" bestFit="1" customWidth="1"/>
    <col min="9360" max="9360" width="32.6640625" style="39" customWidth="1"/>
    <col min="9361" max="9361" width="12.33203125" style="39" bestFit="1" customWidth="1"/>
    <col min="9362" max="9362" width="9.109375" style="39"/>
    <col min="9363" max="9363" width="10.6640625" style="39" bestFit="1" customWidth="1"/>
    <col min="9364" max="9368" width="9.109375" style="39"/>
    <col min="9369" max="9369" width="10.6640625" style="39" bestFit="1" customWidth="1"/>
    <col min="9370" max="9376" width="9.109375" style="39"/>
    <col min="9377" max="9377" width="12" style="39" bestFit="1" customWidth="1"/>
    <col min="9378" max="9378" width="32.6640625" style="39" customWidth="1"/>
    <col min="9379" max="9379" width="12.33203125" style="39" bestFit="1" customWidth="1"/>
    <col min="9380" max="9380" width="9.109375" style="39"/>
    <col min="9381" max="9381" width="10.6640625" style="39" bestFit="1" customWidth="1"/>
    <col min="9382" max="9386" width="9.109375" style="39"/>
    <col min="9387" max="9387" width="10.6640625" style="39" bestFit="1" customWidth="1"/>
    <col min="9388" max="9394" width="9.109375" style="39"/>
    <col min="9395" max="9395" width="12" style="39" bestFit="1" customWidth="1"/>
    <col min="9396" max="9396" width="32.6640625" style="39" customWidth="1"/>
    <col min="9397" max="9397" width="12.33203125" style="39" bestFit="1" customWidth="1"/>
    <col min="9398" max="9398" width="9.109375" style="39"/>
    <col min="9399" max="9399" width="10.6640625" style="39" bestFit="1" customWidth="1"/>
    <col min="9400" max="9404" width="9.109375" style="39"/>
    <col min="9405" max="9405" width="10.6640625" style="39" bestFit="1" customWidth="1"/>
    <col min="9406" max="9412" width="9.109375" style="39"/>
    <col min="9413" max="9413" width="12" style="39" bestFit="1" customWidth="1"/>
    <col min="9414" max="9414" width="32.6640625" style="39" customWidth="1"/>
    <col min="9415" max="9415" width="12.33203125" style="39" bestFit="1" customWidth="1"/>
    <col min="9416" max="9416" width="9.109375" style="39"/>
    <col min="9417" max="9417" width="10.6640625" style="39" bestFit="1" customWidth="1"/>
    <col min="9418" max="9422" width="9.109375" style="39"/>
    <col min="9423" max="9423" width="10.6640625" style="39" bestFit="1" customWidth="1"/>
    <col min="9424" max="9430" width="9.109375" style="39"/>
    <col min="9431" max="9431" width="13.33203125" style="39" bestFit="1" customWidth="1"/>
    <col min="9432" max="9432" width="32.6640625" style="39" customWidth="1"/>
    <col min="9433" max="9433" width="12.33203125" style="39" bestFit="1" customWidth="1"/>
    <col min="9434" max="9434" width="9.109375" style="39"/>
    <col min="9435" max="9435" width="10.6640625" style="39" bestFit="1" customWidth="1"/>
    <col min="9436" max="9440" width="9.109375" style="39"/>
    <col min="9441" max="9441" width="10.6640625" style="39" bestFit="1" customWidth="1"/>
    <col min="9442" max="9448" width="9.109375" style="39"/>
    <col min="9449" max="9449" width="12" style="39" bestFit="1" customWidth="1"/>
    <col min="9450" max="9490" width="9.109375" style="39"/>
    <col min="9491" max="9491" width="12.33203125" style="39" bestFit="1" customWidth="1"/>
    <col min="9492" max="9492" width="10.109375" style="39" bestFit="1" customWidth="1"/>
    <col min="9493" max="9493" width="10.6640625" style="39" bestFit="1" customWidth="1"/>
    <col min="9494" max="9497" width="9.109375" style="39"/>
    <col min="9498" max="9498" width="9.109375" style="39" bestFit="1" customWidth="1"/>
    <col min="9499" max="9499" width="10.6640625" style="39" bestFit="1" customWidth="1"/>
    <col min="9500" max="9500" width="4.5546875" style="39" bestFit="1" customWidth="1"/>
    <col min="9501" max="9501" width="5.5546875" style="39" bestFit="1" customWidth="1"/>
    <col min="9502" max="9502" width="10.6640625" style="39" bestFit="1" customWidth="1"/>
    <col min="9503" max="9506" width="9.109375" style="39"/>
    <col min="9507" max="9507" width="12" style="39" bestFit="1" customWidth="1"/>
    <col min="9508" max="9508" width="32.6640625" style="39" customWidth="1"/>
    <col min="9509" max="9509" width="12.33203125" style="39" bestFit="1" customWidth="1"/>
    <col min="9510" max="9510" width="9.109375" style="39"/>
    <col min="9511" max="9511" width="10.6640625" style="39" bestFit="1" customWidth="1"/>
    <col min="9512" max="9516" width="9.109375" style="39"/>
    <col min="9517" max="9517" width="10.6640625" style="39" bestFit="1" customWidth="1"/>
    <col min="9518" max="9524" width="9.109375" style="39"/>
    <col min="9525" max="9525" width="12" style="39" bestFit="1" customWidth="1"/>
    <col min="9526" max="9526" width="32.6640625" style="39" customWidth="1"/>
    <col min="9527" max="9527" width="12.33203125" style="39" bestFit="1" customWidth="1"/>
    <col min="9528" max="9528" width="9.109375" style="39"/>
    <col min="9529" max="9529" width="10.6640625" style="39" bestFit="1" customWidth="1"/>
    <col min="9530" max="9534" width="9.109375" style="39"/>
    <col min="9535" max="9535" width="10.6640625" style="39" bestFit="1" customWidth="1"/>
    <col min="9536" max="9542" width="9.109375" style="39"/>
    <col min="9543" max="9543" width="12" style="39" bestFit="1" customWidth="1"/>
    <col min="9544" max="9544" width="32.6640625" style="39" customWidth="1"/>
    <col min="9545" max="9545" width="12.33203125" style="39" bestFit="1" customWidth="1"/>
    <col min="9546" max="9546" width="9.109375" style="39"/>
    <col min="9547" max="9547" width="10.6640625" style="39" bestFit="1" customWidth="1"/>
    <col min="9548" max="9552" width="9.109375" style="39"/>
    <col min="9553" max="9553" width="10.6640625" style="39" bestFit="1" customWidth="1"/>
    <col min="9554" max="9560" width="9.109375" style="39"/>
    <col min="9561" max="9561" width="12" style="39" bestFit="1" customWidth="1"/>
    <col min="9562" max="9562" width="32.6640625" style="39" customWidth="1"/>
    <col min="9563" max="9563" width="12.33203125" style="39" bestFit="1" customWidth="1"/>
    <col min="9564" max="9564" width="9.109375" style="39"/>
    <col min="9565" max="9565" width="10.6640625" style="39" bestFit="1" customWidth="1"/>
    <col min="9566" max="9570" width="9.109375" style="39"/>
    <col min="9571" max="9571" width="10.6640625" style="39" bestFit="1" customWidth="1"/>
    <col min="9572" max="9578" width="9.109375" style="39"/>
    <col min="9579" max="9579" width="12" style="39" bestFit="1" customWidth="1"/>
    <col min="9580" max="9580" width="32.6640625" style="39" customWidth="1"/>
    <col min="9581" max="9581" width="12.33203125" style="39" bestFit="1" customWidth="1"/>
    <col min="9582" max="9582" width="9.109375" style="39"/>
    <col min="9583" max="9583" width="10.6640625" style="39" bestFit="1" customWidth="1"/>
    <col min="9584" max="9588" width="9.109375" style="39"/>
    <col min="9589" max="9589" width="10.6640625" style="39" bestFit="1" customWidth="1"/>
    <col min="9590" max="9596" width="9.109375" style="39"/>
    <col min="9597" max="9597" width="12" style="39" bestFit="1" customWidth="1"/>
    <col min="9598" max="9598" width="32.6640625" style="39" customWidth="1"/>
    <col min="9599" max="9599" width="12.33203125" style="39" bestFit="1" customWidth="1"/>
    <col min="9600" max="9600" width="9.109375" style="39"/>
    <col min="9601" max="9601" width="10.6640625" style="39" bestFit="1" customWidth="1"/>
    <col min="9602" max="9606" width="9.109375" style="39"/>
    <col min="9607" max="9607" width="10.6640625" style="39" bestFit="1" customWidth="1"/>
    <col min="9608" max="9614" width="9.109375" style="39"/>
    <col min="9615" max="9615" width="12" style="39" bestFit="1" customWidth="1"/>
    <col min="9616" max="9616" width="32.6640625" style="39" customWidth="1"/>
    <col min="9617" max="9617" width="12.33203125" style="39" bestFit="1" customWidth="1"/>
    <col min="9618" max="9618" width="9.109375" style="39"/>
    <col min="9619" max="9619" width="10.6640625" style="39" bestFit="1" customWidth="1"/>
    <col min="9620" max="9624" width="9.109375" style="39"/>
    <col min="9625" max="9625" width="10.6640625" style="39" bestFit="1" customWidth="1"/>
    <col min="9626" max="9632" width="9.109375" style="39"/>
    <col min="9633" max="9633" width="12" style="39" bestFit="1" customWidth="1"/>
    <col min="9634" max="9634" width="32.6640625" style="39" customWidth="1"/>
    <col min="9635" max="9635" width="12.33203125" style="39" bestFit="1" customWidth="1"/>
    <col min="9636" max="9636" width="9.109375" style="39"/>
    <col min="9637" max="9637" width="10.6640625" style="39" bestFit="1" customWidth="1"/>
    <col min="9638" max="9642" width="9.109375" style="39"/>
    <col min="9643" max="9643" width="10.6640625" style="39" bestFit="1" customWidth="1"/>
    <col min="9644" max="9650" width="9.109375" style="39"/>
    <col min="9651" max="9651" width="12" style="39" bestFit="1" customWidth="1"/>
    <col min="9652" max="9652" width="32.6640625" style="39" customWidth="1"/>
    <col min="9653" max="9653" width="12.33203125" style="39" bestFit="1" customWidth="1"/>
    <col min="9654" max="9654" width="9.109375" style="39"/>
    <col min="9655" max="9655" width="10.6640625" style="39" bestFit="1" customWidth="1"/>
    <col min="9656" max="9660" width="9.109375" style="39"/>
    <col min="9661" max="9661" width="10.6640625" style="39" bestFit="1" customWidth="1"/>
    <col min="9662" max="9668" width="9.109375" style="39"/>
    <col min="9669" max="9669" width="12" style="39" bestFit="1" customWidth="1"/>
    <col min="9670" max="9670" width="32.6640625" style="39" customWidth="1"/>
    <col min="9671" max="9671" width="12.33203125" style="39" bestFit="1" customWidth="1"/>
    <col min="9672" max="9672" width="9.109375" style="39"/>
    <col min="9673" max="9673" width="10.6640625" style="39" bestFit="1" customWidth="1"/>
    <col min="9674" max="9678" width="9.109375" style="39"/>
    <col min="9679" max="9679" width="10.6640625" style="39" bestFit="1" customWidth="1"/>
    <col min="9680" max="9686" width="9.109375" style="39"/>
    <col min="9687" max="9687" width="13.33203125" style="39" bestFit="1" customWidth="1"/>
    <col min="9688" max="9688" width="32.6640625" style="39" customWidth="1"/>
    <col min="9689" max="9689" width="12.33203125" style="39" bestFit="1" customWidth="1"/>
    <col min="9690" max="9690" width="9.109375" style="39"/>
    <col min="9691" max="9691" width="10.6640625" style="39" bestFit="1" customWidth="1"/>
    <col min="9692" max="9696" width="9.109375" style="39"/>
    <col min="9697" max="9697" width="10.6640625" style="39" bestFit="1" customWidth="1"/>
    <col min="9698" max="9704" width="9.109375" style="39"/>
    <col min="9705" max="9705" width="12" style="39" bestFit="1" customWidth="1"/>
    <col min="9706" max="9746" width="9.109375" style="39"/>
    <col min="9747" max="9747" width="12.33203125" style="39" bestFit="1" customWidth="1"/>
    <col min="9748" max="9748" width="10.109375" style="39" bestFit="1" customWidth="1"/>
    <col min="9749" max="9749" width="10.6640625" style="39" bestFit="1" customWidth="1"/>
    <col min="9750" max="9753" width="9.109375" style="39"/>
    <col min="9754" max="9754" width="9.109375" style="39" bestFit="1" customWidth="1"/>
    <col min="9755" max="9755" width="10.6640625" style="39" bestFit="1" customWidth="1"/>
    <col min="9756" max="9756" width="4.5546875" style="39" bestFit="1" customWidth="1"/>
    <col min="9757" max="9757" width="5.5546875" style="39" bestFit="1" customWidth="1"/>
    <col min="9758" max="9758" width="10.6640625" style="39" bestFit="1" customWidth="1"/>
    <col min="9759" max="9762" width="9.109375" style="39"/>
    <col min="9763" max="9763" width="12" style="39" bestFit="1" customWidth="1"/>
    <col min="9764" max="9764" width="32.6640625" style="39" customWidth="1"/>
    <col min="9765" max="9765" width="12.33203125" style="39" bestFit="1" customWidth="1"/>
    <col min="9766" max="9766" width="9.109375" style="39"/>
    <col min="9767" max="9767" width="10.6640625" style="39" bestFit="1" customWidth="1"/>
    <col min="9768" max="9772" width="9.109375" style="39"/>
    <col min="9773" max="9773" width="10.6640625" style="39" bestFit="1" customWidth="1"/>
    <col min="9774" max="9780" width="9.109375" style="39"/>
    <col min="9781" max="9781" width="12" style="39" bestFit="1" customWidth="1"/>
    <col min="9782" max="9782" width="32.6640625" style="39" customWidth="1"/>
    <col min="9783" max="9783" width="12.33203125" style="39" bestFit="1" customWidth="1"/>
    <col min="9784" max="9784" width="9.109375" style="39"/>
    <col min="9785" max="9785" width="10.6640625" style="39" bestFit="1" customWidth="1"/>
    <col min="9786" max="9790" width="9.109375" style="39"/>
    <col min="9791" max="9791" width="10.6640625" style="39" bestFit="1" customWidth="1"/>
    <col min="9792" max="9798" width="9.109375" style="39"/>
    <col min="9799" max="9799" width="12" style="39" bestFit="1" customWidth="1"/>
    <col min="9800" max="9800" width="32.6640625" style="39" customWidth="1"/>
    <col min="9801" max="9801" width="12.33203125" style="39" bestFit="1" customWidth="1"/>
    <col min="9802" max="9802" width="9.109375" style="39"/>
    <col min="9803" max="9803" width="10.6640625" style="39" bestFit="1" customWidth="1"/>
    <col min="9804" max="9808" width="9.109375" style="39"/>
    <col min="9809" max="9809" width="10.6640625" style="39" bestFit="1" customWidth="1"/>
    <col min="9810" max="9816" width="9.109375" style="39"/>
    <col min="9817" max="9817" width="12" style="39" bestFit="1" customWidth="1"/>
    <col min="9818" max="9818" width="32.6640625" style="39" customWidth="1"/>
    <col min="9819" max="9819" width="12.33203125" style="39" bestFit="1" customWidth="1"/>
    <col min="9820" max="9820" width="9.109375" style="39"/>
    <col min="9821" max="9821" width="10.6640625" style="39" bestFit="1" customWidth="1"/>
    <col min="9822" max="9826" width="9.109375" style="39"/>
    <col min="9827" max="9827" width="10.6640625" style="39" bestFit="1" customWidth="1"/>
    <col min="9828" max="9834" width="9.109375" style="39"/>
    <col min="9835" max="9835" width="12" style="39" bestFit="1" customWidth="1"/>
    <col min="9836" max="9836" width="32.6640625" style="39" customWidth="1"/>
    <col min="9837" max="9837" width="12.33203125" style="39" bestFit="1" customWidth="1"/>
    <col min="9838" max="9838" width="9.109375" style="39"/>
    <col min="9839" max="9839" width="10.6640625" style="39" bestFit="1" customWidth="1"/>
    <col min="9840" max="9844" width="9.109375" style="39"/>
    <col min="9845" max="9845" width="10.6640625" style="39" bestFit="1" customWidth="1"/>
    <col min="9846" max="9852" width="9.109375" style="39"/>
    <col min="9853" max="9853" width="12" style="39" bestFit="1" customWidth="1"/>
    <col min="9854" max="9854" width="32.6640625" style="39" customWidth="1"/>
    <col min="9855" max="9855" width="12.33203125" style="39" bestFit="1" customWidth="1"/>
    <col min="9856" max="9856" width="9.109375" style="39"/>
    <col min="9857" max="9857" width="10.6640625" style="39" bestFit="1" customWidth="1"/>
    <col min="9858" max="9862" width="9.109375" style="39"/>
    <col min="9863" max="9863" width="10.6640625" style="39" bestFit="1" customWidth="1"/>
    <col min="9864" max="9870" width="9.109375" style="39"/>
    <col min="9871" max="9871" width="12" style="39" bestFit="1" customWidth="1"/>
    <col min="9872" max="9872" width="32.6640625" style="39" customWidth="1"/>
    <col min="9873" max="9873" width="12.33203125" style="39" bestFit="1" customWidth="1"/>
    <col min="9874" max="9874" width="9.109375" style="39"/>
    <col min="9875" max="9875" width="10.6640625" style="39" bestFit="1" customWidth="1"/>
    <col min="9876" max="9880" width="9.109375" style="39"/>
    <col min="9881" max="9881" width="10.6640625" style="39" bestFit="1" customWidth="1"/>
    <col min="9882" max="9888" width="9.109375" style="39"/>
    <col min="9889" max="9889" width="12" style="39" bestFit="1" customWidth="1"/>
    <col min="9890" max="9890" width="32.6640625" style="39" customWidth="1"/>
    <col min="9891" max="9891" width="12.33203125" style="39" bestFit="1" customWidth="1"/>
    <col min="9892" max="9892" width="9.109375" style="39"/>
    <col min="9893" max="9893" width="10.6640625" style="39" bestFit="1" customWidth="1"/>
    <col min="9894" max="9898" width="9.109375" style="39"/>
    <col min="9899" max="9899" width="10.6640625" style="39" bestFit="1" customWidth="1"/>
    <col min="9900" max="9906" width="9.109375" style="39"/>
    <col min="9907" max="9907" width="12" style="39" bestFit="1" customWidth="1"/>
    <col min="9908" max="9908" width="32.6640625" style="39" customWidth="1"/>
    <col min="9909" max="9909" width="12.33203125" style="39" bestFit="1" customWidth="1"/>
    <col min="9910" max="9910" width="9.109375" style="39"/>
    <col min="9911" max="9911" width="10.6640625" style="39" bestFit="1" customWidth="1"/>
    <col min="9912" max="9916" width="9.109375" style="39"/>
    <col min="9917" max="9917" width="10.6640625" style="39" bestFit="1" customWidth="1"/>
    <col min="9918" max="9924" width="9.109375" style="39"/>
    <col min="9925" max="9925" width="12" style="39" bestFit="1" customWidth="1"/>
    <col min="9926" max="9926" width="32.6640625" style="39" customWidth="1"/>
    <col min="9927" max="9927" width="12.33203125" style="39" bestFit="1" customWidth="1"/>
    <col min="9928" max="9928" width="9.109375" style="39"/>
    <col min="9929" max="9929" width="10.6640625" style="39" bestFit="1" customWidth="1"/>
    <col min="9930" max="9934" width="9.109375" style="39"/>
    <col min="9935" max="9935" width="10.6640625" style="39" bestFit="1" customWidth="1"/>
    <col min="9936" max="9942" width="9.109375" style="39"/>
    <col min="9943" max="9943" width="13.33203125" style="39" bestFit="1" customWidth="1"/>
    <col min="9944" max="9944" width="32.6640625" style="39" customWidth="1"/>
    <col min="9945" max="9945" width="12.33203125" style="39" bestFit="1" customWidth="1"/>
    <col min="9946" max="9946" width="9.109375" style="39"/>
    <col min="9947" max="9947" width="10.6640625" style="39" bestFit="1" customWidth="1"/>
    <col min="9948" max="9952" width="9.109375" style="39"/>
    <col min="9953" max="9953" width="10.6640625" style="39" bestFit="1" customWidth="1"/>
    <col min="9954" max="9960" width="9.109375" style="39"/>
    <col min="9961" max="9961" width="12" style="39" bestFit="1" customWidth="1"/>
    <col min="9962" max="10002" width="9.109375" style="39"/>
    <col min="10003" max="10003" width="12.33203125" style="39" bestFit="1" customWidth="1"/>
    <col min="10004" max="10004" width="10.109375" style="39" bestFit="1" customWidth="1"/>
    <col min="10005" max="10005" width="10.6640625" style="39" bestFit="1" customWidth="1"/>
    <col min="10006" max="10009" width="9.109375" style="39"/>
    <col min="10010" max="10010" width="9.109375" style="39" bestFit="1" customWidth="1"/>
    <col min="10011" max="10011" width="10.6640625" style="39" bestFit="1" customWidth="1"/>
    <col min="10012" max="10012" width="4.5546875" style="39" bestFit="1" customWidth="1"/>
    <col min="10013" max="10013" width="5.5546875" style="39" bestFit="1" customWidth="1"/>
    <col min="10014" max="10014" width="10.6640625" style="39" bestFit="1" customWidth="1"/>
    <col min="10015" max="10018" width="9.109375" style="39"/>
    <col min="10019" max="10019" width="12" style="39" bestFit="1" customWidth="1"/>
    <col min="10020" max="10020" width="32.6640625" style="39" customWidth="1"/>
    <col min="10021" max="10021" width="12.33203125" style="39" bestFit="1" customWidth="1"/>
    <col min="10022" max="10022" width="9.109375" style="39"/>
    <col min="10023" max="10023" width="10.6640625" style="39" bestFit="1" customWidth="1"/>
    <col min="10024" max="10028" width="9.109375" style="39"/>
    <col min="10029" max="10029" width="10.6640625" style="39" bestFit="1" customWidth="1"/>
    <col min="10030" max="10036" width="9.109375" style="39"/>
    <col min="10037" max="10037" width="12" style="39" bestFit="1" customWidth="1"/>
    <col min="10038" max="10038" width="32.6640625" style="39" customWidth="1"/>
    <col min="10039" max="10039" width="12.33203125" style="39" bestFit="1" customWidth="1"/>
    <col min="10040" max="10040" width="9.109375" style="39"/>
    <col min="10041" max="10041" width="10.6640625" style="39" bestFit="1" customWidth="1"/>
    <col min="10042" max="10046" width="9.109375" style="39"/>
    <col min="10047" max="10047" width="10.6640625" style="39" bestFit="1" customWidth="1"/>
    <col min="10048" max="10054" width="9.109375" style="39"/>
    <col min="10055" max="10055" width="12" style="39" bestFit="1" customWidth="1"/>
    <col min="10056" max="10056" width="32.6640625" style="39" customWidth="1"/>
    <col min="10057" max="10057" width="12.33203125" style="39" bestFit="1" customWidth="1"/>
    <col min="10058" max="10058" width="9.109375" style="39"/>
    <col min="10059" max="10059" width="10.6640625" style="39" bestFit="1" customWidth="1"/>
    <col min="10060" max="10064" width="9.109375" style="39"/>
    <col min="10065" max="10065" width="10.6640625" style="39" bestFit="1" customWidth="1"/>
    <col min="10066" max="10072" width="9.109375" style="39"/>
    <col min="10073" max="10073" width="12" style="39" bestFit="1" customWidth="1"/>
    <col min="10074" max="10074" width="32.6640625" style="39" customWidth="1"/>
    <col min="10075" max="10075" width="12.33203125" style="39" bestFit="1" customWidth="1"/>
    <col min="10076" max="10076" width="9.109375" style="39"/>
    <col min="10077" max="10077" width="10.6640625" style="39" bestFit="1" customWidth="1"/>
    <col min="10078" max="10082" width="9.109375" style="39"/>
    <col min="10083" max="10083" width="10.6640625" style="39" bestFit="1" customWidth="1"/>
    <col min="10084" max="10090" width="9.109375" style="39"/>
    <col min="10091" max="10091" width="12" style="39" bestFit="1" customWidth="1"/>
    <col min="10092" max="10092" width="32.6640625" style="39" customWidth="1"/>
    <col min="10093" max="10093" width="12.33203125" style="39" bestFit="1" customWidth="1"/>
    <col min="10094" max="10094" width="9.109375" style="39"/>
    <col min="10095" max="10095" width="10.6640625" style="39" bestFit="1" customWidth="1"/>
    <col min="10096" max="10100" width="9.109375" style="39"/>
    <col min="10101" max="10101" width="10.6640625" style="39" bestFit="1" customWidth="1"/>
    <col min="10102" max="10108" width="9.109375" style="39"/>
    <col min="10109" max="10109" width="12" style="39" bestFit="1" customWidth="1"/>
    <col min="10110" max="10110" width="32.6640625" style="39" customWidth="1"/>
    <col min="10111" max="10111" width="12.33203125" style="39" bestFit="1" customWidth="1"/>
    <col min="10112" max="10112" width="9.109375" style="39"/>
    <col min="10113" max="10113" width="10.6640625" style="39" bestFit="1" customWidth="1"/>
    <col min="10114" max="10118" width="9.109375" style="39"/>
    <col min="10119" max="10119" width="10.6640625" style="39" bestFit="1" customWidth="1"/>
    <col min="10120" max="10126" width="9.109375" style="39"/>
    <col min="10127" max="10127" width="12" style="39" bestFit="1" customWidth="1"/>
    <col min="10128" max="10128" width="32.6640625" style="39" customWidth="1"/>
    <col min="10129" max="10129" width="12.33203125" style="39" bestFit="1" customWidth="1"/>
    <col min="10130" max="10130" width="9.109375" style="39"/>
    <col min="10131" max="10131" width="10.6640625" style="39" bestFit="1" customWidth="1"/>
    <col min="10132" max="10136" width="9.109375" style="39"/>
    <col min="10137" max="10137" width="10.6640625" style="39" bestFit="1" customWidth="1"/>
    <col min="10138" max="10144" width="9.109375" style="39"/>
    <col min="10145" max="10145" width="12" style="39" bestFit="1" customWidth="1"/>
    <col min="10146" max="10146" width="32.6640625" style="39" customWidth="1"/>
    <col min="10147" max="10147" width="12.33203125" style="39" bestFit="1" customWidth="1"/>
    <col min="10148" max="10148" width="9.109375" style="39"/>
    <col min="10149" max="10149" width="10.6640625" style="39" bestFit="1" customWidth="1"/>
    <col min="10150" max="10154" width="9.109375" style="39"/>
    <col min="10155" max="10155" width="10.6640625" style="39" bestFit="1" customWidth="1"/>
    <col min="10156" max="10162" width="9.109375" style="39"/>
    <col min="10163" max="10163" width="12" style="39" bestFit="1" customWidth="1"/>
    <col min="10164" max="10164" width="32.6640625" style="39" customWidth="1"/>
    <col min="10165" max="10165" width="12.33203125" style="39" bestFit="1" customWidth="1"/>
    <col min="10166" max="10166" width="9.109375" style="39"/>
    <col min="10167" max="10167" width="10.6640625" style="39" bestFit="1" customWidth="1"/>
    <col min="10168" max="10172" width="9.109375" style="39"/>
    <col min="10173" max="10173" width="10.6640625" style="39" bestFit="1" customWidth="1"/>
    <col min="10174" max="10180" width="9.109375" style="39"/>
    <col min="10181" max="10181" width="12" style="39" bestFit="1" customWidth="1"/>
    <col min="10182" max="10182" width="32.6640625" style="39" customWidth="1"/>
    <col min="10183" max="10183" width="12.33203125" style="39" bestFit="1" customWidth="1"/>
    <col min="10184" max="10184" width="9.109375" style="39"/>
    <col min="10185" max="10185" width="10.6640625" style="39" bestFit="1" customWidth="1"/>
    <col min="10186" max="10190" width="9.109375" style="39"/>
    <col min="10191" max="10191" width="10.6640625" style="39" bestFit="1" customWidth="1"/>
    <col min="10192" max="10198" width="9.109375" style="39"/>
    <col min="10199" max="10199" width="13.33203125" style="39" bestFit="1" customWidth="1"/>
    <col min="10200" max="10200" width="32.6640625" style="39" customWidth="1"/>
    <col min="10201" max="10201" width="12.33203125" style="39" bestFit="1" customWidth="1"/>
    <col min="10202" max="10202" width="9.109375" style="39"/>
    <col min="10203" max="10203" width="10.6640625" style="39" bestFit="1" customWidth="1"/>
    <col min="10204" max="10208" width="9.109375" style="39"/>
    <col min="10209" max="10209" width="10.6640625" style="39" bestFit="1" customWidth="1"/>
    <col min="10210" max="10216" width="9.109375" style="39"/>
    <col min="10217" max="10217" width="12" style="39" bestFit="1" customWidth="1"/>
    <col min="10218" max="10258" width="9.109375" style="39"/>
    <col min="10259" max="10259" width="12.33203125" style="39" bestFit="1" customWidth="1"/>
    <col min="10260" max="10260" width="10.109375" style="39" bestFit="1" customWidth="1"/>
    <col min="10261" max="10261" width="10.6640625" style="39" bestFit="1" customWidth="1"/>
    <col min="10262" max="10265" width="9.109375" style="39"/>
    <col min="10266" max="10266" width="9.109375" style="39" bestFit="1" customWidth="1"/>
    <col min="10267" max="10267" width="10.6640625" style="39" bestFit="1" customWidth="1"/>
    <col min="10268" max="10268" width="4.5546875" style="39" bestFit="1" customWidth="1"/>
    <col min="10269" max="10269" width="5.5546875" style="39" bestFit="1" customWidth="1"/>
    <col min="10270" max="10270" width="10.6640625" style="39" bestFit="1" customWidth="1"/>
    <col min="10271" max="10274" width="9.109375" style="39"/>
    <col min="10275" max="10275" width="12" style="39" bestFit="1" customWidth="1"/>
    <col min="10276" max="10276" width="32.6640625" style="39" customWidth="1"/>
    <col min="10277" max="10277" width="12.33203125" style="39" bestFit="1" customWidth="1"/>
    <col min="10278" max="10278" width="9.109375" style="39"/>
    <col min="10279" max="10279" width="10.6640625" style="39" bestFit="1" customWidth="1"/>
    <col min="10280" max="10284" width="9.109375" style="39"/>
    <col min="10285" max="10285" width="10.6640625" style="39" bestFit="1" customWidth="1"/>
    <col min="10286" max="10292" width="9.109375" style="39"/>
    <col min="10293" max="10293" width="12" style="39" bestFit="1" customWidth="1"/>
    <col min="10294" max="10294" width="32.6640625" style="39" customWidth="1"/>
    <col min="10295" max="10295" width="12.33203125" style="39" bestFit="1" customWidth="1"/>
    <col min="10296" max="10296" width="9.109375" style="39"/>
    <col min="10297" max="10297" width="10.6640625" style="39" bestFit="1" customWidth="1"/>
    <col min="10298" max="10302" width="9.109375" style="39"/>
    <col min="10303" max="10303" width="10.6640625" style="39" bestFit="1" customWidth="1"/>
    <col min="10304" max="10310" width="9.109375" style="39"/>
    <col min="10311" max="10311" width="12" style="39" bestFit="1" customWidth="1"/>
    <col min="10312" max="10312" width="32.6640625" style="39" customWidth="1"/>
    <col min="10313" max="10313" width="12.33203125" style="39" bestFit="1" customWidth="1"/>
    <col min="10314" max="10314" width="9.109375" style="39"/>
    <col min="10315" max="10315" width="10.6640625" style="39" bestFit="1" customWidth="1"/>
    <col min="10316" max="10320" width="9.109375" style="39"/>
    <col min="10321" max="10321" width="10.6640625" style="39" bestFit="1" customWidth="1"/>
    <col min="10322" max="10328" width="9.109375" style="39"/>
    <col min="10329" max="10329" width="12" style="39" bestFit="1" customWidth="1"/>
    <col min="10330" max="10330" width="32.6640625" style="39" customWidth="1"/>
    <col min="10331" max="10331" width="12.33203125" style="39" bestFit="1" customWidth="1"/>
    <col min="10332" max="10332" width="9.109375" style="39"/>
    <col min="10333" max="10333" width="10.6640625" style="39" bestFit="1" customWidth="1"/>
    <col min="10334" max="10338" width="9.109375" style="39"/>
    <col min="10339" max="10339" width="10.6640625" style="39" bestFit="1" customWidth="1"/>
    <col min="10340" max="10346" width="9.109375" style="39"/>
    <col min="10347" max="10347" width="12" style="39" bestFit="1" customWidth="1"/>
    <col min="10348" max="10348" width="32.6640625" style="39" customWidth="1"/>
    <col min="10349" max="10349" width="12.33203125" style="39" bestFit="1" customWidth="1"/>
    <col min="10350" max="10350" width="9.109375" style="39"/>
    <col min="10351" max="10351" width="10.6640625" style="39" bestFit="1" customWidth="1"/>
    <col min="10352" max="10356" width="9.109375" style="39"/>
    <col min="10357" max="10357" width="10.6640625" style="39" bestFit="1" customWidth="1"/>
    <col min="10358" max="10364" width="9.109375" style="39"/>
    <col min="10365" max="10365" width="12" style="39" bestFit="1" customWidth="1"/>
    <col min="10366" max="10366" width="32.6640625" style="39" customWidth="1"/>
    <col min="10367" max="10367" width="12.33203125" style="39" bestFit="1" customWidth="1"/>
    <col min="10368" max="10368" width="9.109375" style="39"/>
    <col min="10369" max="10369" width="10.6640625" style="39" bestFit="1" customWidth="1"/>
    <col min="10370" max="10374" width="9.109375" style="39"/>
    <col min="10375" max="10375" width="10.6640625" style="39" bestFit="1" customWidth="1"/>
    <col min="10376" max="10382" width="9.109375" style="39"/>
    <col min="10383" max="10383" width="12" style="39" bestFit="1" customWidth="1"/>
    <col min="10384" max="10384" width="32.6640625" style="39" customWidth="1"/>
    <col min="10385" max="10385" width="12.33203125" style="39" bestFit="1" customWidth="1"/>
    <col min="10386" max="10386" width="9.109375" style="39"/>
    <col min="10387" max="10387" width="10.6640625" style="39" bestFit="1" customWidth="1"/>
    <col min="10388" max="10392" width="9.109375" style="39"/>
    <col min="10393" max="10393" width="10.6640625" style="39" bestFit="1" customWidth="1"/>
    <col min="10394" max="10400" width="9.109375" style="39"/>
    <col min="10401" max="10401" width="12" style="39" bestFit="1" customWidth="1"/>
    <col min="10402" max="10402" width="32.6640625" style="39" customWidth="1"/>
    <col min="10403" max="10403" width="12.33203125" style="39" bestFit="1" customWidth="1"/>
    <col min="10404" max="10404" width="9.109375" style="39"/>
    <col min="10405" max="10405" width="10.6640625" style="39" bestFit="1" customWidth="1"/>
    <col min="10406" max="10410" width="9.109375" style="39"/>
    <col min="10411" max="10411" width="10.6640625" style="39" bestFit="1" customWidth="1"/>
    <col min="10412" max="10418" width="9.109375" style="39"/>
    <col min="10419" max="10419" width="12" style="39" bestFit="1" customWidth="1"/>
    <col min="10420" max="10420" width="32.6640625" style="39" customWidth="1"/>
    <col min="10421" max="10421" width="12.33203125" style="39" bestFit="1" customWidth="1"/>
    <col min="10422" max="10422" width="9.109375" style="39"/>
    <col min="10423" max="10423" width="10.6640625" style="39" bestFit="1" customWidth="1"/>
    <col min="10424" max="10428" width="9.109375" style="39"/>
    <col min="10429" max="10429" width="10.6640625" style="39" bestFit="1" customWidth="1"/>
    <col min="10430" max="10436" width="9.109375" style="39"/>
    <col min="10437" max="10437" width="12" style="39" bestFit="1" customWidth="1"/>
    <col min="10438" max="10438" width="32.6640625" style="39" customWidth="1"/>
    <col min="10439" max="10439" width="12.33203125" style="39" bestFit="1" customWidth="1"/>
    <col min="10440" max="10440" width="9.109375" style="39"/>
    <col min="10441" max="10441" width="10.6640625" style="39" bestFit="1" customWidth="1"/>
    <col min="10442" max="10446" width="9.109375" style="39"/>
    <col min="10447" max="10447" width="10.6640625" style="39" bestFit="1" customWidth="1"/>
    <col min="10448" max="10454" width="9.109375" style="39"/>
    <col min="10455" max="10455" width="13.33203125" style="39" bestFit="1" customWidth="1"/>
    <col min="10456" max="10456" width="32.6640625" style="39" customWidth="1"/>
    <col min="10457" max="10457" width="12.33203125" style="39" bestFit="1" customWidth="1"/>
    <col min="10458" max="10458" width="9.109375" style="39"/>
    <col min="10459" max="10459" width="10.6640625" style="39" bestFit="1" customWidth="1"/>
    <col min="10460" max="10464" width="9.109375" style="39"/>
    <col min="10465" max="10465" width="10.6640625" style="39" bestFit="1" customWidth="1"/>
    <col min="10466" max="10472" width="9.109375" style="39"/>
    <col min="10473" max="10473" width="12" style="39" bestFit="1" customWidth="1"/>
    <col min="10474" max="10514" width="9.109375" style="39"/>
    <col min="10515" max="10515" width="12.33203125" style="39" bestFit="1" customWidth="1"/>
    <col min="10516" max="10516" width="10.109375" style="39" bestFit="1" customWidth="1"/>
    <col min="10517" max="10517" width="10.6640625" style="39" bestFit="1" customWidth="1"/>
    <col min="10518" max="10521" width="9.109375" style="39"/>
    <col min="10522" max="10522" width="9.109375" style="39" bestFit="1" customWidth="1"/>
    <col min="10523" max="10523" width="10.6640625" style="39" bestFit="1" customWidth="1"/>
    <col min="10524" max="10524" width="4.5546875" style="39" bestFit="1" customWidth="1"/>
    <col min="10525" max="10525" width="5.5546875" style="39" bestFit="1" customWidth="1"/>
    <col min="10526" max="10526" width="10.6640625" style="39" bestFit="1" customWidth="1"/>
    <col min="10527" max="10530" width="9.109375" style="39"/>
    <col min="10531" max="10531" width="12" style="39" bestFit="1" customWidth="1"/>
    <col min="10532" max="10532" width="32.6640625" style="39" customWidth="1"/>
    <col min="10533" max="10533" width="12.33203125" style="39" bestFit="1" customWidth="1"/>
    <col min="10534" max="10534" width="9.109375" style="39"/>
    <col min="10535" max="10535" width="10.6640625" style="39" bestFit="1" customWidth="1"/>
    <col min="10536" max="10540" width="9.109375" style="39"/>
    <col min="10541" max="10541" width="10.6640625" style="39" bestFit="1" customWidth="1"/>
    <col min="10542" max="10548" width="9.109375" style="39"/>
    <col min="10549" max="10549" width="12" style="39" bestFit="1" customWidth="1"/>
    <col min="10550" max="10550" width="32.6640625" style="39" customWidth="1"/>
    <col min="10551" max="10551" width="12.33203125" style="39" bestFit="1" customWidth="1"/>
    <col min="10552" max="10552" width="9.109375" style="39"/>
    <col min="10553" max="10553" width="10.6640625" style="39" bestFit="1" customWidth="1"/>
    <col min="10554" max="10558" width="9.109375" style="39"/>
    <col min="10559" max="10559" width="10.6640625" style="39" bestFit="1" customWidth="1"/>
    <col min="10560" max="10566" width="9.109375" style="39"/>
    <col min="10567" max="10567" width="12" style="39" bestFit="1" customWidth="1"/>
    <col min="10568" max="10568" width="32.6640625" style="39" customWidth="1"/>
    <col min="10569" max="10569" width="12.33203125" style="39" bestFit="1" customWidth="1"/>
    <col min="10570" max="10570" width="9.109375" style="39"/>
    <col min="10571" max="10571" width="10.6640625" style="39" bestFit="1" customWidth="1"/>
    <col min="10572" max="10576" width="9.109375" style="39"/>
    <col min="10577" max="10577" width="10.6640625" style="39" bestFit="1" customWidth="1"/>
    <col min="10578" max="10584" width="9.109375" style="39"/>
    <col min="10585" max="10585" width="12" style="39" bestFit="1" customWidth="1"/>
    <col min="10586" max="10586" width="32.6640625" style="39" customWidth="1"/>
    <col min="10587" max="10587" width="12.33203125" style="39" bestFit="1" customWidth="1"/>
    <col min="10588" max="10588" width="9.109375" style="39"/>
    <col min="10589" max="10589" width="10.6640625" style="39" bestFit="1" customWidth="1"/>
    <col min="10590" max="10594" width="9.109375" style="39"/>
    <col min="10595" max="10595" width="10.6640625" style="39" bestFit="1" customWidth="1"/>
    <col min="10596" max="10602" width="9.109375" style="39"/>
    <col min="10603" max="10603" width="12" style="39" bestFit="1" customWidth="1"/>
    <col min="10604" max="10604" width="32.6640625" style="39" customWidth="1"/>
    <col min="10605" max="10605" width="12.33203125" style="39" bestFit="1" customWidth="1"/>
    <col min="10606" max="10606" width="9.109375" style="39"/>
    <col min="10607" max="10607" width="10.6640625" style="39" bestFit="1" customWidth="1"/>
    <col min="10608" max="10612" width="9.109375" style="39"/>
    <col min="10613" max="10613" width="10.6640625" style="39" bestFit="1" customWidth="1"/>
    <col min="10614" max="10620" width="9.109375" style="39"/>
    <col min="10621" max="10621" width="12" style="39" bestFit="1" customWidth="1"/>
    <col min="10622" max="10622" width="32.6640625" style="39" customWidth="1"/>
    <col min="10623" max="10623" width="12.33203125" style="39" bestFit="1" customWidth="1"/>
    <col min="10624" max="10624" width="9.109375" style="39"/>
    <col min="10625" max="10625" width="10.6640625" style="39" bestFit="1" customWidth="1"/>
    <col min="10626" max="10630" width="9.109375" style="39"/>
    <col min="10631" max="10631" width="10.6640625" style="39" bestFit="1" customWidth="1"/>
    <col min="10632" max="10638" width="9.109375" style="39"/>
    <col min="10639" max="10639" width="12" style="39" bestFit="1" customWidth="1"/>
    <col min="10640" max="10640" width="32.6640625" style="39" customWidth="1"/>
    <col min="10641" max="10641" width="12.33203125" style="39" bestFit="1" customWidth="1"/>
    <col min="10642" max="10642" width="9.109375" style="39"/>
    <col min="10643" max="10643" width="10.6640625" style="39" bestFit="1" customWidth="1"/>
    <col min="10644" max="10648" width="9.109375" style="39"/>
    <col min="10649" max="10649" width="10.6640625" style="39" bestFit="1" customWidth="1"/>
    <col min="10650" max="10656" width="9.109375" style="39"/>
    <col min="10657" max="10657" width="12" style="39" bestFit="1" customWidth="1"/>
    <col min="10658" max="10658" width="32.6640625" style="39" customWidth="1"/>
    <col min="10659" max="10659" width="12.33203125" style="39" bestFit="1" customWidth="1"/>
    <col min="10660" max="10660" width="9.109375" style="39"/>
    <col min="10661" max="10661" width="10.6640625" style="39" bestFit="1" customWidth="1"/>
    <col min="10662" max="10666" width="9.109375" style="39"/>
    <col min="10667" max="10667" width="10.6640625" style="39" bestFit="1" customWidth="1"/>
    <col min="10668" max="10674" width="9.109375" style="39"/>
    <col min="10675" max="10675" width="12" style="39" bestFit="1" customWidth="1"/>
    <col min="10676" max="10676" width="32.6640625" style="39" customWidth="1"/>
    <col min="10677" max="10677" width="12.33203125" style="39" bestFit="1" customWidth="1"/>
    <col min="10678" max="10678" width="9.109375" style="39"/>
    <col min="10679" max="10679" width="10.6640625" style="39" bestFit="1" customWidth="1"/>
    <col min="10680" max="10684" width="9.109375" style="39"/>
    <col min="10685" max="10685" width="10.6640625" style="39" bestFit="1" customWidth="1"/>
    <col min="10686" max="10692" width="9.109375" style="39"/>
    <col min="10693" max="10693" width="12" style="39" bestFit="1" customWidth="1"/>
    <col min="10694" max="10694" width="32.6640625" style="39" customWidth="1"/>
    <col min="10695" max="10695" width="12.33203125" style="39" bestFit="1" customWidth="1"/>
    <col min="10696" max="10696" width="9.109375" style="39"/>
    <col min="10697" max="10697" width="10.6640625" style="39" bestFit="1" customWidth="1"/>
    <col min="10698" max="10702" width="9.109375" style="39"/>
    <col min="10703" max="10703" width="10.6640625" style="39" bestFit="1" customWidth="1"/>
    <col min="10704" max="10710" width="9.109375" style="39"/>
    <col min="10711" max="10711" width="13.33203125" style="39" bestFit="1" customWidth="1"/>
    <col min="10712" max="10712" width="32.6640625" style="39" customWidth="1"/>
    <col min="10713" max="10713" width="12.33203125" style="39" bestFit="1" customWidth="1"/>
    <col min="10714" max="10714" width="9.109375" style="39"/>
    <col min="10715" max="10715" width="10.6640625" style="39" bestFit="1" customWidth="1"/>
    <col min="10716" max="10720" width="9.109375" style="39"/>
    <col min="10721" max="10721" width="10.6640625" style="39" bestFit="1" customWidth="1"/>
    <col min="10722" max="10728" width="9.109375" style="39"/>
    <col min="10729" max="10729" width="12" style="39" bestFit="1" customWidth="1"/>
    <col min="10730" max="10770" width="9.109375" style="39"/>
    <col min="10771" max="10771" width="12.33203125" style="39" bestFit="1" customWidth="1"/>
    <col min="10772" max="10772" width="10.109375" style="39" bestFit="1" customWidth="1"/>
    <col min="10773" max="10773" width="10.6640625" style="39" bestFit="1" customWidth="1"/>
    <col min="10774" max="10777" width="9.109375" style="39"/>
    <col min="10778" max="10778" width="9.109375" style="39" bestFit="1" customWidth="1"/>
    <col min="10779" max="10779" width="10.6640625" style="39" bestFit="1" customWidth="1"/>
    <col min="10780" max="10780" width="4.5546875" style="39" bestFit="1" customWidth="1"/>
    <col min="10781" max="10781" width="5.5546875" style="39" bestFit="1" customWidth="1"/>
    <col min="10782" max="10782" width="10.6640625" style="39" bestFit="1" customWidth="1"/>
    <col min="10783" max="10786" width="9.109375" style="39"/>
    <col min="10787" max="10787" width="12" style="39" bestFit="1" customWidth="1"/>
    <col min="10788" max="10788" width="32.6640625" style="39" customWidth="1"/>
    <col min="10789" max="10789" width="12.33203125" style="39" bestFit="1" customWidth="1"/>
    <col min="10790" max="10790" width="9.109375" style="39"/>
    <col min="10791" max="10791" width="10.6640625" style="39" bestFit="1" customWidth="1"/>
    <col min="10792" max="10796" width="9.109375" style="39"/>
    <col min="10797" max="10797" width="10.6640625" style="39" bestFit="1" customWidth="1"/>
    <col min="10798" max="10804" width="9.109375" style="39"/>
    <col min="10805" max="10805" width="12" style="39" bestFit="1" customWidth="1"/>
    <col min="10806" max="10806" width="32.6640625" style="39" customWidth="1"/>
    <col min="10807" max="10807" width="12.33203125" style="39" bestFit="1" customWidth="1"/>
    <col min="10808" max="10808" width="9.109375" style="39"/>
    <col min="10809" max="10809" width="10.6640625" style="39" bestFit="1" customWidth="1"/>
    <col min="10810" max="10814" width="9.109375" style="39"/>
    <col min="10815" max="10815" width="10.6640625" style="39" bestFit="1" customWidth="1"/>
    <col min="10816" max="10822" width="9.109375" style="39"/>
    <col min="10823" max="10823" width="12" style="39" bestFit="1" customWidth="1"/>
    <col min="10824" max="10824" width="32.6640625" style="39" customWidth="1"/>
    <col min="10825" max="10825" width="12.33203125" style="39" bestFit="1" customWidth="1"/>
    <col min="10826" max="10826" width="9.109375" style="39"/>
    <col min="10827" max="10827" width="10.6640625" style="39" bestFit="1" customWidth="1"/>
    <col min="10828" max="10832" width="9.109375" style="39"/>
    <col min="10833" max="10833" width="10.6640625" style="39" bestFit="1" customWidth="1"/>
    <col min="10834" max="10840" width="9.109375" style="39"/>
    <col min="10841" max="10841" width="12" style="39" bestFit="1" customWidth="1"/>
    <col min="10842" max="10842" width="32.6640625" style="39" customWidth="1"/>
    <col min="10843" max="10843" width="12.33203125" style="39" bestFit="1" customWidth="1"/>
    <col min="10844" max="10844" width="9.109375" style="39"/>
    <col min="10845" max="10845" width="10.6640625" style="39" bestFit="1" customWidth="1"/>
    <col min="10846" max="10850" width="9.109375" style="39"/>
    <col min="10851" max="10851" width="10.6640625" style="39" bestFit="1" customWidth="1"/>
    <col min="10852" max="10858" width="9.109375" style="39"/>
    <col min="10859" max="10859" width="12" style="39" bestFit="1" customWidth="1"/>
    <col min="10860" max="10860" width="32.6640625" style="39" customWidth="1"/>
    <col min="10861" max="10861" width="12.33203125" style="39" bestFit="1" customWidth="1"/>
    <col min="10862" max="10862" width="9.109375" style="39"/>
    <col min="10863" max="10863" width="10.6640625" style="39" bestFit="1" customWidth="1"/>
    <col min="10864" max="10868" width="9.109375" style="39"/>
    <col min="10869" max="10869" width="10.6640625" style="39" bestFit="1" customWidth="1"/>
    <col min="10870" max="10876" width="9.109375" style="39"/>
    <col min="10877" max="10877" width="12" style="39" bestFit="1" customWidth="1"/>
    <col min="10878" max="10878" width="32.6640625" style="39" customWidth="1"/>
    <col min="10879" max="10879" width="12.33203125" style="39" bestFit="1" customWidth="1"/>
    <col min="10880" max="10880" width="9.109375" style="39"/>
    <col min="10881" max="10881" width="10.6640625" style="39" bestFit="1" customWidth="1"/>
    <col min="10882" max="10886" width="9.109375" style="39"/>
    <col min="10887" max="10887" width="10.6640625" style="39" bestFit="1" customWidth="1"/>
    <col min="10888" max="10894" width="9.109375" style="39"/>
    <col min="10895" max="10895" width="12" style="39" bestFit="1" customWidth="1"/>
    <col min="10896" max="10896" width="32.6640625" style="39" customWidth="1"/>
    <col min="10897" max="10897" width="12.33203125" style="39" bestFit="1" customWidth="1"/>
    <col min="10898" max="10898" width="9.109375" style="39"/>
    <col min="10899" max="10899" width="10.6640625" style="39" bestFit="1" customWidth="1"/>
    <col min="10900" max="10904" width="9.109375" style="39"/>
    <col min="10905" max="10905" width="10.6640625" style="39" bestFit="1" customWidth="1"/>
    <col min="10906" max="10912" width="9.109375" style="39"/>
    <col min="10913" max="10913" width="12" style="39" bestFit="1" customWidth="1"/>
    <col min="10914" max="10914" width="32.6640625" style="39" customWidth="1"/>
    <col min="10915" max="10915" width="12.33203125" style="39" bestFit="1" customWidth="1"/>
    <col min="10916" max="10916" width="9.109375" style="39"/>
    <col min="10917" max="10917" width="10.6640625" style="39" bestFit="1" customWidth="1"/>
    <col min="10918" max="10922" width="9.109375" style="39"/>
    <col min="10923" max="10923" width="10.6640625" style="39" bestFit="1" customWidth="1"/>
    <col min="10924" max="10930" width="9.109375" style="39"/>
    <col min="10931" max="10931" width="12" style="39" bestFit="1" customWidth="1"/>
    <col min="10932" max="10932" width="32.6640625" style="39" customWidth="1"/>
    <col min="10933" max="10933" width="12.33203125" style="39" bestFit="1" customWidth="1"/>
    <col min="10934" max="10934" width="9.109375" style="39"/>
    <col min="10935" max="10935" width="10.6640625" style="39" bestFit="1" customWidth="1"/>
    <col min="10936" max="10940" width="9.109375" style="39"/>
    <col min="10941" max="10941" width="10.6640625" style="39" bestFit="1" customWidth="1"/>
    <col min="10942" max="10948" width="9.109375" style="39"/>
    <col min="10949" max="10949" width="12" style="39" bestFit="1" customWidth="1"/>
    <col min="10950" max="10950" width="32.6640625" style="39" customWidth="1"/>
    <col min="10951" max="10951" width="12.33203125" style="39" bestFit="1" customWidth="1"/>
    <col min="10952" max="10952" width="9.109375" style="39"/>
    <col min="10953" max="10953" width="10.6640625" style="39" bestFit="1" customWidth="1"/>
    <col min="10954" max="10958" width="9.109375" style="39"/>
    <col min="10959" max="10959" width="10.6640625" style="39" bestFit="1" customWidth="1"/>
    <col min="10960" max="10966" width="9.109375" style="39"/>
    <col min="10967" max="10967" width="13.33203125" style="39" bestFit="1" customWidth="1"/>
    <col min="10968" max="10968" width="32.6640625" style="39" customWidth="1"/>
    <col min="10969" max="10969" width="12.33203125" style="39" bestFit="1" customWidth="1"/>
    <col min="10970" max="10970" width="9.109375" style="39"/>
    <col min="10971" max="10971" width="10.6640625" style="39" bestFit="1" customWidth="1"/>
    <col min="10972" max="10976" width="9.109375" style="39"/>
    <col min="10977" max="10977" width="10.6640625" style="39" bestFit="1" customWidth="1"/>
    <col min="10978" max="10984" width="9.109375" style="39"/>
    <col min="10985" max="10985" width="12" style="39" bestFit="1" customWidth="1"/>
    <col min="10986" max="11026" width="9.109375" style="39"/>
    <col min="11027" max="11027" width="12.33203125" style="39" bestFit="1" customWidth="1"/>
    <col min="11028" max="11028" width="10.109375" style="39" bestFit="1" customWidth="1"/>
    <col min="11029" max="11029" width="10.6640625" style="39" bestFit="1" customWidth="1"/>
    <col min="11030" max="11033" width="9.109375" style="39"/>
    <col min="11034" max="11034" width="9.109375" style="39" bestFit="1" customWidth="1"/>
    <col min="11035" max="11035" width="10.6640625" style="39" bestFit="1" customWidth="1"/>
    <col min="11036" max="11036" width="4.5546875" style="39" bestFit="1" customWidth="1"/>
    <col min="11037" max="11037" width="5.5546875" style="39" bestFit="1" customWidth="1"/>
    <col min="11038" max="11038" width="10.6640625" style="39" bestFit="1" customWidth="1"/>
    <col min="11039" max="11042" width="9.109375" style="39"/>
    <col min="11043" max="11043" width="12" style="39" bestFit="1" customWidth="1"/>
    <col min="11044" max="11044" width="32.6640625" style="39" customWidth="1"/>
    <col min="11045" max="11045" width="12.33203125" style="39" bestFit="1" customWidth="1"/>
    <col min="11046" max="11046" width="9.109375" style="39"/>
    <col min="11047" max="11047" width="10.6640625" style="39" bestFit="1" customWidth="1"/>
    <col min="11048" max="11052" width="9.109375" style="39"/>
    <col min="11053" max="11053" width="10.6640625" style="39" bestFit="1" customWidth="1"/>
    <col min="11054" max="11060" width="9.109375" style="39"/>
    <col min="11061" max="11061" width="12" style="39" bestFit="1" customWidth="1"/>
    <col min="11062" max="11062" width="32.6640625" style="39" customWidth="1"/>
    <col min="11063" max="11063" width="12.33203125" style="39" bestFit="1" customWidth="1"/>
    <col min="11064" max="11064" width="9.109375" style="39"/>
    <col min="11065" max="11065" width="10.6640625" style="39" bestFit="1" customWidth="1"/>
    <col min="11066" max="11070" width="9.109375" style="39"/>
    <col min="11071" max="11071" width="10.6640625" style="39" bestFit="1" customWidth="1"/>
    <col min="11072" max="11078" width="9.109375" style="39"/>
    <col min="11079" max="11079" width="12" style="39" bestFit="1" customWidth="1"/>
    <col min="11080" max="11080" width="32.6640625" style="39" customWidth="1"/>
    <col min="11081" max="11081" width="12.33203125" style="39" bestFit="1" customWidth="1"/>
    <col min="11082" max="11082" width="9.109375" style="39"/>
    <col min="11083" max="11083" width="10.6640625" style="39" bestFit="1" customWidth="1"/>
    <col min="11084" max="11088" width="9.109375" style="39"/>
    <col min="11089" max="11089" width="10.6640625" style="39" bestFit="1" customWidth="1"/>
    <col min="11090" max="11096" width="9.109375" style="39"/>
    <col min="11097" max="11097" width="12" style="39" bestFit="1" customWidth="1"/>
    <col min="11098" max="11098" width="32.6640625" style="39" customWidth="1"/>
    <col min="11099" max="11099" width="12.33203125" style="39" bestFit="1" customWidth="1"/>
    <col min="11100" max="11100" width="9.109375" style="39"/>
    <col min="11101" max="11101" width="10.6640625" style="39" bestFit="1" customWidth="1"/>
    <col min="11102" max="11106" width="9.109375" style="39"/>
    <col min="11107" max="11107" width="10.6640625" style="39" bestFit="1" customWidth="1"/>
    <col min="11108" max="11114" width="9.109375" style="39"/>
    <col min="11115" max="11115" width="12" style="39" bestFit="1" customWidth="1"/>
    <col min="11116" max="11116" width="32.6640625" style="39" customWidth="1"/>
    <col min="11117" max="11117" width="12.33203125" style="39" bestFit="1" customWidth="1"/>
    <col min="11118" max="11118" width="9.109375" style="39"/>
    <col min="11119" max="11119" width="10.6640625" style="39" bestFit="1" customWidth="1"/>
    <col min="11120" max="11124" width="9.109375" style="39"/>
    <col min="11125" max="11125" width="10.6640625" style="39" bestFit="1" customWidth="1"/>
    <col min="11126" max="11132" width="9.109375" style="39"/>
    <col min="11133" max="11133" width="12" style="39" bestFit="1" customWidth="1"/>
    <col min="11134" max="11134" width="32.6640625" style="39" customWidth="1"/>
    <col min="11135" max="11135" width="12.33203125" style="39" bestFit="1" customWidth="1"/>
    <col min="11136" max="11136" width="9.109375" style="39"/>
    <col min="11137" max="11137" width="10.6640625" style="39" bestFit="1" customWidth="1"/>
    <col min="11138" max="11142" width="9.109375" style="39"/>
    <col min="11143" max="11143" width="10.6640625" style="39" bestFit="1" customWidth="1"/>
    <col min="11144" max="11150" width="9.109375" style="39"/>
    <col min="11151" max="11151" width="12" style="39" bestFit="1" customWidth="1"/>
    <col min="11152" max="11152" width="32.6640625" style="39" customWidth="1"/>
    <col min="11153" max="11153" width="12.33203125" style="39" bestFit="1" customWidth="1"/>
    <col min="11154" max="11154" width="9.109375" style="39"/>
    <col min="11155" max="11155" width="10.6640625" style="39" bestFit="1" customWidth="1"/>
    <col min="11156" max="11160" width="9.109375" style="39"/>
    <col min="11161" max="11161" width="10.6640625" style="39" bestFit="1" customWidth="1"/>
    <col min="11162" max="11168" width="9.109375" style="39"/>
    <col min="11169" max="11169" width="12" style="39" bestFit="1" customWidth="1"/>
    <col min="11170" max="11170" width="32.6640625" style="39" customWidth="1"/>
    <col min="11171" max="11171" width="12.33203125" style="39" bestFit="1" customWidth="1"/>
    <col min="11172" max="11172" width="9.109375" style="39"/>
    <col min="11173" max="11173" width="10.6640625" style="39" bestFit="1" customWidth="1"/>
    <col min="11174" max="11178" width="9.109375" style="39"/>
    <col min="11179" max="11179" width="10.6640625" style="39" bestFit="1" customWidth="1"/>
    <col min="11180" max="11186" width="9.109375" style="39"/>
    <col min="11187" max="11187" width="12" style="39" bestFit="1" customWidth="1"/>
    <col min="11188" max="11188" width="32.6640625" style="39" customWidth="1"/>
    <col min="11189" max="11189" width="12.33203125" style="39" bestFit="1" customWidth="1"/>
    <col min="11190" max="11190" width="9.109375" style="39"/>
    <col min="11191" max="11191" width="10.6640625" style="39" bestFit="1" customWidth="1"/>
    <col min="11192" max="11196" width="9.109375" style="39"/>
    <col min="11197" max="11197" width="10.6640625" style="39" bestFit="1" customWidth="1"/>
    <col min="11198" max="11204" width="9.109375" style="39"/>
    <col min="11205" max="11205" width="12" style="39" bestFit="1" customWidth="1"/>
    <col min="11206" max="11206" width="32.6640625" style="39" customWidth="1"/>
    <col min="11207" max="11207" width="12.33203125" style="39" bestFit="1" customWidth="1"/>
    <col min="11208" max="11208" width="9.109375" style="39"/>
    <col min="11209" max="11209" width="10.6640625" style="39" bestFit="1" customWidth="1"/>
    <col min="11210" max="11214" width="9.109375" style="39"/>
    <col min="11215" max="11215" width="10.6640625" style="39" bestFit="1" customWidth="1"/>
    <col min="11216" max="11222" width="9.109375" style="39"/>
    <col min="11223" max="11223" width="13.33203125" style="39" bestFit="1" customWidth="1"/>
    <col min="11224" max="11224" width="32.6640625" style="39" customWidth="1"/>
    <col min="11225" max="11225" width="12.33203125" style="39" bestFit="1" customWidth="1"/>
    <col min="11226" max="11226" width="9.109375" style="39"/>
    <col min="11227" max="11227" width="10.6640625" style="39" bestFit="1" customWidth="1"/>
    <col min="11228" max="11232" width="9.109375" style="39"/>
    <col min="11233" max="11233" width="10.6640625" style="39" bestFit="1" customWidth="1"/>
    <col min="11234" max="11240" width="9.109375" style="39"/>
    <col min="11241" max="11241" width="12" style="39" bestFit="1" customWidth="1"/>
    <col min="11242" max="11282" width="9.109375" style="39"/>
    <col min="11283" max="11283" width="12.33203125" style="39" bestFit="1" customWidth="1"/>
    <col min="11284" max="11284" width="10.109375" style="39" bestFit="1" customWidth="1"/>
    <col min="11285" max="11285" width="10.6640625" style="39" bestFit="1" customWidth="1"/>
    <col min="11286" max="11289" width="9.109375" style="39"/>
    <col min="11290" max="11290" width="9.109375" style="39" bestFit="1" customWidth="1"/>
    <col min="11291" max="11291" width="10.6640625" style="39" bestFit="1" customWidth="1"/>
    <col min="11292" max="11292" width="4.5546875" style="39" bestFit="1" customWidth="1"/>
    <col min="11293" max="11293" width="5.5546875" style="39" bestFit="1" customWidth="1"/>
    <col min="11294" max="11294" width="10.6640625" style="39" bestFit="1" customWidth="1"/>
    <col min="11295" max="11298" width="9.109375" style="39"/>
    <col min="11299" max="11299" width="12" style="39" bestFit="1" customWidth="1"/>
    <col min="11300" max="11300" width="32.6640625" style="39" customWidth="1"/>
    <col min="11301" max="11301" width="12.33203125" style="39" bestFit="1" customWidth="1"/>
    <col min="11302" max="11302" width="9.109375" style="39"/>
    <col min="11303" max="11303" width="10.6640625" style="39" bestFit="1" customWidth="1"/>
    <col min="11304" max="11308" width="9.109375" style="39"/>
    <col min="11309" max="11309" width="10.6640625" style="39" bestFit="1" customWidth="1"/>
    <col min="11310" max="11316" width="9.109375" style="39"/>
    <col min="11317" max="11317" width="12" style="39" bestFit="1" customWidth="1"/>
    <col min="11318" max="11318" width="32.6640625" style="39" customWidth="1"/>
    <col min="11319" max="11319" width="12.33203125" style="39" bestFit="1" customWidth="1"/>
    <col min="11320" max="11320" width="9.109375" style="39"/>
    <col min="11321" max="11321" width="10.6640625" style="39" bestFit="1" customWidth="1"/>
    <col min="11322" max="11326" width="9.109375" style="39"/>
    <col min="11327" max="11327" width="10.6640625" style="39" bestFit="1" customWidth="1"/>
    <col min="11328" max="11334" width="9.109375" style="39"/>
    <col min="11335" max="11335" width="12" style="39" bestFit="1" customWidth="1"/>
    <col min="11336" max="11336" width="32.6640625" style="39" customWidth="1"/>
    <col min="11337" max="11337" width="12.33203125" style="39" bestFit="1" customWidth="1"/>
    <col min="11338" max="11338" width="9.109375" style="39"/>
    <col min="11339" max="11339" width="10.6640625" style="39" bestFit="1" customWidth="1"/>
    <col min="11340" max="11344" width="9.109375" style="39"/>
    <col min="11345" max="11345" width="10.6640625" style="39" bestFit="1" customWidth="1"/>
    <col min="11346" max="11352" width="9.109375" style="39"/>
    <col min="11353" max="11353" width="12" style="39" bestFit="1" customWidth="1"/>
    <col min="11354" max="11354" width="32.6640625" style="39" customWidth="1"/>
    <col min="11355" max="11355" width="12.33203125" style="39" bestFit="1" customWidth="1"/>
    <col min="11356" max="11356" width="9.109375" style="39"/>
    <col min="11357" max="11357" width="10.6640625" style="39" bestFit="1" customWidth="1"/>
    <col min="11358" max="11362" width="9.109375" style="39"/>
    <col min="11363" max="11363" width="10.6640625" style="39" bestFit="1" customWidth="1"/>
    <col min="11364" max="11370" width="9.109375" style="39"/>
    <col min="11371" max="11371" width="12" style="39" bestFit="1" customWidth="1"/>
    <col min="11372" max="11372" width="32.6640625" style="39" customWidth="1"/>
    <col min="11373" max="11373" width="12.33203125" style="39" bestFit="1" customWidth="1"/>
    <col min="11374" max="11374" width="9.109375" style="39"/>
    <col min="11375" max="11375" width="10.6640625" style="39" bestFit="1" customWidth="1"/>
    <col min="11376" max="11380" width="9.109375" style="39"/>
    <col min="11381" max="11381" width="10.6640625" style="39" bestFit="1" customWidth="1"/>
    <col min="11382" max="11388" width="9.109375" style="39"/>
    <col min="11389" max="11389" width="12" style="39" bestFit="1" customWidth="1"/>
    <col min="11390" max="11390" width="32.6640625" style="39" customWidth="1"/>
    <col min="11391" max="11391" width="12.33203125" style="39" bestFit="1" customWidth="1"/>
    <col min="11392" max="11392" width="9.109375" style="39"/>
    <col min="11393" max="11393" width="10.6640625" style="39" bestFit="1" customWidth="1"/>
    <col min="11394" max="11398" width="9.109375" style="39"/>
    <col min="11399" max="11399" width="10.6640625" style="39" bestFit="1" customWidth="1"/>
    <col min="11400" max="11406" width="9.109375" style="39"/>
    <col min="11407" max="11407" width="12" style="39" bestFit="1" customWidth="1"/>
    <col min="11408" max="11408" width="32.6640625" style="39" customWidth="1"/>
    <col min="11409" max="11409" width="12.33203125" style="39" bestFit="1" customWidth="1"/>
    <col min="11410" max="11410" width="9.109375" style="39"/>
    <col min="11411" max="11411" width="10.6640625" style="39" bestFit="1" customWidth="1"/>
    <col min="11412" max="11416" width="9.109375" style="39"/>
    <col min="11417" max="11417" width="10.6640625" style="39" bestFit="1" customWidth="1"/>
    <col min="11418" max="11424" width="9.109375" style="39"/>
    <col min="11425" max="11425" width="12" style="39" bestFit="1" customWidth="1"/>
    <col min="11426" max="11426" width="32.6640625" style="39" customWidth="1"/>
    <col min="11427" max="11427" width="12.33203125" style="39" bestFit="1" customWidth="1"/>
    <col min="11428" max="11428" width="9.109375" style="39"/>
    <col min="11429" max="11429" width="10.6640625" style="39" bestFit="1" customWidth="1"/>
    <col min="11430" max="11434" width="9.109375" style="39"/>
    <col min="11435" max="11435" width="10.6640625" style="39" bestFit="1" customWidth="1"/>
    <col min="11436" max="11442" width="9.109375" style="39"/>
    <col min="11443" max="11443" width="12" style="39" bestFit="1" customWidth="1"/>
    <col min="11444" max="11444" width="32.6640625" style="39" customWidth="1"/>
    <col min="11445" max="11445" width="12.33203125" style="39" bestFit="1" customWidth="1"/>
    <col min="11446" max="11446" width="9.109375" style="39"/>
    <col min="11447" max="11447" width="10.6640625" style="39" bestFit="1" customWidth="1"/>
    <col min="11448" max="11452" width="9.109375" style="39"/>
    <col min="11453" max="11453" width="10.6640625" style="39" bestFit="1" customWidth="1"/>
    <col min="11454" max="11460" width="9.109375" style="39"/>
    <col min="11461" max="11461" width="12" style="39" bestFit="1" customWidth="1"/>
    <col min="11462" max="11462" width="32.6640625" style="39" customWidth="1"/>
    <col min="11463" max="11463" width="12.33203125" style="39" bestFit="1" customWidth="1"/>
    <col min="11464" max="11464" width="9.109375" style="39"/>
    <col min="11465" max="11465" width="10.6640625" style="39" bestFit="1" customWidth="1"/>
    <col min="11466" max="11470" width="9.109375" style="39"/>
    <col min="11471" max="11471" width="10.6640625" style="39" bestFit="1" customWidth="1"/>
    <col min="11472" max="11478" width="9.109375" style="39"/>
    <col min="11479" max="11479" width="13.33203125" style="39" bestFit="1" customWidth="1"/>
    <col min="11480" max="11480" width="32.6640625" style="39" customWidth="1"/>
    <col min="11481" max="11481" width="12.33203125" style="39" bestFit="1" customWidth="1"/>
    <col min="11482" max="11482" width="9.109375" style="39"/>
    <col min="11483" max="11483" width="10.6640625" style="39" bestFit="1" customWidth="1"/>
    <col min="11484" max="11488" width="9.109375" style="39"/>
    <col min="11489" max="11489" width="10.6640625" style="39" bestFit="1" customWidth="1"/>
    <col min="11490" max="11496" width="9.109375" style="39"/>
    <col min="11497" max="11497" width="12" style="39" bestFit="1" customWidth="1"/>
    <col min="11498" max="11538" width="9.109375" style="39"/>
    <col min="11539" max="11539" width="12.33203125" style="39" bestFit="1" customWidth="1"/>
    <col min="11540" max="11540" width="10.109375" style="39" bestFit="1" customWidth="1"/>
    <col min="11541" max="11541" width="10.6640625" style="39" bestFit="1" customWidth="1"/>
    <col min="11542" max="11545" width="9.109375" style="39"/>
    <col min="11546" max="11546" width="9.109375" style="39" bestFit="1" customWidth="1"/>
    <col min="11547" max="11547" width="10.6640625" style="39" bestFit="1" customWidth="1"/>
    <col min="11548" max="11548" width="4.5546875" style="39" bestFit="1" customWidth="1"/>
    <col min="11549" max="11549" width="5.5546875" style="39" bestFit="1" customWidth="1"/>
    <col min="11550" max="11550" width="10.6640625" style="39" bestFit="1" customWidth="1"/>
    <col min="11551" max="11554" width="9.109375" style="39"/>
    <col min="11555" max="11555" width="12" style="39" bestFit="1" customWidth="1"/>
    <col min="11556" max="11556" width="32.6640625" style="39" customWidth="1"/>
    <col min="11557" max="11557" width="12.33203125" style="39" bestFit="1" customWidth="1"/>
    <col min="11558" max="11558" width="9.109375" style="39"/>
    <col min="11559" max="11559" width="10.6640625" style="39" bestFit="1" customWidth="1"/>
    <col min="11560" max="11564" width="9.109375" style="39"/>
    <col min="11565" max="11565" width="10.6640625" style="39" bestFit="1" customWidth="1"/>
    <col min="11566" max="11572" width="9.109375" style="39"/>
    <col min="11573" max="11573" width="12" style="39" bestFit="1" customWidth="1"/>
    <col min="11574" max="11574" width="32.6640625" style="39" customWidth="1"/>
    <col min="11575" max="11575" width="12.33203125" style="39" bestFit="1" customWidth="1"/>
    <col min="11576" max="11576" width="9.109375" style="39"/>
    <col min="11577" max="11577" width="10.6640625" style="39" bestFit="1" customWidth="1"/>
    <col min="11578" max="11582" width="9.109375" style="39"/>
    <col min="11583" max="11583" width="10.6640625" style="39" bestFit="1" customWidth="1"/>
    <col min="11584" max="11590" width="9.109375" style="39"/>
    <col min="11591" max="11591" width="12" style="39" bestFit="1" customWidth="1"/>
    <col min="11592" max="11592" width="32.6640625" style="39" customWidth="1"/>
    <col min="11593" max="11593" width="12.33203125" style="39" bestFit="1" customWidth="1"/>
    <col min="11594" max="11594" width="9.109375" style="39"/>
    <col min="11595" max="11595" width="10.6640625" style="39" bestFit="1" customWidth="1"/>
    <col min="11596" max="11600" width="9.109375" style="39"/>
    <col min="11601" max="11601" width="10.6640625" style="39" bestFit="1" customWidth="1"/>
    <col min="11602" max="11608" width="9.109375" style="39"/>
    <col min="11609" max="11609" width="12" style="39" bestFit="1" customWidth="1"/>
    <col min="11610" max="11610" width="32.6640625" style="39" customWidth="1"/>
    <col min="11611" max="11611" width="12.33203125" style="39" bestFit="1" customWidth="1"/>
    <col min="11612" max="11612" width="9.109375" style="39"/>
    <col min="11613" max="11613" width="10.6640625" style="39" bestFit="1" customWidth="1"/>
    <col min="11614" max="11618" width="9.109375" style="39"/>
    <col min="11619" max="11619" width="10.6640625" style="39" bestFit="1" customWidth="1"/>
    <col min="11620" max="11626" width="9.109375" style="39"/>
    <col min="11627" max="11627" width="12" style="39" bestFit="1" customWidth="1"/>
    <col min="11628" max="11628" width="32.6640625" style="39" customWidth="1"/>
    <col min="11629" max="11629" width="12.33203125" style="39" bestFit="1" customWidth="1"/>
    <col min="11630" max="11630" width="9.109375" style="39"/>
    <col min="11631" max="11631" width="10.6640625" style="39" bestFit="1" customWidth="1"/>
    <col min="11632" max="11636" width="9.109375" style="39"/>
    <col min="11637" max="11637" width="10.6640625" style="39" bestFit="1" customWidth="1"/>
    <col min="11638" max="11644" width="9.109375" style="39"/>
    <col min="11645" max="11645" width="12" style="39" bestFit="1" customWidth="1"/>
    <col min="11646" max="11646" width="32.6640625" style="39" customWidth="1"/>
    <col min="11647" max="11647" width="12.33203125" style="39" bestFit="1" customWidth="1"/>
    <col min="11648" max="11648" width="9.109375" style="39"/>
    <col min="11649" max="11649" width="10.6640625" style="39" bestFit="1" customWidth="1"/>
    <col min="11650" max="11654" width="9.109375" style="39"/>
    <col min="11655" max="11655" width="10.6640625" style="39" bestFit="1" customWidth="1"/>
    <col min="11656" max="11662" width="9.109375" style="39"/>
    <col min="11663" max="11663" width="12" style="39" bestFit="1" customWidth="1"/>
    <col min="11664" max="11664" width="32.6640625" style="39" customWidth="1"/>
    <col min="11665" max="11665" width="12.33203125" style="39" bestFit="1" customWidth="1"/>
    <col min="11666" max="11666" width="9.109375" style="39"/>
    <col min="11667" max="11667" width="10.6640625" style="39" bestFit="1" customWidth="1"/>
    <col min="11668" max="11672" width="9.109375" style="39"/>
    <col min="11673" max="11673" width="10.6640625" style="39" bestFit="1" customWidth="1"/>
    <col min="11674" max="11680" width="9.109375" style="39"/>
    <col min="11681" max="11681" width="12" style="39" bestFit="1" customWidth="1"/>
    <col min="11682" max="11682" width="32.6640625" style="39" customWidth="1"/>
    <col min="11683" max="11683" width="12.33203125" style="39" bestFit="1" customWidth="1"/>
    <col min="11684" max="11684" width="9.109375" style="39"/>
    <col min="11685" max="11685" width="10.6640625" style="39" bestFit="1" customWidth="1"/>
    <col min="11686" max="11690" width="9.109375" style="39"/>
    <col min="11691" max="11691" width="10.6640625" style="39" bestFit="1" customWidth="1"/>
    <col min="11692" max="11698" width="9.109375" style="39"/>
    <col min="11699" max="11699" width="12" style="39" bestFit="1" customWidth="1"/>
    <col min="11700" max="11700" width="32.6640625" style="39" customWidth="1"/>
    <col min="11701" max="11701" width="12.33203125" style="39" bestFit="1" customWidth="1"/>
    <col min="11702" max="11702" width="9.109375" style="39"/>
    <col min="11703" max="11703" width="10.6640625" style="39" bestFit="1" customWidth="1"/>
    <col min="11704" max="11708" width="9.109375" style="39"/>
    <col min="11709" max="11709" width="10.6640625" style="39" bestFit="1" customWidth="1"/>
    <col min="11710" max="11716" width="9.109375" style="39"/>
    <col min="11717" max="11717" width="12" style="39" bestFit="1" customWidth="1"/>
    <col min="11718" max="11718" width="32.6640625" style="39" customWidth="1"/>
    <col min="11719" max="11719" width="12.33203125" style="39" bestFit="1" customWidth="1"/>
    <col min="11720" max="11720" width="9.109375" style="39"/>
    <col min="11721" max="11721" width="10.6640625" style="39" bestFit="1" customWidth="1"/>
    <col min="11722" max="11726" width="9.109375" style="39"/>
    <col min="11727" max="11727" width="10.6640625" style="39" bestFit="1" customWidth="1"/>
    <col min="11728" max="11734" width="9.109375" style="39"/>
    <col min="11735" max="11735" width="13.33203125" style="39" bestFit="1" customWidth="1"/>
    <col min="11736" max="11736" width="32.6640625" style="39" customWidth="1"/>
    <col min="11737" max="11737" width="12.33203125" style="39" bestFit="1" customWidth="1"/>
    <col min="11738" max="11738" width="9.109375" style="39"/>
    <col min="11739" max="11739" width="10.6640625" style="39" bestFit="1" customWidth="1"/>
    <col min="11740" max="11744" width="9.109375" style="39"/>
    <col min="11745" max="11745" width="10.6640625" style="39" bestFit="1" customWidth="1"/>
    <col min="11746" max="11752" width="9.109375" style="39"/>
    <col min="11753" max="11753" width="12" style="39" bestFit="1" customWidth="1"/>
    <col min="11754" max="11794" width="9.109375" style="39"/>
    <col min="11795" max="11795" width="12.33203125" style="39" bestFit="1" customWidth="1"/>
    <col min="11796" max="11796" width="10.109375" style="39" bestFit="1" customWidth="1"/>
    <col min="11797" max="11797" width="10.6640625" style="39" bestFit="1" customWidth="1"/>
    <col min="11798" max="11801" width="9.109375" style="39"/>
    <col min="11802" max="11802" width="9.109375" style="39" bestFit="1" customWidth="1"/>
    <col min="11803" max="11803" width="10.6640625" style="39" bestFit="1" customWidth="1"/>
    <col min="11804" max="11804" width="4.5546875" style="39" bestFit="1" customWidth="1"/>
    <col min="11805" max="11805" width="5.5546875" style="39" bestFit="1" customWidth="1"/>
    <col min="11806" max="11806" width="10.6640625" style="39" bestFit="1" customWidth="1"/>
    <col min="11807" max="11810" width="9.109375" style="39"/>
    <col min="11811" max="11811" width="12" style="39" bestFit="1" customWidth="1"/>
    <col min="11812" max="11812" width="32.6640625" style="39" customWidth="1"/>
    <col min="11813" max="11813" width="12.33203125" style="39" bestFit="1" customWidth="1"/>
    <col min="11814" max="11814" width="9.109375" style="39"/>
    <col min="11815" max="11815" width="10.6640625" style="39" bestFit="1" customWidth="1"/>
    <col min="11816" max="11820" width="9.109375" style="39"/>
    <col min="11821" max="11821" width="10.6640625" style="39" bestFit="1" customWidth="1"/>
    <col min="11822" max="11828" width="9.109375" style="39"/>
    <col min="11829" max="11829" width="12" style="39" bestFit="1" customWidth="1"/>
    <col min="11830" max="11830" width="32.6640625" style="39" customWidth="1"/>
    <col min="11831" max="11831" width="12.33203125" style="39" bestFit="1" customWidth="1"/>
    <col min="11832" max="11832" width="9.109375" style="39"/>
    <col min="11833" max="11833" width="10.6640625" style="39" bestFit="1" customWidth="1"/>
    <col min="11834" max="11838" width="9.109375" style="39"/>
    <col min="11839" max="11839" width="10.6640625" style="39" bestFit="1" customWidth="1"/>
    <col min="11840" max="11846" width="9.109375" style="39"/>
    <col min="11847" max="11847" width="12" style="39" bestFit="1" customWidth="1"/>
    <col min="11848" max="11848" width="32.6640625" style="39" customWidth="1"/>
    <col min="11849" max="11849" width="12.33203125" style="39" bestFit="1" customWidth="1"/>
    <col min="11850" max="11850" width="9.109375" style="39"/>
    <col min="11851" max="11851" width="10.6640625" style="39" bestFit="1" customWidth="1"/>
    <col min="11852" max="11856" width="9.109375" style="39"/>
    <col min="11857" max="11857" width="10.6640625" style="39" bestFit="1" customWidth="1"/>
    <col min="11858" max="11864" width="9.109375" style="39"/>
    <col min="11865" max="11865" width="12" style="39" bestFit="1" customWidth="1"/>
    <col min="11866" max="11866" width="32.6640625" style="39" customWidth="1"/>
    <col min="11867" max="11867" width="12.33203125" style="39" bestFit="1" customWidth="1"/>
    <col min="11868" max="11868" width="9.109375" style="39"/>
    <col min="11869" max="11869" width="10.6640625" style="39" bestFit="1" customWidth="1"/>
    <col min="11870" max="11874" width="9.109375" style="39"/>
    <col min="11875" max="11875" width="10.6640625" style="39" bestFit="1" customWidth="1"/>
    <col min="11876" max="11882" width="9.109375" style="39"/>
    <col min="11883" max="11883" width="12" style="39" bestFit="1" customWidth="1"/>
    <col min="11884" max="11884" width="32.6640625" style="39" customWidth="1"/>
    <col min="11885" max="11885" width="12.33203125" style="39" bestFit="1" customWidth="1"/>
    <col min="11886" max="11886" width="9.109375" style="39"/>
    <col min="11887" max="11887" width="10.6640625" style="39" bestFit="1" customWidth="1"/>
    <col min="11888" max="11892" width="9.109375" style="39"/>
    <col min="11893" max="11893" width="10.6640625" style="39" bestFit="1" customWidth="1"/>
    <col min="11894" max="11900" width="9.109375" style="39"/>
    <col min="11901" max="11901" width="12" style="39" bestFit="1" customWidth="1"/>
    <col min="11902" max="11902" width="32.6640625" style="39" customWidth="1"/>
    <col min="11903" max="11903" width="12.33203125" style="39" bestFit="1" customWidth="1"/>
    <col min="11904" max="11904" width="9.109375" style="39"/>
    <col min="11905" max="11905" width="10.6640625" style="39" bestFit="1" customWidth="1"/>
    <col min="11906" max="11910" width="9.109375" style="39"/>
    <col min="11911" max="11911" width="10.6640625" style="39" bestFit="1" customWidth="1"/>
    <col min="11912" max="11918" width="9.109375" style="39"/>
    <col min="11919" max="11919" width="12" style="39" bestFit="1" customWidth="1"/>
    <col min="11920" max="11920" width="32.6640625" style="39" customWidth="1"/>
    <col min="11921" max="11921" width="12.33203125" style="39" bestFit="1" customWidth="1"/>
    <col min="11922" max="11922" width="9.109375" style="39"/>
    <col min="11923" max="11923" width="10.6640625" style="39" bestFit="1" customWidth="1"/>
    <col min="11924" max="11928" width="9.109375" style="39"/>
    <col min="11929" max="11929" width="10.6640625" style="39" bestFit="1" customWidth="1"/>
    <col min="11930" max="11936" width="9.109375" style="39"/>
    <col min="11937" max="11937" width="12" style="39" bestFit="1" customWidth="1"/>
    <col min="11938" max="11938" width="32.6640625" style="39" customWidth="1"/>
    <col min="11939" max="11939" width="12.33203125" style="39" bestFit="1" customWidth="1"/>
    <col min="11940" max="11940" width="9.109375" style="39"/>
    <col min="11941" max="11941" width="10.6640625" style="39" bestFit="1" customWidth="1"/>
    <col min="11942" max="11946" width="9.109375" style="39"/>
    <col min="11947" max="11947" width="10.6640625" style="39" bestFit="1" customWidth="1"/>
    <col min="11948" max="11954" width="9.109375" style="39"/>
    <col min="11955" max="11955" width="12" style="39" bestFit="1" customWidth="1"/>
    <col min="11956" max="11956" width="32.6640625" style="39" customWidth="1"/>
    <col min="11957" max="11957" width="12.33203125" style="39" bestFit="1" customWidth="1"/>
    <col min="11958" max="11958" width="9.109375" style="39"/>
    <col min="11959" max="11959" width="10.6640625" style="39" bestFit="1" customWidth="1"/>
    <col min="11960" max="11964" width="9.109375" style="39"/>
    <col min="11965" max="11965" width="10.6640625" style="39" bestFit="1" customWidth="1"/>
    <col min="11966" max="11972" width="9.109375" style="39"/>
    <col min="11973" max="11973" width="12" style="39" bestFit="1" customWidth="1"/>
    <col min="11974" max="11974" width="32.6640625" style="39" customWidth="1"/>
    <col min="11975" max="11975" width="12.33203125" style="39" bestFit="1" customWidth="1"/>
    <col min="11976" max="11976" width="9.109375" style="39"/>
    <col min="11977" max="11977" width="10.6640625" style="39" bestFit="1" customWidth="1"/>
    <col min="11978" max="11982" width="9.109375" style="39"/>
    <col min="11983" max="11983" width="10.6640625" style="39" bestFit="1" customWidth="1"/>
    <col min="11984" max="11990" width="9.109375" style="39"/>
    <col min="11991" max="11991" width="13.33203125" style="39" bestFit="1" customWidth="1"/>
    <col min="11992" max="11992" width="32.6640625" style="39" customWidth="1"/>
    <col min="11993" max="11993" width="12.33203125" style="39" bestFit="1" customWidth="1"/>
    <col min="11994" max="11994" width="9.109375" style="39"/>
    <col min="11995" max="11995" width="10.6640625" style="39" bestFit="1" customWidth="1"/>
    <col min="11996" max="12000" width="9.109375" style="39"/>
    <col min="12001" max="12001" width="10.6640625" style="39" bestFit="1" customWidth="1"/>
    <col min="12002" max="12008" width="9.109375" style="39"/>
    <col min="12009" max="12009" width="12" style="39" bestFit="1" customWidth="1"/>
    <col min="12010" max="12050" width="9.109375" style="39"/>
    <col min="12051" max="12051" width="12.33203125" style="39" bestFit="1" customWidth="1"/>
    <col min="12052" max="12052" width="10.109375" style="39" bestFit="1" customWidth="1"/>
    <col min="12053" max="12053" width="10.6640625" style="39" bestFit="1" customWidth="1"/>
    <col min="12054" max="12057" width="9.109375" style="39"/>
    <col min="12058" max="12058" width="9.109375" style="39" bestFit="1" customWidth="1"/>
    <col min="12059" max="12059" width="10.6640625" style="39" bestFit="1" customWidth="1"/>
    <col min="12060" max="12060" width="4.5546875" style="39" bestFit="1" customWidth="1"/>
    <col min="12061" max="12061" width="5.5546875" style="39" bestFit="1" customWidth="1"/>
    <col min="12062" max="12062" width="10.6640625" style="39" bestFit="1" customWidth="1"/>
    <col min="12063" max="12066" width="9.109375" style="39"/>
    <col min="12067" max="12067" width="12" style="39" bestFit="1" customWidth="1"/>
    <col min="12068" max="12068" width="32.6640625" style="39" customWidth="1"/>
    <col min="12069" max="12069" width="12.33203125" style="39" bestFit="1" customWidth="1"/>
    <col min="12070" max="12070" width="9.109375" style="39"/>
    <col min="12071" max="12071" width="10.6640625" style="39" bestFit="1" customWidth="1"/>
    <col min="12072" max="12076" width="9.109375" style="39"/>
    <col min="12077" max="12077" width="10.6640625" style="39" bestFit="1" customWidth="1"/>
    <col min="12078" max="12084" width="9.109375" style="39"/>
    <col min="12085" max="12085" width="12" style="39" bestFit="1" customWidth="1"/>
    <col min="12086" max="12086" width="32.6640625" style="39" customWidth="1"/>
    <col min="12087" max="12087" width="12.33203125" style="39" bestFit="1" customWidth="1"/>
    <col min="12088" max="12088" width="9.109375" style="39"/>
    <col min="12089" max="12089" width="10.6640625" style="39" bestFit="1" customWidth="1"/>
    <col min="12090" max="12094" width="9.109375" style="39"/>
    <col min="12095" max="12095" width="10.6640625" style="39" bestFit="1" customWidth="1"/>
    <col min="12096" max="12102" width="9.109375" style="39"/>
    <col min="12103" max="12103" width="12" style="39" bestFit="1" customWidth="1"/>
    <col min="12104" max="12104" width="32.6640625" style="39" customWidth="1"/>
    <col min="12105" max="12105" width="12.33203125" style="39" bestFit="1" customWidth="1"/>
    <col min="12106" max="12106" width="9.109375" style="39"/>
    <col min="12107" max="12107" width="10.6640625" style="39" bestFit="1" customWidth="1"/>
    <col min="12108" max="12112" width="9.109375" style="39"/>
    <col min="12113" max="12113" width="10.6640625" style="39" bestFit="1" customWidth="1"/>
    <col min="12114" max="12120" width="9.109375" style="39"/>
    <col min="12121" max="12121" width="12" style="39" bestFit="1" customWidth="1"/>
    <col min="12122" max="12122" width="32.6640625" style="39" customWidth="1"/>
    <col min="12123" max="12123" width="12.33203125" style="39" bestFit="1" customWidth="1"/>
    <col min="12124" max="12124" width="9.109375" style="39"/>
    <col min="12125" max="12125" width="10.6640625" style="39" bestFit="1" customWidth="1"/>
    <col min="12126" max="12130" width="9.109375" style="39"/>
    <col min="12131" max="12131" width="10.6640625" style="39" bestFit="1" customWidth="1"/>
    <col min="12132" max="12138" width="9.109375" style="39"/>
    <col min="12139" max="12139" width="12" style="39" bestFit="1" customWidth="1"/>
    <col min="12140" max="12140" width="32.6640625" style="39" customWidth="1"/>
    <col min="12141" max="12141" width="12.33203125" style="39" bestFit="1" customWidth="1"/>
    <col min="12142" max="12142" width="9.109375" style="39"/>
    <col min="12143" max="12143" width="10.6640625" style="39" bestFit="1" customWidth="1"/>
    <col min="12144" max="12148" width="9.109375" style="39"/>
    <col min="12149" max="12149" width="10.6640625" style="39" bestFit="1" customWidth="1"/>
    <col min="12150" max="12156" width="9.109375" style="39"/>
    <col min="12157" max="12157" width="12" style="39" bestFit="1" customWidth="1"/>
    <col min="12158" max="12158" width="32.6640625" style="39" customWidth="1"/>
    <col min="12159" max="12159" width="12.33203125" style="39" bestFit="1" customWidth="1"/>
    <col min="12160" max="12160" width="9.109375" style="39"/>
    <col min="12161" max="12161" width="10.6640625" style="39" bestFit="1" customWidth="1"/>
    <col min="12162" max="12166" width="9.109375" style="39"/>
    <col min="12167" max="12167" width="10.6640625" style="39" bestFit="1" customWidth="1"/>
    <col min="12168" max="12174" width="9.109375" style="39"/>
    <col min="12175" max="12175" width="12" style="39" bestFit="1" customWidth="1"/>
    <col min="12176" max="12176" width="32.6640625" style="39" customWidth="1"/>
    <col min="12177" max="12177" width="12.33203125" style="39" bestFit="1" customWidth="1"/>
    <col min="12178" max="12178" width="9.109375" style="39"/>
    <col min="12179" max="12179" width="10.6640625" style="39" bestFit="1" customWidth="1"/>
    <col min="12180" max="12184" width="9.109375" style="39"/>
    <col min="12185" max="12185" width="10.6640625" style="39" bestFit="1" customWidth="1"/>
    <col min="12186" max="12192" width="9.109375" style="39"/>
    <col min="12193" max="12193" width="12" style="39" bestFit="1" customWidth="1"/>
    <col min="12194" max="12194" width="32.6640625" style="39" customWidth="1"/>
    <col min="12195" max="12195" width="12.33203125" style="39" bestFit="1" customWidth="1"/>
    <col min="12196" max="12196" width="9.109375" style="39"/>
    <col min="12197" max="12197" width="10.6640625" style="39" bestFit="1" customWidth="1"/>
    <col min="12198" max="12202" width="9.109375" style="39"/>
    <col min="12203" max="12203" width="10.6640625" style="39" bestFit="1" customWidth="1"/>
    <col min="12204" max="12210" width="9.109375" style="39"/>
    <col min="12211" max="12211" width="12" style="39" bestFit="1" customWidth="1"/>
    <col min="12212" max="12212" width="32.6640625" style="39" customWidth="1"/>
    <col min="12213" max="12213" width="12.33203125" style="39" bestFit="1" customWidth="1"/>
    <col min="12214" max="12214" width="9.109375" style="39"/>
    <col min="12215" max="12215" width="10.6640625" style="39" bestFit="1" customWidth="1"/>
    <col min="12216" max="12220" width="9.109375" style="39"/>
    <col min="12221" max="12221" width="10.6640625" style="39" bestFit="1" customWidth="1"/>
    <col min="12222" max="12228" width="9.109375" style="39"/>
    <col min="12229" max="12229" width="12" style="39" bestFit="1" customWidth="1"/>
    <col min="12230" max="12230" width="32.6640625" style="39" customWidth="1"/>
    <col min="12231" max="12231" width="12.33203125" style="39" bestFit="1" customWidth="1"/>
    <col min="12232" max="12232" width="9.109375" style="39"/>
    <col min="12233" max="12233" width="10.6640625" style="39" bestFit="1" customWidth="1"/>
    <col min="12234" max="12238" width="9.109375" style="39"/>
    <col min="12239" max="12239" width="10.6640625" style="39" bestFit="1" customWidth="1"/>
    <col min="12240" max="12246" width="9.109375" style="39"/>
    <col min="12247" max="12247" width="13.33203125" style="39" bestFit="1" customWidth="1"/>
    <col min="12248" max="12248" width="32.6640625" style="39" customWidth="1"/>
    <col min="12249" max="12249" width="12.33203125" style="39" bestFit="1" customWidth="1"/>
    <col min="12250" max="12250" width="9.109375" style="39"/>
    <col min="12251" max="12251" width="10.6640625" style="39" bestFit="1" customWidth="1"/>
    <col min="12252" max="12256" width="9.109375" style="39"/>
    <col min="12257" max="12257" width="10.6640625" style="39" bestFit="1" customWidth="1"/>
    <col min="12258" max="12264" width="9.109375" style="39"/>
    <col min="12265" max="12265" width="12" style="39" bestFit="1" customWidth="1"/>
    <col min="12266" max="12306" width="9.109375" style="39"/>
    <col min="12307" max="12307" width="12.33203125" style="39" bestFit="1" customWidth="1"/>
    <col min="12308" max="12308" width="10.109375" style="39" bestFit="1" customWidth="1"/>
    <col min="12309" max="12309" width="10.6640625" style="39" bestFit="1" customWidth="1"/>
    <col min="12310" max="12313" width="9.109375" style="39"/>
    <col min="12314" max="12314" width="9.109375" style="39" bestFit="1" customWidth="1"/>
    <col min="12315" max="12315" width="10.6640625" style="39" bestFit="1" customWidth="1"/>
    <col min="12316" max="12316" width="4.5546875" style="39" bestFit="1" customWidth="1"/>
    <col min="12317" max="12317" width="5.5546875" style="39" bestFit="1" customWidth="1"/>
    <col min="12318" max="12318" width="10.6640625" style="39" bestFit="1" customWidth="1"/>
    <col min="12319" max="12322" width="9.109375" style="39"/>
    <col min="12323" max="12323" width="12" style="39" bestFit="1" customWidth="1"/>
    <col min="12324" max="12324" width="32.6640625" style="39" customWidth="1"/>
    <col min="12325" max="12325" width="12.33203125" style="39" bestFit="1" customWidth="1"/>
    <col min="12326" max="12326" width="9.109375" style="39"/>
    <col min="12327" max="12327" width="10.6640625" style="39" bestFit="1" customWidth="1"/>
    <col min="12328" max="12332" width="9.109375" style="39"/>
    <col min="12333" max="12333" width="10.6640625" style="39" bestFit="1" customWidth="1"/>
    <col min="12334" max="12340" width="9.109375" style="39"/>
    <col min="12341" max="12341" width="12" style="39" bestFit="1" customWidth="1"/>
    <col min="12342" max="12342" width="32.6640625" style="39" customWidth="1"/>
    <col min="12343" max="12343" width="12.33203125" style="39" bestFit="1" customWidth="1"/>
    <col min="12344" max="12344" width="9.109375" style="39"/>
    <col min="12345" max="12345" width="10.6640625" style="39" bestFit="1" customWidth="1"/>
    <col min="12346" max="12350" width="9.109375" style="39"/>
    <col min="12351" max="12351" width="10.6640625" style="39" bestFit="1" customWidth="1"/>
    <col min="12352" max="12358" width="9.109375" style="39"/>
    <col min="12359" max="12359" width="12" style="39" bestFit="1" customWidth="1"/>
    <col min="12360" max="12360" width="32.6640625" style="39" customWidth="1"/>
    <col min="12361" max="12361" width="12.33203125" style="39" bestFit="1" customWidth="1"/>
    <col min="12362" max="12362" width="9.109375" style="39"/>
    <col min="12363" max="12363" width="10.6640625" style="39" bestFit="1" customWidth="1"/>
    <col min="12364" max="12368" width="9.109375" style="39"/>
    <col min="12369" max="12369" width="10.6640625" style="39" bestFit="1" customWidth="1"/>
    <col min="12370" max="12376" width="9.109375" style="39"/>
    <col min="12377" max="12377" width="12" style="39" bestFit="1" customWidth="1"/>
    <col min="12378" max="12378" width="32.6640625" style="39" customWidth="1"/>
    <col min="12379" max="12379" width="12.33203125" style="39" bestFit="1" customWidth="1"/>
    <col min="12380" max="12380" width="9.109375" style="39"/>
    <col min="12381" max="12381" width="10.6640625" style="39" bestFit="1" customWidth="1"/>
    <col min="12382" max="12386" width="9.109375" style="39"/>
    <col min="12387" max="12387" width="10.6640625" style="39" bestFit="1" customWidth="1"/>
    <col min="12388" max="12394" width="9.109375" style="39"/>
    <col min="12395" max="12395" width="12" style="39" bestFit="1" customWidth="1"/>
    <col min="12396" max="12396" width="32.6640625" style="39" customWidth="1"/>
    <col min="12397" max="12397" width="12.33203125" style="39" bestFit="1" customWidth="1"/>
    <col min="12398" max="12398" width="9.109375" style="39"/>
    <col min="12399" max="12399" width="10.6640625" style="39" bestFit="1" customWidth="1"/>
    <col min="12400" max="12404" width="9.109375" style="39"/>
    <col min="12405" max="12405" width="10.6640625" style="39" bestFit="1" customWidth="1"/>
    <col min="12406" max="12412" width="9.109375" style="39"/>
    <col min="12413" max="12413" width="12" style="39" bestFit="1" customWidth="1"/>
    <col min="12414" max="12414" width="32.6640625" style="39" customWidth="1"/>
    <col min="12415" max="12415" width="12.33203125" style="39" bestFit="1" customWidth="1"/>
    <col min="12416" max="12416" width="9.109375" style="39"/>
    <col min="12417" max="12417" width="10.6640625" style="39" bestFit="1" customWidth="1"/>
    <col min="12418" max="12422" width="9.109375" style="39"/>
    <col min="12423" max="12423" width="10.6640625" style="39" bestFit="1" customWidth="1"/>
    <col min="12424" max="12430" width="9.109375" style="39"/>
    <col min="12431" max="12431" width="12" style="39" bestFit="1" customWidth="1"/>
    <col min="12432" max="12432" width="32.6640625" style="39" customWidth="1"/>
    <col min="12433" max="12433" width="12.33203125" style="39" bestFit="1" customWidth="1"/>
    <col min="12434" max="12434" width="9.109375" style="39"/>
    <col min="12435" max="12435" width="10.6640625" style="39" bestFit="1" customWidth="1"/>
    <col min="12436" max="12440" width="9.109375" style="39"/>
    <col min="12441" max="12441" width="10.6640625" style="39" bestFit="1" customWidth="1"/>
    <col min="12442" max="12448" width="9.109375" style="39"/>
    <col min="12449" max="12449" width="12" style="39" bestFit="1" customWidth="1"/>
    <col min="12450" max="12450" width="32.6640625" style="39" customWidth="1"/>
    <col min="12451" max="12451" width="12.33203125" style="39" bestFit="1" customWidth="1"/>
    <col min="12452" max="12452" width="9.109375" style="39"/>
    <col min="12453" max="12453" width="10.6640625" style="39" bestFit="1" customWidth="1"/>
    <col min="12454" max="12458" width="9.109375" style="39"/>
    <col min="12459" max="12459" width="10.6640625" style="39" bestFit="1" customWidth="1"/>
    <col min="12460" max="12466" width="9.109375" style="39"/>
    <col min="12467" max="12467" width="12" style="39" bestFit="1" customWidth="1"/>
    <col min="12468" max="12468" width="32.6640625" style="39" customWidth="1"/>
    <col min="12469" max="12469" width="12.33203125" style="39" bestFit="1" customWidth="1"/>
    <col min="12470" max="12470" width="9.109375" style="39"/>
    <col min="12471" max="12471" width="10.6640625" style="39" bestFit="1" customWidth="1"/>
    <col min="12472" max="12476" width="9.109375" style="39"/>
    <col min="12477" max="12477" width="10.6640625" style="39" bestFit="1" customWidth="1"/>
    <col min="12478" max="12484" width="9.109375" style="39"/>
    <col min="12485" max="12485" width="12" style="39" bestFit="1" customWidth="1"/>
    <col min="12486" max="12486" width="32.6640625" style="39" customWidth="1"/>
    <col min="12487" max="12487" width="12.33203125" style="39" bestFit="1" customWidth="1"/>
    <col min="12488" max="12488" width="9.109375" style="39"/>
    <col min="12489" max="12489" width="10.6640625" style="39" bestFit="1" customWidth="1"/>
    <col min="12490" max="12494" width="9.109375" style="39"/>
    <col min="12495" max="12495" width="10.6640625" style="39" bestFit="1" customWidth="1"/>
    <col min="12496" max="12502" width="9.109375" style="39"/>
    <col min="12503" max="12503" width="13.33203125" style="39" bestFit="1" customWidth="1"/>
    <col min="12504" max="12504" width="32.6640625" style="39" customWidth="1"/>
    <col min="12505" max="12505" width="12.33203125" style="39" bestFit="1" customWidth="1"/>
    <col min="12506" max="12506" width="9.109375" style="39"/>
    <col min="12507" max="12507" width="10.6640625" style="39" bestFit="1" customWidth="1"/>
    <col min="12508" max="12512" width="9.109375" style="39"/>
    <col min="12513" max="12513" width="10.6640625" style="39" bestFit="1" customWidth="1"/>
    <col min="12514" max="12520" width="9.109375" style="39"/>
    <col min="12521" max="12521" width="12" style="39" bestFit="1" customWidth="1"/>
    <col min="12522" max="12562" width="9.109375" style="39"/>
    <col min="12563" max="12563" width="12.33203125" style="39" bestFit="1" customWidth="1"/>
    <col min="12564" max="12564" width="10.109375" style="39" bestFit="1" customWidth="1"/>
    <col min="12565" max="12565" width="10.6640625" style="39" bestFit="1" customWidth="1"/>
    <col min="12566" max="12569" width="9.109375" style="39"/>
    <col min="12570" max="12570" width="9.109375" style="39" bestFit="1" customWidth="1"/>
    <col min="12571" max="12571" width="10.6640625" style="39" bestFit="1" customWidth="1"/>
    <col min="12572" max="12572" width="4.5546875" style="39" bestFit="1" customWidth="1"/>
    <col min="12573" max="12573" width="5.5546875" style="39" bestFit="1" customWidth="1"/>
    <col min="12574" max="12574" width="10.6640625" style="39" bestFit="1" customWidth="1"/>
    <col min="12575" max="12578" width="9.109375" style="39"/>
    <col min="12579" max="12579" width="12" style="39" bestFit="1" customWidth="1"/>
    <col min="12580" max="12580" width="32.6640625" style="39" customWidth="1"/>
    <col min="12581" max="12581" width="12.33203125" style="39" bestFit="1" customWidth="1"/>
    <col min="12582" max="12582" width="9.109375" style="39"/>
    <col min="12583" max="12583" width="10.6640625" style="39" bestFit="1" customWidth="1"/>
    <col min="12584" max="12588" width="9.109375" style="39"/>
    <col min="12589" max="12589" width="10.6640625" style="39" bestFit="1" customWidth="1"/>
    <col min="12590" max="12596" width="9.109375" style="39"/>
    <col min="12597" max="12597" width="12" style="39" bestFit="1" customWidth="1"/>
    <col min="12598" max="12598" width="32.6640625" style="39" customWidth="1"/>
    <col min="12599" max="12599" width="12.33203125" style="39" bestFit="1" customWidth="1"/>
    <col min="12600" max="12600" width="9.109375" style="39"/>
    <col min="12601" max="12601" width="10.6640625" style="39" bestFit="1" customWidth="1"/>
    <col min="12602" max="12606" width="9.109375" style="39"/>
    <col min="12607" max="12607" width="10.6640625" style="39" bestFit="1" customWidth="1"/>
    <col min="12608" max="12614" width="9.109375" style="39"/>
    <col min="12615" max="12615" width="12" style="39" bestFit="1" customWidth="1"/>
    <col min="12616" max="12616" width="32.6640625" style="39" customWidth="1"/>
    <col min="12617" max="12617" width="12.33203125" style="39" bestFit="1" customWidth="1"/>
    <col min="12618" max="12618" width="9.109375" style="39"/>
    <col min="12619" max="12619" width="10.6640625" style="39" bestFit="1" customWidth="1"/>
    <col min="12620" max="12624" width="9.109375" style="39"/>
    <col min="12625" max="12625" width="10.6640625" style="39" bestFit="1" customWidth="1"/>
    <col min="12626" max="12632" width="9.109375" style="39"/>
    <col min="12633" max="12633" width="12" style="39" bestFit="1" customWidth="1"/>
    <col min="12634" max="12634" width="32.6640625" style="39" customWidth="1"/>
    <col min="12635" max="12635" width="12.33203125" style="39" bestFit="1" customWidth="1"/>
    <col min="12636" max="12636" width="9.109375" style="39"/>
    <col min="12637" max="12637" width="10.6640625" style="39" bestFit="1" customWidth="1"/>
    <col min="12638" max="12642" width="9.109375" style="39"/>
    <col min="12643" max="12643" width="10.6640625" style="39" bestFit="1" customWidth="1"/>
    <col min="12644" max="12650" width="9.109375" style="39"/>
    <col min="12651" max="12651" width="12" style="39" bestFit="1" customWidth="1"/>
    <col min="12652" max="12652" width="32.6640625" style="39" customWidth="1"/>
    <col min="12653" max="12653" width="12.33203125" style="39" bestFit="1" customWidth="1"/>
    <col min="12654" max="12654" width="9.109375" style="39"/>
    <col min="12655" max="12655" width="10.6640625" style="39" bestFit="1" customWidth="1"/>
    <col min="12656" max="12660" width="9.109375" style="39"/>
    <col min="12661" max="12661" width="10.6640625" style="39" bestFit="1" customWidth="1"/>
    <col min="12662" max="12668" width="9.109375" style="39"/>
    <col min="12669" max="12669" width="12" style="39" bestFit="1" customWidth="1"/>
    <col min="12670" max="12670" width="32.6640625" style="39" customWidth="1"/>
    <col min="12671" max="12671" width="12.33203125" style="39" bestFit="1" customWidth="1"/>
    <col min="12672" max="12672" width="9.109375" style="39"/>
    <col min="12673" max="12673" width="10.6640625" style="39" bestFit="1" customWidth="1"/>
    <col min="12674" max="12678" width="9.109375" style="39"/>
    <col min="12679" max="12679" width="10.6640625" style="39" bestFit="1" customWidth="1"/>
    <col min="12680" max="12686" width="9.109375" style="39"/>
    <col min="12687" max="12687" width="12" style="39" bestFit="1" customWidth="1"/>
    <col min="12688" max="12688" width="32.6640625" style="39" customWidth="1"/>
    <col min="12689" max="12689" width="12.33203125" style="39" bestFit="1" customWidth="1"/>
    <col min="12690" max="12690" width="9.109375" style="39"/>
    <col min="12691" max="12691" width="10.6640625" style="39" bestFit="1" customWidth="1"/>
    <col min="12692" max="12696" width="9.109375" style="39"/>
    <col min="12697" max="12697" width="10.6640625" style="39" bestFit="1" customWidth="1"/>
    <col min="12698" max="12704" width="9.109375" style="39"/>
    <col min="12705" max="12705" width="12" style="39" bestFit="1" customWidth="1"/>
    <col min="12706" max="12706" width="32.6640625" style="39" customWidth="1"/>
    <col min="12707" max="12707" width="12.33203125" style="39" bestFit="1" customWidth="1"/>
    <col min="12708" max="12708" width="9.109375" style="39"/>
    <col min="12709" max="12709" width="10.6640625" style="39" bestFit="1" customWidth="1"/>
    <col min="12710" max="12714" width="9.109375" style="39"/>
    <col min="12715" max="12715" width="10.6640625" style="39" bestFit="1" customWidth="1"/>
    <col min="12716" max="12722" width="9.109375" style="39"/>
    <col min="12723" max="12723" width="12" style="39" bestFit="1" customWidth="1"/>
    <col min="12724" max="12724" width="32.6640625" style="39" customWidth="1"/>
    <col min="12725" max="12725" width="12.33203125" style="39" bestFit="1" customWidth="1"/>
    <col min="12726" max="12726" width="9.109375" style="39"/>
    <col min="12727" max="12727" width="10.6640625" style="39" bestFit="1" customWidth="1"/>
    <col min="12728" max="12732" width="9.109375" style="39"/>
    <col min="12733" max="12733" width="10.6640625" style="39" bestFit="1" customWidth="1"/>
    <col min="12734" max="12740" width="9.109375" style="39"/>
    <col min="12741" max="12741" width="12" style="39" bestFit="1" customWidth="1"/>
    <col min="12742" max="12742" width="32.6640625" style="39" customWidth="1"/>
    <col min="12743" max="12743" width="12.33203125" style="39" bestFit="1" customWidth="1"/>
    <col min="12744" max="12744" width="9.109375" style="39"/>
    <col min="12745" max="12745" width="10.6640625" style="39" bestFit="1" customWidth="1"/>
    <col min="12746" max="12750" width="9.109375" style="39"/>
    <col min="12751" max="12751" width="10.6640625" style="39" bestFit="1" customWidth="1"/>
    <col min="12752" max="12758" width="9.109375" style="39"/>
    <col min="12759" max="12759" width="13.33203125" style="39" bestFit="1" customWidth="1"/>
    <col min="12760" max="12760" width="32.6640625" style="39" customWidth="1"/>
    <col min="12761" max="12761" width="12.33203125" style="39" bestFit="1" customWidth="1"/>
    <col min="12762" max="12762" width="9.109375" style="39"/>
    <col min="12763" max="12763" width="10.6640625" style="39" bestFit="1" customWidth="1"/>
    <col min="12764" max="12768" width="9.109375" style="39"/>
    <col min="12769" max="12769" width="10.6640625" style="39" bestFit="1" customWidth="1"/>
    <col min="12770" max="12776" width="9.109375" style="39"/>
    <col min="12777" max="12777" width="12" style="39" bestFit="1" customWidth="1"/>
    <col min="12778" max="12818" width="9.109375" style="39"/>
    <col min="12819" max="12819" width="12.33203125" style="39" bestFit="1" customWidth="1"/>
    <col min="12820" max="12820" width="10.109375" style="39" bestFit="1" customWidth="1"/>
    <col min="12821" max="12821" width="10.6640625" style="39" bestFit="1" customWidth="1"/>
    <col min="12822" max="12825" width="9.109375" style="39"/>
    <col min="12826" max="12826" width="9.109375" style="39" bestFit="1" customWidth="1"/>
    <col min="12827" max="12827" width="10.6640625" style="39" bestFit="1" customWidth="1"/>
    <col min="12828" max="12828" width="4.5546875" style="39" bestFit="1" customWidth="1"/>
    <col min="12829" max="12829" width="5.5546875" style="39" bestFit="1" customWidth="1"/>
    <col min="12830" max="12830" width="10.6640625" style="39" bestFit="1" customWidth="1"/>
    <col min="12831" max="12834" width="9.109375" style="39"/>
    <col min="12835" max="12835" width="12" style="39" bestFit="1" customWidth="1"/>
    <col min="12836" max="12836" width="32.6640625" style="39" customWidth="1"/>
    <col min="12837" max="12837" width="12.33203125" style="39" bestFit="1" customWidth="1"/>
    <col min="12838" max="12838" width="9.109375" style="39"/>
    <col min="12839" max="12839" width="10.6640625" style="39" bestFit="1" customWidth="1"/>
    <col min="12840" max="12844" width="9.109375" style="39"/>
    <col min="12845" max="12845" width="10.6640625" style="39" bestFit="1" customWidth="1"/>
    <col min="12846" max="12852" width="9.109375" style="39"/>
    <col min="12853" max="12853" width="12" style="39" bestFit="1" customWidth="1"/>
    <col min="12854" max="12854" width="32.6640625" style="39" customWidth="1"/>
    <col min="12855" max="12855" width="12.33203125" style="39" bestFit="1" customWidth="1"/>
    <col min="12856" max="12856" width="9.109375" style="39"/>
    <col min="12857" max="12857" width="10.6640625" style="39" bestFit="1" customWidth="1"/>
    <col min="12858" max="12862" width="9.109375" style="39"/>
    <col min="12863" max="12863" width="10.6640625" style="39" bestFit="1" customWidth="1"/>
    <col min="12864" max="12870" width="9.109375" style="39"/>
    <col min="12871" max="12871" width="12" style="39" bestFit="1" customWidth="1"/>
    <col min="12872" max="12872" width="32.6640625" style="39" customWidth="1"/>
    <col min="12873" max="12873" width="12.33203125" style="39" bestFit="1" customWidth="1"/>
    <col min="12874" max="12874" width="9.109375" style="39"/>
    <col min="12875" max="12875" width="10.6640625" style="39" bestFit="1" customWidth="1"/>
    <col min="12876" max="12880" width="9.109375" style="39"/>
    <col min="12881" max="12881" width="10.6640625" style="39" bestFit="1" customWidth="1"/>
    <col min="12882" max="12888" width="9.109375" style="39"/>
    <col min="12889" max="12889" width="12" style="39" bestFit="1" customWidth="1"/>
    <col min="12890" max="12890" width="32.6640625" style="39" customWidth="1"/>
    <col min="12891" max="12891" width="12.33203125" style="39" bestFit="1" customWidth="1"/>
    <col min="12892" max="12892" width="9.109375" style="39"/>
    <col min="12893" max="12893" width="10.6640625" style="39" bestFit="1" customWidth="1"/>
    <col min="12894" max="12898" width="9.109375" style="39"/>
    <col min="12899" max="12899" width="10.6640625" style="39" bestFit="1" customWidth="1"/>
    <col min="12900" max="12906" width="9.109375" style="39"/>
    <col min="12907" max="12907" width="12" style="39" bestFit="1" customWidth="1"/>
    <col min="12908" max="12908" width="32.6640625" style="39" customWidth="1"/>
    <col min="12909" max="12909" width="12.33203125" style="39" bestFit="1" customWidth="1"/>
    <col min="12910" max="12910" width="9.109375" style="39"/>
    <col min="12911" max="12911" width="10.6640625" style="39" bestFit="1" customWidth="1"/>
    <col min="12912" max="12916" width="9.109375" style="39"/>
    <col min="12917" max="12917" width="10.6640625" style="39" bestFit="1" customWidth="1"/>
    <col min="12918" max="12924" width="9.109375" style="39"/>
    <col min="12925" max="12925" width="12" style="39" bestFit="1" customWidth="1"/>
    <col min="12926" max="12926" width="32.6640625" style="39" customWidth="1"/>
    <col min="12927" max="12927" width="12.33203125" style="39" bestFit="1" customWidth="1"/>
    <col min="12928" max="12928" width="9.109375" style="39"/>
    <col min="12929" max="12929" width="10.6640625" style="39" bestFit="1" customWidth="1"/>
    <col min="12930" max="12934" width="9.109375" style="39"/>
    <col min="12935" max="12935" width="10.6640625" style="39" bestFit="1" customWidth="1"/>
    <col min="12936" max="12942" width="9.109375" style="39"/>
    <col min="12943" max="12943" width="12" style="39" bestFit="1" customWidth="1"/>
    <col min="12944" max="12944" width="32.6640625" style="39" customWidth="1"/>
    <col min="12945" max="12945" width="12.33203125" style="39" bestFit="1" customWidth="1"/>
    <col min="12946" max="12946" width="9.109375" style="39"/>
    <col min="12947" max="12947" width="10.6640625" style="39" bestFit="1" customWidth="1"/>
    <col min="12948" max="12952" width="9.109375" style="39"/>
    <col min="12953" max="12953" width="10.6640625" style="39" bestFit="1" customWidth="1"/>
    <col min="12954" max="12960" width="9.109375" style="39"/>
    <col min="12961" max="12961" width="12" style="39" bestFit="1" customWidth="1"/>
    <col min="12962" max="12962" width="32.6640625" style="39" customWidth="1"/>
    <col min="12963" max="12963" width="12.33203125" style="39" bestFit="1" customWidth="1"/>
    <col min="12964" max="12964" width="9.109375" style="39"/>
    <col min="12965" max="12965" width="10.6640625" style="39" bestFit="1" customWidth="1"/>
    <col min="12966" max="12970" width="9.109375" style="39"/>
    <col min="12971" max="12971" width="10.6640625" style="39" bestFit="1" customWidth="1"/>
    <col min="12972" max="12978" width="9.109375" style="39"/>
    <col min="12979" max="12979" width="12" style="39" bestFit="1" customWidth="1"/>
    <col min="12980" max="12980" width="32.6640625" style="39" customWidth="1"/>
    <col min="12981" max="12981" width="12.33203125" style="39" bestFit="1" customWidth="1"/>
    <col min="12982" max="12982" width="9.109375" style="39"/>
    <col min="12983" max="12983" width="10.6640625" style="39" bestFit="1" customWidth="1"/>
    <col min="12984" max="12988" width="9.109375" style="39"/>
    <col min="12989" max="12989" width="10.6640625" style="39" bestFit="1" customWidth="1"/>
    <col min="12990" max="12996" width="9.109375" style="39"/>
    <col min="12997" max="12997" width="12" style="39" bestFit="1" customWidth="1"/>
    <col min="12998" max="12998" width="32.6640625" style="39" customWidth="1"/>
    <col min="12999" max="12999" width="12.33203125" style="39" bestFit="1" customWidth="1"/>
    <col min="13000" max="13000" width="9.109375" style="39"/>
    <col min="13001" max="13001" width="10.6640625" style="39" bestFit="1" customWidth="1"/>
    <col min="13002" max="13006" width="9.109375" style="39"/>
    <col min="13007" max="13007" width="10.6640625" style="39" bestFit="1" customWidth="1"/>
    <col min="13008" max="13014" width="9.109375" style="39"/>
    <col min="13015" max="13015" width="13.33203125" style="39" bestFit="1" customWidth="1"/>
    <col min="13016" max="13016" width="32.6640625" style="39" customWidth="1"/>
    <col min="13017" max="13017" width="12.33203125" style="39" bestFit="1" customWidth="1"/>
    <col min="13018" max="13018" width="9.109375" style="39"/>
    <col min="13019" max="13019" width="10.6640625" style="39" bestFit="1" customWidth="1"/>
    <col min="13020" max="13024" width="9.109375" style="39"/>
    <col min="13025" max="13025" width="10.6640625" style="39" bestFit="1" customWidth="1"/>
    <col min="13026" max="13032" width="9.109375" style="39"/>
    <col min="13033" max="13033" width="12" style="39" bestFit="1" customWidth="1"/>
    <col min="13034" max="13074" width="9.109375" style="39"/>
    <col min="13075" max="13075" width="12.33203125" style="39" bestFit="1" customWidth="1"/>
    <col min="13076" max="13076" width="10.109375" style="39" bestFit="1" customWidth="1"/>
    <col min="13077" max="13077" width="10.6640625" style="39" bestFit="1" customWidth="1"/>
    <col min="13078" max="13081" width="9.109375" style="39"/>
    <col min="13082" max="13082" width="9.109375" style="39" bestFit="1" customWidth="1"/>
    <col min="13083" max="13083" width="10.6640625" style="39" bestFit="1" customWidth="1"/>
    <col min="13084" max="13084" width="4.5546875" style="39" bestFit="1" customWidth="1"/>
    <col min="13085" max="13085" width="5.5546875" style="39" bestFit="1" customWidth="1"/>
    <col min="13086" max="13086" width="10.6640625" style="39" bestFit="1" customWidth="1"/>
    <col min="13087" max="13090" width="9.109375" style="39"/>
    <col min="13091" max="13091" width="12" style="39" bestFit="1" customWidth="1"/>
    <col min="13092" max="13092" width="32.6640625" style="39" customWidth="1"/>
    <col min="13093" max="13093" width="12.33203125" style="39" bestFit="1" customWidth="1"/>
    <col min="13094" max="13094" width="9.109375" style="39"/>
    <col min="13095" max="13095" width="10.6640625" style="39" bestFit="1" customWidth="1"/>
    <col min="13096" max="13100" width="9.109375" style="39"/>
    <col min="13101" max="13101" width="10.6640625" style="39" bestFit="1" customWidth="1"/>
    <col min="13102" max="13108" width="9.109375" style="39"/>
    <col min="13109" max="13109" width="12" style="39" bestFit="1" customWidth="1"/>
    <col min="13110" max="13110" width="32.6640625" style="39" customWidth="1"/>
    <col min="13111" max="13111" width="12.33203125" style="39" bestFit="1" customWidth="1"/>
    <col min="13112" max="13112" width="9.109375" style="39"/>
    <col min="13113" max="13113" width="10.6640625" style="39" bestFit="1" customWidth="1"/>
    <col min="13114" max="13118" width="9.109375" style="39"/>
    <col min="13119" max="13119" width="10.6640625" style="39" bestFit="1" customWidth="1"/>
    <col min="13120" max="13126" width="9.109375" style="39"/>
    <col min="13127" max="13127" width="12" style="39" bestFit="1" customWidth="1"/>
    <col min="13128" max="13128" width="32.6640625" style="39" customWidth="1"/>
    <col min="13129" max="13129" width="12.33203125" style="39" bestFit="1" customWidth="1"/>
    <col min="13130" max="13130" width="9.109375" style="39"/>
    <col min="13131" max="13131" width="10.6640625" style="39" bestFit="1" customWidth="1"/>
    <col min="13132" max="13136" width="9.109375" style="39"/>
    <col min="13137" max="13137" width="10.6640625" style="39" bestFit="1" customWidth="1"/>
    <col min="13138" max="13144" width="9.109375" style="39"/>
    <col min="13145" max="13145" width="12" style="39" bestFit="1" customWidth="1"/>
    <col min="13146" max="13146" width="32.6640625" style="39" customWidth="1"/>
    <col min="13147" max="13147" width="12.33203125" style="39" bestFit="1" customWidth="1"/>
    <col min="13148" max="13148" width="9.109375" style="39"/>
    <col min="13149" max="13149" width="10.6640625" style="39" bestFit="1" customWidth="1"/>
    <col min="13150" max="13154" width="9.109375" style="39"/>
    <col min="13155" max="13155" width="10.6640625" style="39" bestFit="1" customWidth="1"/>
    <col min="13156" max="13162" width="9.109375" style="39"/>
    <col min="13163" max="13163" width="12" style="39" bestFit="1" customWidth="1"/>
    <col min="13164" max="13164" width="32.6640625" style="39" customWidth="1"/>
    <col min="13165" max="13165" width="12.33203125" style="39" bestFit="1" customWidth="1"/>
    <col min="13166" max="13166" width="9.109375" style="39"/>
    <col min="13167" max="13167" width="10.6640625" style="39" bestFit="1" customWidth="1"/>
    <col min="13168" max="13172" width="9.109375" style="39"/>
    <col min="13173" max="13173" width="10.6640625" style="39" bestFit="1" customWidth="1"/>
    <col min="13174" max="13180" width="9.109375" style="39"/>
    <col min="13181" max="13181" width="12" style="39" bestFit="1" customWidth="1"/>
    <col min="13182" max="13182" width="32.6640625" style="39" customWidth="1"/>
    <col min="13183" max="13183" width="12.33203125" style="39" bestFit="1" customWidth="1"/>
    <col min="13184" max="13184" width="9.109375" style="39"/>
    <col min="13185" max="13185" width="10.6640625" style="39" bestFit="1" customWidth="1"/>
    <col min="13186" max="13190" width="9.109375" style="39"/>
    <col min="13191" max="13191" width="10.6640625" style="39" bestFit="1" customWidth="1"/>
    <col min="13192" max="13198" width="9.109375" style="39"/>
    <col min="13199" max="13199" width="12" style="39" bestFit="1" customWidth="1"/>
    <col min="13200" max="13200" width="32.6640625" style="39" customWidth="1"/>
    <col min="13201" max="13201" width="12.33203125" style="39" bestFit="1" customWidth="1"/>
    <col min="13202" max="13202" width="9.109375" style="39"/>
    <col min="13203" max="13203" width="10.6640625" style="39" bestFit="1" customWidth="1"/>
    <col min="13204" max="13208" width="9.109375" style="39"/>
    <col min="13209" max="13209" width="10.6640625" style="39" bestFit="1" customWidth="1"/>
    <col min="13210" max="13216" width="9.109375" style="39"/>
    <col min="13217" max="13217" width="12" style="39" bestFit="1" customWidth="1"/>
    <col min="13218" max="13218" width="32.6640625" style="39" customWidth="1"/>
    <col min="13219" max="13219" width="12.33203125" style="39" bestFit="1" customWidth="1"/>
    <col min="13220" max="13220" width="9.109375" style="39"/>
    <col min="13221" max="13221" width="10.6640625" style="39" bestFit="1" customWidth="1"/>
    <col min="13222" max="13226" width="9.109375" style="39"/>
    <col min="13227" max="13227" width="10.6640625" style="39" bestFit="1" customWidth="1"/>
    <col min="13228" max="13234" width="9.109375" style="39"/>
    <col min="13235" max="13235" width="12" style="39" bestFit="1" customWidth="1"/>
    <col min="13236" max="13236" width="32.6640625" style="39" customWidth="1"/>
    <col min="13237" max="13237" width="12.33203125" style="39" bestFit="1" customWidth="1"/>
    <col min="13238" max="13238" width="9.109375" style="39"/>
    <col min="13239" max="13239" width="10.6640625" style="39" bestFit="1" customWidth="1"/>
    <col min="13240" max="13244" width="9.109375" style="39"/>
    <col min="13245" max="13245" width="10.6640625" style="39" bestFit="1" customWidth="1"/>
    <col min="13246" max="13252" width="9.109375" style="39"/>
    <col min="13253" max="13253" width="12" style="39" bestFit="1" customWidth="1"/>
    <col min="13254" max="13254" width="32.6640625" style="39" customWidth="1"/>
    <col min="13255" max="13255" width="12.33203125" style="39" bestFit="1" customWidth="1"/>
    <col min="13256" max="13256" width="9.109375" style="39"/>
    <col min="13257" max="13257" width="10.6640625" style="39" bestFit="1" customWidth="1"/>
    <col min="13258" max="13262" width="9.109375" style="39"/>
    <col min="13263" max="13263" width="10.6640625" style="39" bestFit="1" customWidth="1"/>
    <col min="13264" max="13270" width="9.109375" style="39"/>
    <col min="13271" max="13271" width="13.33203125" style="39" bestFit="1" customWidth="1"/>
    <col min="13272" max="13272" width="32.6640625" style="39" customWidth="1"/>
    <col min="13273" max="13273" width="12.33203125" style="39" bestFit="1" customWidth="1"/>
    <col min="13274" max="13274" width="9.109375" style="39"/>
    <col min="13275" max="13275" width="10.6640625" style="39" bestFit="1" customWidth="1"/>
    <col min="13276" max="13280" width="9.109375" style="39"/>
    <col min="13281" max="13281" width="10.6640625" style="39" bestFit="1" customWidth="1"/>
    <col min="13282" max="13288" width="9.109375" style="39"/>
    <col min="13289" max="13289" width="12" style="39" bestFit="1" customWidth="1"/>
    <col min="13290" max="13330" width="9.109375" style="39"/>
    <col min="13331" max="13331" width="12.33203125" style="39" bestFit="1" customWidth="1"/>
    <col min="13332" max="13332" width="10.109375" style="39" bestFit="1" customWidth="1"/>
    <col min="13333" max="13333" width="10.6640625" style="39" bestFit="1" customWidth="1"/>
    <col min="13334" max="13337" width="9.109375" style="39"/>
    <col min="13338" max="13338" width="9.109375" style="39" bestFit="1" customWidth="1"/>
    <col min="13339" max="13339" width="10.6640625" style="39" bestFit="1" customWidth="1"/>
    <col min="13340" max="13340" width="4.5546875" style="39" bestFit="1" customWidth="1"/>
    <col min="13341" max="13341" width="5.5546875" style="39" bestFit="1" customWidth="1"/>
    <col min="13342" max="13342" width="10.6640625" style="39" bestFit="1" customWidth="1"/>
    <col min="13343" max="13346" width="9.109375" style="39"/>
    <col min="13347" max="13347" width="12" style="39" bestFit="1" customWidth="1"/>
    <col min="13348" max="13348" width="32.6640625" style="39" customWidth="1"/>
    <col min="13349" max="13349" width="12.33203125" style="39" bestFit="1" customWidth="1"/>
    <col min="13350" max="13350" width="9.109375" style="39"/>
    <col min="13351" max="13351" width="10.6640625" style="39" bestFit="1" customWidth="1"/>
    <col min="13352" max="13356" width="9.109375" style="39"/>
    <col min="13357" max="13357" width="10.6640625" style="39" bestFit="1" customWidth="1"/>
    <col min="13358" max="13364" width="9.109375" style="39"/>
    <col min="13365" max="13365" width="12" style="39" bestFit="1" customWidth="1"/>
    <col min="13366" max="13366" width="32.6640625" style="39" customWidth="1"/>
    <col min="13367" max="13367" width="12.33203125" style="39" bestFit="1" customWidth="1"/>
    <col min="13368" max="13368" width="9.109375" style="39"/>
    <col min="13369" max="13369" width="10.6640625" style="39" bestFit="1" customWidth="1"/>
    <col min="13370" max="13374" width="9.109375" style="39"/>
    <col min="13375" max="13375" width="10.6640625" style="39" bestFit="1" customWidth="1"/>
    <col min="13376" max="13382" width="9.109375" style="39"/>
    <col min="13383" max="13383" width="12" style="39" bestFit="1" customWidth="1"/>
    <col min="13384" max="13384" width="32.6640625" style="39" customWidth="1"/>
    <col min="13385" max="13385" width="12.33203125" style="39" bestFit="1" customWidth="1"/>
    <col min="13386" max="13386" width="9.109375" style="39"/>
    <col min="13387" max="13387" width="10.6640625" style="39" bestFit="1" customWidth="1"/>
    <col min="13388" max="13392" width="9.109375" style="39"/>
    <col min="13393" max="13393" width="10.6640625" style="39" bestFit="1" customWidth="1"/>
    <col min="13394" max="13400" width="9.109375" style="39"/>
    <col min="13401" max="13401" width="12" style="39" bestFit="1" customWidth="1"/>
    <col min="13402" max="13402" width="32.6640625" style="39" customWidth="1"/>
    <col min="13403" max="13403" width="12.33203125" style="39" bestFit="1" customWidth="1"/>
    <col min="13404" max="13404" width="9.109375" style="39"/>
    <col min="13405" max="13405" width="10.6640625" style="39" bestFit="1" customWidth="1"/>
    <col min="13406" max="13410" width="9.109375" style="39"/>
    <col min="13411" max="13411" width="10.6640625" style="39" bestFit="1" customWidth="1"/>
    <col min="13412" max="13418" width="9.109375" style="39"/>
    <col min="13419" max="13419" width="12" style="39" bestFit="1" customWidth="1"/>
    <col min="13420" max="13420" width="32.6640625" style="39" customWidth="1"/>
    <col min="13421" max="13421" width="12.33203125" style="39" bestFit="1" customWidth="1"/>
    <col min="13422" max="13422" width="9.109375" style="39"/>
    <col min="13423" max="13423" width="10.6640625" style="39" bestFit="1" customWidth="1"/>
    <col min="13424" max="13428" width="9.109375" style="39"/>
    <col min="13429" max="13429" width="10.6640625" style="39" bestFit="1" customWidth="1"/>
    <col min="13430" max="13436" width="9.109375" style="39"/>
    <col min="13437" max="13437" width="12" style="39" bestFit="1" customWidth="1"/>
    <col min="13438" max="13438" width="32.6640625" style="39" customWidth="1"/>
    <col min="13439" max="13439" width="12.33203125" style="39" bestFit="1" customWidth="1"/>
    <col min="13440" max="13440" width="9.109375" style="39"/>
    <col min="13441" max="13441" width="10.6640625" style="39" bestFit="1" customWidth="1"/>
    <col min="13442" max="13446" width="9.109375" style="39"/>
    <col min="13447" max="13447" width="10.6640625" style="39" bestFit="1" customWidth="1"/>
    <col min="13448" max="13454" width="9.109375" style="39"/>
    <col min="13455" max="13455" width="12" style="39" bestFit="1" customWidth="1"/>
    <col min="13456" max="13456" width="32.6640625" style="39" customWidth="1"/>
    <col min="13457" max="13457" width="12.33203125" style="39" bestFit="1" customWidth="1"/>
    <col min="13458" max="13458" width="9.109375" style="39"/>
    <col min="13459" max="13459" width="10.6640625" style="39" bestFit="1" customWidth="1"/>
    <col min="13460" max="13464" width="9.109375" style="39"/>
    <col min="13465" max="13465" width="10.6640625" style="39" bestFit="1" customWidth="1"/>
    <col min="13466" max="13472" width="9.109375" style="39"/>
    <col min="13473" max="13473" width="12" style="39" bestFit="1" customWidth="1"/>
    <col min="13474" max="13474" width="32.6640625" style="39" customWidth="1"/>
    <col min="13475" max="13475" width="12.33203125" style="39" bestFit="1" customWidth="1"/>
    <col min="13476" max="13476" width="9.109375" style="39"/>
    <col min="13477" max="13477" width="10.6640625" style="39" bestFit="1" customWidth="1"/>
    <col min="13478" max="13482" width="9.109375" style="39"/>
    <col min="13483" max="13483" width="10.6640625" style="39" bestFit="1" customWidth="1"/>
    <col min="13484" max="13490" width="9.109375" style="39"/>
    <col min="13491" max="13491" width="12" style="39" bestFit="1" customWidth="1"/>
    <col min="13492" max="13492" width="32.6640625" style="39" customWidth="1"/>
    <col min="13493" max="13493" width="12.33203125" style="39" bestFit="1" customWidth="1"/>
    <col min="13494" max="13494" width="9.109375" style="39"/>
    <col min="13495" max="13495" width="10.6640625" style="39" bestFit="1" customWidth="1"/>
    <col min="13496" max="13500" width="9.109375" style="39"/>
    <col min="13501" max="13501" width="10.6640625" style="39" bestFit="1" customWidth="1"/>
    <col min="13502" max="13508" width="9.109375" style="39"/>
    <col min="13509" max="13509" width="12" style="39" bestFit="1" customWidth="1"/>
    <col min="13510" max="13510" width="32.6640625" style="39" customWidth="1"/>
    <col min="13511" max="13511" width="12.33203125" style="39" bestFit="1" customWidth="1"/>
    <col min="13512" max="13512" width="9.109375" style="39"/>
    <col min="13513" max="13513" width="10.6640625" style="39" bestFit="1" customWidth="1"/>
    <col min="13514" max="13518" width="9.109375" style="39"/>
    <col min="13519" max="13519" width="10.6640625" style="39" bestFit="1" customWidth="1"/>
    <col min="13520" max="13526" width="9.109375" style="39"/>
    <col min="13527" max="13527" width="13.33203125" style="39" bestFit="1" customWidth="1"/>
    <col min="13528" max="13528" width="32.6640625" style="39" customWidth="1"/>
    <col min="13529" max="13529" width="12.33203125" style="39" bestFit="1" customWidth="1"/>
    <col min="13530" max="13530" width="9.109375" style="39"/>
    <col min="13531" max="13531" width="10.6640625" style="39" bestFit="1" customWidth="1"/>
    <col min="13532" max="13536" width="9.109375" style="39"/>
    <col min="13537" max="13537" width="10.6640625" style="39" bestFit="1" customWidth="1"/>
    <col min="13538" max="13544" width="9.109375" style="39"/>
    <col min="13545" max="13545" width="12" style="39" bestFit="1" customWidth="1"/>
    <col min="13546" max="13586" width="9.109375" style="39"/>
    <col min="13587" max="13587" width="12.33203125" style="39" bestFit="1" customWidth="1"/>
    <col min="13588" max="13588" width="10.109375" style="39" bestFit="1" customWidth="1"/>
    <col min="13589" max="13589" width="10.6640625" style="39" bestFit="1" customWidth="1"/>
    <col min="13590" max="13593" width="9.109375" style="39"/>
    <col min="13594" max="13594" width="9.109375" style="39" bestFit="1" customWidth="1"/>
    <col min="13595" max="13595" width="10.6640625" style="39" bestFit="1" customWidth="1"/>
    <col min="13596" max="13596" width="4.5546875" style="39" bestFit="1" customWidth="1"/>
    <col min="13597" max="13597" width="5.5546875" style="39" bestFit="1" customWidth="1"/>
    <col min="13598" max="13598" width="10.6640625" style="39" bestFit="1" customWidth="1"/>
    <col min="13599" max="13602" width="9.109375" style="39"/>
    <col min="13603" max="13603" width="12" style="39" bestFit="1" customWidth="1"/>
    <col min="13604" max="13604" width="32.6640625" style="39" customWidth="1"/>
    <col min="13605" max="13605" width="12.33203125" style="39" bestFit="1" customWidth="1"/>
    <col min="13606" max="13606" width="9.109375" style="39"/>
    <col min="13607" max="13607" width="10.6640625" style="39" bestFit="1" customWidth="1"/>
    <col min="13608" max="13612" width="9.109375" style="39"/>
    <col min="13613" max="13613" width="10.6640625" style="39" bestFit="1" customWidth="1"/>
    <col min="13614" max="13620" width="9.109375" style="39"/>
    <col min="13621" max="13621" width="12" style="39" bestFit="1" customWidth="1"/>
    <col min="13622" max="13622" width="32.6640625" style="39" customWidth="1"/>
    <col min="13623" max="13623" width="12.33203125" style="39" bestFit="1" customWidth="1"/>
    <col min="13624" max="13624" width="9.109375" style="39"/>
    <col min="13625" max="13625" width="10.6640625" style="39" bestFit="1" customWidth="1"/>
    <col min="13626" max="13630" width="9.109375" style="39"/>
    <col min="13631" max="13631" width="10.6640625" style="39" bestFit="1" customWidth="1"/>
    <col min="13632" max="13638" width="9.109375" style="39"/>
    <col min="13639" max="13639" width="12" style="39" bestFit="1" customWidth="1"/>
    <col min="13640" max="13640" width="32.6640625" style="39" customWidth="1"/>
    <col min="13641" max="13641" width="12.33203125" style="39" bestFit="1" customWidth="1"/>
    <col min="13642" max="13642" width="9.109375" style="39"/>
    <col min="13643" max="13643" width="10.6640625" style="39" bestFit="1" customWidth="1"/>
    <col min="13644" max="13648" width="9.109375" style="39"/>
    <col min="13649" max="13649" width="10.6640625" style="39" bestFit="1" customWidth="1"/>
    <col min="13650" max="13656" width="9.109375" style="39"/>
    <col min="13657" max="13657" width="12" style="39" bestFit="1" customWidth="1"/>
    <col min="13658" max="13658" width="32.6640625" style="39" customWidth="1"/>
    <col min="13659" max="13659" width="12.33203125" style="39" bestFit="1" customWidth="1"/>
    <col min="13660" max="13660" width="9.109375" style="39"/>
    <col min="13661" max="13661" width="10.6640625" style="39" bestFit="1" customWidth="1"/>
    <col min="13662" max="13666" width="9.109375" style="39"/>
    <col min="13667" max="13667" width="10.6640625" style="39" bestFit="1" customWidth="1"/>
    <col min="13668" max="13674" width="9.109375" style="39"/>
    <col min="13675" max="13675" width="12" style="39" bestFit="1" customWidth="1"/>
    <col min="13676" max="13676" width="32.6640625" style="39" customWidth="1"/>
    <col min="13677" max="13677" width="12.33203125" style="39" bestFit="1" customWidth="1"/>
    <col min="13678" max="13678" width="9.109375" style="39"/>
    <col min="13679" max="13679" width="10.6640625" style="39" bestFit="1" customWidth="1"/>
    <col min="13680" max="13684" width="9.109375" style="39"/>
    <col min="13685" max="13685" width="10.6640625" style="39" bestFit="1" customWidth="1"/>
    <col min="13686" max="13692" width="9.109375" style="39"/>
    <col min="13693" max="13693" width="12" style="39" bestFit="1" customWidth="1"/>
    <col min="13694" max="13694" width="32.6640625" style="39" customWidth="1"/>
    <col min="13695" max="13695" width="12.33203125" style="39" bestFit="1" customWidth="1"/>
    <col min="13696" max="13696" width="9.109375" style="39"/>
    <col min="13697" max="13697" width="10.6640625" style="39" bestFit="1" customWidth="1"/>
    <col min="13698" max="13702" width="9.109375" style="39"/>
    <col min="13703" max="13703" width="10.6640625" style="39" bestFit="1" customWidth="1"/>
    <col min="13704" max="13710" width="9.109375" style="39"/>
    <col min="13711" max="13711" width="12" style="39" bestFit="1" customWidth="1"/>
    <col min="13712" max="13712" width="32.6640625" style="39" customWidth="1"/>
    <col min="13713" max="13713" width="12.33203125" style="39" bestFit="1" customWidth="1"/>
    <col min="13714" max="13714" width="9.109375" style="39"/>
    <col min="13715" max="13715" width="10.6640625" style="39" bestFit="1" customWidth="1"/>
    <col min="13716" max="13720" width="9.109375" style="39"/>
    <col min="13721" max="13721" width="10.6640625" style="39" bestFit="1" customWidth="1"/>
    <col min="13722" max="13728" width="9.109375" style="39"/>
    <col min="13729" max="13729" width="12" style="39" bestFit="1" customWidth="1"/>
    <col min="13730" max="13730" width="32.6640625" style="39" customWidth="1"/>
    <col min="13731" max="13731" width="12.33203125" style="39" bestFit="1" customWidth="1"/>
    <col min="13732" max="13732" width="9.109375" style="39"/>
    <col min="13733" max="13733" width="10.6640625" style="39" bestFit="1" customWidth="1"/>
    <col min="13734" max="13738" width="9.109375" style="39"/>
    <col min="13739" max="13739" width="10.6640625" style="39" bestFit="1" customWidth="1"/>
    <col min="13740" max="13746" width="9.109375" style="39"/>
    <col min="13747" max="13747" width="12" style="39" bestFit="1" customWidth="1"/>
    <col min="13748" max="13748" width="32.6640625" style="39" customWidth="1"/>
    <col min="13749" max="13749" width="12.33203125" style="39" bestFit="1" customWidth="1"/>
    <col min="13750" max="13750" width="9.109375" style="39"/>
    <col min="13751" max="13751" width="10.6640625" style="39" bestFit="1" customWidth="1"/>
    <col min="13752" max="13756" width="9.109375" style="39"/>
    <col min="13757" max="13757" width="10.6640625" style="39" bestFit="1" customWidth="1"/>
    <col min="13758" max="13764" width="9.109375" style="39"/>
    <col min="13765" max="13765" width="12" style="39" bestFit="1" customWidth="1"/>
    <col min="13766" max="13766" width="32.6640625" style="39" customWidth="1"/>
    <col min="13767" max="13767" width="12.33203125" style="39" bestFit="1" customWidth="1"/>
    <col min="13768" max="13768" width="9.109375" style="39"/>
    <col min="13769" max="13769" width="10.6640625" style="39" bestFit="1" customWidth="1"/>
    <col min="13770" max="13774" width="9.109375" style="39"/>
    <col min="13775" max="13775" width="10.6640625" style="39" bestFit="1" customWidth="1"/>
    <col min="13776" max="13782" width="9.109375" style="39"/>
    <col min="13783" max="13783" width="13.33203125" style="39" bestFit="1" customWidth="1"/>
    <col min="13784" max="13784" width="32.6640625" style="39" customWidth="1"/>
    <col min="13785" max="13785" width="12.33203125" style="39" bestFit="1" customWidth="1"/>
    <col min="13786" max="13786" width="9.109375" style="39"/>
    <col min="13787" max="13787" width="10.6640625" style="39" bestFit="1" customWidth="1"/>
    <col min="13788" max="13792" width="9.109375" style="39"/>
    <col min="13793" max="13793" width="10.6640625" style="39" bestFit="1" customWidth="1"/>
    <col min="13794" max="13800" width="9.109375" style="39"/>
    <col min="13801" max="13801" width="12" style="39" bestFit="1" customWidth="1"/>
    <col min="13802" max="13842" width="9.109375" style="39"/>
    <col min="13843" max="13843" width="12.33203125" style="39" bestFit="1" customWidth="1"/>
    <col min="13844" max="13844" width="10.109375" style="39" bestFit="1" customWidth="1"/>
    <col min="13845" max="13845" width="10.6640625" style="39" bestFit="1" customWidth="1"/>
    <col min="13846" max="13849" width="9.109375" style="39"/>
    <col min="13850" max="13850" width="9.109375" style="39" bestFit="1" customWidth="1"/>
    <col min="13851" max="13851" width="10.6640625" style="39" bestFit="1" customWidth="1"/>
    <col min="13852" max="13852" width="4.5546875" style="39" bestFit="1" customWidth="1"/>
    <col min="13853" max="13853" width="5.5546875" style="39" bestFit="1" customWidth="1"/>
    <col min="13854" max="13854" width="10.6640625" style="39" bestFit="1" customWidth="1"/>
    <col min="13855" max="13858" width="9.109375" style="39"/>
    <col min="13859" max="13859" width="12" style="39" bestFit="1" customWidth="1"/>
    <col min="13860" max="13860" width="32.6640625" style="39" customWidth="1"/>
    <col min="13861" max="13861" width="12.33203125" style="39" bestFit="1" customWidth="1"/>
    <col min="13862" max="13862" width="9.109375" style="39"/>
    <col min="13863" max="13863" width="10.6640625" style="39" bestFit="1" customWidth="1"/>
    <col min="13864" max="13868" width="9.109375" style="39"/>
    <col min="13869" max="13869" width="10.6640625" style="39" bestFit="1" customWidth="1"/>
    <col min="13870" max="13876" width="9.109375" style="39"/>
    <col min="13877" max="13877" width="12" style="39" bestFit="1" customWidth="1"/>
    <col min="13878" max="13878" width="32.6640625" style="39" customWidth="1"/>
    <col min="13879" max="13879" width="12.33203125" style="39" bestFit="1" customWidth="1"/>
    <col min="13880" max="13880" width="9.109375" style="39"/>
    <col min="13881" max="13881" width="10.6640625" style="39" bestFit="1" customWidth="1"/>
    <col min="13882" max="13886" width="9.109375" style="39"/>
    <col min="13887" max="13887" width="10.6640625" style="39" bestFit="1" customWidth="1"/>
    <col min="13888" max="13894" width="9.109375" style="39"/>
    <col min="13895" max="13895" width="12" style="39" bestFit="1" customWidth="1"/>
    <col min="13896" max="13896" width="32.6640625" style="39" customWidth="1"/>
    <col min="13897" max="13897" width="12.33203125" style="39" bestFit="1" customWidth="1"/>
    <col min="13898" max="13898" width="9.109375" style="39"/>
    <col min="13899" max="13899" width="10.6640625" style="39" bestFit="1" customWidth="1"/>
    <col min="13900" max="13904" width="9.109375" style="39"/>
    <col min="13905" max="13905" width="10.6640625" style="39" bestFit="1" customWidth="1"/>
    <col min="13906" max="13912" width="9.109375" style="39"/>
    <col min="13913" max="13913" width="12" style="39" bestFit="1" customWidth="1"/>
    <col min="13914" max="13914" width="32.6640625" style="39" customWidth="1"/>
    <col min="13915" max="13915" width="12.33203125" style="39" bestFit="1" customWidth="1"/>
    <col min="13916" max="13916" width="9.109375" style="39"/>
    <col min="13917" max="13917" width="10.6640625" style="39" bestFit="1" customWidth="1"/>
    <col min="13918" max="13922" width="9.109375" style="39"/>
    <col min="13923" max="13923" width="10.6640625" style="39" bestFit="1" customWidth="1"/>
    <col min="13924" max="13930" width="9.109375" style="39"/>
    <col min="13931" max="13931" width="12" style="39" bestFit="1" customWidth="1"/>
    <col min="13932" max="13932" width="32.6640625" style="39" customWidth="1"/>
    <col min="13933" max="13933" width="12.33203125" style="39" bestFit="1" customWidth="1"/>
    <col min="13934" max="13934" width="9.109375" style="39"/>
    <col min="13935" max="13935" width="10.6640625" style="39" bestFit="1" customWidth="1"/>
    <col min="13936" max="13940" width="9.109375" style="39"/>
    <col min="13941" max="13941" width="10.6640625" style="39" bestFit="1" customWidth="1"/>
    <col min="13942" max="13948" width="9.109375" style="39"/>
    <col min="13949" max="13949" width="12" style="39" bestFit="1" customWidth="1"/>
    <col min="13950" max="13950" width="32.6640625" style="39" customWidth="1"/>
    <col min="13951" max="13951" width="12.33203125" style="39" bestFit="1" customWidth="1"/>
    <col min="13952" max="13952" width="9.109375" style="39"/>
    <col min="13953" max="13953" width="10.6640625" style="39" bestFit="1" customWidth="1"/>
    <col min="13954" max="13958" width="9.109375" style="39"/>
    <col min="13959" max="13959" width="10.6640625" style="39" bestFit="1" customWidth="1"/>
    <col min="13960" max="13966" width="9.109375" style="39"/>
    <col min="13967" max="13967" width="12" style="39" bestFit="1" customWidth="1"/>
    <col min="13968" max="13968" width="32.6640625" style="39" customWidth="1"/>
    <col min="13969" max="13969" width="12.33203125" style="39" bestFit="1" customWidth="1"/>
    <col min="13970" max="13970" width="9.109375" style="39"/>
    <col min="13971" max="13971" width="10.6640625" style="39" bestFit="1" customWidth="1"/>
    <col min="13972" max="13976" width="9.109375" style="39"/>
    <col min="13977" max="13977" width="10.6640625" style="39" bestFit="1" customWidth="1"/>
    <col min="13978" max="13984" width="9.109375" style="39"/>
    <col min="13985" max="13985" width="12" style="39" bestFit="1" customWidth="1"/>
    <col min="13986" max="13986" width="32.6640625" style="39" customWidth="1"/>
    <col min="13987" max="13987" width="12.33203125" style="39" bestFit="1" customWidth="1"/>
    <col min="13988" max="13988" width="9.109375" style="39"/>
    <col min="13989" max="13989" width="10.6640625" style="39" bestFit="1" customWidth="1"/>
    <col min="13990" max="13994" width="9.109375" style="39"/>
    <col min="13995" max="13995" width="10.6640625" style="39" bestFit="1" customWidth="1"/>
    <col min="13996" max="14002" width="9.109375" style="39"/>
    <col min="14003" max="14003" width="12" style="39" bestFit="1" customWidth="1"/>
    <col min="14004" max="14004" width="32.6640625" style="39" customWidth="1"/>
    <col min="14005" max="14005" width="12.33203125" style="39" bestFit="1" customWidth="1"/>
    <col min="14006" max="14006" width="9.109375" style="39"/>
    <col min="14007" max="14007" width="10.6640625" style="39" bestFit="1" customWidth="1"/>
    <col min="14008" max="14012" width="9.109375" style="39"/>
    <col min="14013" max="14013" width="10.6640625" style="39" bestFit="1" customWidth="1"/>
    <col min="14014" max="14020" width="9.109375" style="39"/>
    <col min="14021" max="14021" width="12" style="39" bestFit="1" customWidth="1"/>
    <col min="14022" max="14022" width="32.6640625" style="39" customWidth="1"/>
    <col min="14023" max="14023" width="12.33203125" style="39" bestFit="1" customWidth="1"/>
    <col min="14024" max="14024" width="9.109375" style="39"/>
    <col min="14025" max="14025" width="10.6640625" style="39" bestFit="1" customWidth="1"/>
    <col min="14026" max="14030" width="9.109375" style="39"/>
    <col min="14031" max="14031" width="10.6640625" style="39" bestFit="1" customWidth="1"/>
    <col min="14032" max="14038" width="9.109375" style="39"/>
    <col min="14039" max="14039" width="13.33203125" style="39" bestFit="1" customWidth="1"/>
    <col min="14040" max="14040" width="32.6640625" style="39" customWidth="1"/>
    <col min="14041" max="14041" width="12.33203125" style="39" bestFit="1" customWidth="1"/>
    <col min="14042" max="14042" width="9.109375" style="39"/>
    <col min="14043" max="14043" width="10.6640625" style="39" bestFit="1" customWidth="1"/>
    <col min="14044" max="14048" width="9.109375" style="39"/>
    <col min="14049" max="14049" width="10.6640625" style="39" bestFit="1" customWidth="1"/>
    <col min="14050" max="14056" width="9.109375" style="39"/>
    <col min="14057" max="14057" width="12" style="39" bestFit="1" customWidth="1"/>
    <col min="14058" max="14098" width="9.109375" style="39"/>
    <col min="14099" max="14099" width="12.33203125" style="39" bestFit="1" customWidth="1"/>
    <col min="14100" max="14100" width="10.109375" style="39" bestFit="1" customWidth="1"/>
    <col min="14101" max="14101" width="10.6640625" style="39" bestFit="1" customWidth="1"/>
    <col min="14102" max="14105" width="9.109375" style="39"/>
    <col min="14106" max="14106" width="9.109375" style="39" bestFit="1" customWidth="1"/>
    <col min="14107" max="14107" width="10.6640625" style="39" bestFit="1" customWidth="1"/>
    <col min="14108" max="14108" width="4.5546875" style="39" bestFit="1" customWidth="1"/>
    <col min="14109" max="14109" width="5.5546875" style="39" bestFit="1" customWidth="1"/>
    <col min="14110" max="14110" width="10.6640625" style="39" bestFit="1" customWidth="1"/>
    <col min="14111" max="14114" width="9.109375" style="39"/>
    <col min="14115" max="14115" width="12" style="39" bestFit="1" customWidth="1"/>
    <col min="14116" max="14116" width="32.6640625" style="39" customWidth="1"/>
    <col min="14117" max="14117" width="12.33203125" style="39" bestFit="1" customWidth="1"/>
    <col min="14118" max="14118" width="9.109375" style="39"/>
    <col min="14119" max="14119" width="10.6640625" style="39" bestFit="1" customWidth="1"/>
    <col min="14120" max="14124" width="9.109375" style="39"/>
    <col min="14125" max="14125" width="10.6640625" style="39" bestFit="1" customWidth="1"/>
    <col min="14126" max="14132" width="9.109375" style="39"/>
    <col min="14133" max="14133" width="12" style="39" bestFit="1" customWidth="1"/>
    <col min="14134" max="14134" width="32.6640625" style="39" customWidth="1"/>
    <col min="14135" max="14135" width="12.33203125" style="39" bestFit="1" customWidth="1"/>
    <col min="14136" max="14136" width="9.109375" style="39"/>
    <col min="14137" max="14137" width="10.6640625" style="39" bestFit="1" customWidth="1"/>
    <col min="14138" max="14142" width="9.109375" style="39"/>
    <col min="14143" max="14143" width="10.6640625" style="39" bestFit="1" customWidth="1"/>
    <col min="14144" max="14150" width="9.109375" style="39"/>
    <col min="14151" max="14151" width="12" style="39" bestFit="1" customWidth="1"/>
    <col min="14152" max="14152" width="32.6640625" style="39" customWidth="1"/>
    <col min="14153" max="14153" width="12.33203125" style="39" bestFit="1" customWidth="1"/>
    <col min="14154" max="14154" width="9.109375" style="39"/>
    <col min="14155" max="14155" width="10.6640625" style="39" bestFit="1" customWidth="1"/>
    <col min="14156" max="14160" width="9.109375" style="39"/>
    <col min="14161" max="14161" width="10.6640625" style="39" bestFit="1" customWidth="1"/>
    <col min="14162" max="14168" width="9.109375" style="39"/>
    <col min="14169" max="14169" width="12" style="39" bestFit="1" customWidth="1"/>
    <col min="14170" max="14170" width="32.6640625" style="39" customWidth="1"/>
    <col min="14171" max="14171" width="12.33203125" style="39" bestFit="1" customWidth="1"/>
    <col min="14172" max="14172" width="9.109375" style="39"/>
    <col min="14173" max="14173" width="10.6640625" style="39" bestFit="1" customWidth="1"/>
    <col min="14174" max="14178" width="9.109375" style="39"/>
    <col min="14179" max="14179" width="10.6640625" style="39" bestFit="1" customWidth="1"/>
    <col min="14180" max="14186" width="9.109375" style="39"/>
    <col min="14187" max="14187" width="12" style="39" bestFit="1" customWidth="1"/>
    <col min="14188" max="14188" width="32.6640625" style="39" customWidth="1"/>
    <col min="14189" max="14189" width="12.33203125" style="39" bestFit="1" customWidth="1"/>
    <col min="14190" max="14190" width="9.109375" style="39"/>
    <col min="14191" max="14191" width="10.6640625" style="39" bestFit="1" customWidth="1"/>
    <col min="14192" max="14196" width="9.109375" style="39"/>
    <col min="14197" max="14197" width="10.6640625" style="39" bestFit="1" customWidth="1"/>
    <col min="14198" max="14204" width="9.109375" style="39"/>
    <col min="14205" max="14205" width="12" style="39" bestFit="1" customWidth="1"/>
    <col min="14206" max="14206" width="32.6640625" style="39" customWidth="1"/>
    <col min="14207" max="14207" width="12.33203125" style="39" bestFit="1" customWidth="1"/>
    <col min="14208" max="14208" width="9.109375" style="39"/>
    <col min="14209" max="14209" width="10.6640625" style="39" bestFit="1" customWidth="1"/>
    <col min="14210" max="14214" width="9.109375" style="39"/>
    <col min="14215" max="14215" width="10.6640625" style="39" bestFit="1" customWidth="1"/>
    <col min="14216" max="14222" width="9.109375" style="39"/>
    <col min="14223" max="14223" width="12" style="39" bestFit="1" customWidth="1"/>
    <col min="14224" max="14224" width="32.6640625" style="39" customWidth="1"/>
    <col min="14225" max="14225" width="12.33203125" style="39" bestFit="1" customWidth="1"/>
    <col min="14226" max="14226" width="9.109375" style="39"/>
    <col min="14227" max="14227" width="10.6640625" style="39" bestFit="1" customWidth="1"/>
    <col min="14228" max="14232" width="9.109375" style="39"/>
    <col min="14233" max="14233" width="10.6640625" style="39" bestFit="1" customWidth="1"/>
    <col min="14234" max="14240" width="9.109375" style="39"/>
    <col min="14241" max="14241" width="12" style="39" bestFit="1" customWidth="1"/>
    <col min="14242" max="14242" width="32.6640625" style="39" customWidth="1"/>
    <col min="14243" max="14243" width="12.33203125" style="39" bestFit="1" customWidth="1"/>
    <col min="14244" max="14244" width="9.109375" style="39"/>
    <col min="14245" max="14245" width="10.6640625" style="39" bestFit="1" customWidth="1"/>
    <col min="14246" max="14250" width="9.109375" style="39"/>
    <col min="14251" max="14251" width="10.6640625" style="39" bestFit="1" customWidth="1"/>
    <col min="14252" max="14258" width="9.109375" style="39"/>
    <col min="14259" max="14259" width="12" style="39" bestFit="1" customWidth="1"/>
    <col min="14260" max="14260" width="32.6640625" style="39" customWidth="1"/>
    <col min="14261" max="14261" width="12.33203125" style="39" bestFit="1" customWidth="1"/>
    <col min="14262" max="14262" width="9.109375" style="39"/>
    <col min="14263" max="14263" width="10.6640625" style="39" bestFit="1" customWidth="1"/>
    <col min="14264" max="14268" width="9.109375" style="39"/>
    <col min="14269" max="14269" width="10.6640625" style="39" bestFit="1" customWidth="1"/>
    <col min="14270" max="14276" width="9.109375" style="39"/>
    <col min="14277" max="14277" width="12" style="39" bestFit="1" customWidth="1"/>
    <col min="14278" max="14278" width="32.6640625" style="39" customWidth="1"/>
    <col min="14279" max="14279" width="12.33203125" style="39" bestFit="1" customWidth="1"/>
    <col min="14280" max="14280" width="9.109375" style="39"/>
    <col min="14281" max="14281" width="10.6640625" style="39" bestFit="1" customWidth="1"/>
    <col min="14282" max="14286" width="9.109375" style="39"/>
    <col min="14287" max="14287" width="10.6640625" style="39" bestFit="1" customWidth="1"/>
    <col min="14288" max="14294" width="9.109375" style="39"/>
    <col min="14295" max="14295" width="13.33203125" style="39" bestFit="1" customWidth="1"/>
    <col min="14296" max="14296" width="32.6640625" style="39" customWidth="1"/>
    <col min="14297" max="14297" width="12.33203125" style="39" bestFit="1" customWidth="1"/>
    <col min="14298" max="14298" width="9.109375" style="39"/>
    <col min="14299" max="14299" width="10.6640625" style="39" bestFit="1" customWidth="1"/>
    <col min="14300" max="14304" width="9.109375" style="39"/>
    <col min="14305" max="14305" width="10.6640625" style="39" bestFit="1" customWidth="1"/>
    <col min="14306" max="14312" width="9.109375" style="39"/>
    <col min="14313" max="14313" width="12" style="39" bestFit="1" customWidth="1"/>
    <col min="14314" max="14354" width="9.109375" style="39"/>
    <col min="14355" max="14355" width="12.33203125" style="39" bestFit="1" customWidth="1"/>
    <col min="14356" max="14356" width="10.109375" style="39" bestFit="1" customWidth="1"/>
    <col min="14357" max="14357" width="10.6640625" style="39" bestFit="1" customWidth="1"/>
    <col min="14358" max="14361" width="9.109375" style="39"/>
    <col min="14362" max="14362" width="9.109375" style="39" bestFit="1" customWidth="1"/>
    <col min="14363" max="14363" width="10.6640625" style="39" bestFit="1" customWidth="1"/>
    <col min="14364" max="14364" width="4.5546875" style="39" bestFit="1" customWidth="1"/>
    <col min="14365" max="14365" width="5.5546875" style="39" bestFit="1" customWidth="1"/>
    <col min="14366" max="14366" width="10.6640625" style="39" bestFit="1" customWidth="1"/>
    <col min="14367" max="14370" width="9.109375" style="39"/>
    <col min="14371" max="14371" width="12" style="39" bestFit="1" customWidth="1"/>
    <col min="14372" max="14372" width="32.6640625" style="39" customWidth="1"/>
    <col min="14373" max="14373" width="12.33203125" style="39" bestFit="1" customWidth="1"/>
    <col min="14374" max="14374" width="9.109375" style="39"/>
    <col min="14375" max="14375" width="10.6640625" style="39" bestFit="1" customWidth="1"/>
    <col min="14376" max="14380" width="9.109375" style="39"/>
    <col min="14381" max="14381" width="10.6640625" style="39" bestFit="1" customWidth="1"/>
    <col min="14382" max="14388" width="9.109375" style="39"/>
    <col min="14389" max="14389" width="12" style="39" bestFit="1" customWidth="1"/>
    <col min="14390" max="14390" width="32.6640625" style="39" customWidth="1"/>
    <col min="14391" max="14391" width="12.33203125" style="39" bestFit="1" customWidth="1"/>
    <col min="14392" max="14392" width="9.109375" style="39"/>
    <col min="14393" max="14393" width="10.6640625" style="39" bestFit="1" customWidth="1"/>
    <col min="14394" max="14398" width="9.109375" style="39"/>
    <col min="14399" max="14399" width="10.6640625" style="39" bestFit="1" customWidth="1"/>
    <col min="14400" max="14406" width="9.109375" style="39"/>
    <col min="14407" max="14407" width="12" style="39" bestFit="1" customWidth="1"/>
    <col min="14408" max="14408" width="32.6640625" style="39" customWidth="1"/>
    <col min="14409" max="14409" width="12.33203125" style="39" bestFit="1" customWidth="1"/>
    <col min="14410" max="14410" width="9.109375" style="39"/>
    <col min="14411" max="14411" width="10.6640625" style="39" bestFit="1" customWidth="1"/>
    <col min="14412" max="14416" width="9.109375" style="39"/>
    <col min="14417" max="14417" width="10.6640625" style="39" bestFit="1" customWidth="1"/>
    <col min="14418" max="14424" width="9.109375" style="39"/>
    <col min="14425" max="14425" width="12" style="39" bestFit="1" customWidth="1"/>
    <col min="14426" max="14426" width="32.6640625" style="39" customWidth="1"/>
    <col min="14427" max="14427" width="12.33203125" style="39" bestFit="1" customWidth="1"/>
    <col min="14428" max="14428" width="9.109375" style="39"/>
    <col min="14429" max="14429" width="10.6640625" style="39" bestFit="1" customWidth="1"/>
    <col min="14430" max="14434" width="9.109375" style="39"/>
    <col min="14435" max="14435" width="10.6640625" style="39" bestFit="1" customWidth="1"/>
    <col min="14436" max="14442" width="9.109375" style="39"/>
    <col min="14443" max="14443" width="12" style="39" bestFit="1" customWidth="1"/>
    <col min="14444" max="14444" width="32.6640625" style="39" customWidth="1"/>
    <col min="14445" max="14445" width="12.33203125" style="39" bestFit="1" customWidth="1"/>
    <col min="14446" max="14446" width="9.109375" style="39"/>
    <col min="14447" max="14447" width="10.6640625" style="39" bestFit="1" customWidth="1"/>
    <col min="14448" max="14452" width="9.109375" style="39"/>
    <col min="14453" max="14453" width="10.6640625" style="39" bestFit="1" customWidth="1"/>
    <col min="14454" max="14460" width="9.109375" style="39"/>
    <col min="14461" max="14461" width="12" style="39" bestFit="1" customWidth="1"/>
    <col min="14462" max="14462" width="32.6640625" style="39" customWidth="1"/>
    <col min="14463" max="14463" width="12.33203125" style="39" bestFit="1" customWidth="1"/>
    <col min="14464" max="14464" width="9.109375" style="39"/>
    <col min="14465" max="14465" width="10.6640625" style="39" bestFit="1" customWidth="1"/>
    <col min="14466" max="14470" width="9.109375" style="39"/>
    <col min="14471" max="14471" width="10.6640625" style="39" bestFit="1" customWidth="1"/>
    <col min="14472" max="14478" width="9.109375" style="39"/>
    <col min="14479" max="14479" width="12" style="39" bestFit="1" customWidth="1"/>
    <col min="14480" max="14480" width="32.6640625" style="39" customWidth="1"/>
    <col min="14481" max="14481" width="12.33203125" style="39" bestFit="1" customWidth="1"/>
    <col min="14482" max="14482" width="9.109375" style="39"/>
    <col min="14483" max="14483" width="10.6640625" style="39" bestFit="1" customWidth="1"/>
    <col min="14484" max="14488" width="9.109375" style="39"/>
    <col min="14489" max="14489" width="10.6640625" style="39" bestFit="1" customWidth="1"/>
    <col min="14490" max="14496" width="9.109375" style="39"/>
    <col min="14497" max="14497" width="12" style="39" bestFit="1" customWidth="1"/>
    <col min="14498" max="14498" width="32.6640625" style="39" customWidth="1"/>
    <col min="14499" max="14499" width="12.33203125" style="39" bestFit="1" customWidth="1"/>
    <col min="14500" max="14500" width="9.109375" style="39"/>
    <col min="14501" max="14501" width="10.6640625" style="39" bestFit="1" customWidth="1"/>
    <col min="14502" max="14506" width="9.109375" style="39"/>
    <col min="14507" max="14507" width="10.6640625" style="39" bestFit="1" customWidth="1"/>
    <col min="14508" max="14514" width="9.109375" style="39"/>
    <col min="14515" max="14515" width="12" style="39" bestFit="1" customWidth="1"/>
    <col min="14516" max="14516" width="32.6640625" style="39" customWidth="1"/>
    <col min="14517" max="14517" width="12.33203125" style="39" bestFit="1" customWidth="1"/>
    <col min="14518" max="14518" width="9.109375" style="39"/>
    <col min="14519" max="14519" width="10.6640625" style="39" bestFit="1" customWidth="1"/>
    <col min="14520" max="14524" width="9.109375" style="39"/>
    <col min="14525" max="14525" width="10.6640625" style="39" bestFit="1" customWidth="1"/>
    <col min="14526" max="14532" width="9.109375" style="39"/>
    <col min="14533" max="14533" width="12" style="39" bestFit="1" customWidth="1"/>
    <col min="14534" max="14534" width="32.6640625" style="39" customWidth="1"/>
    <col min="14535" max="14535" width="12.33203125" style="39" bestFit="1" customWidth="1"/>
    <col min="14536" max="14536" width="9.109375" style="39"/>
    <col min="14537" max="14537" width="10.6640625" style="39" bestFit="1" customWidth="1"/>
    <col min="14538" max="14542" width="9.109375" style="39"/>
    <col min="14543" max="14543" width="10.6640625" style="39" bestFit="1" customWidth="1"/>
    <col min="14544" max="14550" width="9.109375" style="39"/>
    <col min="14551" max="14551" width="13.33203125" style="39" bestFit="1" customWidth="1"/>
    <col min="14552" max="14552" width="32.6640625" style="39" customWidth="1"/>
    <col min="14553" max="14553" width="12.33203125" style="39" bestFit="1" customWidth="1"/>
    <col min="14554" max="14554" width="9.109375" style="39"/>
    <col min="14555" max="14555" width="10.6640625" style="39" bestFit="1" customWidth="1"/>
    <col min="14556" max="14560" width="9.109375" style="39"/>
    <col min="14561" max="14561" width="10.6640625" style="39" bestFit="1" customWidth="1"/>
    <col min="14562" max="14568" width="9.109375" style="39"/>
    <col min="14569" max="14569" width="12" style="39" bestFit="1" customWidth="1"/>
    <col min="14570" max="14610" width="9.109375" style="39"/>
    <col min="14611" max="14611" width="12.33203125" style="39" bestFit="1" customWidth="1"/>
    <col min="14612" max="14612" width="10.109375" style="39" bestFit="1" customWidth="1"/>
    <col min="14613" max="14613" width="10.6640625" style="39" bestFit="1" customWidth="1"/>
    <col min="14614" max="14617" width="9.109375" style="39"/>
    <col min="14618" max="14618" width="9.109375" style="39" bestFit="1" customWidth="1"/>
    <col min="14619" max="14619" width="10.6640625" style="39" bestFit="1" customWidth="1"/>
    <col min="14620" max="14620" width="4.5546875" style="39" bestFit="1" customWidth="1"/>
    <col min="14621" max="14621" width="5.5546875" style="39" bestFit="1" customWidth="1"/>
    <col min="14622" max="14622" width="10.6640625" style="39" bestFit="1" customWidth="1"/>
    <col min="14623" max="14626" width="9.109375" style="39"/>
    <col min="14627" max="14627" width="12" style="39" bestFit="1" customWidth="1"/>
    <col min="14628" max="14628" width="32.6640625" style="39" customWidth="1"/>
    <col min="14629" max="14629" width="12.33203125" style="39" bestFit="1" customWidth="1"/>
    <col min="14630" max="14630" width="9.109375" style="39"/>
    <col min="14631" max="14631" width="10.6640625" style="39" bestFit="1" customWidth="1"/>
    <col min="14632" max="14636" width="9.109375" style="39"/>
    <col min="14637" max="14637" width="10.6640625" style="39" bestFit="1" customWidth="1"/>
    <col min="14638" max="14644" width="9.109375" style="39"/>
    <col min="14645" max="14645" width="12" style="39" bestFit="1" customWidth="1"/>
    <col min="14646" max="14646" width="32.6640625" style="39" customWidth="1"/>
    <col min="14647" max="14647" width="12.33203125" style="39" bestFit="1" customWidth="1"/>
    <col min="14648" max="14648" width="9.109375" style="39"/>
    <col min="14649" max="14649" width="10.6640625" style="39" bestFit="1" customWidth="1"/>
    <col min="14650" max="14654" width="9.109375" style="39"/>
    <col min="14655" max="14655" width="10.6640625" style="39" bestFit="1" customWidth="1"/>
    <col min="14656" max="14662" width="9.109375" style="39"/>
    <col min="14663" max="14663" width="12" style="39" bestFit="1" customWidth="1"/>
    <col min="14664" max="14664" width="32.6640625" style="39" customWidth="1"/>
    <col min="14665" max="14665" width="12.33203125" style="39" bestFit="1" customWidth="1"/>
    <col min="14666" max="14666" width="9.109375" style="39"/>
    <col min="14667" max="14667" width="10.6640625" style="39" bestFit="1" customWidth="1"/>
    <col min="14668" max="14672" width="9.109375" style="39"/>
    <col min="14673" max="14673" width="10.6640625" style="39" bestFit="1" customWidth="1"/>
    <col min="14674" max="14680" width="9.109375" style="39"/>
    <col min="14681" max="14681" width="12" style="39" bestFit="1" customWidth="1"/>
    <col min="14682" max="14682" width="32.6640625" style="39" customWidth="1"/>
    <col min="14683" max="14683" width="12.33203125" style="39" bestFit="1" customWidth="1"/>
    <col min="14684" max="14684" width="9.109375" style="39"/>
    <col min="14685" max="14685" width="10.6640625" style="39" bestFit="1" customWidth="1"/>
    <col min="14686" max="14690" width="9.109375" style="39"/>
    <col min="14691" max="14691" width="10.6640625" style="39" bestFit="1" customWidth="1"/>
    <col min="14692" max="14698" width="9.109375" style="39"/>
    <col min="14699" max="14699" width="12" style="39" bestFit="1" customWidth="1"/>
    <col min="14700" max="14700" width="32.6640625" style="39" customWidth="1"/>
    <col min="14701" max="14701" width="12.33203125" style="39" bestFit="1" customWidth="1"/>
    <col min="14702" max="14702" width="9.109375" style="39"/>
    <col min="14703" max="14703" width="10.6640625" style="39" bestFit="1" customWidth="1"/>
    <col min="14704" max="14708" width="9.109375" style="39"/>
    <col min="14709" max="14709" width="10.6640625" style="39" bestFit="1" customWidth="1"/>
    <col min="14710" max="14716" width="9.109375" style="39"/>
    <col min="14717" max="14717" width="12" style="39" bestFit="1" customWidth="1"/>
    <col min="14718" max="14718" width="32.6640625" style="39" customWidth="1"/>
    <col min="14719" max="14719" width="12.33203125" style="39" bestFit="1" customWidth="1"/>
    <col min="14720" max="14720" width="9.109375" style="39"/>
    <col min="14721" max="14721" width="10.6640625" style="39" bestFit="1" customWidth="1"/>
    <col min="14722" max="14726" width="9.109375" style="39"/>
    <col min="14727" max="14727" width="10.6640625" style="39" bestFit="1" customWidth="1"/>
    <col min="14728" max="14734" width="9.109375" style="39"/>
    <col min="14735" max="14735" width="12" style="39" bestFit="1" customWidth="1"/>
    <col min="14736" max="14736" width="32.6640625" style="39" customWidth="1"/>
    <col min="14737" max="14737" width="12.33203125" style="39" bestFit="1" customWidth="1"/>
    <col min="14738" max="14738" width="9.109375" style="39"/>
    <col min="14739" max="14739" width="10.6640625" style="39" bestFit="1" customWidth="1"/>
    <col min="14740" max="14744" width="9.109375" style="39"/>
    <col min="14745" max="14745" width="10.6640625" style="39" bestFit="1" customWidth="1"/>
    <col min="14746" max="14752" width="9.109375" style="39"/>
    <col min="14753" max="14753" width="12" style="39" bestFit="1" customWidth="1"/>
    <col min="14754" max="14754" width="32.6640625" style="39" customWidth="1"/>
    <col min="14755" max="14755" width="12.33203125" style="39" bestFit="1" customWidth="1"/>
    <col min="14756" max="14756" width="9.109375" style="39"/>
    <col min="14757" max="14757" width="10.6640625" style="39" bestFit="1" customWidth="1"/>
    <col min="14758" max="14762" width="9.109375" style="39"/>
    <col min="14763" max="14763" width="10.6640625" style="39" bestFit="1" customWidth="1"/>
    <col min="14764" max="14770" width="9.109375" style="39"/>
    <col min="14771" max="14771" width="12" style="39" bestFit="1" customWidth="1"/>
    <col min="14772" max="14772" width="32.6640625" style="39" customWidth="1"/>
    <col min="14773" max="14773" width="12.33203125" style="39" bestFit="1" customWidth="1"/>
    <col min="14774" max="14774" width="9.109375" style="39"/>
    <col min="14775" max="14775" width="10.6640625" style="39" bestFit="1" customWidth="1"/>
    <col min="14776" max="14780" width="9.109375" style="39"/>
    <col min="14781" max="14781" width="10.6640625" style="39" bestFit="1" customWidth="1"/>
    <col min="14782" max="14788" width="9.109375" style="39"/>
    <col min="14789" max="14789" width="12" style="39" bestFit="1" customWidth="1"/>
    <col min="14790" max="14790" width="32.6640625" style="39" customWidth="1"/>
    <col min="14791" max="14791" width="12.33203125" style="39" bestFit="1" customWidth="1"/>
    <col min="14792" max="14792" width="9.109375" style="39"/>
    <col min="14793" max="14793" width="10.6640625" style="39" bestFit="1" customWidth="1"/>
    <col min="14794" max="14798" width="9.109375" style="39"/>
    <col min="14799" max="14799" width="10.6640625" style="39" bestFit="1" customWidth="1"/>
    <col min="14800" max="14806" width="9.109375" style="39"/>
    <col min="14807" max="14807" width="13.33203125" style="39" bestFit="1" customWidth="1"/>
    <col min="14808" max="14808" width="32.6640625" style="39" customWidth="1"/>
    <col min="14809" max="14809" width="12.33203125" style="39" bestFit="1" customWidth="1"/>
    <col min="14810" max="14810" width="9.109375" style="39"/>
    <col min="14811" max="14811" width="10.6640625" style="39" bestFit="1" customWidth="1"/>
    <col min="14812" max="14816" width="9.109375" style="39"/>
    <col min="14817" max="14817" width="10.6640625" style="39" bestFit="1" customWidth="1"/>
    <col min="14818" max="14824" width="9.109375" style="39"/>
    <col min="14825" max="14825" width="12" style="39" bestFit="1" customWidth="1"/>
    <col min="14826" max="14866" width="9.109375" style="39"/>
    <col min="14867" max="14867" width="12.33203125" style="39" bestFit="1" customWidth="1"/>
    <col min="14868" max="14868" width="10.109375" style="39" bestFit="1" customWidth="1"/>
    <col min="14869" max="14869" width="10.6640625" style="39" bestFit="1" customWidth="1"/>
    <col min="14870" max="14873" width="9.109375" style="39"/>
    <col min="14874" max="14874" width="9.109375" style="39" bestFit="1" customWidth="1"/>
    <col min="14875" max="14875" width="10.6640625" style="39" bestFit="1" customWidth="1"/>
    <col min="14876" max="14876" width="4.5546875" style="39" bestFit="1" customWidth="1"/>
    <col min="14877" max="14877" width="5.5546875" style="39" bestFit="1" customWidth="1"/>
    <col min="14878" max="14878" width="10.6640625" style="39" bestFit="1" customWidth="1"/>
    <col min="14879" max="14882" width="9.109375" style="39"/>
    <col min="14883" max="14883" width="12" style="39" bestFit="1" customWidth="1"/>
    <col min="14884" max="14884" width="32.6640625" style="39" customWidth="1"/>
    <col min="14885" max="14885" width="12.33203125" style="39" bestFit="1" customWidth="1"/>
    <col min="14886" max="14886" width="9.109375" style="39"/>
    <col min="14887" max="14887" width="10.6640625" style="39" bestFit="1" customWidth="1"/>
    <col min="14888" max="14892" width="9.109375" style="39"/>
    <col min="14893" max="14893" width="10.6640625" style="39" bestFit="1" customWidth="1"/>
    <col min="14894" max="14900" width="9.109375" style="39"/>
    <col min="14901" max="14901" width="12" style="39" bestFit="1" customWidth="1"/>
    <col min="14902" max="14902" width="32.6640625" style="39" customWidth="1"/>
    <col min="14903" max="14903" width="12.33203125" style="39" bestFit="1" customWidth="1"/>
    <col min="14904" max="14904" width="9.109375" style="39"/>
    <col min="14905" max="14905" width="10.6640625" style="39" bestFit="1" customWidth="1"/>
    <col min="14906" max="14910" width="9.109375" style="39"/>
    <col min="14911" max="14911" width="10.6640625" style="39" bestFit="1" customWidth="1"/>
    <col min="14912" max="14918" width="9.109375" style="39"/>
    <col min="14919" max="14919" width="12" style="39" bestFit="1" customWidth="1"/>
    <col min="14920" max="14920" width="32.6640625" style="39" customWidth="1"/>
    <col min="14921" max="14921" width="12.33203125" style="39" bestFit="1" customWidth="1"/>
    <col min="14922" max="14922" width="9.109375" style="39"/>
    <col min="14923" max="14923" width="10.6640625" style="39" bestFit="1" customWidth="1"/>
    <col min="14924" max="14928" width="9.109375" style="39"/>
    <col min="14929" max="14929" width="10.6640625" style="39" bestFit="1" customWidth="1"/>
    <col min="14930" max="14936" width="9.109375" style="39"/>
    <col min="14937" max="14937" width="12" style="39" bestFit="1" customWidth="1"/>
    <col min="14938" max="14938" width="32.6640625" style="39" customWidth="1"/>
    <col min="14939" max="14939" width="12.33203125" style="39" bestFit="1" customWidth="1"/>
    <col min="14940" max="14940" width="9.109375" style="39"/>
    <col min="14941" max="14941" width="10.6640625" style="39" bestFit="1" customWidth="1"/>
    <col min="14942" max="14946" width="9.109375" style="39"/>
    <col min="14947" max="14947" width="10.6640625" style="39" bestFit="1" customWidth="1"/>
    <col min="14948" max="14954" width="9.109375" style="39"/>
    <col min="14955" max="14955" width="12" style="39" bestFit="1" customWidth="1"/>
    <col min="14956" max="14956" width="32.6640625" style="39" customWidth="1"/>
    <col min="14957" max="14957" width="12.33203125" style="39" bestFit="1" customWidth="1"/>
    <col min="14958" max="14958" width="9.109375" style="39"/>
    <col min="14959" max="14959" width="10.6640625" style="39" bestFit="1" customWidth="1"/>
    <col min="14960" max="14964" width="9.109375" style="39"/>
    <col min="14965" max="14965" width="10.6640625" style="39" bestFit="1" customWidth="1"/>
    <col min="14966" max="14972" width="9.109375" style="39"/>
    <col min="14973" max="14973" width="12" style="39" bestFit="1" customWidth="1"/>
    <col min="14974" max="14974" width="32.6640625" style="39" customWidth="1"/>
    <col min="14975" max="14975" width="12.33203125" style="39" bestFit="1" customWidth="1"/>
    <col min="14976" max="14976" width="9.109375" style="39"/>
    <col min="14977" max="14977" width="10.6640625" style="39" bestFit="1" customWidth="1"/>
    <col min="14978" max="14982" width="9.109375" style="39"/>
    <col min="14983" max="14983" width="10.6640625" style="39" bestFit="1" customWidth="1"/>
    <col min="14984" max="14990" width="9.109375" style="39"/>
    <col min="14991" max="14991" width="12" style="39" bestFit="1" customWidth="1"/>
    <col min="14992" max="14992" width="32.6640625" style="39" customWidth="1"/>
    <col min="14993" max="14993" width="12.33203125" style="39" bestFit="1" customWidth="1"/>
    <col min="14994" max="14994" width="9.109375" style="39"/>
    <col min="14995" max="14995" width="10.6640625" style="39" bestFit="1" customWidth="1"/>
    <col min="14996" max="15000" width="9.109375" style="39"/>
    <col min="15001" max="15001" width="10.6640625" style="39" bestFit="1" customWidth="1"/>
    <col min="15002" max="15008" width="9.109375" style="39"/>
    <col min="15009" max="15009" width="12" style="39" bestFit="1" customWidth="1"/>
    <col min="15010" max="15010" width="32.6640625" style="39" customWidth="1"/>
    <col min="15011" max="15011" width="12.33203125" style="39" bestFit="1" customWidth="1"/>
    <col min="15012" max="15012" width="9.109375" style="39"/>
    <col min="15013" max="15013" width="10.6640625" style="39" bestFit="1" customWidth="1"/>
    <col min="15014" max="15018" width="9.109375" style="39"/>
    <col min="15019" max="15019" width="10.6640625" style="39" bestFit="1" customWidth="1"/>
    <col min="15020" max="15026" width="9.109375" style="39"/>
    <col min="15027" max="15027" width="12" style="39" bestFit="1" customWidth="1"/>
    <col min="15028" max="15028" width="32.6640625" style="39" customWidth="1"/>
    <col min="15029" max="15029" width="12.33203125" style="39" bestFit="1" customWidth="1"/>
    <col min="15030" max="15030" width="9.109375" style="39"/>
    <col min="15031" max="15031" width="10.6640625" style="39" bestFit="1" customWidth="1"/>
    <col min="15032" max="15036" width="9.109375" style="39"/>
    <col min="15037" max="15037" width="10.6640625" style="39" bestFit="1" customWidth="1"/>
    <col min="15038" max="15044" width="9.109375" style="39"/>
    <col min="15045" max="15045" width="12" style="39" bestFit="1" customWidth="1"/>
    <col min="15046" max="15046" width="32.6640625" style="39" customWidth="1"/>
    <col min="15047" max="15047" width="12.33203125" style="39" bestFit="1" customWidth="1"/>
    <col min="15048" max="15048" width="9.109375" style="39"/>
    <col min="15049" max="15049" width="10.6640625" style="39" bestFit="1" customWidth="1"/>
    <col min="15050" max="15054" width="9.109375" style="39"/>
    <col min="15055" max="15055" width="10.6640625" style="39" bestFit="1" customWidth="1"/>
    <col min="15056" max="15062" width="9.109375" style="39"/>
    <col min="15063" max="15063" width="13.33203125" style="39" bestFit="1" customWidth="1"/>
    <col min="15064" max="15064" width="32.6640625" style="39" customWidth="1"/>
    <col min="15065" max="15065" width="12.33203125" style="39" bestFit="1" customWidth="1"/>
    <col min="15066" max="15066" width="9.109375" style="39"/>
    <col min="15067" max="15067" width="10.6640625" style="39" bestFit="1" customWidth="1"/>
    <col min="15068" max="15072" width="9.109375" style="39"/>
    <col min="15073" max="15073" width="10.6640625" style="39" bestFit="1" customWidth="1"/>
    <col min="15074" max="15080" width="9.109375" style="39"/>
    <col min="15081" max="15081" width="12" style="39" bestFit="1" customWidth="1"/>
    <col min="15082" max="15122" width="9.109375" style="39"/>
    <col min="15123" max="15123" width="12.33203125" style="39" bestFit="1" customWidth="1"/>
    <col min="15124" max="15124" width="10.109375" style="39" bestFit="1" customWidth="1"/>
    <col min="15125" max="15125" width="10.6640625" style="39" bestFit="1" customWidth="1"/>
    <col min="15126" max="15129" width="9.109375" style="39"/>
    <col min="15130" max="15130" width="9.109375" style="39" bestFit="1" customWidth="1"/>
    <col min="15131" max="15131" width="10.6640625" style="39" bestFit="1" customWidth="1"/>
    <col min="15132" max="15132" width="4.5546875" style="39" bestFit="1" customWidth="1"/>
    <col min="15133" max="15133" width="5.5546875" style="39" bestFit="1" customWidth="1"/>
    <col min="15134" max="15134" width="10.6640625" style="39" bestFit="1" customWidth="1"/>
    <col min="15135" max="15138" width="9.109375" style="39"/>
    <col min="15139" max="15139" width="12" style="39" bestFit="1" customWidth="1"/>
    <col min="15140" max="15140" width="32.6640625" style="39" customWidth="1"/>
    <col min="15141" max="15141" width="12.33203125" style="39" bestFit="1" customWidth="1"/>
    <col min="15142" max="15142" width="9.109375" style="39"/>
    <col min="15143" max="15143" width="10.6640625" style="39" bestFit="1" customWidth="1"/>
    <col min="15144" max="15148" width="9.109375" style="39"/>
    <col min="15149" max="15149" width="10.6640625" style="39" bestFit="1" customWidth="1"/>
    <col min="15150" max="15156" width="9.109375" style="39"/>
    <col min="15157" max="15157" width="12" style="39" bestFit="1" customWidth="1"/>
    <col min="15158" max="15158" width="32.6640625" style="39" customWidth="1"/>
    <col min="15159" max="15159" width="12.33203125" style="39" bestFit="1" customWidth="1"/>
    <col min="15160" max="15160" width="9.109375" style="39"/>
    <col min="15161" max="15161" width="10.6640625" style="39" bestFit="1" customWidth="1"/>
    <col min="15162" max="15166" width="9.109375" style="39"/>
    <col min="15167" max="15167" width="10.6640625" style="39" bestFit="1" customWidth="1"/>
    <col min="15168" max="15174" width="9.109375" style="39"/>
    <col min="15175" max="15175" width="12" style="39" bestFit="1" customWidth="1"/>
    <col min="15176" max="15176" width="32.6640625" style="39" customWidth="1"/>
    <col min="15177" max="15177" width="12.33203125" style="39" bestFit="1" customWidth="1"/>
    <col min="15178" max="15178" width="9.109375" style="39"/>
    <col min="15179" max="15179" width="10.6640625" style="39" bestFit="1" customWidth="1"/>
    <col min="15180" max="15184" width="9.109375" style="39"/>
    <col min="15185" max="15185" width="10.6640625" style="39" bestFit="1" customWidth="1"/>
    <col min="15186" max="15192" width="9.109375" style="39"/>
    <col min="15193" max="15193" width="12" style="39" bestFit="1" customWidth="1"/>
    <col min="15194" max="15194" width="32.6640625" style="39" customWidth="1"/>
    <col min="15195" max="15195" width="12.33203125" style="39" bestFit="1" customWidth="1"/>
    <col min="15196" max="15196" width="9.109375" style="39"/>
    <col min="15197" max="15197" width="10.6640625" style="39" bestFit="1" customWidth="1"/>
    <col min="15198" max="15202" width="9.109375" style="39"/>
    <col min="15203" max="15203" width="10.6640625" style="39" bestFit="1" customWidth="1"/>
    <col min="15204" max="15210" width="9.109375" style="39"/>
    <col min="15211" max="15211" width="12" style="39" bestFit="1" customWidth="1"/>
    <col min="15212" max="15212" width="32.6640625" style="39" customWidth="1"/>
    <col min="15213" max="15213" width="12.33203125" style="39" bestFit="1" customWidth="1"/>
    <col min="15214" max="15214" width="9.109375" style="39"/>
    <col min="15215" max="15215" width="10.6640625" style="39" bestFit="1" customWidth="1"/>
    <col min="15216" max="15220" width="9.109375" style="39"/>
    <col min="15221" max="15221" width="10.6640625" style="39" bestFit="1" customWidth="1"/>
    <col min="15222" max="15228" width="9.109375" style="39"/>
    <col min="15229" max="15229" width="12" style="39" bestFit="1" customWidth="1"/>
    <col min="15230" max="15230" width="32.6640625" style="39" customWidth="1"/>
    <col min="15231" max="15231" width="12.33203125" style="39" bestFit="1" customWidth="1"/>
    <col min="15232" max="15232" width="9.109375" style="39"/>
    <col min="15233" max="15233" width="10.6640625" style="39" bestFit="1" customWidth="1"/>
    <col min="15234" max="15238" width="9.109375" style="39"/>
    <col min="15239" max="15239" width="10.6640625" style="39" bestFit="1" customWidth="1"/>
    <col min="15240" max="15246" width="9.109375" style="39"/>
    <col min="15247" max="15247" width="12" style="39" bestFit="1" customWidth="1"/>
    <col min="15248" max="15248" width="32.6640625" style="39" customWidth="1"/>
    <col min="15249" max="15249" width="12.33203125" style="39" bestFit="1" customWidth="1"/>
    <col min="15250" max="15250" width="9.109375" style="39"/>
    <col min="15251" max="15251" width="10.6640625" style="39" bestFit="1" customWidth="1"/>
    <col min="15252" max="15256" width="9.109375" style="39"/>
    <col min="15257" max="15257" width="10.6640625" style="39" bestFit="1" customWidth="1"/>
    <col min="15258" max="15264" width="9.109375" style="39"/>
    <col min="15265" max="15265" width="12" style="39" bestFit="1" customWidth="1"/>
    <col min="15266" max="15266" width="32.6640625" style="39" customWidth="1"/>
    <col min="15267" max="15267" width="12.33203125" style="39" bestFit="1" customWidth="1"/>
    <col min="15268" max="15268" width="9.109375" style="39"/>
    <col min="15269" max="15269" width="10.6640625" style="39" bestFit="1" customWidth="1"/>
    <col min="15270" max="15274" width="9.109375" style="39"/>
    <col min="15275" max="15275" width="10.6640625" style="39" bestFit="1" customWidth="1"/>
    <col min="15276" max="15282" width="9.109375" style="39"/>
    <col min="15283" max="15283" width="12" style="39" bestFit="1" customWidth="1"/>
    <col min="15284" max="15284" width="32.6640625" style="39" customWidth="1"/>
    <col min="15285" max="15285" width="12.33203125" style="39" bestFit="1" customWidth="1"/>
    <col min="15286" max="15286" width="9.109375" style="39"/>
    <col min="15287" max="15287" width="10.6640625" style="39" bestFit="1" customWidth="1"/>
    <col min="15288" max="15292" width="9.109375" style="39"/>
    <col min="15293" max="15293" width="10.6640625" style="39" bestFit="1" customWidth="1"/>
    <col min="15294" max="15300" width="9.109375" style="39"/>
    <col min="15301" max="15301" width="12" style="39" bestFit="1" customWidth="1"/>
    <col min="15302" max="15302" width="32.6640625" style="39" customWidth="1"/>
    <col min="15303" max="15303" width="12.33203125" style="39" bestFit="1" customWidth="1"/>
    <col min="15304" max="15304" width="9.109375" style="39"/>
    <col min="15305" max="15305" width="10.6640625" style="39" bestFit="1" customWidth="1"/>
    <col min="15306" max="15310" width="9.109375" style="39"/>
    <col min="15311" max="15311" width="10.6640625" style="39" bestFit="1" customWidth="1"/>
    <col min="15312" max="15318" width="9.109375" style="39"/>
    <col min="15319" max="15319" width="13.33203125" style="39" bestFit="1" customWidth="1"/>
    <col min="15320" max="15320" width="32.6640625" style="39" customWidth="1"/>
    <col min="15321" max="15321" width="12.33203125" style="39" bestFit="1" customWidth="1"/>
    <col min="15322" max="15322" width="9.109375" style="39"/>
    <col min="15323" max="15323" width="10.6640625" style="39" bestFit="1" customWidth="1"/>
    <col min="15324" max="15328" width="9.109375" style="39"/>
    <col min="15329" max="15329" width="10.6640625" style="39" bestFit="1" customWidth="1"/>
    <col min="15330" max="15336" width="9.109375" style="39"/>
    <col min="15337" max="15337" width="12" style="39" bestFit="1" customWidth="1"/>
    <col min="15338" max="15378" width="9.109375" style="39"/>
    <col min="15379" max="15379" width="12.33203125" style="39" bestFit="1" customWidth="1"/>
    <col min="15380" max="15380" width="10.109375" style="39" bestFit="1" customWidth="1"/>
    <col min="15381" max="15381" width="10.6640625" style="39" bestFit="1" customWidth="1"/>
    <col min="15382" max="15385" width="9.109375" style="39"/>
    <col min="15386" max="15386" width="9.109375" style="39" bestFit="1" customWidth="1"/>
    <col min="15387" max="15387" width="10.6640625" style="39" bestFit="1" customWidth="1"/>
    <col min="15388" max="15388" width="4.5546875" style="39" bestFit="1" customWidth="1"/>
    <col min="15389" max="15389" width="5.5546875" style="39" bestFit="1" customWidth="1"/>
    <col min="15390" max="15390" width="10.6640625" style="39" bestFit="1" customWidth="1"/>
    <col min="15391" max="15394" width="9.109375" style="39"/>
    <col min="15395" max="15395" width="12" style="39" bestFit="1" customWidth="1"/>
    <col min="15396" max="15396" width="32.6640625" style="39" customWidth="1"/>
    <col min="15397" max="15397" width="12.33203125" style="39" bestFit="1" customWidth="1"/>
    <col min="15398" max="15398" width="9.109375" style="39"/>
    <col min="15399" max="15399" width="10.6640625" style="39" bestFit="1" customWidth="1"/>
    <col min="15400" max="15404" width="9.109375" style="39"/>
    <col min="15405" max="15405" width="10.6640625" style="39" bestFit="1" customWidth="1"/>
    <col min="15406" max="15412" width="9.109375" style="39"/>
    <col min="15413" max="15413" width="12" style="39" bestFit="1" customWidth="1"/>
    <col min="15414" max="15414" width="32.6640625" style="39" customWidth="1"/>
    <col min="15415" max="15415" width="12.33203125" style="39" bestFit="1" customWidth="1"/>
    <col min="15416" max="15416" width="9.109375" style="39"/>
    <col min="15417" max="15417" width="10.6640625" style="39" bestFit="1" customWidth="1"/>
    <col min="15418" max="15422" width="9.109375" style="39"/>
    <col min="15423" max="15423" width="10.6640625" style="39" bestFit="1" customWidth="1"/>
    <col min="15424" max="15430" width="9.109375" style="39"/>
    <col min="15431" max="15431" width="12" style="39" bestFit="1" customWidth="1"/>
    <col min="15432" max="15432" width="32.6640625" style="39" customWidth="1"/>
    <col min="15433" max="15433" width="12.33203125" style="39" bestFit="1" customWidth="1"/>
    <col min="15434" max="15434" width="9.109375" style="39"/>
    <col min="15435" max="15435" width="10.6640625" style="39" bestFit="1" customWidth="1"/>
    <col min="15436" max="15440" width="9.109375" style="39"/>
    <col min="15441" max="15441" width="10.6640625" style="39" bestFit="1" customWidth="1"/>
    <col min="15442" max="15448" width="9.109375" style="39"/>
    <col min="15449" max="15449" width="12" style="39" bestFit="1" customWidth="1"/>
    <col min="15450" max="15450" width="32.6640625" style="39" customWidth="1"/>
    <col min="15451" max="15451" width="12.33203125" style="39" bestFit="1" customWidth="1"/>
    <col min="15452" max="15452" width="9.109375" style="39"/>
    <col min="15453" max="15453" width="10.6640625" style="39" bestFit="1" customWidth="1"/>
    <col min="15454" max="15458" width="9.109375" style="39"/>
    <col min="15459" max="15459" width="10.6640625" style="39" bestFit="1" customWidth="1"/>
    <col min="15460" max="15466" width="9.109375" style="39"/>
    <col min="15467" max="15467" width="12" style="39" bestFit="1" customWidth="1"/>
    <col min="15468" max="15468" width="32.6640625" style="39" customWidth="1"/>
    <col min="15469" max="15469" width="12.33203125" style="39" bestFit="1" customWidth="1"/>
    <col min="15470" max="15470" width="9.109375" style="39"/>
    <col min="15471" max="15471" width="10.6640625" style="39" bestFit="1" customWidth="1"/>
    <col min="15472" max="15476" width="9.109375" style="39"/>
    <col min="15477" max="15477" width="10.6640625" style="39" bestFit="1" customWidth="1"/>
    <col min="15478" max="15484" width="9.109375" style="39"/>
    <col min="15485" max="15485" width="12" style="39" bestFit="1" customWidth="1"/>
    <col min="15486" max="15486" width="32.6640625" style="39" customWidth="1"/>
    <col min="15487" max="15487" width="12.33203125" style="39" bestFit="1" customWidth="1"/>
    <col min="15488" max="15488" width="9.109375" style="39"/>
    <col min="15489" max="15489" width="10.6640625" style="39" bestFit="1" customWidth="1"/>
    <col min="15490" max="15494" width="9.109375" style="39"/>
    <col min="15495" max="15495" width="10.6640625" style="39" bestFit="1" customWidth="1"/>
    <col min="15496" max="15502" width="9.109375" style="39"/>
    <col min="15503" max="15503" width="12" style="39" bestFit="1" customWidth="1"/>
    <col min="15504" max="15504" width="32.6640625" style="39" customWidth="1"/>
    <col min="15505" max="15505" width="12.33203125" style="39" bestFit="1" customWidth="1"/>
    <col min="15506" max="15506" width="9.109375" style="39"/>
    <col min="15507" max="15507" width="10.6640625" style="39" bestFit="1" customWidth="1"/>
    <col min="15508" max="15512" width="9.109375" style="39"/>
    <col min="15513" max="15513" width="10.6640625" style="39" bestFit="1" customWidth="1"/>
    <col min="15514" max="15520" width="9.109375" style="39"/>
    <col min="15521" max="15521" width="12" style="39" bestFit="1" customWidth="1"/>
    <col min="15522" max="15522" width="32.6640625" style="39" customWidth="1"/>
    <col min="15523" max="15523" width="12.33203125" style="39" bestFit="1" customWidth="1"/>
    <col min="15524" max="15524" width="9.109375" style="39"/>
    <col min="15525" max="15525" width="10.6640625" style="39" bestFit="1" customWidth="1"/>
    <col min="15526" max="15530" width="9.109375" style="39"/>
    <col min="15531" max="15531" width="10.6640625" style="39" bestFit="1" customWidth="1"/>
    <col min="15532" max="15538" width="9.109375" style="39"/>
    <col min="15539" max="15539" width="12" style="39" bestFit="1" customWidth="1"/>
    <col min="15540" max="15540" width="32.6640625" style="39" customWidth="1"/>
    <col min="15541" max="15541" width="12.33203125" style="39" bestFit="1" customWidth="1"/>
    <col min="15542" max="15542" width="9.109375" style="39"/>
    <col min="15543" max="15543" width="10.6640625" style="39" bestFit="1" customWidth="1"/>
    <col min="15544" max="15548" width="9.109375" style="39"/>
    <col min="15549" max="15549" width="10.6640625" style="39" bestFit="1" customWidth="1"/>
    <col min="15550" max="15556" width="9.109375" style="39"/>
    <col min="15557" max="15557" width="12" style="39" bestFit="1" customWidth="1"/>
    <col min="15558" max="15558" width="32.6640625" style="39" customWidth="1"/>
    <col min="15559" max="15559" width="12.33203125" style="39" bestFit="1" customWidth="1"/>
    <col min="15560" max="15560" width="9.109375" style="39"/>
    <col min="15561" max="15561" width="10.6640625" style="39" bestFit="1" customWidth="1"/>
    <col min="15562" max="15566" width="9.109375" style="39"/>
    <col min="15567" max="15567" width="10.6640625" style="39" bestFit="1" customWidth="1"/>
    <col min="15568" max="15574" width="9.109375" style="39"/>
    <col min="15575" max="15575" width="13.33203125" style="39" bestFit="1" customWidth="1"/>
    <col min="15576" max="15576" width="32.6640625" style="39" customWidth="1"/>
    <col min="15577" max="15577" width="12.33203125" style="39" bestFit="1" customWidth="1"/>
    <col min="15578" max="15578" width="9.109375" style="39"/>
    <col min="15579" max="15579" width="10.6640625" style="39" bestFit="1" customWidth="1"/>
    <col min="15580" max="15584" width="9.109375" style="39"/>
    <col min="15585" max="15585" width="10.6640625" style="39" bestFit="1" customWidth="1"/>
    <col min="15586" max="15592" width="9.109375" style="39"/>
    <col min="15593" max="15593" width="12" style="39" bestFit="1" customWidth="1"/>
    <col min="15594" max="15634" width="9.109375" style="39"/>
    <col min="15635" max="15635" width="12.33203125" style="39" bestFit="1" customWidth="1"/>
    <col min="15636" max="15636" width="10.109375" style="39" bestFit="1" customWidth="1"/>
    <col min="15637" max="15637" width="10.6640625" style="39" bestFit="1" customWidth="1"/>
    <col min="15638" max="15641" width="9.109375" style="39"/>
    <col min="15642" max="15642" width="9.109375" style="39" bestFit="1" customWidth="1"/>
    <col min="15643" max="15643" width="10.6640625" style="39" bestFit="1" customWidth="1"/>
    <col min="15644" max="15644" width="4.5546875" style="39" bestFit="1" customWidth="1"/>
    <col min="15645" max="15645" width="5.5546875" style="39" bestFit="1" customWidth="1"/>
    <col min="15646" max="15646" width="10.6640625" style="39" bestFit="1" customWidth="1"/>
    <col min="15647" max="15650" width="9.109375" style="39"/>
    <col min="15651" max="15651" width="12" style="39" bestFit="1" customWidth="1"/>
    <col min="15652" max="15652" width="32.6640625" style="39" customWidth="1"/>
    <col min="15653" max="15653" width="12.33203125" style="39" bestFit="1" customWidth="1"/>
    <col min="15654" max="15654" width="9.109375" style="39"/>
    <col min="15655" max="15655" width="10.6640625" style="39" bestFit="1" customWidth="1"/>
    <col min="15656" max="15660" width="9.109375" style="39"/>
    <col min="15661" max="15661" width="10.6640625" style="39" bestFit="1" customWidth="1"/>
    <col min="15662" max="15668" width="9.109375" style="39"/>
    <col min="15669" max="15669" width="12" style="39" bestFit="1" customWidth="1"/>
    <col min="15670" max="15670" width="32.6640625" style="39" customWidth="1"/>
    <col min="15671" max="15671" width="12.33203125" style="39" bestFit="1" customWidth="1"/>
    <col min="15672" max="15672" width="9.109375" style="39"/>
    <col min="15673" max="15673" width="10.6640625" style="39" bestFit="1" customWidth="1"/>
    <col min="15674" max="15678" width="9.109375" style="39"/>
    <col min="15679" max="15679" width="10.6640625" style="39" bestFit="1" customWidth="1"/>
    <col min="15680" max="15686" width="9.109375" style="39"/>
    <col min="15687" max="15687" width="12" style="39" bestFit="1" customWidth="1"/>
    <col min="15688" max="15688" width="32.6640625" style="39" customWidth="1"/>
    <col min="15689" max="15689" width="12.33203125" style="39" bestFit="1" customWidth="1"/>
    <col min="15690" max="15690" width="9.109375" style="39"/>
    <col min="15691" max="15691" width="10.6640625" style="39" bestFit="1" customWidth="1"/>
    <col min="15692" max="15696" width="9.109375" style="39"/>
    <col min="15697" max="15697" width="10.6640625" style="39" bestFit="1" customWidth="1"/>
    <col min="15698" max="15704" width="9.109375" style="39"/>
    <col min="15705" max="15705" width="12" style="39" bestFit="1" customWidth="1"/>
    <col min="15706" max="15706" width="32.6640625" style="39" customWidth="1"/>
    <col min="15707" max="15707" width="12.33203125" style="39" bestFit="1" customWidth="1"/>
    <col min="15708" max="15708" width="9.109375" style="39"/>
    <col min="15709" max="15709" width="10.6640625" style="39" bestFit="1" customWidth="1"/>
    <col min="15710" max="15714" width="9.109375" style="39"/>
    <col min="15715" max="15715" width="10.6640625" style="39" bestFit="1" customWidth="1"/>
    <col min="15716" max="15722" width="9.109375" style="39"/>
    <col min="15723" max="15723" width="12" style="39" bestFit="1" customWidth="1"/>
    <col min="15724" max="15724" width="32.6640625" style="39" customWidth="1"/>
    <col min="15725" max="15725" width="12.33203125" style="39" bestFit="1" customWidth="1"/>
    <col min="15726" max="15726" width="9.109375" style="39"/>
    <col min="15727" max="15727" width="10.6640625" style="39" bestFit="1" customWidth="1"/>
    <col min="15728" max="15732" width="9.109375" style="39"/>
    <col min="15733" max="15733" width="10.6640625" style="39" bestFit="1" customWidth="1"/>
    <col min="15734" max="15740" width="9.109375" style="39"/>
    <col min="15741" max="15741" width="12" style="39" bestFit="1" customWidth="1"/>
    <col min="15742" max="15742" width="32.6640625" style="39" customWidth="1"/>
    <col min="15743" max="15743" width="12.33203125" style="39" bestFit="1" customWidth="1"/>
    <col min="15744" max="15744" width="9.109375" style="39"/>
    <col min="15745" max="15745" width="10.6640625" style="39" bestFit="1" customWidth="1"/>
    <col min="15746" max="15750" width="9.109375" style="39"/>
    <col min="15751" max="15751" width="10.6640625" style="39" bestFit="1" customWidth="1"/>
    <col min="15752" max="15758" width="9.109375" style="39"/>
    <col min="15759" max="15759" width="12" style="39" bestFit="1" customWidth="1"/>
    <col min="15760" max="15760" width="32.6640625" style="39" customWidth="1"/>
    <col min="15761" max="15761" width="12.33203125" style="39" bestFit="1" customWidth="1"/>
    <col min="15762" max="15762" width="9.109375" style="39"/>
    <col min="15763" max="15763" width="10.6640625" style="39" bestFit="1" customWidth="1"/>
    <col min="15764" max="15768" width="9.109375" style="39"/>
    <col min="15769" max="15769" width="10.6640625" style="39" bestFit="1" customWidth="1"/>
    <col min="15770" max="15776" width="9.109375" style="39"/>
    <col min="15777" max="15777" width="12" style="39" bestFit="1" customWidth="1"/>
    <col min="15778" max="15778" width="32.6640625" style="39" customWidth="1"/>
    <col min="15779" max="15779" width="12.33203125" style="39" bestFit="1" customWidth="1"/>
    <col min="15780" max="15780" width="9.109375" style="39"/>
    <col min="15781" max="15781" width="10.6640625" style="39" bestFit="1" customWidth="1"/>
    <col min="15782" max="15786" width="9.109375" style="39"/>
    <col min="15787" max="15787" width="10.6640625" style="39" bestFit="1" customWidth="1"/>
    <col min="15788" max="15794" width="9.109375" style="39"/>
    <col min="15795" max="15795" width="12" style="39" bestFit="1" customWidth="1"/>
    <col min="15796" max="15796" width="32.6640625" style="39" customWidth="1"/>
    <col min="15797" max="15797" width="12.33203125" style="39" bestFit="1" customWidth="1"/>
    <col min="15798" max="15798" width="9.109375" style="39"/>
    <col min="15799" max="15799" width="10.6640625" style="39" bestFit="1" customWidth="1"/>
    <col min="15800" max="15804" width="9.109375" style="39"/>
    <col min="15805" max="15805" width="10.6640625" style="39" bestFit="1" customWidth="1"/>
    <col min="15806" max="15812" width="9.109375" style="39"/>
    <col min="15813" max="15813" width="12" style="39" bestFit="1" customWidth="1"/>
    <col min="15814" max="15814" width="32.6640625" style="39" customWidth="1"/>
    <col min="15815" max="15815" width="12.33203125" style="39" bestFit="1" customWidth="1"/>
    <col min="15816" max="15816" width="9.109375" style="39"/>
    <col min="15817" max="15817" width="10.6640625" style="39" bestFit="1" customWidth="1"/>
    <col min="15818" max="15822" width="9.109375" style="39"/>
    <col min="15823" max="15823" width="10.6640625" style="39" bestFit="1" customWidth="1"/>
    <col min="15824" max="15830" width="9.109375" style="39"/>
    <col min="15831" max="15831" width="13.33203125" style="39" bestFit="1" customWidth="1"/>
    <col min="15832" max="15832" width="32.6640625" style="39" customWidth="1"/>
    <col min="15833" max="15833" width="12.33203125" style="39" bestFit="1" customWidth="1"/>
    <col min="15834" max="15834" width="9.109375" style="39"/>
    <col min="15835" max="15835" width="10.6640625" style="39" bestFit="1" customWidth="1"/>
    <col min="15836" max="15840" width="9.109375" style="39"/>
    <col min="15841" max="15841" width="10.6640625" style="39" bestFit="1" customWidth="1"/>
    <col min="15842" max="15848" width="9.109375" style="39"/>
    <col min="15849" max="15849" width="12" style="39" bestFit="1" customWidth="1"/>
    <col min="15850" max="15890" width="9.109375" style="39"/>
    <col min="15891" max="15891" width="12.33203125" style="39" bestFit="1" customWidth="1"/>
    <col min="15892" max="15892" width="10.109375" style="39" bestFit="1" customWidth="1"/>
    <col min="15893" max="15893" width="10.6640625" style="39" bestFit="1" customWidth="1"/>
    <col min="15894" max="15897" width="9.109375" style="39"/>
    <col min="15898" max="15898" width="9.109375" style="39" bestFit="1" customWidth="1"/>
    <col min="15899" max="15899" width="10.6640625" style="39" bestFit="1" customWidth="1"/>
    <col min="15900" max="15900" width="4.5546875" style="39" bestFit="1" customWidth="1"/>
    <col min="15901" max="15901" width="5.5546875" style="39" bestFit="1" customWidth="1"/>
    <col min="15902" max="15902" width="10.6640625" style="39" bestFit="1" customWidth="1"/>
    <col min="15903" max="15906" width="9.109375" style="39"/>
    <col min="15907" max="15907" width="12" style="39" bestFit="1" customWidth="1"/>
    <col min="15908" max="15908" width="32.6640625" style="39" customWidth="1"/>
    <col min="15909" max="15909" width="12.33203125" style="39" bestFit="1" customWidth="1"/>
    <col min="15910" max="15910" width="9.109375" style="39"/>
    <col min="15911" max="15911" width="10.6640625" style="39" bestFit="1" customWidth="1"/>
    <col min="15912" max="15916" width="9.109375" style="39"/>
    <col min="15917" max="15917" width="10.6640625" style="39" bestFit="1" customWidth="1"/>
    <col min="15918" max="15924" width="9.109375" style="39"/>
    <col min="15925" max="15925" width="12" style="39" bestFit="1" customWidth="1"/>
    <col min="15926" max="15926" width="32.6640625" style="39" customWidth="1"/>
    <col min="15927" max="15927" width="12.33203125" style="39" bestFit="1" customWidth="1"/>
    <col min="15928" max="15928" width="9.109375" style="39"/>
    <col min="15929" max="15929" width="10.6640625" style="39" bestFit="1" customWidth="1"/>
    <col min="15930" max="15934" width="9.109375" style="39"/>
    <col min="15935" max="15935" width="10.6640625" style="39" bestFit="1" customWidth="1"/>
    <col min="15936" max="15942" width="9.109375" style="39"/>
    <col min="15943" max="15943" width="12" style="39" bestFit="1" customWidth="1"/>
    <col min="15944" max="15944" width="32.6640625" style="39" customWidth="1"/>
    <col min="15945" max="15945" width="12.33203125" style="39" bestFit="1" customWidth="1"/>
    <col min="15946" max="15946" width="9.109375" style="39"/>
    <col min="15947" max="15947" width="10.6640625" style="39" bestFit="1" customWidth="1"/>
    <col min="15948" max="15952" width="9.109375" style="39"/>
    <col min="15953" max="15953" width="10.6640625" style="39" bestFit="1" customWidth="1"/>
    <col min="15954" max="15960" width="9.109375" style="39"/>
    <col min="15961" max="15961" width="12" style="39" bestFit="1" customWidth="1"/>
    <col min="15962" max="15962" width="32.6640625" style="39" customWidth="1"/>
    <col min="15963" max="15963" width="12.33203125" style="39" bestFit="1" customWidth="1"/>
    <col min="15964" max="15964" width="9.109375" style="39"/>
    <col min="15965" max="15965" width="10.6640625" style="39" bestFit="1" customWidth="1"/>
    <col min="15966" max="15970" width="9.109375" style="39"/>
    <col min="15971" max="15971" width="10.6640625" style="39" bestFit="1" customWidth="1"/>
    <col min="15972" max="15978" width="9.109375" style="39"/>
    <col min="15979" max="15979" width="12" style="39" bestFit="1" customWidth="1"/>
    <col min="15980" max="15980" width="32.6640625" style="39" customWidth="1"/>
    <col min="15981" max="15981" width="12.33203125" style="39" bestFit="1" customWidth="1"/>
    <col min="15982" max="15982" width="9.109375" style="39"/>
    <col min="15983" max="15983" width="10.6640625" style="39" bestFit="1" customWidth="1"/>
    <col min="15984" max="15988" width="9.109375" style="39"/>
    <col min="15989" max="15989" width="10.6640625" style="39" bestFit="1" customWidth="1"/>
    <col min="15990" max="15996" width="9.109375" style="39"/>
    <col min="15997" max="15997" width="12" style="39" bestFit="1" customWidth="1"/>
    <col min="15998" max="15998" width="32.6640625" style="39" customWidth="1"/>
    <col min="15999" max="15999" width="12.33203125" style="39" bestFit="1" customWidth="1"/>
    <col min="16000" max="16000" width="9.109375" style="39"/>
    <col min="16001" max="16001" width="10.6640625" style="39" bestFit="1" customWidth="1"/>
    <col min="16002" max="16006" width="9.109375" style="39"/>
    <col min="16007" max="16007" width="10.6640625" style="39" bestFit="1" customWidth="1"/>
    <col min="16008" max="16014" width="9.109375" style="39"/>
    <col min="16015" max="16015" width="12" style="39" bestFit="1" customWidth="1"/>
    <col min="16016" max="16016" width="32.6640625" style="39" customWidth="1"/>
    <col min="16017" max="16017" width="12.33203125" style="39" bestFit="1" customWidth="1"/>
    <col min="16018" max="16018" width="9.109375" style="39"/>
    <col min="16019" max="16019" width="10.6640625" style="39" bestFit="1" customWidth="1"/>
    <col min="16020" max="16024" width="9.109375" style="39"/>
    <col min="16025" max="16025" width="10.6640625" style="39" bestFit="1" customWidth="1"/>
    <col min="16026" max="16032" width="9.109375" style="39"/>
    <col min="16033" max="16033" width="12" style="39" bestFit="1" customWidth="1"/>
    <col min="16034" max="16034" width="32.6640625" style="39" customWidth="1"/>
    <col min="16035" max="16035" width="12.33203125" style="39" bestFit="1" customWidth="1"/>
    <col min="16036" max="16036" width="9.109375" style="39"/>
    <col min="16037" max="16037" width="10.6640625" style="39" bestFit="1" customWidth="1"/>
    <col min="16038" max="16042" width="9.109375" style="39"/>
    <col min="16043" max="16043" width="10.6640625" style="39" bestFit="1" customWidth="1"/>
    <col min="16044" max="16050" width="9.109375" style="39"/>
    <col min="16051" max="16051" width="12" style="39" bestFit="1" customWidth="1"/>
    <col min="16052" max="16052" width="32.6640625" style="39" customWidth="1"/>
    <col min="16053" max="16053" width="12.33203125" style="39" bestFit="1" customWidth="1"/>
    <col min="16054" max="16054" width="9.109375" style="39"/>
    <col min="16055" max="16055" width="10.6640625" style="39" bestFit="1" customWidth="1"/>
    <col min="16056" max="16060" width="9.109375" style="39"/>
    <col min="16061" max="16061" width="10.6640625" style="39" bestFit="1" customWidth="1"/>
    <col min="16062" max="16068" width="9.109375" style="39"/>
    <col min="16069" max="16069" width="12" style="39" bestFit="1" customWidth="1"/>
    <col min="16070" max="16070" width="32.6640625" style="39" customWidth="1"/>
    <col min="16071" max="16071" width="12.33203125" style="39" bestFit="1" customWidth="1"/>
    <col min="16072" max="16072" width="9.109375" style="39"/>
    <col min="16073" max="16073" width="10.6640625" style="39" bestFit="1" customWidth="1"/>
    <col min="16074" max="16078" width="9.109375" style="39"/>
    <col min="16079" max="16079" width="10.6640625" style="39" bestFit="1" customWidth="1"/>
    <col min="16080" max="16086" width="9.109375" style="39"/>
    <col min="16087" max="16087" width="13.33203125" style="39" bestFit="1" customWidth="1"/>
    <col min="16088" max="16088" width="32.6640625" style="39" customWidth="1"/>
    <col min="16089" max="16089" width="12.33203125" style="39" bestFit="1" customWidth="1"/>
    <col min="16090" max="16090" width="9.109375" style="39"/>
    <col min="16091" max="16091" width="10.6640625" style="39" bestFit="1" customWidth="1"/>
    <col min="16092" max="16096" width="9.109375" style="39"/>
    <col min="16097" max="16097" width="10.6640625" style="39" bestFit="1" customWidth="1"/>
    <col min="16098" max="16104" width="9.109375" style="39"/>
    <col min="16105" max="16105" width="12" style="39" bestFit="1" customWidth="1"/>
    <col min="16106" max="16146" width="9.109375" style="39"/>
    <col min="16147" max="16147" width="12.33203125" style="39" bestFit="1" customWidth="1"/>
    <col min="16148" max="16148" width="10.109375" style="39" bestFit="1" customWidth="1"/>
    <col min="16149" max="16149" width="10.6640625" style="39" bestFit="1" customWidth="1"/>
    <col min="16150" max="16153" width="9.109375" style="39"/>
    <col min="16154" max="16154" width="9.109375" style="39" bestFit="1" customWidth="1"/>
    <col min="16155" max="16155" width="10.6640625" style="39" bestFit="1" customWidth="1"/>
    <col min="16156" max="16156" width="4.5546875" style="39" bestFit="1" customWidth="1"/>
    <col min="16157" max="16157" width="5.5546875" style="39" bestFit="1" customWidth="1"/>
    <col min="16158" max="16158" width="10.6640625" style="39" bestFit="1" customWidth="1"/>
    <col min="16159" max="16162" width="9.109375" style="39"/>
    <col min="16163" max="16163" width="12" style="39" bestFit="1" customWidth="1"/>
    <col min="16164" max="16164" width="32.6640625" style="39" customWidth="1"/>
    <col min="16165" max="16165" width="12.33203125" style="39" bestFit="1" customWidth="1"/>
    <col min="16166" max="16166" width="9.109375" style="39"/>
    <col min="16167" max="16167" width="10.6640625" style="39" bestFit="1" customWidth="1"/>
    <col min="16168" max="16172" width="9.109375" style="39"/>
    <col min="16173" max="16173" width="10.6640625" style="39" bestFit="1" customWidth="1"/>
    <col min="16174" max="16180" width="9.109375" style="39"/>
    <col min="16181" max="16181" width="12" style="39" bestFit="1" customWidth="1"/>
    <col min="16182" max="16182" width="32.6640625" style="39" customWidth="1"/>
    <col min="16183" max="16183" width="12.33203125" style="39" bestFit="1" customWidth="1"/>
    <col min="16184" max="16184" width="9.109375" style="39"/>
    <col min="16185" max="16185" width="10.6640625" style="39" bestFit="1" customWidth="1"/>
    <col min="16186" max="16190" width="9.109375" style="39"/>
    <col min="16191" max="16191" width="10.6640625" style="39" bestFit="1" customWidth="1"/>
    <col min="16192" max="16198" width="9.109375" style="39"/>
    <col min="16199" max="16199" width="12" style="39" bestFit="1" customWidth="1"/>
    <col min="16200" max="16200" width="32.6640625" style="39" customWidth="1"/>
    <col min="16201" max="16201" width="12.33203125" style="39" bestFit="1" customWidth="1"/>
    <col min="16202" max="16202" width="9.109375" style="39"/>
    <col min="16203" max="16203" width="10.6640625" style="39" bestFit="1" customWidth="1"/>
    <col min="16204" max="16208" width="9.109375" style="39"/>
    <col min="16209" max="16209" width="10.6640625" style="39" bestFit="1" customWidth="1"/>
    <col min="16210" max="16216" width="9.109375" style="39"/>
    <col min="16217" max="16217" width="12" style="39" bestFit="1" customWidth="1"/>
    <col min="16218" max="16218" width="32.6640625" style="39" customWidth="1"/>
    <col min="16219" max="16219" width="12.33203125" style="39" bestFit="1" customWidth="1"/>
    <col min="16220" max="16220" width="9.109375" style="39"/>
    <col min="16221" max="16221" width="10.6640625" style="39" bestFit="1" customWidth="1"/>
    <col min="16222" max="16226" width="9.109375" style="39"/>
    <col min="16227" max="16227" width="10.6640625" style="39" bestFit="1" customWidth="1"/>
    <col min="16228" max="16234" width="9.109375" style="39"/>
    <col min="16235" max="16235" width="12" style="39" bestFit="1" customWidth="1"/>
    <col min="16236" max="16236" width="32.6640625" style="39" customWidth="1"/>
    <col min="16237" max="16237" width="12.33203125" style="39" bestFit="1" customWidth="1"/>
    <col min="16238" max="16238" width="9.109375" style="39"/>
    <col min="16239" max="16239" width="10.6640625" style="39" bestFit="1" customWidth="1"/>
    <col min="16240" max="16244" width="9.109375" style="39"/>
    <col min="16245" max="16245" width="10.6640625" style="39" bestFit="1" customWidth="1"/>
    <col min="16246" max="16252" width="9.109375" style="39"/>
    <col min="16253" max="16253" width="12" style="39" bestFit="1" customWidth="1"/>
    <col min="16254" max="16254" width="32.6640625" style="39" customWidth="1"/>
    <col min="16255" max="16255" width="12.33203125" style="39" bestFit="1" customWidth="1"/>
    <col min="16256" max="16256" width="9.109375" style="39"/>
    <col min="16257" max="16257" width="10.6640625" style="39" bestFit="1" customWidth="1"/>
    <col min="16258" max="16262" width="9.109375" style="39"/>
    <col min="16263" max="16263" width="10.6640625" style="39" bestFit="1" customWidth="1"/>
    <col min="16264" max="16270" width="9.109375" style="39"/>
    <col min="16271" max="16271" width="12" style="39" bestFit="1" customWidth="1"/>
    <col min="16272" max="16272" width="32.6640625" style="39" customWidth="1"/>
    <col min="16273" max="16273" width="12.33203125" style="39" bestFit="1" customWidth="1"/>
    <col min="16274" max="16274" width="9.109375" style="39"/>
    <col min="16275" max="16275" width="10.6640625" style="39" bestFit="1" customWidth="1"/>
    <col min="16276" max="16280" width="9.109375" style="39"/>
    <col min="16281" max="16281" width="10.6640625" style="39" bestFit="1" customWidth="1"/>
    <col min="16282" max="16288" width="9.109375" style="39"/>
    <col min="16289" max="16289" width="12" style="39" bestFit="1" customWidth="1"/>
    <col min="16290" max="16290" width="32.6640625" style="39" customWidth="1"/>
    <col min="16291" max="16291" width="12.33203125" style="39" bestFit="1" customWidth="1"/>
    <col min="16292" max="16292" width="9.109375" style="39"/>
    <col min="16293" max="16293" width="10.6640625" style="39" bestFit="1" customWidth="1"/>
    <col min="16294" max="16298" width="9.109375" style="39"/>
    <col min="16299" max="16299" width="10.6640625" style="39" bestFit="1" customWidth="1"/>
    <col min="16300" max="16306" width="9.109375" style="39"/>
    <col min="16307" max="16307" width="12" style="39" bestFit="1" customWidth="1"/>
    <col min="16308" max="16308" width="32.6640625" style="39" customWidth="1"/>
    <col min="16309" max="16309" width="12.33203125" style="39" bestFit="1" customWidth="1"/>
    <col min="16310" max="16310" width="9.109375" style="39"/>
    <col min="16311" max="16311" width="10.6640625" style="39" bestFit="1" customWidth="1"/>
    <col min="16312" max="16316" width="9.109375" style="39"/>
    <col min="16317" max="16317" width="10.6640625" style="39" bestFit="1" customWidth="1"/>
    <col min="16318" max="16324" width="9.109375" style="39"/>
    <col min="16325" max="16325" width="12" style="39" bestFit="1" customWidth="1"/>
    <col min="16326" max="16326" width="32.6640625" style="39" customWidth="1"/>
    <col min="16327" max="16327" width="12.33203125" style="39" bestFit="1" customWidth="1"/>
    <col min="16328" max="16328" width="9.109375" style="39"/>
    <col min="16329" max="16329" width="10.6640625" style="39" bestFit="1" customWidth="1"/>
    <col min="16330" max="16334" width="9.109375" style="39"/>
    <col min="16335" max="16335" width="10.6640625" style="39" bestFit="1" customWidth="1"/>
    <col min="16336" max="16342" width="9.109375" style="39"/>
    <col min="16343" max="16343" width="13.33203125" style="39" bestFit="1" customWidth="1"/>
    <col min="16344" max="16344" width="32.6640625" style="39" customWidth="1"/>
    <col min="16345" max="16345" width="12.33203125" style="39" bestFit="1" customWidth="1"/>
    <col min="16346" max="16346" width="9.109375" style="39"/>
    <col min="16347" max="16347" width="10.6640625" style="39" bestFit="1" customWidth="1"/>
    <col min="16348" max="16352" width="9.109375" style="39"/>
    <col min="16353" max="16353" width="10.6640625" style="39" bestFit="1" customWidth="1"/>
    <col min="16354" max="16360" width="9.109375" style="39"/>
    <col min="16361" max="16361" width="12" style="39" bestFit="1" customWidth="1"/>
    <col min="16362" max="16384" width="9.109375" style="39"/>
  </cols>
  <sheetData>
    <row r="1" spans="1:296" ht="15" thickBot="1" x14ac:dyDescent="0.35">
      <c r="A1" s="217"/>
      <c r="B1" s="103" t="s">
        <v>108</v>
      </c>
      <c r="C1" s="216">
        <v>1412</v>
      </c>
      <c r="D1" s="103">
        <v>2160</v>
      </c>
      <c r="E1" s="36"/>
      <c r="F1" s="36"/>
      <c r="G1" s="36"/>
      <c r="H1" s="36"/>
      <c r="I1" s="36"/>
      <c r="J1" s="36"/>
      <c r="K1" s="36"/>
      <c r="L1" s="36"/>
      <c r="M1" s="36"/>
      <c r="N1" s="36"/>
      <c r="O1" s="36"/>
      <c r="P1" s="36"/>
      <c r="Q1" s="36"/>
      <c r="R1" s="36"/>
      <c r="S1" s="36"/>
      <c r="T1" s="36"/>
      <c r="U1" s="36"/>
      <c r="V1" s="36"/>
      <c r="W1" s="36"/>
      <c r="X1" s="37"/>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8"/>
      <c r="DW1" s="36"/>
      <c r="DX1" s="36"/>
      <c r="DY1" s="36"/>
      <c r="DZ1" s="36"/>
      <c r="EA1" s="36"/>
      <c r="EB1" s="36"/>
      <c r="EC1" s="36"/>
      <c r="ED1" s="36"/>
      <c r="EE1" s="36"/>
      <c r="EF1" s="36"/>
      <c r="EG1" s="36"/>
      <c r="EH1" s="36"/>
      <c r="EI1" s="36"/>
      <c r="EJ1" s="36"/>
      <c r="EK1" s="36"/>
      <c r="EL1" s="36"/>
      <c r="EM1" s="36"/>
      <c r="EN1" s="38"/>
      <c r="EO1" s="36"/>
      <c r="EP1" s="36"/>
      <c r="EQ1" s="36"/>
      <c r="ER1" s="36"/>
      <c r="ES1" s="36"/>
      <c r="ET1" s="36"/>
      <c r="EU1" s="36"/>
      <c r="EV1" s="36"/>
      <c r="EW1" s="36"/>
      <c r="EX1" s="36"/>
      <c r="EY1" s="36"/>
      <c r="EZ1" s="36"/>
      <c r="FA1" s="36"/>
      <c r="FB1" s="36"/>
      <c r="FC1" s="36"/>
      <c r="FD1" s="36"/>
      <c r="FE1" s="36"/>
      <c r="FF1" s="38"/>
      <c r="FG1" s="36"/>
      <c r="FH1" s="36"/>
      <c r="FI1" s="36"/>
      <c r="FJ1" s="36"/>
      <c r="FK1" s="36"/>
      <c r="FL1" s="36"/>
      <c r="FM1" s="36"/>
      <c r="FN1" s="36"/>
      <c r="FO1" s="36"/>
      <c r="FP1" s="36"/>
      <c r="FQ1" s="36"/>
      <c r="FR1" s="36"/>
      <c r="FS1" s="36"/>
      <c r="FT1" s="36"/>
      <c r="FU1" s="36"/>
      <c r="FV1" s="36"/>
      <c r="FW1" s="36"/>
      <c r="FX1" s="38"/>
      <c r="FY1" s="36"/>
      <c r="FZ1" s="36"/>
      <c r="GA1" s="36"/>
      <c r="GB1" s="36"/>
      <c r="GC1" s="36"/>
      <c r="GD1" s="36"/>
      <c r="GE1" s="36"/>
      <c r="GF1" s="36"/>
      <c r="GG1" s="36"/>
      <c r="GH1" s="36"/>
      <c r="GI1" s="36"/>
      <c r="GJ1" s="36"/>
      <c r="GK1" s="36"/>
      <c r="GL1" s="36"/>
      <c r="GM1" s="36"/>
      <c r="GN1" s="36"/>
      <c r="GO1" s="36"/>
      <c r="GP1" s="38"/>
      <c r="GQ1" s="36"/>
      <c r="GR1" s="36"/>
      <c r="GS1" s="36"/>
      <c r="GT1" s="36"/>
      <c r="GU1" s="36"/>
      <c r="GV1" s="36"/>
      <c r="GW1" s="36"/>
      <c r="GX1" s="36"/>
      <c r="GY1" s="36"/>
      <c r="GZ1" s="36"/>
      <c r="HA1" s="36"/>
      <c r="HB1" s="36"/>
      <c r="HC1" s="36"/>
      <c r="HD1" s="36"/>
      <c r="HE1" s="36"/>
      <c r="HF1" s="36"/>
      <c r="HG1" s="36"/>
      <c r="HH1" s="38"/>
      <c r="HI1" s="36"/>
      <c r="HJ1" s="36"/>
      <c r="HK1" s="36"/>
      <c r="HL1" s="36"/>
      <c r="HM1" s="36"/>
      <c r="HN1" s="36"/>
      <c r="HO1" s="36"/>
      <c r="HP1" s="36"/>
      <c r="HQ1" s="36"/>
      <c r="HR1" s="36"/>
      <c r="HS1" s="36"/>
      <c r="HT1" s="36"/>
      <c r="HU1" s="36"/>
      <c r="HV1" s="36"/>
      <c r="HW1" s="36"/>
      <c r="HX1" s="36"/>
      <c r="HY1" s="36"/>
      <c r="IA1" s="36"/>
      <c r="IB1" s="36"/>
      <c r="IC1" s="36"/>
      <c r="ID1" s="36"/>
      <c r="IE1" s="36"/>
      <c r="IF1" s="36"/>
      <c r="IG1" s="36"/>
      <c r="IH1" s="36"/>
      <c r="II1" s="36"/>
      <c r="IJ1" s="36"/>
      <c r="IK1" s="36"/>
      <c r="IL1" s="36"/>
      <c r="IM1" s="36"/>
      <c r="IN1" s="36"/>
      <c r="IO1" s="36"/>
      <c r="IP1" s="36"/>
      <c r="IQ1" s="36"/>
      <c r="IR1" s="36"/>
      <c r="IS1" s="36"/>
      <c r="IT1" s="36"/>
      <c r="IU1" s="36"/>
      <c r="IV1" s="36"/>
      <c r="IW1" s="36"/>
      <c r="IX1" s="36"/>
      <c r="IY1" s="36"/>
      <c r="IZ1" s="36"/>
      <c r="JA1" s="36"/>
      <c r="JB1" s="36"/>
      <c r="JC1" s="36"/>
      <c r="JD1" s="36"/>
      <c r="JE1" s="36"/>
      <c r="JF1" s="36"/>
      <c r="JG1" s="36"/>
      <c r="JH1" s="37"/>
      <c r="JI1" s="37"/>
      <c r="JJ1" s="37"/>
      <c r="JK1" s="37"/>
      <c r="JL1" s="37"/>
      <c r="JM1" s="37"/>
      <c r="JN1" s="37"/>
      <c r="JO1" s="37"/>
      <c r="JP1" s="37"/>
      <c r="JQ1" s="37"/>
      <c r="JR1" s="37"/>
      <c r="JS1" s="37"/>
      <c r="JT1" s="37"/>
      <c r="JU1" s="37"/>
      <c r="JV1" s="37"/>
      <c r="JW1" s="37"/>
      <c r="JX1" s="37"/>
      <c r="JY1" s="37"/>
      <c r="JZ1" s="37"/>
      <c r="KA1" s="37"/>
      <c r="KB1" s="37"/>
      <c r="KC1" s="37"/>
      <c r="KD1" s="37"/>
      <c r="KE1" s="37"/>
      <c r="KF1" s="37"/>
      <c r="KG1" s="37"/>
      <c r="KH1" s="37"/>
      <c r="KI1" s="37"/>
      <c r="KJ1" s="37"/>
    </row>
    <row r="2" spans="1:296" ht="29.4" thickBot="1" x14ac:dyDescent="0.6">
      <c r="A2" s="185" t="s">
        <v>96</v>
      </c>
      <c r="B2" s="37"/>
      <c r="C2" s="37"/>
      <c r="D2" s="37"/>
      <c r="E2" s="553" t="s">
        <v>148</v>
      </c>
      <c r="F2" s="553"/>
      <c r="G2" s="553"/>
      <c r="H2" s="553"/>
      <c r="I2" s="553"/>
      <c r="J2" s="553"/>
      <c r="K2" s="553"/>
      <c r="L2" s="453"/>
      <c r="M2" s="453"/>
      <c r="N2" s="37"/>
      <c r="O2" s="37"/>
      <c r="P2" s="37"/>
      <c r="Q2" s="37"/>
      <c r="R2" s="37"/>
      <c r="S2" s="37"/>
      <c r="T2" s="37"/>
      <c r="U2" s="37"/>
      <c r="V2" s="37"/>
      <c r="W2" s="37"/>
      <c r="X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c r="DI2" s="37"/>
      <c r="DJ2" s="37"/>
      <c r="DK2" s="37"/>
      <c r="DL2" s="37"/>
      <c r="DM2" s="37"/>
      <c r="DN2" s="37"/>
      <c r="DO2" s="37"/>
      <c r="DP2" s="37"/>
      <c r="DQ2" s="37"/>
      <c r="DR2" s="37"/>
      <c r="DS2" s="37"/>
      <c r="DT2" s="37"/>
      <c r="DU2" s="37"/>
      <c r="DV2" s="41"/>
      <c r="DW2" s="37"/>
      <c r="DX2" s="37"/>
      <c r="DY2" s="37"/>
      <c r="DZ2" s="37"/>
      <c r="EA2" s="37"/>
      <c r="EB2" s="37"/>
      <c r="EC2" s="37"/>
      <c r="ED2" s="37"/>
      <c r="EE2" s="37"/>
      <c r="EF2" s="37"/>
      <c r="EG2" s="37"/>
      <c r="EH2" s="37"/>
      <c r="EI2" s="37"/>
      <c r="EJ2" s="37"/>
      <c r="EK2" s="37"/>
      <c r="EL2" s="37"/>
      <c r="EM2" s="37"/>
      <c r="EN2" s="41"/>
      <c r="EO2" s="37"/>
      <c r="EP2" s="37"/>
      <c r="EQ2" s="37"/>
      <c r="ER2" s="37"/>
      <c r="ES2" s="37"/>
      <c r="ET2" s="37"/>
      <c r="EU2" s="37"/>
      <c r="EV2" s="37"/>
      <c r="EW2" s="37"/>
      <c r="EX2" s="37"/>
      <c r="EY2" s="37"/>
      <c r="EZ2" s="37"/>
      <c r="FA2" s="37"/>
      <c r="FB2" s="37"/>
      <c r="FC2" s="37"/>
      <c r="FD2" s="37"/>
      <c r="FE2" s="37"/>
      <c r="FF2" s="41"/>
      <c r="FG2" s="37"/>
      <c r="FH2" s="37"/>
      <c r="FI2" s="37"/>
      <c r="FJ2" s="37"/>
      <c r="FK2" s="37"/>
      <c r="FL2" s="37"/>
      <c r="FM2" s="37"/>
      <c r="FN2" s="37"/>
      <c r="FO2" s="37"/>
      <c r="FP2" s="37"/>
      <c r="FQ2" s="37"/>
      <c r="FR2" s="37"/>
      <c r="FS2" s="37"/>
      <c r="FT2" s="37"/>
      <c r="FU2" s="37"/>
      <c r="FV2" s="37"/>
      <c r="FW2" s="37"/>
      <c r="FX2" s="41"/>
      <c r="FY2" s="37"/>
      <c r="FZ2" s="37"/>
      <c r="GA2" s="37"/>
      <c r="GB2" s="37"/>
      <c r="GC2" s="37"/>
      <c r="GD2" s="37"/>
      <c r="GE2" s="37"/>
      <c r="GF2" s="37"/>
      <c r="GG2" s="37"/>
      <c r="GH2" s="37"/>
      <c r="GI2" s="37"/>
      <c r="GJ2" s="37"/>
      <c r="GK2" s="37"/>
      <c r="GL2" s="37"/>
      <c r="GM2" s="37"/>
      <c r="GN2" s="37"/>
      <c r="GO2" s="37"/>
      <c r="GP2" s="41"/>
      <c r="GQ2" s="37"/>
      <c r="GR2" s="37"/>
      <c r="GS2" s="37"/>
      <c r="GT2" s="37"/>
      <c r="GU2" s="37"/>
      <c r="GV2" s="37"/>
      <c r="GW2" s="37"/>
      <c r="GX2" s="37"/>
      <c r="GY2" s="37"/>
      <c r="GZ2" s="37"/>
      <c r="HA2" s="37"/>
      <c r="HB2" s="37"/>
      <c r="HC2" s="37"/>
      <c r="HD2" s="37"/>
      <c r="HE2" s="37"/>
      <c r="HF2" s="37"/>
      <c r="HG2" s="37"/>
      <c r="HH2" s="41"/>
      <c r="HI2" s="37"/>
      <c r="HJ2" s="37"/>
      <c r="HK2" s="37"/>
      <c r="HL2" s="37"/>
      <c r="HM2" s="37"/>
      <c r="HN2" s="37"/>
      <c r="HO2" s="37"/>
      <c r="HP2" s="37"/>
      <c r="HQ2" s="37"/>
      <c r="HR2" s="37"/>
      <c r="HS2" s="37"/>
      <c r="HT2" s="37"/>
      <c r="HU2" s="37"/>
      <c r="HV2" s="37"/>
      <c r="HW2" s="37"/>
      <c r="HX2" s="37"/>
      <c r="HY2" s="37"/>
      <c r="IA2" s="37"/>
      <c r="IB2" s="37"/>
      <c r="IC2" s="37"/>
      <c r="ID2" s="37"/>
      <c r="IE2" s="37"/>
      <c r="IF2" s="37"/>
      <c r="IG2" s="37"/>
      <c r="IH2" s="37"/>
      <c r="II2" s="37"/>
      <c r="IJ2" s="37"/>
      <c r="IK2" s="37"/>
      <c r="IL2" s="37"/>
      <c r="IM2" s="37"/>
      <c r="IN2" s="37"/>
      <c r="IO2" s="37"/>
      <c r="IP2" s="37"/>
      <c r="IQ2" s="37"/>
      <c r="IR2" s="37"/>
      <c r="IS2" s="37"/>
      <c r="IT2" s="37"/>
      <c r="IU2" s="37"/>
      <c r="IV2" s="37"/>
      <c r="IW2" s="37"/>
      <c r="IX2" s="37"/>
      <c r="IY2" s="37"/>
      <c r="IZ2" s="37"/>
      <c r="JA2" s="37"/>
      <c r="JB2" s="37"/>
      <c r="JC2" s="37"/>
      <c r="JD2" s="37"/>
      <c r="JE2" s="37"/>
      <c r="JF2" s="37"/>
      <c r="JG2" s="37"/>
      <c r="JH2" s="37"/>
      <c r="JI2" s="37"/>
      <c r="JJ2" s="37"/>
      <c r="JK2" s="37"/>
      <c r="JL2" s="37"/>
      <c r="JM2" s="37"/>
      <c r="JN2" s="37"/>
      <c r="JO2" s="37"/>
      <c r="JP2" s="37"/>
      <c r="JQ2" s="37"/>
      <c r="JR2" s="37"/>
      <c r="JS2" s="37"/>
      <c r="JT2" s="37"/>
      <c r="JU2" s="37"/>
      <c r="JV2" s="37"/>
      <c r="JW2" s="37"/>
      <c r="JX2" s="37"/>
      <c r="JY2" s="37"/>
      <c r="JZ2" s="37"/>
      <c r="KA2" s="37"/>
      <c r="KB2" s="37"/>
      <c r="KC2" s="37"/>
      <c r="KD2" s="37"/>
      <c r="KE2" s="37"/>
      <c r="KF2" s="37"/>
      <c r="KG2" s="37"/>
      <c r="KH2" s="37"/>
      <c r="KI2" s="37"/>
      <c r="KJ2" s="37"/>
    </row>
    <row r="3" spans="1:296" ht="30" x14ac:dyDescent="0.3">
      <c r="A3" s="42"/>
      <c r="B3" s="43"/>
      <c r="C3" s="37"/>
      <c r="D3" s="27"/>
      <c r="E3" s="27"/>
      <c r="F3" s="27"/>
      <c r="G3" s="27"/>
      <c r="H3" s="27"/>
      <c r="I3" s="44"/>
      <c r="J3" s="45"/>
      <c r="K3" s="27"/>
      <c r="L3" s="27"/>
      <c r="M3" s="27"/>
      <c r="N3" s="27"/>
      <c r="O3" s="27"/>
      <c r="P3" s="27"/>
      <c r="Q3" s="27"/>
      <c r="R3" s="27"/>
      <c r="S3" s="27"/>
      <c r="T3" s="27"/>
      <c r="U3" s="27"/>
      <c r="V3" s="27"/>
      <c r="W3" s="27"/>
      <c r="X3" s="27"/>
      <c r="Z3" s="37"/>
      <c r="AA3" s="42"/>
      <c r="AB3" s="43"/>
      <c r="AC3" s="37"/>
      <c r="AD3" s="37"/>
      <c r="AE3" s="37"/>
      <c r="AF3" s="37"/>
      <c r="AG3" s="37"/>
      <c r="AH3" s="37"/>
      <c r="AI3" s="37"/>
      <c r="AJ3" s="37"/>
      <c r="AK3" s="37"/>
      <c r="AL3" s="37"/>
      <c r="AM3" s="37"/>
      <c r="AN3" s="37"/>
      <c r="AO3" s="37"/>
      <c r="AP3" s="37"/>
      <c r="AQ3" s="37"/>
      <c r="AR3" s="37"/>
      <c r="AS3" s="37"/>
      <c r="AT3" s="37"/>
      <c r="AU3" s="37"/>
      <c r="AV3" s="37"/>
      <c r="AW3" s="37"/>
      <c r="AX3" s="37"/>
      <c r="AY3" s="42"/>
      <c r="AZ3" s="43"/>
      <c r="BA3" s="37"/>
      <c r="BB3" s="37"/>
      <c r="BC3" s="37"/>
      <c r="BD3" s="37"/>
      <c r="BE3" s="37"/>
      <c r="BF3" s="37"/>
      <c r="BG3" s="37"/>
      <c r="BH3" s="37"/>
      <c r="BI3" s="37"/>
      <c r="BJ3" s="37"/>
      <c r="BK3" s="37"/>
      <c r="BL3" s="37"/>
      <c r="BM3" s="37"/>
      <c r="BN3" s="37"/>
      <c r="BO3" s="37"/>
      <c r="BP3" s="37"/>
      <c r="BQ3" s="37"/>
      <c r="BR3" s="37"/>
      <c r="BS3" s="37"/>
      <c r="BT3" s="37"/>
      <c r="BU3" s="37"/>
      <c r="BV3" s="42"/>
      <c r="BW3" s="43"/>
      <c r="BX3" s="37"/>
      <c r="BY3" s="37"/>
      <c r="BZ3" s="37"/>
      <c r="CA3" s="37"/>
      <c r="CB3" s="37"/>
      <c r="CC3" s="37"/>
      <c r="CD3" s="37"/>
      <c r="CE3" s="37"/>
      <c r="CF3" s="37"/>
      <c r="CG3" s="37"/>
      <c r="CH3" s="37"/>
      <c r="CI3" s="37"/>
      <c r="CJ3" s="37"/>
      <c r="CK3" s="37"/>
      <c r="CL3" s="37"/>
      <c r="CM3" s="37"/>
      <c r="CN3" s="42"/>
      <c r="CO3" s="43"/>
      <c r="CP3" s="37"/>
      <c r="CQ3" s="37"/>
      <c r="CR3" s="37"/>
      <c r="CS3" s="37"/>
      <c r="CT3" s="37"/>
      <c r="CU3" s="37"/>
      <c r="CV3" s="37"/>
      <c r="CW3" s="37"/>
      <c r="CX3" s="37"/>
      <c r="CY3" s="37"/>
      <c r="CZ3" s="37"/>
      <c r="DA3" s="37"/>
      <c r="DB3" s="37"/>
      <c r="DC3" s="37"/>
      <c r="DD3" s="37"/>
      <c r="DE3" s="37"/>
      <c r="DF3" s="42"/>
      <c r="DG3" s="43"/>
      <c r="DH3" s="37"/>
      <c r="DI3" s="37"/>
      <c r="DJ3" s="37"/>
      <c r="DK3" s="37"/>
      <c r="DL3" s="37"/>
      <c r="DM3" s="37"/>
      <c r="DN3" s="37"/>
      <c r="DO3" s="37"/>
      <c r="DP3" s="37"/>
      <c r="DQ3" s="37"/>
      <c r="DR3" s="37"/>
      <c r="DS3" s="37"/>
      <c r="DT3" s="37"/>
      <c r="DU3" s="37"/>
      <c r="DV3" s="41"/>
      <c r="DW3" s="37"/>
      <c r="DX3" s="42"/>
      <c r="DY3" s="43"/>
      <c r="DZ3" s="37"/>
      <c r="EA3" s="37"/>
      <c r="EB3" s="37"/>
      <c r="EC3" s="37"/>
      <c r="ED3" s="37"/>
      <c r="EE3" s="37"/>
      <c r="EF3" s="37"/>
      <c r="EG3" s="37"/>
      <c r="EH3" s="37"/>
      <c r="EI3" s="37"/>
      <c r="EJ3" s="37"/>
      <c r="EK3" s="37"/>
      <c r="EL3" s="37"/>
      <c r="EM3" s="37"/>
      <c r="EN3" s="41"/>
      <c r="EO3" s="37"/>
      <c r="EP3" s="42"/>
      <c r="EQ3" s="43"/>
      <c r="ER3" s="37"/>
      <c r="ES3" s="37"/>
      <c r="ET3" s="37"/>
      <c r="EU3" s="37"/>
      <c r="EV3" s="37"/>
      <c r="EW3" s="37"/>
      <c r="EX3" s="37"/>
      <c r="EY3" s="37"/>
      <c r="EZ3" s="37"/>
      <c r="FA3" s="37"/>
      <c r="FB3" s="37"/>
      <c r="FC3" s="37"/>
      <c r="FD3" s="37"/>
      <c r="FE3" s="37"/>
      <c r="FF3" s="41"/>
      <c r="FG3" s="37"/>
      <c r="FH3" s="42"/>
      <c r="FI3" s="43"/>
      <c r="FJ3" s="37"/>
      <c r="FK3" s="37"/>
      <c r="FL3" s="37"/>
      <c r="FM3" s="37"/>
      <c r="FN3" s="37"/>
      <c r="FO3" s="37"/>
      <c r="FP3" s="37"/>
      <c r="FQ3" s="37"/>
      <c r="FR3" s="37"/>
      <c r="FS3" s="37"/>
      <c r="FT3" s="37"/>
      <c r="FU3" s="37"/>
      <c r="FV3" s="37"/>
      <c r="FW3" s="37"/>
      <c r="FX3" s="41"/>
      <c r="FY3" s="37"/>
      <c r="FZ3" s="42"/>
      <c r="GA3" s="43"/>
      <c r="GB3" s="37"/>
      <c r="GC3" s="37"/>
      <c r="GD3" s="37"/>
      <c r="GE3" s="37"/>
      <c r="GF3" s="37"/>
      <c r="GG3" s="37"/>
      <c r="GH3" s="37"/>
      <c r="GI3" s="37"/>
      <c r="GJ3" s="37"/>
      <c r="GK3" s="37"/>
      <c r="GL3" s="37"/>
      <c r="GM3" s="37"/>
      <c r="GN3" s="37"/>
      <c r="GO3" s="37"/>
      <c r="GP3" s="41"/>
      <c r="GQ3" s="37"/>
      <c r="GR3" s="42"/>
      <c r="GS3" s="43"/>
      <c r="GT3" s="37"/>
      <c r="GU3" s="37"/>
      <c r="GV3" s="37"/>
      <c r="GW3" s="37"/>
      <c r="GX3" s="37"/>
      <c r="GY3" s="37"/>
      <c r="GZ3" s="37"/>
      <c r="HA3" s="37"/>
      <c r="HB3" s="37"/>
      <c r="HC3" s="37"/>
      <c r="HD3" s="37"/>
      <c r="HE3" s="37"/>
      <c r="HF3" s="37"/>
      <c r="HG3" s="37"/>
      <c r="HH3" s="41"/>
      <c r="HI3" s="37"/>
      <c r="HJ3" s="42"/>
      <c r="HK3" s="43"/>
      <c r="HL3" s="37"/>
      <c r="HM3" s="37"/>
      <c r="HN3" s="37"/>
      <c r="HO3" s="37"/>
      <c r="HP3" s="37"/>
      <c r="HQ3" s="37"/>
      <c r="HR3" s="37"/>
      <c r="HS3" s="37"/>
      <c r="HT3" s="37"/>
      <c r="HU3" s="37"/>
      <c r="HV3" s="37"/>
      <c r="HW3" s="37"/>
      <c r="HX3" s="37"/>
      <c r="HY3" s="37"/>
      <c r="IA3" s="37"/>
      <c r="IB3" s="37"/>
      <c r="IC3" s="37"/>
      <c r="ID3" s="37"/>
      <c r="IE3" s="37"/>
      <c r="IF3" s="37"/>
      <c r="IG3" s="37"/>
      <c r="IH3" s="37"/>
      <c r="II3" s="37"/>
      <c r="IJ3" s="37"/>
      <c r="IK3" s="37"/>
      <c r="IL3" s="37"/>
      <c r="IM3" s="37"/>
      <c r="IN3" s="37"/>
      <c r="IO3" s="37"/>
      <c r="IP3" s="37"/>
      <c r="IQ3" s="37"/>
      <c r="IR3" s="37"/>
      <c r="IS3" s="37"/>
      <c r="IT3" s="37"/>
      <c r="IU3" s="37"/>
      <c r="IV3" s="37"/>
      <c r="IW3" s="37"/>
      <c r="IX3" s="37"/>
      <c r="IY3" s="37"/>
      <c r="IZ3" s="37"/>
      <c r="JA3" s="37"/>
      <c r="JB3" s="37"/>
      <c r="JC3" s="37"/>
      <c r="JD3" s="37"/>
      <c r="JE3" s="37"/>
      <c r="JF3" s="37"/>
      <c r="JG3" s="37"/>
      <c r="JH3" s="37"/>
      <c r="JI3" s="37"/>
      <c r="JJ3" s="37"/>
      <c r="JK3" s="37"/>
      <c r="JL3" s="37"/>
      <c r="JM3" s="37"/>
      <c r="JN3" s="37"/>
      <c r="JO3" s="37"/>
      <c r="JP3" s="37"/>
      <c r="JQ3" s="37"/>
      <c r="JR3" s="37"/>
      <c r="JS3" s="37"/>
      <c r="JT3" s="37"/>
      <c r="JU3" s="37"/>
      <c r="JV3" s="37"/>
      <c r="JW3" s="37"/>
      <c r="JX3" s="37"/>
      <c r="JY3" s="37"/>
      <c r="JZ3" s="37"/>
      <c r="KA3" s="37"/>
      <c r="KB3" s="37"/>
      <c r="KC3" s="37"/>
      <c r="KD3" s="37"/>
      <c r="KE3" s="37"/>
      <c r="KF3" s="37"/>
      <c r="KG3" s="37"/>
      <c r="KH3" s="37"/>
      <c r="KI3" s="37"/>
      <c r="KJ3" s="37"/>
    </row>
    <row r="4" spans="1:296" x14ac:dyDescent="0.3">
      <c r="A4" s="46">
        <v>220</v>
      </c>
      <c r="B4" s="46" t="s">
        <v>10</v>
      </c>
      <c r="C4" s="47"/>
      <c r="D4" s="47"/>
      <c r="E4" s="47"/>
      <c r="F4" s="47"/>
      <c r="G4" s="47"/>
      <c r="H4" s="47"/>
      <c r="I4" s="47"/>
      <c r="J4" s="47"/>
      <c r="K4" s="47"/>
      <c r="L4" s="47"/>
      <c r="M4" s="47"/>
      <c r="N4" s="47"/>
      <c r="O4" s="47"/>
      <c r="P4" s="47"/>
      <c r="Q4" s="47"/>
      <c r="R4" s="47"/>
      <c r="S4" s="47"/>
      <c r="T4" s="47"/>
      <c r="U4" s="47"/>
      <c r="V4" s="47"/>
      <c r="W4" s="47"/>
      <c r="X4" s="47"/>
      <c r="Z4" s="37"/>
      <c r="AA4" s="43">
        <v>220</v>
      </c>
      <c r="AB4" s="43" t="s">
        <v>10</v>
      </c>
      <c r="AC4" s="37"/>
      <c r="AD4" s="37"/>
      <c r="AE4" s="37"/>
      <c r="AF4" s="37"/>
      <c r="AG4" s="37"/>
      <c r="AH4" s="37"/>
      <c r="AI4" s="37"/>
      <c r="AJ4" s="37"/>
      <c r="AK4" s="37"/>
      <c r="AL4" s="37"/>
      <c r="AM4" s="37"/>
      <c r="AN4" s="37"/>
      <c r="AO4" s="37"/>
      <c r="AP4" s="37"/>
      <c r="AQ4" s="37"/>
      <c r="AR4" s="37"/>
      <c r="AS4" s="37"/>
      <c r="AT4" s="37"/>
      <c r="AU4" s="37"/>
      <c r="AV4" s="37"/>
      <c r="AW4" s="37"/>
      <c r="AX4" s="37"/>
      <c r="AY4" s="43">
        <v>220</v>
      </c>
      <c r="AZ4" s="43" t="s">
        <v>10</v>
      </c>
      <c r="BA4" s="37"/>
      <c r="BB4" s="37"/>
      <c r="BC4" s="37"/>
      <c r="BD4" s="37"/>
      <c r="BE4" s="37"/>
      <c r="BF4" s="37"/>
      <c r="BG4" s="37"/>
      <c r="BH4" s="37"/>
      <c r="BI4" s="37"/>
      <c r="BJ4" s="37"/>
      <c r="BK4" s="37"/>
      <c r="BL4" s="37"/>
      <c r="BM4" s="37"/>
      <c r="BN4" s="37"/>
      <c r="BO4" s="37"/>
      <c r="BP4" s="37"/>
      <c r="BQ4" s="37"/>
      <c r="BR4" s="37"/>
      <c r="BS4" s="37"/>
      <c r="BT4" s="37"/>
      <c r="BU4" s="37"/>
      <c r="BV4" s="43">
        <v>220</v>
      </c>
      <c r="BW4" s="43" t="s">
        <v>10</v>
      </c>
      <c r="BX4" s="37"/>
      <c r="BY4" s="37"/>
      <c r="BZ4" s="37"/>
      <c r="CA4" s="37"/>
      <c r="CB4" s="37"/>
      <c r="CC4" s="37"/>
      <c r="CD4" s="37"/>
      <c r="CE4" s="37"/>
      <c r="CF4" s="37"/>
      <c r="CG4" s="37"/>
      <c r="CH4" s="37"/>
      <c r="CI4" s="37"/>
      <c r="CJ4" s="37"/>
      <c r="CK4" s="37"/>
      <c r="CL4" s="37"/>
      <c r="CM4" s="37"/>
      <c r="CN4" s="43">
        <v>220</v>
      </c>
      <c r="CO4" s="43" t="s">
        <v>10</v>
      </c>
      <c r="CP4" s="37"/>
      <c r="CQ4" s="37"/>
      <c r="CR4" s="37"/>
      <c r="CS4" s="37"/>
      <c r="CT4" s="37"/>
      <c r="CU4" s="37"/>
      <c r="CV4" s="37"/>
      <c r="CW4" s="37"/>
      <c r="CX4" s="37"/>
      <c r="CY4" s="37"/>
      <c r="CZ4" s="37"/>
      <c r="DA4" s="37"/>
      <c r="DB4" s="37"/>
      <c r="DC4" s="37"/>
      <c r="DD4" s="37"/>
      <c r="DE4" s="37"/>
      <c r="DF4" s="43">
        <v>220</v>
      </c>
      <c r="DG4" s="43" t="s">
        <v>10</v>
      </c>
      <c r="DH4" s="37"/>
      <c r="DI4" s="37"/>
      <c r="DJ4" s="37"/>
      <c r="DK4" s="37"/>
      <c r="DL4" s="37"/>
      <c r="DM4" s="37"/>
      <c r="DN4" s="37"/>
      <c r="DO4" s="37"/>
      <c r="DP4" s="37"/>
      <c r="DQ4" s="37"/>
      <c r="DR4" s="37"/>
      <c r="DS4" s="37"/>
      <c r="DT4" s="37"/>
      <c r="DU4" s="37"/>
      <c r="DV4" s="41"/>
      <c r="DW4" s="37"/>
      <c r="DX4" s="43">
        <v>220</v>
      </c>
      <c r="DY4" s="43" t="s">
        <v>10</v>
      </c>
      <c r="DZ4" s="37"/>
      <c r="EA4" s="37"/>
      <c r="EB4" s="37"/>
      <c r="EC4" s="37"/>
      <c r="ED4" s="37"/>
      <c r="EE4" s="37"/>
      <c r="EF4" s="37"/>
      <c r="EG4" s="37"/>
      <c r="EH4" s="37"/>
      <c r="EI4" s="37"/>
      <c r="EJ4" s="37"/>
      <c r="EK4" s="37"/>
      <c r="EL4" s="37"/>
      <c r="EM4" s="37"/>
      <c r="EN4" s="41"/>
      <c r="EO4" s="37"/>
      <c r="EP4" s="43">
        <v>220</v>
      </c>
      <c r="EQ4" s="43" t="s">
        <v>10</v>
      </c>
      <c r="ER4" s="37"/>
      <c r="ES4" s="37"/>
      <c r="ET4" s="37"/>
      <c r="EU4" s="37"/>
      <c r="EV4" s="37"/>
      <c r="EW4" s="37"/>
      <c r="EX4" s="37"/>
      <c r="EY4" s="37"/>
      <c r="EZ4" s="37"/>
      <c r="FA4" s="37"/>
      <c r="FB4" s="37"/>
      <c r="FC4" s="37"/>
      <c r="FD4" s="37"/>
      <c r="FE4" s="37"/>
      <c r="FF4" s="41"/>
      <c r="FG4" s="37"/>
      <c r="FH4" s="43">
        <v>220</v>
      </c>
      <c r="FI4" s="43" t="s">
        <v>10</v>
      </c>
      <c r="FJ4" s="37"/>
      <c r="FK4" s="37"/>
      <c r="FL4" s="37"/>
      <c r="FM4" s="37"/>
      <c r="FN4" s="37"/>
      <c r="FO4" s="37"/>
      <c r="FP4" s="37"/>
      <c r="FQ4" s="37"/>
      <c r="FR4" s="37"/>
      <c r="FS4" s="37"/>
      <c r="FT4" s="37"/>
      <c r="FU4" s="37"/>
      <c r="FV4" s="37"/>
      <c r="FW4" s="37"/>
      <c r="FX4" s="41"/>
      <c r="FY4" s="37"/>
      <c r="FZ4" s="43">
        <v>220</v>
      </c>
      <c r="GA4" s="43" t="s">
        <v>10</v>
      </c>
      <c r="GB4" s="37"/>
      <c r="GC4" s="37"/>
      <c r="GD4" s="37"/>
      <c r="GE4" s="37"/>
      <c r="GF4" s="37"/>
      <c r="GG4" s="37"/>
      <c r="GH4" s="37"/>
      <c r="GI4" s="37"/>
      <c r="GJ4" s="37"/>
      <c r="GK4" s="37"/>
      <c r="GL4" s="37"/>
      <c r="GM4" s="37"/>
      <c r="GN4" s="37"/>
      <c r="GO4" s="37"/>
      <c r="GP4" s="41"/>
      <c r="GQ4" s="37"/>
      <c r="GR4" s="43">
        <v>220</v>
      </c>
      <c r="GS4" s="43" t="s">
        <v>10</v>
      </c>
      <c r="GT4" s="37"/>
      <c r="GU4" s="37"/>
      <c r="GV4" s="37"/>
      <c r="GW4" s="37"/>
      <c r="GX4" s="37"/>
      <c r="GY4" s="37"/>
      <c r="GZ4" s="37"/>
      <c r="HA4" s="37"/>
      <c r="HB4" s="37"/>
      <c r="HC4" s="37"/>
      <c r="HD4" s="37"/>
      <c r="HE4" s="37"/>
      <c r="HF4" s="37"/>
      <c r="HG4" s="37"/>
      <c r="HH4" s="41"/>
      <c r="HI4" s="37"/>
      <c r="HJ4" s="43">
        <v>220</v>
      </c>
      <c r="HK4" s="43" t="s">
        <v>10</v>
      </c>
      <c r="HL4" s="37"/>
      <c r="HM4" s="37"/>
      <c r="HN4" s="37"/>
      <c r="HO4" s="37"/>
      <c r="HP4" s="37"/>
      <c r="HQ4" s="37"/>
      <c r="HR4" s="37"/>
      <c r="HS4" s="37"/>
      <c r="HT4" s="37"/>
      <c r="HU4" s="37"/>
      <c r="HV4" s="37"/>
      <c r="HW4" s="37"/>
      <c r="HX4" s="37"/>
      <c r="HY4" s="37"/>
      <c r="IA4" s="37"/>
      <c r="IB4" s="37"/>
      <c r="IC4" s="37"/>
      <c r="ID4" s="37"/>
      <c r="IE4" s="37"/>
      <c r="IF4" s="37"/>
      <c r="IG4" s="37"/>
      <c r="IH4" s="37"/>
      <c r="II4" s="37"/>
      <c r="IJ4" s="37"/>
      <c r="IK4" s="37"/>
      <c r="IL4" s="37"/>
      <c r="IM4" s="37"/>
      <c r="IN4" s="37"/>
      <c r="IO4" s="37"/>
      <c r="IP4" s="37"/>
      <c r="IQ4" s="37"/>
      <c r="IR4" s="37"/>
      <c r="IS4" s="37"/>
      <c r="IT4" s="37"/>
      <c r="IU4" s="37"/>
      <c r="IV4" s="37"/>
      <c r="IW4" s="37"/>
      <c r="IX4" s="37"/>
      <c r="IY4" s="37"/>
      <c r="IZ4" s="37"/>
      <c r="JA4" s="37"/>
      <c r="JB4" s="37"/>
      <c r="JC4" s="37"/>
      <c r="JD4" s="37"/>
      <c r="JE4" s="37"/>
      <c r="JF4" s="37"/>
      <c r="JG4" s="37"/>
      <c r="JH4" s="37"/>
      <c r="JI4" s="37"/>
      <c r="JJ4" s="37"/>
      <c r="JK4" s="37"/>
      <c r="JL4" s="37"/>
      <c r="JM4" s="37"/>
      <c r="JN4" s="37"/>
      <c r="JO4" s="37"/>
      <c r="JP4" s="37"/>
      <c r="JQ4" s="37"/>
      <c r="JR4" s="37"/>
      <c r="JS4" s="37"/>
      <c r="JT4" s="37"/>
      <c r="JU4" s="37"/>
      <c r="JV4" s="37"/>
      <c r="JW4" s="37"/>
      <c r="JX4" s="37"/>
      <c r="JY4" s="37"/>
      <c r="JZ4" s="37"/>
      <c r="KA4" s="37"/>
      <c r="KB4" s="37"/>
      <c r="KC4" s="37"/>
      <c r="KD4" s="37"/>
      <c r="KE4" s="37"/>
      <c r="KF4" s="37"/>
      <c r="KG4" s="37"/>
      <c r="KH4" s="37"/>
      <c r="KI4" s="37"/>
      <c r="KJ4" s="37"/>
    </row>
    <row r="5" spans="1:296" ht="77.400000000000006" x14ac:dyDescent="0.3">
      <c r="A5" s="456"/>
      <c r="B5" s="457" t="s">
        <v>11</v>
      </c>
      <c r="C5" s="48"/>
      <c r="D5" s="458" t="s">
        <v>12</v>
      </c>
      <c r="E5" s="459" t="s">
        <v>13</v>
      </c>
      <c r="F5" s="459" t="s">
        <v>14</v>
      </c>
      <c r="G5" s="459" t="s">
        <v>15</v>
      </c>
      <c r="H5" s="459" t="s">
        <v>16</v>
      </c>
      <c r="I5" s="459" t="s">
        <v>17</v>
      </c>
      <c r="J5" s="459" t="s">
        <v>7</v>
      </c>
      <c r="K5" s="459" t="s">
        <v>18</v>
      </c>
      <c r="L5" s="459" t="s">
        <v>18</v>
      </c>
      <c r="M5" s="459" t="s">
        <v>18</v>
      </c>
      <c r="N5" s="459" t="s">
        <v>18</v>
      </c>
      <c r="O5" s="459" t="s">
        <v>18</v>
      </c>
      <c r="P5" s="459" t="s">
        <v>19</v>
      </c>
      <c r="Q5" s="459" t="s">
        <v>19</v>
      </c>
      <c r="R5" s="459" t="s">
        <v>19</v>
      </c>
      <c r="S5" s="459" t="s">
        <v>19</v>
      </c>
      <c r="T5" s="459" t="s">
        <v>19</v>
      </c>
      <c r="U5" s="459" t="s">
        <v>20</v>
      </c>
      <c r="V5" s="460" t="s">
        <v>21</v>
      </c>
      <c r="W5" s="460" t="s">
        <v>22</v>
      </c>
      <c r="X5" s="474" t="s">
        <v>23</v>
      </c>
      <c r="Y5" s="479"/>
      <c r="Z5" s="457" t="s">
        <v>11</v>
      </c>
      <c r="AA5" s="48"/>
      <c r="AB5" s="458" t="s">
        <v>24</v>
      </c>
      <c r="AC5" s="459" t="s">
        <v>13</v>
      </c>
      <c r="AD5" s="459" t="s">
        <v>14</v>
      </c>
      <c r="AE5" s="459" t="s">
        <v>15</v>
      </c>
      <c r="AF5" s="459" t="s">
        <v>16</v>
      </c>
      <c r="AG5" s="459" t="s">
        <v>17</v>
      </c>
      <c r="AH5" s="459" t="s">
        <v>7</v>
      </c>
      <c r="AI5" s="459" t="s">
        <v>18</v>
      </c>
      <c r="AJ5" s="459" t="s">
        <v>18</v>
      </c>
      <c r="AK5" s="459" t="s">
        <v>18</v>
      </c>
      <c r="AL5" s="459" t="s">
        <v>18</v>
      </c>
      <c r="AM5" s="459" t="s">
        <v>18</v>
      </c>
      <c r="AN5" s="459" t="s">
        <v>19</v>
      </c>
      <c r="AO5" s="459" t="s">
        <v>19</v>
      </c>
      <c r="AP5" s="459" t="s">
        <v>19</v>
      </c>
      <c r="AQ5" s="459" t="s">
        <v>19</v>
      </c>
      <c r="AR5" s="459" t="s">
        <v>19</v>
      </c>
      <c r="AS5" s="459" t="s">
        <v>20</v>
      </c>
      <c r="AT5" s="460" t="s">
        <v>21</v>
      </c>
      <c r="AU5" s="460" t="s">
        <v>22</v>
      </c>
      <c r="AV5" s="210" t="s">
        <v>23</v>
      </c>
      <c r="AW5" s="473"/>
      <c r="AX5" s="457" t="s">
        <v>11</v>
      </c>
      <c r="AY5" s="48"/>
      <c r="AZ5" s="458" t="s">
        <v>25</v>
      </c>
      <c r="BA5" s="459" t="s">
        <v>13</v>
      </c>
      <c r="BB5" s="459" t="s">
        <v>14</v>
      </c>
      <c r="BC5" s="459" t="s">
        <v>15</v>
      </c>
      <c r="BD5" s="459" t="s">
        <v>16</v>
      </c>
      <c r="BE5" s="459" t="s">
        <v>17</v>
      </c>
      <c r="BF5" s="459" t="s">
        <v>7</v>
      </c>
      <c r="BG5" s="459" t="s">
        <v>18</v>
      </c>
      <c r="BH5" s="459" t="s">
        <v>18</v>
      </c>
      <c r="BI5" s="459" t="s">
        <v>18</v>
      </c>
      <c r="BJ5" s="459" t="s">
        <v>18</v>
      </c>
      <c r="BK5" s="459" t="s">
        <v>18</v>
      </c>
      <c r="BL5" s="459" t="s">
        <v>19</v>
      </c>
      <c r="BM5" s="459" t="s">
        <v>19</v>
      </c>
      <c r="BN5" s="459" t="s">
        <v>19</v>
      </c>
      <c r="BO5" s="459" t="s">
        <v>19</v>
      </c>
      <c r="BP5" s="459" t="s">
        <v>19</v>
      </c>
      <c r="BQ5" s="459" t="s">
        <v>20</v>
      </c>
      <c r="BR5" s="460" t="s">
        <v>21</v>
      </c>
      <c r="BS5" s="460" t="s">
        <v>22</v>
      </c>
      <c r="BT5" s="210" t="s">
        <v>23</v>
      </c>
      <c r="BU5" s="473"/>
      <c r="BV5" s="457" t="s">
        <v>11</v>
      </c>
      <c r="BW5" s="48"/>
      <c r="BX5" s="458" t="s">
        <v>26</v>
      </c>
      <c r="BY5" s="459" t="s">
        <v>13</v>
      </c>
      <c r="BZ5" s="459" t="s">
        <v>14</v>
      </c>
      <c r="CA5" s="459" t="s">
        <v>15</v>
      </c>
      <c r="CB5" s="459" t="s">
        <v>16</v>
      </c>
      <c r="CC5" s="459" t="s">
        <v>17</v>
      </c>
      <c r="CD5" s="459" t="s">
        <v>7</v>
      </c>
      <c r="CE5" s="459" t="s">
        <v>18</v>
      </c>
      <c r="CF5" s="459" t="s">
        <v>18</v>
      </c>
      <c r="CG5" s="459" t="s">
        <v>18</v>
      </c>
      <c r="CH5" s="459" t="s">
        <v>18</v>
      </c>
      <c r="CI5" s="459" t="s">
        <v>18</v>
      </c>
      <c r="CJ5" s="459" t="s">
        <v>19</v>
      </c>
      <c r="CK5" s="459" t="s">
        <v>19</v>
      </c>
      <c r="CL5" s="459" t="s">
        <v>19</v>
      </c>
      <c r="CM5" s="459" t="s">
        <v>19</v>
      </c>
      <c r="CN5" s="459" t="s">
        <v>19</v>
      </c>
      <c r="CO5" s="459" t="s">
        <v>20</v>
      </c>
      <c r="CP5" s="460" t="s">
        <v>21</v>
      </c>
      <c r="CQ5" s="460" t="s">
        <v>22</v>
      </c>
      <c r="CR5" s="210" t="s">
        <v>23</v>
      </c>
      <c r="CS5" s="473"/>
      <c r="CT5" s="457" t="s">
        <v>11</v>
      </c>
      <c r="CU5" s="48"/>
      <c r="CV5" s="458" t="s">
        <v>27</v>
      </c>
      <c r="CW5" s="459" t="s">
        <v>13</v>
      </c>
      <c r="CX5" s="459" t="s">
        <v>14</v>
      </c>
      <c r="CY5" s="459" t="s">
        <v>15</v>
      </c>
      <c r="CZ5" s="459" t="s">
        <v>16</v>
      </c>
      <c r="DA5" s="459" t="s">
        <v>17</v>
      </c>
      <c r="DB5" s="459" t="s">
        <v>7</v>
      </c>
      <c r="DC5" s="459" t="s">
        <v>18</v>
      </c>
      <c r="DD5" s="459" t="s">
        <v>18</v>
      </c>
      <c r="DE5" s="459" t="s">
        <v>18</v>
      </c>
      <c r="DF5" s="459" t="s">
        <v>18</v>
      </c>
      <c r="DG5" s="459" t="s">
        <v>18</v>
      </c>
      <c r="DH5" s="459" t="s">
        <v>19</v>
      </c>
      <c r="DI5" s="459" t="s">
        <v>19</v>
      </c>
      <c r="DJ5" s="459" t="s">
        <v>19</v>
      </c>
      <c r="DK5" s="459" t="s">
        <v>19</v>
      </c>
      <c r="DL5" s="459" t="s">
        <v>19</v>
      </c>
      <c r="DM5" s="459" t="s">
        <v>20</v>
      </c>
      <c r="DN5" s="460" t="s">
        <v>21</v>
      </c>
      <c r="DO5" s="460" t="s">
        <v>22</v>
      </c>
      <c r="DP5" s="210" t="s">
        <v>23</v>
      </c>
      <c r="DQ5" s="473"/>
      <c r="DR5" s="457" t="s">
        <v>11</v>
      </c>
      <c r="DS5" s="48"/>
      <c r="DT5" s="458" t="s">
        <v>210</v>
      </c>
      <c r="DU5" s="459" t="s">
        <v>13</v>
      </c>
      <c r="DV5" s="459" t="s">
        <v>14</v>
      </c>
      <c r="DW5" s="459" t="s">
        <v>15</v>
      </c>
      <c r="DX5" s="459" t="s">
        <v>16</v>
      </c>
      <c r="DY5" s="459" t="s">
        <v>17</v>
      </c>
      <c r="DZ5" s="459" t="s">
        <v>7</v>
      </c>
      <c r="EA5" s="459" t="s">
        <v>18</v>
      </c>
      <c r="EB5" s="459" t="s">
        <v>18</v>
      </c>
      <c r="EC5" s="459" t="s">
        <v>18</v>
      </c>
      <c r="ED5" s="459" t="s">
        <v>18</v>
      </c>
      <c r="EE5" s="459" t="s">
        <v>18</v>
      </c>
      <c r="EF5" s="459" t="s">
        <v>19</v>
      </c>
      <c r="EG5" s="459" t="s">
        <v>19</v>
      </c>
      <c r="EH5" s="459" t="s">
        <v>19</v>
      </c>
      <c r="EI5" s="459" t="s">
        <v>19</v>
      </c>
      <c r="EJ5" s="459" t="s">
        <v>19</v>
      </c>
      <c r="EK5" s="459" t="s">
        <v>20</v>
      </c>
      <c r="EL5" s="460" t="s">
        <v>21</v>
      </c>
      <c r="EM5" s="460" t="s">
        <v>22</v>
      </c>
      <c r="EN5" s="210" t="s">
        <v>23</v>
      </c>
      <c r="EO5" s="473"/>
      <c r="EP5" s="457" t="s">
        <v>11</v>
      </c>
      <c r="EQ5" s="48"/>
      <c r="ER5" s="458" t="s">
        <v>60</v>
      </c>
      <c r="ES5" s="459" t="s">
        <v>13</v>
      </c>
      <c r="ET5" s="459" t="s">
        <v>14</v>
      </c>
      <c r="EU5" s="459" t="s">
        <v>15</v>
      </c>
      <c r="EV5" s="459" t="s">
        <v>16</v>
      </c>
      <c r="EW5" s="459" t="s">
        <v>17</v>
      </c>
      <c r="EX5" s="459" t="s">
        <v>7</v>
      </c>
      <c r="EY5" s="459" t="s">
        <v>18</v>
      </c>
      <c r="EZ5" s="459" t="s">
        <v>18</v>
      </c>
      <c r="FA5" s="459" t="s">
        <v>18</v>
      </c>
      <c r="FB5" s="459" t="s">
        <v>18</v>
      </c>
      <c r="FC5" s="459" t="s">
        <v>18</v>
      </c>
      <c r="FD5" s="459" t="s">
        <v>19</v>
      </c>
      <c r="FE5" s="459" t="s">
        <v>19</v>
      </c>
      <c r="FF5" s="459" t="s">
        <v>19</v>
      </c>
      <c r="FG5" s="459" t="s">
        <v>19</v>
      </c>
      <c r="FH5" s="459" t="s">
        <v>19</v>
      </c>
      <c r="FI5" s="459" t="s">
        <v>20</v>
      </c>
      <c r="FJ5" s="460" t="s">
        <v>21</v>
      </c>
      <c r="FK5" s="460" t="s">
        <v>22</v>
      </c>
      <c r="FL5" s="210" t="s">
        <v>23</v>
      </c>
      <c r="FM5" s="473"/>
      <c r="FN5" s="457" t="s">
        <v>11</v>
      </c>
      <c r="FO5" s="48"/>
      <c r="FP5" s="458" t="s">
        <v>29</v>
      </c>
      <c r="FQ5" s="459" t="s">
        <v>13</v>
      </c>
      <c r="FR5" s="459" t="s">
        <v>14</v>
      </c>
      <c r="FS5" s="459" t="s">
        <v>15</v>
      </c>
      <c r="FT5" s="459" t="s">
        <v>16</v>
      </c>
      <c r="FU5" s="459" t="s">
        <v>17</v>
      </c>
      <c r="FV5" s="459" t="s">
        <v>7</v>
      </c>
      <c r="FW5" s="459" t="s">
        <v>18</v>
      </c>
      <c r="FX5" s="459" t="s">
        <v>18</v>
      </c>
      <c r="FY5" s="459" t="s">
        <v>18</v>
      </c>
      <c r="FZ5" s="459" t="s">
        <v>18</v>
      </c>
      <c r="GA5" s="459" t="s">
        <v>18</v>
      </c>
      <c r="GB5" s="459" t="s">
        <v>19</v>
      </c>
      <c r="GC5" s="459" t="s">
        <v>19</v>
      </c>
      <c r="GD5" s="459" t="s">
        <v>19</v>
      </c>
      <c r="GE5" s="459" t="s">
        <v>19</v>
      </c>
      <c r="GF5" s="459" t="s">
        <v>19</v>
      </c>
      <c r="GG5" s="459" t="s">
        <v>20</v>
      </c>
      <c r="GH5" s="460" t="s">
        <v>21</v>
      </c>
      <c r="GI5" s="460" t="s">
        <v>22</v>
      </c>
      <c r="GJ5" s="210" t="s">
        <v>23</v>
      </c>
      <c r="GK5" s="473"/>
      <c r="GL5" s="457" t="s">
        <v>11</v>
      </c>
      <c r="GM5" s="48"/>
      <c r="GN5" s="458" t="s">
        <v>30</v>
      </c>
      <c r="GO5" s="459" t="s">
        <v>13</v>
      </c>
      <c r="GP5" s="459" t="s">
        <v>14</v>
      </c>
      <c r="GQ5" s="459" t="s">
        <v>15</v>
      </c>
      <c r="GR5" s="459" t="s">
        <v>16</v>
      </c>
      <c r="GS5" s="459" t="s">
        <v>17</v>
      </c>
      <c r="GT5" s="459" t="s">
        <v>7</v>
      </c>
      <c r="GU5" s="459" t="s">
        <v>18</v>
      </c>
      <c r="GV5" s="459" t="s">
        <v>18</v>
      </c>
      <c r="GW5" s="459" t="s">
        <v>18</v>
      </c>
      <c r="GX5" s="459" t="s">
        <v>18</v>
      </c>
      <c r="GY5" s="459" t="s">
        <v>18</v>
      </c>
      <c r="GZ5" s="459" t="s">
        <v>19</v>
      </c>
      <c r="HA5" s="459" t="s">
        <v>19</v>
      </c>
      <c r="HB5" s="459" t="s">
        <v>19</v>
      </c>
      <c r="HC5" s="459" t="s">
        <v>19</v>
      </c>
      <c r="HD5" s="459" t="s">
        <v>19</v>
      </c>
      <c r="HE5" s="459" t="s">
        <v>20</v>
      </c>
      <c r="HF5" s="460" t="s">
        <v>21</v>
      </c>
      <c r="HG5" s="460" t="s">
        <v>22</v>
      </c>
      <c r="HH5" s="210" t="s">
        <v>23</v>
      </c>
      <c r="HI5" s="473"/>
      <c r="HJ5" s="457" t="s">
        <v>11</v>
      </c>
      <c r="HK5" s="48"/>
      <c r="HL5" s="458" t="s">
        <v>31</v>
      </c>
      <c r="HM5" s="459" t="s">
        <v>13</v>
      </c>
      <c r="HN5" s="459" t="s">
        <v>14</v>
      </c>
      <c r="HO5" s="459" t="s">
        <v>15</v>
      </c>
      <c r="HP5" s="459" t="s">
        <v>16</v>
      </c>
      <c r="HQ5" s="459" t="s">
        <v>17</v>
      </c>
      <c r="HR5" s="459" t="s">
        <v>7</v>
      </c>
      <c r="HS5" s="459" t="s">
        <v>18</v>
      </c>
      <c r="HT5" s="459" t="s">
        <v>18</v>
      </c>
      <c r="HU5" s="459" t="s">
        <v>18</v>
      </c>
      <c r="HV5" s="459" t="s">
        <v>18</v>
      </c>
      <c r="HW5" s="459" t="s">
        <v>18</v>
      </c>
      <c r="HX5" s="459" t="s">
        <v>19</v>
      </c>
      <c r="HY5" s="459" t="s">
        <v>19</v>
      </c>
      <c r="HZ5" s="459" t="s">
        <v>19</v>
      </c>
      <c r="IA5" s="459" t="s">
        <v>19</v>
      </c>
      <c r="IB5" s="459" t="s">
        <v>19</v>
      </c>
      <c r="IC5" s="459" t="s">
        <v>20</v>
      </c>
      <c r="ID5" s="460" t="s">
        <v>21</v>
      </c>
      <c r="IE5" s="460" t="s">
        <v>22</v>
      </c>
      <c r="IF5" s="210" t="s">
        <v>23</v>
      </c>
      <c r="IG5" s="473"/>
      <c r="IH5" s="457" t="s">
        <v>11</v>
      </c>
      <c r="II5" s="48"/>
      <c r="IJ5" s="458" t="s">
        <v>32</v>
      </c>
      <c r="IK5" s="459" t="s">
        <v>13</v>
      </c>
      <c r="IL5" s="459" t="s">
        <v>14</v>
      </c>
      <c r="IM5" s="459" t="s">
        <v>15</v>
      </c>
      <c r="IN5" s="459" t="s">
        <v>16</v>
      </c>
      <c r="IO5" s="459" t="s">
        <v>17</v>
      </c>
      <c r="IP5" s="459" t="s">
        <v>7</v>
      </c>
      <c r="IQ5" s="459" t="s">
        <v>18</v>
      </c>
      <c r="IR5" s="459" t="s">
        <v>18</v>
      </c>
      <c r="IS5" s="459" t="s">
        <v>18</v>
      </c>
      <c r="IT5" s="459" t="s">
        <v>18</v>
      </c>
      <c r="IU5" s="459" t="s">
        <v>18</v>
      </c>
      <c r="IV5" s="459" t="s">
        <v>19</v>
      </c>
      <c r="IW5" s="459" t="s">
        <v>19</v>
      </c>
      <c r="IX5" s="459" t="s">
        <v>19</v>
      </c>
      <c r="IY5" s="459" t="s">
        <v>19</v>
      </c>
      <c r="IZ5" s="459" t="s">
        <v>19</v>
      </c>
      <c r="JA5" s="459" t="s">
        <v>20</v>
      </c>
      <c r="JB5" s="460" t="s">
        <v>21</v>
      </c>
      <c r="JC5" s="460" t="s">
        <v>22</v>
      </c>
      <c r="JD5" s="474" t="s">
        <v>23</v>
      </c>
      <c r="JE5" s="473"/>
      <c r="JF5" s="457" t="s">
        <v>11</v>
      </c>
      <c r="JG5" s="48"/>
      <c r="JH5" s="458" t="s">
        <v>33</v>
      </c>
      <c r="JI5" s="459" t="s">
        <v>13</v>
      </c>
      <c r="JJ5" s="459" t="s">
        <v>14</v>
      </c>
      <c r="JK5" s="459" t="s">
        <v>15</v>
      </c>
      <c r="JL5" s="459" t="s">
        <v>16</v>
      </c>
      <c r="JM5" s="459" t="s">
        <v>17</v>
      </c>
      <c r="JN5" s="459" t="s">
        <v>7</v>
      </c>
      <c r="JO5" s="459" t="s">
        <v>18</v>
      </c>
      <c r="JP5" s="459" t="s">
        <v>18</v>
      </c>
      <c r="JQ5" s="459" t="s">
        <v>18</v>
      </c>
      <c r="JR5" s="459" t="s">
        <v>18</v>
      </c>
      <c r="JS5" s="459" t="s">
        <v>18</v>
      </c>
      <c r="JT5" s="459" t="s">
        <v>19</v>
      </c>
      <c r="JU5" s="459" t="s">
        <v>19</v>
      </c>
      <c r="JV5" s="459" t="s">
        <v>19</v>
      </c>
      <c r="JW5" s="459" t="s">
        <v>19</v>
      </c>
      <c r="JX5" s="459" t="s">
        <v>19</v>
      </c>
      <c r="JY5" s="459" t="s">
        <v>20</v>
      </c>
      <c r="JZ5" s="460" t="s">
        <v>21</v>
      </c>
      <c r="KA5" s="460" t="s">
        <v>22</v>
      </c>
      <c r="KB5" s="474" t="s">
        <v>23</v>
      </c>
      <c r="KC5" s="37"/>
      <c r="KD5" s="37"/>
      <c r="KE5" s="37"/>
      <c r="KF5" s="37"/>
      <c r="KG5" s="37"/>
      <c r="KH5" s="37"/>
      <c r="KI5" s="37"/>
      <c r="KJ5" s="37"/>
    </row>
    <row r="6" spans="1:296" ht="28.95" customHeight="1" x14ac:dyDescent="0.3">
      <c r="A6" s="39"/>
      <c r="B6" s="50" t="s">
        <v>34</v>
      </c>
      <c r="C6" s="51" t="s">
        <v>35</v>
      </c>
      <c r="D6" s="51" t="s">
        <v>36</v>
      </c>
      <c r="E6" s="52">
        <v>0.1</v>
      </c>
      <c r="F6" s="52">
        <v>0.08</v>
      </c>
      <c r="G6" s="53" t="s">
        <v>37</v>
      </c>
      <c r="H6" s="51">
        <v>3</v>
      </c>
      <c r="I6" s="54">
        <v>12</v>
      </c>
      <c r="J6" s="55" t="s">
        <v>38</v>
      </c>
      <c r="K6" s="55">
        <v>0.5</v>
      </c>
      <c r="L6" s="55">
        <v>0.6</v>
      </c>
      <c r="M6" s="55">
        <v>0.8</v>
      </c>
      <c r="N6" s="55">
        <v>1</v>
      </c>
      <c r="O6" s="55">
        <v>1.5</v>
      </c>
      <c r="P6" s="56">
        <v>1.5</v>
      </c>
      <c r="Q6" s="56">
        <v>1.6</v>
      </c>
      <c r="R6" s="56">
        <v>1.8</v>
      </c>
      <c r="S6" s="57">
        <v>2</v>
      </c>
      <c r="T6" s="57">
        <v>2.5</v>
      </c>
      <c r="U6" s="55" t="s">
        <v>38</v>
      </c>
      <c r="V6" s="55" t="s">
        <v>38</v>
      </c>
      <c r="W6" s="55">
        <v>0.2</v>
      </c>
      <c r="X6" s="211" t="s">
        <v>38</v>
      </c>
      <c r="Y6" s="473"/>
      <c r="Z6" s="50" t="s">
        <v>34</v>
      </c>
      <c r="AA6" s="51" t="s">
        <v>35</v>
      </c>
      <c r="AB6" s="51" t="s">
        <v>36</v>
      </c>
      <c r="AC6" s="52">
        <v>0.1</v>
      </c>
      <c r="AD6" s="52">
        <v>0.08</v>
      </c>
      <c r="AE6" s="53" t="s">
        <v>37</v>
      </c>
      <c r="AF6" s="51">
        <v>3</v>
      </c>
      <c r="AG6" s="54">
        <v>12</v>
      </c>
      <c r="AH6" s="55" t="s">
        <v>38</v>
      </c>
      <c r="AI6" s="55">
        <v>0.5</v>
      </c>
      <c r="AJ6" s="55">
        <v>0.6</v>
      </c>
      <c r="AK6" s="55">
        <v>0.8</v>
      </c>
      <c r="AL6" s="55">
        <v>1</v>
      </c>
      <c r="AM6" s="55">
        <v>1.5</v>
      </c>
      <c r="AN6" s="56">
        <v>1.5</v>
      </c>
      <c r="AO6" s="56">
        <v>1.6</v>
      </c>
      <c r="AP6" s="56">
        <v>1.8</v>
      </c>
      <c r="AQ6" s="57">
        <v>2</v>
      </c>
      <c r="AR6" s="57">
        <v>2.5</v>
      </c>
      <c r="AS6" s="55" t="s">
        <v>38</v>
      </c>
      <c r="AT6" s="55" t="s">
        <v>38</v>
      </c>
      <c r="AU6" s="55">
        <v>0.2</v>
      </c>
      <c r="AV6" s="211" t="s">
        <v>38</v>
      </c>
      <c r="AW6" s="39"/>
      <c r="AX6" s="50" t="s">
        <v>34</v>
      </c>
      <c r="AY6" s="51" t="s">
        <v>35</v>
      </c>
      <c r="AZ6" s="51" t="s">
        <v>36</v>
      </c>
      <c r="BA6" s="52">
        <v>0.1</v>
      </c>
      <c r="BB6" s="52">
        <v>0.08</v>
      </c>
      <c r="BC6" s="53" t="s">
        <v>37</v>
      </c>
      <c r="BD6" s="51">
        <v>3</v>
      </c>
      <c r="BE6" s="54">
        <v>12</v>
      </c>
      <c r="BF6" s="55" t="s">
        <v>38</v>
      </c>
      <c r="BG6" s="55">
        <v>0.5</v>
      </c>
      <c r="BH6" s="55">
        <v>0.6</v>
      </c>
      <c r="BI6" s="55">
        <v>0.8</v>
      </c>
      <c r="BJ6" s="55">
        <v>1</v>
      </c>
      <c r="BK6" s="55">
        <v>1.5</v>
      </c>
      <c r="BL6" s="56">
        <v>1.5</v>
      </c>
      <c r="BM6" s="56">
        <v>1.6</v>
      </c>
      <c r="BN6" s="56">
        <v>1.8</v>
      </c>
      <c r="BO6" s="57">
        <v>2</v>
      </c>
      <c r="BP6" s="57">
        <v>2.5</v>
      </c>
      <c r="BQ6" s="55" t="s">
        <v>38</v>
      </c>
      <c r="BR6" s="55" t="s">
        <v>38</v>
      </c>
      <c r="BS6" s="55">
        <v>0.2</v>
      </c>
      <c r="BT6" s="211" t="s">
        <v>38</v>
      </c>
      <c r="BV6" s="50" t="s">
        <v>34</v>
      </c>
      <c r="BW6" s="51" t="s">
        <v>35</v>
      </c>
      <c r="BX6" s="51" t="s">
        <v>36</v>
      </c>
      <c r="BY6" s="52">
        <v>0.1</v>
      </c>
      <c r="BZ6" s="52">
        <v>0.08</v>
      </c>
      <c r="CA6" s="53" t="s">
        <v>37</v>
      </c>
      <c r="CB6" s="51">
        <v>3</v>
      </c>
      <c r="CC6" s="54">
        <v>12</v>
      </c>
      <c r="CD6" s="55" t="s">
        <v>38</v>
      </c>
      <c r="CE6" s="55">
        <v>0.5</v>
      </c>
      <c r="CF6" s="55">
        <v>0.6</v>
      </c>
      <c r="CG6" s="55">
        <v>0.8</v>
      </c>
      <c r="CH6" s="55">
        <v>1</v>
      </c>
      <c r="CI6" s="55">
        <v>1.5</v>
      </c>
      <c r="CJ6" s="56">
        <v>1.5</v>
      </c>
      <c r="CK6" s="56">
        <v>1.6</v>
      </c>
      <c r="CL6" s="56">
        <v>1.8</v>
      </c>
      <c r="CM6" s="57">
        <v>2</v>
      </c>
      <c r="CN6" s="57">
        <v>2.5</v>
      </c>
      <c r="CO6" s="55" t="s">
        <v>38</v>
      </c>
      <c r="CP6" s="55" t="s">
        <v>38</v>
      </c>
      <c r="CQ6" s="55">
        <v>0.2</v>
      </c>
      <c r="CR6" s="211" t="s">
        <v>38</v>
      </c>
      <c r="CT6" s="50" t="s">
        <v>34</v>
      </c>
      <c r="CU6" s="51" t="s">
        <v>35</v>
      </c>
      <c r="CV6" s="51" t="s">
        <v>36</v>
      </c>
      <c r="CW6" s="52">
        <v>0.1</v>
      </c>
      <c r="CX6" s="52">
        <v>0.08</v>
      </c>
      <c r="CY6" s="53" t="s">
        <v>37</v>
      </c>
      <c r="CZ6" s="51">
        <v>3</v>
      </c>
      <c r="DA6" s="54">
        <v>12</v>
      </c>
      <c r="DB6" s="55" t="s">
        <v>38</v>
      </c>
      <c r="DC6" s="55">
        <v>0.5</v>
      </c>
      <c r="DD6" s="55">
        <v>0.6</v>
      </c>
      <c r="DE6" s="55">
        <v>0.8</v>
      </c>
      <c r="DF6" s="55">
        <v>1</v>
      </c>
      <c r="DG6" s="55">
        <v>1.5</v>
      </c>
      <c r="DH6" s="56">
        <v>1.5</v>
      </c>
      <c r="DI6" s="56">
        <v>1.6</v>
      </c>
      <c r="DJ6" s="56">
        <v>1.8</v>
      </c>
      <c r="DK6" s="57">
        <v>2</v>
      </c>
      <c r="DL6" s="57">
        <v>2.5</v>
      </c>
      <c r="DM6" s="55" t="s">
        <v>38</v>
      </c>
      <c r="DN6" s="55" t="s">
        <v>38</v>
      </c>
      <c r="DO6" s="55">
        <v>0.2</v>
      </c>
      <c r="DP6" s="211" t="s">
        <v>38</v>
      </c>
      <c r="DR6" s="50" t="s">
        <v>34</v>
      </c>
      <c r="DS6" s="51" t="s">
        <v>35</v>
      </c>
      <c r="DT6" s="51" t="s">
        <v>36</v>
      </c>
      <c r="DU6" s="52">
        <v>0.1</v>
      </c>
      <c r="DV6" s="52">
        <v>0.08</v>
      </c>
      <c r="DW6" s="53" t="s">
        <v>37</v>
      </c>
      <c r="DX6" s="51">
        <v>3</v>
      </c>
      <c r="DY6" s="54">
        <v>12</v>
      </c>
      <c r="DZ6" s="55" t="s">
        <v>38</v>
      </c>
      <c r="EA6" s="55">
        <v>0.5</v>
      </c>
      <c r="EB6" s="55">
        <v>0.6</v>
      </c>
      <c r="EC6" s="55">
        <v>0.8</v>
      </c>
      <c r="ED6" s="55">
        <v>1</v>
      </c>
      <c r="EE6" s="55">
        <v>1.5</v>
      </c>
      <c r="EF6" s="56">
        <v>1.5</v>
      </c>
      <c r="EG6" s="56">
        <v>1.6</v>
      </c>
      <c r="EH6" s="56">
        <v>1.8</v>
      </c>
      <c r="EI6" s="57">
        <v>2</v>
      </c>
      <c r="EJ6" s="57">
        <v>2.5</v>
      </c>
      <c r="EK6" s="55" t="s">
        <v>38</v>
      </c>
      <c r="EL6" s="55" t="s">
        <v>38</v>
      </c>
      <c r="EM6" s="55">
        <v>0.2</v>
      </c>
      <c r="EN6" s="211" t="s">
        <v>38</v>
      </c>
      <c r="EP6" s="50" t="s">
        <v>34</v>
      </c>
      <c r="EQ6" s="51" t="s">
        <v>35</v>
      </c>
      <c r="ER6" s="51" t="s">
        <v>36</v>
      </c>
      <c r="ES6" s="52">
        <v>0.1</v>
      </c>
      <c r="ET6" s="52">
        <v>0.08</v>
      </c>
      <c r="EU6" s="53" t="s">
        <v>37</v>
      </c>
      <c r="EV6" s="51">
        <v>3</v>
      </c>
      <c r="EW6" s="54">
        <v>12</v>
      </c>
      <c r="EX6" s="55" t="s">
        <v>38</v>
      </c>
      <c r="EY6" s="55">
        <v>0.5</v>
      </c>
      <c r="EZ6" s="55">
        <v>0.6</v>
      </c>
      <c r="FA6" s="55">
        <v>0.8</v>
      </c>
      <c r="FB6" s="55">
        <v>1</v>
      </c>
      <c r="FC6" s="55">
        <v>1.5</v>
      </c>
      <c r="FD6" s="56">
        <v>1.5</v>
      </c>
      <c r="FE6" s="56">
        <v>1.6</v>
      </c>
      <c r="FF6" s="56">
        <v>1.8</v>
      </c>
      <c r="FG6" s="57">
        <v>2</v>
      </c>
      <c r="FH6" s="57">
        <v>2.5</v>
      </c>
      <c r="FI6" s="55" t="s">
        <v>38</v>
      </c>
      <c r="FJ6" s="55" t="s">
        <v>38</v>
      </c>
      <c r="FK6" s="55">
        <v>0.2</v>
      </c>
      <c r="FL6" s="211" t="s">
        <v>38</v>
      </c>
      <c r="FN6" s="50" t="s">
        <v>34</v>
      </c>
      <c r="FO6" s="51" t="s">
        <v>35</v>
      </c>
      <c r="FP6" s="51" t="s">
        <v>36</v>
      </c>
      <c r="FQ6" s="52">
        <v>0.1</v>
      </c>
      <c r="FR6" s="52">
        <v>0.08</v>
      </c>
      <c r="FS6" s="53" t="s">
        <v>37</v>
      </c>
      <c r="FT6" s="51">
        <v>3</v>
      </c>
      <c r="FU6" s="54">
        <v>12</v>
      </c>
      <c r="FV6" s="55" t="s">
        <v>38</v>
      </c>
      <c r="FW6" s="55">
        <v>0.5</v>
      </c>
      <c r="FX6" s="55">
        <v>0.6</v>
      </c>
      <c r="FY6" s="55">
        <v>0.8</v>
      </c>
      <c r="FZ6" s="55">
        <v>1</v>
      </c>
      <c r="GA6" s="55">
        <v>1.5</v>
      </c>
      <c r="GB6" s="56">
        <v>1.5</v>
      </c>
      <c r="GC6" s="56">
        <v>1.6</v>
      </c>
      <c r="GD6" s="56">
        <v>1.8</v>
      </c>
      <c r="GE6" s="57">
        <v>2</v>
      </c>
      <c r="GF6" s="57">
        <v>2.5</v>
      </c>
      <c r="GG6" s="55" t="s">
        <v>38</v>
      </c>
      <c r="GH6" s="55" t="s">
        <v>38</v>
      </c>
      <c r="GI6" s="55">
        <v>0.2</v>
      </c>
      <c r="GJ6" s="211" t="s">
        <v>38</v>
      </c>
      <c r="GL6" s="50" t="s">
        <v>34</v>
      </c>
      <c r="GM6" s="51" t="s">
        <v>35</v>
      </c>
      <c r="GN6" s="51" t="s">
        <v>36</v>
      </c>
      <c r="GO6" s="52">
        <v>0.1</v>
      </c>
      <c r="GP6" s="52">
        <v>0.08</v>
      </c>
      <c r="GQ6" s="53" t="s">
        <v>37</v>
      </c>
      <c r="GR6" s="51">
        <v>3</v>
      </c>
      <c r="GS6" s="54">
        <v>12</v>
      </c>
      <c r="GT6" s="55" t="s">
        <v>38</v>
      </c>
      <c r="GU6" s="55">
        <v>0.5</v>
      </c>
      <c r="GV6" s="55">
        <v>0.6</v>
      </c>
      <c r="GW6" s="55">
        <v>0.8</v>
      </c>
      <c r="GX6" s="55">
        <v>1</v>
      </c>
      <c r="GY6" s="55">
        <v>1.5</v>
      </c>
      <c r="GZ6" s="56">
        <v>1.5</v>
      </c>
      <c r="HA6" s="56">
        <v>1.6</v>
      </c>
      <c r="HB6" s="56">
        <v>1.8</v>
      </c>
      <c r="HC6" s="57">
        <v>2</v>
      </c>
      <c r="HD6" s="57">
        <v>2.5</v>
      </c>
      <c r="HE6" s="55" t="s">
        <v>38</v>
      </c>
      <c r="HF6" s="55" t="s">
        <v>38</v>
      </c>
      <c r="HG6" s="55">
        <v>0.2</v>
      </c>
      <c r="HH6" s="211" t="s">
        <v>38</v>
      </c>
      <c r="HJ6" s="50" t="s">
        <v>34</v>
      </c>
      <c r="HK6" s="51" t="s">
        <v>35</v>
      </c>
      <c r="HL6" s="51" t="s">
        <v>36</v>
      </c>
      <c r="HM6" s="52">
        <v>0.1</v>
      </c>
      <c r="HN6" s="52">
        <v>0.08</v>
      </c>
      <c r="HO6" s="53" t="s">
        <v>37</v>
      </c>
      <c r="HP6" s="51">
        <v>3</v>
      </c>
      <c r="HQ6" s="54">
        <v>12</v>
      </c>
      <c r="HR6" s="55" t="s">
        <v>38</v>
      </c>
      <c r="HS6" s="55">
        <v>0.5</v>
      </c>
      <c r="HT6" s="55">
        <v>0.6</v>
      </c>
      <c r="HU6" s="55">
        <v>0.8</v>
      </c>
      <c r="HV6" s="55">
        <v>1</v>
      </c>
      <c r="HW6" s="55">
        <v>1.5</v>
      </c>
      <c r="HX6" s="56">
        <v>1.5</v>
      </c>
      <c r="HY6" s="56">
        <v>1.6</v>
      </c>
      <c r="HZ6" s="56">
        <v>1.8</v>
      </c>
      <c r="IA6" s="57">
        <v>2</v>
      </c>
      <c r="IB6" s="57">
        <v>2.5</v>
      </c>
      <c r="IC6" s="55" t="s">
        <v>38</v>
      </c>
      <c r="ID6" s="55" t="s">
        <v>38</v>
      </c>
      <c r="IE6" s="55">
        <v>0.2</v>
      </c>
      <c r="IF6" s="211" t="s">
        <v>38</v>
      </c>
      <c r="IH6" s="50" t="s">
        <v>34</v>
      </c>
      <c r="II6" s="51" t="s">
        <v>35</v>
      </c>
      <c r="IJ6" s="51" t="s">
        <v>36</v>
      </c>
      <c r="IK6" s="52">
        <v>0.1</v>
      </c>
      <c r="IL6" s="52">
        <v>0.08</v>
      </c>
      <c r="IM6" s="53" t="s">
        <v>37</v>
      </c>
      <c r="IN6" s="51">
        <v>3</v>
      </c>
      <c r="IO6" s="54">
        <v>12</v>
      </c>
      <c r="IP6" s="55" t="s">
        <v>38</v>
      </c>
      <c r="IQ6" s="55">
        <v>0.5</v>
      </c>
      <c r="IR6" s="55">
        <v>0.6</v>
      </c>
      <c r="IS6" s="55">
        <v>0.8</v>
      </c>
      <c r="IT6" s="55">
        <v>1</v>
      </c>
      <c r="IU6" s="55">
        <v>1.5</v>
      </c>
      <c r="IV6" s="56">
        <v>1.5</v>
      </c>
      <c r="IW6" s="56">
        <v>1.6</v>
      </c>
      <c r="IX6" s="56">
        <v>1.8</v>
      </c>
      <c r="IY6" s="57">
        <v>2</v>
      </c>
      <c r="IZ6" s="57">
        <v>2.5</v>
      </c>
      <c r="JA6" s="55" t="s">
        <v>38</v>
      </c>
      <c r="JB6" s="55" t="s">
        <v>38</v>
      </c>
      <c r="JC6" s="55">
        <v>0.2</v>
      </c>
      <c r="JD6" s="475" t="s">
        <v>38</v>
      </c>
      <c r="JF6" s="50" t="s">
        <v>34</v>
      </c>
      <c r="JG6" s="51" t="s">
        <v>35</v>
      </c>
      <c r="JH6" s="51" t="s">
        <v>36</v>
      </c>
      <c r="JI6" s="52">
        <v>0.1</v>
      </c>
      <c r="JJ6" s="52">
        <v>0.08</v>
      </c>
      <c r="JK6" s="53" t="s">
        <v>37</v>
      </c>
      <c r="JL6" s="51">
        <v>3</v>
      </c>
      <c r="JM6" s="54">
        <v>12</v>
      </c>
      <c r="JN6" s="55" t="s">
        <v>38</v>
      </c>
      <c r="JO6" s="55">
        <v>0.5</v>
      </c>
      <c r="JP6" s="55">
        <v>0.6</v>
      </c>
      <c r="JQ6" s="55">
        <v>0.8</v>
      </c>
      <c r="JR6" s="55">
        <v>1</v>
      </c>
      <c r="JS6" s="55">
        <v>1.5</v>
      </c>
      <c r="JT6" s="56">
        <v>1.5</v>
      </c>
      <c r="JU6" s="56">
        <v>1.6</v>
      </c>
      <c r="JV6" s="56">
        <v>1.8</v>
      </c>
      <c r="JW6" s="57">
        <v>2</v>
      </c>
      <c r="JX6" s="57">
        <v>2.5</v>
      </c>
      <c r="JY6" s="55" t="s">
        <v>38</v>
      </c>
      <c r="JZ6" s="55" t="s">
        <v>38</v>
      </c>
      <c r="KA6" s="55">
        <v>0.2</v>
      </c>
      <c r="KB6" s="475" t="s">
        <v>38</v>
      </c>
      <c r="KC6" s="37"/>
      <c r="KD6" s="37"/>
      <c r="KE6" s="37"/>
      <c r="KF6" s="37"/>
      <c r="KG6" s="37"/>
      <c r="KH6" s="37"/>
      <c r="KI6" s="37"/>
      <c r="KJ6" s="37"/>
    </row>
    <row r="7" spans="1:296" ht="15.6" x14ac:dyDescent="0.3">
      <c r="A7" s="386"/>
      <c r="B7" s="387"/>
      <c r="C7" s="387"/>
      <c r="D7" s="387"/>
      <c r="E7" s="472" t="s">
        <v>184</v>
      </c>
      <c r="F7" s="472"/>
      <c r="G7" s="472"/>
      <c r="H7" s="472"/>
      <c r="I7" s="472"/>
      <c r="J7" s="472"/>
      <c r="K7" s="472"/>
      <c r="L7" s="472"/>
      <c r="M7" s="472"/>
      <c r="N7" s="472"/>
      <c r="O7" s="472"/>
      <c r="P7" s="472"/>
      <c r="Q7" s="454"/>
      <c r="R7" s="454"/>
      <c r="S7" s="387"/>
      <c r="T7" s="387"/>
      <c r="U7" s="387"/>
      <c r="V7" s="387"/>
      <c r="W7" s="387"/>
      <c r="X7" s="388"/>
      <c r="Y7" s="386"/>
      <c r="Z7" s="387"/>
      <c r="AA7" s="387"/>
      <c r="AB7" s="387"/>
      <c r="AC7" s="472" t="s">
        <v>184</v>
      </c>
      <c r="AD7" s="472"/>
      <c r="AE7" s="472"/>
      <c r="AF7" s="472"/>
      <c r="AG7" s="472"/>
      <c r="AH7" s="472"/>
      <c r="AI7" s="472"/>
      <c r="AJ7" s="472"/>
      <c r="AK7" s="472"/>
      <c r="AL7" s="472"/>
      <c r="AM7" s="472"/>
      <c r="AN7" s="472"/>
      <c r="AO7" s="454"/>
      <c r="AP7" s="454"/>
      <c r="AQ7" s="387"/>
      <c r="AR7" s="387"/>
      <c r="AS7" s="387"/>
      <c r="AT7" s="387"/>
      <c r="AU7" s="387"/>
      <c r="AV7" s="388"/>
      <c r="AW7" s="386"/>
      <c r="AX7" s="387"/>
      <c r="AY7" s="387"/>
      <c r="AZ7" s="387"/>
      <c r="BA7" s="472" t="s">
        <v>184</v>
      </c>
      <c r="BB7" s="472"/>
      <c r="BC7" s="472"/>
      <c r="BD7" s="472"/>
      <c r="BE7" s="472"/>
      <c r="BF7" s="472"/>
      <c r="BG7" s="472"/>
      <c r="BH7" s="472"/>
      <c r="BI7" s="472"/>
      <c r="BJ7" s="472"/>
      <c r="BK7" s="472"/>
      <c r="BL7" s="472"/>
      <c r="BM7" s="454"/>
      <c r="BN7" s="454"/>
      <c r="BO7" s="387"/>
      <c r="BP7" s="387"/>
      <c r="BQ7" s="387"/>
      <c r="BR7" s="387"/>
      <c r="BS7" s="387"/>
      <c r="BT7" s="388"/>
      <c r="BU7" s="386"/>
      <c r="BV7" s="387"/>
      <c r="BW7" s="387"/>
      <c r="BX7" s="387"/>
      <c r="BY7" s="472" t="s">
        <v>184</v>
      </c>
      <c r="BZ7" s="472"/>
      <c r="CA7" s="472"/>
      <c r="CB7" s="472"/>
      <c r="CC7" s="472"/>
      <c r="CD7" s="472"/>
      <c r="CE7" s="472"/>
      <c r="CF7" s="472"/>
      <c r="CG7" s="472"/>
      <c r="CH7" s="472"/>
      <c r="CI7" s="472"/>
      <c r="CJ7" s="472"/>
      <c r="CK7" s="454"/>
      <c r="CL7" s="454"/>
      <c r="CM7" s="387"/>
      <c r="CN7" s="387"/>
      <c r="CO7" s="387"/>
      <c r="CP7" s="387"/>
      <c r="CQ7" s="387"/>
      <c r="CR7" s="388"/>
      <c r="CS7" s="386"/>
      <c r="CT7" s="387"/>
      <c r="CU7" s="387"/>
      <c r="CV7" s="387"/>
      <c r="CW7" s="472" t="s">
        <v>184</v>
      </c>
      <c r="CX7" s="472"/>
      <c r="CY7" s="472"/>
      <c r="CZ7" s="472"/>
      <c r="DA7" s="472"/>
      <c r="DB7" s="472"/>
      <c r="DC7" s="472"/>
      <c r="DD7" s="472"/>
      <c r="DE7" s="472"/>
      <c r="DF7" s="472"/>
      <c r="DG7" s="472"/>
      <c r="DH7" s="472"/>
      <c r="DI7" s="454"/>
      <c r="DJ7" s="454"/>
      <c r="DK7" s="387"/>
      <c r="DL7" s="387"/>
      <c r="DM7" s="387"/>
      <c r="DN7" s="387"/>
      <c r="DO7" s="387"/>
      <c r="DP7" s="388"/>
      <c r="DQ7" s="386"/>
      <c r="DR7" s="387"/>
      <c r="DS7" s="387"/>
      <c r="DT7" s="387"/>
      <c r="DU7" s="472" t="s">
        <v>184</v>
      </c>
      <c r="DV7" s="472"/>
      <c r="DW7" s="472"/>
      <c r="DX7" s="472"/>
      <c r="DY7" s="472"/>
      <c r="DZ7" s="472"/>
      <c r="EA7" s="472"/>
      <c r="EB7" s="472"/>
      <c r="EC7" s="472"/>
      <c r="ED7" s="472"/>
      <c r="EE7" s="472"/>
      <c r="EF7" s="472"/>
      <c r="EG7" s="454"/>
      <c r="EH7" s="454"/>
      <c r="EI7" s="387"/>
      <c r="EJ7" s="387"/>
      <c r="EK7" s="387"/>
      <c r="EL7" s="387"/>
      <c r="EM7" s="387"/>
      <c r="EN7" s="388"/>
      <c r="EO7" s="386"/>
      <c r="EP7" s="387"/>
      <c r="EQ7" s="387"/>
      <c r="ER7" s="387"/>
      <c r="ES7" s="472" t="s">
        <v>184</v>
      </c>
      <c r="ET7" s="472"/>
      <c r="EU7" s="472"/>
      <c r="EV7" s="472"/>
      <c r="EW7" s="472"/>
      <c r="EX7" s="472"/>
      <c r="EY7" s="472"/>
      <c r="EZ7" s="472"/>
      <c r="FA7" s="472"/>
      <c r="FB7" s="472"/>
      <c r="FC7" s="472"/>
      <c r="FD7" s="472"/>
      <c r="FE7" s="454"/>
      <c r="FF7" s="454"/>
      <c r="FG7" s="387"/>
      <c r="FH7" s="387"/>
      <c r="FI7" s="387"/>
      <c r="FJ7" s="387"/>
      <c r="FK7" s="387"/>
      <c r="FL7" s="388"/>
      <c r="FM7" s="386"/>
      <c r="FN7" s="387"/>
      <c r="FO7" s="387"/>
      <c r="FP7" s="387"/>
      <c r="FQ7" s="472" t="s">
        <v>184</v>
      </c>
      <c r="FR7" s="472"/>
      <c r="FS7" s="472"/>
      <c r="FT7" s="472"/>
      <c r="FU7" s="472"/>
      <c r="FV7" s="472"/>
      <c r="FW7" s="472"/>
      <c r="FX7" s="472"/>
      <c r="FY7" s="472"/>
      <c r="FZ7" s="472"/>
      <c r="GA7" s="472"/>
      <c r="GB7" s="472"/>
      <c r="GC7" s="454"/>
      <c r="GD7" s="454"/>
      <c r="GE7" s="387"/>
      <c r="GF7" s="387"/>
      <c r="GG7" s="387"/>
      <c r="GH7" s="387"/>
      <c r="GI7" s="387"/>
      <c r="GJ7" s="388"/>
      <c r="GK7" s="386"/>
      <c r="GL7" s="387"/>
      <c r="GM7" s="387"/>
      <c r="GN7" s="387"/>
      <c r="GO7" s="472" t="s">
        <v>184</v>
      </c>
      <c r="GP7" s="472"/>
      <c r="GQ7" s="472"/>
      <c r="GR7" s="472"/>
      <c r="GS7" s="472"/>
      <c r="GT7" s="472"/>
      <c r="GU7" s="472"/>
      <c r="GV7" s="472"/>
      <c r="GW7" s="472"/>
      <c r="GX7" s="472"/>
      <c r="GY7" s="472"/>
      <c r="GZ7" s="472"/>
      <c r="HA7" s="454"/>
      <c r="HB7" s="454"/>
      <c r="HC7" s="387"/>
      <c r="HD7" s="387"/>
      <c r="HE7" s="387"/>
      <c r="HF7" s="387"/>
      <c r="HG7" s="387"/>
      <c r="HH7" s="388"/>
      <c r="HI7" s="386"/>
      <c r="HJ7" s="387"/>
      <c r="HK7" s="387"/>
      <c r="HL7" s="387"/>
      <c r="HM7" s="472" t="s">
        <v>184</v>
      </c>
      <c r="HN7" s="472"/>
      <c r="HO7" s="472"/>
      <c r="HP7" s="472"/>
      <c r="HQ7" s="472"/>
      <c r="HR7" s="472"/>
      <c r="HS7" s="472"/>
      <c r="HT7" s="472"/>
      <c r="HU7" s="472"/>
      <c r="HV7" s="472"/>
      <c r="HW7" s="472"/>
      <c r="HX7" s="472"/>
      <c r="HY7" s="454"/>
      <c r="HZ7" s="454"/>
      <c r="IA7" s="387"/>
      <c r="IB7" s="387"/>
      <c r="IC7" s="387"/>
      <c r="ID7" s="387"/>
      <c r="IE7" s="387"/>
      <c r="IF7" s="388"/>
      <c r="IG7" s="386"/>
      <c r="IH7" s="387"/>
      <c r="II7" s="387"/>
      <c r="IJ7" s="387"/>
      <c r="IK7" s="472" t="s">
        <v>184</v>
      </c>
      <c r="IL7" s="472"/>
      <c r="IM7" s="472"/>
      <c r="IN7" s="472"/>
      <c r="IO7" s="472"/>
      <c r="IP7" s="472"/>
      <c r="IQ7" s="472"/>
      <c r="IR7" s="472"/>
      <c r="IS7" s="472"/>
      <c r="IT7" s="472"/>
      <c r="IU7" s="472"/>
      <c r="IV7" s="472"/>
      <c r="IW7" s="454"/>
      <c r="IX7" s="454"/>
      <c r="IY7" s="387"/>
      <c r="IZ7" s="387"/>
      <c r="JA7" s="387"/>
      <c r="JB7" s="387"/>
      <c r="JC7" s="387"/>
      <c r="JD7" s="471"/>
      <c r="JE7" s="386"/>
      <c r="JF7" s="387"/>
      <c r="JG7" s="387"/>
      <c r="JH7" s="387"/>
      <c r="JI7" s="472" t="s">
        <v>184</v>
      </c>
      <c r="JJ7" s="472"/>
      <c r="JK7" s="472"/>
      <c r="JL7" s="472"/>
      <c r="JM7" s="472"/>
      <c r="JN7" s="472"/>
      <c r="JO7" s="472"/>
      <c r="JP7" s="472"/>
      <c r="JQ7" s="472"/>
      <c r="JR7" s="472"/>
      <c r="JS7" s="472"/>
      <c r="JT7" s="472"/>
      <c r="JU7" s="454"/>
      <c r="JV7" s="454"/>
      <c r="JW7" s="387"/>
      <c r="JX7" s="387"/>
      <c r="JY7" s="387"/>
      <c r="JZ7" s="387"/>
      <c r="KA7" s="387"/>
      <c r="KB7" s="471"/>
      <c r="KC7" s="37"/>
      <c r="KD7" s="37"/>
      <c r="KE7" s="37"/>
      <c r="KF7" s="37"/>
      <c r="KG7" s="37"/>
      <c r="KH7" s="37"/>
      <c r="KI7" s="37"/>
      <c r="KJ7" s="37"/>
    </row>
    <row r="8" spans="1:296" x14ac:dyDescent="0.3">
      <c r="A8" s="49">
        <v>0</v>
      </c>
      <c r="B8" s="59" t="s">
        <v>191</v>
      </c>
      <c r="C8" s="28">
        <f>D8/$AY$4</f>
        <v>11.928590909090909</v>
      </c>
      <c r="D8" s="60">
        <v>2624.29</v>
      </c>
      <c r="E8" s="28">
        <f>D8*E$6</f>
        <v>262.42900000000003</v>
      </c>
      <c r="F8" s="28">
        <f>D8*F$6</f>
        <v>209.94319999999999</v>
      </c>
      <c r="G8" s="28">
        <f>D8/G$6</f>
        <v>218.69083333333333</v>
      </c>
      <c r="H8" s="28">
        <f>G8/H$6</f>
        <v>72.896944444444443</v>
      </c>
      <c r="I8" s="61">
        <f>D8/I$6</f>
        <v>218.69083333333333</v>
      </c>
      <c r="J8" s="61">
        <f>SUM(D8:I8)</f>
        <v>3606.9408111111115</v>
      </c>
      <c r="K8" s="62"/>
      <c r="L8" s="62"/>
      <c r="M8" s="62"/>
      <c r="N8" s="62"/>
      <c r="O8" s="62"/>
      <c r="P8" s="63">
        <f>((C8*P$6)+(C8*E$6)+(C8*F$6))*K8</f>
        <v>0</v>
      </c>
      <c r="Q8" s="63">
        <f>((C8*Q6)+(C8*E6)+(C8*F6))*L8</f>
        <v>0</v>
      </c>
      <c r="R8" s="63">
        <f>((C8*R$6)+(C8*E$6)+(C8*F$6))*M8</f>
        <v>0</v>
      </c>
      <c r="S8" s="63">
        <f>((C8*S$6)+(C8*E$6)+(C8*F$6))*N8</f>
        <v>0</v>
      </c>
      <c r="T8" s="63">
        <f>((C8*T$6)+(C8*E$6)+(C8*F$6))*O8</f>
        <v>0</v>
      </c>
      <c r="U8" s="61">
        <f>SUM(P8:T8)</f>
        <v>0</v>
      </c>
      <c r="V8" s="64">
        <v>0</v>
      </c>
      <c r="W8" s="65">
        <f>IF(A8=1,($C$1*$W$6),0)</f>
        <v>0</v>
      </c>
      <c r="X8" s="212">
        <f>J8+U8+V8+W8</f>
        <v>3606.9408111111115</v>
      </c>
      <c r="Y8" s="49">
        <v>0</v>
      </c>
      <c r="Z8" s="59" t="s">
        <v>191</v>
      </c>
      <c r="AA8" s="28">
        <f>AB8/$AY$4</f>
        <v>11.928590909090909</v>
      </c>
      <c r="AB8" s="60">
        <v>2624.29</v>
      </c>
      <c r="AC8" s="28">
        <f>AB8*AC$6</f>
        <v>262.42900000000003</v>
      </c>
      <c r="AD8" s="28">
        <f>AB8*AD$6</f>
        <v>209.94319999999999</v>
      </c>
      <c r="AE8" s="28">
        <f>AB8/AE$6</f>
        <v>218.69083333333333</v>
      </c>
      <c r="AF8" s="28">
        <f>AE8/AF$6</f>
        <v>72.896944444444443</v>
      </c>
      <c r="AG8" s="61">
        <f>AB8/AG$6</f>
        <v>218.69083333333333</v>
      </c>
      <c r="AH8" s="61">
        <f>SUM(AB8:AG8)</f>
        <v>3606.9408111111115</v>
      </c>
      <c r="AI8" s="62"/>
      <c r="AJ8" s="62"/>
      <c r="AK8" s="62"/>
      <c r="AL8" s="62"/>
      <c r="AM8" s="62"/>
      <c r="AN8" s="63">
        <f>((AA8*AN$6)+(AA8*AC$6)+(AA8*AD$6))*AI8</f>
        <v>0</v>
      </c>
      <c r="AO8" s="63">
        <f>((AA8*AO6)+(AA8*AC6)+(AA8*AD6))*AJ8</f>
        <v>0</v>
      </c>
      <c r="AP8" s="63">
        <f>((AA8*AP$6)+(AA8*AC$6)+(AA8*AD$6))*AK8</f>
        <v>0</v>
      </c>
      <c r="AQ8" s="63">
        <f>((AA8*AQ$6)+(AA8*AC$6)+(AA8*AD$6))*AL8</f>
        <v>0</v>
      </c>
      <c r="AR8" s="63">
        <f>((AA8*AR$6)+(AA8*AC$6)+(AA8*AD$6))*AM8</f>
        <v>0</v>
      </c>
      <c r="AS8" s="61">
        <f>SUM(AN8:AR8)</f>
        <v>0</v>
      </c>
      <c r="AT8" s="64">
        <v>0</v>
      </c>
      <c r="AU8" s="65">
        <f>IF(Y8=1,($C$1*$W$6),0)</f>
        <v>0</v>
      </c>
      <c r="AV8" s="212">
        <f>AH8+AS8+AT8+AU8</f>
        <v>3606.9408111111115</v>
      </c>
      <c r="AW8" s="49">
        <v>0</v>
      </c>
      <c r="AX8" s="59" t="s">
        <v>191</v>
      </c>
      <c r="AY8" s="28">
        <f>AZ8/$AY$4</f>
        <v>11.928590909090909</v>
      </c>
      <c r="AZ8" s="60">
        <v>2624.29</v>
      </c>
      <c r="BA8" s="28">
        <f>AZ8*BA$6</f>
        <v>262.42900000000003</v>
      </c>
      <c r="BB8" s="28">
        <f>AZ8*BB$6</f>
        <v>209.94319999999999</v>
      </c>
      <c r="BC8" s="28">
        <f>AZ8/BC$6</f>
        <v>218.69083333333333</v>
      </c>
      <c r="BD8" s="28">
        <f>BC8/BD$6</f>
        <v>72.896944444444443</v>
      </c>
      <c r="BE8" s="61">
        <f>AZ8/BE$6</f>
        <v>218.69083333333333</v>
      </c>
      <c r="BF8" s="61">
        <f>SUM(AZ8:BE8)</f>
        <v>3606.9408111111115</v>
      </c>
      <c r="BG8" s="62"/>
      <c r="BH8" s="62"/>
      <c r="BI8" s="62"/>
      <c r="BJ8" s="62"/>
      <c r="BK8" s="62"/>
      <c r="BL8" s="63">
        <f>((AY8*BL$6)+(AY8*BA$6)+(AY8*BB$6))*BG8</f>
        <v>0</v>
      </c>
      <c r="BM8" s="63">
        <f>((AY8*BM6)+(AY8*BA6)+(AY8*BB6))*BH8</f>
        <v>0</v>
      </c>
      <c r="BN8" s="63">
        <f>((AY8*BN$6)+(AY8*BA$6)+(AY8*BB$6))*BI8</f>
        <v>0</v>
      </c>
      <c r="BO8" s="63">
        <f>((AY8*BO$6)+(AY8*BA$6)+(AY8*BB$6))*BJ8</f>
        <v>0</v>
      </c>
      <c r="BP8" s="63">
        <f>((AY8*BP$6)+(AY8*BA$6)+(AY8*BB$6))*BK8</f>
        <v>0</v>
      </c>
      <c r="BQ8" s="61">
        <f>SUM(BL8:BP8)</f>
        <v>0</v>
      </c>
      <c r="BR8" s="64">
        <v>0</v>
      </c>
      <c r="BS8" s="65">
        <f>IF(AW8=1,($C$1*$W$6),0)</f>
        <v>0</v>
      </c>
      <c r="BT8" s="212">
        <f>BF8+BQ8+BR8+BS8</f>
        <v>3606.9408111111115</v>
      </c>
      <c r="BU8" s="49">
        <v>0</v>
      </c>
      <c r="BV8" s="59" t="s">
        <v>191</v>
      </c>
      <c r="BW8" s="28">
        <f>BX8/$AY$4</f>
        <v>11.928590909090909</v>
      </c>
      <c r="BX8" s="60">
        <v>2624.29</v>
      </c>
      <c r="BY8" s="28">
        <f>BX8*BY$6</f>
        <v>262.42900000000003</v>
      </c>
      <c r="BZ8" s="28">
        <f>BX8*BZ$6</f>
        <v>209.94319999999999</v>
      </c>
      <c r="CA8" s="28">
        <f>BX8/CA$6</f>
        <v>218.69083333333333</v>
      </c>
      <c r="CB8" s="28">
        <f>CA8/CB$6</f>
        <v>72.896944444444443</v>
      </c>
      <c r="CC8" s="61">
        <f>BX8/CC$6</f>
        <v>218.69083333333333</v>
      </c>
      <c r="CD8" s="61">
        <f>SUM(BX8:CC8)</f>
        <v>3606.9408111111115</v>
      </c>
      <c r="CE8" s="62"/>
      <c r="CF8" s="62"/>
      <c r="CG8" s="62"/>
      <c r="CH8" s="62"/>
      <c r="CI8" s="62"/>
      <c r="CJ8" s="63">
        <f>((BW8*CJ$6)+(BW8*BY$6)+(BW8*BZ$6))*CE8</f>
        <v>0</v>
      </c>
      <c r="CK8" s="63">
        <f>((BW8*CK6)+(BW8*BY6)+(BW8*BZ6))*CF8</f>
        <v>0</v>
      </c>
      <c r="CL8" s="63">
        <f>((BW8*CL$6)+(BW8*BY$6)+(BW8*BZ$6))*CG8</f>
        <v>0</v>
      </c>
      <c r="CM8" s="63">
        <f>((BW8*CM$6)+(BW8*BY$6)+(BW8*BZ$6))*CH8</f>
        <v>0</v>
      </c>
      <c r="CN8" s="63">
        <f>((BW8*CN$6)+(BW8*BY$6)+(BW8*BZ$6))*CI8</f>
        <v>0</v>
      </c>
      <c r="CO8" s="61">
        <f>SUM(CJ8:CN8)</f>
        <v>0</v>
      </c>
      <c r="CP8" s="64">
        <v>0</v>
      </c>
      <c r="CQ8" s="65">
        <f>IF(BU8=1,($C$1*$W$6),0)</f>
        <v>0</v>
      </c>
      <c r="CR8" s="212">
        <f>CD8+CO8+CP8+CQ8</f>
        <v>3606.9408111111115</v>
      </c>
      <c r="CS8" s="49">
        <v>0</v>
      </c>
      <c r="CT8" s="59" t="s">
        <v>191</v>
      </c>
      <c r="CU8" s="28">
        <f>CV8/$AY$4</f>
        <v>11.928590909090909</v>
      </c>
      <c r="CV8" s="60">
        <v>2624.29</v>
      </c>
      <c r="CW8" s="28">
        <f>CV8*CW$6</f>
        <v>262.42900000000003</v>
      </c>
      <c r="CX8" s="28">
        <f>CV8*CX$6</f>
        <v>209.94319999999999</v>
      </c>
      <c r="CY8" s="28">
        <f>CV8/CY$6</f>
        <v>218.69083333333333</v>
      </c>
      <c r="CZ8" s="28">
        <f>CY8/CZ$6</f>
        <v>72.896944444444443</v>
      </c>
      <c r="DA8" s="61">
        <f>CV8/DA$6</f>
        <v>218.69083333333333</v>
      </c>
      <c r="DB8" s="61">
        <f>SUM(CV8:DA8)</f>
        <v>3606.9408111111115</v>
      </c>
      <c r="DC8" s="62"/>
      <c r="DD8" s="62"/>
      <c r="DE8" s="62"/>
      <c r="DF8" s="62"/>
      <c r="DG8" s="62"/>
      <c r="DH8" s="63">
        <f>((CU8*DH$6)+(CU8*CW$6)+(CU8*CX$6))*DC8</f>
        <v>0</v>
      </c>
      <c r="DI8" s="63">
        <f>((CU8*DI6)+(CU8*CW6)+(CU8*CX6))*DD8</f>
        <v>0</v>
      </c>
      <c r="DJ8" s="63">
        <f>((CU8*DJ$6)+(CU8*CW$6)+(CU8*CX$6))*DE8</f>
        <v>0</v>
      </c>
      <c r="DK8" s="63">
        <f>((CU8*DK$6)+(CU8*CW$6)+(CU8*CX$6))*DF8</f>
        <v>0</v>
      </c>
      <c r="DL8" s="63">
        <f>((CU8*DL$6)+(CU8*CW$6)+(CU8*CX$6))*DG8</f>
        <v>0</v>
      </c>
      <c r="DM8" s="61">
        <f>SUM(DH8:DL8)</f>
        <v>0</v>
      </c>
      <c r="DN8" s="64">
        <v>0</v>
      </c>
      <c r="DO8" s="65">
        <f>IF(CS8=1,($C$1*$W$6),0)</f>
        <v>0</v>
      </c>
      <c r="DP8" s="212">
        <f>DB8+DM8+DN8+DO8</f>
        <v>3606.9408111111115</v>
      </c>
      <c r="DQ8" s="49">
        <v>0</v>
      </c>
      <c r="DR8" s="59" t="s">
        <v>191</v>
      </c>
      <c r="DS8" s="28">
        <f>DT8/$AY$4</f>
        <v>11.928590909090909</v>
      </c>
      <c r="DT8" s="60">
        <v>2624.29</v>
      </c>
      <c r="DU8" s="28">
        <f>DT8*DU$6</f>
        <v>262.42900000000003</v>
      </c>
      <c r="DV8" s="28">
        <f>DT8*DV$6</f>
        <v>209.94319999999999</v>
      </c>
      <c r="DW8" s="28">
        <f>DT8/DW$6</f>
        <v>218.69083333333333</v>
      </c>
      <c r="DX8" s="28">
        <f>DW8/DX$6</f>
        <v>72.896944444444443</v>
      </c>
      <c r="DY8" s="61">
        <f>DT8/DY$6</f>
        <v>218.69083333333333</v>
      </c>
      <c r="DZ8" s="61">
        <f>SUM(DT8:DY8)</f>
        <v>3606.9408111111115</v>
      </c>
      <c r="EA8" s="62"/>
      <c r="EB8" s="62"/>
      <c r="EC8" s="62"/>
      <c r="ED8" s="62"/>
      <c r="EE8" s="62"/>
      <c r="EF8" s="63">
        <f>((DS8*EF$6)+(DS8*DU$6)+(DS8*DV$6))*EA8</f>
        <v>0</v>
      </c>
      <c r="EG8" s="63">
        <f>((DS8*EG6)+(DS8*DU6)+(DS8*DV6))*EB8</f>
        <v>0</v>
      </c>
      <c r="EH8" s="63">
        <f>((DS8*EH$6)+(DS8*DU$6)+(DS8*DV$6))*EC8</f>
        <v>0</v>
      </c>
      <c r="EI8" s="63">
        <f>((DS8*EI$6)+(DS8*DU$6)+(DS8*DV$6))*ED8</f>
        <v>0</v>
      </c>
      <c r="EJ8" s="63">
        <f>((DS8*EJ$6)+(DS8*DU$6)+(DS8*DV$6))*EE8</f>
        <v>0</v>
      </c>
      <c r="EK8" s="61">
        <f>SUM(EF8:EJ8)</f>
        <v>0</v>
      </c>
      <c r="EL8" s="64">
        <v>0</v>
      </c>
      <c r="EM8" s="65">
        <f>IF(DQ8=1,($C$1*$W$6),0)</f>
        <v>0</v>
      </c>
      <c r="EN8" s="212">
        <f>DZ8+EK8+EL8+EM8</f>
        <v>3606.9408111111115</v>
      </c>
      <c r="EO8" s="49">
        <v>0</v>
      </c>
      <c r="EP8" s="59" t="s">
        <v>191</v>
      </c>
      <c r="EQ8" s="28">
        <f>ER8/$AY$4</f>
        <v>11.928590909090909</v>
      </c>
      <c r="ER8" s="60">
        <v>2624.29</v>
      </c>
      <c r="ES8" s="28">
        <f>ER8*ES$6</f>
        <v>262.42900000000003</v>
      </c>
      <c r="ET8" s="28">
        <f>ER8*ET$6</f>
        <v>209.94319999999999</v>
      </c>
      <c r="EU8" s="28">
        <f>ER8/EU$6</f>
        <v>218.69083333333333</v>
      </c>
      <c r="EV8" s="28">
        <f>EU8/EV$6</f>
        <v>72.896944444444443</v>
      </c>
      <c r="EW8" s="61">
        <f>ER8/EW$6</f>
        <v>218.69083333333333</v>
      </c>
      <c r="EX8" s="61">
        <f>SUM(ER8:EW8)</f>
        <v>3606.9408111111115</v>
      </c>
      <c r="EY8" s="62"/>
      <c r="EZ8" s="62"/>
      <c r="FA8" s="62"/>
      <c r="FB8" s="62"/>
      <c r="FC8" s="62"/>
      <c r="FD8" s="63">
        <f>((EQ8*FD$6)+(EQ8*ES$6)+(EQ8*ET$6))*EY8</f>
        <v>0</v>
      </c>
      <c r="FE8" s="63">
        <f>((EQ8*FE6)+(EQ8*ES6)+(EQ8*ET6))*EZ8</f>
        <v>0</v>
      </c>
      <c r="FF8" s="63">
        <f>((EQ8*FF$6)+(EQ8*ES$6)+(EQ8*ET$6))*FA8</f>
        <v>0</v>
      </c>
      <c r="FG8" s="63">
        <f>((EQ8*FG$6)+(EQ8*ES$6)+(EQ8*ET$6))*FB8</f>
        <v>0</v>
      </c>
      <c r="FH8" s="63">
        <f>((EQ8*FH$6)+(EQ8*ES$6)+(EQ8*ET$6))*FC8</f>
        <v>0</v>
      </c>
      <c r="FI8" s="61">
        <f>SUM(FD8:FH8)</f>
        <v>0</v>
      </c>
      <c r="FJ8" s="64">
        <v>0</v>
      </c>
      <c r="FK8" s="65">
        <f>IF(EO8=1,($C$1*$W$6),0)</f>
        <v>0</v>
      </c>
      <c r="FL8" s="212">
        <f>EX8+FI8+FJ8+FK8</f>
        <v>3606.9408111111115</v>
      </c>
      <c r="FM8" s="49">
        <v>0</v>
      </c>
      <c r="FN8" s="59" t="s">
        <v>191</v>
      </c>
      <c r="FO8" s="28">
        <f>FP8/$AY$4</f>
        <v>11.928590909090909</v>
      </c>
      <c r="FP8" s="60">
        <v>2624.29</v>
      </c>
      <c r="FQ8" s="28">
        <f>FP8*FQ$6</f>
        <v>262.42900000000003</v>
      </c>
      <c r="FR8" s="28">
        <f>FP8*FR$6</f>
        <v>209.94319999999999</v>
      </c>
      <c r="FS8" s="28">
        <f>FP8/FS$6</f>
        <v>218.69083333333333</v>
      </c>
      <c r="FT8" s="28">
        <f>FS8/FT$6</f>
        <v>72.896944444444443</v>
      </c>
      <c r="FU8" s="61">
        <f>FP8/FU$6</f>
        <v>218.69083333333333</v>
      </c>
      <c r="FV8" s="61">
        <f>SUM(FP8:FU8)</f>
        <v>3606.9408111111115</v>
      </c>
      <c r="FW8" s="62"/>
      <c r="FX8" s="62"/>
      <c r="FY8" s="62"/>
      <c r="FZ8" s="62"/>
      <c r="GA8" s="62"/>
      <c r="GB8" s="63">
        <f>((FO8*GB$6)+(FO8*FQ$6)+(FO8*FR$6))*FW8</f>
        <v>0</v>
      </c>
      <c r="GC8" s="63">
        <f>((FO8*GC6)+(FO8*FQ6)+(FO8*FR6))*FX8</f>
        <v>0</v>
      </c>
      <c r="GD8" s="63">
        <f>((FO8*GD$6)+(FO8*FQ$6)+(FO8*FR$6))*FY8</f>
        <v>0</v>
      </c>
      <c r="GE8" s="63">
        <f>((FO8*GE$6)+(FO8*FQ$6)+(FO8*FR$6))*FZ8</f>
        <v>0</v>
      </c>
      <c r="GF8" s="63">
        <f>((FO8*GF$6)+(FO8*FQ$6)+(FO8*FR$6))*GA8</f>
        <v>0</v>
      </c>
      <c r="GG8" s="61">
        <f>SUM(GB8:GF8)</f>
        <v>0</v>
      </c>
      <c r="GH8" s="64">
        <v>0</v>
      </c>
      <c r="GI8" s="65">
        <f>IF(FM8=1,($C$1*$W$6),0)</f>
        <v>0</v>
      </c>
      <c r="GJ8" s="212">
        <f>FV8+GG8+GH8+GI8</f>
        <v>3606.9408111111115</v>
      </c>
      <c r="GK8" s="49">
        <v>0</v>
      </c>
      <c r="GL8" s="59" t="s">
        <v>191</v>
      </c>
      <c r="GM8" s="28">
        <f>GN8/$AY$4</f>
        <v>11.928590909090909</v>
      </c>
      <c r="GN8" s="60">
        <v>2624.29</v>
      </c>
      <c r="GO8" s="28">
        <f>GN8*GO$6</f>
        <v>262.42900000000003</v>
      </c>
      <c r="GP8" s="28">
        <f>GN8*GP$6</f>
        <v>209.94319999999999</v>
      </c>
      <c r="GQ8" s="28">
        <f>GN8/GQ$6</f>
        <v>218.69083333333333</v>
      </c>
      <c r="GR8" s="28">
        <f>GQ8/GR$6</f>
        <v>72.896944444444443</v>
      </c>
      <c r="GS8" s="61">
        <f>GN8/GS$6</f>
        <v>218.69083333333333</v>
      </c>
      <c r="GT8" s="61">
        <f>SUM(GN8:GS8)</f>
        <v>3606.9408111111115</v>
      </c>
      <c r="GU8" s="62"/>
      <c r="GV8" s="62"/>
      <c r="GW8" s="62"/>
      <c r="GX8" s="62"/>
      <c r="GY8" s="62"/>
      <c r="GZ8" s="63">
        <f>((GM8*GZ$6)+(GM8*GO$6)+(GM8*GP$6))*GU8</f>
        <v>0</v>
      </c>
      <c r="HA8" s="63">
        <f>((GM8*HA6)+(GM8*GO6)+(GM8*GP6))*GV8</f>
        <v>0</v>
      </c>
      <c r="HB8" s="63">
        <f>((GM8*HB$6)+(GM8*GO$6)+(GM8*GP$6))*GW8</f>
        <v>0</v>
      </c>
      <c r="HC8" s="63">
        <f>((GM8*HC$6)+(GM8*GO$6)+(GM8*GP$6))*GX8</f>
        <v>0</v>
      </c>
      <c r="HD8" s="63">
        <f>((GM8*HD$6)+(GM8*GO$6)+(GM8*GP$6))*GY8</f>
        <v>0</v>
      </c>
      <c r="HE8" s="61">
        <f>SUM(GZ8:HD8)</f>
        <v>0</v>
      </c>
      <c r="HF8" s="64">
        <v>0</v>
      </c>
      <c r="HG8" s="65">
        <f>IF(GK8=1,($C$1*$W$6),0)</f>
        <v>0</v>
      </c>
      <c r="HH8" s="212">
        <f>GT8+HE8+HF8+HG8</f>
        <v>3606.9408111111115</v>
      </c>
      <c r="HI8" s="49">
        <v>0</v>
      </c>
      <c r="HJ8" s="59" t="s">
        <v>191</v>
      </c>
      <c r="HK8" s="28">
        <f>HL8/$AY$4</f>
        <v>11.928590909090909</v>
      </c>
      <c r="HL8" s="60">
        <v>2624.29</v>
      </c>
      <c r="HM8" s="28">
        <f>HL8*HM$6</f>
        <v>262.42900000000003</v>
      </c>
      <c r="HN8" s="28">
        <f>HL8*HN$6</f>
        <v>209.94319999999999</v>
      </c>
      <c r="HO8" s="28">
        <f>HL8/HO$6</f>
        <v>218.69083333333333</v>
      </c>
      <c r="HP8" s="28">
        <f>HO8/HP$6</f>
        <v>72.896944444444443</v>
      </c>
      <c r="HQ8" s="61">
        <f>HL8/HQ$6</f>
        <v>218.69083333333333</v>
      </c>
      <c r="HR8" s="61">
        <f>SUM(HL8:HQ8)</f>
        <v>3606.9408111111115</v>
      </c>
      <c r="HS8" s="62"/>
      <c r="HT8" s="62"/>
      <c r="HU8" s="62"/>
      <c r="HV8" s="62"/>
      <c r="HW8" s="62"/>
      <c r="HX8" s="63">
        <f>((HK8*HX$6)+(HK8*HM$6)+(HK8*HN$6))*HS8</f>
        <v>0</v>
      </c>
      <c r="HY8" s="63">
        <f>((HK8*HY6)+(HK8*HM6)+(HK8*HN6))*HT8</f>
        <v>0</v>
      </c>
      <c r="HZ8" s="63">
        <f>((HK8*HZ$6)+(HK8*HM$6)+(HK8*HN$6))*HU8</f>
        <v>0</v>
      </c>
      <c r="IA8" s="63">
        <f>((HK8*IA$6)+(HK8*HM$6)+(HK8*HN$6))*HV8</f>
        <v>0</v>
      </c>
      <c r="IB8" s="63">
        <f>((HK8*IB$6)+(HK8*HM$6)+(HK8*HN$6))*HW8</f>
        <v>0</v>
      </c>
      <c r="IC8" s="61">
        <f>SUM(HX8:IB8)</f>
        <v>0</v>
      </c>
      <c r="ID8" s="64">
        <v>0</v>
      </c>
      <c r="IE8" s="65">
        <f>IF(HI8=1,($C$1*$W$6),0)</f>
        <v>0</v>
      </c>
      <c r="IF8" s="212">
        <f>HR8+IC8+ID8+IE8</f>
        <v>3606.9408111111115</v>
      </c>
      <c r="IG8" s="49">
        <v>0</v>
      </c>
      <c r="IH8" s="59" t="s">
        <v>191</v>
      </c>
      <c r="II8" s="28">
        <f>IJ8/$AY$4</f>
        <v>11.928590909090909</v>
      </c>
      <c r="IJ8" s="60">
        <v>2624.29</v>
      </c>
      <c r="IK8" s="28">
        <f>IJ8*IK$6</f>
        <v>262.42900000000003</v>
      </c>
      <c r="IL8" s="28">
        <f>IJ8*IL$6</f>
        <v>209.94319999999999</v>
      </c>
      <c r="IM8" s="28">
        <f>IJ8/IM$6</f>
        <v>218.69083333333333</v>
      </c>
      <c r="IN8" s="28">
        <f>IM8/IN$6</f>
        <v>72.896944444444443</v>
      </c>
      <c r="IO8" s="61">
        <f>IJ8/IO$6</f>
        <v>218.69083333333333</v>
      </c>
      <c r="IP8" s="61">
        <f>SUM(IJ8:IO8)</f>
        <v>3606.9408111111115</v>
      </c>
      <c r="IQ8" s="62"/>
      <c r="IR8" s="62"/>
      <c r="IS8" s="62"/>
      <c r="IT8" s="62"/>
      <c r="IU8" s="62"/>
      <c r="IV8" s="63">
        <f>((II8*IV$6)+(II8*IK$6)+(II8*IL$6))*IQ8</f>
        <v>0</v>
      </c>
      <c r="IW8" s="63">
        <f>((II8*IW6)+(II8*IK6)+(II8*IL6))*IR8</f>
        <v>0</v>
      </c>
      <c r="IX8" s="63">
        <f>((II8*IX$6)+(II8*IK$6)+(II8*IL$6))*IS8</f>
        <v>0</v>
      </c>
      <c r="IY8" s="63">
        <f>((II8*IY$6)+(II8*IK$6)+(II8*IL$6))*IT8</f>
        <v>0</v>
      </c>
      <c r="IZ8" s="63">
        <f>((II8*IZ$6)+(II8*IK$6)+(II8*IL$6))*IU8</f>
        <v>0</v>
      </c>
      <c r="JA8" s="61">
        <f>SUM(IV8:IZ8)</f>
        <v>0</v>
      </c>
      <c r="JB8" s="64">
        <v>0</v>
      </c>
      <c r="JC8" s="65">
        <f>IF(IG8=1,($C$1*$W$6),0)</f>
        <v>0</v>
      </c>
      <c r="JD8" s="476">
        <f>IP8+JA8+JB8+JC8</f>
        <v>3606.9408111111115</v>
      </c>
      <c r="JE8" s="49">
        <v>0</v>
      </c>
      <c r="JF8" s="59" t="s">
        <v>191</v>
      </c>
      <c r="JG8" s="28">
        <f>JH8/$AY$4</f>
        <v>11.928590909090909</v>
      </c>
      <c r="JH8" s="60">
        <v>2624.29</v>
      </c>
      <c r="JI8" s="28">
        <f>JH8*JI$6</f>
        <v>262.42900000000003</v>
      </c>
      <c r="JJ8" s="28">
        <f>JH8*JJ$6</f>
        <v>209.94319999999999</v>
      </c>
      <c r="JK8" s="28">
        <f>JH8/JK$6</f>
        <v>218.69083333333333</v>
      </c>
      <c r="JL8" s="28">
        <f>JK8/JL$6</f>
        <v>72.896944444444443</v>
      </c>
      <c r="JM8" s="61">
        <f>JH8/JM$6</f>
        <v>218.69083333333333</v>
      </c>
      <c r="JN8" s="61">
        <f>SUM(JH8:JM8)</f>
        <v>3606.9408111111115</v>
      </c>
      <c r="JO8" s="62"/>
      <c r="JP8" s="62"/>
      <c r="JQ8" s="62"/>
      <c r="JR8" s="62"/>
      <c r="JS8" s="62"/>
      <c r="JT8" s="63">
        <f>((JG8*JT$6)+(JG8*JI$6)+(JG8*JJ$6))*JO8</f>
        <v>0</v>
      </c>
      <c r="JU8" s="63">
        <f>((JG8*JU6)+(JG8*JI6)+(JG8*JJ6))*JP8</f>
        <v>0</v>
      </c>
      <c r="JV8" s="63">
        <f>((JG8*JV$6)+(JG8*JI$6)+(JG8*JJ$6))*JQ8</f>
        <v>0</v>
      </c>
      <c r="JW8" s="63">
        <f>((JG8*JW$6)+(JG8*JI$6)+(JG8*JJ$6))*JR8</f>
        <v>0</v>
      </c>
      <c r="JX8" s="63">
        <f>((JG8*JX$6)+(JG8*JI$6)+(JG8*JJ$6))*JS8</f>
        <v>0</v>
      </c>
      <c r="JY8" s="61">
        <f>SUM(JT8:JX8)</f>
        <v>0</v>
      </c>
      <c r="JZ8" s="64">
        <v>0</v>
      </c>
      <c r="KA8" s="65">
        <f>IF(JE8=1,($C$1*$W$6),0)</f>
        <v>0</v>
      </c>
      <c r="KB8" s="476">
        <f>JN8+JY8+JZ8+KA8</f>
        <v>3606.9408111111115</v>
      </c>
      <c r="KC8" s="37"/>
      <c r="KD8" s="37"/>
      <c r="KE8" s="37"/>
      <c r="KF8" s="37"/>
      <c r="KG8" s="37"/>
      <c r="KH8" s="37"/>
      <c r="KI8" s="37"/>
      <c r="KJ8" s="37"/>
    </row>
    <row r="9" spans="1:296" x14ac:dyDescent="0.3">
      <c r="A9" s="49">
        <v>0</v>
      </c>
      <c r="B9" s="59" t="s">
        <v>199</v>
      </c>
      <c r="C9" s="28">
        <f>D9/$AY$4</f>
        <v>5.9643181818181823</v>
      </c>
      <c r="D9" s="60">
        <v>1312.15</v>
      </c>
      <c r="E9" s="28">
        <f>D9*E$6</f>
        <v>131.215</v>
      </c>
      <c r="F9" s="28">
        <f>D9*F$6</f>
        <v>104.97200000000001</v>
      </c>
      <c r="G9" s="28">
        <f>D9/G$6</f>
        <v>109.34583333333335</v>
      </c>
      <c r="H9" s="28">
        <f>G9/H$6</f>
        <v>36.448611111111113</v>
      </c>
      <c r="I9" s="61">
        <f>D9/I$6</f>
        <v>109.34583333333335</v>
      </c>
      <c r="J9" s="61">
        <f>SUM(D9:I9)</f>
        <v>1803.4772777777778</v>
      </c>
      <c r="K9" s="62"/>
      <c r="L9" s="62"/>
      <c r="M9" s="62"/>
      <c r="N9" s="62"/>
      <c r="O9" s="62"/>
      <c r="P9" s="63">
        <f>((C9*P$6)+(C9*E$6)+(C9*F$6))*K9</f>
        <v>0</v>
      </c>
      <c r="Q9" s="63">
        <f>((C9*Q$6)+(C9*E$6)+(C9*F$6))*L9</f>
        <v>0</v>
      </c>
      <c r="R9" s="63">
        <f>((C9*R$6)+(C9*E$6)+(C9*F$6))*M9</f>
        <v>0</v>
      </c>
      <c r="S9" s="63">
        <f>((C9*S$6)+(C9*E$6)+(C9*F$6))*N9</f>
        <v>0</v>
      </c>
      <c r="T9" s="63">
        <f t="shared" ref="T9:T10" si="0">((C9*T$6)+(C9*E$6)+(C9*F$6))*O9</f>
        <v>0</v>
      </c>
      <c r="U9" s="61">
        <f t="shared" ref="U9:U10" si="1">SUM(P9:T9)</f>
        <v>0</v>
      </c>
      <c r="V9" s="64">
        <v>0</v>
      </c>
      <c r="W9" s="65">
        <f>IF(A9=1,($C$1*$W$6),0)</f>
        <v>0</v>
      </c>
      <c r="X9" s="212">
        <f>J9+U9+V9+W9</f>
        <v>1803.4772777777778</v>
      </c>
      <c r="Y9" s="49">
        <v>0</v>
      </c>
      <c r="Z9" s="59" t="s">
        <v>199</v>
      </c>
      <c r="AA9" s="28">
        <f>AB9/$AY$4</f>
        <v>5.9643181818181823</v>
      </c>
      <c r="AB9" s="60">
        <v>1312.15</v>
      </c>
      <c r="AC9" s="28">
        <f>AB9*AC$6</f>
        <v>131.215</v>
      </c>
      <c r="AD9" s="28">
        <f>AB9*AD$6</f>
        <v>104.97200000000001</v>
      </c>
      <c r="AE9" s="28">
        <f>AB9/AE$6</f>
        <v>109.34583333333335</v>
      </c>
      <c r="AF9" s="28">
        <f>AE9/AF$6</f>
        <v>36.448611111111113</v>
      </c>
      <c r="AG9" s="61">
        <f>AB9/AG$6</f>
        <v>109.34583333333335</v>
      </c>
      <c r="AH9" s="61">
        <f>SUM(AB9:AG9)</f>
        <v>1803.4772777777778</v>
      </c>
      <c r="AI9" s="62"/>
      <c r="AJ9" s="62"/>
      <c r="AK9" s="62"/>
      <c r="AL9" s="62"/>
      <c r="AM9" s="62"/>
      <c r="AN9" s="63">
        <f>((AA9*AN$6)+(AA9*AC$6)+(AA9*AD$6))*AI9</f>
        <v>0</v>
      </c>
      <c r="AO9" s="63">
        <f>((AA9*AO$6)+(AA9*AC$6)+(AA9*AD$6))*AJ9</f>
        <v>0</v>
      </c>
      <c r="AP9" s="63">
        <f>((AA9*AP$6)+(AA9*AC$6)+(AA9*AD$6))*AK9</f>
        <v>0</v>
      </c>
      <c r="AQ9" s="63">
        <f>((AA9*AQ$6)+(AA9*AC$6)+(AA9*AD$6))*AL9</f>
        <v>0</v>
      </c>
      <c r="AR9" s="63">
        <f t="shared" ref="AR9:AR10" si="2">((AA9*AR$6)+(AA9*AC$6)+(AA9*AD$6))*AM9</f>
        <v>0</v>
      </c>
      <c r="AS9" s="61">
        <f t="shared" ref="AS9:AS10" si="3">SUM(AN9:AR9)</f>
        <v>0</v>
      </c>
      <c r="AT9" s="64">
        <v>0</v>
      </c>
      <c r="AU9" s="65">
        <f>IF(Y9=1,($C$1*$W$6),0)</f>
        <v>0</v>
      </c>
      <c r="AV9" s="212">
        <f>AH9+AS9+AT9+AU9</f>
        <v>1803.4772777777778</v>
      </c>
      <c r="AW9" s="49">
        <v>0</v>
      </c>
      <c r="AX9" s="59" t="s">
        <v>199</v>
      </c>
      <c r="AY9" s="28">
        <f>AZ9/$AY$4</f>
        <v>5.9643181818181823</v>
      </c>
      <c r="AZ9" s="60">
        <v>1312.15</v>
      </c>
      <c r="BA9" s="28">
        <f>AZ9*BA$6</f>
        <v>131.215</v>
      </c>
      <c r="BB9" s="28">
        <f>AZ9*BB$6</f>
        <v>104.97200000000001</v>
      </c>
      <c r="BC9" s="28">
        <f>AZ9/BC$6</f>
        <v>109.34583333333335</v>
      </c>
      <c r="BD9" s="28">
        <f>BC9/BD$6</f>
        <v>36.448611111111113</v>
      </c>
      <c r="BE9" s="61">
        <f>AZ9/BE$6</f>
        <v>109.34583333333335</v>
      </c>
      <c r="BF9" s="61">
        <f>SUM(AZ9:BE9)</f>
        <v>1803.4772777777778</v>
      </c>
      <c r="BG9" s="62"/>
      <c r="BH9" s="62"/>
      <c r="BI9" s="62"/>
      <c r="BJ9" s="62"/>
      <c r="BK9" s="62"/>
      <c r="BL9" s="63">
        <f>((AY9*BL$6)+(AY9*BA$6)+(AY9*BB$6))*BG9</f>
        <v>0</v>
      </c>
      <c r="BM9" s="63">
        <f>((AY9*BM$6)+(AY9*BA$6)+(AY9*BB$6))*BH9</f>
        <v>0</v>
      </c>
      <c r="BN9" s="63">
        <f>((AY9*BN$6)+(AY9*BA$6)+(AY9*BB$6))*BI9</f>
        <v>0</v>
      </c>
      <c r="BO9" s="63">
        <f>((AY9*BO$6)+(AY9*BA$6)+(AY9*BB$6))*BJ9</f>
        <v>0</v>
      </c>
      <c r="BP9" s="63">
        <f t="shared" ref="BP9:BP10" si="4">((AY9*BP$6)+(AY9*BA$6)+(AY9*BB$6))*BK9</f>
        <v>0</v>
      </c>
      <c r="BQ9" s="61">
        <f t="shared" ref="BQ9:BQ10" si="5">SUM(BL9:BP9)</f>
        <v>0</v>
      </c>
      <c r="BR9" s="64">
        <v>0</v>
      </c>
      <c r="BS9" s="65">
        <f>IF(AW9=1,($C$1*$W$6),0)</f>
        <v>0</v>
      </c>
      <c r="BT9" s="212">
        <f>BF9+BQ9+BR9+BS9</f>
        <v>1803.4772777777778</v>
      </c>
      <c r="BU9" s="49">
        <v>0</v>
      </c>
      <c r="BV9" s="59" t="s">
        <v>199</v>
      </c>
      <c r="BW9" s="28">
        <f>BX9/$AY$4</f>
        <v>5.9643181818181823</v>
      </c>
      <c r="BX9" s="60">
        <v>1312.15</v>
      </c>
      <c r="BY9" s="28">
        <f>BX9*BY$6</f>
        <v>131.215</v>
      </c>
      <c r="BZ9" s="28">
        <f>BX9*BZ$6</f>
        <v>104.97200000000001</v>
      </c>
      <c r="CA9" s="28">
        <f>BX9/CA$6</f>
        <v>109.34583333333335</v>
      </c>
      <c r="CB9" s="28">
        <f>CA9/CB$6</f>
        <v>36.448611111111113</v>
      </c>
      <c r="CC9" s="61">
        <f>BX9/CC$6</f>
        <v>109.34583333333335</v>
      </c>
      <c r="CD9" s="61">
        <f>SUM(BX9:CC9)</f>
        <v>1803.4772777777778</v>
      </c>
      <c r="CE9" s="62"/>
      <c r="CF9" s="62"/>
      <c r="CG9" s="62"/>
      <c r="CH9" s="62"/>
      <c r="CI9" s="62"/>
      <c r="CJ9" s="63">
        <f>((BW9*CJ$6)+(BW9*BY$6)+(BW9*BZ$6))*CE9</f>
        <v>0</v>
      </c>
      <c r="CK9" s="63">
        <f>((BW9*CK$6)+(BW9*BY$6)+(BW9*BZ$6))*CF9</f>
        <v>0</v>
      </c>
      <c r="CL9" s="63">
        <f>((BW9*CL$6)+(BW9*BY$6)+(BW9*BZ$6))*CG9</f>
        <v>0</v>
      </c>
      <c r="CM9" s="63">
        <f>((BW9*CM$6)+(BW9*BY$6)+(BW9*BZ$6))*CH9</f>
        <v>0</v>
      </c>
      <c r="CN9" s="63">
        <f t="shared" ref="CN9:CN10" si="6">((BW9*CN$6)+(BW9*BY$6)+(BW9*BZ$6))*CI9</f>
        <v>0</v>
      </c>
      <c r="CO9" s="61">
        <f t="shared" ref="CO9:CO10" si="7">SUM(CJ9:CN9)</f>
        <v>0</v>
      </c>
      <c r="CP9" s="64">
        <v>0</v>
      </c>
      <c r="CQ9" s="65">
        <f>IF(BU9=1,($C$1*$W$6),0)</f>
        <v>0</v>
      </c>
      <c r="CR9" s="212">
        <f>CD9+CO9+CP9+CQ9</f>
        <v>1803.4772777777778</v>
      </c>
      <c r="CS9" s="49">
        <v>0</v>
      </c>
      <c r="CT9" s="59" t="s">
        <v>199</v>
      </c>
      <c r="CU9" s="28">
        <f>CV9/$AY$4</f>
        <v>5.9643181818181823</v>
      </c>
      <c r="CV9" s="60">
        <v>1312.15</v>
      </c>
      <c r="CW9" s="28">
        <f>CV9*CW$6</f>
        <v>131.215</v>
      </c>
      <c r="CX9" s="28">
        <f>CV9*CX$6</f>
        <v>104.97200000000001</v>
      </c>
      <c r="CY9" s="28">
        <f>CV9/CY$6</f>
        <v>109.34583333333335</v>
      </c>
      <c r="CZ9" s="28">
        <f>CY9/CZ$6</f>
        <v>36.448611111111113</v>
      </c>
      <c r="DA9" s="61">
        <f>CV9/DA$6</f>
        <v>109.34583333333335</v>
      </c>
      <c r="DB9" s="61">
        <f>SUM(CV9:DA9)</f>
        <v>1803.4772777777778</v>
      </c>
      <c r="DC9" s="62"/>
      <c r="DD9" s="62"/>
      <c r="DE9" s="62"/>
      <c r="DF9" s="62"/>
      <c r="DG9" s="62"/>
      <c r="DH9" s="63">
        <f>((CU9*DH$6)+(CU9*CW$6)+(CU9*CX$6))*DC9</f>
        <v>0</v>
      </c>
      <c r="DI9" s="63">
        <f>((CU9*DI$6)+(CU9*CW$6)+(CU9*CX$6))*DD9</f>
        <v>0</v>
      </c>
      <c r="DJ9" s="63">
        <f>((CU9*DJ$6)+(CU9*CW$6)+(CU9*CX$6))*DE9</f>
        <v>0</v>
      </c>
      <c r="DK9" s="63">
        <f>((CU9*DK$6)+(CU9*CW$6)+(CU9*CX$6))*DF9</f>
        <v>0</v>
      </c>
      <c r="DL9" s="63">
        <f t="shared" ref="DL9:DL10" si="8">((CU9*DL$6)+(CU9*CW$6)+(CU9*CX$6))*DG9</f>
        <v>0</v>
      </c>
      <c r="DM9" s="61">
        <f t="shared" ref="DM9:DM10" si="9">SUM(DH9:DL9)</f>
        <v>0</v>
      </c>
      <c r="DN9" s="64">
        <v>0</v>
      </c>
      <c r="DO9" s="65">
        <f>IF(CS9=1,($C$1*$W$6),0)</f>
        <v>0</v>
      </c>
      <c r="DP9" s="212">
        <f>DB9+DM9+DN9+DO9</f>
        <v>1803.4772777777778</v>
      </c>
      <c r="DQ9" s="49">
        <v>0</v>
      </c>
      <c r="DR9" s="59" t="s">
        <v>199</v>
      </c>
      <c r="DS9" s="28">
        <f>DT9/$AY$4</f>
        <v>5.9643181818181823</v>
      </c>
      <c r="DT9" s="60">
        <v>1312.15</v>
      </c>
      <c r="DU9" s="28">
        <f>DT9*DU$6</f>
        <v>131.215</v>
      </c>
      <c r="DV9" s="28">
        <f>DT9*DV$6</f>
        <v>104.97200000000001</v>
      </c>
      <c r="DW9" s="28">
        <f>DT9/DW$6</f>
        <v>109.34583333333335</v>
      </c>
      <c r="DX9" s="28">
        <f>DW9/DX$6</f>
        <v>36.448611111111113</v>
      </c>
      <c r="DY9" s="61">
        <f>DT9/DY$6</f>
        <v>109.34583333333335</v>
      </c>
      <c r="DZ9" s="61">
        <f>SUM(DT9:DY9)</f>
        <v>1803.4772777777778</v>
      </c>
      <c r="EA9" s="62"/>
      <c r="EB9" s="62"/>
      <c r="EC9" s="62"/>
      <c r="ED9" s="62"/>
      <c r="EE9" s="62"/>
      <c r="EF9" s="63">
        <f>((DS9*EF$6)+(DS9*DU$6)+(DS9*DV$6))*EA9</f>
        <v>0</v>
      </c>
      <c r="EG9" s="63">
        <f>((DS9*EG$6)+(DS9*DU$6)+(DS9*DV$6))*EB9</f>
        <v>0</v>
      </c>
      <c r="EH9" s="63">
        <f>((DS9*EH$6)+(DS9*DU$6)+(DS9*DV$6))*EC9</f>
        <v>0</v>
      </c>
      <c r="EI9" s="63">
        <f>((DS9*EI$6)+(DS9*DU$6)+(DS9*DV$6))*ED9</f>
        <v>0</v>
      </c>
      <c r="EJ9" s="63">
        <f t="shared" ref="EJ9:EJ10" si="10">((DS9*EJ$6)+(DS9*DU$6)+(DS9*DV$6))*EE9</f>
        <v>0</v>
      </c>
      <c r="EK9" s="61">
        <f t="shared" ref="EK9:EK10" si="11">SUM(EF9:EJ9)</f>
        <v>0</v>
      </c>
      <c r="EL9" s="64">
        <v>0</v>
      </c>
      <c r="EM9" s="65">
        <f>IF(DQ9=1,($C$1*$W$6),0)</f>
        <v>0</v>
      </c>
      <c r="EN9" s="212">
        <f>DZ9+EK9+EL9+EM9</f>
        <v>1803.4772777777778</v>
      </c>
      <c r="EO9" s="49">
        <v>0</v>
      </c>
      <c r="EP9" s="59" t="s">
        <v>199</v>
      </c>
      <c r="EQ9" s="28">
        <f>ER9/$AY$4</f>
        <v>5.9643181818181823</v>
      </c>
      <c r="ER9" s="60">
        <v>1312.15</v>
      </c>
      <c r="ES9" s="28">
        <f>ER9*ES$6</f>
        <v>131.215</v>
      </c>
      <c r="ET9" s="28">
        <f>ER9*ET$6</f>
        <v>104.97200000000001</v>
      </c>
      <c r="EU9" s="28">
        <f>ER9/EU$6</f>
        <v>109.34583333333335</v>
      </c>
      <c r="EV9" s="28">
        <f>EU9/EV$6</f>
        <v>36.448611111111113</v>
      </c>
      <c r="EW9" s="61">
        <f>ER9/EW$6</f>
        <v>109.34583333333335</v>
      </c>
      <c r="EX9" s="61">
        <f>SUM(ER9:EW9)</f>
        <v>1803.4772777777778</v>
      </c>
      <c r="EY9" s="62"/>
      <c r="EZ9" s="62"/>
      <c r="FA9" s="62"/>
      <c r="FB9" s="62"/>
      <c r="FC9" s="62"/>
      <c r="FD9" s="63">
        <f>((EQ9*FD$6)+(EQ9*ES$6)+(EQ9*ET$6))*EY9</f>
        <v>0</v>
      </c>
      <c r="FE9" s="63">
        <f>((EQ9*FE$6)+(EQ9*ES$6)+(EQ9*ET$6))*EZ9</f>
        <v>0</v>
      </c>
      <c r="FF9" s="63">
        <f>((EQ9*FF$6)+(EQ9*ES$6)+(EQ9*ET$6))*FA9</f>
        <v>0</v>
      </c>
      <c r="FG9" s="63">
        <f>((EQ9*FG$6)+(EQ9*ES$6)+(EQ9*ET$6))*FB9</f>
        <v>0</v>
      </c>
      <c r="FH9" s="63">
        <f t="shared" ref="FH9:FH10" si="12">((EQ9*FH$6)+(EQ9*ES$6)+(EQ9*ET$6))*FC9</f>
        <v>0</v>
      </c>
      <c r="FI9" s="61">
        <f t="shared" ref="FI9:FI10" si="13">SUM(FD9:FH9)</f>
        <v>0</v>
      </c>
      <c r="FJ9" s="64">
        <v>0</v>
      </c>
      <c r="FK9" s="65">
        <f>IF(EO9=1,($C$1*$W$6),0)</f>
        <v>0</v>
      </c>
      <c r="FL9" s="212">
        <f>EX9+FI9+FJ9+FK9</f>
        <v>1803.4772777777778</v>
      </c>
      <c r="FM9" s="49">
        <v>0</v>
      </c>
      <c r="FN9" s="59" t="s">
        <v>199</v>
      </c>
      <c r="FO9" s="28">
        <f>FP9/$AY$4</f>
        <v>5.9643181818181823</v>
      </c>
      <c r="FP9" s="60">
        <v>1312.15</v>
      </c>
      <c r="FQ9" s="28">
        <f>FP9*FQ$6</f>
        <v>131.215</v>
      </c>
      <c r="FR9" s="28">
        <f>FP9*FR$6</f>
        <v>104.97200000000001</v>
      </c>
      <c r="FS9" s="28">
        <f>FP9/FS$6</f>
        <v>109.34583333333335</v>
      </c>
      <c r="FT9" s="28">
        <f>FS9/FT$6</f>
        <v>36.448611111111113</v>
      </c>
      <c r="FU9" s="61">
        <f>FP9/FU$6</f>
        <v>109.34583333333335</v>
      </c>
      <c r="FV9" s="61">
        <f>SUM(FP9:FU9)</f>
        <v>1803.4772777777778</v>
      </c>
      <c r="FW9" s="62"/>
      <c r="FX9" s="62"/>
      <c r="FY9" s="62"/>
      <c r="FZ9" s="62"/>
      <c r="GA9" s="62"/>
      <c r="GB9" s="63">
        <f>((FO9*GB$6)+(FO9*FQ$6)+(FO9*FR$6))*FW9</f>
        <v>0</v>
      </c>
      <c r="GC9" s="63">
        <f>((FO9*GC$6)+(FO9*FQ$6)+(FO9*FR$6))*FX9</f>
        <v>0</v>
      </c>
      <c r="GD9" s="63">
        <f>((FO9*GD$6)+(FO9*FQ$6)+(FO9*FR$6))*FY9</f>
        <v>0</v>
      </c>
      <c r="GE9" s="63">
        <f>((FO9*GE$6)+(FO9*FQ$6)+(FO9*FR$6))*FZ9</f>
        <v>0</v>
      </c>
      <c r="GF9" s="63">
        <f t="shared" ref="GF9:GF10" si="14">((FO9*GF$6)+(FO9*FQ$6)+(FO9*FR$6))*GA9</f>
        <v>0</v>
      </c>
      <c r="GG9" s="61">
        <f t="shared" ref="GG9:GG10" si="15">SUM(GB9:GF9)</f>
        <v>0</v>
      </c>
      <c r="GH9" s="64">
        <v>0</v>
      </c>
      <c r="GI9" s="65">
        <f>IF(FM9=1,($C$1*$W$6),0)</f>
        <v>0</v>
      </c>
      <c r="GJ9" s="212">
        <f>FV9+GG9+GH9+GI9</f>
        <v>1803.4772777777778</v>
      </c>
      <c r="GK9" s="49">
        <v>0</v>
      </c>
      <c r="GL9" s="59" t="s">
        <v>199</v>
      </c>
      <c r="GM9" s="28">
        <f>GN9/$AY$4</f>
        <v>5.9643181818181823</v>
      </c>
      <c r="GN9" s="60">
        <v>1312.15</v>
      </c>
      <c r="GO9" s="28">
        <f>GN9*GO$6</f>
        <v>131.215</v>
      </c>
      <c r="GP9" s="28">
        <f>GN9*GP$6</f>
        <v>104.97200000000001</v>
      </c>
      <c r="GQ9" s="28">
        <f>GN9/GQ$6</f>
        <v>109.34583333333335</v>
      </c>
      <c r="GR9" s="28">
        <f>GQ9/GR$6</f>
        <v>36.448611111111113</v>
      </c>
      <c r="GS9" s="61">
        <f>GN9/GS$6</f>
        <v>109.34583333333335</v>
      </c>
      <c r="GT9" s="61">
        <f>SUM(GN9:GS9)</f>
        <v>1803.4772777777778</v>
      </c>
      <c r="GU9" s="62"/>
      <c r="GV9" s="62"/>
      <c r="GW9" s="62"/>
      <c r="GX9" s="62"/>
      <c r="GY9" s="62"/>
      <c r="GZ9" s="63">
        <f>((GM9*GZ$6)+(GM9*GO$6)+(GM9*GP$6))*GU9</f>
        <v>0</v>
      </c>
      <c r="HA9" s="63">
        <f>((GM9*HA$6)+(GM9*GO$6)+(GM9*GP$6))*GV9</f>
        <v>0</v>
      </c>
      <c r="HB9" s="63">
        <f>((GM9*HB$6)+(GM9*GO$6)+(GM9*GP$6))*GW9</f>
        <v>0</v>
      </c>
      <c r="HC9" s="63">
        <f>((GM9*HC$6)+(GM9*GO$6)+(GM9*GP$6))*GX9</f>
        <v>0</v>
      </c>
      <c r="HD9" s="63">
        <f t="shared" ref="HD9:HD10" si="16">((GM9*HD$6)+(GM9*GO$6)+(GM9*GP$6))*GY9</f>
        <v>0</v>
      </c>
      <c r="HE9" s="61">
        <f t="shared" ref="HE9:HE10" si="17">SUM(GZ9:HD9)</f>
        <v>0</v>
      </c>
      <c r="HF9" s="64">
        <v>0</v>
      </c>
      <c r="HG9" s="65">
        <f>IF(GK9=1,($C$1*$W$6),0)</f>
        <v>0</v>
      </c>
      <c r="HH9" s="212">
        <f>GT9+HE9+HF9+HG9</f>
        <v>1803.4772777777778</v>
      </c>
      <c r="HI9" s="49">
        <v>0</v>
      </c>
      <c r="HJ9" s="59" t="s">
        <v>199</v>
      </c>
      <c r="HK9" s="28">
        <f>HL9/$AY$4</f>
        <v>5.9643181818181823</v>
      </c>
      <c r="HL9" s="60">
        <v>1312.15</v>
      </c>
      <c r="HM9" s="28">
        <f>HL9*HM$6</f>
        <v>131.215</v>
      </c>
      <c r="HN9" s="28">
        <f>HL9*HN$6</f>
        <v>104.97200000000001</v>
      </c>
      <c r="HO9" s="28">
        <f>HL9/HO$6</f>
        <v>109.34583333333335</v>
      </c>
      <c r="HP9" s="28">
        <f>HO9/HP$6</f>
        <v>36.448611111111113</v>
      </c>
      <c r="HQ9" s="61">
        <f>HL9/HQ$6</f>
        <v>109.34583333333335</v>
      </c>
      <c r="HR9" s="61">
        <f>SUM(HL9:HQ9)</f>
        <v>1803.4772777777778</v>
      </c>
      <c r="HS9" s="62"/>
      <c r="HT9" s="62"/>
      <c r="HU9" s="62"/>
      <c r="HV9" s="62"/>
      <c r="HW9" s="62"/>
      <c r="HX9" s="63">
        <f>((HK9*HX$6)+(HK9*HM$6)+(HK9*HN$6))*HS9</f>
        <v>0</v>
      </c>
      <c r="HY9" s="63">
        <f>((HK9*HY$6)+(HK9*HM$6)+(HK9*HN$6))*HT9</f>
        <v>0</v>
      </c>
      <c r="HZ9" s="63">
        <f>((HK9*HZ$6)+(HK9*HM$6)+(HK9*HN$6))*HU9</f>
        <v>0</v>
      </c>
      <c r="IA9" s="63">
        <f>((HK9*IA$6)+(HK9*HM$6)+(HK9*HN$6))*HV9</f>
        <v>0</v>
      </c>
      <c r="IB9" s="63">
        <f t="shared" ref="IB9:IB10" si="18">((HK9*IB$6)+(HK9*HM$6)+(HK9*HN$6))*HW9</f>
        <v>0</v>
      </c>
      <c r="IC9" s="61">
        <f t="shared" ref="IC9:IC10" si="19">SUM(HX9:IB9)</f>
        <v>0</v>
      </c>
      <c r="ID9" s="64">
        <v>0</v>
      </c>
      <c r="IE9" s="65">
        <f>IF(HI9=1,($C$1*$W$6),0)</f>
        <v>0</v>
      </c>
      <c r="IF9" s="212">
        <f>HR9+IC9+ID9+IE9</f>
        <v>1803.4772777777778</v>
      </c>
      <c r="IG9" s="49">
        <v>0</v>
      </c>
      <c r="IH9" s="59" t="s">
        <v>199</v>
      </c>
      <c r="II9" s="28">
        <f>IJ9/$AY$4</f>
        <v>5.9643181818181823</v>
      </c>
      <c r="IJ9" s="60">
        <v>1312.15</v>
      </c>
      <c r="IK9" s="28">
        <f>IJ9*IK$6</f>
        <v>131.215</v>
      </c>
      <c r="IL9" s="28">
        <f>IJ9*IL$6</f>
        <v>104.97200000000001</v>
      </c>
      <c r="IM9" s="28">
        <f>IJ9/IM$6</f>
        <v>109.34583333333335</v>
      </c>
      <c r="IN9" s="28">
        <f>IM9/IN$6</f>
        <v>36.448611111111113</v>
      </c>
      <c r="IO9" s="61">
        <f>IJ9/IO$6</f>
        <v>109.34583333333335</v>
      </c>
      <c r="IP9" s="61">
        <f>SUM(IJ9:IO9)</f>
        <v>1803.4772777777778</v>
      </c>
      <c r="IQ9" s="62"/>
      <c r="IR9" s="62"/>
      <c r="IS9" s="62"/>
      <c r="IT9" s="62"/>
      <c r="IU9" s="62"/>
      <c r="IV9" s="63">
        <f>((II9*IV$6)+(II9*IK$6)+(II9*IL$6))*IQ9</f>
        <v>0</v>
      </c>
      <c r="IW9" s="63">
        <f>((II9*IW$6)+(II9*IK$6)+(II9*IL$6))*IR9</f>
        <v>0</v>
      </c>
      <c r="IX9" s="63">
        <f>((II9*IX$6)+(II9*IK$6)+(II9*IL$6))*IS9</f>
        <v>0</v>
      </c>
      <c r="IY9" s="63">
        <f>((II9*IY$6)+(II9*IK$6)+(II9*IL$6))*IT9</f>
        <v>0</v>
      </c>
      <c r="IZ9" s="63">
        <f>((II9*IZ$6)+(II9*IK$6)+(II9*IL$6))*IU9</f>
        <v>0</v>
      </c>
      <c r="JA9" s="61">
        <f t="shared" ref="JA9:JA10" si="20">SUM(IV9:IZ9)</f>
        <v>0</v>
      </c>
      <c r="JB9" s="64">
        <v>0</v>
      </c>
      <c r="JC9" s="65">
        <f>IF(IG9=1,($C$1*$W$6),0)</f>
        <v>0</v>
      </c>
      <c r="JD9" s="476">
        <f>IP9+JA9+JB9+JC9</f>
        <v>1803.4772777777778</v>
      </c>
      <c r="JE9" s="49">
        <v>0</v>
      </c>
      <c r="JF9" s="59" t="s">
        <v>199</v>
      </c>
      <c r="JG9" s="28">
        <f>JH9/$AY$4</f>
        <v>5.9643181818181823</v>
      </c>
      <c r="JH9" s="60">
        <v>1312.15</v>
      </c>
      <c r="JI9" s="28">
        <f>JH9*JI$6</f>
        <v>131.215</v>
      </c>
      <c r="JJ9" s="28">
        <f>JH9*JJ$6</f>
        <v>104.97200000000001</v>
      </c>
      <c r="JK9" s="28">
        <f>JH9/JK$6</f>
        <v>109.34583333333335</v>
      </c>
      <c r="JL9" s="28">
        <f>JK9/JL$6</f>
        <v>36.448611111111113</v>
      </c>
      <c r="JM9" s="61">
        <f>JH9/JM$6</f>
        <v>109.34583333333335</v>
      </c>
      <c r="JN9" s="61">
        <f>SUM(JH9:JM9)</f>
        <v>1803.4772777777778</v>
      </c>
      <c r="JO9" s="62"/>
      <c r="JP9" s="62"/>
      <c r="JQ9" s="62"/>
      <c r="JR9" s="62"/>
      <c r="JS9" s="62"/>
      <c r="JT9" s="63">
        <f>((JG9*JT$6)+(JG9*JI$6)+(JG9*JJ$6))*JO9</f>
        <v>0</v>
      </c>
      <c r="JU9" s="63">
        <f>((JG9*JU$6)+(JG9*JI$6)+(JG9*JJ$6))*JP9</f>
        <v>0</v>
      </c>
      <c r="JV9" s="63">
        <f>((JG9*JV$6)+(JG9*JI$6)+(JG9*JJ$6))*JQ9</f>
        <v>0</v>
      </c>
      <c r="JW9" s="63">
        <f>((JG9*JW$6)+(JG9*JI$6)+(JG9*JJ$6))*JR9</f>
        <v>0</v>
      </c>
      <c r="JX9" s="63">
        <f>((JG9*JX$6)+(JG9*JI$6)+(JG9*JJ$6))*JS9</f>
        <v>0</v>
      </c>
      <c r="JY9" s="61">
        <f t="shared" ref="JY9:JY10" si="21">SUM(JT9:JX9)</f>
        <v>0</v>
      </c>
      <c r="JZ9" s="64">
        <v>0</v>
      </c>
      <c r="KA9" s="65">
        <f>IF(JE9=1,($C$1*$W$6),0)</f>
        <v>0</v>
      </c>
      <c r="KB9" s="476">
        <f>JN9+JY9+JZ9+KA9</f>
        <v>1803.4772777777778</v>
      </c>
      <c r="KC9" s="37"/>
      <c r="KD9" s="37"/>
      <c r="KE9" s="37"/>
      <c r="KF9" s="37"/>
      <c r="KG9" s="37"/>
      <c r="KH9" s="37"/>
      <c r="KI9" s="37"/>
      <c r="KJ9" s="37"/>
    </row>
    <row r="10" spans="1:296" x14ac:dyDescent="0.3">
      <c r="A10" s="49">
        <v>0</v>
      </c>
      <c r="B10" s="59"/>
      <c r="C10" s="28">
        <f>D10/$AY$4</f>
        <v>0</v>
      </c>
      <c r="D10" s="60">
        <v>0</v>
      </c>
      <c r="E10" s="28">
        <f>D10*E$6</f>
        <v>0</v>
      </c>
      <c r="F10" s="28">
        <f>D10*F$6</f>
        <v>0</v>
      </c>
      <c r="G10" s="28">
        <f>D10/G$6</f>
        <v>0</v>
      </c>
      <c r="H10" s="28">
        <f>G10/H$6</f>
        <v>0</v>
      </c>
      <c r="I10" s="61">
        <f>D10/I$6</f>
        <v>0</v>
      </c>
      <c r="J10" s="61">
        <f>SUM(D10:I10)</f>
        <v>0</v>
      </c>
      <c r="K10" s="62"/>
      <c r="L10" s="62"/>
      <c r="M10" s="62"/>
      <c r="N10" s="62"/>
      <c r="O10" s="62"/>
      <c r="P10" s="63">
        <f>((C10*P$6)+(C10*E$6)+(C10*F$6))*K10</f>
        <v>0</v>
      </c>
      <c r="Q10" s="63">
        <f>((C10*Q$6)+(C10*E$6)+(C10*F$6))*L10</f>
        <v>0</v>
      </c>
      <c r="R10" s="63">
        <f>((C10*R$6)+(C10*F$6)+(C10*E$6))*M10</f>
        <v>0</v>
      </c>
      <c r="S10" s="63">
        <f>((C10*S$6)+(C10*E$6)+(C10*F$6))*N10</f>
        <v>0</v>
      </c>
      <c r="T10" s="63">
        <f t="shared" si="0"/>
        <v>0</v>
      </c>
      <c r="U10" s="61">
        <f t="shared" si="1"/>
        <v>0</v>
      </c>
      <c r="V10" s="64">
        <v>0</v>
      </c>
      <c r="W10" s="65">
        <f>IF(A10=1,($C$1*$W$6),0)</f>
        <v>0</v>
      </c>
      <c r="X10" s="212">
        <f>J10+U10+V10+W10</f>
        <v>0</v>
      </c>
      <c r="Y10" s="49">
        <v>0</v>
      </c>
      <c r="Z10" s="59"/>
      <c r="AA10" s="28">
        <f>AB10/$AY$4</f>
        <v>0</v>
      </c>
      <c r="AB10" s="60">
        <v>0</v>
      </c>
      <c r="AC10" s="28">
        <f>AB10*AC$6</f>
        <v>0</v>
      </c>
      <c r="AD10" s="28">
        <f>AB10*AD$6</f>
        <v>0</v>
      </c>
      <c r="AE10" s="28">
        <f>AB10/AE$6</f>
        <v>0</v>
      </c>
      <c r="AF10" s="28">
        <f>AE10/AF$6</f>
        <v>0</v>
      </c>
      <c r="AG10" s="61">
        <f>AB10/AG$6</f>
        <v>0</v>
      </c>
      <c r="AH10" s="61">
        <f>SUM(AB10:AG10)</f>
        <v>0</v>
      </c>
      <c r="AI10" s="62"/>
      <c r="AJ10" s="62"/>
      <c r="AK10" s="62"/>
      <c r="AL10" s="62"/>
      <c r="AM10" s="62"/>
      <c r="AN10" s="63">
        <f>((AA10*AN$6)+(AA10*AC$6)+(AA10*AD$6))*AI10</f>
        <v>0</v>
      </c>
      <c r="AO10" s="63">
        <f>((AA10*AO$6)+(AA10*AC$6)+(AA10*AD$6))*AJ10</f>
        <v>0</v>
      </c>
      <c r="AP10" s="63">
        <f>((AA10*AP$6)+(AA10*AD$6)+(AA10*AC$6))*AK10</f>
        <v>0</v>
      </c>
      <c r="AQ10" s="63">
        <f>((AA10*AQ$6)+(AA10*AC$6)+(AA10*AD$6))*AL10</f>
        <v>0</v>
      </c>
      <c r="AR10" s="63">
        <f t="shared" si="2"/>
        <v>0</v>
      </c>
      <c r="AS10" s="61">
        <f t="shared" si="3"/>
        <v>0</v>
      </c>
      <c r="AT10" s="64">
        <v>0</v>
      </c>
      <c r="AU10" s="65">
        <f>IF(Y10=1,($C$1*$W$6),0)</f>
        <v>0</v>
      </c>
      <c r="AV10" s="212">
        <f>AH10+AS10+AT10+AU10</f>
        <v>0</v>
      </c>
      <c r="AW10" s="49">
        <v>0</v>
      </c>
      <c r="AX10" s="59"/>
      <c r="AY10" s="28">
        <f>AZ10/$AY$4</f>
        <v>0</v>
      </c>
      <c r="AZ10" s="60">
        <v>0</v>
      </c>
      <c r="BA10" s="28">
        <f>AZ10*BA$6</f>
        <v>0</v>
      </c>
      <c r="BB10" s="28">
        <f>AZ10*BB$6</f>
        <v>0</v>
      </c>
      <c r="BC10" s="28">
        <f>AZ10/BC$6</f>
        <v>0</v>
      </c>
      <c r="BD10" s="28">
        <f>BC10/BD$6</f>
        <v>0</v>
      </c>
      <c r="BE10" s="61">
        <f>AZ10/BE$6</f>
        <v>0</v>
      </c>
      <c r="BF10" s="61">
        <f>SUM(AZ10:BE10)</f>
        <v>0</v>
      </c>
      <c r="BG10" s="62"/>
      <c r="BH10" s="62"/>
      <c r="BI10" s="62"/>
      <c r="BJ10" s="62"/>
      <c r="BK10" s="62"/>
      <c r="BL10" s="63">
        <f>((AY10*BL$6)+(AY10*BA$6)+(AY10*BB$6))*BG10</f>
        <v>0</v>
      </c>
      <c r="BM10" s="63">
        <f>((AY10*BM$6)+(AY10*BA$6)+(AY10*BB$6))*BH10</f>
        <v>0</v>
      </c>
      <c r="BN10" s="63">
        <f>((AY10*BN$6)+(AY10*BB$6)+(AY10*BA$6))*BI10</f>
        <v>0</v>
      </c>
      <c r="BO10" s="63">
        <f>((AY10*BO$6)+(AY10*BA$6)+(AY10*BB$6))*BJ10</f>
        <v>0</v>
      </c>
      <c r="BP10" s="63">
        <f t="shared" si="4"/>
        <v>0</v>
      </c>
      <c r="BQ10" s="61">
        <f t="shared" si="5"/>
        <v>0</v>
      </c>
      <c r="BR10" s="64">
        <v>0</v>
      </c>
      <c r="BS10" s="65">
        <f>IF(AW10=1,($C$1*$W$6),0)</f>
        <v>0</v>
      </c>
      <c r="BT10" s="212">
        <f>BF10+BQ10+BR10+BS10</f>
        <v>0</v>
      </c>
      <c r="BU10" s="49">
        <v>0</v>
      </c>
      <c r="BV10" s="59"/>
      <c r="BW10" s="28">
        <f>BX10/$AY$4</f>
        <v>0</v>
      </c>
      <c r="BX10" s="60">
        <v>0</v>
      </c>
      <c r="BY10" s="28">
        <f>BX10*BY$6</f>
        <v>0</v>
      </c>
      <c r="BZ10" s="28">
        <f>BX10*BZ$6</f>
        <v>0</v>
      </c>
      <c r="CA10" s="28">
        <f>BX10/CA$6</f>
        <v>0</v>
      </c>
      <c r="CB10" s="28">
        <f>CA10/CB$6</f>
        <v>0</v>
      </c>
      <c r="CC10" s="61">
        <f>BX10/CC$6</f>
        <v>0</v>
      </c>
      <c r="CD10" s="61">
        <f>SUM(BX10:CC10)</f>
        <v>0</v>
      </c>
      <c r="CE10" s="62"/>
      <c r="CF10" s="62"/>
      <c r="CG10" s="62"/>
      <c r="CH10" s="62"/>
      <c r="CI10" s="62"/>
      <c r="CJ10" s="63">
        <f>((BW10*CJ$6)+(BW10*BY$6)+(BW10*BZ$6))*CE10</f>
        <v>0</v>
      </c>
      <c r="CK10" s="63">
        <f>((BW10*CK$6)+(BW10*BY$6)+(BW10*BZ$6))*CF10</f>
        <v>0</v>
      </c>
      <c r="CL10" s="63">
        <f>((BW10*CL$6)+(BW10*BZ$6)+(BW10*BY$6))*CG10</f>
        <v>0</v>
      </c>
      <c r="CM10" s="63">
        <f>((BW10*CM$6)+(BW10*BY$6)+(BW10*BZ$6))*CH10</f>
        <v>0</v>
      </c>
      <c r="CN10" s="63">
        <f t="shared" si="6"/>
        <v>0</v>
      </c>
      <c r="CO10" s="61">
        <f t="shared" si="7"/>
        <v>0</v>
      </c>
      <c r="CP10" s="64">
        <v>0</v>
      </c>
      <c r="CQ10" s="65">
        <f>IF(BU10=1,($C$1*$W$6),0)</f>
        <v>0</v>
      </c>
      <c r="CR10" s="212">
        <f>CD10+CO10+CP10+CQ10</f>
        <v>0</v>
      </c>
      <c r="CS10" s="49">
        <v>0</v>
      </c>
      <c r="CT10" s="59"/>
      <c r="CU10" s="28">
        <f>CV10/$AY$4</f>
        <v>0</v>
      </c>
      <c r="CV10" s="60">
        <v>0</v>
      </c>
      <c r="CW10" s="28">
        <f>CV10*CW$6</f>
        <v>0</v>
      </c>
      <c r="CX10" s="28">
        <f>CV10*CX$6</f>
        <v>0</v>
      </c>
      <c r="CY10" s="28">
        <f>CV10/CY$6</f>
        <v>0</v>
      </c>
      <c r="CZ10" s="28">
        <f>CY10/CZ$6</f>
        <v>0</v>
      </c>
      <c r="DA10" s="61">
        <f>CV10/DA$6</f>
        <v>0</v>
      </c>
      <c r="DB10" s="61">
        <f>SUM(CV10:DA10)</f>
        <v>0</v>
      </c>
      <c r="DC10" s="62"/>
      <c r="DD10" s="62"/>
      <c r="DE10" s="62"/>
      <c r="DF10" s="62"/>
      <c r="DG10" s="62"/>
      <c r="DH10" s="63">
        <f>((CU10*DH$6)+(CU10*CW$6)+(CU10*CX$6))*DC10</f>
        <v>0</v>
      </c>
      <c r="DI10" s="63">
        <f>((CU10*DI$6)+(CU10*CW$6)+(CU10*CX$6))*DD10</f>
        <v>0</v>
      </c>
      <c r="DJ10" s="63">
        <f>((CU10*DJ$6)+(CU10*CX$6)+(CU10*CW$6))*DE10</f>
        <v>0</v>
      </c>
      <c r="DK10" s="63">
        <f>((CU10*DK$6)+(CU10*CW$6)+(CU10*CX$6))*DF10</f>
        <v>0</v>
      </c>
      <c r="DL10" s="63">
        <f t="shared" si="8"/>
        <v>0</v>
      </c>
      <c r="DM10" s="61">
        <f t="shared" si="9"/>
        <v>0</v>
      </c>
      <c r="DN10" s="64">
        <v>0</v>
      </c>
      <c r="DO10" s="65">
        <f>IF(CS10=1,($C$1*$W$6),0)</f>
        <v>0</v>
      </c>
      <c r="DP10" s="212">
        <f>DB10+DM10+DN10+DO10</f>
        <v>0</v>
      </c>
      <c r="DQ10" s="49">
        <v>0</v>
      </c>
      <c r="DR10" s="59"/>
      <c r="DS10" s="28">
        <f>DT10/$AY$4</f>
        <v>0</v>
      </c>
      <c r="DT10" s="60">
        <v>0</v>
      </c>
      <c r="DU10" s="28">
        <f>DT10*DU$6</f>
        <v>0</v>
      </c>
      <c r="DV10" s="28">
        <f>DT10*DV$6</f>
        <v>0</v>
      </c>
      <c r="DW10" s="28">
        <f>DT10/DW$6</f>
        <v>0</v>
      </c>
      <c r="DX10" s="28">
        <f>DW10/DX$6</f>
        <v>0</v>
      </c>
      <c r="DY10" s="61">
        <f>DT10/DY$6</f>
        <v>0</v>
      </c>
      <c r="DZ10" s="61">
        <f>SUM(DT10:DY10)</f>
        <v>0</v>
      </c>
      <c r="EA10" s="62"/>
      <c r="EB10" s="62"/>
      <c r="EC10" s="62"/>
      <c r="ED10" s="62"/>
      <c r="EE10" s="62"/>
      <c r="EF10" s="63">
        <f>((DS10*EF$6)+(DS10*DU$6)+(DS10*DV$6))*EA10</f>
        <v>0</v>
      </c>
      <c r="EG10" s="63">
        <f>((DS10*EG$6)+(DS10*DU$6)+(DS10*DV$6))*EB10</f>
        <v>0</v>
      </c>
      <c r="EH10" s="63">
        <f>((DS10*EH$6)+(DS10*DV$6)+(DS10*DU$6))*EC10</f>
        <v>0</v>
      </c>
      <c r="EI10" s="63">
        <f>((DS10*EI$6)+(DS10*DU$6)+(DS10*DV$6))*ED10</f>
        <v>0</v>
      </c>
      <c r="EJ10" s="63">
        <f t="shared" si="10"/>
        <v>0</v>
      </c>
      <c r="EK10" s="61">
        <f t="shared" si="11"/>
        <v>0</v>
      </c>
      <c r="EL10" s="64">
        <v>0</v>
      </c>
      <c r="EM10" s="65">
        <f>IF(DQ10=1,($C$1*$W$6),0)</f>
        <v>0</v>
      </c>
      <c r="EN10" s="212">
        <f>DZ10+EK10+EL10+EM10</f>
        <v>0</v>
      </c>
      <c r="EO10" s="49">
        <v>0</v>
      </c>
      <c r="EP10" s="59"/>
      <c r="EQ10" s="28">
        <f>ER10/$AY$4</f>
        <v>0</v>
      </c>
      <c r="ER10" s="60">
        <v>0</v>
      </c>
      <c r="ES10" s="28">
        <f>ER10*ES$6</f>
        <v>0</v>
      </c>
      <c r="ET10" s="28">
        <f>ER10*ET$6</f>
        <v>0</v>
      </c>
      <c r="EU10" s="28">
        <f>ER10/EU$6</f>
        <v>0</v>
      </c>
      <c r="EV10" s="28">
        <f>EU10/EV$6</f>
        <v>0</v>
      </c>
      <c r="EW10" s="61">
        <f>ER10/EW$6</f>
        <v>0</v>
      </c>
      <c r="EX10" s="61">
        <f>SUM(ER10:EW10)</f>
        <v>0</v>
      </c>
      <c r="EY10" s="62"/>
      <c r="EZ10" s="62"/>
      <c r="FA10" s="62"/>
      <c r="FB10" s="62"/>
      <c r="FC10" s="62"/>
      <c r="FD10" s="63">
        <f>((EQ10*FD$6)+(EQ10*ES$6)+(EQ10*ET$6))*EY10</f>
        <v>0</v>
      </c>
      <c r="FE10" s="63">
        <f>((EQ10*FE$6)+(EQ10*ES$6)+(EQ10*ET$6))*EZ10</f>
        <v>0</v>
      </c>
      <c r="FF10" s="63">
        <f>((EQ10*FF$6)+(EQ10*ET$6)+(EQ10*ES$6))*FA10</f>
        <v>0</v>
      </c>
      <c r="FG10" s="63">
        <f>((EQ10*FG$6)+(EQ10*ES$6)+(EQ10*ET$6))*FB10</f>
        <v>0</v>
      </c>
      <c r="FH10" s="63">
        <f t="shared" si="12"/>
        <v>0</v>
      </c>
      <c r="FI10" s="61">
        <f t="shared" si="13"/>
        <v>0</v>
      </c>
      <c r="FJ10" s="64">
        <v>0</v>
      </c>
      <c r="FK10" s="65">
        <f>IF(EO10=1,($C$1*$W$6),0)</f>
        <v>0</v>
      </c>
      <c r="FL10" s="212">
        <f>EX10+FI10+FJ10+FK10</f>
        <v>0</v>
      </c>
      <c r="FM10" s="49">
        <v>0</v>
      </c>
      <c r="FN10" s="59"/>
      <c r="FO10" s="28">
        <f>FP10/$AY$4</f>
        <v>0</v>
      </c>
      <c r="FP10" s="60">
        <v>0</v>
      </c>
      <c r="FQ10" s="28">
        <f>FP10*FQ$6</f>
        <v>0</v>
      </c>
      <c r="FR10" s="28">
        <f>FP10*FR$6</f>
        <v>0</v>
      </c>
      <c r="FS10" s="28">
        <f>FP10/FS$6</f>
        <v>0</v>
      </c>
      <c r="FT10" s="28">
        <f>FS10/FT$6</f>
        <v>0</v>
      </c>
      <c r="FU10" s="61">
        <f>FP10/FU$6</f>
        <v>0</v>
      </c>
      <c r="FV10" s="61">
        <f>SUM(FP10:FU10)</f>
        <v>0</v>
      </c>
      <c r="FW10" s="62"/>
      <c r="FX10" s="62"/>
      <c r="FY10" s="62"/>
      <c r="FZ10" s="62"/>
      <c r="GA10" s="62"/>
      <c r="GB10" s="63">
        <f>((FO10*GB$6)+(FO10*FQ$6)+(FO10*FR$6))*FW10</f>
        <v>0</v>
      </c>
      <c r="GC10" s="63">
        <f>((FO10*GC$6)+(FO10*FQ$6)+(FO10*FR$6))*FX10</f>
        <v>0</v>
      </c>
      <c r="GD10" s="63">
        <f>((FO10*GD$6)+(FO10*FR$6)+(FO10*FQ$6))*FY10</f>
        <v>0</v>
      </c>
      <c r="GE10" s="63">
        <f>((FO10*GE$6)+(FO10*FQ$6)+(FO10*FR$6))*FZ10</f>
        <v>0</v>
      </c>
      <c r="GF10" s="63">
        <f t="shared" si="14"/>
        <v>0</v>
      </c>
      <c r="GG10" s="61">
        <f t="shared" si="15"/>
        <v>0</v>
      </c>
      <c r="GH10" s="64">
        <v>0</v>
      </c>
      <c r="GI10" s="65">
        <f>IF(FM10=1,($C$1*$W$6),0)</f>
        <v>0</v>
      </c>
      <c r="GJ10" s="212">
        <f>FV10+GG10+GH10+GI10</f>
        <v>0</v>
      </c>
      <c r="GK10" s="49">
        <v>0</v>
      </c>
      <c r="GL10" s="59"/>
      <c r="GM10" s="28">
        <f>GN10/$AY$4</f>
        <v>0</v>
      </c>
      <c r="GN10" s="60">
        <v>0</v>
      </c>
      <c r="GO10" s="28">
        <f>GN10*GO$6</f>
        <v>0</v>
      </c>
      <c r="GP10" s="28">
        <f>GN10*GP$6</f>
        <v>0</v>
      </c>
      <c r="GQ10" s="28">
        <f>GN10/GQ$6</f>
        <v>0</v>
      </c>
      <c r="GR10" s="28">
        <f>GQ10/GR$6</f>
        <v>0</v>
      </c>
      <c r="GS10" s="61">
        <f>GN10/GS$6</f>
        <v>0</v>
      </c>
      <c r="GT10" s="61">
        <f>SUM(GN10:GS10)</f>
        <v>0</v>
      </c>
      <c r="GU10" s="62"/>
      <c r="GV10" s="62"/>
      <c r="GW10" s="62"/>
      <c r="GX10" s="62"/>
      <c r="GY10" s="62"/>
      <c r="GZ10" s="63">
        <f>((GM10*GZ$6)+(GM10*GO$6)+(GM10*GP$6))*GU10</f>
        <v>0</v>
      </c>
      <c r="HA10" s="63">
        <f>((GM10*HA$6)+(GM10*GO$6)+(GM10*GP$6))*GV10</f>
        <v>0</v>
      </c>
      <c r="HB10" s="63">
        <f>((GM10*HB$6)+(GM10*GP$6)+(GM10*GO$6))*GW10</f>
        <v>0</v>
      </c>
      <c r="HC10" s="63">
        <f>((GM10*HC$6)+(GM10*GO$6)+(GM10*GP$6))*GX10</f>
        <v>0</v>
      </c>
      <c r="HD10" s="63">
        <f t="shared" si="16"/>
        <v>0</v>
      </c>
      <c r="HE10" s="61">
        <f t="shared" si="17"/>
        <v>0</v>
      </c>
      <c r="HF10" s="64">
        <v>0</v>
      </c>
      <c r="HG10" s="65">
        <f>IF(GK10=1,($C$1*$W$6),0)</f>
        <v>0</v>
      </c>
      <c r="HH10" s="212">
        <f>GT10+HE10+HF10+HG10</f>
        <v>0</v>
      </c>
      <c r="HI10" s="49">
        <v>0</v>
      </c>
      <c r="HJ10" s="59"/>
      <c r="HK10" s="28">
        <f>HL10/$AY$4</f>
        <v>0</v>
      </c>
      <c r="HL10" s="60">
        <v>0</v>
      </c>
      <c r="HM10" s="28">
        <f>HL10*HM$6</f>
        <v>0</v>
      </c>
      <c r="HN10" s="28">
        <f>HL10*HN$6</f>
        <v>0</v>
      </c>
      <c r="HO10" s="28">
        <f>HL10/HO$6</f>
        <v>0</v>
      </c>
      <c r="HP10" s="28">
        <f>HO10/HP$6</f>
        <v>0</v>
      </c>
      <c r="HQ10" s="61">
        <f>HL10/HQ$6</f>
        <v>0</v>
      </c>
      <c r="HR10" s="61">
        <f>SUM(HL10:HQ10)</f>
        <v>0</v>
      </c>
      <c r="HS10" s="62"/>
      <c r="HT10" s="62"/>
      <c r="HU10" s="62"/>
      <c r="HV10" s="62"/>
      <c r="HW10" s="62"/>
      <c r="HX10" s="63">
        <f>((HK10*HX$6)+(HK10*HM$6)+(HK10*HN$6))*HS10</f>
        <v>0</v>
      </c>
      <c r="HY10" s="63">
        <f>((HK10*HY$6)+(HK10*HM$6)+(HK10*HN$6))*HT10</f>
        <v>0</v>
      </c>
      <c r="HZ10" s="63">
        <f>((HK10*HZ$6)+(HK10*HN$6)+(HK10*HM$6))*HU10</f>
        <v>0</v>
      </c>
      <c r="IA10" s="63">
        <f>((HK10*IA$6)+(HK10*HM$6)+(HK10*HN$6))*HV10</f>
        <v>0</v>
      </c>
      <c r="IB10" s="63">
        <f t="shared" si="18"/>
        <v>0</v>
      </c>
      <c r="IC10" s="61">
        <f t="shared" si="19"/>
        <v>0</v>
      </c>
      <c r="ID10" s="64">
        <v>0</v>
      </c>
      <c r="IE10" s="65">
        <f>IF(HI10=1,($C$1*$W$6),0)</f>
        <v>0</v>
      </c>
      <c r="IF10" s="212">
        <f>HR10+IC10+ID10+IE10</f>
        <v>0</v>
      </c>
      <c r="IG10" s="49">
        <v>0</v>
      </c>
      <c r="IH10" s="59"/>
      <c r="II10" s="28">
        <f>IJ10/$AY$4</f>
        <v>0</v>
      </c>
      <c r="IJ10" s="60">
        <v>0</v>
      </c>
      <c r="IK10" s="28">
        <f>IJ10*IK$6</f>
        <v>0</v>
      </c>
      <c r="IL10" s="28">
        <f>IJ10*IL$6</f>
        <v>0</v>
      </c>
      <c r="IM10" s="28">
        <f>IJ10/IM$6</f>
        <v>0</v>
      </c>
      <c r="IN10" s="28">
        <f>IM10/IN$6</f>
        <v>0</v>
      </c>
      <c r="IO10" s="61">
        <f>IJ10/IO$6</f>
        <v>0</v>
      </c>
      <c r="IP10" s="61">
        <f>SUM(IJ10:IO10)</f>
        <v>0</v>
      </c>
      <c r="IQ10" s="62"/>
      <c r="IR10" s="62"/>
      <c r="IS10" s="62"/>
      <c r="IT10" s="62"/>
      <c r="IU10" s="62"/>
      <c r="IV10" s="63">
        <f>((II10*IV$6)+(II10*IK$6)+(II10*IL$6))*IQ10</f>
        <v>0</v>
      </c>
      <c r="IW10" s="63">
        <f>((II10*IW$6)+(II10*IK$6)+(II10*IL$6))*IR10</f>
        <v>0</v>
      </c>
      <c r="IX10" s="63">
        <f>((II10*IX$6)+(II10*IL$6)+(II10*IK$6))*IS10</f>
        <v>0</v>
      </c>
      <c r="IY10" s="63">
        <f>((II10*IY$6)+(II10*IK$6)+(II10*IL$6))*IT10</f>
        <v>0</v>
      </c>
      <c r="IZ10" s="63">
        <f>((II10*IZ$6)+(II10*IK$6)+(II10*IL$6))*IU10</f>
        <v>0</v>
      </c>
      <c r="JA10" s="61">
        <f t="shared" si="20"/>
        <v>0</v>
      </c>
      <c r="JB10" s="64">
        <v>0</v>
      </c>
      <c r="JC10" s="65">
        <f>IF(IG10=1,($C$1*$W$6),0)</f>
        <v>0</v>
      </c>
      <c r="JD10" s="476">
        <f>IP10+JA10+JB10+JC10</f>
        <v>0</v>
      </c>
      <c r="JE10" s="49">
        <v>0</v>
      </c>
      <c r="JF10" s="59"/>
      <c r="JG10" s="28">
        <f>JH10/$AY$4</f>
        <v>0</v>
      </c>
      <c r="JH10" s="60">
        <v>0</v>
      </c>
      <c r="JI10" s="28">
        <f>JH10*JI$6</f>
        <v>0</v>
      </c>
      <c r="JJ10" s="28">
        <f>JH10*JJ$6</f>
        <v>0</v>
      </c>
      <c r="JK10" s="28">
        <f>JH10/JK$6</f>
        <v>0</v>
      </c>
      <c r="JL10" s="28">
        <f>JK10/JL$6</f>
        <v>0</v>
      </c>
      <c r="JM10" s="61">
        <f>JH10/JM$6</f>
        <v>0</v>
      </c>
      <c r="JN10" s="61">
        <f>SUM(JH10:JM10)</f>
        <v>0</v>
      </c>
      <c r="JO10" s="62"/>
      <c r="JP10" s="62"/>
      <c r="JQ10" s="62"/>
      <c r="JR10" s="62"/>
      <c r="JS10" s="62"/>
      <c r="JT10" s="63">
        <f>((JG10*JT$6)+(JG10*JI$6)+(JG10*JJ$6))*JO10</f>
        <v>0</v>
      </c>
      <c r="JU10" s="63">
        <f>((JG10*JU$6)+(JG10*JI$6)+(JG10*JJ$6))*JP10</f>
        <v>0</v>
      </c>
      <c r="JV10" s="63">
        <f>((JG10*JV$6)+(JG10*JJ$6)+(JG10*JI$6))*JQ10</f>
        <v>0</v>
      </c>
      <c r="JW10" s="63">
        <f>((JG10*JW$6)+(JG10*JI$6)+(JG10*JJ$6))*JR10</f>
        <v>0</v>
      </c>
      <c r="JX10" s="63">
        <f>((JG10*JX$6)+(JG10*JI$6)+(JG10*JJ$6))*JS10</f>
        <v>0</v>
      </c>
      <c r="JY10" s="61">
        <f t="shared" si="21"/>
        <v>0</v>
      </c>
      <c r="JZ10" s="64">
        <v>0</v>
      </c>
      <c r="KA10" s="65">
        <f>IF(JE10=1,($C$1*$W$6),0)</f>
        <v>0</v>
      </c>
      <c r="KB10" s="476">
        <f>JN10+JY10+JZ10+KA10</f>
        <v>0</v>
      </c>
      <c r="KC10" s="37"/>
      <c r="KD10" s="37"/>
      <c r="KE10" s="37"/>
      <c r="KF10" s="37"/>
      <c r="KG10" s="37"/>
      <c r="KH10" s="37"/>
      <c r="KI10" s="37"/>
      <c r="KJ10" s="37"/>
    </row>
    <row r="11" spans="1:296" ht="15.6" x14ac:dyDescent="0.3">
      <c r="A11" s="385"/>
      <c r="B11" s="383"/>
      <c r="C11" s="383"/>
      <c r="D11" s="383"/>
      <c r="E11" s="383"/>
      <c r="F11" s="383"/>
      <c r="G11" s="383"/>
      <c r="H11" s="383"/>
      <c r="I11" s="383"/>
      <c r="J11" s="383"/>
      <c r="K11" s="383"/>
      <c r="L11" s="383"/>
      <c r="M11" s="383"/>
      <c r="N11" s="383"/>
      <c r="O11" s="383"/>
      <c r="P11" s="383"/>
      <c r="Q11" s="383"/>
      <c r="R11" s="383"/>
      <c r="S11" s="383"/>
      <c r="T11" s="383"/>
      <c r="U11" s="383"/>
      <c r="V11" s="384"/>
      <c r="W11" s="272" t="s">
        <v>7</v>
      </c>
      <c r="X11" s="213">
        <f>SUM(X8:X10)</f>
        <v>5410.4180888888895</v>
      </c>
      <c r="Y11" s="385"/>
      <c r="Z11" s="383"/>
      <c r="AA11" s="383"/>
      <c r="AB11" s="383"/>
      <c r="AC11" s="383"/>
      <c r="AD11" s="383"/>
      <c r="AE11" s="383"/>
      <c r="AF11" s="383"/>
      <c r="AG11" s="383"/>
      <c r="AH11" s="383"/>
      <c r="AI11" s="383"/>
      <c r="AJ11" s="383"/>
      <c r="AK11" s="383"/>
      <c r="AL11" s="383"/>
      <c r="AM11" s="383"/>
      <c r="AN11" s="383"/>
      <c r="AO11" s="383"/>
      <c r="AP11" s="383"/>
      <c r="AQ11" s="383"/>
      <c r="AR11" s="383"/>
      <c r="AS11" s="383"/>
      <c r="AT11" s="384"/>
      <c r="AU11" s="272" t="s">
        <v>7</v>
      </c>
      <c r="AV11" s="213">
        <f>SUM(AV8:AV10)</f>
        <v>5410.4180888888895</v>
      </c>
      <c r="AW11" s="385"/>
      <c r="AX11" s="383"/>
      <c r="AY11" s="383"/>
      <c r="AZ11" s="383"/>
      <c r="BA11" s="383"/>
      <c r="BB11" s="383"/>
      <c r="BC11" s="383"/>
      <c r="BD11" s="383"/>
      <c r="BE11" s="383"/>
      <c r="BF11" s="383"/>
      <c r="BG11" s="383"/>
      <c r="BH11" s="383"/>
      <c r="BI11" s="383"/>
      <c r="BJ11" s="383"/>
      <c r="BK11" s="383"/>
      <c r="BL11" s="383"/>
      <c r="BM11" s="383"/>
      <c r="BN11" s="383"/>
      <c r="BO11" s="383"/>
      <c r="BP11" s="383"/>
      <c r="BQ11" s="383"/>
      <c r="BR11" s="384"/>
      <c r="BS11" s="272" t="s">
        <v>7</v>
      </c>
      <c r="BT11" s="213">
        <f>SUM(BT8:BT10)</f>
        <v>5410.4180888888895</v>
      </c>
      <c r="BU11" s="385"/>
      <c r="BV11" s="383"/>
      <c r="BW11" s="383"/>
      <c r="BX11" s="383"/>
      <c r="BY11" s="383"/>
      <c r="BZ11" s="383"/>
      <c r="CA11" s="383"/>
      <c r="CB11" s="383"/>
      <c r="CC11" s="383"/>
      <c r="CD11" s="383"/>
      <c r="CE11" s="383"/>
      <c r="CF11" s="383"/>
      <c r="CG11" s="383"/>
      <c r="CH11" s="383"/>
      <c r="CI11" s="383"/>
      <c r="CJ11" s="383"/>
      <c r="CK11" s="383"/>
      <c r="CL11" s="383"/>
      <c r="CM11" s="383"/>
      <c r="CN11" s="383"/>
      <c r="CO11" s="383"/>
      <c r="CP11" s="384"/>
      <c r="CQ11" s="272" t="s">
        <v>7</v>
      </c>
      <c r="CR11" s="213">
        <f>SUM(CR8:CR10)</f>
        <v>5410.4180888888895</v>
      </c>
      <c r="CS11" s="385"/>
      <c r="CT11" s="383"/>
      <c r="CU11" s="383"/>
      <c r="CV11" s="383"/>
      <c r="CW11" s="383"/>
      <c r="CX11" s="383"/>
      <c r="CY11" s="383"/>
      <c r="CZ11" s="383"/>
      <c r="DA11" s="383"/>
      <c r="DB11" s="383"/>
      <c r="DC11" s="383"/>
      <c r="DD11" s="383"/>
      <c r="DE11" s="383"/>
      <c r="DF11" s="383"/>
      <c r="DG11" s="383"/>
      <c r="DH11" s="383"/>
      <c r="DI11" s="383"/>
      <c r="DJ11" s="383"/>
      <c r="DK11" s="383"/>
      <c r="DL11" s="383"/>
      <c r="DM11" s="383"/>
      <c r="DN11" s="384"/>
      <c r="DO11" s="272" t="s">
        <v>7</v>
      </c>
      <c r="DP11" s="213">
        <f>SUM(DP8:DP10)</f>
        <v>5410.4180888888895</v>
      </c>
      <c r="DQ11" s="385"/>
      <c r="DR11" s="383"/>
      <c r="DS11" s="383"/>
      <c r="DT11" s="383"/>
      <c r="DU11" s="383"/>
      <c r="DV11" s="383"/>
      <c r="DW11" s="383"/>
      <c r="DX11" s="383"/>
      <c r="DY11" s="383"/>
      <c r="DZ11" s="383"/>
      <c r="EA11" s="383"/>
      <c r="EB11" s="383"/>
      <c r="EC11" s="383"/>
      <c r="ED11" s="383"/>
      <c r="EE11" s="383"/>
      <c r="EF11" s="383"/>
      <c r="EG11" s="383"/>
      <c r="EH11" s="383"/>
      <c r="EI11" s="383"/>
      <c r="EJ11" s="383"/>
      <c r="EK11" s="383"/>
      <c r="EL11" s="384"/>
      <c r="EM11" s="272" t="s">
        <v>7</v>
      </c>
      <c r="EN11" s="213">
        <f>SUM(EN8:EN10)</f>
        <v>5410.4180888888895</v>
      </c>
      <c r="EO11" s="385"/>
      <c r="EP11" s="383"/>
      <c r="EQ11" s="383"/>
      <c r="ER11" s="383"/>
      <c r="ES11" s="383"/>
      <c r="ET11" s="383"/>
      <c r="EU11" s="383"/>
      <c r="EV11" s="383"/>
      <c r="EW11" s="383"/>
      <c r="EX11" s="383"/>
      <c r="EY11" s="383"/>
      <c r="EZ11" s="383"/>
      <c r="FA11" s="383"/>
      <c r="FB11" s="383"/>
      <c r="FC11" s="383"/>
      <c r="FD11" s="383"/>
      <c r="FE11" s="383"/>
      <c r="FF11" s="383"/>
      <c r="FG11" s="383"/>
      <c r="FH11" s="383"/>
      <c r="FI11" s="383"/>
      <c r="FJ11" s="384"/>
      <c r="FK11" s="272" t="s">
        <v>7</v>
      </c>
      <c r="FL11" s="213">
        <f>SUM(FL8:FL10)</f>
        <v>5410.4180888888895</v>
      </c>
      <c r="FM11" s="385"/>
      <c r="FN11" s="383"/>
      <c r="FO11" s="383"/>
      <c r="FP11" s="383"/>
      <c r="FQ11" s="383"/>
      <c r="FR11" s="383"/>
      <c r="FS11" s="383"/>
      <c r="FT11" s="383"/>
      <c r="FU11" s="383"/>
      <c r="FV11" s="383"/>
      <c r="FW11" s="383"/>
      <c r="FX11" s="383"/>
      <c r="FY11" s="383"/>
      <c r="FZ11" s="383"/>
      <c r="GA11" s="383"/>
      <c r="GB11" s="383"/>
      <c r="GC11" s="383"/>
      <c r="GD11" s="383"/>
      <c r="GE11" s="383"/>
      <c r="GF11" s="383"/>
      <c r="GG11" s="383"/>
      <c r="GH11" s="384"/>
      <c r="GI11" s="272" t="s">
        <v>7</v>
      </c>
      <c r="GJ11" s="213">
        <f>SUM(GJ8:GJ10)</f>
        <v>5410.4180888888895</v>
      </c>
      <c r="GK11" s="385"/>
      <c r="GL11" s="383"/>
      <c r="GM11" s="383"/>
      <c r="GN11" s="383"/>
      <c r="GO11" s="383"/>
      <c r="GP11" s="383"/>
      <c r="GQ11" s="383"/>
      <c r="GR11" s="383"/>
      <c r="GS11" s="383"/>
      <c r="GT11" s="383"/>
      <c r="GU11" s="383"/>
      <c r="GV11" s="383"/>
      <c r="GW11" s="383"/>
      <c r="GX11" s="383"/>
      <c r="GY11" s="383"/>
      <c r="GZ11" s="383"/>
      <c r="HA11" s="383"/>
      <c r="HB11" s="383"/>
      <c r="HC11" s="383"/>
      <c r="HD11" s="383"/>
      <c r="HE11" s="383"/>
      <c r="HF11" s="384"/>
      <c r="HG11" s="272" t="s">
        <v>7</v>
      </c>
      <c r="HH11" s="213">
        <f>SUM(HH8:HH10)</f>
        <v>5410.4180888888895</v>
      </c>
      <c r="HI11" s="385"/>
      <c r="HJ11" s="383"/>
      <c r="HK11" s="383"/>
      <c r="HL11" s="383"/>
      <c r="HM11" s="383"/>
      <c r="HN11" s="383"/>
      <c r="HO11" s="383"/>
      <c r="HP11" s="383"/>
      <c r="HQ11" s="383"/>
      <c r="HR11" s="383"/>
      <c r="HS11" s="383"/>
      <c r="HT11" s="383"/>
      <c r="HU11" s="383"/>
      <c r="HV11" s="383"/>
      <c r="HW11" s="383"/>
      <c r="HX11" s="383"/>
      <c r="HY11" s="383"/>
      <c r="HZ11" s="383"/>
      <c r="IA11" s="383"/>
      <c r="IB11" s="383"/>
      <c r="IC11" s="383"/>
      <c r="ID11" s="384"/>
      <c r="IE11" s="272" t="s">
        <v>7</v>
      </c>
      <c r="IF11" s="213">
        <f>SUM(IF8:IF10)</f>
        <v>5410.4180888888895</v>
      </c>
      <c r="IG11" s="385"/>
      <c r="IH11" s="383"/>
      <c r="II11" s="383"/>
      <c r="IJ11" s="383"/>
      <c r="IK11" s="383"/>
      <c r="IL11" s="383"/>
      <c r="IM11" s="383"/>
      <c r="IN11" s="383"/>
      <c r="IO11" s="383"/>
      <c r="IP11" s="383"/>
      <c r="IQ11" s="383"/>
      <c r="IR11" s="383"/>
      <c r="IS11" s="383"/>
      <c r="IT11" s="383"/>
      <c r="IU11" s="383"/>
      <c r="IV11" s="383"/>
      <c r="IW11" s="383"/>
      <c r="IX11" s="383"/>
      <c r="IY11" s="383"/>
      <c r="IZ11" s="383"/>
      <c r="JA11" s="383"/>
      <c r="JB11" s="384"/>
      <c r="JC11" s="272" t="s">
        <v>7</v>
      </c>
      <c r="JD11" s="470">
        <f>SUM(JD8:JD10)</f>
        <v>5410.4180888888895</v>
      </c>
      <c r="JE11" s="385"/>
      <c r="JF11" s="383"/>
      <c r="JG11" s="383"/>
      <c r="JH11" s="383"/>
      <c r="JI11" s="383"/>
      <c r="JJ11" s="383"/>
      <c r="JK11" s="383"/>
      <c r="JL11" s="383"/>
      <c r="JM11" s="383"/>
      <c r="JN11" s="383"/>
      <c r="JO11" s="383"/>
      <c r="JP11" s="383"/>
      <c r="JQ11" s="383"/>
      <c r="JR11" s="383"/>
      <c r="JS11" s="383"/>
      <c r="JT11" s="383"/>
      <c r="JU11" s="383"/>
      <c r="JV11" s="383"/>
      <c r="JW11" s="383"/>
      <c r="JX11" s="383"/>
      <c r="JY11" s="383"/>
      <c r="JZ11" s="384"/>
      <c r="KA11" s="272" t="s">
        <v>7</v>
      </c>
      <c r="KB11" s="470">
        <f>SUM(KB8:KB10)</f>
        <v>5410.4180888888895</v>
      </c>
      <c r="KC11" s="37"/>
      <c r="KD11" s="37"/>
      <c r="KE11" s="37"/>
      <c r="KF11" s="37"/>
      <c r="KG11" s="37"/>
      <c r="KH11" s="37"/>
      <c r="KI11" s="37"/>
      <c r="KJ11" s="37"/>
    </row>
    <row r="12" spans="1:296" ht="28.95" customHeight="1" x14ac:dyDescent="0.3">
      <c r="A12" s="39"/>
      <c r="B12" s="50" t="s">
        <v>34</v>
      </c>
      <c r="C12" s="51" t="s">
        <v>35</v>
      </c>
      <c r="D12" s="51" t="s">
        <v>36</v>
      </c>
      <c r="E12" s="52">
        <v>0.1</v>
      </c>
      <c r="F12" s="52">
        <v>0.08</v>
      </c>
      <c r="G12" s="53" t="s">
        <v>37</v>
      </c>
      <c r="H12" s="51">
        <v>3</v>
      </c>
      <c r="I12" s="54">
        <v>12</v>
      </c>
      <c r="J12" s="55" t="s">
        <v>38</v>
      </c>
      <c r="K12" s="55">
        <v>0.5</v>
      </c>
      <c r="L12" s="55">
        <v>0.6</v>
      </c>
      <c r="M12" s="55">
        <v>0.8</v>
      </c>
      <c r="N12" s="55">
        <v>1</v>
      </c>
      <c r="O12" s="55">
        <v>1.5</v>
      </c>
      <c r="P12" s="56">
        <v>1.5</v>
      </c>
      <c r="Q12" s="56">
        <v>1.6</v>
      </c>
      <c r="R12" s="56">
        <v>1.8</v>
      </c>
      <c r="S12" s="57">
        <v>2</v>
      </c>
      <c r="T12" s="57">
        <v>2.5</v>
      </c>
      <c r="U12" s="55" t="s">
        <v>38</v>
      </c>
      <c r="V12" s="55" t="s">
        <v>38</v>
      </c>
      <c r="W12" s="55">
        <v>0.2</v>
      </c>
      <c r="X12" s="211" t="s">
        <v>38</v>
      </c>
      <c r="Y12" s="39"/>
      <c r="Z12" s="50" t="s">
        <v>34</v>
      </c>
      <c r="AA12" s="51" t="s">
        <v>35</v>
      </c>
      <c r="AB12" s="51" t="s">
        <v>36</v>
      </c>
      <c r="AC12" s="52">
        <v>0.1</v>
      </c>
      <c r="AD12" s="52">
        <v>0.08</v>
      </c>
      <c r="AE12" s="53" t="s">
        <v>37</v>
      </c>
      <c r="AF12" s="51">
        <v>3</v>
      </c>
      <c r="AG12" s="54">
        <v>12</v>
      </c>
      <c r="AH12" s="55" t="s">
        <v>38</v>
      </c>
      <c r="AI12" s="55">
        <v>0.5</v>
      </c>
      <c r="AJ12" s="55">
        <v>0.6</v>
      </c>
      <c r="AK12" s="55">
        <v>0.8</v>
      </c>
      <c r="AL12" s="55">
        <v>1</v>
      </c>
      <c r="AM12" s="55">
        <v>1.5</v>
      </c>
      <c r="AN12" s="56">
        <v>1.5</v>
      </c>
      <c r="AO12" s="56">
        <v>1.6</v>
      </c>
      <c r="AP12" s="56">
        <v>1.8</v>
      </c>
      <c r="AQ12" s="57">
        <v>2</v>
      </c>
      <c r="AR12" s="57">
        <v>2.5</v>
      </c>
      <c r="AS12" s="55" t="s">
        <v>38</v>
      </c>
      <c r="AT12" s="55" t="s">
        <v>38</v>
      </c>
      <c r="AU12" s="55">
        <v>0.2</v>
      </c>
      <c r="AV12" s="211" t="s">
        <v>38</v>
      </c>
      <c r="AW12" s="39"/>
      <c r="AX12" s="50" t="s">
        <v>34</v>
      </c>
      <c r="AY12" s="51" t="s">
        <v>35</v>
      </c>
      <c r="AZ12" s="51" t="s">
        <v>36</v>
      </c>
      <c r="BA12" s="52">
        <v>0.1</v>
      </c>
      <c r="BB12" s="52">
        <v>0.08</v>
      </c>
      <c r="BC12" s="53" t="s">
        <v>37</v>
      </c>
      <c r="BD12" s="51">
        <v>3</v>
      </c>
      <c r="BE12" s="54">
        <v>12</v>
      </c>
      <c r="BF12" s="55" t="s">
        <v>38</v>
      </c>
      <c r="BG12" s="55">
        <v>0.5</v>
      </c>
      <c r="BH12" s="55">
        <v>0.6</v>
      </c>
      <c r="BI12" s="55">
        <v>0.8</v>
      </c>
      <c r="BJ12" s="55">
        <v>1</v>
      </c>
      <c r="BK12" s="55">
        <v>1.5</v>
      </c>
      <c r="BL12" s="56">
        <v>1.5</v>
      </c>
      <c r="BM12" s="56">
        <v>1.6</v>
      </c>
      <c r="BN12" s="56">
        <v>1.8</v>
      </c>
      <c r="BO12" s="57">
        <v>2</v>
      </c>
      <c r="BP12" s="57">
        <v>2.5</v>
      </c>
      <c r="BQ12" s="55" t="s">
        <v>38</v>
      </c>
      <c r="BR12" s="55" t="s">
        <v>38</v>
      </c>
      <c r="BS12" s="55">
        <v>0.2</v>
      </c>
      <c r="BT12" s="211" t="s">
        <v>38</v>
      </c>
      <c r="BV12" s="50" t="s">
        <v>34</v>
      </c>
      <c r="BW12" s="51" t="s">
        <v>35</v>
      </c>
      <c r="BX12" s="51" t="s">
        <v>36</v>
      </c>
      <c r="BY12" s="52">
        <v>0.1</v>
      </c>
      <c r="BZ12" s="52">
        <v>0.08</v>
      </c>
      <c r="CA12" s="53" t="s">
        <v>37</v>
      </c>
      <c r="CB12" s="51">
        <v>3</v>
      </c>
      <c r="CC12" s="54">
        <v>12</v>
      </c>
      <c r="CD12" s="55" t="s">
        <v>38</v>
      </c>
      <c r="CE12" s="55">
        <v>0.5</v>
      </c>
      <c r="CF12" s="55">
        <v>0.6</v>
      </c>
      <c r="CG12" s="55">
        <v>0.8</v>
      </c>
      <c r="CH12" s="55">
        <v>1</v>
      </c>
      <c r="CI12" s="55">
        <v>1.5</v>
      </c>
      <c r="CJ12" s="56">
        <v>1.5</v>
      </c>
      <c r="CK12" s="56">
        <v>1.6</v>
      </c>
      <c r="CL12" s="56">
        <v>1.8</v>
      </c>
      <c r="CM12" s="57">
        <v>2</v>
      </c>
      <c r="CN12" s="57">
        <v>2.5</v>
      </c>
      <c r="CO12" s="55" t="s">
        <v>38</v>
      </c>
      <c r="CP12" s="55" t="s">
        <v>38</v>
      </c>
      <c r="CQ12" s="55">
        <v>0.2</v>
      </c>
      <c r="CR12" s="211" t="s">
        <v>38</v>
      </c>
      <c r="CT12" s="50" t="s">
        <v>34</v>
      </c>
      <c r="CU12" s="51" t="s">
        <v>35</v>
      </c>
      <c r="CV12" s="51" t="s">
        <v>36</v>
      </c>
      <c r="CW12" s="52">
        <v>0.1</v>
      </c>
      <c r="CX12" s="52">
        <v>0.08</v>
      </c>
      <c r="CY12" s="53" t="s">
        <v>37</v>
      </c>
      <c r="CZ12" s="51">
        <v>3</v>
      </c>
      <c r="DA12" s="54">
        <v>12</v>
      </c>
      <c r="DB12" s="55" t="s">
        <v>38</v>
      </c>
      <c r="DC12" s="55">
        <v>0.5</v>
      </c>
      <c r="DD12" s="55">
        <v>0.6</v>
      </c>
      <c r="DE12" s="55">
        <v>0.8</v>
      </c>
      <c r="DF12" s="55">
        <v>1</v>
      </c>
      <c r="DG12" s="55">
        <v>1.5</v>
      </c>
      <c r="DH12" s="56">
        <v>1.5</v>
      </c>
      <c r="DI12" s="56">
        <v>1.6</v>
      </c>
      <c r="DJ12" s="56">
        <v>1.8</v>
      </c>
      <c r="DK12" s="57">
        <v>2</v>
      </c>
      <c r="DL12" s="57">
        <v>2.5</v>
      </c>
      <c r="DM12" s="55" t="s">
        <v>38</v>
      </c>
      <c r="DN12" s="55" t="s">
        <v>38</v>
      </c>
      <c r="DO12" s="55">
        <v>0.2</v>
      </c>
      <c r="DP12" s="211" t="s">
        <v>38</v>
      </c>
      <c r="DR12" s="50" t="s">
        <v>34</v>
      </c>
      <c r="DS12" s="51" t="s">
        <v>35</v>
      </c>
      <c r="DT12" s="51" t="s">
        <v>36</v>
      </c>
      <c r="DU12" s="52">
        <v>0.1</v>
      </c>
      <c r="DV12" s="52">
        <v>0.08</v>
      </c>
      <c r="DW12" s="53" t="s">
        <v>37</v>
      </c>
      <c r="DX12" s="51">
        <v>3</v>
      </c>
      <c r="DY12" s="54">
        <v>12</v>
      </c>
      <c r="DZ12" s="55" t="s">
        <v>38</v>
      </c>
      <c r="EA12" s="55">
        <v>0.5</v>
      </c>
      <c r="EB12" s="55">
        <v>0.6</v>
      </c>
      <c r="EC12" s="55">
        <v>0.8</v>
      </c>
      <c r="ED12" s="55">
        <v>1</v>
      </c>
      <c r="EE12" s="55">
        <v>1.5</v>
      </c>
      <c r="EF12" s="56">
        <v>1.5</v>
      </c>
      <c r="EG12" s="56">
        <v>1.6</v>
      </c>
      <c r="EH12" s="56">
        <v>1.8</v>
      </c>
      <c r="EI12" s="57">
        <v>2</v>
      </c>
      <c r="EJ12" s="57">
        <v>2.5</v>
      </c>
      <c r="EK12" s="55" t="s">
        <v>38</v>
      </c>
      <c r="EL12" s="55" t="s">
        <v>38</v>
      </c>
      <c r="EM12" s="55">
        <v>0.2</v>
      </c>
      <c r="EN12" s="211" t="s">
        <v>38</v>
      </c>
      <c r="EP12" s="50" t="s">
        <v>34</v>
      </c>
      <c r="EQ12" s="51" t="s">
        <v>35</v>
      </c>
      <c r="ER12" s="51" t="s">
        <v>36</v>
      </c>
      <c r="ES12" s="52">
        <v>0.1</v>
      </c>
      <c r="ET12" s="52">
        <v>0.08</v>
      </c>
      <c r="EU12" s="53" t="s">
        <v>37</v>
      </c>
      <c r="EV12" s="51">
        <v>3</v>
      </c>
      <c r="EW12" s="54">
        <v>12</v>
      </c>
      <c r="EX12" s="55" t="s">
        <v>38</v>
      </c>
      <c r="EY12" s="55">
        <v>0.5</v>
      </c>
      <c r="EZ12" s="55">
        <v>0.6</v>
      </c>
      <c r="FA12" s="55">
        <v>0.8</v>
      </c>
      <c r="FB12" s="55">
        <v>1</v>
      </c>
      <c r="FC12" s="55">
        <v>1.5</v>
      </c>
      <c r="FD12" s="56">
        <v>1.5</v>
      </c>
      <c r="FE12" s="56">
        <v>1.6</v>
      </c>
      <c r="FF12" s="56">
        <v>1.8</v>
      </c>
      <c r="FG12" s="57">
        <v>2</v>
      </c>
      <c r="FH12" s="57">
        <v>2.5</v>
      </c>
      <c r="FI12" s="55" t="s">
        <v>38</v>
      </c>
      <c r="FJ12" s="55" t="s">
        <v>38</v>
      </c>
      <c r="FK12" s="55">
        <v>0.2</v>
      </c>
      <c r="FL12" s="211" t="s">
        <v>38</v>
      </c>
      <c r="FN12" s="50" t="s">
        <v>34</v>
      </c>
      <c r="FO12" s="51" t="s">
        <v>35</v>
      </c>
      <c r="FP12" s="51" t="s">
        <v>36</v>
      </c>
      <c r="FQ12" s="52">
        <v>0.1</v>
      </c>
      <c r="FR12" s="52">
        <v>0.08</v>
      </c>
      <c r="FS12" s="53" t="s">
        <v>37</v>
      </c>
      <c r="FT12" s="51">
        <v>3</v>
      </c>
      <c r="FU12" s="54">
        <v>12</v>
      </c>
      <c r="FV12" s="55" t="s">
        <v>38</v>
      </c>
      <c r="FW12" s="55">
        <v>0.5</v>
      </c>
      <c r="FX12" s="55">
        <v>0.6</v>
      </c>
      <c r="FY12" s="55">
        <v>0.8</v>
      </c>
      <c r="FZ12" s="55">
        <v>1</v>
      </c>
      <c r="GA12" s="55">
        <v>1.5</v>
      </c>
      <c r="GB12" s="56">
        <v>1.5</v>
      </c>
      <c r="GC12" s="56">
        <v>1.6</v>
      </c>
      <c r="GD12" s="56">
        <v>1.8</v>
      </c>
      <c r="GE12" s="57">
        <v>2</v>
      </c>
      <c r="GF12" s="57">
        <v>2.5</v>
      </c>
      <c r="GG12" s="55" t="s">
        <v>38</v>
      </c>
      <c r="GH12" s="55" t="s">
        <v>38</v>
      </c>
      <c r="GI12" s="55">
        <v>0.2</v>
      </c>
      <c r="GJ12" s="211" t="s">
        <v>38</v>
      </c>
      <c r="GL12" s="50" t="s">
        <v>34</v>
      </c>
      <c r="GM12" s="51" t="s">
        <v>35</v>
      </c>
      <c r="GN12" s="51" t="s">
        <v>36</v>
      </c>
      <c r="GO12" s="52">
        <v>0.1</v>
      </c>
      <c r="GP12" s="52">
        <v>0.08</v>
      </c>
      <c r="GQ12" s="53" t="s">
        <v>37</v>
      </c>
      <c r="GR12" s="51">
        <v>3</v>
      </c>
      <c r="GS12" s="54">
        <v>12</v>
      </c>
      <c r="GT12" s="55" t="s">
        <v>38</v>
      </c>
      <c r="GU12" s="55">
        <v>0.5</v>
      </c>
      <c r="GV12" s="55">
        <v>0.6</v>
      </c>
      <c r="GW12" s="55">
        <v>0.8</v>
      </c>
      <c r="GX12" s="55">
        <v>1</v>
      </c>
      <c r="GY12" s="55">
        <v>1.5</v>
      </c>
      <c r="GZ12" s="56">
        <v>1.5</v>
      </c>
      <c r="HA12" s="56">
        <v>1.6</v>
      </c>
      <c r="HB12" s="56">
        <v>1.8</v>
      </c>
      <c r="HC12" s="57">
        <v>2</v>
      </c>
      <c r="HD12" s="57">
        <v>2.5</v>
      </c>
      <c r="HE12" s="55" t="s">
        <v>38</v>
      </c>
      <c r="HF12" s="55" t="s">
        <v>38</v>
      </c>
      <c r="HG12" s="55">
        <v>0.2</v>
      </c>
      <c r="HH12" s="211" t="s">
        <v>38</v>
      </c>
      <c r="HJ12" s="50" t="s">
        <v>34</v>
      </c>
      <c r="HK12" s="51" t="s">
        <v>35</v>
      </c>
      <c r="HL12" s="51" t="s">
        <v>36</v>
      </c>
      <c r="HM12" s="52">
        <v>0.1</v>
      </c>
      <c r="HN12" s="52">
        <v>0.08</v>
      </c>
      <c r="HO12" s="53" t="s">
        <v>37</v>
      </c>
      <c r="HP12" s="51">
        <v>3</v>
      </c>
      <c r="HQ12" s="54">
        <v>12</v>
      </c>
      <c r="HR12" s="55" t="s">
        <v>38</v>
      </c>
      <c r="HS12" s="55">
        <v>0.5</v>
      </c>
      <c r="HT12" s="55">
        <v>0.6</v>
      </c>
      <c r="HU12" s="55">
        <v>0.8</v>
      </c>
      <c r="HV12" s="55">
        <v>1</v>
      </c>
      <c r="HW12" s="55">
        <v>1.5</v>
      </c>
      <c r="HX12" s="56">
        <v>1.5</v>
      </c>
      <c r="HY12" s="56">
        <v>1.6</v>
      </c>
      <c r="HZ12" s="56">
        <v>1.8</v>
      </c>
      <c r="IA12" s="57">
        <v>2</v>
      </c>
      <c r="IB12" s="57">
        <v>2.5</v>
      </c>
      <c r="IC12" s="55" t="s">
        <v>38</v>
      </c>
      <c r="ID12" s="55" t="s">
        <v>38</v>
      </c>
      <c r="IE12" s="55">
        <v>0.2</v>
      </c>
      <c r="IF12" s="211" t="s">
        <v>38</v>
      </c>
      <c r="IH12" s="50" t="s">
        <v>34</v>
      </c>
      <c r="II12" s="51" t="s">
        <v>35</v>
      </c>
      <c r="IJ12" s="51" t="s">
        <v>36</v>
      </c>
      <c r="IK12" s="52">
        <v>0.1</v>
      </c>
      <c r="IL12" s="52">
        <v>0.08</v>
      </c>
      <c r="IM12" s="53" t="s">
        <v>37</v>
      </c>
      <c r="IN12" s="51">
        <v>3</v>
      </c>
      <c r="IO12" s="54">
        <v>12</v>
      </c>
      <c r="IP12" s="55" t="s">
        <v>38</v>
      </c>
      <c r="IQ12" s="55">
        <v>0.5</v>
      </c>
      <c r="IR12" s="55">
        <v>0.6</v>
      </c>
      <c r="IS12" s="55">
        <v>0.8</v>
      </c>
      <c r="IT12" s="55">
        <v>1</v>
      </c>
      <c r="IU12" s="55">
        <v>1.5</v>
      </c>
      <c r="IV12" s="56">
        <v>1.5</v>
      </c>
      <c r="IW12" s="56">
        <v>1.6</v>
      </c>
      <c r="IX12" s="56">
        <v>1.8</v>
      </c>
      <c r="IY12" s="57">
        <v>2</v>
      </c>
      <c r="IZ12" s="57">
        <v>2.5</v>
      </c>
      <c r="JA12" s="55" t="s">
        <v>38</v>
      </c>
      <c r="JB12" s="55" t="s">
        <v>38</v>
      </c>
      <c r="JC12" s="55">
        <v>0.2</v>
      </c>
      <c r="JD12" s="475" t="s">
        <v>38</v>
      </c>
      <c r="JF12" s="50" t="s">
        <v>34</v>
      </c>
      <c r="JG12" s="51" t="s">
        <v>35</v>
      </c>
      <c r="JH12" s="51" t="s">
        <v>36</v>
      </c>
      <c r="JI12" s="52">
        <v>0.1</v>
      </c>
      <c r="JJ12" s="52">
        <v>0.08</v>
      </c>
      <c r="JK12" s="53" t="s">
        <v>37</v>
      </c>
      <c r="JL12" s="51">
        <v>3</v>
      </c>
      <c r="JM12" s="54">
        <v>12</v>
      </c>
      <c r="JN12" s="55" t="s">
        <v>38</v>
      </c>
      <c r="JO12" s="55">
        <v>0.5</v>
      </c>
      <c r="JP12" s="55">
        <v>0.6</v>
      </c>
      <c r="JQ12" s="55">
        <v>0.8</v>
      </c>
      <c r="JR12" s="55">
        <v>1</v>
      </c>
      <c r="JS12" s="55">
        <v>1.5</v>
      </c>
      <c r="JT12" s="56">
        <v>1.5</v>
      </c>
      <c r="JU12" s="56">
        <v>1.6</v>
      </c>
      <c r="JV12" s="56">
        <v>1.8</v>
      </c>
      <c r="JW12" s="57">
        <v>2</v>
      </c>
      <c r="JX12" s="57">
        <v>2.5</v>
      </c>
      <c r="JY12" s="55" t="s">
        <v>38</v>
      </c>
      <c r="JZ12" s="55" t="s">
        <v>38</v>
      </c>
      <c r="KA12" s="55">
        <v>0.2</v>
      </c>
      <c r="KB12" s="475" t="s">
        <v>38</v>
      </c>
      <c r="KC12" s="37"/>
      <c r="KD12" s="37"/>
      <c r="KE12" s="37"/>
      <c r="KF12" s="37"/>
      <c r="KG12" s="37"/>
      <c r="KH12" s="37"/>
      <c r="KI12" s="37"/>
      <c r="KJ12" s="37"/>
    </row>
    <row r="13" spans="1:296" ht="15.6" x14ac:dyDescent="0.3">
      <c r="A13" s="386"/>
      <c r="B13" s="387"/>
      <c r="C13" s="387"/>
      <c r="D13" s="387"/>
      <c r="E13" s="472" t="s">
        <v>185</v>
      </c>
      <c r="F13" s="472"/>
      <c r="G13" s="472"/>
      <c r="H13" s="472"/>
      <c r="I13" s="472"/>
      <c r="J13" s="472"/>
      <c r="K13" s="472"/>
      <c r="L13" s="472"/>
      <c r="M13" s="472"/>
      <c r="N13" s="472"/>
      <c r="O13" s="472"/>
      <c r="P13" s="472"/>
      <c r="Q13" s="454"/>
      <c r="R13" s="454"/>
      <c r="S13" s="387"/>
      <c r="T13" s="387"/>
      <c r="U13" s="387"/>
      <c r="V13" s="387"/>
      <c r="W13" s="387"/>
      <c r="X13" s="388"/>
      <c r="Y13" s="386"/>
      <c r="Z13" s="387"/>
      <c r="AA13" s="387"/>
      <c r="AB13" s="387"/>
      <c r="AC13" s="472" t="s">
        <v>185</v>
      </c>
      <c r="AD13" s="472"/>
      <c r="AE13" s="472"/>
      <c r="AF13" s="472"/>
      <c r="AG13" s="472"/>
      <c r="AH13" s="472"/>
      <c r="AI13" s="472"/>
      <c r="AJ13" s="472"/>
      <c r="AK13" s="472"/>
      <c r="AL13" s="472"/>
      <c r="AM13" s="472"/>
      <c r="AN13" s="472"/>
      <c r="AO13" s="454"/>
      <c r="AP13" s="454"/>
      <c r="AQ13" s="387"/>
      <c r="AR13" s="387"/>
      <c r="AS13" s="387"/>
      <c r="AT13" s="387"/>
      <c r="AU13" s="387"/>
      <c r="AV13" s="388"/>
      <c r="AW13" s="386"/>
      <c r="AX13" s="387"/>
      <c r="AY13" s="387"/>
      <c r="AZ13" s="387"/>
      <c r="BA13" s="472" t="s">
        <v>185</v>
      </c>
      <c r="BB13" s="472"/>
      <c r="BC13" s="472"/>
      <c r="BD13" s="472"/>
      <c r="BE13" s="472"/>
      <c r="BF13" s="472"/>
      <c r="BG13" s="472"/>
      <c r="BH13" s="472"/>
      <c r="BI13" s="472"/>
      <c r="BJ13" s="472"/>
      <c r="BK13" s="472"/>
      <c r="BL13" s="472"/>
      <c r="BM13" s="454"/>
      <c r="BN13" s="454"/>
      <c r="BO13" s="387"/>
      <c r="BP13" s="387"/>
      <c r="BQ13" s="387"/>
      <c r="BR13" s="387"/>
      <c r="BS13" s="387"/>
      <c r="BT13" s="388"/>
      <c r="BU13" s="386"/>
      <c r="BV13" s="387"/>
      <c r="BW13" s="387"/>
      <c r="BX13" s="387"/>
      <c r="BY13" s="472" t="s">
        <v>185</v>
      </c>
      <c r="BZ13" s="472"/>
      <c r="CA13" s="472"/>
      <c r="CB13" s="472"/>
      <c r="CC13" s="472"/>
      <c r="CD13" s="472"/>
      <c r="CE13" s="472"/>
      <c r="CF13" s="472"/>
      <c r="CG13" s="472"/>
      <c r="CH13" s="472"/>
      <c r="CI13" s="472"/>
      <c r="CJ13" s="472"/>
      <c r="CK13" s="454"/>
      <c r="CL13" s="454"/>
      <c r="CM13" s="387"/>
      <c r="CN13" s="387"/>
      <c r="CO13" s="387"/>
      <c r="CP13" s="387"/>
      <c r="CQ13" s="387"/>
      <c r="CR13" s="388"/>
      <c r="CS13" s="386"/>
      <c r="CT13" s="387"/>
      <c r="CU13" s="387"/>
      <c r="CV13" s="387"/>
      <c r="CW13" s="472" t="s">
        <v>185</v>
      </c>
      <c r="CX13" s="472"/>
      <c r="CY13" s="472"/>
      <c r="CZ13" s="472"/>
      <c r="DA13" s="472"/>
      <c r="DB13" s="472"/>
      <c r="DC13" s="472"/>
      <c r="DD13" s="472"/>
      <c r="DE13" s="472"/>
      <c r="DF13" s="472"/>
      <c r="DG13" s="472"/>
      <c r="DH13" s="472"/>
      <c r="DI13" s="454"/>
      <c r="DJ13" s="454"/>
      <c r="DK13" s="387"/>
      <c r="DL13" s="387"/>
      <c r="DM13" s="387"/>
      <c r="DN13" s="387"/>
      <c r="DO13" s="387"/>
      <c r="DP13" s="388"/>
      <c r="DQ13" s="386"/>
      <c r="DR13" s="387"/>
      <c r="DS13" s="387"/>
      <c r="DT13" s="387"/>
      <c r="DU13" s="472" t="s">
        <v>185</v>
      </c>
      <c r="DV13" s="472"/>
      <c r="DW13" s="472"/>
      <c r="DX13" s="472"/>
      <c r="DY13" s="472"/>
      <c r="DZ13" s="472"/>
      <c r="EA13" s="472"/>
      <c r="EB13" s="472"/>
      <c r="EC13" s="472"/>
      <c r="ED13" s="472"/>
      <c r="EE13" s="472"/>
      <c r="EF13" s="472"/>
      <c r="EG13" s="454"/>
      <c r="EH13" s="454"/>
      <c r="EI13" s="387"/>
      <c r="EJ13" s="387"/>
      <c r="EK13" s="387"/>
      <c r="EL13" s="387"/>
      <c r="EM13" s="387"/>
      <c r="EN13" s="388"/>
      <c r="EO13" s="386"/>
      <c r="EP13" s="387"/>
      <c r="EQ13" s="387"/>
      <c r="ER13" s="387"/>
      <c r="ES13" s="472" t="s">
        <v>185</v>
      </c>
      <c r="ET13" s="472"/>
      <c r="EU13" s="472"/>
      <c r="EV13" s="472"/>
      <c r="EW13" s="472"/>
      <c r="EX13" s="472"/>
      <c r="EY13" s="472"/>
      <c r="EZ13" s="472"/>
      <c r="FA13" s="472"/>
      <c r="FB13" s="472"/>
      <c r="FC13" s="472"/>
      <c r="FD13" s="472"/>
      <c r="FE13" s="454"/>
      <c r="FF13" s="454"/>
      <c r="FG13" s="387"/>
      <c r="FH13" s="387"/>
      <c r="FI13" s="387"/>
      <c r="FJ13" s="387"/>
      <c r="FK13" s="387"/>
      <c r="FL13" s="388"/>
      <c r="FM13" s="386"/>
      <c r="FN13" s="387"/>
      <c r="FO13" s="387"/>
      <c r="FP13" s="387"/>
      <c r="FQ13" s="472" t="s">
        <v>185</v>
      </c>
      <c r="FR13" s="472"/>
      <c r="FS13" s="472"/>
      <c r="FT13" s="472"/>
      <c r="FU13" s="472"/>
      <c r="FV13" s="472"/>
      <c r="FW13" s="472"/>
      <c r="FX13" s="472"/>
      <c r="FY13" s="472"/>
      <c r="FZ13" s="472"/>
      <c r="GA13" s="472"/>
      <c r="GB13" s="472"/>
      <c r="GC13" s="454"/>
      <c r="GD13" s="454"/>
      <c r="GE13" s="387"/>
      <c r="GF13" s="387"/>
      <c r="GG13" s="387"/>
      <c r="GH13" s="387"/>
      <c r="GI13" s="387"/>
      <c r="GJ13" s="388"/>
      <c r="GK13" s="386"/>
      <c r="GL13" s="387"/>
      <c r="GM13" s="387"/>
      <c r="GN13" s="387"/>
      <c r="GO13" s="472" t="s">
        <v>185</v>
      </c>
      <c r="GP13" s="472"/>
      <c r="GQ13" s="472"/>
      <c r="GR13" s="472"/>
      <c r="GS13" s="472"/>
      <c r="GT13" s="472"/>
      <c r="GU13" s="472"/>
      <c r="GV13" s="472"/>
      <c r="GW13" s="472"/>
      <c r="GX13" s="472"/>
      <c r="GY13" s="472"/>
      <c r="GZ13" s="472"/>
      <c r="HA13" s="454"/>
      <c r="HB13" s="454"/>
      <c r="HC13" s="387"/>
      <c r="HD13" s="387"/>
      <c r="HE13" s="387"/>
      <c r="HF13" s="387"/>
      <c r="HG13" s="387"/>
      <c r="HH13" s="388"/>
      <c r="HI13" s="386"/>
      <c r="HJ13" s="387"/>
      <c r="HK13" s="387"/>
      <c r="HL13" s="387"/>
      <c r="HM13" s="472" t="s">
        <v>185</v>
      </c>
      <c r="HN13" s="472"/>
      <c r="HO13" s="472"/>
      <c r="HP13" s="472"/>
      <c r="HQ13" s="472"/>
      <c r="HR13" s="472"/>
      <c r="HS13" s="472"/>
      <c r="HT13" s="472"/>
      <c r="HU13" s="472"/>
      <c r="HV13" s="472"/>
      <c r="HW13" s="472"/>
      <c r="HX13" s="472"/>
      <c r="HY13" s="454"/>
      <c r="HZ13" s="454"/>
      <c r="IA13" s="387"/>
      <c r="IB13" s="387"/>
      <c r="IC13" s="387"/>
      <c r="ID13" s="387"/>
      <c r="IE13" s="387"/>
      <c r="IF13" s="388"/>
      <c r="IG13" s="386"/>
      <c r="IH13" s="387"/>
      <c r="II13" s="387"/>
      <c r="IJ13" s="387"/>
      <c r="IK13" s="472" t="s">
        <v>185</v>
      </c>
      <c r="IL13" s="472"/>
      <c r="IM13" s="472"/>
      <c r="IN13" s="472"/>
      <c r="IO13" s="472"/>
      <c r="IP13" s="472"/>
      <c r="IQ13" s="472"/>
      <c r="IR13" s="472"/>
      <c r="IS13" s="472"/>
      <c r="IT13" s="472"/>
      <c r="IU13" s="472"/>
      <c r="IV13" s="472"/>
      <c r="IW13" s="454"/>
      <c r="IX13" s="454"/>
      <c r="IY13" s="387"/>
      <c r="IZ13" s="387"/>
      <c r="JA13" s="387"/>
      <c r="JB13" s="387"/>
      <c r="JC13" s="387"/>
      <c r="JD13" s="471"/>
      <c r="JE13" s="386"/>
      <c r="JF13" s="387"/>
      <c r="JG13" s="387"/>
      <c r="JH13" s="387"/>
      <c r="JI13" s="472" t="s">
        <v>185</v>
      </c>
      <c r="JJ13" s="472"/>
      <c r="JK13" s="472"/>
      <c r="JL13" s="472"/>
      <c r="JM13" s="472"/>
      <c r="JN13" s="472"/>
      <c r="JO13" s="472"/>
      <c r="JP13" s="472"/>
      <c r="JQ13" s="472"/>
      <c r="JR13" s="472"/>
      <c r="JS13" s="472"/>
      <c r="JT13" s="472"/>
      <c r="JU13" s="454"/>
      <c r="JV13" s="454"/>
      <c r="JW13" s="387"/>
      <c r="JX13" s="387"/>
      <c r="JY13" s="387"/>
      <c r="JZ13" s="387"/>
      <c r="KA13" s="387"/>
      <c r="KB13" s="471"/>
      <c r="KC13" s="37"/>
      <c r="KD13" s="37"/>
      <c r="KE13" s="37"/>
      <c r="KF13" s="37"/>
      <c r="KG13" s="37"/>
      <c r="KH13" s="37"/>
      <c r="KI13" s="37"/>
      <c r="KJ13" s="37"/>
    </row>
    <row r="14" spans="1:296" x14ac:dyDescent="0.3">
      <c r="A14" s="49">
        <v>0</v>
      </c>
      <c r="B14" s="59" t="s">
        <v>190</v>
      </c>
      <c r="C14" s="28">
        <f t="shared" ref="C14:C19" si="22">D14/$AY$4</f>
        <v>11.928590909090909</v>
      </c>
      <c r="D14" s="60">
        <v>2624.29</v>
      </c>
      <c r="E14" s="28">
        <f>D14*E$12</f>
        <v>262.42900000000003</v>
      </c>
      <c r="F14" s="28">
        <f>D14*F$12</f>
        <v>209.94319999999999</v>
      </c>
      <c r="G14" s="28">
        <f>D14/G$12</f>
        <v>218.69083333333333</v>
      </c>
      <c r="H14" s="28">
        <f>G14/H$12</f>
        <v>72.896944444444443</v>
      </c>
      <c r="I14" s="61">
        <f>D14/I$12</f>
        <v>218.69083333333333</v>
      </c>
      <c r="J14" s="61">
        <f t="shared" ref="J14:J19" si="23">SUM(D14:I14)</f>
        <v>3606.9408111111115</v>
      </c>
      <c r="K14" s="62"/>
      <c r="L14" s="62"/>
      <c r="M14" s="62"/>
      <c r="N14" s="62"/>
      <c r="O14" s="62"/>
      <c r="P14" s="63">
        <f>((C14*P$12)+(C14*E$12)+(C14*F$12))*K14</f>
        <v>0</v>
      </c>
      <c r="Q14" s="63">
        <f>((C14*Q$12)+(C14*E$12)+(C14*F$12))*L14</f>
        <v>0</v>
      </c>
      <c r="R14" s="63">
        <f>((C14*R$12)+(C14*E$12)+(C14*F$12))*M14</f>
        <v>0</v>
      </c>
      <c r="S14" s="63">
        <f>((C14*S$6)+(C14*E$6)+(C14*F$6))*N14</f>
        <v>0</v>
      </c>
      <c r="T14" s="63">
        <f>((C14*T$12)+(C14*E$12)+(C14*F$12))*O14</f>
        <v>0</v>
      </c>
      <c r="U14" s="61">
        <f>SUM(P14:T14)</f>
        <v>0</v>
      </c>
      <c r="V14" s="64">
        <v>0</v>
      </c>
      <c r="W14" s="65">
        <f t="shared" ref="W14:W19" si="24">IF(A14=1,($C$1*$W$6),0)</f>
        <v>0</v>
      </c>
      <c r="X14" s="212">
        <f t="shared" ref="X14:X19" si="25">J14+U14+V14+W14</f>
        <v>3606.9408111111115</v>
      </c>
      <c r="Y14" s="49">
        <v>0</v>
      </c>
      <c r="Z14" s="59" t="s">
        <v>190</v>
      </c>
      <c r="AA14" s="28">
        <f t="shared" ref="AA14:AA19" si="26">AB14/$AY$4</f>
        <v>11.928590909090909</v>
      </c>
      <c r="AB14" s="60">
        <v>2624.29</v>
      </c>
      <c r="AC14" s="28">
        <f>AB14*AC$12</f>
        <v>262.42900000000003</v>
      </c>
      <c r="AD14" s="28">
        <f>AB14*AD$12</f>
        <v>209.94319999999999</v>
      </c>
      <c r="AE14" s="28">
        <f>AB14/AE$12</f>
        <v>218.69083333333333</v>
      </c>
      <c r="AF14" s="28">
        <f>AE14/AF$12</f>
        <v>72.896944444444443</v>
      </c>
      <c r="AG14" s="61">
        <f>AB14/AG$12</f>
        <v>218.69083333333333</v>
      </c>
      <c r="AH14" s="61">
        <f t="shared" ref="AH14:AH19" si="27">SUM(AB14:AG14)</f>
        <v>3606.9408111111115</v>
      </c>
      <c r="AI14" s="62"/>
      <c r="AJ14" s="62"/>
      <c r="AK14" s="62"/>
      <c r="AL14" s="62"/>
      <c r="AM14" s="62"/>
      <c r="AN14" s="63">
        <f>((AA14*AN$12)+(AA14*AC$12)+(AA14*AD$12))*AI14</f>
        <v>0</v>
      </c>
      <c r="AO14" s="63">
        <f>((AA14*AO$12)+(AA14*AC$12)+(AA14*AD$12))*AJ14</f>
        <v>0</v>
      </c>
      <c r="AP14" s="63">
        <f>((AA14*AP$12)+(AA14*AC$12)+(AA14*AD$12))*AK14</f>
        <v>0</v>
      </c>
      <c r="AQ14" s="63">
        <f>((AA14*AQ$6)+(AA14*AC$6)+(AA14*AD$6))*AL14</f>
        <v>0</v>
      </c>
      <c r="AR14" s="63">
        <f>((AA14*AR$12)+(AA14*AC$12)+(AA14*AD$12))*AM14</f>
        <v>0</v>
      </c>
      <c r="AS14" s="61">
        <f>SUM(AN14:AR14)</f>
        <v>0</v>
      </c>
      <c r="AT14" s="64">
        <v>0</v>
      </c>
      <c r="AU14" s="65">
        <f t="shared" ref="AU14:AU19" si="28">IF(Y14=1,($C$1*$W$6),0)</f>
        <v>0</v>
      </c>
      <c r="AV14" s="212">
        <f t="shared" ref="AV14:AV19" si="29">AH14+AS14+AT14+AU14</f>
        <v>3606.9408111111115</v>
      </c>
      <c r="AW14" s="49">
        <v>0</v>
      </c>
      <c r="AX14" s="59" t="s">
        <v>190</v>
      </c>
      <c r="AY14" s="28">
        <f t="shared" ref="AY14:AY19" si="30">AZ14/$AY$4</f>
        <v>11.928590909090909</v>
      </c>
      <c r="AZ14" s="60">
        <v>2624.29</v>
      </c>
      <c r="BA14" s="28">
        <f>AZ14*BA$12</f>
        <v>262.42900000000003</v>
      </c>
      <c r="BB14" s="28">
        <f>AZ14*BB$12</f>
        <v>209.94319999999999</v>
      </c>
      <c r="BC14" s="28">
        <f>AZ14/BC$12</f>
        <v>218.69083333333333</v>
      </c>
      <c r="BD14" s="28">
        <f>BC14/BD$12</f>
        <v>72.896944444444443</v>
      </c>
      <c r="BE14" s="61">
        <f>AZ14/BE$12</f>
        <v>218.69083333333333</v>
      </c>
      <c r="BF14" s="61">
        <f t="shared" ref="BF14:BF19" si="31">SUM(AZ14:BE14)</f>
        <v>3606.9408111111115</v>
      </c>
      <c r="BG14" s="62"/>
      <c r="BH14" s="62"/>
      <c r="BI14" s="62"/>
      <c r="BJ14" s="62"/>
      <c r="BK14" s="62"/>
      <c r="BL14" s="63">
        <f>((AY14*BL$12)+(AY14*BA$12)+(AY14*BB$12))*BG14</f>
        <v>0</v>
      </c>
      <c r="BM14" s="63">
        <f>((AY14*BM$12)+(AY14*BA$12)+(AY14*BB$12))*BH14</f>
        <v>0</v>
      </c>
      <c r="BN14" s="63">
        <f>((AY14*BN$12)+(AY14*BA$12)+(AY14*BB$12))*BI14</f>
        <v>0</v>
      </c>
      <c r="BO14" s="63">
        <f>((AY14*BO$6)+(AY14*BA$6)+(AY14*BB$6))*BJ14</f>
        <v>0</v>
      </c>
      <c r="BP14" s="63">
        <f>((AY14*BP$12)+(AY14*BA$12)+(AY14*BB$12))*BK14</f>
        <v>0</v>
      </c>
      <c r="BQ14" s="61">
        <f>SUM(BL14:BP14)</f>
        <v>0</v>
      </c>
      <c r="BR14" s="64">
        <v>0</v>
      </c>
      <c r="BS14" s="65">
        <f t="shared" ref="BS14:BS19" si="32">IF(AW14=1,($C$1*$W$6),0)</f>
        <v>0</v>
      </c>
      <c r="BT14" s="212">
        <f t="shared" ref="BT14:BT19" si="33">BF14+BQ14+BR14+BS14</f>
        <v>3606.9408111111115</v>
      </c>
      <c r="BU14" s="49">
        <v>0</v>
      </c>
      <c r="BV14" s="59" t="s">
        <v>190</v>
      </c>
      <c r="BW14" s="28">
        <f t="shared" ref="BW14:BW19" si="34">BX14/$AY$4</f>
        <v>11.928590909090909</v>
      </c>
      <c r="BX14" s="60">
        <v>2624.29</v>
      </c>
      <c r="BY14" s="28">
        <f>BX14*BY$12</f>
        <v>262.42900000000003</v>
      </c>
      <c r="BZ14" s="28">
        <f>BX14*BZ$12</f>
        <v>209.94319999999999</v>
      </c>
      <c r="CA14" s="28">
        <f>BX14/CA$12</f>
        <v>218.69083333333333</v>
      </c>
      <c r="CB14" s="28">
        <f>CA14/CB$12</f>
        <v>72.896944444444443</v>
      </c>
      <c r="CC14" s="61">
        <f>BX14/CC$12</f>
        <v>218.69083333333333</v>
      </c>
      <c r="CD14" s="61">
        <f t="shared" ref="CD14:CD19" si="35">SUM(BX14:CC14)</f>
        <v>3606.9408111111115</v>
      </c>
      <c r="CE14" s="62"/>
      <c r="CF14" s="62"/>
      <c r="CG14" s="62"/>
      <c r="CH14" s="62"/>
      <c r="CI14" s="62"/>
      <c r="CJ14" s="63">
        <f>((BW14*CJ$12)+(BW14*BY$12)+(BW14*BZ$12))*CE14</f>
        <v>0</v>
      </c>
      <c r="CK14" s="63">
        <f>((BW14*CK$12)+(BW14*BY$12)+(BW14*BZ$12))*CF14</f>
        <v>0</v>
      </c>
      <c r="CL14" s="63">
        <f>((BW14*CL$12)+(BW14*BY$12)+(BW14*BZ$12))*CG14</f>
        <v>0</v>
      </c>
      <c r="CM14" s="63">
        <f>((BW14*CM$6)+(BW14*BY$6)+(BW14*BZ$6))*CH14</f>
        <v>0</v>
      </c>
      <c r="CN14" s="63">
        <f>((BW14*CN$12)+(BW14*BY$12)+(BW14*BZ$12))*CI14</f>
        <v>0</v>
      </c>
      <c r="CO14" s="61">
        <f>SUM(CJ14:CN14)</f>
        <v>0</v>
      </c>
      <c r="CP14" s="64">
        <v>0</v>
      </c>
      <c r="CQ14" s="65">
        <f t="shared" ref="CQ14:CQ19" si="36">IF(BU14=1,($C$1*$W$6),0)</f>
        <v>0</v>
      </c>
      <c r="CR14" s="212">
        <f t="shared" ref="CR14:CR19" si="37">CD14+CO14+CP14+CQ14</f>
        <v>3606.9408111111115</v>
      </c>
      <c r="CS14" s="49">
        <v>0</v>
      </c>
      <c r="CT14" s="59" t="s">
        <v>190</v>
      </c>
      <c r="CU14" s="28">
        <f t="shared" ref="CU14:CU19" si="38">CV14/$AY$4</f>
        <v>11.928590909090909</v>
      </c>
      <c r="CV14" s="60">
        <v>2624.29</v>
      </c>
      <c r="CW14" s="28">
        <f>CV14*CW$12</f>
        <v>262.42900000000003</v>
      </c>
      <c r="CX14" s="28">
        <f>CV14*CX$12</f>
        <v>209.94319999999999</v>
      </c>
      <c r="CY14" s="28">
        <f>CV14/CY$12</f>
        <v>218.69083333333333</v>
      </c>
      <c r="CZ14" s="28">
        <f>CY14/CZ$12</f>
        <v>72.896944444444443</v>
      </c>
      <c r="DA14" s="61">
        <f>CV14/DA$12</f>
        <v>218.69083333333333</v>
      </c>
      <c r="DB14" s="61">
        <f t="shared" ref="DB14:DB19" si="39">SUM(CV14:DA14)</f>
        <v>3606.9408111111115</v>
      </c>
      <c r="DC14" s="62"/>
      <c r="DD14" s="62"/>
      <c r="DE14" s="62"/>
      <c r="DF14" s="62"/>
      <c r="DG14" s="62"/>
      <c r="DH14" s="63">
        <f>((CU14*DH$12)+(CU14*CW$12)+(CU14*CX$12))*DC14</f>
        <v>0</v>
      </c>
      <c r="DI14" s="63">
        <f>((CU14*DI$12)+(CU14*CW$12)+(CU14*CX$12))*DD14</f>
        <v>0</v>
      </c>
      <c r="DJ14" s="63">
        <f>((CU14*DJ$12)+(CU14*CW$12)+(CU14*CX$12))*DE14</f>
        <v>0</v>
      </c>
      <c r="DK14" s="63">
        <f>((CU14*DK$6)+(CU14*CW$6)+(CU14*CX$6))*DF14</f>
        <v>0</v>
      </c>
      <c r="DL14" s="63">
        <f>((CU14*DL$12)+(CU14*CW$12)+(CU14*CX$12))*DG14</f>
        <v>0</v>
      </c>
      <c r="DM14" s="61">
        <f>SUM(DH14:DL14)</f>
        <v>0</v>
      </c>
      <c r="DN14" s="64">
        <v>0</v>
      </c>
      <c r="DO14" s="65">
        <f t="shared" ref="DO14:DO19" si="40">IF(CS14=1,($C$1*$W$6),0)</f>
        <v>0</v>
      </c>
      <c r="DP14" s="212">
        <f t="shared" ref="DP14:DP19" si="41">DB14+DM14+DN14+DO14</f>
        <v>3606.9408111111115</v>
      </c>
      <c r="DQ14" s="49">
        <v>0</v>
      </c>
      <c r="DR14" s="59" t="s">
        <v>190</v>
      </c>
      <c r="DS14" s="28">
        <f t="shared" ref="DS14:DS19" si="42">DT14/$AY$4</f>
        <v>11.928590909090909</v>
      </c>
      <c r="DT14" s="60">
        <v>2624.29</v>
      </c>
      <c r="DU14" s="28">
        <f>DT14*DU$12</f>
        <v>262.42900000000003</v>
      </c>
      <c r="DV14" s="28">
        <f>DT14*DV$12</f>
        <v>209.94319999999999</v>
      </c>
      <c r="DW14" s="28">
        <f>DT14/DW$12</f>
        <v>218.69083333333333</v>
      </c>
      <c r="DX14" s="28">
        <f>DW14/DX$12</f>
        <v>72.896944444444443</v>
      </c>
      <c r="DY14" s="61">
        <f>DT14/DY$12</f>
        <v>218.69083333333333</v>
      </c>
      <c r="DZ14" s="61">
        <f t="shared" ref="DZ14:DZ19" si="43">SUM(DT14:DY14)</f>
        <v>3606.9408111111115</v>
      </c>
      <c r="EA14" s="62"/>
      <c r="EB14" s="62"/>
      <c r="EC14" s="62"/>
      <c r="ED14" s="62"/>
      <c r="EE14" s="62"/>
      <c r="EF14" s="63">
        <f>((DS14*EF$12)+(DS14*DU$12)+(DS14*DV$12))*EA14</f>
        <v>0</v>
      </c>
      <c r="EG14" s="63">
        <f>((DS14*EG$12)+(DS14*DU$12)+(DS14*DV$12))*EB14</f>
        <v>0</v>
      </c>
      <c r="EH14" s="63">
        <f>((DS14*EH$12)+(DS14*DU$12)+(DS14*DV$12))*EC14</f>
        <v>0</v>
      </c>
      <c r="EI14" s="63">
        <f>((DS14*EI$6)+(DS14*DU$6)+(DS14*DV$6))*ED14</f>
        <v>0</v>
      </c>
      <c r="EJ14" s="63">
        <f>((DS14*EJ$12)+(DS14*DU$12)+(DS14*DV$12))*EE14</f>
        <v>0</v>
      </c>
      <c r="EK14" s="61">
        <f>SUM(EF14:EJ14)</f>
        <v>0</v>
      </c>
      <c r="EL14" s="64">
        <v>0</v>
      </c>
      <c r="EM14" s="65">
        <f t="shared" ref="EM14:EM19" si="44">IF(DQ14=1,($C$1*$W$6),0)</f>
        <v>0</v>
      </c>
      <c r="EN14" s="212">
        <f t="shared" ref="EN14:EN19" si="45">DZ14+EK14+EL14+EM14</f>
        <v>3606.9408111111115</v>
      </c>
      <c r="EO14" s="49">
        <v>0</v>
      </c>
      <c r="EP14" s="59" t="s">
        <v>190</v>
      </c>
      <c r="EQ14" s="28">
        <f t="shared" ref="EQ14:EQ19" si="46">ER14/$AY$4</f>
        <v>11.928590909090909</v>
      </c>
      <c r="ER14" s="60">
        <v>2624.29</v>
      </c>
      <c r="ES14" s="28">
        <f>ER14*ES$12</f>
        <v>262.42900000000003</v>
      </c>
      <c r="ET14" s="28">
        <f>ER14*ET$12</f>
        <v>209.94319999999999</v>
      </c>
      <c r="EU14" s="28">
        <f>ER14/EU$12</f>
        <v>218.69083333333333</v>
      </c>
      <c r="EV14" s="28">
        <f>EU14/EV$12</f>
        <v>72.896944444444443</v>
      </c>
      <c r="EW14" s="61">
        <f>ER14/EW$12</f>
        <v>218.69083333333333</v>
      </c>
      <c r="EX14" s="61">
        <f t="shared" ref="EX14:EX19" si="47">SUM(ER14:EW14)</f>
        <v>3606.9408111111115</v>
      </c>
      <c r="EY14" s="62"/>
      <c r="EZ14" s="62"/>
      <c r="FA14" s="62"/>
      <c r="FB14" s="62"/>
      <c r="FC14" s="62"/>
      <c r="FD14" s="63">
        <f>((EQ14*FD$12)+(EQ14*ES$12)+(EQ14*ET$12))*EY14</f>
        <v>0</v>
      </c>
      <c r="FE14" s="63">
        <f>((EQ14*FE$12)+(EQ14*ES$12)+(EQ14*ET$12))*EZ14</f>
        <v>0</v>
      </c>
      <c r="FF14" s="63">
        <f>((EQ14*FF$12)+(EQ14*ES$12)+(EQ14*ET$12))*FA14</f>
        <v>0</v>
      </c>
      <c r="FG14" s="63">
        <f>((EQ14*FG$6)+(EQ14*ES$6)+(EQ14*ET$6))*FB14</f>
        <v>0</v>
      </c>
      <c r="FH14" s="63">
        <f>((EQ14*FH$12)+(EQ14*ES$12)+(EQ14*ET$12))*FC14</f>
        <v>0</v>
      </c>
      <c r="FI14" s="61">
        <f>SUM(FD14:FH14)</f>
        <v>0</v>
      </c>
      <c r="FJ14" s="64">
        <v>0</v>
      </c>
      <c r="FK14" s="65">
        <f t="shared" ref="FK14:FK19" si="48">IF(EO14=1,($C$1*$W$6),0)</f>
        <v>0</v>
      </c>
      <c r="FL14" s="212">
        <f t="shared" ref="FL14:FL19" si="49">EX14+FI14+FJ14+FK14</f>
        <v>3606.9408111111115</v>
      </c>
      <c r="FM14" s="49">
        <v>0</v>
      </c>
      <c r="FN14" s="59" t="s">
        <v>190</v>
      </c>
      <c r="FO14" s="28">
        <f t="shared" ref="FO14:FO19" si="50">FP14/$AY$4</f>
        <v>11.928590909090909</v>
      </c>
      <c r="FP14" s="60">
        <v>2624.29</v>
      </c>
      <c r="FQ14" s="28">
        <f>FP14*FQ$12</f>
        <v>262.42900000000003</v>
      </c>
      <c r="FR14" s="28">
        <f>FP14*FR$12</f>
        <v>209.94319999999999</v>
      </c>
      <c r="FS14" s="28">
        <f>FP14/FS$12</f>
        <v>218.69083333333333</v>
      </c>
      <c r="FT14" s="28">
        <f>FS14/FT$12</f>
        <v>72.896944444444443</v>
      </c>
      <c r="FU14" s="61">
        <f>FP14/FU$12</f>
        <v>218.69083333333333</v>
      </c>
      <c r="FV14" s="61">
        <f t="shared" ref="FV14:FV19" si="51">SUM(FP14:FU14)</f>
        <v>3606.9408111111115</v>
      </c>
      <c r="FW14" s="62"/>
      <c r="FX14" s="62"/>
      <c r="FY14" s="62"/>
      <c r="FZ14" s="62"/>
      <c r="GA14" s="62"/>
      <c r="GB14" s="63">
        <f>((FO14*GB$12)+(FO14*FQ$12)+(FO14*FR$12))*FW14</f>
        <v>0</v>
      </c>
      <c r="GC14" s="63">
        <f>((FO14*GC$12)+(FO14*FQ$12)+(FO14*FR$12))*FX14</f>
        <v>0</v>
      </c>
      <c r="GD14" s="63">
        <f>((FO14*GD$12)+(FO14*FQ$12)+(FO14*FR$12))*FY14</f>
        <v>0</v>
      </c>
      <c r="GE14" s="63">
        <f>((FO14*GE$6)+(FO14*FQ$6)+(FO14*FR$6))*FZ14</f>
        <v>0</v>
      </c>
      <c r="GF14" s="63">
        <f>((FO14*GF$12)+(FO14*FQ$12)+(FO14*FR$12))*GA14</f>
        <v>0</v>
      </c>
      <c r="GG14" s="61">
        <f>SUM(GB14:GF14)</f>
        <v>0</v>
      </c>
      <c r="GH14" s="64">
        <v>0</v>
      </c>
      <c r="GI14" s="65">
        <f t="shared" ref="GI14:GI19" si="52">IF(FM14=1,($C$1*$W$6),0)</f>
        <v>0</v>
      </c>
      <c r="GJ14" s="212">
        <f t="shared" ref="GJ14:GJ19" si="53">FV14+GG14+GH14+GI14</f>
        <v>3606.9408111111115</v>
      </c>
      <c r="GK14" s="49">
        <v>0</v>
      </c>
      <c r="GL14" s="59" t="s">
        <v>190</v>
      </c>
      <c r="GM14" s="28">
        <f t="shared" ref="GM14:GM19" si="54">GN14/$AY$4</f>
        <v>11.928590909090909</v>
      </c>
      <c r="GN14" s="60">
        <v>2624.29</v>
      </c>
      <c r="GO14" s="28">
        <f>GN14*GO$12</f>
        <v>262.42900000000003</v>
      </c>
      <c r="GP14" s="28">
        <f>GN14*GP$12</f>
        <v>209.94319999999999</v>
      </c>
      <c r="GQ14" s="28">
        <f>GN14/GQ$12</f>
        <v>218.69083333333333</v>
      </c>
      <c r="GR14" s="28">
        <f>GQ14/GR$12</f>
        <v>72.896944444444443</v>
      </c>
      <c r="GS14" s="61">
        <f>GN14/GS$12</f>
        <v>218.69083333333333</v>
      </c>
      <c r="GT14" s="61">
        <f t="shared" ref="GT14:GT19" si="55">SUM(GN14:GS14)</f>
        <v>3606.9408111111115</v>
      </c>
      <c r="GU14" s="62"/>
      <c r="GV14" s="62"/>
      <c r="GW14" s="62"/>
      <c r="GX14" s="62"/>
      <c r="GY14" s="62"/>
      <c r="GZ14" s="63">
        <f>((GM14*GZ$12)+(GM14*GO$12)+(GM14*GP$12))*GU14</f>
        <v>0</v>
      </c>
      <c r="HA14" s="63">
        <f>((GM14*HA$12)+(GM14*GO$12)+(GM14*GP$12))*GV14</f>
        <v>0</v>
      </c>
      <c r="HB14" s="63">
        <f>((GM14*HB$12)+(GM14*GO$12)+(GM14*GP$12))*GW14</f>
        <v>0</v>
      </c>
      <c r="HC14" s="63">
        <f>((GM14*HC$6)+(GM14*GO$6)+(GM14*GP$6))*GX14</f>
        <v>0</v>
      </c>
      <c r="HD14" s="63">
        <f>((GM14*HD$12)+(GM14*GO$12)+(GM14*GP$12))*GY14</f>
        <v>0</v>
      </c>
      <c r="HE14" s="61">
        <f>SUM(GZ14:HD14)</f>
        <v>0</v>
      </c>
      <c r="HF14" s="64">
        <v>0</v>
      </c>
      <c r="HG14" s="65">
        <f t="shared" ref="HG14:HG19" si="56">IF(GK14=1,($C$1*$W$6),0)</f>
        <v>0</v>
      </c>
      <c r="HH14" s="212">
        <f t="shared" ref="HH14:HH19" si="57">GT14+HE14+HF14+HG14</f>
        <v>3606.9408111111115</v>
      </c>
      <c r="HI14" s="49">
        <v>0</v>
      </c>
      <c r="HJ14" s="59" t="s">
        <v>190</v>
      </c>
      <c r="HK14" s="28">
        <f t="shared" ref="HK14:HK19" si="58">HL14/$AY$4</f>
        <v>11.928590909090909</v>
      </c>
      <c r="HL14" s="60">
        <v>2624.29</v>
      </c>
      <c r="HM14" s="28">
        <f>HL14*HM$12</f>
        <v>262.42900000000003</v>
      </c>
      <c r="HN14" s="28">
        <f>HL14*HN$12</f>
        <v>209.94319999999999</v>
      </c>
      <c r="HO14" s="28">
        <f>HL14/HO$12</f>
        <v>218.69083333333333</v>
      </c>
      <c r="HP14" s="28">
        <f>HO14/HP$12</f>
        <v>72.896944444444443</v>
      </c>
      <c r="HQ14" s="61">
        <f>HL14/HQ$12</f>
        <v>218.69083333333333</v>
      </c>
      <c r="HR14" s="61">
        <f t="shared" ref="HR14:HR19" si="59">SUM(HL14:HQ14)</f>
        <v>3606.9408111111115</v>
      </c>
      <c r="HS14" s="62"/>
      <c r="HT14" s="62"/>
      <c r="HU14" s="62"/>
      <c r="HV14" s="62"/>
      <c r="HW14" s="62"/>
      <c r="HX14" s="63">
        <f>((HK14*HX$12)+(HK14*HM$12)+(HK14*HN$12))*HS14</f>
        <v>0</v>
      </c>
      <c r="HY14" s="63">
        <f>((HK14*HY$12)+(HK14*HM$12)+(HK14*HN$12))*HT14</f>
        <v>0</v>
      </c>
      <c r="HZ14" s="63">
        <f>((HK14*HZ$12)+(HK14*HM$12)+(HK14*HN$12))*HU14</f>
        <v>0</v>
      </c>
      <c r="IA14" s="63">
        <f>((HK14*IA$6)+(HK14*HM$6)+(HK14*HN$6))*HV14</f>
        <v>0</v>
      </c>
      <c r="IB14" s="63">
        <f>((HK14*IB$12)+(HK14*HM$12)+(HK14*HN$12))*HW14</f>
        <v>0</v>
      </c>
      <c r="IC14" s="61">
        <f>SUM(HX14:IB14)</f>
        <v>0</v>
      </c>
      <c r="ID14" s="64">
        <v>0</v>
      </c>
      <c r="IE14" s="65">
        <f t="shared" ref="IE14:IE19" si="60">IF(HI14=1,($C$1*$W$6),0)</f>
        <v>0</v>
      </c>
      <c r="IF14" s="212">
        <f t="shared" ref="IF14:IF19" si="61">HR14+IC14+ID14+IE14</f>
        <v>3606.9408111111115</v>
      </c>
      <c r="IG14" s="49">
        <v>0</v>
      </c>
      <c r="IH14" s="59" t="s">
        <v>190</v>
      </c>
      <c r="II14" s="28">
        <f t="shared" ref="II14:II19" si="62">IJ14/$AY$4</f>
        <v>11.928590909090909</v>
      </c>
      <c r="IJ14" s="60">
        <v>2624.29</v>
      </c>
      <c r="IK14" s="28">
        <f t="shared" ref="IK14:IK19" si="63">IJ14*IK$12</f>
        <v>262.42900000000003</v>
      </c>
      <c r="IL14" s="28">
        <f t="shared" ref="IL14:IL19" si="64">IJ14*IL$12</f>
        <v>209.94319999999999</v>
      </c>
      <c r="IM14" s="28">
        <f t="shared" ref="IM14:IM19" si="65">IJ14/IM$12</f>
        <v>218.69083333333333</v>
      </c>
      <c r="IN14" s="28">
        <f t="shared" ref="IN14:IN19" si="66">IM14/IN$12</f>
        <v>72.896944444444443</v>
      </c>
      <c r="IO14" s="61">
        <f t="shared" ref="IO14:IO19" si="67">IJ14/IO$12</f>
        <v>218.69083333333333</v>
      </c>
      <c r="IP14" s="61">
        <f t="shared" ref="IP14:IP19" si="68">SUM(IJ14:IO14)</f>
        <v>3606.9408111111115</v>
      </c>
      <c r="IQ14" s="62"/>
      <c r="IR14" s="62"/>
      <c r="IS14" s="62"/>
      <c r="IT14" s="62"/>
      <c r="IU14" s="62"/>
      <c r="IV14" s="63">
        <f t="shared" ref="IV14:IV19" si="69">((II14*IV$12)+(II14*IK$12)+(II14*IL$12))*IQ14</f>
        <v>0</v>
      </c>
      <c r="IW14" s="63">
        <f t="shared" ref="IW14:IW19" si="70">((II14*IW$12)+(II14*IK$12)+(II14*IL$12))*IR14</f>
        <v>0</v>
      </c>
      <c r="IX14" s="63">
        <f t="shared" ref="IX14:IX19" si="71">((II14*IX$12)+(II14*IK$12)+(II14*IL$12))*IS14</f>
        <v>0</v>
      </c>
      <c r="IY14" s="63">
        <f t="shared" ref="IY14:IY19" si="72">((II14*IY$6)+(II14*IK$6)+(II14*IL$6))*IT14</f>
        <v>0</v>
      </c>
      <c r="IZ14" s="63">
        <f t="shared" ref="IZ14:IZ19" si="73">((II14*IZ$12)+(II14*IK$12)+(II14*IL$12))*IU14</f>
        <v>0</v>
      </c>
      <c r="JA14" s="61">
        <f>SUM(IV14:IZ14)</f>
        <v>0</v>
      </c>
      <c r="JB14" s="64">
        <v>0</v>
      </c>
      <c r="JC14" s="65">
        <f t="shared" ref="JC14:JC19" si="74">IF(IG14=1,($C$1*$W$6),0)</f>
        <v>0</v>
      </c>
      <c r="JD14" s="476">
        <f t="shared" ref="JD14:JD19" si="75">IP14+JA14+JB14+JC14</f>
        <v>3606.9408111111115</v>
      </c>
      <c r="JE14" s="49">
        <v>0</v>
      </c>
      <c r="JF14" s="59" t="s">
        <v>190</v>
      </c>
      <c r="JG14" s="28">
        <f t="shared" ref="JG14:JG19" si="76">JH14/$AY$4</f>
        <v>11.928590909090909</v>
      </c>
      <c r="JH14" s="60">
        <v>2624.29</v>
      </c>
      <c r="JI14" s="28">
        <f t="shared" ref="JI14:JI19" si="77">JH14*JI$12</f>
        <v>262.42900000000003</v>
      </c>
      <c r="JJ14" s="28">
        <f t="shared" ref="JJ14:JJ19" si="78">JH14*JJ$12</f>
        <v>209.94319999999999</v>
      </c>
      <c r="JK14" s="28">
        <f t="shared" ref="JK14:JK19" si="79">JH14/JK$12</f>
        <v>218.69083333333333</v>
      </c>
      <c r="JL14" s="28">
        <f t="shared" ref="JL14:JL19" si="80">JK14/JL$12</f>
        <v>72.896944444444443</v>
      </c>
      <c r="JM14" s="61">
        <f t="shared" ref="JM14:JM19" si="81">JH14/JM$12</f>
        <v>218.69083333333333</v>
      </c>
      <c r="JN14" s="61">
        <f t="shared" ref="JN14:JN19" si="82">SUM(JH14:JM14)</f>
        <v>3606.9408111111115</v>
      </c>
      <c r="JO14" s="62"/>
      <c r="JP14" s="62"/>
      <c r="JQ14" s="62"/>
      <c r="JR14" s="62"/>
      <c r="JS14" s="62"/>
      <c r="JT14" s="63">
        <f t="shared" ref="JT14:JT19" si="83">((JG14*JT$12)+(JG14*JI$12)+(JG14*JJ$12))*JO14</f>
        <v>0</v>
      </c>
      <c r="JU14" s="63">
        <f t="shared" ref="JU14:JU19" si="84">((JG14*JU$12)+(JG14*JI$12)+(JG14*JJ$12))*JP14</f>
        <v>0</v>
      </c>
      <c r="JV14" s="63">
        <f t="shared" ref="JV14:JV19" si="85">((JG14*JV$12)+(JG14*JI$12)+(JG14*JJ$12))*JQ14</f>
        <v>0</v>
      </c>
      <c r="JW14" s="63">
        <f t="shared" ref="JW14:JW19" si="86">((JG14*JW$6)+(JG14*JI$6)+(JG14*JJ$6))*JR14</f>
        <v>0</v>
      </c>
      <c r="JX14" s="63">
        <f t="shared" ref="JX14:JX19" si="87">((JG14*JX$12)+(JG14*JI$12)+(JG14*JJ$12))*JS14</f>
        <v>0</v>
      </c>
      <c r="JY14" s="61">
        <f>SUM(JT14:JX14)</f>
        <v>0</v>
      </c>
      <c r="JZ14" s="64">
        <v>0</v>
      </c>
      <c r="KA14" s="65">
        <f t="shared" ref="KA14:KA19" si="88">IF(JE14=1,($C$1*$W$6),0)</f>
        <v>0</v>
      </c>
      <c r="KB14" s="476">
        <f t="shared" ref="KB14:KB19" si="89">JN14+JY14+JZ14+KA14</f>
        <v>3606.9408111111115</v>
      </c>
      <c r="KC14" s="37"/>
      <c r="KD14" s="37"/>
      <c r="KE14" s="37"/>
      <c r="KF14" s="37"/>
      <c r="KG14" s="37"/>
      <c r="KH14" s="37"/>
      <c r="KI14" s="37"/>
      <c r="KJ14" s="37"/>
    </row>
    <row r="15" spans="1:296" x14ac:dyDescent="0.3">
      <c r="A15" s="49">
        <v>0</v>
      </c>
      <c r="B15" s="59" t="s">
        <v>199</v>
      </c>
      <c r="C15" s="28">
        <f t="shared" si="22"/>
        <v>5.9642727272727276</v>
      </c>
      <c r="D15" s="60">
        <v>1312.14</v>
      </c>
      <c r="E15" s="28">
        <f t="shared" ref="E15:E19" si="90">D15*E$12</f>
        <v>131.21400000000003</v>
      </c>
      <c r="F15" s="28">
        <f t="shared" ref="F15:F19" si="91">D15*F$12</f>
        <v>104.97120000000001</v>
      </c>
      <c r="G15" s="28">
        <f t="shared" ref="G15:G19" si="92">D15/G$12</f>
        <v>109.34500000000001</v>
      </c>
      <c r="H15" s="28">
        <f t="shared" ref="H15:H19" si="93">G15/H$12</f>
        <v>36.448333333333338</v>
      </c>
      <c r="I15" s="61">
        <f t="shared" ref="I15:I19" si="94">D15/I$12</f>
        <v>109.34500000000001</v>
      </c>
      <c r="J15" s="61">
        <f t="shared" si="23"/>
        <v>1803.4635333333333</v>
      </c>
      <c r="K15" s="62"/>
      <c r="L15" s="62"/>
      <c r="M15" s="62"/>
      <c r="N15" s="62"/>
      <c r="O15" s="62"/>
      <c r="P15" s="63">
        <f t="shared" ref="P15:P19" si="95">((C15*P$12)+(C15*E$12)+(C15*F$12))*K15</f>
        <v>0</v>
      </c>
      <c r="Q15" s="63">
        <f t="shared" ref="Q15:Q19" si="96">((C15*Q$12)+(C15*E$12)+(C15*F$12))*L15</f>
        <v>0</v>
      </c>
      <c r="R15" s="63">
        <f t="shared" ref="R15:R19" si="97">((C15*R$12)+(C15*E$12)+(C15*F$12))*M15</f>
        <v>0</v>
      </c>
      <c r="S15" s="63">
        <f t="shared" ref="S15:S19" si="98">((C15*S$6)+(C15*E$6)+(C15*F$6))*N15</f>
        <v>0</v>
      </c>
      <c r="T15" s="63">
        <f t="shared" ref="T15:T19" si="99">((C15*T$12)+(C15*E$12)+(C15*F$12))*O15</f>
        <v>0</v>
      </c>
      <c r="U15" s="61">
        <f t="shared" ref="U15:U19" si="100">SUM(P15:T15)</f>
        <v>0</v>
      </c>
      <c r="V15" s="64">
        <v>0</v>
      </c>
      <c r="W15" s="65">
        <f t="shared" si="24"/>
        <v>0</v>
      </c>
      <c r="X15" s="212">
        <f t="shared" si="25"/>
        <v>1803.4635333333333</v>
      </c>
      <c r="Y15" s="49">
        <v>0</v>
      </c>
      <c r="Z15" s="59" t="s">
        <v>199</v>
      </c>
      <c r="AA15" s="28">
        <f t="shared" si="26"/>
        <v>5.9642727272727276</v>
      </c>
      <c r="AB15" s="60">
        <v>1312.14</v>
      </c>
      <c r="AC15" s="28">
        <f t="shared" ref="AC15:AC19" si="101">AB15*AC$12</f>
        <v>131.21400000000003</v>
      </c>
      <c r="AD15" s="28">
        <f t="shared" ref="AD15:AD19" si="102">AB15*AD$12</f>
        <v>104.97120000000001</v>
      </c>
      <c r="AE15" s="28">
        <f t="shared" ref="AE15:AE19" si="103">AB15/AE$12</f>
        <v>109.34500000000001</v>
      </c>
      <c r="AF15" s="28">
        <f t="shared" ref="AF15:AF19" si="104">AE15/AF$12</f>
        <v>36.448333333333338</v>
      </c>
      <c r="AG15" s="61">
        <f t="shared" ref="AG15:AG19" si="105">AB15/AG$12</f>
        <v>109.34500000000001</v>
      </c>
      <c r="AH15" s="61">
        <f t="shared" si="27"/>
        <v>1803.4635333333333</v>
      </c>
      <c r="AI15" s="62"/>
      <c r="AJ15" s="62"/>
      <c r="AK15" s="62"/>
      <c r="AL15" s="62"/>
      <c r="AM15" s="62"/>
      <c r="AN15" s="63">
        <f t="shared" ref="AN15:AN19" si="106">((AA15*AN$12)+(AA15*AC$12)+(AA15*AD$12))*AI15</f>
        <v>0</v>
      </c>
      <c r="AO15" s="63">
        <f t="shared" ref="AO15:AO19" si="107">((AA15*AO$12)+(AA15*AC$12)+(AA15*AD$12))*AJ15</f>
        <v>0</v>
      </c>
      <c r="AP15" s="63">
        <f t="shared" ref="AP15:AP19" si="108">((AA15*AP$12)+(AA15*AC$12)+(AA15*AD$12))*AK15</f>
        <v>0</v>
      </c>
      <c r="AQ15" s="63">
        <f t="shared" ref="AQ15:AQ19" si="109">((AA15*AQ$6)+(AA15*AC$6)+(AA15*AD$6))*AL15</f>
        <v>0</v>
      </c>
      <c r="AR15" s="63">
        <f t="shared" ref="AR15:AR19" si="110">((AA15*AR$12)+(AA15*AC$12)+(AA15*AD$12))*AM15</f>
        <v>0</v>
      </c>
      <c r="AS15" s="61">
        <f t="shared" ref="AS15:AS19" si="111">SUM(AN15:AR15)</f>
        <v>0</v>
      </c>
      <c r="AT15" s="64">
        <v>0</v>
      </c>
      <c r="AU15" s="65">
        <f t="shared" si="28"/>
        <v>0</v>
      </c>
      <c r="AV15" s="212">
        <f t="shared" si="29"/>
        <v>1803.4635333333333</v>
      </c>
      <c r="AW15" s="49">
        <v>0</v>
      </c>
      <c r="AX15" s="59" t="s">
        <v>199</v>
      </c>
      <c r="AY15" s="28">
        <f t="shared" si="30"/>
        <v>5.9642727272727276</v>
      </c>
      <c r="AZ15" s="60">
        <v>1312.14</v>
      </c>
      <c r="BA15" s="28">
        <f t="shared" ref="BA15:BA19" si="112">AZ15*BA$12</f>
        <v>131.21400000000003</v>
      </c>
      <c r="BB15" s="28">
        <f t="shared" ref="BB15:BB19" si="113">AZ15*BB$12</f>
        <v>104.97120000000001</v>
      </c>
      <c r="BC15" s="28">
        <f t="shared" ref="BC15:BC19" si="114">AZ15/BC$12</f>
        <v>109.34500000000001</v>
      </c>
      <c r="BD15" s="28">
        <f t="shared" ref="BD15:BD19" si="115">BC15/BD$12</f>
        <v>36.448333333333338</v>
      </c>
      <c r="BE15" s="61">
        <f t="shared" ref="BE15:BE19" si="116">AZ15/BE$12</f>
        <v>109.34500000000001</v>
      </c>
      <c r="BF15" s="61">
        <f t="shared" si="31"/>
        <v>1803.4635333333333</v>
      </c>
      <c r="BG15" s="62"/>
      <c r="BH15" s="62"/>
      <c r="BI15" s="62"/>
      <c r="BJ15" s="62"/>
      <c r="BK15" s="62"/>
      <c r="BL15" s="63">
        <f t="shared" ref="BL15:BL19" si="117">((AY15*BL$12)+(AY15*BA$12)+(AY15*BB$12))*BG15</f>
        <v>0</v>
      </c>
      <c r="BM15" s="63">
        <f t="shared" ref="BM15:BM19" si="118">((AY15*BM$12)+(AY15*BA$12)+(AY15*BB$12))*BH15</f>
        <v>0</v>
      </c>
      <c r="BN15" s="63">
        <f t="shared" ref="BN15:BN19" si="119">((AY15*BN$12)+(AY15*BA$12)+(AY15*BB$12))*BI15</f>
        <v>0</v>
      </c>
      <c r="BO15" s="63">
        <f t="shared" ref="BO15:BO19" si="120">((AY15*BO$6)+(AY15*BA$6)+(AY15*BB$6))*BJ15</f>
        <v>0</v>
      </c>
      <c r="BP15" s="63">
        <f t="shared" ref="BP15:BP19" si="121">((AY15*BP$12)+(AY15*BA$12)+(AY15*BB$12))*BK15</f>
        <v>0</v>
      </c>
      <c r="BQ15" s="61">
        <f t="shared" ref="BQ15:BQ19" si="122">SUM(BL15:BP15)</f>
        <v>0</v>
      </c>
      <c r="BR15" s="64">
        <v>0</v>
      </c>
      <c r="BS15" s="65">
        <f t="shared" si="32"/>
        <v>0</v>
      </c>
      <c r="BT15" s="212">
        <f t="shared" si="33"/>
        <v>1803.4635333333333</v>
      </c>
      <c r="BU15" s="49">
        <v>0</v>
      </c>
      <c r="BV15" s="59" t="s">
        <v>199</v>
      </c>
      <c r="BW15" s="28">
        <f t="shared" si="34"/>
        <v>5.9642727272727276</v>
      </c>
      <c r="BX15" s="60">
        <v>1312.14</v>
      </c>
      <c r="BY15" s="28">
        <f t="shared" ref="BY15:BY19" si="123">BX15*BY$12</f>
        <v>131.21400000000003</v>
      </c>
      <c r="BZ15" s="28">
        <f t="shared" ref="BZ15:BZ19" si="124">BX15*BZ$12</f>
        <v>104.97120000000001</v>
      </c>
      <c r="CA15" s="28">
        <f t="shared" ref="CA15:CA19" si="125">BX15/CA$12</f>
        <v>109.34500000000001</v>
      </c>
      <c r="CB15" s="28">
        <f t="shared" ref="CB15:CB19" si="126">CA15/CB$12</f>
        <v>36.448333333333338</v>
      </c>
      <c r="CC15" s="61">
        <f t="shared" ref="CC15:CC19" si="127">BX15/CC$12</f>
        <v>109.34500000000001</v>
      </c>
      <c r="CD15" s="61">
        <f t="shared" si="35"/>
        <v>1803.4635333333333</v>
      </c>
      <c r="CE15" s="62"/>
      <c r="CF15" s="62"/>
      <c r="CG15" s="62"/>
      <c r="CH15" s="62"/>
      <c r="CI15" s="62"/>
      <c r="CJ15" s="63">
        <f t="shared" ref="CJ15:CJ19" si="128">((BW15*CJ$12)+(BW15*BY$12)+(BW15*BZ$12))*CE15</f>
        <v>0</v>
      </c>
      <c r="CK15" s="63">
        <f t="shared" ref="CK15:CK19" si="129">((BW15*CK$12)+(BW15*BY$12)+(BW15*BZ$12))*CF15</f>
        <v>0</v>
      </c>
      <c r="CL15" s="63">
        <f t="shared" ref="CL15:CL19" si="130">((BW15*CL$12)+(BW15*BY$12)+(BW15*BZ$12))*CG15</f>
        <v>0</v>
      </c>
      <c r="CM15" s="63">
        <f t="shared" ref="CM15:CM19" si="131">((BW15*CM$6)+(BW15*BY$6)+(BW15*BZ$6))*CH15</f>
        <v>0</v>
      </c>
      <c r="CN15" s="63">
        <f t="shared" ref="CN15:CN19" si="132">((BW15*CN$12)+(BW15*BY$12)+(BW15*BZ$12))*CI15</f>
        <v>0</v>
      </c>
      <c r="CO15" s="61">
        <f t="shared" ref="CO15:CO19" si="133">SUM(CJ15:CN15)</f>
        <v>0</v>
      </c>
      <c r="CP15" s="64">
        <v>0</v>
      </c>
      <c r="CQ15" s="65">
        <f t="shared" si="36"/>
        <v>0</v>
      </c>
      <c r="CR15" s="212">
        <f t="shared" si="37"/>
        <v>1803.4635333333333</v>
      </c>
      <c r="CS15" s="49">
        <v>0</v>
      </c>
      <c r="CT15" s="59" t="s">
        <v>199</v>
      </c>
      <c r="CU15" s="28">
        <f t="shared" si="38"/>
        <v>5.9642727272727276</v>
      </c>
      <c r="CV15" s="60">
        <v>1312.14</v>
      </c>
      <c r="CW15" s="28">
        <f t="shared" ref="CW15:CW19" si="134">CV15*CW$12</f>
        <v>131.21400000000003</v>
      </c>
      <c r="CX15" s="28">
        <f t="shared" ref="CX15:CX19" si="135">CV15*CX$12</f>
        <v>104.97120000000001</v>
      </c>
      <c r="CY15" s="28">
        <f t="shared" ref="CY15:CY19" si="136">CV15/CY$12</f>
        <v>109.34500000000001</v>
      </c>
      <c r="CZ15" s="28">
        <f t="shared" ref="CZ15:CZ19" si="137">CY15/CZ$12</f>
        <v>36.448333333333338</v>
      </c>
      <c r="DA15" s="61">
        <f t="shared" ref="DA15:DA19" si="138">CV15/DA$12</f>
        <v>109.34500000000001</v>
      </c>
      <c r="DB15" s="61">
        <f t="shared" si="39"/>
        <v>1803.4635333333333</v>
      </c>
      <c r="DC15" s="62"/>
      <c r="DD15" s="62"/>
      <c r="DE15" s="62"/>
      <c r="DF15" s="62"/>
      <c r="DG15" s="62"/>
      <c r="DH15" s="63">
        <f t="shared" ref="DH15:DH19" si="139">((CU15*DH$12)+(CU15*CW$12)+(CU15*CX$12))*DC15</f>
        <v>0</v>
      </c>
      <c r="DI15" s="63">
        <f t="shared" ref="DI15:DI19" si="140">((CU15*DI$12)+(CU15*CW$12)+(CU15*CX$12))*DD15</f>
        <v>0</v>
      </c>
      <c r="DJ15" s="63">
        <f t="shared" ref="DJ15:DJ19" si="141">((CU15*DJ$12)+(CU15*CW$12)+(CU15*CX$12))*DE15</f>
        <v>0</v>
      </c>
      <c r="DK15" s="63">
        <f t="shared" ref="DK15:DK19" si="142">((CU15*DK$6)+(CU15*CW$6)+(CU15*CX$6))*DF15</f>
        <v>0</v>
      </c>
      <c r="DL15" s="63">
        <f t="shared" ref="DL15:DL19" si="143">((CU15*DL$12)+(CU15*CW$12)+(CU15*CX$12))*DG15</f>
        <v>0</v>
      </c>
      <c r="DM15" s="61">
        <f t="shared" ref="DM15:DM19" si="144">SUM(DH15:DL15)</f>
        <v>0</v>
      </c>
      <c r="DN15" s="64">
        <v>0</v>
      </c>
      <c r="DO15" s="65">
        <f t="shared" si="40"/>
        <v>0</v>
      </c>
      <c r="DP15" s="212">
        <f t="shared" si="41"/>
        <v>1803.4635333333333</v>
      </c>
      <c r="DQ15" s="49">
        <v>0</v>
      </c>
      <c r="DR15" s="59" t="s">
        <v>199</v>
      </c>
      <c r="DS15" s="28">
        <f t="shared" si="42"/>
        <v>5.9642727272727276</v>
      </c>
      <c r="DT15" s="60">
        <v>1312.14</v>
      </c>
      <c r="DU15" s="28">
        <f t="shared" ref="DU15:DU19" si="145">DT15*DU$12</f>
        <v>131.21400000000003</v>
      </c>
      <c r="DV15" s="28">
        <f t="shared" ref="DV15:DV19" si="146">DT15*DV$12</f>
        <v>104.97120000000001</v>
      </c>
      <c r="DW15" s="28">
        <f t="shared" ref="DW15:DW19" si="147">DT15/DW$12</f>
        <v>109.34500000000001</v>
      </c>
      <c r="DX15" s="28">
        <f t="shared" ref="DX15:DX19" si="148">DW15/DX$12</f>
        <v>36.448333333333338</v>
      </c>
      <c r="DY15" s="61">
        <f t="shared" ref="DY15:DY19" si="149">DT15/DY$12</f>
        <v>109.34500000000001</v>
      </c>
      <c r="DZ15" s="61">
        <f t="shared" si="43"/>
        <v>1803.4635333333333</v>
      </c>
      <c r="EA15" s="62"/>
      <c r="EB15" s="62"/>
      <c r="EC15" s="62"/>
      <c r="ED15" s="62"/>
      <c r="EE15" s="62"/>
      <c r="EF15" s="63">
        <f t="shared" ref="EF15:EF19" si="150">((DS15*EF$12)+(DS15*DU$12)+(DS15*DV$12))*EA15</f>
        <v>0</v>
      </c>
      <c r="EG15" s="63">
        <f t="shared" ref="EG15:EG19" si="151">((DS15*EG$12)+(DS15*DU$12)+(DS15*DV$12))*EB15</f>
        <v>0</v>
      </c>
      <c r="EH15" s="63">
        <f t="shared" ref="EH15:EH19" si="152">((DS15*EH$12)+(DS15*DU$12)+(DS15*DV$12))*EC15</f>
        <v>0</v>
      </c>
      <c r="EI15" s="63">
        <f t="shared" ref="EI15:EI19" si="153">((DS15*EI$6)+(DS15*DU$6)+(DS15*DV$6))*ED15</f>
        <v>0</v>
      </c>
      <c r="EJ15" s="63">
        <f t="shared" ref="EJ15:EJ19" si="154">((DS15*EJ$12)+(DS15*DU$12)+(DS15*DV$12))*EE15</f>
        <v>0</v>
      </c>
      <c r="EK15" s="61">
        <f t="shared" ref="EK15:EK19" si="155">SUM(EF15:EJ15)</f>
        <v>0</v>
      </c>
      <c r="EL15" s="64">
        <v>0</v>
      </c>
      <c r="EM15" s="65">
        <f t="shared" si="44"/>
        <v>0</v>
      </c>
      <c r="EN15" s="212">
        <f t="shared" si="45"/>
        <v>1803.4635333333333</v>
      </c>
      <c r="EO15" s="49">
        <v>0</v>
      </c>
      <c r="EP15" s="59" t="s">
        <v>199</v>
      </c>
      <c r="EQ15" s="28">
        <f t="shared" si="46"/>
        <v>5.9642727272727276</v>
      </c>
      <c r="ER15" s="60">
        <v>1312.14</v>
      </c>
      <c r="ES15" s="28">
        <f t="shared" ref="ES15:ES19" si="156">ER15*ES$12</f>
        <v>131.21400000000003</v>
      </c>
      <c r="ET15" s="28">
        <f t="shared" ref="ET15:ET19" si="157">ER15*ET$12</f>
        <v>104.97120000000001</v>
      </c>
      <c r="EU15" s="28">
        <f t="shared" ref="EU15:EU19" si="158">ER15/EU$12</f>
        <v>109.34500000000001</v>
      </c>
      <c r="EV15" s="28">
        <f t="shared" ref="EV15:EV19" si="159">EU15/EV$12</f>
        <v>36.448333333333338</v>
      </c>
      <c r="EW15" s="61">
        <f t="shared" ref="EW15:EW19" si="160">ER15/EW$12</f>
        <v>109.34500000000001</v>
      </c>
      <c r="EX15" s="61">
        <f t="shared" si="47"/>
        <v>1803.4635333333333</v>
      </c>
      <c r="EY15" s="62"/>
      <c r="EZ15" s="62"/>
      <c r="FA15" s="62"/>
      <c r="FB15" s="62"/>
      <c r="FC15" s="62"/>
      <c r="FD15" s="63">
        <f t="shared" ref="FD15:FD19" si="161">((EQ15*FD$12)+(EQ15*ES$12)+(EQ15*ET$12))*EY15</f>
        <v>0</v>
      </c>
      <c r="FE15" s="63">
        <f t="shared" ref="FE15:FE19" si="162">((EQ15*FE$12)+(EQ15*ES$12)+(EQ15*ET$12))*EZ15</f>
        <v>0</v>
      </c>
      <c r="FF15" s="63">
        <f t="shared" ref="FF15:FF19" si="163">((EQ15*FF$12)+(EQ15*ES$12)+(EQ15*ET$12))*FA15</f>
        <v>0</v>
      </c>
      <c r="FG15" s="63">
        <f t="shared" ref="FG15:FG19" si="164">((EQ15*FG$6)+(EQ15*ES$6)+(EQ15*ET$6))*FB15</f>
        <v>0</v>
      </c>
      <c r="FH15" s="63">
        <f t="shared" ref="FH15:FH19" si="165">((EQ15*FH$12)+(EQ15*ES$12)+(EQ15*ET$12))*FC15</f>
        <v>0</v>
      </c>
      <c r="FI15" s="61">
        <f t="shared" ref="FI15:FI19" si="166">SUM(FD15:FH15)</f>
        <v>0</v>
      </c>
      <c r="FJ15" s="64">
        <v>0</v>
      </c>
      <c r="FK15" s="65">
        <f t="shared" si="48"/>
        <v>0</v>
      </c>
      <c r="FL15" s="212">
        <f t="shared" si="49"/>
        <v>1803.4635333333333</v>
      </c>
      <c r="FM15" s="49">
        <v>0</v>
      </c>
      <c r="FN15" s="59" t="s">
        <v>199</v>
      </c>
      <c r="FO15" s="28">
        <f t="shared" si="50"/>
        <v>5.9642727272727276</v>
      </c>
      <c r="FP15" s="60">
        <v>1312.14</v>
      </c>
      <c r="FQ15" s="28">
        <f t="shared" ref="FQ15:FQ19" si="167">FP15*FQ$12</f>
        <v>131.21400000000003</v>
      </c>
      <c r="FR15" s="28">
        <f t="shared" ref="FR15:FR19" si="168">FP15*FR$12</f>
        <v>104.97120000000001</v>
      </c>
      <c r="FS15" s="28">
        <f t="shared" ref="FS15:FS19" si="169">FP15/FS$12</f>
        <v>109.34500000000001</v>
      </c>
      <c r="FT15" s="28">
        <f t="shared" ref="FT15:FT19" si="170">FS15/FT$12</f>
        <v>36.448333333333338</v>
      </c>
      <c r="FU15" s="61">
        <f t="shared" ref="FU15:FU19" si="171">FP15/FU$12</f>
        <v>109.34500000000001</v>
      </c>
      <c r="FV15" s="61">
        <f t="shared" si="51"/>
        <v>1803.4635333333333</v>
      </c>
      <c r="FW15" s="62"/>
      <c r="FX15" s="62"/>
      <c r="FY15" s="62"/>
      <c r="FZ15" s="62"/>
      <c r="GA15" s="62"/>
      <c r="GB15" s="63">
        <f t="shared" ref="GB15:GB19" si="172">((FO15*GB$12)+(FO15*FQ$12)+(FO15*FR$12))*FW15</f>
        <v>0</v>
      </c>
      <c r="GC15" s="63">
        <f t="shared" ref="GC15:GC19" si="173">((FO15*GC$12)+(FO15*FQ$12)+(FO15*FR$12))*FX15</f>
        <v>0</v>
      </c>
      <c r="GD15" s="63">
        <f t="shared" ref="GD15:GD19" si="174">((FO15*GD$12)+(FO15*FQ$12)+(FO15*FR$12))*FY15</f>
        <v>0</v>
      </c>
      <c r="GE15" s="63">
        <f t="shared" ref="GE15:GE19" si="175">((FO15*GE$6)+(FO15*FQ$6)+(FO15*FR$6))*FZ15</f>
        <v>0</v>
      </c>
      <c r="GF15" s="63">
        <f t="shared" ref="GF15:GF19" si="176">((FO15*GF$12)+(FO15*FQ$12)+(FO15*FR$12))*GA15</f>
        <v>0</v>
      </c>
      <c r="GG15" s="61">
        <f t="shared" ref="GG15:GG19" si="177">SUM(GB15:GF15)</f>
        <v>0</v>
      </c>
      <c r="GH15" s="64">
        <v>0</v>
      </c>
      <c r="GI15" s="65">
        <f t="shared" si="52"/>
        <v>0</v>
      </c>
      <c r="GJ15" s="212">
        <f t="shared" si="53"/>
        <v>1803.4635333333333</v>
      </c>
      <c r="GK15" s="49">
        <v>0</v>
      </c>
      <c r="GL15" s="59" t="s">
        <v>199</v>
      </c>
      <c r="GM15" s="28">
        <f t="shared" si="54"/>
        <v>5.9642727272727276</v>
      </c>
      <c r="GN15" s="60">
        <v>1312.14</v>
      </c>
      <c r="GO15" s="28">
        <f t="shared" ref="GO15:GO19" si="178">GN15*GO$12</f>
        <v>131.21400000000003</v>
      </c>
      <c r="GP15" s="28">
        <f t="shared" ref="GP15:GP19" si="179">GN15*GP$12</f>
        <v>104.97120000000001</v>
      </c>
      <c r="GQ15" s="28">
        <f t="shared" ref="GQ15:GQ19" si="180">GN15/GQ$12</f>
        <v>109.34500000000001</v>
      </c>
      <c r="GR15" s="28">
        <f t="shared" ref="GR15:GR19" si="181">GQ15/GR$12</f>
        <v>36.448333333333338</v>
      </c>
      <c r="GS15" s="61">
        <f t="shared" ref="GS15:GS19" si="182">GN15/GS$12</f>
        <v>109.34500000000001</v>
      </c>
      <c r="GT15" s="61">
        <f t="shared" si="55"/>
        <v>1803.4635333333333</v>
      </c>
      <c r="GU15" s="62"/>
      <c r="GV15" s="62"/>
      <c r="GW15" s="62"/>
      <c r="GX15" s="62"/>
      <c r="GY15" s="62"/>
      <c r="GZ15" s="63">
        <f t="shared" ref="GZ15:GZ19" si="183">((GM15*GZ$12)+(GM15*GO$12)+(GM15*GP$12))*GU15</f>
        <v>0</v>
      </c>
      <c r="HA15" s="63">
        <f t="shared" ref="HA15:HA19" si="184">((GM15*HA$12)+(GM15*GO$12)+(GM15*GP$12))*GV15</f>
        <v>0</v>
      </c>
      <c r="HB15" s="63">
        <f t="shared" ref="HB15:HB19" si="185">((GM15*HB$12)+(GM15*GO$12)+(GM15*GP$12))*GW15</f>
        <v>0</v>
      </c>
      <c r="HC15" s="63">
        <f t="shared" ref="HC15:HC19" si="186">((GM15*HC$6)+(GM15*GO$6)+(GM15*GP$6))*GX15</f>
        <v>0</v>
      </c>
      <c r="HD15" s="63">
        <f t="shared" ref="HD15:HD19" si="187">((GM15*HD$12)+(GM15*GO$12)+(GM15*GP$12))*GY15</f>
        <v>0</v>
      </c>
      <c r="HE15" s="61">
        <f t="shared" ref="HE15:HE19" si="188">SUM(GZ15:HD15)</f>
        <v>0</v>
      </c>
      <c r="HF15" s="64">
        <v>0</v>
      </c>
      <c r="HG15" s="65">
        <f t="shared" si="56"/>
        <v>0</v>
      </c>
      <c r="HH15" s="212">
        <f t="shared" si="57"/>
        <v>1803.4635333333333</v>
      </c>
      <c r="HI15" s="49">
        <v>0</v>
      </c>
      <c r="HJ15" s="59" t="s">
        <v>199</v>
      </c>
      <c r="HK15" s="28">
        <f t="shared" si="58"/>
        <v>5.9642727272727276</v>
      </c>
      <c r="HL15" s="60">
        <v>1312.14</v>
      </c>
      <c r="HM15" s="28">
        <f t="shared" ref="HM15:HM19" si="189">HL15*HM$12</f>
        <v>131.21400000000003</v>
      </c>
      <c r="HN15" s="28">
        <f t="shared" ref="HN15:HN19" si="190">HL15*HN$12</f>
        <v>104.97120000000001</v>
      </c>
      <c r="HO15" s="28">
        <f t="shared" ref="HO15:HO19" si="191">HL15/HO$12</f>
        <v>109.34500000000001</v>
      </c>
      <c r="HP15" s="28">
        <f t="shared" ref="HP15:HP19" si="192">HO15/HP$12</f>
        <v>36.448333333333338</v>
      </c>
      <c r="HQ15" s="61">
        <f t="shared" ref="HQ15:HQ19" si="193">HL15/HQ$12</f>
        <v>109.34500000000001</v>
      </c>
      <c r="HR15" s="61">
        <f t="shared" si="59"/>
        <v>1803.4635333333333</v>
      </c>
      <c r="HS15" s="62"/>
      <c r="HT15" s="62"/>
      <c r="HU15" s="62"/>
      <c r="HV15" s="62"/>
      <c r="HW15" s="62"/>
      <c r="HX15" s="63">
        <f t="shared" ref="HX15:HX19" si="194">((HK15*HX$12)+(HK15*HM$12)+(HK15*HN$12))*HS15</f>
        <v>0</v>
      </c>
      <c r="HY15" s="63">
        <f t="shared" ref="HY15:HY19" si="195">((HK15*HY$12)+(HK15*HM$12)+(HK15*HN$12))*HT15</f>
        <v>0</v>
      </c>
      <c r="HZ15" s="63">
        <f t="shared" ref="HZ15:HZ19" si="196">((HK15*HZ$12)+(HK15*HM$12)+(HK15*HN$12))*HU15</f>
        <v>0</v>
      </c>
      <c r="IA15" s="63">
        <f t="shared" ref="IA15:IA19" si="197">((HK15*IA$6)+(HK15*HM$6)+(HK15*HN$6))*HV15</f>
        <v>0</v>
      </c>
      <c r="IB15" s="63">
        <f t="shared" ref="IB15:IB19" si="198">((HK15*IB$12)+(HK15*HM$12)+(HK15*HN$12))*HW15</f>
        <v>0</v>
      </c>
      <c r="IC15" s="61">
        <f t="shared" ref="IC15:IC19" si="199">SUM(HX15:IB15)</f>
        <v>0</v>
      </c>
      <c r="ID15" s="64">
        <v>0</v>
      </c>
      <c r="IE15" s="65">
        <f t="shared" si="60"/>
        <v>0</v>
      </c>
      <c r="IF15" s="212">
        <f t="shared" si="61"/>
        <v>1803.4635333333333</v>
      </c>
      <c r="IG15" s="49">
        <v>0</v>
      </c>
      <c r="IH15" s="59" t="s">
        <v>199</v>
      </c>
      <c r="II15" s="28">
        <f t="shared" si="62"/>
        <v>5.9642727272727276</v>
      </c>
      <c r="IJ15" s="60">
        <v>1312.14</v>
      </c>
      <c r="IK15" s="28">
        <f t="shared" si="63"/>
        <v>131.21400000000003</v>
      </c>
      <c r="IL15" s="28">
        <f t="shared" si="64"/>
        <v>104.97120000000001</v>
      </c>
      <c r="IM15" s="28">
        <f t="shared" si="65"/>
        <v>109.34500000000001</v>
      </c>
      <c r="IN15" s="28">
        <f t="shared" si="66"/>
        <v>36.448333333333338</v>
      </c>
      <c r="IO15" s="61">
        <f t="shared" si="67"/>
        <v>109.34500000000001</v>
      </c>
      <c r="IP15" s="61">
        <f t="shared" si="68"/>
        <v>1803.4635333333333</v>
      </c>
      <c r="IQ15" s="62"/>
      <c r="IR15" s="62"/>
      <c r="IS15" s="62"/>
      <c r="IT15" s="62"/>
      <c r="IU15" s="62"/>
      <c r="IV15" s="63">
        <f t="shared" si="69"/>
        <v>0</v>
      </c>
      <c r="IW15" s="63">
        <f t="shared" si="70"/>
        <v>0</v>
      </c>
      <c r="IX15" s="63">
        <f t="shared" si="71"/>
        <v>0</v>
      </c>
      <c r="IY15" s="63">
        <f t="shared" si="72"/>
        <v>0</v>
      </c>
      <c r="IZ15" s="63">
        <f t="shared" si="73"/>
        <v>0</v>
      </c>
      <c r="JA15" s="61">
        <f t="shared" ref="JA15:JA19" si="200">SUM(IV15:IZ15)</f>
        <v>0</v>
      </c>
      <c r="JB15" s="64">
        <v>0</v>
      </c>
      <c r="JC15" s="65">
        <f t="shared" si="74"/>
        <v>0</v>
      </c>
      <c r="JD15" s="476">
        <f t="shared" si="75"/>
        <v>1803.4635333333333</v>
      </c>
      <c r="JE15" s="49">
        <v>0</v>
      </c>
      <c r="JF15" s="59" t="s">
        <v>199</v>
      </c>
      <c r="JG15" s="28">
        <f t="shared" si="76"/>
        <v>5.9642727272727276</v>
      </c>
      <c r="JH15" s="60">
        <v>1312.14</v>
      </c>
      <c r="JI15" s="28">
        <f t="shared" si="77"/>
        <v>131.21400000000003</v>
      </c>
      <c r="JJ15" s="28">
        <f t="shared" si="78"/>
        <v>104.97120000000001</v>
      </c>
      <c r="JK15" s="28">
        <f t="shared" si="79"/>
        <v>109.34500000000001</v>
      </c>
      <c r="JL15" s="28">
        <f t="shared" si="80"/>
        <v>36.448333333333338</v>
      </c>
      <c r="JM15" s="61">
        <f t="shared" si="81"/>
        <v>109.34500000000001</v>
      </c>
      <c r="JN15" s="61">
        <f t="shared" si="82"/>
        <v>1803.4635333333333</v>
      </c>
      <c r="JO15" s="62"/>
      <c r="JP15" s="62"/>
      <c r="JQ15" s="62"/>
      <c r="JR15" s="62"/>
      <c r="JS15" s="62"/>
      <c r="JT15" s="63">
        <f t="shared" si="83"/>
        <v>0</v>
      </c>
      <c r="JU15" s="63">
        <f t="shared" si="84"/>
        <v>0</v>
      </c>
      <c r="JV15" s="63">
        <f t="shared" si="85"/>
        <v>0</v>
      </c>
      <c r="JW15" s="63">
        <f t="shared" si="86"/>
        <v>0</v>
      </c>
      <c r="JX15" s="63">
        <f t="shared" si="87"/>
        <v>0</v>
      </c>
      <c r="JY15" s="61">
        <f t="shared" ref="JY15:JY19" si="201">SUM(JT15:JX15)</f>
        <v>0</v>
      </c>
      <c r="JZ15" s="64">
        <v>0</v>
      </c>
      <c r="KA15" s="65">
        <f t="shared" si="88"/>
        <v>0</v>
      </c>
      <c r="KB15" s="476">
        <f t="shared" si="89"/>
        <v>1803.4635333333333</v>
      </c>
      <c r="KC15" s="37"/>
      <c r="KD15" s="37"/>
      <c r="KE15" s="37"/>
      <c r="KF15" s="37"/>
      <c r="KG15" s="37"/>
      <c r="KH15" s="37"/>
      <c r="KI15" s="37"/>
      <c r="KJ15" s="37"/>
    </row>
    <row r="16" spans="1:296" x14ac:dyDescent="0.3">
      <c r="A16" s="49">
        <v>0</v>
      </c>
      <c r="B16" s="59"/>
      <c r="C16" s="28">
        <f t="shared" si="22"/>
        <v>0</v>
      </c>
      <c r="D16" s="60">
        <v>0</v>
      </c>
      <c r="E16" s="28">
        <f t="shared" si="90"/>
        <v>0</v>
      </c>
      <c r="F16" s="28">
        <f t="shared" si="91"/>
        <v>0</v>
      </c>
      <c r="G16" s="28">
        <f t="shared" si="92"/>
        <v>0</v>
      </c>
      <c r="H16" s="28">
        <f t="shared" si="93"/>
        <v>0</v>
      </c>
      <c r="I16" s="61">
        <f t="shared" si="94"/>
        <v>0</v>
      </c>
      <c r="J16" s="61">
        <f t="shared" si="23"/>
        <v>0</v>
      </c>
      <c r="K16" s="62"/>
      <c r="L16" s="62"/>
      <c r="M16" s="62"/>
      <c r="N16" s="62"/>
      <c r="O16" s="62"/>
      <c r="P16" s="63">
        <f t="shared" si="95"/>
        <v>0</v>
      </c>
      <c r="Q16" s="63">
        <f t="shared" si="96"/>
        <v>0</v>
      </c>
      <c r="R16" s="63">
        <f t="shared" si="97"/>
        <v>0</v>
      </c>
      <c r="S16" s="63">
        <f t="shared" si="98"/>
        <v>0</v>
      </c>
      <c r="T16" s="63">
        <f t="shared" si="99"/>
        <v>0</v>
      </c>
      <c r="U16" s="61">
        <f t="shared" si="100"/>
        <v>0</v>
      </c>
      <c r="V16" s="64">
        <v>0</v>
      </c>
      <c r="W16" s="65">
        <f t="shared" si="24"/>
        <v>0</v>
      </c>
      <c r="X16" s="212">
        <f t="shared" si="25"/>
        <v>0</v>
      </c>
      <c r="Y16" s="49">
        <v>0</v>
      </c>
      <c r="Z16" s="59"/>
      <c r="AA16" s="28">
        <f t="shared" si="26"/>
        <v>0</v>
      </c>
      <c r="AB16" s="60">
        <v>0</v>
      </c>
      <c r="AC16" s="28">
        <f t="shared" si="101"/>
        <v>0</v>
      </c>
      <c r="AD16" s="28">
        <f t="shared" si="102"/>
        <v>0</v>
      </c>
      <c r="AE16" s="28">
        <f t="shared" si="103"/>
        <v>0</v>
      </c>
      <c r="AF16" s="28">
        <f t="shared" si="104"/>
        <v>0</v>
      </c>
      <c r="AG16" s="61">
        <f t="shared" si="105"/>
        <v>0</v>
      </c>
      <c r="AH16" s="61">
        <f t="shared" si="27"/>
        <v>0</v>
      </c>
      <c r="AI16" s="62"/>
      <c r="AJ16" s="62"/>
      <c r="AK16" s="62"/>
      <c r="AL16" s="62"/>
      <c r="AM16" s="62"/>
      <c r="AN16" s="63">
        <f t="shared" si="106"/>
        <v>0</v>
      </c>
      <c r="AO16" s="63">
        <f t="shared" si="107"/>
        <v>0</v>
      </c>
      <c r="AP16" s="63">
        <f t="shared" si="108"/>
        <v>0</v>
      </c>
      <c r="AQ16" s="63">
        <f t="shared" si="109"/>
        <v>0</v>
      </c>
      <c r="AR16" s="63">
        <f t="shared" si="110"/>
        <v>0</v>
      </c>
      <c r="AS16" s="61">
        <f t="shared" si="111"/>
        <v>0</v>
      </c>
      <c r="AT16" s="64">
        <v>0</v>
      </c>
      <c r="AU16" s="65">
        <f t="shared" si="28"/>
        <v>0</v>
      </c>
      <c r="AV16" s="212">
        <f t="shared" si="29"/>
        <v>0</v>
      </c>
      <c r="AW16" s="49">
        <v>0</v>
      </c>
      <c r="AX16" s="59"/>
      <c r="AY16" s="28">
        <f t="shared" si="30"/>
        <v>0</v>
      </c>
      <c r="AZ16" s="60">
        <v>0</v>
      </c>
      <c r="BA16" s="28">
        <f t="shared" si="112"/>
        <v>0</v>
      </c>
      <c r="BB16" s="28">
        <f t="shared" si="113"/>
        <v>0</v>
      </c>
      <c r="BC16" s="28">
        <f t="shared" si="114"/>
        <v>0</v>
      </c>
      <c r="BD16" s="28">
        <f t="shared" si="115"/>
        <v>0</v>
      </c>
      <c r="BE16" s="61">
        <f t="shared" si="116"/>
        <v>0</v>
      </c>
      <c r="BF16" s="61">
        <f t="shared" si="31"/>
        <v>0</v>
      </c>
      <c r="BG16" s="62"/>
      <c r="BH16" s="62"/>
      <c r="BI16" s="62"/>
      <c r="BJ16" s="62"/>
      <c r="BK16" s="62"/>
      <c r="BL16" s="63">
        <f t="shared" si="117"/>
        <v>0</v>
      </c>
      <c r="BM16" s="63">
        <f t="shared" si="118"/>
        <v>0</v>
      </c>
      <c r="BN16" s="63">
        <f t="shared" si="119"/>
        <v>0</v>
      </c>
      <c r="BO16" s="63">
        <f t="shared" si="120"/>
        <v>0</v>
      </c>
      <c r="BP16" s="63">
        <f t="shared" si="121"/>
        <v>0</v>
      </c>
      <c r="BQ16" s="61">
        <f t="shared" si="122"/>
        <v>0</v>
      </c>
      <c r="BR16" s="64">
        <v>0</v>
      </c>
      <c r="BS16" s="65">
        <f t="shared" si="32"/>
        <v>0</v>
      </c>
      <c r="BT16" s="212">
        <f t="shared" si="33"/>
        <v>0</v>
      </c>
      <c r="BU16" s="49">
        <v>0</v>
      </c>
      <c r="BV16" s="59"/>
      <c r="BW16" s="28">
        <f t="shared" si="34"/>
        <v>0</v>
      </c>
      <c r="BX16" s="60">
        <v>0</v>
      </c>
      <c r="BY16" s="28">
        <f t="shared" si="123"/>
        <v>0</v>
      </c>
      <c r="BZ16" s="28">
        <f t="shared" si="124"/>
        <v>0</v>
      </c>
      <c r="CA16" s="28">
        <f t="shared" si="125"/>
        <v>0</v>
      </c>
      <c r="CB16" s="28">
        <f t="shared" si="126"/>
        <v>0</v>
      </c>
      <c r="CC16" s="61">
        <f t="shared" si="127"/>
        <v>0</v>
      </c>
      <c r="CD16" s="61">
        <f t="shared" si="35"/>
        <v>0</v>
      </c>
      <c r="CE16" s="62"/>
      <c r="CF16" s="62"/>
      <c r="CG16" s="62"/>
      <c r="CH16" s="62"/>
      <c r="CI16" s="62"/>
      <c r="CJ16" s="63">
        <f t="shared" si="128"/>
        <v>0</v>
      </c>
      <c r="CK16" s="63">
        <f t="shared" si="129"/>
        <v>0</v>
      </c>
      <c r="CL16" s="63">
        <f t="shared" si="130"/>
        <v>0</v>
      </c>
      <c r="CM16" s="63">
        <f t="shared" si="131"/>
        <v>0</v>
      </c>
      <c r="CN16" s="63">
        <f t="shared" si="132"/>
        <v>0</v>
      </c>
      <c r="CO16" s="61">
        <f t="shared" si="133"/>
        <v>0</v>
      </c>
      <c r="CP16" s="64">
        <v>0</v>
      </c>
      <c r="CQ16" s="65">
        <f t="shared" si="36"/>
        <v>0</v>
      </c>
      <c r="CR16" s="212">
        <f t="shared" si="37"/>
        <v>0</v>
      </c>
      <c r="CS16" s="49">
        <v>0</v>
      </c>
      <c r="CT16" s="59"/>
      <c r="CU16" s="28">
        <f t="shared" si="38"/>
        <v>0</v>
      </c>
      <c r="CV16" s="60">
        <v>0</v>
      </c>
      <c r="CW16" s="28">
        <f t="shared" si="134"/>
        <v>0</v>
      </c>
      <c r="CX16" s="28">
        <f t="shared" si="135"/>
        <v>0</v>
      </c>
      <c r="CY16" s="28">
        <f t="shared" si="136"/>
        <v>0</v>
      </c>
      <c r="CZ16" s="28">
        <f t="shared" si="137"/>
        <v>0</v>
      </c>
      <c r="DA16" s="61">
        <f t="shared" si="138"/>
        <v>0</v>
      </c>
      <c r="DB16" s="61">
        <f t="shared" si="39"/>
        <v>0</v>
      </c>
      <c r="DC16" s="62"/>
      <c r="DD16" s="62"/>
      <c r="DE16" s="62"/>
      <c r="DF16" s="62"/>
      <c r="DG16" s="62"/>
      <c r="DH16" s="63">
        <f t="shared" si="139"/>
        <v>0</v>
      </c>
      <c r="DI16" s="63">
        <f t="shared" si="140"/>
        <v>0</v>
      </c>
      <c r="DJ16" s="63">
        <f t="shared" si="141"/>
        <v>0</v>
      </c>
      <c r="DK16" s="63">
        <f t="shared" si="142"/>
        <v>0</v>
      </c>
      <c r="DL16" s="63">
        <f t="shared" si="143"/>
        <v>0</v>
      </c>
      <c r="DM16" s="61">
        <f t="shared" si="144"/>
        <v>0</v>
      </c>
      <c r="DN16" s="64">
        <v>0</v>
      </c>
      <c r="DO16" s="65">
        <f t="shared" si="40"/>
        <v>0</v>
      </c>
      <c r="DP16" s="212">
        <f t="shared" si="41"/>
        <v>0</v>
      </c>
      <c r="DQ16" s="49">
        <v>0</v>
      </c>
      <c r="DR16" s="59"/>
      <c r="DS16" s="28">
        <f t="shared" si="42"/>
        <v>0</v>
      </c>
      <c r="DT16" s="60">
        <v>0</v>
      </c>
      <c r="DU16" s="28">
        <f t="shared" si="145"/>
        <v>0</v>
      </c>
      <c r="DV16" s="28">
        <f t="shared" si="146"/>
        <v>0</v>
      </c>
      <c r="DW16" s="28">
        <f t="shared" si="147"/>
        <v>0</v>
      </c>
      <c r="DX16" s="28">
        <f t="shared" si="148"/>
        <v>0</v>
      </c>
      <c r="DY16" s="61">
        <f t="shared" si="149"/>
        <v>0</v>
      </c>
      <c r="DZ16" s="61">
        <f t="shared" si="43"/>
        <v>0</v>
      </c>
      <c r="EA16" s="62"/>
      <c r="EB16" s="62"/>
      <c r="EC16" s="62"/>
      <c r="ED16" s="62"/>
      <c r="EE16" s="62"/>
      <c r="EF16" s="63">
        <f t="shared" si="150"/>
        <v>0</v>
      </c>
      <c r="EG16" s="63">
        <f t="shared" si="151"/>
        <v>0</v>
      </c>
      <c r="EH16" s="63">
        <f t="shared" si="152"/>
        <v>0</v>
      </c>
      <c r="EI16" s="63">
        <f t="shared" si="153"/>
        <v>0</v>
      </c>
      <c r="EJ16" s="63">
        <f t="shared" si="154"/>
        <v>0</v>
      </c>
      <c r="EK16" s="61">
        <f t="shared" si="155"/>
        <v>0</v>
      </c>
      <c r="EL16" s="64">
        <v>0</v>
      </c>
      <c r="EM16" s="65">
        <f t="shared" si="44"/>
        <v>0</v>
      </c>
      <c r="EN16" s="212">
        <f t="shared" si="45"/>
        <v>0</v>
      </c>
      <c r="EO16" s="49">
        <v>0</v>
      </c>
      <c r="EP16" s="59"/>
      <c r="EQ16" s="28">
        <f t="shared" si="46"/>
        <v>0</v>
      </c>
      <c r="ER16" s="60">
        <v>0</v>
      </c>
      <c r="ES16" s="28">
        <f t="shared" si="156"/>
        <v>0</v>
      </c>
      <c r="ET16" s="28">
        <f t="shared" si="157"/>
        <v>0</v>
      </c>
      <c r="EU16" s="28">
        <f t="shared" si="158"/>
        <v>0</v>
      </c>
      <c r="EV16" s="28">
        <f t="shared" si="159"/>
        <v>0</v>
      </c>
      <c r="EW16" s="61">
        <f t="shared" si="160"/>
        <v>0</v>
      </c>
      <c r="EX16" s="61">
        <f t="shared" si="47"/>
        <v>0</v>
      </c>
      <c r="EY16" s="62"/>
      <c r="EZ16" s="62"/>
      <c r="FA16" s="62"/>
      <c r="FB16" s="62"/>
      <c r="FC16" s="62"/>
      <c r="FD16" s="63">
        <f t="shared" si="161"/>
        <v>0</v>
      </c>
      <c r="FE16" s="63">
        <f t="shared" si="162"/>
        <v>0</v>
      </c>
      <c r="FF16" s="63">
        <f t="shared" si="163"/>
        <v>0</v>
      </c>
      <c r="FG16" s="63">
        <f t="shared" si="164"/>
        <v>0</v>
      </c>
      <c r="FH16" s="63">
        <f t="shared" si="165"/>
        <v>0</v>
      </c>
      <c r="FI16" s="61">
        <f t="shared" si="166"/>
        <v>0</v>
      </c>
      <c r="FJ16" s="64">
        <v>0</v>
      </c>
      <c r="FK16" s="65">
        <f t="shared" si="48"/>
        <v>0</v>
      </c>
      <c r="FL16" s="212">
        <f t="shared" si="49"/>
        <v>0</v>
      </c>
      <c r="FM16" s="49">
        <v>0</v>
      </c>
      <c r="FN16" s="59"/>
      <c r="FO16" s="28">
        <f t="shared" si="50"/>
        <v>0</v>
      </c>
      <c r="FP16" s="60">
        <v>0</v>
      </c>
      <c r="FQ16" s="28">
        <f t="shared" si="167"/>
        <v>0</v>
      </c>
      <c r="FR16" s="28">
        <f t="shared" si="168"/>
        <v>0</v>
      </c>
      <c r="FS16" s="28">
        <f t="shared" si="169"/>
        <v>0</v>
      </c>
      <c r="FT16" s="28">
        <f t="shared" si="170"/>
        <v>0</v>
      </c>
      <c r="FU16" s="61">
        <f t="shared" si="171"/>
        <v>0</v>
      </c>
      <c r="FV16" s="61">
        <f t="shared" si="51"/>
        <v>0</v>
      </c>
      <c r="FW16" s="62"/>
      <c r="FX16" s="62"/>
      <c r="FY16" s="62"/>
      <c r="FZ16" s="62"/>
      <c r="GA16" s="62"/>
      <c r="GB16" s="63">
        <f t="shared" si="172"/>
        <v>0</v>
      </c>
      <c r="GC16" s="63">
        <f t="shared" si="173"/>
        <v>0</v>
      </c>
      <c r="GD16" s="63">
        <f t="shared" si="174"/>
        <v>0</v>
      </c>
      <c r="GE16" s="63">
        <f t="shared" si="175"/>
        <v>0</v>
      </c>
      <c r="GF16" s="63">
        <f t="shared" si="176"/>
        <v>0</v>
      </c>
      <c r="GG16" s="61">
        <f t="shared" si="177"/>
        <v>0</v>
      </c>
      <c r="GH16" s="64">
        <v>0</v>
      </c>
      <c r="GI16" s="65">
        <f t="shared" si="52"/>
        <v>0</v>
      </c>
      <c r="GJ16" s="212">
        <f t="shared" si="53"/>
        <v>0</v>
      </c>
      <c r="GK16" s="49">
        <v>0</v>
      </c>
      <c r="GL16" s="59"/>
      <c r="GM16" s="28">
        <f t="shared" si="54"/>
        <v>0</v>
      </c>
      <c r="GN16" s="60">
        <v>0</v>
      </c>
      <c r="GO16" s="28">
        <f t="shared" si="178"/>
        <v>0</v>
      </c>
      <c r="GP16" s="28">
        <f t="shared" si="179"/>
        <v>0</v>
      </c>
      <c r="GQ16" s="28">
        <f t="shared" si="180"/>
        <v>0</v>
      </c>
      <c r="GR16" s="28">
        <f t="shared" si="181"/>
        <v>0</v>
      </c>
      <c r="GS16" s="61">
        <f t="shared" si="182"/>
        <v>0</v>
      </c>
      <c r="GT16" s="61">
        <f t="shared" si="55"/>
        <v>0</v>
      </c>
      <c r="GU16" s="62"/>
      <c r="GV16" s="62"/>
      <c r="GW16" s="62"/>
      <c r="GX16" s="62"/>
      <c r="GY16" s="62"/>
      <c r="GZ16" s="63">
        <f t="shared" si="183"/>
        <v>0</v>
      </c>
      <c r="HA16" s="63">
        <f t="shared" si="184"/>
        <v>0</v>
      </c>
      <c r="HB16" s="63">
        <f t="shared" si="185"/>
        <v>0</v>
      </c>
      <c r="HC16" s="63">
        <f t="shared" si="186"/>
        <v>0</v>
      </c>
      <c r="HD16" s="63">
        <f t="shared" si="187"/>
        <v>0</v>
      </c>
      <c r="HE16" s="61">
        <f t="shared" si="188"/>
        <v>0</v>
      </c>
      <c r="HF16" s="64">
        <v>0</v>
      </c>
      <c r="HG16" s="65">
        <f t="shared" si="56"/>
        <v>0</v>
      </c>
      <c r="HH16" s="212">
        <f t="shared" si="57"/>
        <v>0</v>
      </c>
      <c r="HI16" s="49">
        <v>0</v>
      </c>
      <c r="HJ16" s="59"/>
      <c r="HK16" s="28">
        <f t="shared" si="58"/>
        <v>0</v>
      </c>
      <c r="HL16" s="60">
        <v>0</v>
      </c>
      <c r="HM16" s="28">
        <f t="shared" si="189"/>
        <v>0</v>
      </c>
      <c r="HN16" s="28">
        <f t="shared" si="190"/>
        <v>0</v>
      </c>
      <c r="HO16" s="28">
        <f t="shared" si="191"/>
        <v>0</v>
      </c>
      <c r="HP16" s="28">
        <f t="shared" si="192"/>
        <v>0</v>
      </c>
      <c r="HQ16" s="61">
        <f t="shared" si="193"/>
        <v>0</v>
      </c>
      <c r="HR16" s="61">
        <f t="shared" si="59"/>
        <v>0</v>
      </c>
      <c r="HS16" s="62"/>
      <c r="HT16" s="62"/>
      <c r="HU16" s="62"/>
      <c r="HV16" s="62"/>
      <c r="HW16" s="62"/>
      <c r="HX16" s="63">
        <f t="shared" si="194"/>
        <v>0</v>
      </c>
      <c r="HY16" s="63">
        <f t="shared" si="195"/>
        <v>0</v>
      </c>
      <c r="HZ16" s="63">
        <f t="shared" si="196"/>
        <v>0</v>
      </c>
      <c r="IA16" s="63">
        <f t="shared" si="197"/>
        <v>0</v>
      </c>
      <c r="IB16" s="63">
        <f t="shared" si="198"/>
        <v>0</v>
      </c>
      <c r="IC16" s="61">
        <f t="shared" si="199"/>
        <v>0</v>
      </c>
      <c r="ID16" s="64">
        <v>0</v>
      </c>
      <c r="IE16" s="65">
        <f t="shared" si="60"/>
        <v>0</v>
      </c>
      <c r="IF16" s="212">
        <f t="shared" si="61"/>
        <v>0</v>
      </c>
      <c r="IG16" s="49">
        <v>0</v>
      </c>
      <c r="IH16" s="59"/>
      <c r="II16" s="28">
        <f t="shared" si="62"/>
        <v>0</v>
      </c>
      <c r="IJ16" s="60">
        <v>0</v>
      </c>
      <c r="IK16" s="28">
        <f t="shared" si="63"/>
        <v>0</v>
      </c>
      <c r="IL16" s="28">
        <f t="shared" si="64"/>
        <v>0</v>
      </c>
      <c r="IM16" s="28">
        <f t="shared" si="65"/>
        <v>0</v>
      </c>
      <c r="IN16" s="28">
        <f t="shared" si="66"/>
        <v>0</v>
      </c>
      <c r="IO16" s="61">
        <f t="shared" si="67"/>
        <v>0</v>
      </c>
      <c r="IP16" s="61">
        <f t="shared" si="68"/>
        <v>0</v>
      </c>
      <c r="IQ16" s="62"/>
      <c r="IR16" s="62"/>
      <c r="IS16" s="62"/>
      <c r="IT16" s="62"/>
      <c r="IU16" s="62"/>
      <c r="IV16" s="63">
        <f t="shared" si="69"/>
        <v>0</v>
      </c>
      <c r="IW16" s="63">
        <f t="shared" si="70"/>
        <v>0</v>
      </c>
      <c r="IX16" s="63">
        <f t="shared" si="71"/>
        <v>0</v>
      </c>
      <c r="IY16" s="63">
        <f t="shared" si="72"/>
        <v>0</v>
      </c>
      <c r="IZ16" s="63">
        <f t="shared" si="73"/>
        <v>0</v>
      </c>
      <c r="JA16" s="61">
        <f t="shared" si="200"/>
        <v>0</v>
      </c>
      <c r="JB16" s="64">
        <v>0</v>
      </c>
      <c r="JC16" s="65">
        <f t="shared" si="74"/>
        <v>0</v>
      </c>
      <c r="JD16" s="476">
        <f t="shared" si="75"/>
        <v>0</v>
      </c>
      <c r="JE16" s="49">
        <v>0</v>
      </c>
      <c r="JF16" s="59"/>
      <c r="JG16" s="28">
        <f t="shared" si="76"/>
        <v>0</v>
      </c>
      <c r="JH16" s="60">
        <v>0</v>
      </c>
      <c r="JI16" s="28">
        <f t="shared" si="77"/>
        <v>0</v>
      </c>
      <c r="JJ16" s="28">
        <f t="shared" si="78"/>
        <v>0</v>
      </c>
      <c r="JK16" s="28">
        <f t="shared" si="79"/>
        <v>0</v>
      </c>
      <c r="JL16" s="28">
        <f t="shared" si="80"/>
        <v>0</v>
      </c>
      <c r="JM16" s="61">
        <f t="shared" si="81"/>
        <v>0</v>
      </c>
      <c r="JN16" s="61">
        <f t="shared" si="82"/>
        <v>0</v>
      </c>
      <c r="JO16" s="62"/>
      <c r="JP16" s="62"/>
      <c r="JQ16" s="62"/>
      <c r="JR16" s="62"/>
      <c r="JS16" s="62"/>
      <c r="JT16" s="63">
        <f t="shared" si="83"/>
        <v>0</v>
      </c>
      <c r="JU16" s="63">
        <f t="shared" si="84"/>
        <v>0</v>
      </c>
      <c r="JV16" s="63">
        <f t="shared" si="85"/>
        <v>0</v>
      </c>
      <c r="JW16" s="63">
        <f t="shared" si="86"/>
        <v>0</v>
      </c>
      <c r="JX16" s="63">
        <f t="shared" si="87"/>
        <v>0</v>
      </c>
      <c r="JY16" s="61">
        <f t="shared" si="201"/>
        <v>0</v>
      </c>
      <c r="JZ16" s="64">
        <v>0</v>
      </c>
      <c r="KA16" s="65">
        <f t="shared" si="88"/>
        <v>0</v>
      </c>
      <c r="KB16" s="476">
        <f t="shared" si="89"/>
        <v>0</v>
      </c>
      <c r="KC16" s="37"/>
      <c r="KD16" s="37"/>
      <c r="KE16" s="37"/>
      <c r="KF16" s="37"/>
      <c r="KG16" s="37"/>
      <c r="KH16" s="37"/>
      <c r="KI16" s="37"/>
      <c r="KJ16" s="37"/>
    </row>
    <row r="17" spans="1:296" x14ac:dyDescent="0.3">
      <c r="A17" s="49">
        <v>0</v>
      </c>
      <c r="B17" s="59"/>
      <c r="C17" s="28">
        <f t="shared" si="22"/>
        <v>0</v>
      </c>
      <c r="D17" s="60">
        <v>0</v>
      </c>
      <c r="E17" s="28">
        <f t="shared" si="90"/>
        <v>0</v>
      </c>
      <c r="F17" s="28">
        <f t="shared" si="91"/>
        <v>0</v>
      </c>
      <c r="G17" s="28">
        <f t="shared" si="92"/>
        <v>0</v>
      </c>
      <c r="H17" s="28">
        <f t="shared" si="93"/>
        <v>0</v>
      </c>
      <c r="I17" s="61">
        <f t="shared" si="94"/>
        <v>0</v>
      </c>
      <c r="J17" s="61">
        <f t="shared" si="23"/>
        <v>0</v>
      </c>
      <c r="K17" s="62"/>
      <c r="L17" s="62"/>
      <c r="M17" s="62"/>
      <c r="N17" s="54"/>
      <c r="O17" s="54"/>
      <c r="P17" s="63">
        <f t="shared" si="95"/>
        <v>0</v>
      </c>
      <c r="Q17" s="63">
        <f t="shared" si="96"/>
        <v>0</v>
      </c>
      <c r="R17" s="63">
        <f t="shared" si="97"/>
        <v>0</v>
      </c>
      <c r="S17" s="63">
        <f t="shared" si="98"/>
        <v>0</v>
      </c>
      <c r="T17" s="63">
        <f t="shared" si="99"/>
        <v>0</v>
      </c>
      <c r="U17" s="61">
        <f t="shared" si="100"/>
        <v>0</v>
      </c>
      <c r="V17" s="64">
        <v>0</v>
      </c>
      <c r="W17" s="65">
        <f t="shared" si="24"/>
        <v>0</v>
      </c>
      <c r="X17" s="212">
        <f t="shared" si="25"/>
        <v>0</v>
      </c>
      <c r="Y17" s="49">
        <v>0</v>
      </c>
      <c r="Z17" s="59"/>
      <c r="AA17" s="28">
        <f t="shared" si="26"/>
        <v>0</v>
      </c>
      <c r="AB17" s="60">
        <v>0</v>
      </c>
      <c r="AC17" s="28">
        <f t="shared" si="101"/>
        <v>0</v>
      </c>
      <c r="AD17" s="28">
        <f t="shared" si="102"/>
        <v>0</v>
      </c>
      <c r="AE17" s="28">
        <f t="shared" si="103"/>
        <v>0</v>
      </c>
      <c r="AF17" s="28">
        <f t="shared" si="104"/>
        <v>0</v>
      </c>
      <c r="AG17" s="61">
        <f t="shared" si="105"/>
        <v>0</v>
      </c>
      <c r="AH17" s="61">
        <f t="shared" si="27"/>
        <v>0</v>
      </c>
      <c r="AI17" s="62"/>
      <c r="AJ17" s="62"/>
      <c r="AK17" s="62"/>
      <c r="AL17" s="54"/>
      <c r="AM17" s="54"/>
      <c r="AN17" s="63">
        <f t="shared" si="106"/>
        <v>0</v>
      </c>
      <c r="AO17" s="63">
        <f t="shared" si="107"/>
        <v>0</v>
      </c>
      <c r="AP17" s="63">
        <f t="shared" si="108"/>
        <v>0</v>
      </c>
      <c r="AQ17" s="63">
        <f t="shared" si="109"/>
        <v>0</v>
      </c>
      <c r="AR17" s="63">
        <f t="shared" si="110"/>
        <v>0</v>
      </c>
      <c r="AS17" s="61">
        <f t="shared" si="111"/>
        <v>0</v>
      </c>
      <c r="AT17" s="64">
        <v>0</v>
      </c>
      <c r="AU17" s="65">
        <f t="shared" si="28"/>
        <v>0</v>
      </c>
      <c r="AV17" s="212">
        <f t="shared" si="29"/>
        <v>0</v>
      </c>
      <c r="AW17" s="49">
        <v>0</v>
      </c>
      <c r="AX17" s="59"/>
      <c r="AY17" s="28">
        <f t="shared" si="30"/>
        <v>0</v>
      </c>
      <c r="AZ17" s="60">
        <v>0</v>
      </c>
      <c r="BA17" s="28">
        <f t="shared" si="112"/>
        <v>0</v>
      </c>
      <c r="BB17" s="28">
        <f t="shared" si="113"/>
        <v>0</v>
      </c>
      <c r="BC17" s="28">
        <f t="shared" si="114"/>
        <v>0</v>
      </c>
      <c r="BD17" s="28">
        <f t="shared" si="115"/>
        <v>0</v>
      </c>
      <c r="BE17" s="61">
        <f t="shared" si="116"/>
        <v>0</v>
      </c>
      <c r="BF17" s="61">
        <f t="shared" si="31"/>
        <v>0</v>
      </c>
      <c r="BG17" s="62"/>
      <c r="BH17" s="62"/>
      <c r="BI17" s="62"/>
      <c r="BJ17" s="54"/>
      <c r="BK17" s="54"/>
      <c r="BL17" s="63">
        <f t="shared" si="117"/>
        <v>0</v>
      </c>
      <c r="BM17" s="63">
        <f t="shared" si="118"/>
        <v>0</v>
      </c>
      <c r="BN17" s="63">
        <f t="shared" si="119"/>
        <v>0</v>
      </c>
      <c r="BO17" s="63">
        <f t="shared" si="120"/>
        <v>0</v>
      </c>
      <c r="BP17" s="63">
        <f t="shared" si="121"/>
        <v>0</v>
      </c>
      <c r="BQ17" s="61">
        <f t="shared" si="122"/>
        <v>0</v>
      </c>
      <c r="BR17" s="64">
        <v>0</v>
      </c>
      <c r="BS17" s="65">
        <f t="shared" si="32"/>
        <v>0</v>
      </c>
      <c r="BT17" s="212">
        <f t="shared" si="33"/>
        <v>0</v>
      </c>
      <c r="BU17" s="49">
        <v>0</v>
      </c>
      <c r="BV17" s="59"/>
      <c r="BW17" s="28">
        <f t="shared" si="34"/>
        <v>0</v>
      </c>
      <c r="BX17" s="60">
        <v>0</v>
      </c>
      <c r="BY17" s="28">
        <f t="shared" si="123"/>
        <v>0</v>
      </c>
      <c r="BZ17" s="28">
        <f t="shared" si="124"/>
        <v>0</v>
      </c>
      <c r="CA17" s="28">
        <f t="shared" si="125"/>
        <v>0</v>
      </c>
      <c r="CB17" s="28">
        <f t="shared" si="126"/>
        <v>0</v>
      </c>
      <c r="CC17" s="61">
        <f t="shared" si="127"/>
        <v>0</v>
      </c>
      <c r="CD17" s="61">
        <f t="shared" si="35"/>
        <v>0</v>
      </c>
      <c r="CE17" s="62"/>
      <c r="CF17" s="62"/>
      <c r="CG17" s="62"/>
      <c r="CH17" s="54"/>
      <c r="CI17" s="54"/>
      <c r="CJ17" s="63">
        <f t="shared" si="128"/>
        <v>0</v>
      </c>
      <c r="CK17" s="63">
        <f t="shared" si="129"/>
        <v>0</v>
      </c>
      <c r="CL17" s="63">
        <f t="shared" si="130"/>
        <v>0</v>
      </c>
      <c r="CM17" s="63">
        <f t="shared" si="131"/>
        <v>0</v>
      </c>
      <c r="CN17" s="63">
        <f t="shared" si="132"/>
        <v>0</v>
      </c>
      <c r="CO17" s="61">
        <f t="shared" si="133"/>
        <v>0</v>
      </c>
      <c r="CP17" s="64">
        <v>0</v>
      </c>
      <c r="CQ17" s="65">
        <f t="shared" si="36"/>
        <v>0</v>
      </c>
      <c r="CR17" s="212">
        <f t="shared" si="37"/>
        <v>0</v>
      </c>
      <c r="CS17" s="49">
        <v>0</v>
      </c>
      <c r="CT17" s="59"/>
      <c r="CU17" s="28">
        <f t="shared" si="38"/>
        <v>0</v>
      </c>
      <c r="CV17" s="60">
        <v>0</v>
      </c>
      <c r="CW17" s="28">
        <f t="shared" si="134"/>
        <v>0</v>
      </c>
      <c r="CX17" s="28">
        <f t="shared" si="135"/>
        <v>0</v>
      </c>
      <c r="CY17" s="28">
        <f t="shared" si="136"/>
        <v>0</v>
      </c>
      <c r="CZ17" s="28">
        <f t="shared" si="137"/>
        <v>0</v>
      </c>
      <c r="DA17" s="61">
        <f t="shared" si="138"/>
        <v>0</v>
      </c>
      <c r="DB17" s="61">
        <f t="shared" si="39"/>
        <v>0</v>
      </c>
      <c r="DC17" s="62"/>
      <c r="DD17" s="62"/>
      <c r="DE17" s="62"/>
      <c r="DF17" s="54"/>
      <c r="DG17" s="54"/>
      <c r="DH17" s="63">
        <f t="shared" si="139"/>
        <v>0</v>
      </c>
      <c r="DI17" s="63">
        <f t="shared" si="140"/>
        <v>0</v>
      </c>
      <c r="DJ17" s="63">
        <f t="shared" si="141"/>
        <v>0</v>
      </c>
      <c r="DK17" s="63">
        <f t="shared" si="142"/>
        <v>0</v>
      </c>
      <c r="DL17" s="63">
        <f t="shared" si="143"/>
        <v>0</v>
      </c>
      <c r="DM17" s="61">
        <f t="shared" si="144"/>
        <v>0</v>
      </c>
      <c r="DN17" s="64">
        <v>0</v>
      </c>
      <c r="DO17" s="65">
        <f t="shared" si="40"/>
        <v>0</v>
      </c>
      <c r="DP17" s="212">
        <f t="shared" si="41"/>
        <v>0</v>
      </c>
      <c r="DQ17" s="49">
        <v>0</v>
      </c>
      <c r="DR17" s="59"/>
      <c r="DS17" s="28">
        <f t="shared" si="42"/>
        <v>0</v>
      </c>
      <c r="DT17" s="60">
        <v>0</v>
      </c>
      <c r="DU17" s="28">
        <f t="shared" si="145"/>
        <v>0</v>
      </c>
      <c r="DV17" s="28">
        <f t="shared" si="146"/>
        <v>0</v>
      </c>
      <c r="DW17" s="28">
        <f t="shared" si="147"/>
        <v>0</v>
      </c>
      <c r="DX17" s="28">
        <f t="shared" si="148"/>
        <v>0</v>
      </c>
      <c r="DY17" s="61">
        <f t="shared" si="149"/>
        <v>0</v>
      </c>
      <c r="DZ17" s="61">
        <f t="shared" si="43"/>
        <v>0</v>
      </c>
      <c r="EA17" s="62"/>
      <c r="EB17" s="62"/>
      <c r="EC17" s="62"/>
      <c r="ED17" s="54"/>
      <c r="EE17" s="54"/>
      <c r="EF17" s="63">
        <f t="shared" si="150"/>
        <v>0</v>
      </c>
      <c r="EG17" s="63">
        <f t="shared" si="151"/>
        <v>0</v>
      </c>
      <c r="EH17" s="63">
        <f t="shared" si="152"/>
        <v>0</v>
      </c>
      <c r="EI17" s="63">
        <f t="shared" si="153"/>
        <v>0</v>
      </c>
      <c r="EJ17" s="63">
        <f t="shared" si="154"/>
        <v>0</v>
      </c>
      <c r="EK17" s="61">
        <f t="shared" si="155"/>
        <v>0</v>
      </c>
      <c r="EL17" s="64">
        <v>0</v>
      </c>
      <c r="EM17" s="65">
        <f t="shared" si="44"/>
        <v>0</v>
      </c>
      <c r="EN17" s="212">
        <f t="shared" si="45"/>
        <v>0</v>
      </c>
      <c r="EO17" s="49">
        <v>0</v>
      </c>
      <c r="EP17" s="59"/>
      <c r="EQ17" s="28">
        <f t="shared" si="46"/>
        <v>0</v>
      </c>
      <c r="ER17" s="60">
        <v>0</v>
      </c>
      <c r="ES17" s="28">
        <f t="shared" si="156"/>
        <v>0</v>
      </c>
      <c r="ET17" s="28">
        <f t="shared" si="157"/>
        <v>0</v>
      </c>
      <c r="EU17" s="28">
        <f t="shared" si="158"/>
        <v>0</v>
      </c>
      <c r="EV17" s="28">
        <f t="shared" si="159"/>
        <v>0</v>
      </c>
      <c r="EW17" s="61">
        <f t="shared" si="160"/>
        <v>0</v>
      </c>
      <c r="EX17" s="61">
        <f t="shared" si="47"/>
        <v>0</v>
      </c>
      <c r="EY17" s="62"/>
      <c r="EZ17" s="62"/>
      <c r="FA17" s="62"/>
      <c r="FB17" s="54"/>
      <c r="FC17" s="54"/>
      <c r="FD17" s="63">
        <f t="shared" si="161"/>
        <v>0</v>
      </c>
      <c r="FE17" s="63">
        <f t="shared" si="162"/>
        <v>0</v>
      </c>
      <c r="FF17" s="63">
        <f t="shared" si="163"/>
        <v>0</v>
      </c>
      <c r="FG17" s="63">
        <f t="shared" si="164"/>
        <v>0</v>
      </c>
      <c r="FH17" s="63">
        <f t="shared" si="165"/>
        <v>0</v>
      </c>
      <c r="FI17" s="61">
        <f t="shared" si="166"/>
        <v>0</v>
      </c>
      <c r="FJ17" s="64">
        <v>0</v>
      </c>
      <c r="FK17" s="65">
        <f t="shared" si="48"/>
        <v>0</v>
      </c>
      <c r="FL17" s="212">
        <f t="shared" si="49"/>
        <v>0</v>
      </c>
      <c r="FM17" s="49">
        <v>0</v>
      </c>
      <c r="FN17" s="59"/>
      <c r="FO17" s="28">
        <f t="shared" si="50"/>
        <v>0</v>
      </c>
      <c r="FP17" s="60">
        <v>0</v>
      </c>
      <c r="FQ17" s="28">
        <f t="shared" si="167"/>
        <v>0</v>
      </c>
      <c r="FR17" s="28">
        <f t="shared" si="168"/>
        <v>0</v>
      </c>
      <c r="FS17" s="28">
        <f t="shared" si="169"/>
        <v>0</v>
      </c>
      <c r="FT17" s="28">
        <f t="shared" si="170"/>
        <v>0</v>
      </c>
      <c r="FU17" s="61">
        <f t="shared" si="171"/>
        <v>0</v>
      </c>
      <c r="FV17" s="61">
        <f t="shared" si="51"/>
        <v>0</v>
      </c>
      <c r="FW17" s="62"/>
      <c r="FX17" s="62"/>
      <c r="FY17" s="62"/>
      <c r="FZ17" s="54"/>
      <c r="GA17" s="54"/>
      <c r="GB17" s="63">
        <f t="shared" si="172"/>
        <v>0</v>
      </c>
      <c r="GC17" s="63">
        <f t="shared" si="173"/>
        <v>0</v>
      </c>
      <c r="GD17" s="63">
        <f t="shared" si="174"/>
        <v>0</v>
      </c>
      <c r="GE17" s="63">
        <f t="shared" si="175"/>
        <v>0</v>
      </c>
      <c r="GF17" s="63">
        <f t="shared" si="176"/>
        <v>0</v>
      </c>
      <c r="GG17" s="61">
        <f t="shared" si="177"/>
        <v>0</v>
      </c>
      <c r="GH17" s="64">
        <v>0</v>
      </c>
      <c r="GI17" s="65">
        <f t="shared" si="52"/>
        <v>0</v>
      </c>
      <c r="GJ17" s="212">
        <f t="shared" si="53"/>
        <v>0</v>
      </c>
      <c r="GK17" s="49">
        <v>0</v>
      </c>
      <c r="GL17" s="59"/>
      <c r="GM17" s="28">
        <f t="shared" si="54"/>
        <v>0</v>
      </c>
      <c r="GN17" s="60">
        <v>0</v>
      </c>
      <c r="GO17" s="28">
        <f t="shared" si="178"/>
        <v>0</v>
      </c>
      <c r="GP17" s="28">
        <f t="shared" si="179"/>
        <v>0</v>
      </c>
      <c r="GQ17" s="28">
        <f t="shared" si="180"/>
        <v>0</v>
      </c>
      <c r="GR17" s="28">
        <f t="shared" si="181"/>
        <v>0</v>
      </c>
      <c r="GS17" s="61">
        <f t="shared" si="182"/>
        <v>0</v>
      </c>
      <c r="GT17" s="61">
        <f t="shared" si="55"/>
        <v>0</v>
      </c>
      <c r="GU17" s="62"/>
      <c r="GV17" s="62"/>
      <c r="GW17" s="62"/>
      <c r="GX17" s="54"/>
      <c r="GY17" s="54"/>
      <c r="GZ17" s="63">
        <f t="shared" si="183"/>
        <v>0</v>
      </c>
      <c r="HA17" s="63">
        <f t="shared" si="184"/>
        <v>0</v>
      </c>
      <c r="HB17" s="63">
        <f t="shared" si="185"/>
        <v>0</v>
      </c>
      <c r="HC17" s="63">
        <f t="shared" si="186"/>
        <v>0</v>
      </c>
      <c r="HD17" s="63">
        <f t="shared" si="187"/>
        <v>0</v>
      </c>
      <c r="HE17" s="61">
        <f t="shared" si="188"/>
        <v>0</v>
      </c>
      <c r="HF17" s="64">
        <v>0</v>
      </c>
      <c r="HG17" s="65">
        <f t="shared" si="56"/>
        <v>0</v>
      </c>
      <c r="HH17" s="212">
        <f t="shared" si="57"/>
        <v>0</v>
      </c>
      <c r="HI17" s="49">
        <v>0</v>
      </c>
      <c r="HJ17" s="59"/>
      <c r="HK17" s="28">
        <f t="shared" si="58"/>
        <v>0</v>
      </c>
      <c r="HL17" s="60">
        <v>0</v>
      </c>
      <c r="HM17" s="28">
        <f t="shared" si="189"/>
        <v>0</v>
      </c>
      <c r="HN17" s="28">
        <f t="shared" si="190"/>
        <v>0</v>
      </c>
      <c r="HO17" s="28">
        <f t="shared" si="191"/>
        <v>0</v>
      </c>
      <c r="HP17" s="28">
        <f t="shared" si="192"/>
        <v>0</v>
      </c>
      <c r="HQ17" s="61">
        <f t="shared" si="193"/>
        <v>0</v>
      </c>
      <c r="HR17" s="61">
        <f t="shared" si="59"/>
        <v>0</v>
      </c>
      <c r="HS17" s="62"/>
      <c r="HT17" s="62"/>
      <c r="HU17" s="62"/>
      <c r="HV17" s="54"/>
      <c r="HW17" s="54"/>
      <c r="HX17" s="63">
        <f t="shared" si="194"/>
        <v>0</v>
      </c>
      <c r="HY17" s="63">
        <f t="shared" si="195"/>
        <v>0</v>
      </c>
      <c r="HZ17" s="63">
        <f t="shared" si="196"/>
        <v>0</v>
      </c>
      <c r="IA17" s="63">
        <f t="shared" si="197"/>
        <v>0</v>
      </c>
      <c r="IB17" s="63">
        <f t="shared" si="198"/>
        <v>0</v>
      </c>
      <c r="IC17" s="61">
        <f t="shared" si="199"/>
        <v>0</v>
      </c>
      <c r="ID17" s="64">
        <v>0</v>
      </c>
      <c r="IE17" s="65">
        <f t="shared" si="60"/>
        <v>0</v>
      </c>
      <c r="IF17" s="212">
        <f t="shared" si="61"/>
        <v>0</v>
      </c>
      <c r="IG17" s="49">
        <v>0</v>
      </c>
      <c r="IH17" s="59"/>
      <c r="II17" s="28">
        <f t="shared" si="62"/>
        <v>0</v>
      </c>
      <c r="IJ17" s="60">
        <v>0</v>
      </c>
      <c r="IK17" s="28">
        <f t="shared" si="63"/>
        <v>0</v>
      </c>
      <c r="IL17" s="28">
        <f t="shared" si="64"/>
        <v>0</v>
      </c>
      <c r="IM17" s="28">
        <f t="shared" si="65"/>
        <v>0</v>
      </c>
      <c r="IN17" s="28">
        <f t="shared" si="66"/>
        <v>0</v>
      </c>
      <c r="IO17" s="61">
        <f t="shared" si="67"/>
        <v>0</v>
      </c>
      <c r="IP17" s="61">
        <f t="shared" si="68"/>
        <v>0</v>
      </c>
      <c r="IQ17" s="62"/>
      <c r="IR17" s="62"/>
      <c r="IS17" s="62"/>
      <c r="IT17" s="54"/>
      <c r="IU17" s="54"/>
      <c r="IV17" s="63">
        <f t="shared" si="69"/>
        <v>0</v>
      </c>
      <c r="IW17" s="63">
        <f t="shared" si="70"/>
        <v>0</v>
      </c>
      <c r="IX17" s="63">
        <f t="shared" si="71"/>
        <v>0</v>
      </c>
      <c r="IY17" s="63">
        <f t="shared" si="72"/>
        <v>0</v>
      </c>
      <c r="IZ17" s="63">
        <f t="shared" si="73"/>
        <v>0</v>
      </c>
      <c r="JA17" s="61">
        <f t="shared" si="200"/>
        <v>0</v>
      </c>
      <c r="JB17" s="64">
        <v>0</v>
      </c>
      <c r="JC17" s="65">
        <f t="shared" si="74"/>
        <v>0</v>
      </c>
      <c r="JD17" s="476">
        <f t="shared" si="75"/>
        <v>0</v>
      </c>
      <c r="JE17" s="49">
        <v>0</v>
      </c>
      <c r="JF17" s="59"/>
      <c r="JG17" s="28">
        <f t="shared" si="76"/>
        <v>0</v>
      </c>
      <c r="JH17" s="60">
        <v>0</v>
      </c>
      <c r="JI17" s="28">
        <f t="shared" si="77"/>
        <v>0</v>
      </c>
      <c r="JJ17" s="28">
        <f t="shared" si="78"/>
        <v>0</v>
      </c>
      <c r="JK17" s="28">
        <f t="shared" si="79"/>
        <v>0</v>
      </c>
      <c r="JL17" s="28">
        <f t="shared" si="80"/>
        <v>0</v>
      </c>
      <c r="JM17" s="61">
        <f t="shared" si="81"/>
        <v>0</v>
      </c>
      <c r="JN17" s="61">
        <f t="shared" si="82"/>
        <v>0</v>
      </c>
      <c r="JO17" s="62"/>
      <c r="JP17" s="62"/>
      <c r="JQ17" s="62"/>
      <c r="JR17" s="54"/>
      <c r="JS17" s="54"/>
      <c r="JT17" s="63">
        <f t="shared" si="83"/>
        <v>0</v>
      </c>
      <c r="JU17" s="63">
        <f t="shared" si="84"/>
        <v>0</v>
      </c>
      <c r="JV17" s="63">
        <f t="shared" si="85"/>
        <v>0</v>
      </c>
      <c r="JW17" s="63">
        <f t="shared" si="86"/>
        <v>0</v>
      </c>
      <c r="JX17" s="63">
        <f t="shared" si="87"/>
        <v>0</v>
      </c>
      <c r="JY17" s="61">
        <f t="shared" si="201"/>
        <v>0</v>
      </c>
      <c r="JZ17" s="64">
        <v>0</v>
      </c>
      <c r="KA17" s="65">
        <f t="shared" si="88"/>
        <v>0</v>
      </c>
      <c r="KB17" s="476">
        <f t="shared" si="89"/>
        <v>0</v>
      </c>
      <c r="KC17" s="37"/>
      <c r="KD17" s="37"/>
      <c r="KE17" s="37"/>
      <c r="KF17" s="37"/>
      <c r="KG17" s="37"/>
      <c r="KH17" s="37"/>
      <c r="KI17" s="37"/>
      <c r="KJ17" s="37"/>
    </row>
    <row r="18" spans="1:296" x14ac:dyDescent="0.3">
      <c r="A18" s="49">
        <v>0</v>
      </c>
      <c r="B18" s="59"/>
      <c r="C18" s="28">
        <f t="shared" si="22"/>
        <v>0</v>
      </c>
      <c r="D18" s="60">
        <v>0</v>
      </c>
      <c r="E18" s="28">
        <f t="shared" si="90"/>
        <v>0</v>
      </c>
      <c r="F18" s="28">
        <f t="shared" si="91"/>
        <v>0</v>
      </c>
      <c r="G18" s="28">
        <f t="shared" si="92"/>
        <v>0</v>
      </c>
      <c r="H18" s="28">
        <f t="shared" si="93"/>
        <v>0</v>
      </c>
      <c r="I18" s="61">
        <f t="shared" si="94"/>
        <v>0</v>
      </c>
      <c r="J18" s="61">
        <f t="shared" si="23"/>
        <v>0</v>
      </c>
      <c r="K18" s="62"/>
      <c r="L18" s="62"/>
      <c r="M18" s="62"/>
      <c r="N18" s="62"/>
      <c r="O18" s="62"/>
      <c r="P18" s="63">
        <f t="shared" si="95"/>
        <v>0</v>
      </c>
      <c r="Q18" s="63">
        <f t="shared" si="96"/>
        <v>0</v>
      </c>
      <c r="R18" s="63">
        <f t="shared" si="97"/>
        <v>0</v>
      </c>
      <c r="S18" s="63">
        <f t="shared" si="98"/>
        <v>0</v>
      </c>
      <c r="T18" s="63">
        <f t="shared" si="99"/>
        <v>0</v>
      </c>
      <c r="U18" s="61">
        <f t="shared" si="100"/>
        <v>0</v>
      </c>
      <c r="V18" s="64">
        <v>0</v>
      </c>
      <c r="W18" s="65">
        <f t="shared" si="24"/>
        <v>0</v>
      </c>
      <c r="X18" s="212">
        <f t="shared" si="25"/>
        <v>0</v>
      </c>
      <c r="Y18" s="49">
        <v>0</v>
      </c>
      <c r="Z18" s="59"/>
      <c r="AA18" s="28">
        <f t="shared" si="26"/>
        <v>0</v>
      </c>
      <c r="AB18" s="60">
        <v>0</v>
      </c>
      <c r="AC18" s="28">
        <f t="shared" si="101"/>
        <v>0</v>
      </c>
      <c r="AD18" s="28">
        <f t="shared" si="102"/>
        <v>0</v>
      </c>
      <c r="AE18" s="28">
        <f t="shared" si="103"/>
        <v>0</v>
      </c>
      <c r="AF18" s="28">
        <f t="shared" si="104"/>
        <v>0</v>
      </c>
      <c r="AG18" s="61">
        <f t="shared" si="105"/>
        <v>0</v>
      </c>
      <c r="AH18" s="61">
        <f t="shared" si="27"/>
        <v>0</v>
      </c>
      <c r="AI18" s="62"/>
      <c r="AJ18" s="62"/>
      <c r="AK18" s="62"/>
      <c r="AL18" s="62"/>
      <c r="AM18" s="62"/>
      <c r="AN18" s="63">
        <f t="shared" si="106"/>
        <v>0</v>
      </c>
      <c r="AO18" s="63">
        <f t="shared" si="107"/>
        <v>0</v>
      </c>
      <c r="AP18" s="63">
        <f t="shared" si="108"/>
        <v>0</v>
      </c>
      <c r="AQ18" s="63">
        <f t="shared" si="109"/>
        <v>0</v>
      </c>
      <c r="AR18" s="63">
        <f t="shared" si="110"/>
        <v>0</v>
      </c>
      <c r="AS18" s="61">
        <f t="shared" si="111"/>
        <v>0</v>
      </c>
      <c r="AT18" s="64">
        <v>0</v>
      </c>
      <c r="AU18" s="65">
        <f t="shared" si="28"/>
        <v>0</v>
      </c>
      <c r="AV18" s="212">
        <f t="shared" si="29"/>
        <v>0</v>
      </c>
      <c r="AW18" s="49">
        <v>0</v>
      </c>
      <c r="AX18" s="59"/>
      <c r="AY18" s="28">
        <f t="shared" si="30"/>
        <v>0</v>
      </c>
      <c r="AZ18" s="60">
        <v>0</v>
      </c>
      <c r="BA18" s="28">
        <f t="shared" si="112"/>
        <v>0</v>
      </c>
      <c r="BB18" s="28">
        <f t="shared" si="113"/>
        <v>0</v>
      </c>
      <c r="BC18" s="28">
        <f t="shared" si="114"/>
        <v>0</v>
      </c>
      <c r="BD18" s="28">
        <f t="shared" si="115"/>
        <v>0</v>
      </c>
      <c r="BE18" s="61">
        <f t="shared" si="116"/>
        <v>0</v>
      </c>
      <c r="BF18" s="61">
        <f t="shared" si="31"/>
        <v>0</v>
      </c>
      <c r="BG18" s="62"/>
      <c r="BH18" s="62"/>
      <c r="BI18" s="62"/>
      <c r="BJ18" s="62"/>
      <c r="BK18" s="62"/>
      <c r="BL18" s="63">
        <f t="shared" si="117"/>
        <v>0</v>
      </c>
      <c r="BM18" s="63">
        <f t="shared" si="118"/>
        <v>0</v>
      </c>
      <c r="BN18" s="63">
        <f t="shared" si="119"/>
        <v>0</v>
      </c>
      <c r="BO18" s="63">
        <f t="shared" si="120"/>
        <v>0</v>
      </c>
      <c r="BP18" s="63">
        <f t="shared" si="121"/>
        <v>0</v>
      </c>
      <c r="BQ18" s="61">
        <f t="shared" si="122"/>
        <v>0</v>
      </c>
      <c r="BR18" s="64">
        <v>0</v>
      </c>
      <c r="BS18" s="65">
        <f t="shared" si="32"/>
        <v>0</v>
      </c>
      <c r="BT18" s="212">
        <f t="shared" si="33"/>
        <v>0</v>
      </c>
      <c r="BU18" s="49">
        <v>0</v>
      </c>
      <c r="BV18" s="59"/>
      <c r="BW18" s="28">
        <f t="shared" si="34"/>
        <v>0</v>
      </c>
      <c r="BX18" s="60">
        <v>0</v>
      </c>
      <c r="BY18" s="28">
        <f t="shared" si="123"/>
        <v>0</v>
      </c>
      <c r="BZ18" s="28">
        <f t="shared" si="124"/>
        <v>0</v>
      </c>
      <c r="CA18" s="28">
        <f t="shared" si="125"/>
        <v>0</v>
      </c>
      <c r="CB18" s="28">
        <f t="shared" si="126"/>
        <v>0</v>
      </c>
      <c r="CC18" s="61">
        <f t="shared" si="127"/>
        <v>0</v>
      </c>
      <c r="CD18" s="61">
        <f t="shared" si="35"/>
        <v>0</v>
      </c>
      <c r="CE18" s="62"/>
      <c r="CF18" s="62"/>
      <c r="CG18" s="62"/>
      <c r="CH18" s="62"/>
      <c r="CI18" s="62"/>
      <c r="CJ18" s="63">
        <f t="shared" si="128"/>
        <v>0</v>
      </c>
      <c r="CK18" s="63">
        <f t="shared" si="129"/>
        <v>0</v>
      </c>
      <c r="CL18" s="63">
        <f t="shared" si="130"/>
        <v>0</v>
      </c>
      <c r="CM18" s="63">
        <f t="shared" si="131"/>
        <v>0</v>
      </c>
      <c r="CN18" s="63">
        <f t="shared" si="132"/>
        <v>0</v>
      </c>
      <c r="CO18" s="61">
        <f t="shared" si="133"/>
        <v>0</v>
      </c>
      <c r="CP18" s="64">
        <v>0</v>
      </c>
      <c r="CQ18" s="65">
        <f t="shared" si="36"/>
        <v>0</v>
      </c>
      <c r="CR18" s="212">
        <f t="shared" si="37"/>
        <v>0</v>
      </c>
      <c r="CS18" s="49">
        <v>0</v>
      </c>
      <c r="CT18" s="59"/>
      <c r="CU18" s="28">
        <f t="shared" si="38"/>
        <v>0</v>
      </c>
      <c r="CV18" s="60">
        <v>0</v>
      </c>
      <c r="CW18" s="28">
        <f t="shared" si="134"/>
        <v>0</v>
      </c>
      <c r="CX18" s="28">
        <f t="shared" si="135"/>
        <v>0</v>
      </c>
      <c r="CY18" s="28">
        <f t="shared" si="136"/>
        <v>0</v>
      </c>
      <c r="CZ18" s="28">
        <f t="shared" si="137"/>
        <v>0</v>
      </c>
      <c r="DA18" s="61">
        <f t="shared" si="138"/>
        <v>0</v>
      </c>
      <c r="DB18" s="61">
        <f t="shared" si="39"/>
        <v>0</v>
      </c>
      <c r="DC18" s="62"/>
      <c r="DD18" s="62"/>
      <c r="DE18" s="62"/>
      <c r="DF18" s="62"/>
      <c r="DG18" s="62"/>
      <c r="DH18" s="63">
        <f t="shared" si="139"/>
        <v>0</v>
      </c>
      <c r="DI18" s="63">
        <f t="shared" si="140"/>
        <v>0</v>
      </c>
      <c r="DJ18" s="63">
        <f t="shared" si="141"/>
        <v>0</v>
      </c>
      <c r="DK18" s="63">
        <f t="shared" si="142"/>
        <v>0</v>
      </c>
      <c r="DL18" s="63">
        <f t="shared" si="143"/>
        <v>0</v>
      </c>
      <c r="DM18" s="61">
        <f t="shared" si="144"/>
        <v>0</v>
      </c>
      <c r="DN18" s="64">
        <v>0</v>
      </c>
      <c r="DO18" s="65">
        <f t="shared" si="40"/>
        <v>0</v>
      </c>
      <c r="DP18" s="212">
        <f t="shared" si="41"/>
        <v>0</v>
      </c>
      <c r="DQ18" s="49">
        <v>0</v>
      </c>
      <c r="DR18" s="59"/>
      <c r="DS18" s="28">
        <f t="shared" si="42"/>
        <v>0</v>
      </c>
      <c r="DT18" s="60">
        <v>0</v>
      </c>
      <c r="DU18" s="28">
        <f t="shared" si="145"/>
        <v>0</v>
      </c>
      <c r="DV18" s="28">
        <f t="shared" si="146"/>
        <v>0</v>
      </c>
      <c r="DW18" s="28">
        <f t="shared" si="147"/>
        <v>0</v>
      </c>
      <c r="DX18" s="28">
        <f t="shared" si="148"/>
        <v>0</v>
      </c>
      <c r="DY18" s="61">
        <f t="shared" si="149"/>
        <v>0</v>
      </c>
      <c r="DZ18" s="61">
        <f t="shared" si="43"/>
        <v>0</v>
      </c>
      <c r="EA18" s="62"/>
      <c r="EB18" s="62"/>
      <c r="EC18" s="62"/>
      <c r="ED18" s="62"/>
      <c r="EE18" s="62"/>
      <c r="EF18" s="63">
        <f t="shared" si="150"/>
        <v>0</v>
      </c>
      <c r="EG18" s="63">
        <f t="shared" si="151"/>
        <v>0</v>
      </c>
      <c r="EH18" s="63">
        <f t="shared" si="152"/>
        <v>0</v>
      </c>
      <c r="EI18" s="63">
        <f t="shared" si="153"/>
        <v>0</v>
      </c>
      <c r="EJ18" s="63">
        <f t="shared" si="154"/>
        <v>0</v>
      </c>
      <c r="EK18" s="61">
        <f t="shared" si="155"/>
        <v>0</v>
      </c>
      <c r="EL18" s="64">
        <v>0</v>
      </c>
      <c r="EM18" s="65">
        <f t="shared" si="44"/>
        <v>0</v>
      </c>
      <c r="EN18" s="212">
        <f t="shared" si="45"/>
        <v>0</v>
      </c>
      <c r="EO18" s="49">
        <v>0</v>
      </c>
      <c r="EP18" s="59"/>
      <c r="EQ18" s="28">
        <f t="shared" si="46"/>
        <v>0</v>
      </c>
      <c r="ER18" s="60">
        <v>0</v>
      </c>
      <c r="ES18" s="28">
        <f t="shared" si="156"/>
        <v>0</v>
      </c>
      <c r="ET18" s="28">
        <f t="shared" si="157"/>
        <v>0</v>
      </c>
      <c r="EU18" s="28">
        <f t="shared" si="158"/>
        <v>0</v>
      </c>
      <c r="EV18" s="28">
        <f t="shared" si="159"/>
        <v>0</v>
      </c>
      <c r="EW18" s="61">
        <f t="shared" si="160"/>
        <v>0</v>
      </c>
      <c r="EX18" s="61">
        <f t="shared" si="47"/>
        <v>0</v>
      </c>
      <c r="EY18" s="62"/>
      <c r="EZ18" s="62"/>
      <c r="FA18" s="62"/>
      <c r="FB18" s="62"/>
      <c r="FC18" s="62"/>
      <c r="FD18" s="63">
        <f t="shared" si="161"/>
        <v>0</v>
      </c>
      <c r="FE18" s="63">
        <f t="shared" si="162"/>
        <v>0</v>
      </c>
      <c r="FF18" s="63">
        <f t="shared" si="163"/>
        <v>0</v>
      </c>
      <c r="FG18" s="63">
        <f t="shared" si="164"/>
        <v>0</v>
      </c>
      <c r="FH18" s="63">
        <f t="shared" si="165"/>
        <v>0</v>
      </c>
      <c r="FI18" s="61">
        <f t="shared" si="166"/>
        <v>0</v>
      </c>
      <c r="FJ18" s="64">
        <v>0</v>
      </c>
      <c r="FK18" s="65">
        <f t="shared" si="48"/>
        <v>0</v>
      </c>
      <c r="FL18" s="212">
        <f t="shared" si="49"/>
        <v>0</v>
      </c>
      <c r="FM18" s="49">
        <v>0</v>
      </c>
      <c r="FN18" s="59"/>
      <c r="FO18" s="28">
        <f t="shared" si="50"/>
        <v>0</v>
      </c>
      <c r="FP18" s="60">
        <v>0</v>
      </c>
      <c r="FQ18" s="28">
        <f t="shared" si="167"/>
        <v>0</v>
      </c>
      <c r="FR18" s="28">
        <f t="shared" si="168"/>
        <v>0</v>
      </c>
      <c r="FS18" s="28">
        <f t="shared" si="169"/>
        <v>0</v>
      </c>
      <c r="FT18" s="28">
        <f t="shared" si="170"/>
        <v>0</v>
      </c>
      <c r="FU18" s="61">
        <f t="shared" si="171"/>
        <v>0</v>
      </c>
      <c r="FV18" s="61">
        <f t="shared" si="51"/>
        <v>0</v>
      </c>
      <c r="FW18" s="62"/>
      <c r="FX18" s="62"/>
      <c r="FY18" s="62"/>
      <c r="FZ18" s="62"/>
      <c r="GA18" s="62"/>
      <c r="GB18" s="63">
        <f t="shared" si="172"/>
        <v>0</v>
      </c>
      <c r="GC18" s="63">
        <f t="shared" si="173"/>
        <v>0</v>
      </c>
      <c r="GD18" s="63">
        <f t="shared" si="174"/>
        <v>0</v>
      </c>
      <c r="GE18" s="63">
        <f t="shared" si="175"/>
        <v>0</v>
      </c>
      <c r="GF18" s="63">
        <f t="shared" si="176"/>
        <v>0</v>
      </c>
      <c r="GG18" s="61">
        <f t="shared" si="177"/>
        <v>0</v>
      </c>
      <c r="GH18" s="64">
        <v>0</v>
      </c>
      <c r="GI18" s="65">
        <f t="shared" si="52"/>
        <v>0</v>
      </c>
      <c r="GJ18" s="212">
        <f t="shared" si="53"/>
        <v>0</v>
      </c>
      <c r="GK18" s="49">
        <v>0</v>
      </c>
      <c r="GL18" s="59"/>
      <c r="GM18" s="28">
        <f t="shared" si="54"/>
        <v>0</v>
      </c>
      <c r="GN18" s="60">
        <v>0</v>
      </c>
      <c r="GO18" s="28">
        <f t="shared" si="178"/>
        <v>0</v>
      </c>
      <c r="GP18" s="28">
        <f t="shared" si="179"/>
        <v>0</v>
      </c>
      <c r="GQ18" s="28">
        <f t="shared" si="180"/>
        <v>0</v>
      </c>
      <c r="GR18" s="28">
        <f t="shared" si="181"/>
        <v>0</v>
      </c>
      <c r="GS18" s="61">
        <f t="shared" si="182"/>
        <v>0</v>
      </c>
      <c r="GT18" s="61">
        <f t="shared" si="55"/>
        <v>0</v>
      </c>
      <c r="GU18" s="62"/>
      <c r="GV18" s="62"/>
      <c r="GW18" s="62"/>
      <c r="GX18" s="62"/>
      <c r="GY18" s="62"/>
      <c r="GZ18" s="63">
        <f t="shared" si="183"/>
        <v>0</v>
      </c>
      <c r="HA18" s="63">
        <f t="shared" si="184"/>
        <v>0</v>
      </c>
      <c r="HB18" s="63">
        <f t="shared" si="185"/>
        <v>0</v>
      </c>
      <c r="HC18" s="63">
        <f t="shared" si="186"/>
        <v>0</v>
      </c>
      <c r="HD18" s="63">
        <f t="shared" si="187"/>
        <v>0</v>
      </c>
      <c r="HE18" s="61">
        <f t="shared" si="188"/>
        <v>0</v>
      </c>
      <c r="HF18" s="64">
        <v>0</v>
      </c>
      <c r="HG18" s="65">
        <f t="shared" si="56"/>
        <v>0</v>
      </c>
      <c r="HH18" s="212">
        <f t="shared" si="57"/>
        <v>0</v>
      </c>
      <c r="HI18" s="49">
        <v>0</v>
      </c>
      <c r="HJ18" s="59"/>
      <c r="HK18" s="28">
        <f t="shared" si="58"/>
        <v>0</v>
      </c>
      <c r="HL18" s="60">
        <v>0</v>
      </c>
      <c r="HM18" s="28">
        <f t="shared" si="189"/>
        <v>0</v>
      </c>
      <c r="HN18" s="28">
        <f t="shared" si="190"/>
        <v>0</v>
      </c>
      <c r="HO18" s="28">
        <f t="shared" si="191"/>
        <v>0</v>
      </c>
      <c r="HP18" s="28">
        <f t="shared" si="192"/>
        <v>0</v>
      </c>
      <c r="HQ18" s="61">
        <f t="shared" si="193"/>
        <v>0</v>
      </c>
      <c r="HR18" s="61">
        <f t="shared" si="59"/>
        <v>0</v>
      </c>
      <c r="HS18" s="62"/>
      <c r="HT18" s="62"/>
      <c r="HU18" s="62"/>
      <c r="HV18" s="62"/>
      <c r="HW18" s="62"/>
      <c r="HX18" s="63">
        <f t="shared" si="194"/>
        <v>0</v>
      </c>
      <c r="HY18" s="63">
        <f t="shared" si="195"/>
        <v>0</v>
      </c>
      <c r="HZ18" s="63">
        <f t="shared" si="196"/>
        <v>0</v>
      </c>
      <c r="IA18" s="63">
        <f t="shared" si="197"/>
        <v>0</v>
      </c>
      <c r="IB18" s="63">
        <f t="shared" si="198"/>
        <v>0</v>
      </c>
      <c r="IC18" s="61">
        <f t="shared" si="199"/>
        <v>0</v>
      </c>
      <c r="ID18" s="64">
        <v>0</v>
      </c>
      <c r="IE18" s="65">
        <f t="shared" si="60"/>
        <v>0</v>
      </c>
      <c r="IF18" s="212">
        <f t="shared" si="61"/>
        <v>0</v>
      </c>
      <c r="IG18" s="49">
        <v>0</v>
      </c>
      <c r="IH18" s="59"/>
      <c r="II18" s="28">
        <f t="shared" si="62"/>
        <v>0</v>
      </c>
      <c r="IJ18" s="60">
        <v>0</v>
      </c>
      <c r="IK18" s="28">
        <f t="shared" si="63"/>
        <v>0</v>
      </c>
      <c r="IL18" s="28">
        <f t="shared" si="64"/>
        <v>0</v>
      </c>
      <c r="IM18" s="28">
        <f t="shared" si="65"/>
        <v>0</v>
      </c>
      <c r="IN18" s="28">
        <f t="shared" si="66"/>
        <v>0</v>
      </c>
      <c r="IO18" s="61">
        <f t="shared" si="67"/>
        <v>0</v>
      </c>
      <c r="IP18" s="61">
        <f t="shared" si="68"/>
        <v>0</v>
      </c>
      <c r="IQ18" s="62"/>
      <c r="IR18" s="62"/>
      <c r="IS18" s="62"/>
      <c r="IT18" s="62"/>
      <c r="IU18" s="62"/>
      <c r="IV18" s="63">
        <f t="shared" si="69"/>
        <v>0</v>
      </c>
      <c r="IW18" s="63">
        <f t="shared" si="70"/>
        <v>0</v>
      </c>
      <c r="IX18" s="63">
        <f t="shared" si="71"/>
        <v>0</v>
      </c>
      <c r="IY18" s="63">
        <f t="shared" si="72"/>
        <v>0</v>
      </c>
      <c r="IZ18" s="63">
        <f t="shared" si="73"/>
        <v>0</v>
      </c>
      <c r="JA18" s="61">
        <f t="shared" si="200"/>
        <v>0</v>
      </c>
      <c r="JB18" s="64">
        <v>0</v>
      </c>
      <c r="JC18" s="65">
        <f t="shared" si="74"/>
        <v>0</v>
      </c>
      <c r="JD18" s="476">
        <f t="shared" si="75"/>
        <v>0</v>
      </c>
      <c r="JE18" s="49">
        <v>0</v>
      </c>
      <c r="JF18" s="59"/>
      <c r="JG18" s="28">
        <f t="shared" si="76"/>
        <v>0</v>
      </c>
      <c r="JH18" s="60">
        <v>0</v>
      </c>
      <c r="JI18" s="28">
        <f t="shared" si="77"/>
        <v>0</v>
      </c>
      <c r="JJ18" s="28">
        <f t="shared" si="78"/>
        <v>0</v>
      </c>
      <c r="JK18" s="28">
        <f t="shared" si="79"/>
        <v>0</v>
      </c>
      <c r="JL18" s="28">
        <f t="shared" si="80"/>
        <v>0</v>
      </c>
      <c r="JM18" s="61">
        <f t="shared" si="81"/>
        <v>0</v>
      </c>
      <c r="JN18" s="61">
        <f t="shared" si="82"/>
        <v>0</v>
      </c>
      <c r="JO18" s="62"/>
      <c r="JP18" s="62"/>
      <c r="JQ18" s="62"/>
      <c r="JR18" s="62"/>
      <c r="JS18" s="62"/>
      <c r="JT18" s="63">
        <f t="shared" si="83"/>
        <v>0</v>
      </c>
      <c r="JU18" s="63">
        <f t="shared" si="84"/>
        <v>0</v>
      </c>
      <c r="JV18" s="63">
        <f t="shared" si="85"/>
        <v>0</v>
      </c>
      <c r="JW18" s="63">
        <f t="shared" si="86"/>
        <v>0</v>
      </c>
      <c r="JX18" s="63">
        <f t="shared" si="87"/>
        <v>0</v>
      </c>
      <c r="JY18" s="61">
        <f t="shared" si="201"/>
        <v>0</v>
      </c>
      <c r="JZ18" s="64">
        <v>0</v>
      </c>
      <c r="KA18" s="65">
        <f t="shared" si="88"/>
        <v>0</v>
      </c>
      <c r="KB18" s="476">
        <f t="shared" si="89"/>
        <v>0</v>
      </c>
      <c r="KC18" s="37"/>
      <c r="KD18" s="37"/>
      <c r="KE18" s="37"/>
      <c r="KF18" s="37"/>
      <c r="KG18" s="37"/>
      <c r="KH18" s="37"/>
      <c r="KI18" s="37"/>
      <c r="KJ18" s="37"/>
    </row>
    <row r="19" spans="1:296" x14ac:dyDescent="0.3">
      <c r="A19" s="49">
        <v>0</v>
      </c>
      <c r="B19" s="59"/>
      <c r="C19" s="28">
        <f t="shared" si="22"/>
        <v>0</v>
      </c>
      <c r="D19" s="60">
        <v>0</v>
      </c>
      <c r="E19" s="28">
        <f t="shared" si="90"/>
        <v>0</v>
      </c>
      <c r="F19" s="28">
        <f t="shared" si="91"/>
        <v>0</v>
      </c>
      <c r="G19" s="28">
        <f t="shared" si="92"/>
        <v>0</v>
      </c>
      <c r="H19" s="28">
        <f t="shared" si="93"/>
        <v>0</v>
      </c>
      <c r="I19" s="61">
        <f t="shared" si="94"/>
        <v>0</v>
      </c>
      <c r="J19" s="61">
        <f t="shared" si="23"/>
        <v>0</v>
      </c>
      <c r="K19" s="62"/>
      <c r="L19" s="62"/>
      <c r="M19" s="62"/>
      <c r="N19" s="62"/>
      <c r="O19" s="62"/>
      <c r="P19" s="63">
        <f t="shared" si="95"/>
        <v>0</v>
      </c>
      <c r="Q19" s="63">
        <f t="shared" si="96"/>
        <v>0</v>
      </c>
      <c r="R19" s="63">
        <f t="shared" si="97"/>
        <v>0</v>
      </c>
      <c r="S19" s="63">
        <f t="shared" si="98"/>
        <v>0</v>
      </c>
      <c r="T19" s="63">
        <f t="shared" si="99"/>
        <v>0</v>
      </c>
      <c r="U19" s="61">
        <f t="shared" si="100"/>
        <v>0</v>
      </c>
      <c r="V19" s="64">
        <v>0</v>
      </c>
      <c r="W19" s="65">
        <f t="shared" si="24"/>
        <v>0</v>
      </c>
      <c r="X19" s="212">
        <f t="shared" si="25"/>
        <v>0</v>
      </c>
      <c r="Y19" s="49">
        <v>0</v>
      </c>
      <c r="Z19" s="59"/>
      <c r="AA19" s="28">
        <f t="shared" si="26"/>
        <v>0</v>
      </c>
      <c r="AB19" s="60">
        <v>0</v>
      </c>
      <c r="AC19" s="28">
        <f t="shared" si="101"/>
        <v>0</v>
      </c>
      <c r="AD19" s="28">
        <f t="shared" si="102"/>
        <v>0</v>
      </c>
      <c r="AE19" s="28">
        <f t="shared" si="103"/>
        <v>0</v>
      </c>
      <c r="AF19" s="28">
        <f t="shared" si="104"/>
        <v>0</v>
      </c>
      <c r="AG19" s="61">
        <f t="shared" si="105"/>
        <v>0</v>
      </c>
      <c r="AH19" s="61">
        <f t="shared" si="27"/>
        <v>0</v>
      </c>
      <c r="AI19" s="62"/>
      <c r="AJ19" s="62"/>
      <c r="AK19" s="62"/>
      <c r="AL19" s="62"/>
      <c r="AM19" s="62"/>
      <c r="AN19" s="63">
        <f t="shared" si="106"/>
        <v>0</v>
      </c>
      <c r="AO19" s="63">
        <f t="shared" si="107"/>
        <v>0</v>
      </c>
      <c r="AP19" s="63">
        <f t="shared" si="108"/>
        <v>0</v>
      </c>
      <c r="AQ19" s="63">
        <f t="shared" si="109"/>
        <v>0</v>
      </c>
      <c r="AR19" s="63">
        <f t="shared" si="110"/>
        <v>0</v>
      </c>
      <c r="AS19" s="61">
        <f t="shared" si="111"/>
        <v>0</v>
      </c>
      <c r="AT19" s="64">
        <v>0</v>
      </c>
      <c r="AU19" s="65">
        <f t="shared" si="28"/>
        <v>0</v>
      </c>
      <c r="AV19" s="212">
        <f t="shared" si="29"/>
        <v>0</v>
      </c>
      <c r="AW19" s="49">
        <v>0</v>
      </c>
      <c r="AX19" s="59"/>
      <c r="AY19" s="28">
        <f t="shared" si="30"/>
        <v>0</v>
      </c>
      <c r="AZ19" s="60">
        <v>0</v>
      </c>
      <c r="BA19" s="28">
        <f t="shared" si="112"/>
        <v>0</v>
      </c>
      <c r="BB19" s="28">
        <f t="shared" si="113"/>
        <v>0</v>
      </c>
      <c r="BC19" s="28">
        <f t="shared" si="114"/>
        <v>0</v>
      </c>
      <c r="BD19" s="28">
        <f t="shared" si="115"/>
        <v>0</v>
      </c>
      <c r="BE19" s="61">
        <f t="shared" si="116"/>
        <v>0</v>
      </c>
      <c r="BF19" s="61">
        <f t="shared" si="31"/>
        <v>0</v>
      </c>
      <c r="BG19" s="62"/>
      <c r="BH19" s="62"/>
      <c r="BI19" s="62"/>
      <c r="BJ19" s="62"/>
      <c r="BK19" s="62"/>
      <c r="BL19" s="63">
        <f t="shared" si="117"/>
        <v>0</v>
      </c>
      <c r="BM19" s="63">
        <f t="shared" si="118"/>
        <v>0</v>
      </c>
      <c r="BN19" s="63">
        <f t="shared" si="119"/>
        <v>0</v>
      </c>
      <c r="BO19" s="63">
        <f t="shared" si="120"/>
        <v>0</v>
      </c>
      <c r="BP19" s="63">
        <f t="shared" si="121"/>
        <v>0</v>
      </c>
      <c r="BQ19" s="61">
        <f t="shared" si="122"/>
        <v>0</v>
      </c>
      <c r="BR19" s="64">
        <v>0</v>
      </c>
      <c r="BS19" s="65">
        <f t="shared" si="32"/>
        <v>0</v>
      </c>
      <c r="BT19" s="212">
        <f t="shared" si="33"/>
        <v>0</v>
      </c>
      <c r="BU19" s="49">
        <v>0</v>
      </c>
      <c r="BV19" s="59"/>
      <c r="BW19" s="28">
        <f t="shared" si="34"/>
        <v>0</v>
      </c>
      <c r="BX19" s="60">
        <v>0</v>
      </c>
      <c r="BY19" s="28">
        <f t="shared" si="123"/>
        <v>0</v>
      </c>
      <c r="BZ19" s="28">
        <f t="shared" si="124"/>
        <v>0</v>
      </c>
      <c r="CA19" s="28">
        <f t="shared" si="125"/>
        <v>0</v>
      </c>
      <c r="CB19" s="28">
        <f t="shared" si="126"/>
        <v>0</v>
      </c>
      <c r="CC19" s="61">
        <f t="shared" si="127"/>
        <v>0</v>
      </c>
      <c r="CD19" s="61">
        <f t="shared" si="35"/>
        <v>0</v>
      </c>
      <c r="CE19" s="62"/>
      <c r="CF19" s="62"/>
      <c r="CG19" s="62"/>
      <c r="CH19" s="62"/>
      <c r="CI19" s="62"/>
      <c r="CJ19" s="63">
        <f t="shared" si="128"/>
        <v>0</v>
      </c>
      <c r="CK19" s="63">
        <f t="shared" si="129"/>
        <v>0</v>
      </c>
      <c r="CL19" s="63">
        <f t="shared" si="130"/>
        <v>0</v>
      </c>
      <c r="CM19" s="63">
        <f t="shared" si="131"/>
        <v>0</v>
      </c>
      <c r="CN19" s="63">
        <f t="shared" si="132"/>
        <v>0</v>
      </c>
      <c r="CO19" s="61">
        <f t="shared" si="133"/>
        <v>0</v>
      </c>
      <c r="CP19" s="64">
        <v>0</v>
      </c>
      <c r="CQ19" s="65">
        <f t="shared" si="36"/>
        <v>0</v>
      </c>
      <c r="CR19" s="212">
        <f t="shared" si="37"/>
        <v>0</v>
      </c>
      <c r="CS19" s="49">
        <v>0</v>
      </c>
      <c r="CT19" s="59"/>
      <c r="CU19" s="28">
        <f t="shared" si="38"/>
        <v>0</v>
      </c>
      <c r="CV19" s="60">
        <v>0</v>
      </c>
      <c r="CW19" s="28">
        <f t="shared" si="134"/>
        <v>0</v>
      </c>
      <c r="CX19" s="28">
        <f t="shared" si="135"/>
        <v>0</v>
      </c>
      <c r="CY19" s="28">
        <f t="shared" si="136"/>
        <v>0</v>
      </c>
      <c r="CZ19" s="28">
        <f t="shared" si="137"/>
        <v>0</v>
      </c>
      <c r="DA19" s="61">
        <f t="shared" si="138"/>
        <v>0</v>
      </c>
      <c r="DB19" s="61">
        <f t="shared" si="39"/>
        <v>0</v>
      </c>
      <c r="DC19" s="62"/>
      <c r="DD19" s="62"/>
      <c r="DE19" s="62"/>
      <c r="DF19" s="62"/>
      <c r="DG19" s="62"/>
      <c r="DH19" s="63">
        <f t="shared" si="139"/>
        <v>0</v>
      </c>
      <c r="DI19" s="63">
        <f t="shared" si="140"/>
        <v>0</v>
      </c>
      <c r="DJ19" s="63">
        <f t="shared" si="141"/>
        <v>0</v>
      </c>
      <c r="DK19" s="63">
        <f t="shared" si="142"/>
        <v>0</v>
      </c>
      <c r="DL19" s="63">
        <f t="shared" si="143"/>
        <v>0</v>
      </c>
      <c r="DM19" s="61">
        <f t="shared" si="144"/>
        <v>0</v>
      </c>
      <c r="DN19" s="64">
        <v>0</v>
      </c>
      <c r="DO19" s="65">
        <f t="shared" si="40"/>
        <v>0</v>
      </c>
      <c r="DP19" s="212">
        <f t="shared" si="41"/>
        <v>0</v>
      </c>
      <c r="DQ19" s="49">
        <v>0</v>
      </c>
      <c r="DR19" s="59"/>
      <c r="DS19" s="28">
        <f t="shared" si="42"/>
        <v>0</v>
      </c>
      <c r="DT19" s="60">
        <v>0</v>
      </c>
      <c r="DU19" s="28">
        <f t="shared" si="145"/>
        <v>0</v>
      </c>
      <c r="DV19" s="28">
        <f t="shared" si="146"/>
        <v>0</v>
      </c>
      <c r="DW19" s="28">
        <f t="shared" si="147"/>
        <v>0</v>
      </c>
      <c r="DX19" s="28">
        <f t="shared" si="148"/>
        <v>0</v>
      </c>
      <c r="DY19" s="61">
        <f t="shared" si="149"/>
        <v>0</v>
      </c>
      <c r="DZ19" s="61">
        <f t="shared" si="43"/>
        <v>0</v>
      </c>
      <c r="EA19" s="62"/>
      <c r="EB19" s="62"/>
      <c r="EC19" s="62"/>
      <c r="ED19" s="62"/>
      <c r="EE19" s="62"/>
      <c r="EF19" s="63">
        <f t="shared" si="150"/>
        <v>0</v>
      </c>
      <c r="EG19" s="63">
        <f t="shared" si="151"/>
        <v>0</v>
      </c>
      <c r="EH19" s="63">
        <f t="shared" si="152"/>
        <v>0</v>
      </c>
      <c r="EI19" s="63">
        <f t="shared" si="153"/>
        <v>0</v>
      </c>
      <c r="EJ19" s="63">
        <f t="shared" si="154"/>
        <v>0</v>
      </c>
      <c r="EK19" s="61">
        <f t="shared" si="155"/>
        <v>0</v>
      </c>
      <c r="EL19" s="64">
        <v>0</v>
      </c>
      <c r="EM19" s="65">
        <f t="shared" si="44"/>
        <v>0</v>
      </c>
      <c r="EN19" s="212">
        <f t="shared" si="45"/>
        <v>0</v>
      </c>
      <c r="EO19" s="49">
        <v>0</v>
      </c>
      <c r="EP19" s="59"/>
      <c r="EQ19" s="28">
        <f t="shared" si="46"/>
        <v>0</v>
      </c>
      <c r="ER19" s="60">
        <v>0</v>
      </c>
      <c r="ES19" s="28">
        <f t="shared" si="156"/>
        <v>0</v>
      </c>
      <c r="ET19" s="28">
        <f t="shared" si="157"/>
        <v>0</v>
      </c>
      <c r="EU19" s="28">
        <f t="shared" si="158"/>
        <v>0</v>
      </c>
      <c r="EV19" s="28">
        <f t="shared" si="159"/>
        <v>0</v>
      </c>
      <c r="EW19" s="61">
        <f t="shared" si="160"/>
        <v>0</v>
      </c>
      <c r="EX19" s="61">
        <f t="shared" si="47"/>
        <v>0</v>
      </c>
      <c r="EY19" s="62"/>
      <c r="EZ19" s="62"/>
      <c r="FA19" s="62"/>
      <c r="FB19" s="62"/>
      <c r="FC19" s="62"/>
      <c r="FD19" s="63">
        <f t="shared" si="161"/>
        <v>0</v>
      </c>
      <c r="FE19" s="63">
        <f t="shared" si="162"/>
        <v>0</v>
      </c>
      <c r="FF19" s="63">
        <f t="shared" si="163"/>
        <v>0</v>
      </c>
      <c r="FG19" s="63">
        <f t="shared" si="164"/>
        <v>0</v>
      </c>
      <c r="FH19" s="63">
        <f t="shared" si="165"/>
        <v>0</v>
      </c>
      <c r="FI19" s="61">
        <f t="shared" si="166"/>
        <v>0</v>
      </c>
      <c r="FJ19" s="64">
        <v>0</v>
      </c>
      <c r="FK19" s="65">
        <f t="shared" si="48"/>
        <v>0</v>
      </c>
      <c r="FL19" s="212">
        <f t="shared" si="49"/>
        <v>0</v>
      </c>
      <c r="FM19" s="49">
        <v>0</v>
      </c>
      <c r="FN19" s="59"/>
      <c r="FO19" s="28">
        <f t="shared" si="50"/>
        <v>0</v>
      </c>
      <c r="FP19" s="60">
        <v>0</v>
      </c>
      <c r="FQ19" s="28">
        <f t="shared" si="167"/>
        <v>0</v>
      </c>
      <c r="FR19" s="28">
        <f t="shared" si="168"/>
        <v>0</v>
      </c>
      <c r="FS19" s="28">
        <f t="shared" si="169"/>
        <v>0</v>
      </c>
      <c r="FT19" s="28">
        <f t="shared" si="170"/>
        <v>0</v>
      </c>
      <c r="FU19" s="61">
        <f t="shared" si="171"/>
        <v>0</v>
      </c>
      <c r="FV19" s="61">
        <f t="shared" si="51"/>
        <v>0</v>
      </c>
      <c r="FW19" s="62"/>
      <c r="FX19" s="62"/>
      <c r="FY19" s="62"/>
      <c r="FZ19" s="62"/>
      <c r="GA19" s="62"/>
      <c r="GB19" s="63">
        <f t="shared" si="172"/>
        <v>0</v>
      </c>
      <c r="GC19" s="63">
        <f t="shared" si="173"/>
        <v>0</v>
      </c>
      <c r="GD19" s="63">
        <f t="shared" si="174"/>
        <v>0</v>
      </c>
      <c r="GE19" s="63">
        <f t="shared" si="175"/>
        <v>0</v>
      </c>
      <c r="GF19" s="63">
        <f t="shared" si="176"/>
        <v>0</v>
      </c>
      <c r="GG19" s="61">
        <f t="shared" si="177"/>
        <v>0</v>
      </c>
      <c r="GH19" s="64">
        <v>0</v>
      </c>
      <c r="GI19" s="65">
        <f t="shared" si="52"/>
        <v>0</v>
      </c>
      <c r="GJ19" s="212">
        <f t="shared" si="53"/>
        <v>0</v>
      </c>
      <c r="GK19" s="49">
        <v>0</v>
      </c>
      <c r="GL19" s="59"/>
      <c r="GM19" s="28">
        <f t="shared" si="54"/>
        <v>0</v>
      </c>
      <c r="GN19" s="60">
        <v>0</v>
      </c>
      <c r="GO19" s="28">
        <f t="shared" si="178"/>
        <v>0</v>
      </c>
      <c r="GP19" s="28">
        <f t="shared" si="179"/>
        <v>0</v>
      </c>
      <c r="GQ19" s="28">
        <f t="shared" si="180"/>
        <v>0</v>
      </c>
      <c r="GR19" s="28">
        <f t="shared" si="181"/>
        <v>0</v>
      </c>
      <c r="GS19" s="61">
        <f t="shared" si="182"/>
        <v>0</v>
      </c>
      <c r="GT19" s="61">
        <f t="shared" si="55"/>
        <v>0</v>
      </c>
      <c r="GU19" s="62"/>
      <c r="GV19" s="62"/>
      <c r="GW19" s="62"/>
      <c r="GX19" s="62"/>
      <c r="GY19" s="62"/>
      <c r="GZ19" s="63">
        <f t="shared" si="183"/>
        <v>0</v>
      </c>
      <c r="HA19" s="63">
        <f t="shared" si="184"/>
        <v>0</v>
      </c>
      <c r="HB19" s="63">
        <f t="shared" si="185"/>
        <v>0</v>
      </c>
      <c r="HC19" s="63">
        <f t="shared" si="186"/>
        <v>0</v>
      </c>
      <c r="HD19" s="63">
        <f t="shared" si="187"/>
        <v>0</v>
      </c>
      <c r="HE19" s="61">
        <f t="shared" si="188"/>
        <v>0</v>
      </c>
      <c r="HF19" s="64">
        <v>0</v>
      </c>
      <c r="HG19" s="65">
        <f t="shared" si="56"/>
        <v>0</v>
      </c>
      <c r="HH19" s="212">
        <f t="shared" si="57"/>
        <v>0</v>
      </c>
      <c r="HI19" s="49">
        <v>0</v>
      </c>
      <c r="HJ19" s="59"/>
      <c r="HK19" s="28">
        <f t="shared" si="58"/>
        <v>0</v>
      </c>
      <c r="HL19" s="60">
        <v>0</v>
      </c>
      <c r="HM19" s="28">
        <f t="shared" si="189"/>
        <v>0</v>
      </c>
      <c r="HN19" s="28">
        <f t="shared" si="190"/>
        <v>0</v>
      </c>
      <c r="HO19" s="28">
        <f t="shared" si="191"/>
        <v>0</v>
      </c>
      <c r="HP19" s="28">
        <f t="shared" si="192"/>
        <v>0</v>
      </c>
      <c r="HQ19" s="61">
        <f t="shared" si="193"/>
        <v>0</v>
      </c>
      <c r="HR19" s="61">
        <f t="shared" si="59"/>
        <v>0</v>
      </c>
      <c r="HS19" s="62"/>
      <c r="HT19" s="62"/>
      <c r="HU19" s="62"/>
      <c r="HV19" s="62"/>
      <c r="HW19" s="62"/>
      <c r="HX19" s="63">
        <f t="shared" si="194"/>
        <v>0</v>
      </c>
      <c r="HY19" s="63">
        <f t="shared" si="195"/>
        <v>0</v>
      </c>
      <c r="HZ19" s="63">
        <f t="shared" si="196"/>
        <v>0</v>
      </c>
      <c r="IA19" s="63">
        <f t="shared" si="197"/>
        <v>0</v>
      </c>
      <c r="IB19" s="63">
        <f t="shared" si="198"/>
        <v>0</v>
      </c>
      <c r="IC19" s="61">
        <f t="shared" si="199"/>
        <v>0</v>
      </c>
      <c r="ID19" s="64">
        <v>0</v>
      </c>
      <c r="IE19" s="65">
        <f t="shared" si="60"/>
        <v>0</v>
      </c>
      <c r="IF19" s="212">
        <f t="shared" si="61"/>
        <v>0</v>
      </c>
      <c r="IG19" s="49">
        <v>0</v>
      </c>
      <c r="IH19" s="59"/>
      <c r="II19" s="28">
        <f t="shared" si="62"/>
        <v>0</v>
      </c>
      <c r="IJ19" s="60">
        <v>0</v>
      </c>
      <c r="IK19" s="28">
        <f t="shared" si="63"/>
        <v>0</v>
      </c>
      <c r="IL19" s="28">
        <f t="shared" si="64"/>
        <v>0</v>
      </c>
      <c r="IM19" s="28">
        <f t="shared" si="65"/>
        <v>0</v>
      </c>
      <c r="IN19" s="28">
        <f t="shared" si="66"/>
        <v>0</v>
      </c>
      <c r="IO19" s="61">
        <f t="shared" si="67"/>
        <v>0</v>
      </c>
      <c r="IP19" s="61">
        <f t="shared" si="68"/>
        <v>0</v>
      </c>
      <c r="IQ19" s="62"/>
      <c r="IR19" s="62"/>
      <c r="IS19" s="62"/>
      <c r="IT19" s="62"/>
      <c r="IU19" s="62"/>
      <c r="IV19" s="63">
        <f t="shared" si="69"/>
        <v>0</v>
      </c>
      <c r="IW19" s="63">
        <f t="shared" si="70"/>
        <v>0</v>
      </c>
      <c r="IX19" s="63">
        <f t="shared" si="71"/>
        <v>0</v>
      </c>
      <c r="IY19" s="63">
        <f t="shared" si="72"/>
        <v>0</v>
      </c>
      <c r="IZ19" s="63">
        <f t="shared" si="73"/>
        <v>0</v>
      </c>
      <c r="JA19" s="61">
        <f t="shared" si="200"/>
        <v>0</v>
      </c>
      <c r="JB19" s="64">
        <v>0</v>
      </c>
      <c r="JC19" s="65">
        <f t="shared" si="74"/>
        <v>0</v>
      </c>
      <c r="JD19" s="476">
        <f t="shared" si="75"/>
        <v>0</v>
      </c>
      <c r="JE19" s="49">
        <v>0</v>
      </c>
      <c r="JF19" s="59"/>
      <c r="JG19" s="28">
        <f t="shared" si="76"/>
        <v>0</v>
      </c>
      <c r="JH19" s="60">
        <v>0</v>
      </c>
      <c r="JI19" s="28">
        <f t="shared" si="77"/>
        <v>0</v>
      </c>
      <c r="JJ19" s="28">
        <f t="shared" si="78"/>
        <v>0</v>
      </c>
      <c r="JK19" s="28">
        <f t="shared" si="79"/>
        <v>0</v>
      </c>
      <c r="JL19" s="28">
        <f t="shared" si="80"/>
        <v>0</v>
      </c>
      <c r="JM19" s="61">
        <f t="shared" si="81"/>
        <v>0</v>
      </c>
      <c r="JN19" s="61">
        <f t="shared" si="82"/>
        <v>0</v>
      </c>
      <c r="JO19" s="62"/>
      <c r="JP19" s="62"/>
      <c r="JQ19" s="62"/>
      <c r="JR19" s="62"/>
      <c r="JS19" s="62"/>
      <c r="JT19" s="63">
        <f t="shared" si="83"/>
        <v>0</v>
      </c>
      <c r="JU19" s="63">
        <f t="shared" si="84"/>
        <v>0</v>
      </c>
      <c r="JV19" s="63">
        <f t="shared" si="85"/>
        <v>0</v>
      </c>
      <c r="JW19" s="63">
        <f t="shared" si="86"/>
        <v>0</v>
      </c>
      <c r="JX19" s="63">
        <f t="shared" si="87"/>
        <v>0</v>
      </c>
      <c r="JY19" s="61">
        <f t="shared" si="201"/>
        <v>0</v>
      </c>
      <c r="JZ19" s="64">
        <v>0</v>
      </c>
      <c r="KA19" s="65">
        <f t="shared" si="88"/>
        <v>0</v>
      </c>
      <c r="KB19" s="476">
        <f t="shared" si="89"/>
        <v>0</v>
      </c>
      <c r="KC19" s="37"/>
      <c r="KD19" s="37"/>
      <c r="KE19" s="37"/>
      <c r="KF19" s="37"/>
      <c r="KG19" s="37"/>
      <c r="KH19" s="37"/>
      <c r="KI19" s="37"/>
      <c r="KJ19" s="37"/>
    </row>
    <row r="20" spans="1:296" ht="15.6" x14ac:dyDescent="0.3">
      <c r="A20" s="385"/>
      <c r="B20" s="383"/>
      <c r="C20" s="383"/>
      <c r="D20" s="383"/>
      <c r="E20" s="383"/>
      <c r="F20" s="383"/>
      <c r="G20" s="383"/>
      <c r="H20" s="383"/>
      <c r="I20" s="383"/>
      <c r="J20" s="383"/>
      <c r="K20" s="383"/>
      <c r="L20" s="383"/>
      <c r="M20" s="383"/>
      <c r="N20" s="383"/>
      <c r="O20" s="383"/>
      <c r="P20" s="383"/>
      <c r="Q20" s="383"/>
      <c r="R20" s="383"/>
      <c r="S20" s="383"/>
      <c r="T20" s="383"/>
      <c r="U20" s="383"/>
      <c r="V20" s="384"/>
      <c r="W20" s="272" t="s">
        <v>7</v>
      </c>
      <c r="X20" s="213">
        <f>SUM(X14:X19)</f>
        <v>5410.4043444444451</v>
      </c>
      <c r="Y20" s="385"/>
      <c r="Z20" s="383"/>
      <c r="AA20" s="383"/>
      <c r="AB20" s="383"/>
      <c r="AC20" s="383"/>
      <c r="AD20" s="383"/>
      <c r="AE20" s="383"/>
      <c r="AF20" s="383"/>
      <c r="AG20" s="383"/>
      <c r="AH20" s="383"/>
      <c r="AI20" s="383"/>
      <c r="AJ20" s="383"/>
      <c r="AK20" s="383"/>
      <c r="AL20" s="383"/>
      <c r="AM20" s="383"/>
      <c r="AN20" s="383"/>
      <c r="AO20" s="383"/>
      <c r="AP20" s="383"/>
      <c r="AQ20" s="383"/>
      <c r="AR20" s="383"/>
      <c r="AS20" s="383"/>
      <c r="AT20" s="384"/>
      <c r="AU20" s="272" t="s">
        <v>7</v>
      </c>
      <c r="AV20" s="213">
        <f>SUM(AV14:AV19)</f>
        <v>5410.4043444444451</v>
      </c>
      <c r="AW20" s="385"/>
      <c r="AX20" s="383"/>
      <c r="AY20" s="383"/>
      <c r="AZ20" s="383"/>
      <c r="BA20" s="383"/>
      <c r="BB20" s="383"/>
      <c r="BC20" s="383"/>
      <c r="BD20" s="383"/>
      <c r="BE20" s="383"/>
      <c r="BF20" s="383"/>
      <c r="BG20" s="383"/>
      <c r="BH20" s="383"/>
      <c r="BI20" s="383"/>
      <c r="BJ20" s="383"/>
      <c r="BK20" s="383"/>
      <c r="BL20" s="383"/>
      <c r="BM20" s="383"/>
      <c r="BN20" s="383"/>
      <c r="BO20" s="383"/>
      <c r="BP20" s="383"/>
      <c r="BQ20" s="383"/>
      <c r="BR20" s="384"/>
      <c r="BS20" s="272" t="s">
        <v>7</v>
      </c>
      <c r="BT20" s="213">
        <f>SUM(BT14:BT19)</f>
        <v>5410.4043444444451</v>
      </c>
      <c r="BU20" s="385"/>
      <c r="BV20" s="383"/>
      <c r="BW20" s="383"/>
      <c r="BX20" s="383"/>
      <c r="BY20" s="383"/>
      <c r="BZ20" s="383"/>
      <c r="CA20" s="383"/>
      <c r="CB20" s="383"/>
      <c r="CC20" s="383"/>
      <c r="CD20" s="383"/>
      <c r="CE20" s="383"/>
      <c r="CF20" s="383"/>
      <c r="CG20" s="383"/>
      <c r="CH20" s="383"/>
      <c r="CI20" s="383"/>
      <c r="CJ20" s="383"/>
      <c r="CK20" s="383"/>
      <c r="CL20" s="383"/>
      <c r="CM20" s="383"/>
      <c r="CN20" s="383"/>
      <c r="CO20" s="383"/>
      <c r="CP20" s="384"/>
      <c r="CQ20" s="272" t="s">
        <v>7</v>
      </c>
      <c r="CR20" s="213">
        <f>SUM(CR14:CR19)</f>
        <v>5410.4043444444451</v>
      </c>
      <c r="CS20" s="385"/>
      <c r="CT20" s="383"/>
      <c r="CU20" s="383"/>
      <c r="CV20" s="383"/>
      <c r="CW20" s="383"/>
      <c r="CX20" s="383"/>
      <c r="CY20" s="383"/>
      <c r="CZ20" s="383"/>
      <c r="DA20" s="383"/>
      <c r="DB20" s="383"/>
      <c r="DC20" s="383"/>
      <c r="DD20" s="383"/>
      <c r="DE20" s="383"/>
      <c r="DF20" s="383"/>
      <c r="DG20" s="383"/>
      <c r="DH20" s="383"/>
      <c r="DI20" s="383"/>
      <c r="DJ20" s="383"/>
      <c r="DK20" s="383"/>
      <c r="DL20" s="383"/>
      <c r="DM20" s="383"/>
      <c r="DN20" s="384"/>
      <c r="DO20" s="272" t="s">
        <v>7</v>
      </c>
      <c r="DP20" s="213">
        <f>SUM(DP14:DP19)</f>
        <v>5410.4043444444451</v>
      </c>
      <c r="DQ20" s="385"/>
      <c r="DR20" s="383"/>
      <c r="DS20" s="383"/>
      <c r="DT20" s="383"/>
      <c r="DU20" s="383"/>
      <c r="DV20" s="383"/>
      <c r="DW20" s="383"/>
      <c r="DX20" s="383"/>
      <c r="DY20" s="383"/>
      <c r="DZ20" s="383"/>
      <c r="EA20" s="383"/>
      <c r="EB20" s="383"/>
      <c r="EC20" s="383"/>
      <c r="ED20" s="383"/>
      <c r="EE20" s="383"/>
      <c r="EF20" s="383"/>
      <c r="EG20" s="383"/>
      <c r="EH20" s="383"/>
      <c r="EI20" s="383"/>
      <c r="EJ20" s="383"/>
      <c r="EK20" s="383"/>
      <c r="EL20" s="384"/>
      <c r="EM20" s="272" t="s">
        <v>7</v>
      </c>
      <c r="EN20" s="213">
        <f>SUM(EN14:EN19)</f>
        <v>5410.4043444444451</v>
      </c>
      <c r="EO20" s="385"/>
      <c r="EP20" s="383"/>
      <c r="EQ20" s="383"/>
      <c r="ER20" s="383"/>
      <c r="ES20" s="383"/>
      <c r="ET20" s="383"/>
      <c r="EU20" s="383"/>
      <c r="EV20" s="383"/>
      <c r="EW20" s="383"/>
      <c r="EX20" s="383"/>
      <c r="EY20" s="383"/>
      <c r="EZ20" s="383"/>
      <c r="FA20" s="383"/>
      <c r="FB20" s="383"/>
      <c r="FC20" s="383"/>
      <c r="FD20" s="383"/>
      <c r="FE20" s="383"/>
      <c r="FF20" s="383"/>
      <c r="FG20" s="383"/>
      <c r="FH20" s="383"/>
      <c r="FI20" s="383"/>
      <c r="FJ20" s="384"/>
      <c r="FK20" s="272" t="s">
        <v>7</v>
      </c>
      <c r="FL20" s="213">
        <f>SUM(FL14:FL19)</f>
        <v>5410.4043444444451</v>
      </c>
      <c r="FM20" s="385"/>
      <c r="FN20" s="383"/>
      <c r="FO20" s="383"/>
      <c r="FP20" s="383"/>
      <c r="FQ20" s="383"/>
      <c r="FR20" s="383"/>
      <c r="FS20" s="383"/>
      <c r="FT20" s="383"/>
      <c r="FU20" s="383"/>
      <c r="FV20" s="383"/>
      <c r="FW20" s="383"/>
      <c r="FX20" s="383"/>
      <c r="FY20" s="383"/>
      <c r="FZ20" s="383"/>
      <c r="GA20" s="383"/>
      <c r="GB20" s="383"/>
      <c r="GC20" s="383"/>
      <c r="GD20" s="383"/>
      <c r="GE20" s="383"/>
      <c r="GF20" s="383"/>
      <c r="GG20" s="383"/>
      <c r="GH20" s="384"/>
      <c r="GI20" s="272" t="s">
        <v>7</v>
      </c>
      <c r="GJ20" s="213">
        <f>SUM(GJ14:GJ19)</f>
        <v>5410.4043444444451</v>
      </c>
      <c r="GK20" s="385"/>
      <c r="GL20" s="383"/>
      <c r="GM20" s="383"/>
      <c r="GN20" s="383"/>
      <c r="GO20" s="383"/>
      <c r="GP20" s="383"/>
      <c r="GQ20" s="383"/>
      <c r="GR20" s="383"/>
      <c r="GS20" s="383"/>
      <c r="GT20" s="383"/>
      <c r="GU20" s="383"/>
      <c r="GV20" s="383"/>
      <c r="GW20" s="383"/>
      <c r="GX20" s="383"/>
      <c r="GY20" s="383"/>
      <c r="GZ20" s="383"/>
      <c r="HA20" s="383"/>
      <c r="HB20" s="383"/>
      <c r="HC20" s="383"/>
      <c r="HD20" s="383"/>
      <c r="HE20" s="383"/>
      <c r="HF20" s="384"/>
      <c r="HG20" s="272" t="s">
        <v>7</v>
      </c>
      <c r="HH20" s="213">
        <f>SUM(HH14:HH19)</f>
        <v>5410.4043444444451</v>
      </c>
      <c r="HI20" s="385"/>
      <c r="HJ20" s="383"/>
      <c r="HK20" s="383"/>
      <c r="HL20" s="383"/>
      <c r="HM20" s="383"/>
      <c r="HN20" s="383"/>
      <c r="HO20" s="383"/>
      <c r="HP20" s="383"/>
      <c r="HQ20" s="383"/>
      <c r="HR20" s="383"/>
      <c r="HS20" s="383"/>
      <c r="HT20" s="383"/>
      <c r="HU20" s="383"/>
      <c r="HV20" s="383"/>
      <c r="HW20" s="383"/>
      <c r="HX20" s="383"/>
      <c r="HY20" s="383"/>
      <c r="HZ20" s="383"/>
      <c r="IA20" s="383"/>
      <c r="IB20" s="383"/>
      <c r="IC20" s="383"/>
      <c r="ID20" s="384"/>
      <c r="IE20" s="272" t="s">
        <v>7</v>
      </c>
      <c r="IF20" s="213">
        <f>SUM(IF14:IF19)</f>
        <v>5410.4043444444451</v>
      </c>
      <c r="IG20" s="385"/>
      <c r="IH20" s="383"/>
      <c r="II20" s="383"/>
      <c r="IJ20" s="383"/>
      <c r="IK20" s="383"/>
      <c r="IL20" s="383"/>
      <c r="IM20" s="383"/>
      <c r="IN20" s="383"/>
      <c r="IO20" s="383"/>
      <c r="IP20" s="383"/>
      <c r="IQ20" s="383"/>
      <c r="IR20" s="383"/>
      <c r="IS20" s="383"/>
      <c r="IT20" s="383"/>
      <c r="IU20" s="383"/>
      <c r="IV20" s="383"/>
      <c r="IW20" s="383"/>
      <c r="IX20" s="383"/>
      <c r="IY20" s="383"/>
      <c r="IZ20" s="383"/>
      <c r="JA20" s="383"/>
      <c r="JB20" s="384"/>
      <c r="JC20" s="272" t="s">
        <v>7</v>
      </c>
      <c r="JD20" s="470">
        <f>SUM(JD14:JD19)</f>
        <v>5410.4043444444451</v>
      </c>
      <c r="JE20" s="385"/>
      <c r="JF20" s="383"/>
      <c r="JG20" s="383"/>
      <c r="JH20" s="383"/>
      <c r="JI20" s="383"/>
      <c r="JJ20" s="383"/>
      <c r="JK20" s="383"/>
      <c r="JL20" s="383"/>
      <c r="JM20" s="383"/>
      <c r="JN20" s="383"/>
      <c r="JO20" s="383"/>
      <c r="JP20" s="383"/>
      <c r="JQ20" s="383"/>
      <c r="JR20" s="383"/>
      <c r="JS20" s="383"/>
      <c r="JT20" s="383"/>
      <c r="JU20" s="383"/>
      <c r="JV20" s="383"/>
      <c r="JW20" s="383"/>
      <c r="JX20" s="383"/>
      <c r="JY20" s="383"/>
      <c r="JZ20" s="384"/>
      <c r="KA20" s="272" t="s">
        <v>7</v>
      </c>
      <c r="KB20" s="470">
        <f>SUM(KB14:KB19)</f>
        <v>5410.4043444444451</v>
      </c>
      <c r="KC20" s="37"/>
      <c r="KD20" s="37"/>
      <c r="KE20" s="37"/>
      <c r="KF20" s="37"/>
      <c r="KG20" s="37"/>
      <c r="KH20" s="37"/>
      <c r="KI20" s="37"/>
      <c r="KJ20" s="37"/>
    </row>
    <row r="21" spans="1:296" ht="28.95" customHeight="1" x14ac:dyDescent="0.3">
      <c r="A21" s="39"/>
      <c r="B21" s="50" t="s">
        <v>34</v>
      </c>
      <c r="C21" s="51" t="s">
        <v>35</v>
      </c>
      <c r="D21" s="51" t="s">
        <v>36</v>
      </c>
      <c r="E21" s="52">
        <v>0.1</v>
      </c>
      <c r="F21" s="52">
        <v>0.08</v>
      </c>
      <c r="G21" s="53" t="s">
        <v>37</v>
      </c>
      <c r="H21" s="51">
        <v>3</v>
      </c>
      <c r="I21" s="54">
        <v>12</v>
      </c>
      <c r="J21" s="55" t="s">
        <v>38</v>
      </c>
      <c r="K21" s="55">
        <v>0.5</v>
      </c>
      <c r="L21" s="55">
        <v>0.6</v>
      </c>
      <c r="M21" s="55">
        <v>0.8</v>
      </c>
      <c r="N21" s="55">
        <v>1</v>
      </c>
      <c r="O21" s="55">
        <v>1.5</v>
      </c>
      <c r="P21" s="56">
        <v>1.5</v>
      </c>
      <c r="Q21" s="56">
        <v>1.6</v>
      </c>
      <c r="R21" s="56">
        <v>1.8</v>
      </c>
      <c r="S21" s="57">
        <v>2</v>
      </c>
      <c r="T21" s="57">
        <v>2.5</v>
      </c>
      <c r="U21" s="55" t="s">
        <v>38</v>
      </c>
      <c r="V21" s="55" t="s">
        <v>38</v>
      </c>
      <c r="W21" s="55">
        <v>0.2</v>
      </c>
      <c r="X21" s="211" t="s">
        <v>38</v>
      </c>
      <c r="Y21" s="39"/>
      <c r="Z21" s="50" t="s">
        <v>34</v>
      </c>
      <c r="AA21" s="51" t="s">
        <v>35</v>
      </c>
      <c r="AB21" s="51" t="s">
        <v>36</v>
      </c>
      <c r="AC21" s="52">
        <v>0.1</v>
      </c>
      <c r="AD21" s="52">
        <v>0.08</v>
      </c>
      <c r="AE21" s="53" t="s">
        <v>37</v>
      </c>
      <c r="AF21" s="51">
        <v>3</v>
      </c>
      <c r="AG21" s="54">
        <v>12</v>
      </c>
      <c r="AH21" s="55" t="s">
        <v>38</v>
      </c>
      <c r="AI21" s="55">
        <v>0.5</v>
      </c>
      <c r="AJ21" s="55">
        <v>0.6</v>
      </c>
      <c r="AK21" s="55">
        <v>0.8</v>
      </c>
      <c r="AL21" s="55">
        <v>1</v>
      </c>
      <c r="AM21" s="55">
        <v>1.5</v>
      </c>
      <c r="AN21" s="56">
        <v>1.5</v>
      </c>
      <c r="AO21" s="56">
        <v>1.6</v>
      </c>
      <c r="AP21" s="56">
        <v>1.8</v>
      </c>
      <c r="AQ21" s="57">
        <v>2</v>
      </c>
      <c r="AR21" s="57">
        <v>2.5</v>
      </c>
      <c r="AS21" s="55" t="s">
        <v>38</v>
      </c>
      <c r="AT21" s="55" t="s">
        <v>38</v>
      </c>
      <c r="AU21" s="55">
        <v>0.2</v>
      </c>
      <c r="AV21" s="211" t="s">
        <v>38</v>
      </c>
      <c r="AW21" s="39"/>
      <c r="AX21" s="50" t="s">
        <v>34</v>
      </c>
      <c r="AY21" s="51" t="s">
        <v>35</v>
      </c>
      <c r="AZ21" s="51" t="s">
        <v>36</v>
      </c>
      <c r="BA21" s="52">
        <v>0.1</v>
      </c>
      <c r="BB21" s="52">
        <v>0.08</v>
      </c>
      <c r="BC21" s="53" t="s">
        <v>37</v>
      </c>
      <c r="BD21" s="51">
        <v>3</v>
      </c>
      <c r="BE21" s="54">
        <v>12</v>
      </c>
      <c r="BF21" s="55" t="s">
        <v>38</v>
      </c>
      <c r="BG21" s="55">
        <v>0.5</v>
      </c>
      <c r="BH21" s="55">
        <v>0.6</v>
      </c>
      <c r="BI21" s="55">
        <v>0.8</v>
      </c>
      <c r="BJ21" s="55">
        <v>1</v>
      </c>
      <c r="BK21" s="55">
        <v>1.5</v>
      </c>
      <c r="BL21" s="56">
        <v>1.5</v>
      </c>
      <c r="BM21" s="56">
        <v>1.6</v>
      </c>
      <c r="BN21" s="56">
        <v>1.8</v>
      </c>
      <c r="BO21" s="57">
        <v>2</v>
      </c>
      <c r="BP21" s="57">
        <v>2.5</v>
      </c>
      <c r="BQ21" s="55" t="s">
        <v>38</v>
      </c>
      <c r="BR21" s="55" t="s">
        <v>38</v>
      </c>
      <c r="BS21" s="55">
        <v>0.2</v>
      </c>
      <c r="BT21" s="211" t="s">
        <v>38</v>
      </c>
      <c r="BV21" s="50" t="s">
        <v>34</v>
      </c>
      <c r="BW21" s="51" t="s">
        <v>35</v>
      </c>
      <c r="BX21" s="51" t="s">
        <v>36</v>
      </c>
      <c r="BY21" s="52">
        <v>0.1</v>
      </c>
      <c r="BZ21" s="52">
        <v>0.08</v>
      </c>
      <c r="CA21" s="53" t="s">
        <v>37</v>
      </c>
      <c r="CB21" s="51">
        <v>3</v>
      </c>
      <c r="CC21" s="54">
        <v>12</v>
      </c>
      <c r="CD21" s="55" t="s">
        <v>38</v>
      </c>
      <c r="CE21" s="55">
        <v>0.5</v>
      </c>
      <c r="CF21" s="55">
        <v>0.6</v>
      </c>
      <c r="CG21" s="55">
        <v>0.8</v>
      </c>
      <c r="CH21" s="55">
        <v>1</v>
      </c>
      <c r="CI21" s="55">
        <v>1.5</v>
      </c>
      <c r="CJ21" s="56">
        <v>1.5</v>
      </c>
      <c r="CK21" s="56">
        <v>1.6</v>
      </c>
      <c r="CL21" s="56">
        <v>1.8</v>
      </c>
      <c r="CM21" s="57">
        <v>2</v>
      </c>
      <c r="CN21" s="57">
        <v>2.5</v>
      </c>
      <c r="CO21" s="55" t="s">
        <v>38</v>
      </c>
      <c r="CP21" s="55" t="s">
        <v>38</v>
      </c>
      <c r="CQ21" s="55">
        <v>0.2</v>
      </c>
      <c r="CR21" s="211" t="s">
        <v>38</v>
      </c>
      <c r="CT21" s="50" t="s">
        <v>34</v>
      </c>
      <c r="CU21" s="51" t="s">
        <v>35</v>
      </c>
      <c r="CV21" s="51" t="s">
        <v>36</v>
      </c>
      <c r="CW21" s="52">
        <v>0.1</v>
      </c>
      <c r="CX21" s="52">
        <v>0.08</v>
      </c>
      <c r="CY21" s="53" t="s">
        <v>37</v>
      </c>
      <c r="CZ21" s="51">
        <v>3</v>
      </c>
      <c r="DA21" s="54">
        <v>12</v>
      </c>
      <c r="DB21" s="55" t="s">
        <v>38</v>
      </c>
      <c r="DC21" s="55">
        <v>0.5</v>
      </c>
      <c r="DD21" s="55">
        <v>0.6</v>
      </c>
      <c r="DE21" s="55">
        <v>0.8</v>
      </c>
      <c r="DF21" s="55">
        <v>1</v>
      </c>
      <c r="DG21" s="55">
        <v>1.5</v>
      </c>
      <c r="DH21" s="56">
        <v>1.5</v>
      </c>
      <c r="DI21" s="56">
        <v>1.6</v>
      </c>
      <c r="DJ21" s="56">
        <v>1.8</v>
      </c>
      <c r="DK21" s="57">
        <v>2</v>
      </c>
      <c r="DL21" s="57">
        <v>2.5</v>
      </c>
      <c r="DM21" s="55" t="s">
        <v>38</v>
      </c>
      <c r="DN21" s="55" t="s">
        <v>38</v>
      </c>
      <c r="DO21" s="55">
        <v>0.2</v>
      </c>
      <c r="DP21" s="211" t="s">
        <v>38</v>
      </c>
      <c r="DR21" s="50" t="s">
        <v>34</v>
      </c>
      <c r="DS21" s="51" t="s">
        <v>35</v>
      </c>
      <c r="DT21" s="51" t="s">
        <v>36</v>
      </c>
      <c r="DU21" s="52">
        <v>0.1</v>
      </c>
      <c r="DV21" s="52">
        <v>0.08</v>
      </c>
      <c r="DW21" s="53" t="s">
        <v>37</v>
      </c>
      <c r="DX21" s="51">
        <v>3</v>
      </c>
      <c r="DY21" s="54">
        <v>12</v>
      </c>
      <c r="DZ21" s="55" t="s">
        <v>38</v>
      </c>
      <c r="EA21" s="55">
        <v>0.5</v>
      </c>
      <c r="EB21" s="55">
        <v>0.6</v>
      </c>
      <c r="EC21" s="55">
        <v>0.8</v>
      </c>
      <c r="ED21" s="55">
        <v>1</v>
      </c>
      <c r="EE21" s="55">
        <v>1.5</v>
      </c>
      <c r="EF21" s="56">
        <v>1.5</v>
      </c>
      <c r="EG21" s="56">
        <v>1.6</v>
      </c>
      <c r="EH21" s="56">
        <v>1.8</v>
      </c>
      <c r="EI21" s="57">
        <v>2</v>
      </c>
      <c r="EJ21" s="57">
        <v>2.5</v>
      </c>
      <c r="EK21" s="55" t="s">
        <v>38</v>
      </c>
      <c r="EL21" s="55" t="s">
        <v>38</v>
      </c>
      <c r="EM21" s="55">
        <v>0.2</v>
      </c>
      <c r="EN21" s="211" t="s">
        <v>38</v>
      </c>
      <c r="EP21" s="50" t="s">
        <v>34</v>
      </c>
      <c r="EQ21" s="51" t="s">
        <v>35</v>
      </c>
      <c r="ER21" s="51" t="s">
        <v>36</v>
      </c>
      <c r="ES21" s="52">
        <v>0.1</v>
      </c>
      <c r="ET21" s="52">
        <v>0.08</v>
      </c>
      <c r="EU21" s="53" t="s">
        <v>37</v>
      </c>
      <c r="EV21" s="51">
        <v>3</v>
      </c>
      <c r="EW21" s="54">
        <v>12</v>
      </c>
      <c r="EX21" s="55" t="s">
        <v>38</v>
      </c>
      <c r="EY21" s="55">
        <v>0.5</v>
      </c>
      <c r="EZ21" s="55">
        <v>0.6</v>
      </c>
      <c r="FA21" s="55">
        <v>0.8</v>
      </c>
      <c r="FB21" s="55">
        <v>1</v>
      </c>
      <c r="FC21" s="55">
        <v>1.5</v>
      </c>
      <c r="FD21" s="56">
        <v>1.5</v>
      </c>
      <c r="FE21" s="56">
        <v>1.6</v>
      </c>
      <c r="FF21" s="56">
        <v>1.8</v>
      </c>
      <c r="FG21" s="57">
        <v>2</v>
      </c>
      <c r="FH21" s="57">
        <v>2.5</v>
      </c>
      <c r="FI21" s="55" t="s">
        <v>38</v>
      </c>
      <c r="FJ21" s="55" t="s">
        <v>38</v>
      </c>
      <c r="FK21" s="55">
        <v>0.2</v>
      </c>
      <c r="FL21" s="211" t="s">
        <v>38</v>
      </c>
      <c r="FN21" s="50" t="s">
        <v>34</v>
      </c>
      <c r="FO21" s="51" t="s">
        <v>35</v>
      </c>
      <c r="FP21" s="51" t="s">
        <v>36</v>
      </c>
      <c r="FQ21" s="52">
        <v>0.1</v>
      </c>
      <c r="FR21" s="52">
        <v>0.08</v>
      </c>
      <c r="FS21" s="53" t="s">
        <v>37</v>
      </c>
      <c r="FT21" s="51">
        <v>3</v>
      </c>
      <c r="FU21" s="54">
        <v>12</v>
      </c>
      <c r="FV21" s="55" t="s">
        <v>38</v>
      </c>
      <c r="FW21" s="55">
        <v>0.5</v>
      </c>
      <c r="FX21" s="55">
        <v>0.6</v>
      </c>
      <c r="FY21" s="55">
        <v>0.8</v>
      </c>
      <c r="FZ21" s="55">
        <v>1</v>
      </c>
      <c r="GA21" s="55">
        <v>1.5</v>
      </c>
      <c r="GB21" s="56">
        <v>1.5</v>
      </c>
      <c r="GC21" s="56">
        <v>1.6</v>
      </c>
      <c r="GD21" s="56">
        <v>1.8</v>
      </c>
      <c r="GE21" s="57">
        <v>2</v>
      </c>
      <c r="GF21" s="57">
        <v>2.5</v>
      </c>
      <c r="GG21" s="55" t="s">
        <v>38</v>
      </c>
      <c r="GH21" s="55" t="s">
        <v>38</v>
      </c>
      <c r="GI21" s="55">
        <v>0.2</v>
      </c>
      <c r="GJ21" s="211" t="s">
        <v>38</v>
      </c>
      <c r="GL21" s="50" t="s">
        <v>34</v>
      </c>
      <c r="GM21" s="51" t="s">
        <v>35</v>
      </c>
      <c r="GN21" s="51" t="s">
        <v>36</v>
      </c>
      <c r="GO21" s="52">
        <v>0.1</v>
      </c>
      <c r="GP21" s="52">
        <v>0.08</v>
      </c>
      <c r="GQ21" s="53" t="s">
        <v>37</v>
      </c>
      <c r="GR21" s="51">
        <v>3</v>
      </c>
      <c r="GS21" s="54">
        <v>12</v>
      </c>
      <c r="GT21" s="55" t="s">
        <v>38</v>
      </c>
      <c r="GU21" s="55">
        <v>0.5</v>
      </c>
      <c r="GV21" s="55">
        <v>0.6</v>
      </c>
      <c r="GW21" s="55">
        <v>0.8</v>
      </c>
      <c r="GX21" s="55">
        <v>1</v>
      </c>
      <c r="GY21" s="55">
        <v>1.5</v>
      </c>
      <c r="GZ21" s="56">
        <v>1.5</v>
      </c>
      <c r="HA21" s="56">
        <v>1.6</v>
      </c>
      <c r="HB21" s="56">
        <v>1.8</v>
      </c>
      <c r="HC21" s="57">
        <v>2</v>
      </c>
      <c r="HD21" s="57">
        <v>2.5</v>
      </c>
      <c r="HE21" s="55" t="s">
        <v>38</v>
      </c>
      <c r="HF21" s="55" t="s">
        <v>38</v>
      </c>
      <c r="HG21" s="55">
        <v>0.2</v>
      </c>
      <c r="HH21" s="211" t="s">
        <v>38</v>
      </c>
      <c r="HJ21" s="50" t="s">
        <v>34</v>
      </c>
      <c r="HK21" s="51" t="s">
        <v>35</v>
      </c>
      <c r="HL21" s="51" t="s">
        <v>36</v>
      </c>
      <c r="HM21" s="52">
        <v>0.1</v>
      </c>
      <c r="HN21" s="52">
        <v>0.08</v>
      </c>
      <c r="HO21" s="53" t="s">
        <v>37</v>
      </c>
      <c r="HP21" s="51">
        <v>3</v>
      </c>
      <c r="HQ21" s="54">
        <v>12</v>
      </c>
      <c r="HR21" s="55" t="s">
        <v>38</v>
      </c>
      <c r="HS21" s="55">
        <v>0.5</v>
      </c>
      <c r="HT21" s="55">
        <v>0.6</v>
      </c>
      <c r="HU21" s="55">
        <v>0.8</v>
      </c>
      <c r="HV21" s="55">
        <v>1</v>
      </c>
      <c r="HW21" s="55">
        <v>1.5</v>
      </c>
      <c r="HX21" s="56">
        <v>1.5</v>
      </c>
      <c r="HY21" s="56">
        <v>1.6</v>
      </c>
      <c r="HZ21" s="56">
        <v>1.8</v>
      </c>
      <c r="IA21" s="57">
        <v>2</v>
      </c>
      <c r="IB21" s="57">
        <v>2.5</v>
      </c>
      <c r="IC21" s="55" t="s">
        <v>38</v>
      </c>
      <c r="ID21" s="55" t="s">
        <v>38</v>
      </c>
      <c r="IE21" s="55">
        <v>0.2</v>
      </c>
      <c r="IF21" s="211" t="s">
        <v>38</v>
      </c>
      <c r="IH21" s="50" t="s">
        <v>34</v>
      </c>
      <c r="II21" s="51" t="s">
        <v>35</v>
      </c>
      <c r="IJ21" s="51" t="s">
        <v>36</v>
      </c>
      <c r="IK21" s="52">
        <v>0.1</v>
      </c>
      <c r="IL21" s="52">
        <v>0.08</v>
      </c>
      <c r="IM21" s="53" t="s">
        <v>37</v>
      </c>
      <c r="IN21" s="51">
        <v>3</v>
      </c>
      <c r="IO21" s="54">
        <v>12</v>
      </c>
      <c r="IP21" s="55" t="s">
        <v>38</v>
      </c>
      <c r="IQ21" s="55">
        <v>0.5</v>
      </c>
      <c r="IR21" s="55">
        <v>0.6</v>
      </c>
      <c r="IS21" s="55">
        <v>0.8</v>
      </c>
      <c r="IT21" s="55">
        <v>1</v>
      </c>
      <c r="IU21" s="55">
        <v>1.5</v>
      </c>
      <c r="IV21" s="56">
        <v>1.5</v>
      </c>
      <c r="IW21" s="56">
        <v>1.6</v>
      </c>
      <c r="IX21" s="56">
        <v>1.8</v>
      </c>
      <c r="IY21" s="57">
        <v>2</v>
      </c>
      <c r="IZ21" s="57">
        <v>2.5</v>
      </c>
      <c r="JA21" s="55" t="s">
        <v>38</v>
      </c>
      <c r="JB21" s="55" t="s">
        <v>38</v>
      </c>
      <c r="JC21" s="55">
        <v>0.2</v>
      </c>
      <c r="JD21" s="475" t="s">
        <v>38</v>
      </c>
      <c r="JF21" s="50" t="s">
        <v>34</v>
      </c>
      <c r="JG21" s="51" t="s">
        <v>35</v>
      </c>
      <c r="JH21" s="51" t="s">
        <v>36</v>
      </c>
      <c r="JI21" s="52">
        <v>0.1</v>
      </c>
      <c r="JJ21" s="52">
        <v>0.08</v>
      </c>
      <c r="JK21" s="53" t="s">
        <v>37</v>
      </c>
      <c r="JL21" s="51">
        <v>3</v>
      </c>
      <c r="JM21" s="54">
        <v>12</v>
      </c>
      <c r="JN21" s="55" t="s">
        <v>38</v>
      </c>
      <c r="JO21" s="55">
        <v>0.5</v>
      </c>
      <c r="JP21" s="55">
        <v>0.6</v>
      </c>
      <c r="JQ21" s="55">
        <v>0.8</v>
      </c>
      <c r="JR21" s="55">
        <v>1</v>
      </c>
      <c r="JS21" s="55">
        <v>1.5</v>
      </c>
      <c r="JT21" s="56">
        <v>1.5</v>
      </c>
      <c r="JU21" s="56">
        <v>1.6</v>
      </c>
      <c r="JV21" s="56">
        <v>1.8</v>
      </c>
      <c r="JW21" s="57">
        <v>2</v>
      </c>
      <c r="JX21" s="57">
        <v>2.5</v>
      </c>
      <c r="JY21" s="55" t="s">
        <v>38</v>
      </c>
      <c r="JZ21" s="55" t="s">
        <v>38</v>
      </c>
      <c r="KA21" s="55">
        <v>0.2</v>
      </c>
      <c r="KB21" s="475" t="s">
        <v>38</v>
      </c>
      <c r="KC21" s="37"/>
      <c r="KD21" s="37"/>
      <c r="KE21" s="37"/>
      <c r="KF21" s="37"/>
      <c r="KG21" s="37"/>
      <c r="KH21" s="37"/>
      <c r="KI21" s="37"/>
      <c r="KJ21" s="37"/>
    </row>
    <row r="22" spans="1:296" ht="15.6" x14ac:dyDescent="0.3">
      <c r="A22" s="386"/>
      <c r="B22" s="387"/>
      <c r="C22" s="387"/>
      <c r="D22" s="387"/>
      <c r="E22" s="472" t="s">
        <v>186</v>
      </c>
      <c r="F22" s="472"/>
      <c r="G22" s="472"/>
      <c r="H22" s="472"/>
      <c r="I22" s="472"/>
      <c r="J22" s="472"/>
      <c r="K22" s="472"/>
      <c r="L22" s="472"/>
      <c r="M22" s="472"/>
      <c r="N22" s="472"/>
      <c r="O22" s="472"/>
      <c r="P22" s="472"/>
      <c r="Q22" s="454"/>
      <c r="R22" s="454"/>
      <c r="S22" s="387"/>
      <c r="T22" s="387"/>
      <c r="U22" s="387"/>
      <c r="V22" s="387"/>
      <c r="W22" s="387"/>
      <c r="X22" s="388"/>
      <c r="Y22" s="386"/>
      <c r="Z22" s="387"/>
      <c r="AA22" s="387"/>
      <c r="AB22" s="387"/>
      <c r="AC22" s="472" t="s">
        <v>186</v>
      </c>
      <c r="AD22" s="472"/>
      <c r="AE22" s="472"/>
      <c r="AF22" s="472"/>
      <c r="AG22" s="472"/>
      <c r="AH22" s="472"/>
      <c r="AI22" s="472"/>
      <c r="AJ22" s="472"/>
      <c r="AK22" s="472"/>
      <c r="AL22" s="472"/>
      <c r="AM22" s="472"/>
      <c r="AN22" s="472"/>
      <c r="AO22" s="454"/>
      <c r="AP22" s="454"/>
      <c r="AQ22" s="387"/>
      <c r="AR22" s="387"/>
      <c r="AS22" s="387"/>
      <c r="AT22" s="387"/>
      <c r="AU22" s="387"/>
      <c r="AV22" s="388"/>
      <c r="AW22" s="386"/>
      <c r="AX22" s="387"/>
      <c r="AY22" s="387"/>
      <c r="AZ22" s="387"/>
      <c r="BA22" s="472" t="s">
        <v>186</v>
      </c>
      <c r="BB22" s="472"/>
      <c r="BC22" s="472"/>
      <c r="BD22" s="472"/>
      <c r="BE22" s="472"/>
      <c r="BF22" s="472"/>
      <c r="BG22" s="472"/>
      <c r="BH22" s="472"/>
      <c r="BI22" s="472"/>
      <c r="BJ22" s="472"/>
      <c r="BK22" s="472"/>
      <c r="BL22" s="472"/>
      <c r="BM22" s="454"/>
      <c r="BN22" s="454"/>
      <c r="BO22" s="387"/>
      <c r="BP22" s="387"/>
      <c r="BQ22" s="387"/>
      <c r="BR22" s="387"/>
      <c r="BS22" s="387"/>
      <c r="BT22" s="388"/>
      <c r="BU22" s="386"/>
      <c r="BV22" s="387"/>
      <c r="BW22" s="387"/>
      <c r="BX22" s="387"/>
      <c r="BY22" s="472" t="s">
        <v>186</v>
      </c>
      <c r="BZ22" s="472"/>
      <c r="CA22" s="472"/>
      <c r="CB22" s="472"/>
      <c r="CC22" s="472"/>
      <c r="CD22" s="472"/>
      <c r="CE22" s="472"/>
      <c r="CF22" s="472"/>
      <c r="CG22" s="472"/>
      <c r="CH22" s="472"/>
      <c r="CI22" s="472"/>
      <c r="CJ22" s="472"/>
      <c r="CK22" s="454"/>
      <c r="CL22" s="454"/>
      <c r="CM22" s="387"/>
      <c r="CN22" s="387"/>
      <c r="CO22" s="387"/>
      <c r="CP22" s="387"/>
      <c r="CQ22" s="387"/>
      <c r="CR22" s="388"/>
      <c r="CS22" s="386"/>
      <c r="CT22" s="387"/>
      <c r="CU22" s="387"/>
      <c r="CV22" s="387"/>
      <c r="CW22" s="472" t="s">
        <v>186</v>
      </c>
      <c r="CX22" s="472"/>
      <c r="CY22" s="472"/>
      <c r="CZ22" s="472"/>
      <c r="DA22" s="472"/>
      <c r="DB22" s="472"/>
      <c r="DC22" s="472"/>
      <c r="DD22" s="472"/>
      <c r="DE22" s="472"/>
      <c r="DF22" s="472"/>
      <c r="DG22" s="472"/>
      <c r="DH22" s="472"/>
      <c r="DI22" s="454"/>
      <c r="DJ22" s="454"/>
      <c r="DK22" s="387"/>
      <c r="DL22" s="387"/>
      <c r="DM22" s="387"/>
      <c r="DN22" s="387"/>
      <c r="DO22" s="387"/>
      <c r="DP22" s="388"/>
      <c r="DQ22" s="386"/>
      <c r="DR22" s="387"/>
      <c r="DS22" s="387"/>
      <c r="DT22" s="387"/>
      <c r="DU22" s="472" t="s">
        <v>186</v>
      </c>
      <c r="DV22" s="472"/>
      <c r="DW22" s="472"/>
      <c r="DX22" s="472"/>
      <c r="DY22" s="472"/>
      <c r="DZ22" s="472"/>
      <c r="EA22" s="472"/>
      <c r="EB22" s="472"/>
      <c r="EC22" s="472"/>
      <c r="ED22" s="472"/>
      <c r="EE22" s="472"/>
      <c r="EF22" s="472"/>
      <c r="EG22" s="454"/>
      <c r="EH22" s="454"/>
      <c r="EI22" s="387"/>
      <c r="EJ22" s="387"/>
      <c r="EK22" s="387"/>
      <c r="EL22" s="387"/>
      <c r="EM22" s="387"/>
      <c r="EN22" s="388"/>
      <c r="EO22" s="386"/>
      <c r="EP22" s="387"/>
      <c r="EQ22" s="387"/>
      <c r="ER22" s="387"/>
      <c r="ES22" s="472" t="s">
        <v>186</v>
      </c>
      <c r="ET22" s="472"/>
      <c r="EU22" s="472"/>
      <c r="EV22" s="472"/>
      <c r="EW22" s="472"/>
      <c r="EX22" s="472"/>
      <c r="EY22" s="472"/>
      <c r="EZ22" s="472"/>
      <c r="FA22" s="472"/>
      <c r="FB22" s="472"/>
      <c r="FC22" s="472"/>
      <c r="FD22" s="472"/>
      <c r="FE22" s="454"/>
      <c r="FF22" s="454"/>
      <c r="FG22" s="387"/>
      <c r="FH22" s="387"/>
      <c r="FI22" s="387"/>
      <c r="FJ22" s="387"/>
      <c r="FK22" s="387"/>
      <c r="FL22" s="388"/>
      <c r="FM22" s="386"/>
      <c r="FN22" s="387"/>
      <c r="FO22" s="387"/>
      <c r="FP22" s="387"/>
      <c r="FQ22" s="472" t="s">
        <v>186</v>
      </c>
      <c r="FR22" s="472"/>
      <c r="FS22" s="472"/>
      <c r="FT22" s="472"/>
      <c r="FU22" s="472"/>
      <c r="FV22" s="472"/>
      <c r="FW22" s="472"/>
      <c r="FX22" s="472"/>
      <c r="FY22" s="472"/>
      <c r="FZ22" s="472"/>
      <c r="GA22" s="472"/>
      <c r="GB22" s="472"/>
      <c r="GC22" s="454"/>
      <c r="GD22" s="454"/>
      <c r="GE22" s="387"/>
      <c r="GF22" s="387"/>
      <c r="GG22" s="387"/>
      <c r="GH22" s="387"/>
      <c r="GI22" s="387"/>
      <c r="GJ22" s="388"/>
      <c r="GK22" s="386"/>
      <c r="GL22" s="387"/>
      <c r="GM22" s="387"/>
      <c r="GN22" s="387"/>
      <c r="GO22" s="472" t="s">
        <v>186</v>
      </c>
      <c r="GP22" s="472"/>
      <c r="GQ22" s="472"/>
      <c r="GR22" s="472"/>
      <c r="GS22" s="472"/>
      <c r="GT22" s="472"/>
      <c r="GU22" s="472"/>
      <c r="GV22" s="472"/>
      <c r="GW22" s="472"/>
      <c r="GX22" s="472"/>
      <c r="GY22" s="472"/>
      <c r="GZ22" s="472"/>
      <c r="HA22" s="454"/>
      <c r="HB22" s="454"/>
      <c r="HC22" s="387"/>
      <c r="HD22" s="387"/>
      <c r="HE22" s="387"/>
      <c r="HF22" s="387"/>
      <c r="HG22" s="387"/>
      <c r="HH22" s="388"/>
      <c r="HI22" s="386"/>
      <c r="HJ22" s="387"/>
      <c r="HK22" s="387"/>
      <c r="HL22" s="387"/>
      <c r="HM22" s="472" t="s">
        <v>186</v>
      </c>
      <c r="HN22" s="472"/>
      <c r="HO22" s="472"/>
      <c r="HP22" s="472"/>
      <c r="HQ22" s="472"/>
      <c r="HR22" s="472"/>
      <c r="HS22" s="472"/>
      <c r="HT22" s="472"/>
      <c r="HU22" s="472"/>
      <c r="HV22" s="472"/>
      <c r="HW22" s="472"/>
      <c r="HX22" s="472"/>
      <c r="HY22" s="454"/>
      <c r="HZ22" s="454"/>
      <c r="IA22" s="387"/>
      <c r="IB22" s="387"/>
      <c r="IC22" s="387"/>
      <c r="ID22" s="387"/>
      <c r="IE22" s="387"/>
      <c r="IF22" s="388"/>
      <c r="IG22" s="386"/>
      <c r="IH22" s="387"/>
      <c r="II22" s="387"/>
      <c r="IJ22" s="387"/>
      <c r="IK22" s="472" t="s">
        <v>186</v>
      </c>
      <c r="IL22" s="472"/>
      <c r="IM22" s="472"/>
      <c r="IN22" s="472"/>
      <c r="IO22" s="472"/>
      <c r="IP22" s="472"/>
      <c r="IQ22" s="472"/>
      <c r="IR22" s="472"/>
      <c r="IS22" s="472"/>
      <c r="IT22" s="472"/>
      <c r="IU22" s="472"/>
      <c r="IV22" s="472"/>
      <c r="IW22" s="454"/>
      <c r="IX22" s="454"/>
      <c r="IY22" s="387"/>
      <c r="IZ22" s="387"/>
      <c r="JA22" s="387"/>
      <c r="JB22" s="387"/>
      <c r="JC22" s="387"/>
      <c r="JD22" s="471"/>
      <c r="JE22" s="386"/>
      <c r="JF22" s="387"/>
      <c r="JG22" s="387"/>
      <c r="JH22" s="387"/>
      <c r="JI22" s="472" t="s">
        <v>186</v>
      </c>
      <c r="JJ22" s="472"/>
      <c r="JK22" s="472"/>
      <c r="JL22" s="472"/>
      <c r="JM22" s="472"/>
      <c r="JN22" s="472"/>
      <c r="JO22" s="472"/>
      <c r="JP22" s="472"/>
      <c r="JQ22" s="472"/>
      <c r="JR22" s="472"/>
      <c r="JS22" s="472"/>
      <c r="JT22" s="472"/>
      <c r="JU22" s="454"/>
      <c r="JV22" s="454"/>
      <c r="JW22" s="387"/>
      <c r="JX22" s="387"/>
      <c r="JY22" s="387"/>
      <c r="JZ22" s="387"/>
      <c r="KA22" s="387"/>
      <c r="KB22" s="471"/>
      <c r="KC22" s="37"/>
      <c r="KD22" s="37"/>
      <c r="KE22" s="37"/>
      <c r="KF22" s="37"/>
      <c r="KG22" s="37"/>
      <c r="KH22" s="37"/>
      <c r="KI22" s="37"/>
      <c r="KJ22" s="37"/>
    </row>
    <row r="23" spans="1:296" x14ac:dyDescent="0.3">
      <c r="A23" s="49">
        <v>0</v>
      </c>
      <c r="B23" s="59" t="s">
        <v>192</v>
      </c>
      <c r="C23" s="28">
        <f>D23/$AY$4</f>
        <v>13.321409090909091</v>
      </c>
      <c r="D23" s="60">
        <v>2930.71</v>
      </c>
      <c r="E23" s="28">
        <f>D23*E$21</f>
        <v>293.07100000000003</v>
      </c>
      <c r="F23" s="28">
        <f>D23*F$21</f>
        <v>234.45680000000002</v>
      </c>
      <c r="G23" s="28">
        <f>D23/G$21</f>
        <v>244.22583333333333</v>
      </c>
      <c r="H23" s="28">
        <f>G23/H$21</f>
        <v>81.408611111111114</v>
      </c>
      <c r="I23" s="61">
        <f>D23/I$21</f>
        <v>244.22583333333333</v>
      </c>
      <c r="J23" s="61">
        <f>SUM(D23:I23)</f>
        <v>4028.0980777777777</v>
      </c>
      <c r="K23" s="62"/>
      <c r="L23" s="62"/>
      <c r="M23" s="62"/>
      <c r="N23" s="62"/>
      <c r="O23" s="62"/>
      <c r="P23" s="63">
        <f>((C23*P$21)+(C23*E$21)+(C23*F$21))*K23</f>
        <v>0</v>
      </c>
      <c r="Q23" s="63">
        <f>((C23*Q$21)+(C23*E$21)+(C23*F$21))*L23</f>
        <v>0</v>
      </c>
      <c r="R23" s="63">
        <f>((C23*R$21)+(C23*F$21)+(C23*E$21))*M23</f>
        <v>0</v>
      </c>
      <c r="S23" s="63">
        <f>((C23*S$21)+(C23*E$21)+(C23*F$21))*N23</f>
        <v>0</v>
      </c>
      <c r="T23" s="63">
        <f>((C23*T$21)+(C23*E$21)+(C23*F$21))*O23</f>
        <v>0</v>
      </c>
      <c r="U23" s="61">
        <f>SUM(P23:T23)</f>
        <v>0</v>
      </c>
      <c r="V23" s="64">
        <v>0</v>
      </c>
      <c r="W23" s="65">
        <f>IF(A23=1,($C$1*$W$6),0)</f>
        <v>0</v>
      </c>
      <c r="X23" s="212">
        <f>J23+U23+V23+W23</f>
        <v>4028.0980777777777</v>
      </c>
      <c r="Y23" s="49">
        <v>0</v>
      </c>
      <c r="Z23" s="59" t="s">
        <v>192</v>
      </c>
      <c r="AA23" s="28">
        <f>AB23/$AY$4</f>
        <v>13.321409090909091</v>
      </c>
      <c r="AB23" s="60">
        <v>2930.71</v>
      </c>
      <c r="AC23" s="28">
        <f>AB23*AC$21</f>
        <v>293.07100000000003</v>
      </c>
      <c r="AD23" s="28">
        <f>AB23*AD$21</f>
        <v>234.45680000000002</v>
      </c>
      <c r="AE23" s="28">
        <f>AB23/AE$21</f>
        <v>244.22583333333333</v>
      </c>
      <c r="AF23" s="28">
        <f>AE23/AF$21</f>
        <v>81.408611111111114</v>
      </c>
      <c r="AG23" s="61">
        <f>AB23/AG$21</f>
        <v>244.22583333333333</v>
      </c>
      <c r="AH23" s="61">
        <f>SUM(AB23:AG23)</f>
        <v>4028.0980777777777</v>
      </c>
      <c r="AI23" s="62"/>
      <c r="AJ23" s="62"/>
      <c r="AK23" s="62"/>
      <c r="AL23" s="62"/>
      <c r="AM23" s="62"/>
      <c r="AN23" s="63">
        <f>((AA23*AN$21)+(AA23*AC$21)+(AA23*AD$21))*AI23</f>
        <v>0</v>
      </c>
      <c r="AO23" s="63">
        <f>((AA23*AO$21)+(AA23*AC$21)+(AA23*AD$21))*AJ23</f>
        <v>0</v>
      </c>
      <c r="AP23" s="63">
        <f>((AA23*AP$21)+(AA23*AD$21)+(AA23*AC$21))*AK23</f>
        <v>0</v>
      </c>
      <c r="AQ23" s="63">
        <f>((AA23*AQ$21)+(AA23*AC$21)+(AA23*AD$21))*AL23</f>
        <v>0</v>
      </c>
      <c r="AR23" s="63">
        <f>((AA23*AR$21)+(AA23*AC$21)+(AA23*AD$21))*AM23</f>
        <v>0</v>
      </c>
      <c r="AS23" s="61">
        <f>SUM(AN23:AR23)</f>
        <v>0</v>
      </c>
      <c r="AT23" s="64">
        <v>0</v>
      </c>
      <c r="AU23" s="65">
        <f>IF(Y23=1,($C$1*$W$6),0)</f>
        <v>0</v>
      </c>
      <c r="AV23" s="212">
        <f>AH23+AS23+AT23+AU23</f>
        <v>4028.0980777777777</v>
      </c>
      <c r="AW23" s="49">
        <v>0</v>
      </c>
      <c r="AX23" s="59" t="s">
        <v>192</v>
      </c>
      <c r="AY23" s="28">
        <f>AZ23/$AY$4</f>
        <v>13.321409090909091</v>
      </c>
      <c r="AZ23" s="60">
        <v>2930.71</v>
      </c>
      <c r="BA23" s="28">
        <f>AZ23*BA$21</f>
        <v>293.07100000000003</v>
      </c>
      <c r="BB23" s="28">
        <f>AZ23*BB$21</f>
        <v>234.45680000000002</v>
      </c>
      <c r="BC23" s="28">
        <f>AZ23/BC$21</f>
        <v>244.22583333333333</v>
      </c>
      <c r="BD23" s="28">
        <f>BC23/BD$21</f>
        <v>81.408611111111114</v>
      </c>
      <c r="BE23" s="61">
        <f>AZ23/BE$21</f>
        <v>244.22583333333333</v>
      </c>
      <c r="BF23" s="61">
        <f>SUM(AZ23:BE23)</f>
        <v>4028.0980777777777</v>
      </c>
      <c r="BG23" s="62"/>
      <c r="BH23" s="62"/>
      <c r="BI23" s="62"/>
      <c r="BJ23" s="62"/>
      <c r="BK23" s="62"/>
      <c r="BL23" s="63">
        <f>((AY23*BL$21)+(AY23*BA$21)+(AY23*BB$21))*BG23</f>
        <v>0</v>
      </c>
      <c r="BM23" s="63">
        <f>((AY23*BM$21)+(AY23*BA$21)+(AY23*BB$21))*BH23</f>
        <v>0</v>
      </c>
      <c r="BN23" s="63">
        <f>((AY23*BN$21)+(AY23*BB$21)+(AY23*BA$21))*BI23</f>
        <v>0</v>
      </c>
      <c r="BO23" s="63">
        <f>((AY23*BO$21)+(AY23*BA$21)+(AY23*BB$21))*BJ23</f>
        <v>0</v>
      </c>
      <c r="BP23" s="63">
        <f>((AY23*BP$21)+(AY23*BA$21)+(AY23*BB$21))*BK23</f>
        <v>0</v>
      </c>
      <c r="BQ23" s="61">
        <f>SUM(BL23:BP23)</f>
        <v>0</v>
      </c>
      <c r="BR23" s="64">
        <v>0</v>
      </c>
      <c r="BS23" s="65">
        <f>IF(AW23=1,($C$1*$W$6),0)</f>
        <v>0</v>
      </c>
      <c r="BT23" s="212">
        <f>BF23+BQ23+BR23+BS23</f>
        <v>4028.0980777777777</v>
      </c>
      <c r="BU23" s="49">
        <v>0</v>
      </c>
      <c r="BV23" s="59" t="s">
        <v>192</v>
      </c>
      <c r="BW23" s="28">
        <f>BX23/$AY$4</f>
        <v>13.321409090909091</v>
      </c>
      <c r="BX23" s="60">
        <v>2930.71</v>
      </c>
      <c r="BY23" s="28">
        <f>BX23*BY$21</f>
        <v>293.07100000000003</v>
      </c>
      <c r="BZ23" s="28">
        <f>BX23*BZ$21</f>
        <v>234.45680000000002</v>
      </c>
      <c r="CA23" s="28">
        <f>BX23/CA$21</f>
        <v>244.22583333333333</v>
      </c>
      <c r="CB23" s="28">
        <f>CA23/CB$21</f>
        <v>81.408611111111114</v>
      </c>
      <c r="CC23" s="61">
        <f>BX23/CC$21</f>
        <v>244.22583333333333</v>
      </c>
      <c r="CD23" s="61">
        <f>SUM(BX23:CC23)</f>
        <v>4028.0980777777777</v>
      </c>
      <c r="CE23" s="62"/>
      <c r="CF23" s="62"/>
      <c r="CG23" s="62"/>
      <c r="CH23" s="62"/>
      <c r="CI23" s="62"/>
      <c r="CJ23" s="63">
        <f>((BW23*CJ$21)+(BW23*BY$21)+(BW23*BZ$21))*CE23</f>
        <v>0</v>
      </c>
      <c r="CK23" s="63">
        <f>((BW23*CK$21)+(BW23*BY$21)+(BW23*BZ$21))*CF23</f>
        <v>0</v>
      </c>
      <c r="CL23" s="63">
        <f>((BW23*CL$21)+(BW23*BZ$21)+(BW23*BY$21))*CG23</f>
        <v>0</v>
      </c>
      <c r="CM23" s="63">
        <f>((BW23*CM$21)+(BW23*BY$21)+(BW23*BZ$21))*CH23</f>
        <v>0</v>
      </c>
      <c r="CN23" s="63">
        <f>((BW23*CN$21)+(BW23*BY$21)+(BW23*BZ$21))*CI23</f>
        <v>0</v>
      </c>
      <c r="CO23" s="61">
        <f>SUM(CJ23:CN23)</f>
        <v>0</v>
      </c>
      <c r="CP23" s="64">
        <v>0</v>
      </c>
      <c r="CQ23" s="65">
        <f>IF(BU23=1,($C$1*$W$6),0)</f>
        <v>0</v>
      </c>
      <c r="CR23" s="212">
        <f>CD23+CO23+CP23+CQ23</f>
        <v>4028.0980777777777</v>
      </c>
      <c r="CS23" s="49">
        <v>0</v>
      </c>
      <c r="CT23" s="59" t="s">
        <v>192</v>
      </c>
      <c r="CU23" s="28">
        <f>CV23/$AY$4</f>
        <v>13.321409090909091</v>
      </c>
      <c r="CV23" s="60">
        <v>2930.71</v>
      </c>
      <c r="CW23" s="28">
        <f>CV23*CW$21</f>
        <v>293.07100000000003</v>
      </c>
      <c r="CX23" s="28">
        <f>CV23*CX$21</f>
        <v>234.45680000000002</v>
      </c>
      <c r="CY23" s="28">
        <f>CV23/CY$21</f>
        <v>244.22583333333333</v>
      </c>
      <c r="CZ23" s="28">
        <f>CY23/CZ$21</f>
        <v>81.408611111111114</v>
      </c>
      <c r="DA23" s="61">
        <f>CV23/DA$21</f>
        <v>244.22583333333333</v>
      </c>
      <c r="DB23" s="61">
        <f>SUM(CV23:DA23)</f>
        <v>4028.0980777777777</v>
      </c>
      <c r="DC23" s="62"/>
      <c r="DD23" s="62"/>
      <c r="DE23" s="62"/>
      <c r="DF23" s="62"/>
      <c r="DG23" s="62"/>
      <c r="DH23" s="63">
        <f>((CU23*DH$21)+(CU23*CW$21)+(CU23*CX$21))*DC23</f>
        <v>0</v>
      </c>
      <c r="DI23" s="63">
        <f>((CU23*DI$21)+(CU23*CW$21)+(CU23*CX$21))*DD23</f>
        <v>0</v>
      </c>
      <c r="DJ23" s="63">
        <f>((CU23*DJ$21)+(CU23*CX$21)+(CU23*CW$21))*DE23</f>
        <v>0</v>
      </c>
      <c r="DK23" s="63">
        <f>((CU23*DK$21)+(CU23*CW$21)+(CU23*CX$21))*DF23</f>
        <v>0</v>
      </c>
      <c r="DL23" s="63">
        <f>((CU23*DL$21)+(CU23*CW$21)+(CU23*CX$21))*DG23</f>
        <v>0</v>
      </c>
      <c r="DM23" s="61">
        <f>SUM(DH23:DL23)</f>
        <v>0</v>
      </c>
      <c r="DN23" s="64">
        <v>0</v>
      </c>
      <c r="DO23" s="65">
        <f>IF(CS23=1,($C$1*$W$6),0)</f>
        <v>0</v>
      </c>
      <c r="DP23" s="212">
        <f>DB23+DM23+DN23+DO23</f>
        <v>4028.0980777777777</v>
      </c>
      <c r="DQ23" s="49">
        <v>0</v>
      </c>
      <c r="DR23" s="59" t="s">
        <v>192</v>
      </c>
      <c r="DS23" s="28">
        <f>DT23/$AY$4</f>
        <v>13.321409090909091</v>
      </c>
      <c r="DT23" s="60">
        <v>2930.71</v>
      </c>
      <c r="DU23" s="28">
        <f>DT23*DU$21</f>
        <v>293.07100000000003</v>
      </c>
      <c r="DV23" s="28">
        <f>DT23*DV$21</f>
        <v>234.45680000000002</v>
      </c>
      <c r="DW23" s="28">
        <f>DT23/DW$21</f>
        <v>244.22583333333333</v>
      </c>
      <c r="DX23" s="28">
        <f>DW23/DX$21</f>
        <v>81.408611111111114</v>
      </c>
      <c r="DY23" s="61">
        <f>DT23/DY$21</f>
        <v>244.22583333333333</v>
      </c>
      <c r="DZ23" s="61">
        <f>SUM(DT23:DY23)</f>
        <v>4028.0980777777777</v>
      </c>
      <c r="EA23" s="62"/>
      <c r="EB23" s="62"/>
      <c r="EC23" s="62"/>
      <c r="ED23" s="62"/>
      <c r="EE23" s="62"/>
      <c r="EF23" s="63">
        <f>((DS23*EF$21)+(DS23*DU$21)+(DS23*DV$21))*EA23</f>
        <v>0</v>
      </c>
      <c r="EG23" s="63">
        <f>((DS23*EG$21)+(DS23*DU$21)+(DS23*DV$21))*EB23</f>
        <v>0</v>
      </c>
      <c r="EH23" s="63">
        <f>((DS23*EH$21)+(DS23*DV$21)+(DS23*DU$21))*EC23</f>
        <v>0</v>
      </c>
      <c r="EI23" s="63">
        <f>((DS23*EI$21)+(DS23*DU$21)+(DS23*DV$21))*ED23</f>
        <v>0</v>
      </c>
      <c r="EJ23" s="63">
        <f>((DS23*EJ$21)+(DS23*DU$21)+(DS23*DV$21))*EE23</f>
        <v>0</v>
      </c>
      <c r="EK23" s="61">
        <f>SUM(EF23:EJ23)</f>
        <v>0</v>
      </c>
      <c r="EL23" s="64">
        <v>0</v>
      </c>
      <c r="EM23" s="65">
        <f>IF(DQ23=1,($C$1*$W$6),0)</f>
        <v>0</v>
      </c>
      <c r="EN23" s="212">
        <f>DZ23+EK23+EL23+EM23</f>
        <v>4028.0980777777777</v>
      </c>
      <c r="EO23" s="49">
        <v>0</v>
      </c>
      <c r="EP23" s="59" t="s">
        <v>192</v>
      </c>
      <c r="EQ23" s="28">
        <f>ER23/$AY$4</f>
        <v>13.321409090909091</v>
      </c>
      <c r="ER23" s="60">
        <v>2930.71</v>
      </c>
      <c r="ES23" s="28">
        <f>ER23*ES$21</f>
        <v>293.07100000000003</v>
      </c>
      <c r="ET23" s="28">
        <f>ER23*ET$21</f>
        <v>234.45680000000002</v>
      </c>
      <c r="EU23" s="28">
        <f>ER23/EU$21</f>
        <v>244.22583333333333</v>
      </c>
      <c r="EV23" s="28">
        <f>EU23/EV$21</f>
        <v>81.408611111111114</v>
      </c>
      <c r="EW23" s="61">
        <f>ER23/EW$21</f>
        <v>244.22583333333333</v>
      </c>
      <c r="EX23" s="61">
        <f>SUM(ER23:EW23)</f>
        <v>4028.0980777777777</v>
      </c>
      <c r="EY23" s="62"/>
      <c r="EZ23" s="62"/>
      <c r="FA23" s="62"/>
      <c r="FB23" s="62"/>
      <c r="FC23" s="62"/>
      <c r="FD23" s="63">
        <f>((EQ23*FD$21)+(EQ23*ES$21)+(EQ23*ET$21))*EY23</f>
        <v>0</v>
      </c>
      <c r="FE23" s="63">
        <f>((EQ23*FE$21)+(EQ23*ES$21)+(EQ23*ET$21))*EZ23</f>
        <v>0</v>
      </c>
      <c r="FF23" s="63">
        <f>((EQ23*FF$21)+(EQ23*ET$21)+(EQ23*ES$21))*FA23</f>
        <v>0</v>
      </c>
      <c r="FG23" s="63">
        <f>((EQ23*FG$21)+(EQ23*ES$21)+(EQ23*ET$21))*FB23</f>
        <v>0</v>
      </c>
      <c r="FH23" s="63">
        <f>((EQ23*FH$21)+(EQ23*ES$21)+(EQ23*ET$21))*FC23</f>
        <v>0</v>
      </c>
      <c r="FI23" s="61">
        <f>SUM(FD23:FH23)</f>
        <v>0</v>
      </c>
      <c r="FJ23" s="64">
        <v>0</v>
      </c>
      <c r="FK23" s="65">
        <f>IF(EO23=1,($C$1*$W$6),0)</f>
        <v>0</v>
      </c>
      <c r="FL23" s="212">
        <f>EX23+FI23+FJ23+FK23</f>
        <v>4028.0980777777777</v>
      </c>
      <c r="FM23" s="49">
        <v>0</v>
      </c>
      <c r="FN23" s="59" t="s">
        <v>192</v>
      </c>
      <c r="FO23" s="28">
        <f>FP23/$AY$4</f>
        <v>13.321409090909091</v>
      </c>
      <c r="FP23" s="60">
        <v>2930.71</v>
      </c>
      <c r="FQ23" s="28">
        <f>FP23*FQ$21</f>
        <v>293.07100000000003</v>
      </c>
      <c r="FR23" s="28">
        <f>FP23*FR$21</f>
        <v>234.45680000000002</v>
      </c>
      <c r="FS23" s="28">
        <f>FP23/FS$21</f>
        <v>244.22583333333333</v>
      </c>
      <c r="FT23" s="28">
        <f>FS23/FT$21</f>
        <v>81.408611111111114</v>
      </c>
      <c r="FU23" s="61">
        <f>FP23/FU$21</f>
        <v>244.22583333333333</v>
      </c>
      <c r="FV23" s="61">
        <f>SUM(FP23:FU23)</f>
        <v>4028.0980777777777</v>
      </c>
      <c r="FW23" s="62"/>
      <c r="FX23" s="62"/>
      <c r="FY23" s="62"/>
      <c r="FZ23" s="62"/>
      <c r="GA23" s="62"/>
      <c r="GB23" s="63">
        <f>((FO23*GB$21)+(FO23*FQ$21)+(FO23*FR$21))*FW23</f>
        <v>0</v>
      </c>
      <c r="GC23" s="63">
        <f>((FO23*GC$21)+(FO23*FQ$21)+(FO23*FR$21))*FX23</f>
        <v>0</v>
      </c>
      <c r="GD23" s="63">
        <f>((FO23*GD$21)+(FO23*FR$21)+(FO23*FQ$21))*FY23</f>
        <v>0</v>
      </c>
      <c r="GE23" s="63">
        <f>((FO23*GE$21)+(FO23*FQ$21)+(FO23*FR$21))*FZ23</f>
        <v>0</v>
      </c>
      <c r="GF23" s="63">
        <f>((FO23*GF$21)+(FO23*FQ$21)+(FO23*FR$21))*GA23</f>
        <v>0</v>
      </c>
      <c r="GG23" s="61">
        <f>SUM(GB23:GF23)</f>
        <v>0</v>
      </c>
      <c r="GH23" s="64">
        <v>0</v>
      </c>
      <c r="GI23" s="65">
        <f>IF(FM23=1,($C$1*$W$6),0)</f>
        <v>0</v>
      </c>
      <c r="GJ23" s="212">
        <f>FV23+GG23+GH23+GI23</f>
        <v>4028.0980777777777</v>
      </c>
      <c r="GK23" s="49">
        <v>0</v>
      </c>
      <c r="GL23" s="59" t="s">
        <v>192</v>
      </c>
      <c r="GM23" s="28">
        <f>GN23/$AY$4</f>
        <v>13.321409090909091</v>
      </c>
      <c r="GN23" s="60">
        <v>2930.71</v>
      </c>
      <c r="GO23" s="28">
        <f>GN23*GO$21</f>
        <v>293.07100000000003</v>
      </c>
      <c r="GP23" s="28">
        <f>GN23*GP$21</f>
        <v>234.45680000000002</v>
      </c>
      <c r="GQ23" s="28">
        <f>GN23/GQ$21</f>
        <v>244.22583333333333</v>
      </c>
      <c r="GR23" s="28">
        <f>GQ23/GR$21</f>
        <v>81.408611111111114</v>
      </c>
      <c r="GS23" s="61">
        <f>GN23/GS$21</f>
        <v>244.22583333333333</v>
      </c>
      <c r="GT23" s="61">
        <f>SUM(GN23:GS23)</f>
        <v>4028.0980777777777</v>
      </c>
      <c r="GU23" s="62"/>
      <c r="GV23" s="62"/>
      <c r="GW23" s="62"/>
      <c r="GX23" s="62"/>
      <c r="GY23" s="62"/>
      <c r="GZ23" s="63">
        <f>((GM23*GZ$21)+(GM23*GO$21)+(GM23*GP$21))*GU23</f>
        <v>0</v>
      </c>
      <c r="HA23" s="63">
        <f>((GM23*HA$21)+(GM23*GO$21)+(GM23*GP$21))*GV23</f>
        <v>0</v>
      </c>
      <c r="HB23" s="63">
        <f>((GM23*HB$21)+(GM23*GP$21)+(GM23*GO$21))*GW23</f>
        <v>0</v>
      </c>
      <c r="HC23" s="63">
        <f>((GM23*HC$21)+(GM23*GO$21)+(GM23*GP$21))*GX23</f>
        <v>0</v>
      </c>
      <c r="HD23" s="63">
        <f>((GM23*HD$21)+(GM23*GO$21)+(GM23*GP$21))*GY23</f>
        <v>0</v>
      </c>
      <c r="HE23" s="61">
        <f>SUM(GZ23:HD23)</f>
        <v>0</v>
      </c>
      <c r="HF23" s="64">
        <v>0</v>
      </c>
      <c r="HG23" s="65">
        <f>IF(GK23=1,($C$1*$W$6),0)</f>
        <v>0</v>
      </c>
      <c r="HH23" s="212">
        <f>GT23+HE23+HF23+HG23</f>
        <v>4028.0980777777777</v>
      </c>
      <c r="HI23" s="49">
        <v>0</v>
      </c>
      <c r="HJ23" s="59" t="s">
        <v>192</v>
      </c>
      <c r="HK23" s="28">
        <f>HL23/$AY$4</f>
        <v>13.321409090909091</v>
      </c>
      <c r="HL23" s="60">
        <v>2930.71</v>
      </c>
      <c r="HM23" s="28">
        <f>HL23*HM$21</f>
        <v>293.07100000000003</v>
      </c>
      <c r="HN23" s="28">
        <f>HL23*HN$21</f>
        <v>234.45680000000002</v>
      </c>
      <c r="HO23" s="28">
        <f>HL23/HO$21</f>
        <v>244.22583333333333</v>
      </c>
      <c r="HP23" s="28">
        <f>HO23/HP$21</f>
        <v>81.408611111111114</v>
      </c>
      <c r="HQ23" s="61">
        <f>HL23/HQ$21</f>
        <v>244.22583333333333</v>
      </c>
      <c r="HR23" s="61">
        <f>SUM(HL23:HQ23)</f>
        <v>4028.0980777777777</v>
      </c>
      <c r="HS23" s="62"/>
      <c r="HT23" s="62"/>
      <c r="HU23" s="62"/>
      <c r="HV23" s="62"/>
      <c r="HW23" s="62"/>
      <c r="HX23" s="63">
        <f>((HK23*HX$21)+(HK23*HM$21)+(HK23*HN$21))*HS23</f>
        <v>0</v>
      </c>
      <c r="HY23" s="63">
        <f>((HK23*HY$21)+(HK23*HM$21)+(HK23*HN$21))*HT23</f>
        <v>0</v>
      </c>
      <c r="HZ23" s="63">
        <f>((HK23*HZ$21)+(HK23*HN$21)+(HK23*HM$21))*HU23</f>
        <v>0</v>
      </c>
      <c r="IA23" s="63">
        <f>((HK23*IA$21)+(HK23*HM$21)+(HK23*HN$21))*HV23</f>
        <v>0</v>
      </c>
      <c r="IB23" s="63">
        <f>((HK23*IB$21)+(HK23*HM$21)+(HK23*HN$21))*HW23</f>
        <v>0</v>
      </c>
      <c r="IC23" s="61">
        <f>SUM(HX23:IB23)</f>
        <v>0</v>
      </c>
      <c r="ID23" s="64">
        <v>0</v>
      </c>
      <c r="IE23" s="65">
        <f>IF(HI23=1,($C$1*$W$6),0)</f>
        <v>0</v>
      </c>
      <c r="IF23" s="212">
        <f>HR23+IC23+ID23+IE23</f>
        <v>4028.0980777777777</v>
      </c>
      <c r="IG23" s="49">
        <v>0</v>
      </c>
      <c r="IH23" s="59" t="s">
        <v>192</v>
      </c>
      <c r="II23" s="28">
        <f>IJ23/$AY$4</f>
        <v>13.321409090909091</v>
      </c>
      <c r="IJ23" s="60">
        <v>2930.71</v>
      </c>
      <c r="IK23" s="28">
        <f>IJ23*IK$21</f>
        <v>293.07100000000003</v>
      </c>
      <c r="IL23" s="28">
        <f>IJ23*IL$21</f>
        <v>234.45680000000002</v>
      </c>
      <c r="IM23" s="28">
        <f>IJ23/IM$21</f>
        <v>244.22583333333333</v>
      </c>
      <c r="IN23" s="28">
        <f>IM23/IN$21</f>
        <v>81.408611111111114</v>
      </c>
      <c r="IO23" s="61">
        <f>IJ23/IO$21</f>
        <v>244.22583333333333</v>
      </c>
      <c r="IP23" s="61">
        <f>SUM(IJ23:IO23)</f>
        <v>4028.0980777777777</v>
      </c>
      <c r="IQ23" s="62"/>
      <c r="IR23" s="62"/>
      <c r="IS23" s="62"/>
      <c r="IT23" s="62"/>
      <c r="IU23" s="62"/>
      <c r="IV23" s="63">
        <f>((II23*IV$21)+(II23*IK$21)+(II23*IL$21))*IQ23</f>
        <v>0</v>
      </c>
      <c r="IW23" s="63">
        <f>((II23*IW$21)+(II23*IK$21)+(II23*IL$21))*IR23</f>
        <v>0</v>
      </c>
      <c r="IX23" s="63">
        <f>((II23*IX$21)+(II23*IL$21)+(II23*IK$21))*IS23</f>
        <v>0</v>
      </c>
      <c r="IY23" s="63">
        <f>((II23*IY$21)+(II23*IK$21)+(II23*IL$21))*IT23</f>
        <v>0</v>
      </c>
      <c r="IZ23" s="63">
        <f>((II23*IZ$21)+(II23*IK$21)+(II23*IL$21))*IU23</f>
        <v>0</v>
      </c>
      <c r="JA23" s="61">
        <f>SUM(IV23:IZ23)</f>
        <v>0</v>
      </c>
      <c r="JB23" s="64">
        <v>0</v>
      </c>
      <c r="JC23" s="65">
        <f>IF(IG23=1,($C$1*$W$6),0)</f>
        <v>0</v>
      </c>
      <c r="JD23" s="476">
        <f>IP23+JA23+JB23+JC23</f>
        <v>4028.0980777777777</v>
      </c>
      <c r="JE23" s="49">
        <v>0</v>
      </c>
      <c r="JF23" s="59" t="s">
        <v>192</v>
      </c>
      <c r="JG23" s="28">
        <f>JH23/$AY$4</f>
        <v>13.321409090909091</v>
      </c>
      <c r="JH23" s="60">
        <v>2930.71</v>
      </c>
      <c r="JI23" s="28">
        <f>JH23*JI$21</f>
        <v>293.07100000000003</v>
      </c>
      <c r="JJ23" s="28">
        <f>JH23*JJ$21</f>
        <v>234.45680000000002</v>
      </c>
      <c r="JK23" s="28">
        <f>JH23/JK$21</f>
        <v>244.22583333333333</v>
      </c>
      <c r="JL23" s="28">
        <f>JK23/JL$21</f>
        <v>81.408611111111114</v>
      </c>
      <c r="JM23" s="61">
        <f>JH23/JM$21</f>
        <v>244.22583333333333</v>
      </c>
      <c r="JN23" s="61">
        <f>SUM(JH23:JM23)</f>
        <v>4028.0980777777777</v>
      </c>
      <c r="JO23" s="62"/>
      <c r="JP23" s="62"/>
      <c r="JQ23" s="62"/>
      <c r="JR23" s="62"/>
      <c r="JS23" s="62"/>
      <c r="JT23" s="63">
        <f>((JG23*JT$21)+(JG23*JI$21)+(JG23*JJ$21))*JO23</f>
        <v>0</v>
      </c>
      <c r="JU23" s="63">
        <f>((JG23*JU$21)+(JG23*JI$21)+(JG23*JJ$21))*JP23</f>
        <v>0</v>
      </c>
      <c r="JV23" s="63">
        <f>((JG23*JV$21)+(JG23*JJ$21)+(JG23*JI$21))*JQ23</f>
        <v>0</v>
      </c>
      <c r="JW23" s="63">
        <f>((JG23*JW$21)+(JG23*JI$21)+(JG23*JJ$21))*JR23</f>
        <v>0</v>
      </c>
      <c r="JX23" s="63">
        <f>((JG23*JX$21)+(JG23*JI$21)+(JG23*JJ$21))*JS23</f>
        <v>0</v>
      </c>
      <c r="JY23" s="61">
        <f>SUM(JT23:JX23)</f>
        <v>0</v>
      </c>
      <c r="JZ23" s="64">
        <v>0</v>
      </c>
      <c r="KA23" s="65">
        <f>IF(JE23=1,($C$1*$W$6),0)</f>
        <v>0</v>
      </c>
      <c r="KB23" s="476">
        <f>JN23+JY23+JZ23+KA23</f>
        <v>4028.0980777777777</v>
      </c>
      <c r="KC23" s="37"/>
      <c r="KD23" s="37"/>
      <c r="KE23" s="37"/>
      <c r="KF23" s="37"/>
      <c r="KG23" s="37"/>
      <c r="KH23" s="37"/>
      <c r="KI23" s="37"/>
      <c r="KJ23" s="37"/>
    </row>
    <row r="24" spans="1:296" x14ac:dyDescent="0.3">
      <c r="A24" s="49">
        <v>0</v>
      </c>
      <c r="B24" s="59"/>
      <c r="C24" s="28">
        <f>D24/$AY$4</f>
        <v>0</v>
      </c>
      <c r="D24" s="60">
        <v>0</v>
      </c>
      <c r="E24" s="28">
        <f t="shared" ref="E24:E26" si="202">D24*E$21</f>
        <v>0</v>
      </c>
      <c r="F24" s="28">
        <f t="shared" ref="F24:F26" si="203">D24*F$21</f>
        <v>0</v>
      </c>
      <c r="G24" s="28">
        <f t="shared" ref="G24:G26" si="204">D24/G$21</f>
        <v>0</v>
      </c>
      <c r="H24" s="28">
        <f t="shared" ref="H24:H26" si="205">G24/H$21</f>
        <v>0</v>
      </c>
      <c r="I24" s="61">
        <f t="shared" ref="I24:I26" si="206">D24/I$21</f>
        <v>0</v>
      </c>
      <c r="J24" s="61">
        <f>SUM(D24:I24)</f>
        <v>0</v>
      </c>
      <c r="K24" s="62"/>
      <c r="L24" s="62"/>
      <c r="M24" s="62"/>
      <c r="N24" s="62"/>
      <c r="O24" s="62"/>
      <c r="P24" s="63">
        <f t="shared" ref="P24:P26" si="207">((C24*P$21)+(C24*E$21)+(C24*F$21))*K24</f>
        <v>0</v>
      </c>
      <c r="Q24" s="63">
        <f t="shared" ref="Q24:Q26" si="208">((C24*Q$6)+(C24*E$6)+(C24*F$6))*L24</f>
        <v>0</v>
      </c>
      <c r="R24" s="63">
        <f t="shared" ref="R24:R26" si="209">((C24*R$6)+(C24*F$6)+(C24*E$6))*M24</f>
        <v>0</v>
      </c>
      <c r="S24" s="63">
        <f t="shared" ref="S24:S26" si="210">((C24*S$6)+(C24*E$6)+(C24*F$6))*N24</f>
        <v>0</v>
      </c>
      <c r="T24" s="63">
        <f t="shared" ref="T24:T26" si="211">((C24*T$21)+(C24*E$21)+(C24*F$21))*O24</f>
        <v>0</v>
      </c>
      <c r="U24" s="61">
        <f t="shared" ref="U24:U26" si="212">SUM(P24:T24)</f>
        <v>0</v>
      </c>
      <c r="V24" s="64">
        <v>0</v>
      </c>
      <c r="W24" s="65">
        <f>IF(A24=1,($C$1*$W$6),0)</f>
        <v>0</v>
      </c>
      <c r="X24" s="212">
        <f>J24+U24+V24+W24</f>
        <v>0</v>
      </c>
      <c r="Y24" s="49">
        <v>0</v>
      </c>
      <c r="Z24" s="59"/>
      <c r="AA24" s="28">
        <f>AB24/$AY$4</f>
        <v>0</v>
      </c>
      <c r="AB24" s="60">
        <v>0</v>
      </c>
      <c r="AC24" s="28">
        <f t="shared" ref="AC24:AC26" si="213">AB24*AC$21</f>
        <v>0</v>
      </c>
      <c r="AD24" s="28">
        <f t="shared" ref="AD24:AD26" si="214">AB24*AD$21</f>
        <v>0</v>
      </c>
      <c r="AE24" s="28">
        <f t="shared" ref="AE24:AE26" si="215">AB24/AE$21</f>
        <v>0</v>
      </c>
      <c r="AF24" s="28">
        <f t="shared" ref="AF24:AF26" si="216">AE24/AF$21</f>
        <v>0</v>
      </c>
      <c r="AG24" s="61">
        <f t="shared" ref="AG24:AG26" si="217">AB24/AG$21</f>
        <v>0</v>
      </c>
      <c r="AH24" s="61">
        <f>SUM(AB24:AG24)</f>
        <v>0</v>
      </c>
      <c r="AI24" s="62"/>
      <c r="AJ24" s="62"/>
      <c r="AK24" s="62"/>
      <c r="AL24" s="62"/>
      <c r="AM24" s="62"/>
      <c r="AN24" s="63">
        <f t="shared" ref="AN24:AN26" si="218">((AA24*AN$21)+(AA24*AC$21)+(AA24*AD$21))*AI24</f>
        <v>0</v>
      </c>
      <c r="AO24" s="63">
        <f t="shared" ref="AO24:AO26" si="219">((AA24*AO$6)+(AA24*AC$6)+(AA24*AD$6))*AJ24</f>
        <v>0</v>
      </c>
      <c r="AP24" s="63">
        <f t="shared" ref="AP24:AP26" si="220">((AA24*AP$6)+(AA24*AD$6)+(AA24*AC$6))*AK24</f>
        <v>0</v>
      </c>
      <c r="AQ24" s="63">
        <f t="shared" ref="AQ24:AQ26" si="221">((AA24*AQ$6)+(AA24*AC$6)+(AA24*AD$6))*AL24</f>
        <v>0</v>
      </c>
      <c r="AR24" s="63">
        <f t="shared" ref="AR24:AR26" si="222">((AA24*AR$21)+(AA24*AC$21)+(AA24*AD$21))*AM24</f>
        <v>0</v>
      </c>
      <c r="AS24" s="61">
        <f t="shared" ref="AS24:AS26" si="223">SUM(AN24:AR24)</f>
        <v>0</v>
      </c>
      <c r="AT24" s="64">
        <v>0</v>
      </c>
      <c r="AU24" s="65">
        <f>IF(Y24=1,($C$1*$W$6),0)</f>
        <v>0</v>
      </c>
      <c r="AV24" s="212">
        <f>AH24+AS24+AT24+AU24</f>
        <v>0</v>
      </c>
      <c r="AW24" s="49">
        <v>0</v>
      </c>
      <c r="AX24" s="59"/>
      <c r="AY24" s="28">
        <f>AZ24/$AY$4</f>
        <v>0</v>
      </c>
      <c r="AZ24" s="60">
        <v>0</v>
      </c>
      <c r="BA24" s="28">
        <f t="shared" ref="BA24:BA26" si="224">AZ24*BA$21</f>
        <v>0</v>
      </c>
      <c r="BB24" s="28">
        <f t="shared" ref="BB24:BB26" si="225">AZ24*BB$21</f>
        <v>0</v>
      </c>
      <c r="BC24" s="28">
        <f t="shared" ref="BC24:BC26" si="226">AZ24/BC$21</f>
        <v>0</v>
      </c>
      <c r="BD24" s="28">
        <f t="shared" ref="BD24:BD26" si="227">BC24/BD$21</f>
        <v>0</v>
      </c>
      <c r="BE24" s="61">
        <f t="shared" ref="BE24:BE26" si="228">AZ24/BE$21</f>
        <v>0</v>
      </c>
      <c r="BF24" s="61">
        <f>SUM(AZ24:BE24)</f>
        <v>0</v>
      </c>
      <c r="BG24" s="62"/>
      <c r="BH24" s="62"/>
      <c r="BI24" s="62"/>
      <c r="BJ24" s="62"/>
      <c r="BK24" s="62"/>
      <c r="BL24" s="63">
        <f t="shared" ref="BL24:BL26" si="229">((AY24*BL$21)+(AY24*BA$21)+(AY24*BB$21))*BG24</f>
        <v>0</v>
      </c>
      <c r="BM24" s="63">
        <f t="shared" ref="BM24:BM26" si="230">((AY24*BM$6)+(AY24*BA$6)+(AY24*BB$6))*BH24</f>
        <v>0</v>
      </c>
      <c r="BN24" s="63">
        <f t="shared" ref="BN24:BN26" si="231">((AY24*BN$6)+(AY24*BB$6)+(AY24*BA$6))*BI24</f>
        <v>0</v>
      </c>
      <c r="BO24" s="63">
        <f t="shared" ref="BO24:BO26" si="232">((AY24*BO$6)+(AY24*BA$6)+(AY24*BB$6))*BJ24</f>
        <v>0</v>
      </c>
      <c r="BP24" s="63">
        <f t="shared" ref="BP24:BP26" si="233">((AY24*BP$21)+(AY24*BA$21)+(AY24*BB$21))*BK24</f>
        <v>0</v>
      </c>
      <c r="BQ24" s="61">
        <f t="shared" ref="BQ24:BQ26" si="234">SUM(BL24:BP24)</f>
        <v>0</v>
      </c>
      <c r="BR24" s="64">
        <v>0</v>
      </c>
      <c r="BS24" s="65">
        <f>IF(AW24=1,($C$1*$W$6),0)</f>
        <v>0</v>
      </c>
      <c r="BT24" s="212">
        <f>BF24+BQ24+BR24+BS24</f>
        <v>0</v>
      </c>
      <c r="BU24" s="49">
        <v>0</v>
      </c>
      <c r="BV24" s="59"/>
      <c r="BW24" s="28">
        <f>BX24/$AY$4</f>
        <v>0</v>
      </c>
      <c r="BX24" s="60">
        <v>0</v>
      </c>
      <c r="BY24" s="28">
        <f t="shared" ref="BY24:BY26" si="235">BX24*BY$21</f>
        <v>0</v>
      </c>
      <c r="BZ24" s="28">
        <f t="shared" ref="BZ24:BZ26" si="236">BX24*BZ$21</f>
        <v>0</v>
      </c>
      <c r="CA24" s="28">
        <f t="shared" ref="CA24:CA26" si="237">BX24/CA$21</f>
        <v>0</v>
      </c>
      <c r="CB24" s="28">
        <f t="shared" ref="CB24:CB26" si="238">CA24/CB$21</f>
        <v>0</v>
      </c>
      <c r="CC24" s="61">
        <f t="shared" ref="CC24:CC26" si="239">BX24/CC$21</f>
        <v>0</v>
      </c>
      <c r="CD24" s="61">
        <f>SUM(BX24:CC24)</f>
        <v>0</v>
      </c>
      <c r="CE24" s="62"/>
      <c r="CF24" s="62"/>
      <c r="CG24" s="62"/>
      <c r="CH24" s="62"/>
      <c r="CI24" s="62"/>
      <c r="CJ24" s="63">
        <f t="shared" ref="CJ24:CJ26" si="240">((BW24*CJ$21)+(BW24*BY$21)+(BW24*BZ$21))*CE24</f>
        <v>0</v>
      </c>
      <c r="CK24" s="63">
        <f t="shared" ref="CK24:CK26" si="241">((BW24*CK$6)+(BW24*BY$6)+(BW24*BZ$6))*CF24</f>
        <v>0</v>
      </c>
      <c r="CL24" s="63">
        <f t="shared" ref="CL24:CL26" si="242">((BW24*CL$6)+(BW24*BZ$6)+(BW24*BY$6))*CG24</f>
        <v>0</v>
      </c>
      <c r="CM24" s="63">
        <f t="shared" ref="CM24:CM26" si="243">((BW24*CM$6)+(BW24*BY$6)+(BW24*BZ$6))*CH24</f>
        <v>0</v>
      </c>
      <c r="CN24" s="63">
        <f t="shared" ref="CN24:CN26" si="244">((BW24*CN$21)+(BW24*BY$21)+(BW24*BZ$21))*CI24</f>
        <v>0</v>
      </c>
      <c r="CO24" s="61">
        <f t="shared" ref="CO24:CO26" si="245">SUM(CJ24:CN24)</f>
        <v>0</v>
      </c>
      <c r="CP24" s="64">
        <v>0</v>
      </c>
      <c r="CQ24" s="65">
        <f>IF(BU24=1,($C$1*$W$6),0)</f>
        <v>0</v>
      </c>
      <c r="CR24" s="212">
        <f>CD24+CO24+CP24+CQ24</f>
        <v>0</v>
      </c>
      <c r="CS24" s="49">
        <v>0</v>
      </c>
      <c r="CT24" s="59"/>
      <c r="CU24" s="28">
        <f>CV24/$AY$4</f>
        <v>0</v>
      </c>
      <c r="CV24" s="60">
        <v>0</v>
      </c>
      <c r="CW24" s="28">
        <f t="shared" ref="CW24:CW26" si="246">CV24*CW$21</f>
        <v>0</v>
      </c>
      <c r="CX24" s="28">
        <f t="shared" ref="CX24:CX26" si="247">CV24*CX$21</f>
        <v>0</v>
      </c>
      <c r="CY24" s="28">
        <f t="shared" ref="CY24:CY26" si="248">CV24/CY$21</f>
        <v>0</v>
      </c>
      <c r="CZ24" s="28">
        <f t="shared" ref="CZ24:CZ26" si="249">CY24/CZ$21</f>
        <v>0</v>
      </c>
      <c r="DA24" s="61">
        <f t="shared" ref="DA24:DA26" si="250">CV24/DA$21</f>
        <v>0</v>
      </c>
      <c r="DB24" s="61">
        <f>SUM(CV24:DA24)</f>
        <v>0</v>
      </c>
      <c r="DC24" s="62"/>
      <c r="DD24" s="62"/>
      <c r="DE24" s="62"/>
      <c r="DF24" s="62"/>
      <c r="DG24" s="62"/>
      <c r="DH24" s="63">
        <f t="shared" ref="DH24:DH26" si="251">((CU24*DH$21)+(CU24*CW$21)+(CU24*CX$21))*DC24</f>
        <v>0</v>
      </c>
      <c r="DI24" s="63">
        <f t="shared" ref="DI24:DI26" si="252">((CU24*DI$6)+(CU24*CW$6)+(CU24*CX$6))*DD24</f>
        <v>0</v>
      </c>
      <c r="DJ24" s="63">
        <f t="shared" ref="DJ24:DJ26" si="253">((CU24*DJ$6)+(CU24*CX$6)+(CU24*CW$6))*DE24</f>
        <v>0</v>
      </c>
      <c r="DK24" s="63">
        <f t="shared" ref="DK24:DK26" si="254">((CU24*DK$6)+(CU24*CW$6)+(CU24*CX$6))*DF24</f>
        <v>0</v>
      </c>
      <c r="DL24" s="63">
        <f t="shared" ref="DL24:DL26" si="255">((CU24*DL$21)+(CU24*CW$21)+(CU24*CX$21))*DG24</f>
        <v>0</v>
      </c>
      <c r="DM24" s="61">
        <f t="shared" ref="DM24:DM26" si="256">SUM(DH24:DL24)</f>
        <v>0</v>
      </c>
      <c r="DN24" s="64">
        <v>0</v>
      </c>
      <c r="DO24" s="65">
        <f>IF(CS24=1,($C$1*$W$6),0)</f>
        <v>0</v>
      </c>
      <c r="DP24" s="212">
        <f>DB24+DM24+DN24+DO24</f>
        <v>0</v>
      </c>
      <c r="DQ24" s="49">
        <v>0</v>
      </c>
      <c r="DR24" s="59"/>
      <c r="DS24" s="28">
        <f>DT24/$AY$4</f>
        <v>0</v>
      </c>
      <c r="DT24" s="60">
        <v>0</v>
      </c>
      <c r="DU24" s="28">
        <f t="shared" ref="DU24:DU26" si="257">DT24*DU$21</f>
        <v>0</v>
      </c>
      <c r="DV24" s="28">
        <f t="shared" ref="DV24:DV26" si="258">DT24*DV$21</f>
        <v>0</v>
      </c>
      <c r="DW24" s="28">
        <f t="shared" ref="DW24:DW26" si="259">DT24/DW$21</f>
        <v>0</v>
      </c>
      <c r="DX24" s="28">
        <f t="shared" ref="DX24:DX26" si="260">DW24/DX$21</f>
        <v>0</v>
      </c>
      <c r="DY24" s="61">
        <f t="shared" ref="DY24:DY26" si="261">DT24/DY$21</f>
        <v>0</v>
      </c>
      <c r="DZ24" s="61">
        <f>SUM(DT24:DY24)</f>
        <v>0</v>
      </c>
      <c r="EA24" s="62"/>
      <c r="EB24" s="62"/>
      <c r="EC24" s="62"/>
      <c r="ED24" s="62"/>
      <c r="EE24" s="62"/>
      <c r="EF24" s="63">
        <f t="shared" ref="EF24:EF26" si="262">((DS24*EF$21)+(DS24*DU$21)+(DS24*DV$21))*EA24</f>
        <v>0</v>
      </c>
      <c r="EG24" s="63">
        <f t="shared" ref="EG24:EG26" si="263">((DS24*EG$6)+(DS24*DU$6)+(DS24*DV$6))*EB24</f>
        <v>0</v>
      </c>
      <c r="EH24" s="63">
        <f t="shared" ref="EH24:EH26" si="264">((DS24*EH$6)+(DS24*DV$6)+(DS24*DU$6))*EC24</f>
        <v>0</v>
      </c>
      <c r="EI24" s="63">
        <f t="shared" ref="EI24:EI26" si="265">((DS24*EI$6)+(DS24*DU$6)+(DS24*DV$6))*ED24</f>
        <v>0</v>
      </c>
      <c r="EJ24" s="63">
        <f t="shared" ref="EJ24:EJ26" si="266">((DS24*EJ$21)+(DS24*DU$21)+(DS24*DV$21))*EE24</f>
        <v>0</v>
      </c>
      <c r="EK24" s="61">
        <f t="shared" ref="EK24:EK26" si="267">SUM(EF24:EJ24)</f>
        <v>0</v>
      </c>
      <c r="EL24" s="64">
        <v>0</v>
      </c>
      <c r="EM24" s="65">
        <f>IF(DQ24=1,($C$1*$W$6),0)</f>
        <v>0</v>
      </c>
      <c r="EN24" s="212">
        <f>DZ24+EK24+EL24+EM24</f>
        <v>0</v>
      </c>
      <c r="EO24" s="49">
        <v>0</v>
      </c>
      <c r="EP24" s="59"/>
      <c r="EQ24" s="28">
        <f>ER24/$AY$4</f>
        <v>0</v>
      </c>
      <c r="ER24" s="60">
        <v>0</v>
      </c>
      <c r="ES24" s="28">
        <f t="shared" ref="ES24:ES26" si="268">ER24*ES$21</f>
        <v>0</v>
      </c>
      <c r="ET24" s="28">
        <f t="shared" ref="ET24:ET26" si="269">ER24*ET$21</f>
        <v>0</v>
      </c>
      <c r="EU24" s="28">
        <f t="shared" ref="EU24:EU26" si="270">ER24/EU$21</f>
        <v>0</v>
      </c>
      <c r="EV24" s="28">
        <f t="shared" ref="EV24:EV26" si="271">EU24/EV$21</f>
        <v>0</v>
      </c>
      <c r="EW24" s="61">
        <f t="shared" ref="EW24:EW26" si="272">ER24/EW$21</f>
        <v>0</v>
      </c>
      <c r="EX24" s="61">
        <f>SUM(ER24:EW24)</f>
        <v>0</v>
      </c>
      <c r="EY24" s="62"/>
      <c r="EZ24" s="62"/>
      <c r="FA24" s="62"/>
      <c r="FB24" s="62"/>
      <c r="FC24" s="62"/>
      <c r="FD24" s="63">
        <f t="shared" ref="FD24:FD26" si="273">((EQ24*FD$21)+(EQ24*ES$21)+(EQ24*ET$21))*EY24</f>
        <v>0</v>
      </c>
      <c r="FE24" s="63">
        <f t="shared" ref="FE24:FE26" si="274">((EQ24*FE$6)+(EQ24*ES$6)+(EQ24*ET$6))*EZ24</f>
        <v>0</v>
      </c>
      <c r="FF24" s="63">
        <f t="shared" ref="FF24:FF26" si="275">((EQ24*FF$6)+(EQ24*ET$6)+(EQ24*ES$6))*FA24</f>
        <v>0</v>
      </c>
      <c r="FG24" s="63">
        <f t="shared" ref="FG24:FG26" si="276">((EQ24*FG$6)+(EQ24*ES$6)+(EQ24*ET$6))*FB24</f>
        <v>0</v>
      </c>
      <c r="FH24" s="63">
        <f t="shared" ref="FH24:FH26" si="277">((EQ24*FH$21)+(EQ24*ES$21)+(EQ24*ET$21))*FC24</f>
        <v>0</v>
      </c>
      <c r="FI24" s="61">
        <f t="shared" ref="FI24:FI26" si="278">SUM(FD24:FH24)</f>
        <v>0</v>
      </c>
      <c r="FJ24" s="64">
        <v>0</v>
      </c>
      <c r="FK24" s="65">
        <f>IF(EO24=1,($C$1*$W$6),0)</f>
        <v>0</v>
      </c>
      <c r="FL24" s="212">
        <f>EX24+FI24+FJ24+FK24</f>
        <v>0</v>
      </c>
      <c r="FM24" s="49">
        <v>0</v>
      </c>
      <c r="FN24" s="59"/>
      <c r="FO24" s="28">
        <f>FP24/$AY$4</f>
        <v>0</v>
      </c>
      <c r="FP24" s="60">
        <v>0</v>
      </c>
      <c r="FQ24" s="28">
        <f t="shared" ref="FQ24:FQ26" si="279">FP24*FQ$21</f>
        <v>0</v>
      </c>
      <c r="FR24" s="28">
        <f t="shared" ref="FR24:FR26" si="280">FP24*FR$21</f>
        <v>0</v>
      </c>
      <c r="FS24" s="28">
        <f t="shared" ref="FS24:FS26" si="281">FP24/FS$21</f>
        <v>0</v>
      </c>
      <c r="FT24" s="28">
        <f t="shared" ref="FT24:FT26" si="282">FS24/FT$21</f>
        <v>0</v>
      </c>
      <c r="FU24" s="61">
        <f t="shared" ref="FU24:FU26" si="283">FP24/FU$21</f>
        <v>0</v>
      </c>
      <c r="FV24" s="61">
        <f>SUM(FP24:FU24)</f>
        <v>0</v>
      </c>
      <c r="FW24" s="62"/>
      <c r="FX24" s="62"/>
      <c r="FY24" s="62"/>
      <c r="FZ24" s="62"/>
      <c r="GA24" s="62"/>
      <c r="GB24" s="63">
        <f t="shared" ref="GB24:GB26" si="284">((FO24*GB$21)+(FO24*FQ$21)+(FO24*FR$21))*FW24</f>
        <v>0</v>
      </c>
      <c r="GC24" s="63">
        <f t="shared" ref="GC24:GC26" si="285">((FO24*GC$6)+(FO24*FQ$6)+(FO24*FR$6))*FX24</f>
        <v>0</v>
      </c>
      <c r="GD24" s="63">
        <f t="shared" ref="GD24:GD26" si="286">((FO24*GD$6)+(FO24*FR$6)+(FO24*FQ$6))*FY24</f>
        <v>0</v>
      </c>
      <c r="GE24" s="63">
        <f t="shared" ref="GE24:GE26" si="287">((FO24*GE$6)+(FO24*FQ$6)+(FO24*FR$6))*FZ24</f>
        <v>0</v>
      </c>
      <c r="GF24" s="63">
        <f t="shared" ref="GF24:GF26" si="288">((FO24*GF$21)+(FO24*FQ$21)+(FO24*FR$21))*GA24</f>
        <v>0</v>
      </c>
      <c r="GG24" s="61">
        <f t="shared" ref="GG24:GG26" si="289">SUM(GB24:GF24)</f>
        <v>0</v>
      </c>
      <c r="GH24" s="64">
        <v>0</v>
      </c>
      <c r="GI24" s="65">
        <f>IF(FM24=1,($C$1*$W$6),0)</f>
        <v>0</v>
      </c>
      <c r="GJ24" s="212">
        <f>FV24+GG24+GH24+GI24</f>
        <v>0</v>
      </c>
      <c r="GK24" s="49">
        <v>0</v>
      </c>
      <c r="GL24" s="59"/>
      <c r="GM24" s="28">
        <f>GN24/$AY$4</f>
        <v>0</v>
      </c>
      <c r="GN24" s="60">
        <v>0</v>
      </c>
      <c r="GO24" s="28">
        <f t="shared" ref="GO24:GO26" si="290">GN24*GO$21</f>
        <v>0</v>
      </c>
      <c r="GP24" s="28">
        <f t="shared" ref="GP24:GP26" si="291">GN24*GP$21</f>
        <v>0</v>
      </c>
      <c r="GQ24" s="28">
        <f t="shared" ref="GQ24:GQ26" si="292">GN24/GQ$21</f>
        <v>0</v>
      </c>
      <c r="GR24" s="28">
        <f t="shared" ref="GR24:GR26" si="293">GQ24/GR$21</f>
        <v>0</v>
      </c>
      <c r="GS24" s="61">
        <f t="shared" ref="GS24:GS26" si="294">GN24/GS$21</f>
        <v>0</v>
      </c>
      <c r="GT24" s="61">
        <f>SUM(GN24:GS24)</f>
        <v>0</v>
      </c>
      <c r="GU24" s="62"/>
      <c r="GV24" s="62"/>
      <c r="GW24" s="62"/>
      <c r="GX24" s="62"/>
      <c r="GY24" s="62"/>
      <c r="GZ24" s="63">
        <f t="shared" ref="GZ24:GZ26" si="295">((GM24*GZ$21)+(GM24*GO$21)+(GM24*GP$21))*GU24</f>
        <v>0</v>
      </c>
      <c r="HA24" s="63">
        <f t="shared" ref="HA24:HA26" si="296">((GM24*HA$6)+(GM24*GO$6)+(GM24*GP$6))*GV24</f>
        <v>0</v>
      </c>
      <c r="HB24" s="63">
        <f t="shared" ref="HB24:HB26" si="297">((GM24*HB$6)+(GM24*GP$6)+(GM24*GO$6))*GW24</f>
        <v>0</v>
      </c>
      <c r="HC24" s="63">
        <f t="shared" ref="HC24:HC26" si="298">((GM24*HC$6)+(GM24*GO$6)+(GM24*GP$6))*GX24</f>
        <v>0</v>
      </c>
      <c r="HD24" s="63">
        <f t="shared" ref="HD24:HD26" si="299">((GM24*HD$21)+(GM24*GO$21)+(GM24*GP$21))*GY24</f>
        <v>0</v>
      </c>
      <c r="HE24" s="61">
        <f t="shared" ref="HE24:HE26" si="300">SUM(GZ24:HD24)</f>
        <v>0</v>
      </c>
      <c r="HF24" s="64">
        <v>0</v>
      </c>
      <c r="HG24" s="65">
        <f>IF(GK24=1,($C$1*$W$6),0)</f>
        <v>0</v>
      </c>
      <c r="HH24" s="212">
        <f>GT24+HE24+HF24+HG24</f>
        <v>0</v>
      </c>
      <c r="HI24" s="49">
        <v>0</v>
      </c>
      <c r="HJ24" s="59"/>
      <c r="HK24" s="28">
        <f>HL24/$AY$4</f>
        <v>0</v>
      </c>
      <c r="HL24" s="60">
        <v>0</v>
      </c>
      <c r="HM24" s="28">
        <f t="shared" ref="HM24:HM26" si="301">HL24*HM$21</f>
        <v>0</v>
      </c>
      <c r="HN24" s="28">
        <f t="shared" ref="HN24:HN26" si="302">HL24*HN$21</f>
        <v>0</v>
      </c>
      <c r="HO24" s="28">
        <f t="shared" ref="HO24:HO26" si="303">HL24/HO$21</f>
        <v>0</v>
      </c>
      <c r="HP24" s="28">
        <f t="shared" ref="HP24:HP26" si="304">HO24/HP$21</f>
        <v>0</v>
      </c>
      <c r="HQ24" s="61">
        <f t="shared" ref="HQ24:HQ26" si="305">HL24/HQ$21</f>
        <v>0</v>
      </c>
      <c r="HR24" s="61">
        <f>SUM(HL24:HQ24)</f>
        <v>0</v>
      </c>
      <c r="HS24" s="62"/>
      <c r="HT24" s="62"/>
      <c r="HU24" s="62"/>
      <c r="HV24" s="62"/>
      <c r="HW24" s="62"/>
      <c r="HX24" s="63">
        <f t="shared" ref="HX24:HX26" si="306">((HK24*HX$21)+(HK24*HM$21)+(HK24*HN$21))*HS24</f>
        <v>0</v>
      </c>
      <c r="HY24" s="63">
        <f t="shared" ref="HY24:HY26" si="307">((HK24*HY$6)+(HK24*HM$6)+(HK24*HN$6))*HT24</f>
        <v>0</v>
      </c>
      <c r="HZ24" s="63">
        <f t="shared" ref="HZ24:HZ26" si="308">((HK24*HZ$6)+(HK24*HN$6)+(HK24*HM$6))*HU24</f>
        <v>0</v>
      </c>
      <c r="IA24" s="63">
        <f t="shared" ref="IA24:IA26" si="309">((HK24*IA$6)+(HK24*HM$6)+(HK24*HN$6))*HV24</f>
        <v>0</v>
      </c>
      <c r="IB24" s="63">
        <f t="shared" ref="IB24:IB26" si="310">((HK24*IB$21)+(HK24*HM$21)+(HK24*HN$21))*HW24</f>
        <v>0</v>
      </c>
      <c r="IC24" s="61">
        <f t="shared" ref="IC24:IC26" si="311">SUM(HX24:IB24)</f>
        <v>0</v>
      </c>
      <c r="ID24" s="64">
        <v>0</v>
      </c>
      <c r="IE24" s="65">
        <f>IF(HI24=1,($C$1*$W$6),0)</f>
        <v>0</v>
      </c>
      <c r="IF24" s="212">
        <f>HR24+IC24+ID24+IE24</f>
        <v>0</v>
      </c>
      <c r="IG24" s="49">
        <v>0</v>
      </c>
      <c r="IH24" s="59"/>
      <c r="II24" s="28">
        <f>IJ24/$AY$4</f>
        <v>0</v>
      </c>
      <c r="IJ24" s="60">
        <v>0</v>
      </c>
      <c r="IK24" s="28">
        <f>IJ24*IK$21</f>
        <v>0</v>
      </c>
      <c r="IL24" s="28">
        <f>IJ24*IL$21</f>
        <v>0</v>
      </c>
      <c r="IM24" s="28">
        <f>IJ24/IM$21</f>
        <v>0</v>
      </c>
      <c r="IN24" s="28">
        <f>IM24/IN$21</f>
        <v>0</v>
      </c>
      <c r="IO24" s="61">
        <f>IJ24/IO$21</f>
        <v>0</v>
      </c>
      <c r="IP24" s="61">
        <f>SUM(IJ24:IO24)</f>
        <v>0</v>
      </c>
      <c r="IQ24" s="62"/>
      <c r="IR24" s="62"/>
      <c r="IS24" s="62"/>
      <c r="IT24" s="62"/>
      <c r="IU24" s="62"/>
      <c r="IV24" s="63">
        <f>((II24*IV$21)+(II24*IK$21)+(II24*IL$21))*IQ24</f>
        <v>0</v>
      </c>
      <c r="IW24" s="63">
        <f>((II24*IW$6)+(II24*IK$6)+(II24*IL$6))*IR24</f>
        <v>0</v>
      </c>
      <c r="IX24" s="63">
        <f>((II24*IX$6)+(II24*IL$6)+(II24*IK$6))*IS24</f>
        <v>0</v>
      </c>
      <c r="IY24" s="63">
        <f>((II24*IY$6)+(II24*IK$6)+(II24*IL$6))*IT24</f>
        <v>0</v>
      </c>
      <c r="IZ24" s="63">
        <f>((II24*IZ$21)+(II24*IK$21)+(II24*IL$21))*IU24</f>
        <v>0</v>
      </c>
      <c r="JA24" s="61">
        <f t="shared" ref="JA24:JA26" si="312">SUM(IV24:IZ24)</f>
        <v>0</v>
      </c>
      <c r="JB24" s="64">
        <v>0</v>
      </c>
      <c r="JC24" s="65">
        <f>IF(IG24=1,($C$1*$W$6),0)</f>
        <v>0</v>
      </c>
      <c r="JD24" s="476">
        <f>IP24+JA24+JB24+JC24</f>
        <v>0</v>
      </c>
      <c r="JE24" s="49">
        <v>0</v>
      </c>
      <c r="JF24" s="59"/>
      <c r="JG24" s="28">
        <f>JH24/$AY$4</f>
        <v>0</v>
      </c>
      <c r="JH24" s="60">
        <v>0</v>
      </c>
      <c r="JI24" s="28">
        <f>JH24*JI$21</f>
        <v>0</v>
      </c>
      <c r="JJ24" s="28">
        <f>JH24*JJ$21</f>
        <v>0</v>
      </c>
      <c r="JK24" s="28">
        <f>JH24/JK$21</f>
        <v>0</v>
      </c>
      <c r="JL24" s="28">
        <f>JK24/JL$21</f>
        <v>0</v>
      </c>
      <c r="JM24" s="61">
        <f>JH24/JM$21</f>
        <v>0</v>
      </c>
      <c r="JN24" s="61">
        <f>SUM(JH24:JM24)</f>
        <v>0</v>
      </c>
      <c r="JO24" s="62"/>
      <c r="JP24" s="62"/>
      <c r="JQ24" s="62"/>
      <c r="JR24" s="62"/>
      <c r="JS24" s="62"/>
      <c r="JT24" s="63">
        <f>((JG24*JT$21)+(JG24*JI$21)+(JG24*JJ$21))*JO24</f>
        <v>0</v>
      </c>
      <c r="JU24" s="63">
        <f>((JG24*JU$6)+(JG24*JI$6)+(JG24*JJ$6))*JP24</f>
        <v>0</v>
      </c>
      <c r="JV24" s="63">
        <f>((JG24*JV$6)+(JG24*JJ$6)+(JG24*JI$6))*JQ24</f>
        <v>0</v>
      </c>
      <c r="JW24" s="63">
        <f>((JG24*JW$6)+(JG24*JI$6)+(JG24*JJ$6))*JR24</f>
        <v>0</v>
      </c>
      <c r="JX24" s="63">
        <f>((JG24*JX$21)+(JG24*JI$21)+(JG24*JJ$21))*JS24</f>
        <v>0</v>
      </c>
      <c r="JY24" s="61">
        <f t="shared" ref="JY24:JY26" si="313">SUM(JT24:JX24)</f>
        <v>0</v>
      </c>
      <c r="JZ24" s="64">
        <v>0</v>
      </c>
      <c r="KA24" s="65">
        <f>IF(JE24=1,($C$1*$W$6),0)</f>
        <v>0</v>
      </c>
      <c r="KB24" s="476">
        <f>JN24+JY24+JZ24+KA24</f>
        <v>0</v>
      </c>
      <c r="KC24" s="37"/>
      <c r="KD24" s="37"/>
      <c r="KE24" s="37"/>
      <c r="KF24" s="37"/>
      <c r="KG24" s="37"/>
      <c r="KH24" s="37"/>
      <c r="KI24" s="37"/>
      <c r="KJ24" s="37"/>
    </row>
    <row r="25" spans="1:296" x14ac:dyDescent="0.3">
      <c r="A25" s="49">
        <v>0</v>
      </c>
      <c r="B25" s="59"/>
      <c r="C25" s="28">
        <f>D25/$AY$4</f>
        <v>0</v>
      </c>
      <c r="D25" s="60">
        <v>0</v>
      </c>
      <c r="E25" s="28">
        <f t="shared" si="202"/>
        <v>0</v>
      </c>
      <c r="F25" s="28">
        <f t="shared" si="203"/>
        <v>0</v>
      </c>
      <c r="G25" s="28">
        <f t="shared" si="204"/>
        <v>0</v>
      </c>
      <c r="H25" s="28">
        <f t="shared" si="205"/>
        <v>0</v>
      </c>
      <c r="I25" s="61">
        <f t="shared" si="206"/>
        <v>0</v>
      </c>
      <c r="J25" s="61">
        <f>SUM(D25:I25)</f>
        <v>0</v>
      </c>
      <c r="K25" s="62"/>
      <c r="L25" s="62"/>
      <c r="M25" s="62"/>
      <c r="N25" s="62"/>
      <c r="O25" s="62"/>
      <c r="P25" s="63">
        <f t="shared" si="207"/>
        <v>0</v>
      </c>
      <c r="Q25" s="63">
        <f t="shared" si="208"/>
        <v>0</v>
      </c>
      <c r="R25" s="63">
        <f t="shared" si="209"/>
        <v>0</v>
      </c>
      <c r="S25" s="63">
        <f t="shared" si="210"/>
        <v>0</v>
      </c>
      <c r="T25" s="63">
        <f t="shared" si="211"/>
        <v>0</v>
      </c>
      <c r="U25" s="61">
        <f t="shared" si="212"/>
        <v>0</v>
      </c>
      <c r="V25" s="64">
        <v>0</v>
      </c>
      <c r="W25" s="65">
        <f>IF(A25=1,($C$1*$W$6),0)</f>
        <v>0</v>
      </c>
      <c r="X25" s="212">
        <f>J25+U25+V25+W25</f>
        <v>0</v>
      </c>
      <c r="Y25" s="49">
        <v>0</v>
      </c>
      <c r="Z25" s="59"/>
      <c r="AA25" s="28">
        <f>AB25/$AY$4</f>
        <v>0</v>
      </c>
      <c r="AB25" s="60">
        <v>0</v>
      </c>
      <c r="AC25" s="28">
        <f t="shared" si="213"/>
        <v>0</v>
      </c>
      <c r="AD25" s="28">
        <f t="shared" si="214"/>
        <v>0</v>
      </c>
      <c r="AE25" s="28">
        <f t="shared" si="215"/>
        <v>0</v>
      </c>
      <c r="AF25" s="28">
        <f t="shared" si="216"/>
        <v>0</v>
      </c>
      <c r="AG25" s="61">
        <f t="shared" si="217"/>
        <v>0</v>
      </c>
      <c r="AH25" s="61">
        <f>SUM(AB25:AG25)</f>
        <v>0</v>
      </c>
      <c r="AI25" s="62"/>
      <c r="AJ25" s="62"/>
      <c r="AK25" s="62"/>
      <c r="AL25" s="62"/>
      <c r="AM25" s="62"/>
      <c r="AN25" s="63">
        <f t="shared" si="218"/>
        <v>0</v>
      </c>
      <c r="AO25" s="63">
        <f t="shared" si="219"/>
        <v>0</v>
      </c>
      <c r="AP25" s="63">
        <f t="shared" si="220"/>
        <v>0</v>
      </c>
      <c r="AQ25" s="63">
        <f t="shared" si="221"/>
        <v>0</v>
      </c>
      <c r="AR25" s="63">
        <f t="shared" si="222"/>
        <v>0</v>
      </c>
      <c r="AS25" s="61">
        <f t="shared" si="223"/>
        <v>0</v>
      </c>
      <c r="AT25" s="64">
        <v>0</v>
      </c>
      <c r="AU25" s="65">
        <f>IF(Y25=1,($C$1*$W$6),0)</f>
        <v>0</v>
      </c>
      <c r="AV25" s="212">
        <f>AH25+AS25+AT25+AU25</f>
        <v>0</v>
      </c>
      <c r="AW25" s="49">
        <v>0</v>
      </c>
      <c r="AX25" s="59"/>
      <c r="AY25" s="28">
        <f>AZ25/$AY$4</f>
        <v>0</v>
      </c>
      <c r="AZ25" s="60">
        <v>0</v>
      </c>
      <c r="BA25" s="28">
        <f t="shared" si="224"/>
        <v>0</v>
      </c>
      <c r="BB25" s="28">
        <f t="shared" si="225"/>
        <v>0</v>
      </c>
      <c r="BC25" s="28">
        <f t="shared" si="226"/>
        <v>0</v>
      </c>
      <c r="BD25" s="28">
        <f t="shared" si="227"/>
        <v>0</v>
      </c>
      <c r="BE25" s="61">
        <f t="shared" si="228"/>
        <v>0</v>
      </c>
      <c r="BF25" s="61">
        <f>SUM(AZ25:BE25)</f>
        <v>0</v>
      </c>
      <c r="BG25" s="62"/>
      <c r="BH25" s="62"/>
      <c r="BI25" s="62"/>
      <c r="BJ25" s="62"/>
      <c r="BK25" s="62"/>
      <c r="BL25" s="63">
        <f t="shared" si="229"/>
        <v>0</v>
      </c>
      <c r="BM25" s="63">
        <f t="shared" si="230"/>
        <v>0</v>
      </c>
      <c r="BN25" s="63">
        <f t="shared" si="231"/>
        <v>0</v>
      </c>
      <c r="BO25" s="63">
        <f t="shared" si="232"/>
        <v>0</v>
      </c>
      <c r="BP25" s="63">
        <f t="shared" si="233"/>
        <v>0</v>
      </c>
      <c r="BQ25" s="61">
        <f t="shared" si="234"/>
        <v>0</v>
      </c>
      <c r="BR25" s="64">
        <v>0</v>
      </c>
      <c r="BS25" s="65">
        <f>IF(AW25=1,($C$1*$W$6),0)</f>
        <v>0</v>
      </c>
      <c r="BT25" s="212">
        <f>BF25+BQ25+BR25+BS25</f>
        <v>0</v>
      </c>
      <c r="BU25" s="49">
        <v>0</v>
      </c>
      <c r="BV25" s="59"/>
      <c r="BW25" s="28">
        <f>BX25/$AY$4</f>
        <v>0</v>
      </c>
      <c r="BX25" s="60">
        <v>0</v>
      </c>
      <c r="BY25" s="28">
        <f t="shared" si="235"/>
        <v>0</v>
      </c>
      <c r="BZ25" s="28">
        <f t="shared" si="236"/>
        <v>0</v>
      </c>
      <c r="CA25" s="28">
        <f t="shared" si="237"/>
        <v>0</v>
      </c>
      <c r="CB25" s="28">
        <f t="shared" si="238"/>
        <v>0</v>
      </c>
      <c r="CC25" s="61">
        <f t="shared" si="239"/>
        <v>0</v>
      </c>
      <c r="CD25" s="61">
        <f>SUM(BX25:CC25)</f>
        <v>0</v>
      </c>
      <c r="CE25" s="62"/>
      <c r="CF25" s="62"/>
      <c r="CG25" s="62"/>
      <c r="CH25" s="62"/>
      <c r="CI25" s="62"/>
      <c r="CJ25" s="63">
        <f t="shared" si="240"/>
        <v>0</v>
      </c>
      <c r="CK25" s="63">
        <f t="shared" si="241"/>
        <v>0</v>
      </c>
      <c r="CL25" s="63">
        <f t="shared" si="242"/>
        <v>0</v>
      </c>
      <c r="CM25" s="63">
        <f t="shared" si="243"/>
        <v>0</v>
      </c>
      <c r="CN25" s="63">
        <f t="shared" si="244"/>
        <v>0</v>
      </c>
      <c r="CO25" s="61">
        <f t="shared" si="245"/>
        <v>0</v>
      </c>
      <c r="CP25" s="64">
        <v>0</v>
      </c>
      <c r="CQ25" s="65">
        <f>IF(BU25=1,($C$1*$W$6),0)</f>
        <v>0</v>
      </c>
      <c r="CR25" s="212">
        <f>CD25+CO25+CP25+CQ25</f>
        <v>0</v>
      </c>
      <c r="CS25" s="49">
        <v>0</v>
      </c>
      <c r="CT25" s="59"/>
      <c r="CU25" s="28">
        <f>CV25/$AY$4</f>
        <v>0</v>
      </c>
      <c r="CV25" s="60">
        <v>0</v>
      </c>
      <c r="CW25" s="28">
        <f t="shared" si="246"/>
        <v>0</v>
      </c>
      <c r="CX25" s="28">
        <f t="shared" si="247"/>
        <v>0</v>
      </c>
      <c r="CY25" s="28">
        <f t="shared" si="248"/>
        <v>0</v>
      </c>
      <c r="CZ25" s="28">
        <f t="shared" si="249"/>
        <v>0</v>
      </c>
      <c r="DA25" s="61">
        <f t="shared" si="250"/>
        <v>0</v>
      </c>
      <c r="DB25" s="61">
        <f>SUM(CV25:DA25)</f>
        <v>0</v>
      </c>
      <c r="DC25" s="62"/>
      <c r="DD25" s="62"/>
      <c r="DE25" s="62"/>
      <c r="DF25" s="62"/>
      <c r="DG25" s="62"/>
      <c r="DH25" s="63">
        <f t="shared" si="251"/>
        <v>0</v>
      </c>
      <c r="DI25" s="63">
        <f t="shared" si="252"/>
        <v>0</v>
      </c>
      <c r="DJ25" s="63">
        <f t="shared" si="253"/>
        <v>0</v>
      </c>
      <c r="DK25" s="63">
        <f t="shared" si="254"/>
        <v>0</v>
      </c>
      <c r="DL25" s="63">
        <f t="shared" si="255"/>
        <v>0</v>
      </c>
      <c r="DM25" s="61">
        <f t="shared" si="256"/>
        <v>0</v>
      </c>
      <c r="DN25" s="64">
        <v>0</v>
      </c>
      <c r="DO25" s="65">
        <f>IF(CS25=1,($C$1*$W$6),0)</f>
        <v>0</v>
      </c>
      <c r="DP25" s="212">
        <f>DB25+DM25+DN25+DO25</f>
        <v>0</v>
      </c>
      <c r="DQ25" s="49">
        <v>0</v>
      </c>
      <c r="DR25" s="59"/>
      <c r="DS25" s="28">
        <f>DT25/$AY$4</f>
        <v>0</v>
      </c>
      <c r="DT25" s="60">
        <v>0</v>
      </c>
      <c r="DU25" s="28">
        <f t="shared" si="257"/>
        <v>0</v>
      </c>
      <c r="DV25" s="28">
        <f t="shared" si="258"/>
        <v>0</v>
      </c>
      <c r="DW25" s="28">
        <f t="shared" si="259"/>
        <v>0</v>
      </c>
      <c r="DX25" s="28">
        <f t="shared" si="260"/>
        <v>0</v>
      </c>
      <c r="DY25" s="61">
        <f t="shared" si="261"/>
        <v>0</v>
      </c>
      <c r="DZ25" s="61">
        <f>SUM(DT25:DY25)</f>
        <v>0</v>
      </c>
      <c r="EA25" s="62"/>
      <c r="EB25" s="62"/>
      <c r="EC25" s="62"/>
      <c r="ED25" s="62"/>
      <c r="EE25" s="62"/>
      <c r="EF25" s="63">
        <f t="shared" si="262"/>
        <v>0</v>
      </c>
      <c r="EG25" s="63">
        <f t="shared" si="263"/>
        <v>0</v>
      </c>
      <c r="EH25" s="63">
        <f t="shared" si="264"/>
        <v>0</v>
      </c>
      <c r="EI25" s="63">
        <f t="shared" si="265"/>
        <v>0</v>
      </c>
      <c r="EJ25" s="63">
        <f t="shared" si="266"/>
        <v>0</v>
      </c>
      <c r="EK25" s="61">
        <f t="shared" si="267"/>
        <v>0</v>
      </c>
      <c r="EL25" s="64">
        <v>0</v>
      </c>
      <c r="EM25" s="65">
        <f>IF(DQ25=1,($C$1*$W$6),0)</f>
        <v>0</v>
      </c>
      <c r="EN25" s="212">
        <f>DZ25+EK25+EL25+EM25</f>
        <v>0</v>
      </c>
      <c r="EO25" s="49">
        <v>0</v>
      </c>
      <c r="EP25" s="59"/>
      <c r="EQ25" s="28">
        <f>ER25/$AY$4</f>
        <v>0</v>
      </c>
      <c r="ER25" s="60">
        <v>0</v>
      </c>
      <c r="ES25" s="28">
        <f t="shared" si="268"/>
        <v>0</v>
      </c>
      <c r="ET25" s="28">
        <f t="shared" si="269"/>
        <v>0</v>
      </c>
      <c r="EU25" s="28">
        <f t="shared" si="270"/>
        <v>0</v>
      </c>
      <c r="EV25" s="28">
        <f t="shared" si="271"/>
        <v>0</v>
      </c>
      <c r="EW25" s="61">
        <f t="shared" si="272"/>
        <v>0</v>
      </c>
      <c r="EX25" s="61">
        <f>SUM(ER25:EW25)</f>
        <v>0</v>
      </c>
      <c r="EY25" s="62"/>
      <c r="EZ25" s="62"/>
      <c r="FA25" s="62"/>
      <c r="FB25" s="62"/>
      <c r="FC25" s="62"/>
      <c r="FD25" s="63">
        <f t="shared" si="273"/>
        <v>0</v>
      </c>
      <c r="FE25" s="63">
        <f t="shared" si="274"/>
        <v>0</v>
      </c>
      <c r="FF25" s="63">
        <f t="shared" si="275"/>
        <v>0</v>
      </c>
      <c r="FG25" s="63">
        <f t="shared" si="276"/>
        <v>0</v>
      </c>
      <c r="FH25" s="63">
        <f t="shared" si="277"/>
        <v>0</v>
      </c>
      <c r="FI25" s="61">
        <f t="shared" si="278"/>
        <v>0</v>
      </c>
      <c r="FJ25" s="64">
        <v>0</v>
      </c>
      <c r="FK25" s="65">
        <f>IF(EO25=1,($C$1*$W$6),0)</f>
        <v>0</v>
      </c>
      <c r="FL25" s="212">
        <f>EX25+FI25+FJ25+FK25</f>
        <v>0</v>
      </c>
      <c r="FM25" s="49">
        <v>0</v>
      </c>
      <c r="FN25" s="59"/>
      <c r="FO25" s="28">
        <f>FP25/$AY$4</f>
        <v>0</v>
      </c>
      <c r="FP25" s="60">
        <v>0</v>
      </c>
      <c r="FQ25" s="28">
        <f t="shared" si="279"/>
        <v>0</v>
      </c>
      <c r="FR25" s="28">
        <f t="shared" si="280"/>
        <v>0</v>
      </c>
      <c r="FS25" s="28">
        <f t="shared" si="281"/>
        <v>0</v>
      </c>
      <c r="FT25" s="28">
        <f t="shared" si="282"/>
        <v>0</v>
      </c>
      <c r="FU25" s="61">
        <f t="shared" si="283"/>
        <v>0</v>
      </c>
      <c r="FV25" s="61">
        <f>SUM(FP25:FU25)</f>
        <v>0</v>
      </c>
      <c r="FW25" s="62"/>
      <c r="FX25" s="62"/>
      <c r="FY25" s="62"/>
      <c r="FZ25" s="62"/>
      <c r="GA25" s="62"/>
      <c r="GB25" s="63">
        <f t="shared" si="284"/>
        <v>0</v>
      </c>
      <c r="GC25" s="63">
        <f t="shared" si="285"/>
        <v>0</v>
      </c>
      <c r="GD25" s="63">
        <f t="shared" si="286"/>
        <v>0</v>
      </c>
      <c r="GE25" s="63">
        <f t="shared" si="287"/>
        <v>0</v>
      </c>
      <c r="GF25" s="63">
        <f t="shared" si="288"/>
        <v>0</v>
      </c>
      <c r="GG25" s="61">
        <f t="shared" si="289"/>
        <v>0</v>
      </c>
      <c r="GH25" s="64">
        <v>0</v>
      </c>
      <c r="GI25" s="65">
        <f>IF(FM25=1,($C$1*$W$6),0)</f>
        <v>0</v>
      </c>
      <c r="GJ25" s="212">
        <f>FV25+GG25+GH25+GI25</f>
        <v>0</v>
      </c>
      <c r="GK25" s="49">
        <v>0</v>
      </c>
      <c r="GL25" s="59"/>
      <c r="GM25" s="28">
        <f>GN25/$AY$4</f>
        <v>0</v>
      </c>
      <c r="GN25" s="60">
        <v>0</v>
      </c>
      <c r="GO25" s="28">
        <f t="shared" si="290"/>
        <v>0</v>
      </c>
      <c r="GP25" s="28">
        <f t="shared" si="291"/>
        <v>0</v>
      </c>
      <c r="GQ25" s="28">
        <f t="shared" si="292"/>
        <v>0</v>
      </c>
      <c r="GR25" s="28">
        <f t="shared" si="293"/>
        <v>0</v>
      </c>
      <c r="GS25" s="61">
        <f t="shared" si="294"/>
        <v>0</v>
      </c>
      <c r="GT25" s="61">
        <f>SUM(GN25:GS25)</f>
        <v>0</v>
      </c>
      <c r="GU25" s="62"/>
      <c r="GV25" s="62"/>
      <c r="GW25" s="62"/>
      <c r="GX25" s="62"/>
      <c r="GY25" s="62"/>
      <c r="GZ25" s="63">
        <f t="shared" si="295"/>
        <v>0</v>
      </c>
      <c r="HA25" s="63">
        <f t="shared" si="296"/>
        <v>0</v>
      </c>
      <c r="HB25" s="63">
        <f t="shared" si="297"/>
        <v>0</v>
      </c>
      <c r="HC25" s="63">
        <f t="shared" si="298"/>
        <v>0</v>
      </c>
      <c r="HD25" s="63">
        <f t="shared" si="299"/>
        <v>0</v>
      </c>
      <c r="HE25" s="61">
        <f t="shared" si="300"/>
        <v>0</v>
      </c>
      <c r="HF25" s="64">
        <v>0</v>
      </c>
      <c r="HG25" s="65">
        <f>IF(GK25=1,($C$1*$W$6),0)</f>
        <v>0</v>
      </c>
      <c r="HH25" s="212">
        <f>GT25+HE25+HF25+HG25</f>
        <v>0</v>
      </c>
      <c r="HI25" s="49">
        <v>0</v>
      </c>
      <c r="HJ25" s="59"/>
      <c r="HK25" s="28">
        <f>HL25/$AY$4</f>
        <v>0</v>
      </c>
      <c r="HL25" s="60">
        <v>0</v>
      </c>
      <c r="HM25" s="28">
        <f t="shared" si="301"/>
        <v>0</v>
      </c>
      <c r="HN25" s="28">
        <f t="shared" si="302"/>
        <v>0</v>
      </c>
      <c r="HO25" s="28">
        <f t="shared" si="303"/>
        <v>0</v>
      </c>
      <c r="HP25" s="28">
        <f t="shared" si="304"/>
        <v>0</v>
      </c>
      <c r="HQ25" s="61">
        <f t="shared" si="305"/>
        <v>0</v>
      </c>
      <c r="HR25" s="61">
        <f>SUM(HL25:HQ25)</f>
        <v>0</v>
      </c>
      <c r="HS25" s="62"/>
      <c r="HT25" s="62"/>
      <c r="HU25" s="62"/>
      <c r="HV25" s="62"/>
      <c r="HW25" s="62"/>
      <c r="HX25" s="63">
        <f t="shared" si="306"/>
        <v>0</v>
      </c>
      <c r="HY25" s="63">
        <f t="shared" si="307"/>
        <v>0</v>
      </c>
      <c r="HZ25" s="63">
        <f t="shared" si="308"/>
        <v>0</v>
      </c>
      <c r="IA25" s="63">
        <f t="shared" si="309"/>
        <v>0</v>
      </c>
      <c r="IB25" s="63">
        <f t="shared" si="310"/>
        <v>0</v>
      </c>
      <c r="IC25" s="61">
        <f t="shared" si="311"/>
        <v>0</v>
      </c>
      <c r="ID25" s="64">
        <v>0</v>
      </c>
      <c r="IE25" s="65">
        <f>IF(HI25=1,($C$1*$W$6),0)</f>
        <v>0</v>
      </c>
      <c r="IF25" s="212">
        <f>HR25+IC25+ID25+IE25</f>
        <v>0</v>
      </c>
      <c r="IG25" s="49">
        <v>0</v>
      </c>
      <c r="IH25" s="59"/>
      <c r="II25" s="28">
        <f>IJ25/$AY$4</f>
        <v>0</v>
      </c>
      <c r="IJ25" s="60">
        <v>0</v>
      </c>
      <c r="IK25" s="28">
        <f>IJ25*IK$21</f>
        <v>0</v>
      </c>
      <c r="IL25" s="28">
        <f>IJ25*IL$21</f>
        <v>0</v>
      </c>
      <c r="IM25" s="28">
        <f>IJ25/IM$21</f>
        <v>0</v>
      </c>
      <c r="IN25" s="28">
        <f>IM25/IN$21</f>
        <v>0</v>
      </c>
      <c r="IO25" s="61">
        <f>IJ25/IO$21</f>
        <v>0</v>
      </c>
      <c r="IP25" s="61">
        <f>SUM(IJ25:IO25)</f>
        <v>0</v>
      </c>
      <c r="IQ25" s="62"/>
      <c r="IR25" s="62"/>
      <c r="IS25" s="62"/>
      <c r="IT25" s="62"/>
      <c r="IU25" s="62"/>
      <c r="IV25" s="63">
        <f>((II25*IV$21)+(II25*IK$21)+(II25*IL$21))*IQ25</f>
        <v>0</v>
      </c>
      <c r="IW25" s="63">
        <f>((II25*IW$6)+(II25*IK$6)+(II25*IL$6))*IR25</f>
        <v>0</v>
      </c>
      <c r="IX25" s="63">
        <f>((II25*IX$6)+(II25*IL$6)+(II25*IK$6))*IS25</f>
        <v>0</v>
      </c>
      <c r="IY25" s="63">
        <f>((II25*IY$6)+(II25*IK$6)+(II25*IL$6))*IT25</f>
        <v>0</v>
      </c>
      <c r="IZ25" s="63">
        <f>((II25*IZ$21)+(II25*IK$21)+(II25*IL$21))*IU25</f>
        <v>0</v>
      </c>
      <c r="JA25" s="61">
        <f t="shared" si="312"/>
        <v>0</v>
      </c>
      <c r="JB25" s="64">
        <v>0</v>
      </c>
      <c r="JC25" s="65">
        <f>IF(IG25=1,($C$1*$W$6),0)</f>
        <v>0</v>
      </c>
      <c r="JD25" s="476">
        <f>IP25+JA25+JB25+JC25</f>
        <v>0</v>
      </c>
      <c r="JE25" s="49">
        <v>0</v>
      </c>
      <c r="JF25" s="59"/>
      <c r="JG25" s="28">
        <f>JH25/$AY$4</f>
        <v>0</v>
      </c>
      <c r="JH25" s="60">
        <v>0</v>
      </c>
      <c r="JI25" s="28">
        <f>JH25*JI$21</f>
        <v>0</v>
      </c>
      <c r="JJ25" s="28">
        <f>JH25*JJ$21</f>
        <v>0</v>
      </c>
      <c r="JK25" s="28">
        <f>JH25/JK$21</f>
        <v>0</v>
      </c>
      <c r="JL25" s="28">
        <f>JK25/JL$21</f>
        <v>0</v>
      </c>
      <c r="JM25" s="61">
        <f>JH25/JM$21</f>
        <v>0</v>
      </c>
      <c r="JN25" s="61">
        <f>SUM(JH25:JM25)</f>
        <v>0</v>
      </c>
      <c r="JO25" s="62"/>
      <c r="JP25" s="62"/>
      <c r="JQ25" s="62"/>
      <c r="JR25" s="62"/>
      <c r="JS25" s="62"/>
      <c r="JT25" s="63">
        <f>((JG25*JT$21)+(JG25*JI$21)+(JG25*JJ$21))*JO25</f>
        <v>0</v>
      </c>
      <c r="JU25" s="63">
        <f>((JG25*JU$6)+(JG25*JI$6)+(JG25*JJ$6))*JP25</f>
        <v>0</v>
      </c>
      <c r="JV25" s="63">
        <f>((JG25*JV$6)+(JG25*JJ$6)+(JG25*JI$6))*JQ25</f>
        <v>0</v>
      </c>
      <c r="JW25" s="63">
        <f>((JG25*JW$6)+(JG25*JI$6)+(JG25*JJ$6))*JR25</f>
        <v>0</v>
      </c>
      <c r="JX25" s="63">
        <f>((JG25*JX$21)+(JG25*JI$21)+(JG25*JJ$21))*JS25</f>
        <v>0</v>
      </c>
      <c r="JY25" s="61">
        <f t="shared" si="313"/>
        <v>0</v>
      </c>
      <c r="JZ25" s="64">
        <v>0</v>
      </c>
      <c r="KA25" s="65">
        <f>IF(JE25=1,($C$1*$W$6),0)</f>
        <v>0</v>
      </c>
      <c r="KB25" s="476">
        <f>JN25+JY25+JZ25+KA25</f>
        <v>0</v>
      </c>
      <c r="KC25" s="37"/>
      <c r="KD25" s="37"/>
      <c r="KE25" s="37"/>
      <c r="KF25" s="37"/>
      <c r="KG25" s="37"/>
      <c r="KH25" s="37"/>
      <c r="KI25" s="37"/>
      <c r="KJ25" s="37"/>
    </row>
    <row r="26" spans="1:296" x14ac:dyDescent="0.3">
      <c r="A26" s="49">
        <v>0</v>
      </c>
      <c r="B26" s="59"/>
      <c r="C26" s="28">
        <f>D26/$AY$4</f>
        <v>0</v>
      </c>
      <c r="D26" s="60">
        <v>0</v>
      </c>
      <c r="E26" s="28">
        <f t="shared" si="202"/>
        <v>0</v>
      </c>
      <c r="F26" s="28">
        <f t="shared" si="203"/>
        <v>0</v>
      </c>
      <c r="G26" s="28">
        <f t="shared" si="204"/>
        <v>0</v>
      </c>
      <c r="H26" s="28">
        <f t="shared" si="205"/>
        <v>0</v>
      </c>
      <c r="I26" s="61">
        <f t="shared" si="206"/>
        <v>0</v>
      </c>
      <c r="J26" s="61">
        <f>SUM(D26:I26)</f>
        <v>0</v>
      </c>
      <c r="K26" s="62"/>
      <c r="L26" s="62"/>
      <c r="M26" s="62"/>
      <c r="N26" s="62"/>
      <c r="O26" s="62"/>
      <c r="P26" s="63">
        <f t="shared" si="207"/>
        <v>0</v>
      </c>
      <c r="Q26" s="63">
        <f t="shared" si="208"/>
        <v>0</v>
      </c>
      <c r="R26" s="63">
        <f t="shared" si="209"/>
        <v>0</v>
      </c>
      <c r="S26" s="63">
        <f t="shared" si="210"/>
        <v>0</v>
      </c>
      <c r="T26" s="63">
        <f t="shared" si="211"/>
        <v>0</v>
      </c>
      <c r="U26" s="61">
        <f t="shared" si="212"/>
        <v>0</v>
      </c>
      <c r="V26" s="64">
        <v>0</v>
      </c>
      <c r="W26" s="65">
        <f>IF(A26=1,($C$1*$W$6),0)</f>
        <v>0</v>
      </c>
      <c r="X26" s="212">
        <f>J26+U26+V26+W26</f>
        <v>0</v>
      </c>
      <c r="Y26" s="49">
        <v>0</v>
      </c>
      <c r="Z26" s="59"/>
      <c r="AA26" s="28">
        <f>AB26/$AY$4</f>
        <v>0</v>
      </c>
      <c r="AB26" s="60">
        <v>0</v>
      </c>
      <c r="AC26" s="28">
        <f t="shared" si="213"/>
        <v>0</v>
      </c>
      <c r="AD26" s="28">
        <f t="shared" si="214"/>
        <v>0</v>
      </c>
      <c r="AE26" s="28">
        <f t="shared" si="215"/>
        <v>0</v>
      </c>
      <c r="AF26" s="28">
        <f t="shared" si="216"/>
        <v>0</v>
      </c>
      <c r="AG26" s="61">
        <f t="shared" si="217"/>
        <v>0</v>
      </c>
      <c r="AH26" s="61">
        <f>SUM(AB26:AG26)</f>
        <v>0</v>
      </c>
      <c r="AI26" s="62"/>
      <c r="AJ26" s="62"/>
      <c r="AK26" s="62"/>
      <c r="AL26" s="62"/>
      <c r="AM26" s="62"/>
      <c r="AN26" s="63">
        <f t="shared" si="218"/>
        <v>0</v>
      </c>
      <c r="AO26" s="63">
        <f t="shared" si="219"/>
        <v>0</v>
      </c>
      <c r="AP26" s="63">
        <f t="shared" si="220"/>
        <v>0</v>
      </c>
      <c r="AQ26" s="63">
        <f t="shared" si="221"/>
        <v>0</v>
      </c>
      <c r="AR26" s="63">
        <f t="shared" si="222"/>
        <v>0</v>
      </c>
      <c r="AS26" s="61">
        <f t="shared" si="223"/>
        <v>0</v>
      </c>
      <c r="AT26" s="64">
        <v>0</v>
      </c>
      <c r="AU26" s="65">
        <f>IF(Y26=1,($C$1*$W$6),0)</f>
        <v>0</v>
      </c>
      <c r="AV26" s="212">
        <f>AH26+AS26+AT26+AU26</f>
        <v>0</v>
      </c>
      <c r="AW26" s="49">
        <v>0</v>
      </c>
      <c r="AX26" s="59"/>
      <c r="AY26" s="28">
        <f>AZ26/$AY$4</f>
        <v>0</v>
      </c>
      <c r="AZ26" s="60">
        <v>0</v>
      </c>
      <c r="BA26" s="28">
        <f t="shared" si="224"/>
        <v>0</v>
      </c>
      <c r="BB26" s="28">
        <f t="shared" si="225"/>
        <v>0</v>
      </c>
      <c r="BC26" s="28">
        <f t="shared" si="226"/>
        <v>0</v>
      </c>
      <c r="BD26" s="28">
        <f t="shared" si="227"/>
        <v>0</v>
      </c>
      <c r="BE26" s="61">
        <f t="shared" si="228"/>
        <v>0</v>
      </c>
      <c r="BF26" s="61">
        <f>SUM(AZ26:BE26)</f>
        <v>0</v>
      </c>
      <c r="BG26" s="62"/>
      <c r="BH26" s="62"/>
      <c r="BI26" s="62"/>
      <c r="BJ26" s="62"/>
      <c r="BK26" s="62"/>
      <c r="BL26" s="63">
        <f t="shared" si="229"/>
        <v>0</v>
      </c>
      <c r="BM26" s="63">
        <f t="shared" si="230"/>
        <v>0</v>
      </c>
      <c r="BN26" s="63">
        <f t="shared" si="231"/>
        <v>0</v>
      </c>
      <c r="BO26" s="63">
        <f t="shared" si="232"/>
        <v>0</v>
      </c>
      <c r="BP26" s="63">
        <f t="shared" si="233"/>
        <v>0</v>
      </c>
      <c r="BQ26" s="61">
        <f t="shared" si="234"/>
        <v>0</v>
      </c>
      <c r="BR26" s="64">
        <v>0</v>
      </c>
      <c r="BS26" s="65">
        <f>IF(AW26=1,($C$1*$W$6),0)</f>
        <v>0</v>
      </c>
      <c r="BT26" s="212">
        <f>BF26+BQ26+BR26+BS26</f>
        <v>0</v>
      </c>
      <c r="BU26" s="49">
        <v>0</v>
      </c>
      <c r="BV26" s="59"/>
      <c r="BW26" s="28">
        <f>BX26/$AY$4</f>
        <v>0</v>
      </c>
      <c r="BX26" s="60">
        <v>0</v>
      </c>
      <c r="BY26" s="28">
        <f t="shared" si="235"/>
        <v>0</v>
      </c>
      <c r="BZ26" s="28">
        <f t="shared" si="236"/>
        <v>0</v>
      </c>
      <c r="CA26" s="28">
        <f t="shared" si="237"/>
        <v>0</v>
      </c>
      <c r="CB26" s="28">
        <f t="shared" si="238"/>
        <v>0</v>
      </c>
      <c r="CC26" s="61">
        <f t="shared" si="239"/>
        <v>0</v>
      </c>
      <c r="CD26" s="61">
        <f>SUM(BX26:CC26)</f>
        <v>0</v>
      </c>
      <c r="CE26" s="62"/>
      <c r="CF26" s="62"/>
      <c r="CG26" s="62"/>
      <c r="CH26" s="62"/>
      <c r="CI26" s="62"/>
      <c r="CJ26" s="63">
        <f t="shared" si="240"/>
        <v>0</v>
      </c>
      <c r="CK26" s="63">
        <f t="shared" si="241"/>
        <v>0</v>
      </c>
      <c r="CL26" s="63">
        <f t="shared" si="242"/>
        <v>0</v>
      </c>
      <c r="CM26" s="63">
        <f t="shared" si="243"/>
        <v>0</v>
      </c>
      <c r="CN26" s="63">
        <f t="shared" si="244"/>
        <v>0</v>
      </c>
      <c r="CO26" s="61">
        <f t="shared" si="245"/>
        <v>0</v>
      </c>
      <c r="CP26" s="64">
        <v>0</v>
      </c>
      <c r="CQ26" s="65">
        <f>IF(BU26=1,($C$1*$W$6),0)</f>
        <v>0</v>
      </c>
      <c r="CR26" s="212">
        <f>CD26+CO26+CP26+CQ26</f>
        <v>0</v>
      </c>
      <c r="CS26" s="49">
        <v>0</v>
      </c>
      <c r="CT26" s="59"/>
      <c r="CU26" s="28">
        <f>CV26/$AY$4</f>
        <v>0</v>
      </c>
      <c r="CV26" s="60">
        <v>0</v>
      </c>
      <c r="CW26" s="28">
        <f t="shared" si="246"/>
        <v>0</v>
      </c>
      <c r="CX26" s="28">
        <f t="shared" si="247"/>
        <v>0</v>
      </c>
      <c r="CY26" s="28">
        <f t="shared" si="248"/>
        <v>0</v>
      </c>
      <c r="CZ26" s="28">
        <f t="shared" si="249"/>
        <v>0</v>
      </c>
      <c r="DA26" s="61">
        <f t="shared" si="250"/>
        <v>0</v>
      </c>
      <c r="DB26" s="61">
        <f>SUM(CV26:DA26)</f>
        <v>0</v>
      </c>
      <c r="DC26" s="62"/>
      <c r="DD26" s="62"/>
      <c r="DE26" s="62"/>
      <c r="DF26" s="62"/>
      <c r="DG26" s="62"/>
      <c r="DH26" s="63">
        <f t="shared" si="251"/>
        <v>0</v>
      </c>
      <c r="DI26" s="63">
        <f t="shared" si="252"/>
        <v>0</v>
      </c>
      <c r="DJ26" s="63">
        <f t="shared" si="253"/>
        <v>0</v>
      </c>
      <c r="DK26" s="63">
        <f t="shared" si="254"/>
        <v>0</v>
      </c>
      <c r="DL26" s="63">
        <f t="shared" si="255"/>
        <v>0</v>
      </c>
      <c r="DM26" s="61">
        <f t="shared" si="256"/>
        <v>0</v>
      </c>
      <c r="DN26" s="64">
        <v>0</v>
      </c>
      <c r="DO26" s="65">
        <f>IF(CS26=1,($C$1*$W$6),0)</f>
        <v>0</v>
      </c>
      <c r="DP26" s="212">
        <f>DB26+DM26+DN26+DO26</f>
        <v>0</v>
      </c>
      <c r="DQ26" s="49">
        <v>0</v>
      </c>
      <c r="DR26" s="59"/>
      <c r="DS26" s="28">
        <f>DT26/$AY$4</f>
        <v>0</v>
      </c>
      <c r="DT26" s="60">
        <v>0</v>
      </c>
      <c r="DU26" s="28">
        <f t="shared" si="257"/>
        <v>0</v>
      </c>
      <c r="DV26" s="28">
        <f t="shared" si="258"/>
        <v>0</v>
      </c>
      <c r="DW26" s="28">
        <f t="shared" si="259"/>
        <v>0</v>
      </c>
      <c r="DX26" s="28">
        <f t="shared" si="260"/>
        <v>0</v>
      </c>
      <c r="DY26" s="61">
        <f t="shared" si="261"/>
        <v>0</v>
      </c>
      <c r="DZ26" s="61">
        <f>SUM(DT26:DY26)</f>
        <v>0</v>
      </c>
      <c r="EA26" s="62"/>
      <c r="EB26" s="62"/>
      <c r="EC26" s="62"/>
      <c r="ED26" s="62"/>
      <c r="EE26" s="62"/>
      <c r="EF26" s="63">
        <f t="shared" si="262"/>
        <v>0</v>
      </c>
      <c r="EG26" s="63">
        <f t="shared" si="263"/>
        <v>0</v>
      </c>
      <c r="EH26" s="63">
        <f t="shared" si="264"/>
        <v>0</v>
      </c>
      <c r="EI26" s="63">
        <f t="shared" si="265"/>
        <v>0</v>
      </c>
      <c r="EJ26" s="63">
        <f t="shared" si="266"/>
        <v>0</v>
      </c>
      <c r="EK26" s="61">
        <f t="shared" si="267"/>
        <v>0</v>
      </c>
      <c r="EL26" s="64">
        <v>0</v>
      </c>
      <c r="EM26" s="65">
        <f>IF(DQ26=1,($C$1*$W$6),0)</f>
        <v>0</v>
      </c>
      <c r="EN26" s="212">
        <f>DZ26+EK26+EL26+EM26</f>
        <v>0</v>
      </c>
      <c r="EO26" s="49">
        <v>0</v>
      </c>
      <c r="EP26" s="59"/>
      <c r="EQ26" s="28">
        <f>ER26/$AY$4</f>
        <v>0</v>
      </c>
      <c r="ER26" s="60">
        <v>0</v>
      </c>
      <c r="ES26" s="28">
        <f t="shared" si="268"/>
        <v>0</v>
      </c>
      <c r="ET26" s="28">
        <f t="shared" si="269"/>
        <v>0</v>
      </c>
      <c r="EU26" s="28">
        <f t="shared" si="270"/>
        <v>0</v>
      </c>
      <c r="EV26" s="28">
        <f t="shared" si="271"/>
        <v>0</v>
      </c>
      <c r="EW26" s="61">
        <f t="shared" si="272"/>
        <v>0</v>
      </c>
      <c r="EX26" s="61">
        <f>SUM(ER26:EW26)</f>
        <v>0</v>
      </c>
      <c r="EY26" s="62"/>
      <c r="EZ26" s="62"/>
      <c r="FA26" s="62"/>
      <c r="FB26" s="62"/>
      <c r="FC26" s="62"/>
      <c r="FD26" s="63">
        <f t="shared" si="273"/>
        <v>0</v>
      </c>
      <c r="FE26" s="63">
        <f t="shared" si="274"/>
        <v>0</v>
      </c>
      <c r="FF26" s="63">
        <f t="shared" si="275"/>
        <v>0</v>
      </c>
      <c r="FG26" s="63">
        <f t="shared" si="276"/>
        <v>0</v>
      </c>
      <c r="FH26" s="63">
        <f t="shared" si="277"/>
        <v>0</v>
      </c>
      <c r="FI26" s="61">
        <f t="shared" si="278"/>
        <v>0</v>
      </c>
      <c r="FJ26" s="64">
        <v>0</v>
      </c>
      <c r="FK26" s="65">
        <f>IF(EO26=1,($C$1*$W$6),0)</f>
        <v>0</v>
      </c>
      <c r="FL26" s="212">
        <f>EX26+FI26+FJ26+FK26</f>
        <v>0</v>
      </c>
      <c r="FM26" s="49">
        <v>0</v>
      </c>
      <c r="FN26" s="59"/>
      <c r="FO26" s="28">
        <f>FP26/$AY$4</f>
        <v>0</v>
      </c>
      <c r="FP26" s="60">
        <v>0</v>
      </c>
      <c r="FQ26" s="28">
        <f t="shared" si="279"/>
        <v>0</v>
      </c>
      <c r="FR26" s="28">
        <f t="shared" si="280"/>
        <v>0</v>
      </c>
      <c r="FS26" s="28">
        <f t="shared" si="281"/>
        <v>0</v>
      </c>
      <c r="FT26" s="28">
        <f t="shared" si="282"/>
        <v>0</v>
      </c>
      <c r="FU26" s="61">
        <f t="shared" si="283"/>
        <v>0</v>
      </c>
      <c r="FV26" s="61">
        <f>SUM(FP26:FU26)</f>
        <v>0</v>
      </c>
      <c r="FW26" s="62"/>
      <c r="FX26" s="62"/>
      <c r="FY26" s="62"/>
      <c r="FZ26" s="62"/>
      <c r="GA26" s="62"/>
      <c r="GB26" s="63">
        <f t="shared" si="284"/>
        <v>0</v>
      </c>
      <c r="GC26" s="63">
        <f t="shared" si="285"/>
        <v>0</v>
      </c>
      <c r="GD26" s="63">
        <f t="shared" si="286"/>
        <v>0</v>
      </c>
      <c r="GE26" s="63">
        <f t="shared" si="287"/>
        <v>0</v>
      </c>
      <c r="GF26" s="63">
        <f t="shared" si="288"/>
        <v>0</v>
      </c>
      <c r="GG26" s="61">
        <f t="shared" si="289"/>
        <v>0</v>
      </c>
      <c r="GH26" s="64">
        <v>0</v>
      </c>
      <c r="GI26" s="65">
        <f>IF(FM26=1,($C$1*$W$6),0)</f>
        <v>0</v>
      </c>
      <c r="GJ26" s="212">
        <f>FV26+GG26+GH26+GI26</f>
        <v>0</v>
      </c>
      <c r="GK26" s="49">
        <v>0</v>
      </c>
      <c r="GL26" s="59"/>
      <c r="GM26" s="28">
        <f>GN26/$AY$4</f>
        <v>0</v>
      </c>
      <c r="GN26" s="60">
        <v>0</v>
      </c>
      <c r="GO26" s="28">
        <f t="shared" si="290"/>
        <v>0</v>
      </c>
      <c r="GP26" s="28">
        <f t="shared" si="291"/>
        <v>0</v>
      </c>
      <c r="GQ26" s="28">
        <f t="shared" si="292"/>
        <v>0</v>
      </c>
      <c r="GR26" s="28">
        <f t="shared" si="293"/>
        <v>0</v>
      </c>
      <c r="GS26" s="61">
        <f t="shared" si="294"/>
        <v>0</v>
      </c>
      <c r="GT26" s="61">
        <f>SUM(GN26:GS26)</f>
        <v>0</v>
      </c>
      <c r="GU26" s="62"/>
      <c r="GV26" s="62"/>
      <c r="GW26" s="62"/>
      <c r="GX26" s="62"/>
      <c r="GY26" s="62"/>
      <c r="GZ26" s="63">
        <f t="shared" si="295"/>
        <v>0</v>
      </c>
      <c r="HA26" s="63">
        <f t="shared" si="296"/>
        <v>0</v>
      </c>
      <c r="HB26" s="63">
        <f t="shared" si="297"/>
        <v>0</v>
      </c>
      <c r="HC26" s="63">
        <f t="shared" si="298"/>
        <v>0</v>
      </c>
      <c r="HD26" s="63">
        <f t="shared" si="299"/>
        <v>0</v>
      </c>
      <c r="HE26" s="61">
        <f t="shared" si="300"/>
        <v>0</v>
      </c>
      <c r="HF26" s="64">
        <v>0</v>
      </c>
      <c r="HG26" s="65">
        <f>IF(GK26=1,($C$1*$W$6),0)</f>
        <v>0</v>
      </c>
      <c r="HH26" s="212">
        <f>GT26+HE26+HF26+HG26</f>
        <v>0</v>
      </c>
      <c r="HI26" s="49">
        <v>0</v>
      </c>
      <c r="HJ26" s="59"/>
      <c r="HK26" s="28">
        <f>HL26/$AY$4</f>
        <v>0</v>
      </c>
      <c r="HL26" s="60">
        <v>0</v>
      </c>
      <c r="HM26" s="28">
        <f t="shared" si="301"/>
        <v>0</v>
      </c>
      <c r="HN26" s="28">
        <f t="shared" si="302"/>
        <v>0</v>
      </c>
      <c r="HO26" s="28">
        <f t="shared" si="303"/>
        <v>0</v>
      </c>
      <c r="HP26" s="28">
        <f t="shared" si="304"/>
        <v>0</v>
      </c>
      <c r="HQ26" s="61">
        <f t="shared" si="305"/>
        <v>0</v>
      </c>
      <c r="HR26" s="61">
        <f>SUM(HL26:HQ26)</f>
        <v>0</v>
      </c>
      <c r="HS26" s="62"/>
      <c r="HT26" s="62"/>
      <c r="HU26" s="62"/>
      <c r="HV26" s="62"/>
      <c r="HW26" s="62"/>
      <c r="HX26" s="63">
        <f t="shared" si="306"/>
        <v>0</v>
      </c>
      <c r="HY26" s="63">
        <f t="shared" si="307"/>
        <v>0</v>
      </c>
      <c r="HZ26" s="63">
        <f t="shared" si="308"/>
        <v>0</v>
      </c>
      <c r="IA26" s="63">
        <f t="shared" si="309"/>
        <v>0</v>
      </c>
      <c r="IB26" s="63">
        <f t="shared" si="310"/>
        <v>0</v>
      </c>
      <c r="IC26" s="61">
        <f t="shared" si="311"/>
        <v>0</v>
      </c>
      <c r="ID26" s="64">
        <v>0</v>
      </c>
      <c r="IE26" s="65">
        <f>IF(HI26=1,($C$1*$W$6),0)</f>
        <v>0</v>
      </c>
      <c r="IF26" s="212">
        <f>HR26+IC26+ID26+IE26</f>
        <v>0</v>
      </c>
      <c r="IG26" s="49">
        <v>0</v>
      </c>
      <c r="IH26" s="59"/>
      <c r="II26" s="28">
        <f>IJ26/$AY$4</f>
        <v>0</v>
      </c>
      <c r="IJ26" s="60">
        <v>0</v>
      </c>
      <c r="IK26" s="28">
        <f>IJ26*IK$21</f>
        <v>0</v>
      </c>
      <c r="IL26" s="28">
        <f>IJ26*IL$21</f>
        <v>0</v>
      </c>
      <c r="IM26" s="28">
        <f>IJ26/IM$21</f>
        <v>0</v>
      </c>
      <c r="IN26" s="28">
        <f>IM26/IN$21</f>
        <v>0</v>
      </c>
      <c r="IO26" s="61">
        <f>IJ26/IO$21</f>
        <v>0</v>
      </c>
      <c r="IP26" s="61">
        <f>SUM(IJ26:IO26)</f>
        <v>0</v>
      </c>
      <c r="IQ26" s="62"/>
      <c r="IR26" s="62"/>
      <c r="IS26" s="62"/>
      <c r="IT26" s="62"/>
      <c r="IU26" s="62"/>
      <c r="IV26" s="63">
        <f>((II26*IV$21)+(II26*IK$21)+(II26*IL$21))*IQ26</f>
        <v>0</v>
      </c>
      <c r="IW26" s="63">
        <f>((II26*IW$6)+(II26*IK$6)+(II26*IL$6))*IR26</f>
        <v>0</v>
      </c>
      <c r="IX26" s="63">
        <f>((II26*IX$6)+(II26*IL$6)+(II26*IK$6))*IS26</f>
        <v>0</v>
      </c>
      <c r="IY26" s="63">
        <f>((II26*IY$6)+(II26*IK$6)+(II26*IL$6))*IT26</f>
        <v>0</v>
      </c>
      <c r="IZ26" s="63">
        <f>((II26*IZ$21)+(II26*IK$21)+(II26*IL$21))*IU26</f>
        <v>0</v>
      </c>
      <c r="JA26" s="61">
        <f t="shared" si="312"/>
        <v>0</v>
      </c>
      <c r="JB26" s="64">
        <v>0</v>
      </c>
      <c r="JC26" s="65">
        <f>IF(IG26=1,($C$1*$W$6),0)</f>
        <v>0</v>
      </c>
      <c r="JD26" s="476">
        <f>IP26+JA26+JB26+JC26</f>
        <v>0</v>
      </c>
      <c r="JE26" s="49">
        <v>0</v>
      </c>
      <c r="JF26" s="59"/>
      <c r="JG26" s="28">
        <f>JH26/$AY$4</f>
        <v>0</v>
      </c>
      <c r="JH26" s="60">
        <v>0</v>
      </c>
      <c r="JI26" s="28">
        <f>JH26*JI$21</f>
        <v>0</v>
      </c>
      <c r="JJ26" s="28">
        <f>JH26*JJ$21</f>
        <v>0</v>
      </c>
      <c r="JK26" s="28">
        <f>JH26/JK$21</f>
        <v>0</v>
      </c>
      <c r="JL26" s="28">
        <f>JK26/JL$21</f>
        <v>0</v>
      </c>
      <c r="JM26" s="61">
        <f>JH26/JM$21</f>
        <v>0</v>
      </c>
      <c r="JN26" s="61">
        <f>SUM(JH26:JM26)</f>
        <v>0</v>
      </c>
      <c r="JO26" s="62"/>
      <c r="JP26" s="62"/>
      <c r="JQ26" s="62"/>
      <c r="JR26" s="62"/>
      <c r="JS26" s="62"/>
      <c r="JT26" s="63">
        <f>((JG26*JT$21)+(JG26*JI$21)+(JG26*JJ$21))*JO26</f>
        <v>0</v>
      </c>
      <c r="JU26" s="63">
        <f>((JG26*JU$6)+(JG26*JI$6)+(JG26*JJ$6))*JP26</f>
        <v>0</v>
      </c>
      <c r="JV26" s="63">
        <f>((JG26*JV$6)+(JG26*JJ$6)+(JG26*JI$6))*JQ26</f>
        <v>0</v>
      </c>
      <c r="JW26" s="63">
        <f>((JG26*JW$6)+(JG26*JI$6)+(JG26*JJ$6))*JR26</f>
        <v>0</v>
      </c>
      <c r="JX26" s="63">
        <f>((JG26*JX$21)+(JG26*JI$21)+(JG26*JJ$21))*JS26</f>
        <v>0</v>
      </c>
      <c r="JY26" s="61">
        <f t="shared" si="313"/>
        <v>0</v>
      </c>
      <c r="JZ26" s="64">
        <v>0</v>
      </c>
      <c r="KA26" s="65">
        <f>IF(JE26=1,($C$1*$W$6),0)</f>
        <v>0</v>
      </c>
      <c r="KB26" s="476">
        <f>JN26+JY26+JZ26+KA26</f>
        <v>0</v>
      </c>
      <c r="KC26" s="37"/>
      <c r="KD26" s="37"/>
      <c r="KE26" s="37"/>
      <c r="KF26" s="37"/>
      <c r="KG26" s="37"/>
      <c r="KH26" s="37"/>
      <c r="KI26" s="37"/>
      <c r="KJ26" s="37"/>
    </row>
    <row r="27" spans="1:296" ht="15.6" x14ac:dyDescent="0.3">
      <c r="A27" s="385"/>
      <c r="B27" s="383"/>
      <c r="C27" s="383"/>
      <c r="D27" s="383"/>
      <c r="E27" s="383"/>
      <c r="F27" s="383"/>
      <c r="G27" s="383"/>
      <c r="H27" s="383"/>
      <c r="I27" s="383"/>
      <c r="J27" s="383"/>
      <c r="K27" s="383"/>
      <c r="L27" s="383"/>
      <c r="M27" s="383"/>
      <c r="N27" s="383"/>
      <c r="O27" s="383"/>
      <c r="P27" s="383"/>
      <c r="Q27" s="383"/>
      <c r="R27" s="383"/>
      <c r="S27" s="383"/>
      <c r="T27" s="383"/>
      <c r="U27" s="383"/>
      <c r="V27" s="384"/>
      <c r="W27" s="272" t="s">
        <v>7</v>
      </c>
      <c r="X27" s="213">
        <f>SUM(X23:X26)</f>
        <v>4028.0980777777777</v>
      </c>
      <c r="Y27" s="385"/>
      <c r="Z27" s="383"/>
      <c r="AA27" s="383"/>
      <c r="AB27" s="383"/>
      <c r="AC27" s="383"/>
      <c r="AD27" s="383"/>
      <c r="AE27" s="383"/>
      <c r="AF27" s="383"/>
      <c r="AG27" s="383"/>
      <c r="AH27" s="383"/>
      <c r="AI27" s="383"/>
      <c r="AJ27" s="383"/>
      <c r="AK27" s="383"/>
      <c r="AL27" s="383"/>
      <c r="AM27" s="383"/>
      <c r="AN27" s="383"/>
      <c r="AO27" s="383"/>
      <c r="AP27" s="383"/>
      <c r="AQ27" s="383"/>
      <c r="AR27" s="383"/>
      <c r="AS27" s="383"/>
      <c r="AT27" s="384"/>
      <c r="AU27" s="272" t="s">
        <v>7</v>
      </c>
      <c r="AV27" s="213">
        <f>SUM(AV23:AV26)</f>
        <v>4028.0980777777777</v>
      </c>
      <c r="AW27" s="385"/>
      <c r="AX27" s="383"/>
      <c r="AY27" s="383"/>
      <c r="AZ27" s="383"/>
      <c r="BA27" s="383"/>
      <c r="BB27" s="383"/>
      <c r="BC27" s="383"/>
      <c r="BD27" s="383"/>
      <c r="BE27" s="383"/>
      <c r="BF27" s="383"/>
      <c r="BG27" s="383"/>
      <c r="BH27" s="383"/>
      <c r="BI27" s="383"/>
      <c r="BJ27" s="383"/>
      <c r="BK27" s="383"/>
      <c r="BL27" s="383"/>
      <c r="BM27" s="383"/>
      <c r="BN27" s="383"/>
      <c r="BO27" s="383"/>
      <c r="BP27" s="383"/>
      <c r="BQ27" s="383"/>
      <c r="BR27" s="384"/>
      <c r="BS27" s="272" t="s">
        <v>7</v>
      </c>
      <c r="BT27" s="213">
        <f>SUM(BT23:BT26)</f>
        <v>4028.0980777777777</v>
      </c>
      <c r="BU27" s="385"/>
      <c r="BV27" s="383"/>
      <c r="BW27" s="383"/>
      <c r="BX27" s="383"/>
      <c r="BY27" s="383"/>
      <c r="BZ27" s="383"/>
      <c r="CA27" s="383"/>
      <c r="CB27" s="383"/>
      <c r="CC27" s="383"/>
      <c r="CD27" s="383"/>
      <c r="CE27" s="383"/>
      <c r="CF27" s="383"/>
      <c r="CG27" s="383"/>
      <c r="CH27" s="383"/>
      <c r="CI27" s="383"/>
      <c r="CJ27" s="383"/>
      <c r="CK27" s="383"/>
      <c r="CL27" s="383"/>
      <c r="CM27" s="383"/>
      <c r="CN27" s="383"/>
      <c r="CO27" s="383"/>
      <c r="CP27" s="384"/>
      <c r="CQ27" s="272" t="s">
        <v>7</v>
      </c>
      <c r="CR27" s="213">
        <f>SUM(CR23:CR26)</f>
        <v>4028.0980777777777</v>
      </c>
      <c r="CS27" s="385"/>
      <c r="CT27" s="383"/>
      <c r="CU27" s="383"/>
      <c r="CV27" s="383"/>
      <c r="CW27" s="383"/>
      <c r="CX27" s="383"/>
      <c r="CY27" s="383"/>
      <c r="CZ27" s="383"/>
      <c r="DA27" s="383"/>
      <c r="DB27" s="383"/>
      <c r="DC27" s="383"/>
      <c r="DD27" s="383"/>
      <c r="DE27" s="383"/>
      <c r="DF27" s="383"/>
      <c r="DG27" s="383"/>
      <c r="DH27" s="383"/>
      <c r="DI27" s="383"/>
      <c r="DJ27" s="383"/>
      <c r="DK27" s="383"/>
      <c r="DL27" s="383"/>
      <c r="DM27" s="383"/>
      <c r="DN27" s="384"/>
      <c r="DO27" s="272" t="s">
        <v>7</v>
      </c>
      <c r="DP27" s="213">
        <f>SUM(DP23:DP26)</f>
        <v>4028.0980777777777</v>
      </c>
      <c r="DQ27" s="385"/>
      <c r="DR27" s="383"/>
      <c r="DS27" s="383"/>
      <c r="DT27" s="383"/>
      <c r="DU27" s="383"/>
      <c r="DV27" s="383"/>
      <c r="DW27" s="383"/>
      <c r="DX27" s="383"/>
      <c r="DY27" s="383"/>
      <c r="DZ27" s="383"/>
      <c r="EA27" s="383"/>
      <c r="EB27" s="383"/>
      <c r="EC27" s="383"/>
      <c r="ED27" s="383"/>
      <c r="EE27" s="383"/>
      <c r="EF27" s="383"/>
      <c r="EG27" s="383"/>
      <c r="EH27" s="383"/>
      <c r="EI27" s="383"/>
      <c r="EJ27" s="383"/>
      <c r="EK27" s="383"/>
      <c r="EL27" s="384"/>
      <c r="EM27" s="272" t="s">
        <v>7</v>
      </c>
      <c r="EN27" s="213">
        <f>SUM(EN23:EN26)</f>
        <v>4028.0980777777777</v>
      </c>
      <c r="EO27" s="385"/>
      <c r="EP27" s="383"/>
      <c r="EQ27" s="383"/>
      <c r="ER27" s="383"/>
      <c r="ES27" s="383"/>
      <c r="ET27" s="383"/>
      <c r="EU27" s="383"/>
      <c r="EV27" s="383"/>
      <c r="EW27" s="383"/>
      <c r="EX27" s="383"/>
      <c r="EY27" s="383"/>
      <c r="EZ27" s="383"/>
      <c r="FA27" s="383"/>
      <c r="FB27" s="383"/>
      <c r="FC27" s="383"/>
      <c r="FD27" s="383"/>
      <c r="FE27" s="383"/>
      <c r="FF27" s="383"/>
      <c r="FG27" s="383"/>
      <c r="FH27" s="383"/>
      <c r="FI27" s="383"/>
      <c r="FJ27" s="384"/>
      <c r="FK27" s="272" t="s">
        <v>7</v>
      </c>
      <c r="FL27" s="213">
        <f>SUM(FL23:FL26)</f>
        <v>4028.0980777777777</v>
      </c>
      <c r="FM27" s="385"/>
      <c r="FN27" s="383"/>
      <c r="FO27" s="383"/>
      <c r="FP27" s="383"/>
      <c r="FQ27" s="383"/>
      <c r="FR27" s="383"/>
      <c r="FS27" s="383"/>
      <c r="FT27" s="383"/>
      <c r="FU27" s="383"/>
      <c r="FV27" s="383"/>
      <c r="FW27" s="383"/>
      <c r="FX27" s="383"/>
      <c r="FY27" s="383"/>
      <c r="FZ27" s="383"/>
      <c r="GA27" s="383"/>
      <c r="GB27" s="383"/>
      <c r="GC27" s="383"/>
      <c r="GD27" s="383"/>
      <c r="GE27" s="383"/>
      <c r="GF27" s="383"/>
      <c r="GG27" s="383"/>
      <c r="GH27" s="384"/>
      <c r="GI27" s="272" t="s">
        <v>7</v>
      </c>
      <c r="GJ27" s="213">
        <f>SUM(GJ23:GJ26)</f>
        <v>4028.0980777777777</v>
      </c>
      <c r="GK27" s="385"/>
      <c r="GL27" s="383"/>
      <c r="GM27" s="383"/>
      <c r="GN27" s="383"/>
      <c r="GO27" s="383"/>
      <c r="GP27" s="383"/>
      <c r="GQ27" s="383"/>
      <c r="GR27" s="383"/>
      <c r="GS27" s="383"/>
      <c r="GT27" s="383"/>
      <c r="GU27" s="383"/>
      <c r="GV27" s="383"/>
      <c r="GW27" s="383"/>
      <c r="GX27" s="383"/>
      <c r="GY27" s="383"/>
      <c r="GZ27" s="383"/>
      <c r="HA27" s="383"/>
      <c r="HB27" s="383"/>
      <c r="HC27" s="383"/>
      <c r="HD27" s="383"/>
      <c r="HE27" s="383"/>
      <c r="HF27" s="384"/>
      <c r="HG27" s="272" t="s">
        <v>7</v>
      </c>
      <c r="HH27" s="213">
        <f>SUM(HH23:HH26)</f>
        <v>4028.0980777777777</v>
      </c>
      <c r="HI27" s="385"/>
      <c r="HJ27" s="383"/>
      <c r="HK27" s="383"/>
      <c r="HL27" s="383"/>
      <c r="HM27" s="383"/>
      <c r="HN27" s="383"/>
      <c r="HO27" s="383"/>
      <c r="HP27" s="383"/>
      <c r="HQ27" s="383"/>
      <c r="HR27" s="383"/>
      <c r="HS27" s="383"/>
      <c r="HT27" s="383"/>
      <c r="HU27" s="383"/>
      <c r="HV27" s="383"/>
      <c r="HW27" s="383"/>
      <c r="HX27" s="383"/>
      <c r="HY27" s="383"/>
      <c r="HZ27" s="383"/>
      <c r="IA27" s="383"/>
      <c r="IB27" s="383"/>
      <c r="IC27" s="383"/>
      <c r="ID27" s="384"/>
      <c r="IE27" s="272" t="s">
        <v>7</v>
      </c>
      <c r="IF27" s="213">
        <f>SUM(IF23:IF26)</f>
        <v>4028.0980777777777</v>
      </c>
      <c r="IG27" s="385"/>
      <c r="IH27" s="383"/>
      <c r="II27" s="383"/>
      <c r="IJ27" s="383"/>
      <c r="IK27" s="383"/>
      <c r="IL27" s="383"/>
      <c r="IM27" s="383"/>
      <c r="IN27" s="383"/>
      <c r="IO27" s="383"/>
      <c r="IP27" s="383"/>
      <c r="IQ27" s="383"/>
      <c r="IR27" s="383"/>
      <c r="IS27" s="383"/>
      <c r="IT27" s="383"/>
      <c r="IU27" s="383"/>
      <c r="IV27" s="383"/>
      <c r="IW27" s="383"/>
      <c r="IX27" s="383"/>
      <c r="IY27" s="383"/>
      <c r="IZ27" s="383"/>
      <c r="JA27" s="383"/>
      <c r="JB27" s="384"/>
      <c r="JC27" s="272" t="s">
        <v>7</v>
      </c>
      <c r="JD27" s="470">
        <f>SUM(JD23:JD26)</f>
        <v>4028.0980777777777</v>
      </c>
      <c r="JE27" s="385"/>
      <c r="JF27" s="383"/>
      <c r="JG27" s="383"/>
      <c r="JH27" s="383"/>
      <c r="JI27" s="383"/>
      <c r="JJ27" s="383"/>
      <c r="JK27" s="383"/>
      <c r="JL27" s="383"/>
      <c r="JM27" s="383"/>
      <c r="JN27" s="383"/>
      <c r="JO27" s="383"/>
      <c r="JP27" s="383"/>
      <c r="JQ27" s="383"/>
      <c r="JR27" s="383"/>
      <c r="JS27" s="383"/>
      <c r="JT27" s="383"/>
      <c r="JU27" s="383"/>
      <c r="JV27" s="383"/>
      <c r="JW27" s="383"/>
      <c r="JX27" s="383"/>
      <c r="JY27" s="383"/>
      <c r="JZ27" s="384"/>
      <c r="KA27" s="272" t="s">
        <v>7</v>
      </c>
      <c r="KB27" s="470">
        <f>SUM(KB23:KB26)</f>
        <v>4028.0980777777777</v>
      </c>
      <c r="KC27" s="37"/>
      <c r="KD27" s="37"/>
      <c r="KE27" s="37"/>
      <c r="KF27" s="37"/>
      <c r="KG27" s="37"/>
      <c r="KH27" s="37"/>
      <c r="KI27" s="37"/>
      <c r="KJ27" s="37"/>
    </row>
    <row r="28" spans="1:296" ht="28.95" customHeight="1" x14ac:dyDescent="0.3">
      <c r="A28" s="39"/>
      <c r="B28" s="50" t="s">
        <v>34</v>
      </c>
      <c r="C28" s="51" t="s">
        <v>35</v>
      </c>
      <c r="D28" s="51" t="s">
        <v>36</v>
      </c>
      <c r="E28" s="52">
        <v>0.1</v>
      </c>
      <c r="F28" s="52">
        <v>0.08</v>
      </c>
      <c r="G28" s="53" t="s">
        <v>37</v>
      </c>
      <c r="H28" s="51">
        <v>3</v>
      </c>
      <c r="I28" s="54">
        <v>12</v>
      </c>
      <c r="J28" s="55" t="s">
        <v>38</v>
      </c>
      <c r="K28" s="55">
        <v>0.5</v>
      </c>
      <c r="L28" s="55">
        <v>0.6</v>
      </c>
      <c r="M28" s="55">
        <v>0.8</v>
      </c>
      <c r="N28" s="55">
        <v>1</v>
      </c>
      <c r="O28" s="55">
        <v>1.5</v>
      </c>
      <c r="P28" s="56">
        <v>1.5</v>
      </c>
      <c r="Q28" s="56">
        <v>1.6</v>
      </c>
      <c r="R28" s="56">
        <v>1.8</v>
      </c>
      <c r="S28" s="57">
        <v>2</v>
      </c>
      <c r="T28" s="57">
        <v>2.5</v>
      </c>
      <c r="U28" s="55" t="s">
        <v>38</v>
      </c>
      <c r="V28" s="55" t="s">
        <v>38</v>
      </c>
      <c r="W28" s="55">
        <v>0.2</v>
      </c>
      <c r="X28" s="211" t="s">
        <v>38</v>
      </c>
      <c r="Y28" s="39"/>
      <c r="Z28" s="50" t="s">
        <v>34</v>
      </c>
      <c r="AA28" s="51" t="s">
        <v>35</v>
      </c>
      <c r="AB28" s="51" t="s">
        <v>36</v>
      </c>
      <c r="AC28" s="52">
        <v>0.1</v>
      </c>
      <c r="AD28" s="52">
        <v>0.08</v>
      </c>
      <c r="AE28" s="53" t="s">
        <v>37</v>
      </c>
      <c r="AF28" s="51">
        <v>3</v>
      </c>
      <c r="AG28" s="54">
        <v>12</v>
      </c>
      <c r="AH28" s="55" t="s">
        <v>38</v>
      </c>
      <c r="AI28" s="55">
        <v>0.5</v>
      </c>
      <c r="AJ28" s="55">
        <v>0.6</v>
      </c>
      <c r="AK28" s="55">
        <v>0.8</v>
      </c>
      <c r="AL28" s="55">
        <v>1</v>
      </c>
      <c r="AM28" s="55">
        <v>1.5</v>
      </c>
      <c r="AN28" s="56">
        <v>1.5</v>
      </c>
      <c r="AO28" s="56">
        <v>1.6</v>
      </c>
      <c r="AP28" s="56">
        <v>1.8</v>
      </c>
      <c r="AQ28" s="57">
        <v>2</v>
      </c>
      <c r="AR28" s="57">
        <v>2.5</v>
      </c>
      <c r="AS28" s="55" t="s">
        <v>38</v>
      </c>
      <c r="AT28" s="55" t="s">
        <v>38</v>
      </c>
      <c r="AU28" s="55">
        <v>0.2</v>
      </c>
      <c r="AV28" s="211" t="s">
        <v>38</v>
      </c>
      <c r="AW28" s="39"/>
      <c r="AX28" s="50" t="s">
        <v>34</v>
      </c>
      <c r="AY28" s="51" t="s">
        <v>35</v>
      </c>
      <c r="AZ28" s="51" t="s">
        <v>36</v>
      </c>
      <c r="BA28" s="52">
        <v>0.1</v>
      </c>
      <c r="BB28" s="52">
        <v>0.08</v>
      </c>
      <c r="BC28" s="53" t="s">
        <v>37</v>
      </c>
      <c r="BD28" s="51">
        <v>3</v>
      </c>
      <c r="BE28" s="54">
        <v>12</v>
      </c>
      <c r="BF28" s="55" t="s">
        <v>38</v>
      </c>
      <c r="BG28" s="55">
        <v>0.5</v>
      </c>
      <c r="BH28" s="55">
        <v>0.6</v>
      </c>
      <c r="BI28" s="55">
        <v>0.8</v>
      </c>
      <c r="BJ28" s="55">
        <v>1</v>
      </c>
      <c r="BK28" s="55">
        <v>1.5</v>
      </c>
      <c r="BL28" s="56">
        <v>1.5</v>
      </c>
      <c r="BM28" s="56">
        <v>1.6</v>
      </c>
      <c r="BN28" s="56">
        <v>1.8</v>
      </c>
      <c r="BO28" s="57">
        <v>2</v>
      </c>
      <c r="BP28" s="57">
        <v>2.5</v>
      </c>
      <c r="BQ28" s="55" t="s">
        <v>38</v>
      </c>
      <c r="BR28" s="55" t="s">
        <v>38</v>
      </c>
      <c r="BS28" s="55">
        <v>0.2</v>
      </c>
      <c r="BT28" s="211" t="s">
        <v>38</v>
      </c>
      <c r="BV28" s="50" t="s">
        <v>34</v>
      </c>
      <c r="BW28" s="51" t="s">
        <v>35</v>
      </c>
      <c r="BX28" s="51" t="s">
        <v>36</v>
      </c>
      <c r="BY28" s="52">
        <v>0.1</v>
      </c>
      <c r="BZ28" s="52">
        <v>0.08</v>
      </c>
      <c r="CA28" s="53" t="s">
        <v>37</v>
      </c>
      <c r="CB28" s="51">
        <v>3</v>
      </c>
      <c r="CC28" s="54">
        <v>12</v>
      </c>
      <c r="CD28" s="55" t="s">
        <v>38</v>
      </c>
      <c r="CE28" s="55">
        <v>0.5</v>
      </c>
      <c r="CF28" s="55">
        <v>0.6</v>
      </c>
      <c r="CG28" s="55">
        <v>0.8</v>
      </c>
      <c r="CH28" s="55">
        <v>1</v>
      </c>
      <c r="CI28" s="55">
        <v>1.5</v>
      </c>
      <c r="CJ28" s="56">
        <v>1.5</v>
      </c>
      <c r="CK28" s="56">
        <v>1.6</v>
      </c>
      <c r="CL28" s="56">
        <v>1.8</v>
      </c>
      <c r="CM28" s="57">
        <v>2</v>
      </c>
      <c r="CN28" s="57">
        <v>2.5</v>
      </c>
      <c r="CO28" s="55" t="s">
        <v>38</v>
      </c>
      <c r="CP28" s="55" t="s">
        <v>38</v>
      </c>
      <c r="CQ28" s="55">
        <v>0.2</v>
      </c>
      <c r="CR28" s="211" t="s">
        <v>38</v>
      </c>
      <c r="CT28" s="50" t="s">
        <v>34</v>
      </c>
      <c r="CU28" s="51" t="s">
        <v>35</v>
      </c>
      <c r="CV28" s="51" t="s">
        <v>36</v>
      </c>
      <c r="CW28" s="52">
        <v>0.1</v>
      </c>
      <c r="CX28" s="52">
        <v>0.08</v>
      </c>
      <c r="CY28" s="53" t="s">
        <v>37</v>
      </c>
      <c r="CZ28" s="51">
        <v>3</v>
      </c>
      <c r="DA28" s="54">
        <v>12</v>
      </c>
      <c r="DB28" s="55" t="s">
        <v>38</v>
      </c>
      <c r="DC28" s="55">
        <v>0.5</v>
      </c>
      <c r="DD28" s="55">
        <v>0.6</v>
      </c>
      <c r="DE28" s="55">
        <v>0.8</v>
      </c>
      <c r="DF28" s="55">
        <v>1</v>
      </c>
      <c r="DG28" s="55">
        <v>1.5</v>
      </c>
      <c r="DH28" s="56">
        <v>1.5</v>
      </c>
      <c r="DI28" s="56">
        <v>1.6</v>
      </c>
      <c r="DJ28" s="56">
        <v>1.8</v>
      </c>
      <c r="DK28" s="57">
        <v>2</v>
      </c>
      <c r="DL28" s="57">
        <v>2.5</v>
      </c>
      <c r="DM28" s="55" t="s">
        <v>38</v>
      </c>
      <c r="DN28" s="55" t="s">
        <v>38</v>
      </c>
      <c r="DO28" s="55">
        <v>0.2</v>
      </c>
      <c r="DP28" s="211" t="s">
        <v>38</v>
      </c>
      <c r="DR28" s="50" t="s">
        <v>34</v>
      </c>
      <c r="DS28" s="51" t="s">
        <v>35</v>
      </c>
      <c r="DT28" s="51" t="s">
        <v>36</v>
      </c>
      <c r="DU28" s="52">
        <v>0.1</v>
      </c>
      <c r="DV28" s="52">
        <v>0.08</v>
      </c>
      <c r="DW28" s="53" t="s">
        <v>37</v>
      </c>
      <c r="DX28" s="51">
        <v>3</v>
      </c>
      <c r="DY28" s="54">
        <v>12</v>
      </c>
      <c r="DZ28" s="55" t="s">
        <v>38</v>
      </c>
      <c r="EA28" s="55">
        <v>0.5</v>
      </c>
      <c r="EB28" s="55">
        <v>0.6</v>
      </c>
      <c r="EC28" s="55">
        <v>0.8</v>
      </c>
      <c r="ED28" s="55">
        <v>1</v>
      </c>
      <c r="EE28" s="55">
        <v>1.5</v>
      </c>
      <c r="EF28" s="56">
        <v>1.5</v>
      </c>
      <c r="EG28" s="56">
        <v>1.6</v>
      </c>
      <c r="EH28" s="56">
        <v>1.8</v>
      </c>
      <c r="EI28" s="57">
        <v>2</v>
      </c>
      <c r="EJ28" s="57">
        <v>2.5</v>
      </c>
      <c r="EK28" s="55" t="s">
        <v>38</v>
      </c>
      <c r="EL28" s="55" t="s">
        <v>38</v>
      </c>
      <c r="EM28" s="55">
        <v>0.2</v>
      </c>
      <c r="EN28" s="211" t="s">
        <v>38</v>
      </c>
      <c r="EP28" s="50" t="s">
        <v>34</v>
      </c>
      <c r="EQ28" s="51" t="s">
        <v>35</v>
      </c>
      <c r="ER28" s="51" t="s">
        <v>36</v>
      </c>
      <c r="ES28" s="52">
        <v>0.1</v>
      </c>
      <c r="ET28" s="52">
        <v>0.08</v>
      </c>
      <c r="EU28" s="53" t="s">
        <v>37</v>
      </c>
      <c r="EV28" s="51">
        <v>3</v>
      </c>
      <c r="EW28" s="54">
        <v>12</v>
      </c>
      <c r="EX28" s="55" t="s">
        <v>38</v>
      </c>
      <c r="EY28" s="55">
        <v>0.5</v>
      </c>
      <c r="EZ28" s="55">
        <v>0.6</v>
      </c>
      <c r="FA28" s="55">
        <v>0.8</v>
      </c>
      <c r="FB28" s="55">
        <v>1</v>
      </c>
      <c r="FC28" s="55">
        <v>1.5</v>
      </c>
      <c r="FD28" s="56">
        <v>1.5</v>
      </c>
      <c r="FE28" s="56">
        <v>1.6</v>
      </c>
      <c r="FF28" s="56">
        <v>1.8</v>
      </c>
      <c r="FG28" s="57">
        <v>2</v>
      </c>
      <c r="FH28" s="57">
        <v>2.5</v>
      </c>
      <c r="FI28" s="55" t="s">
        <v>38</v>
      </c>
      <c r="FJ28" s="55" t="s">
        <v>38</v>
      </c>
      <c r="FK28" s="55">
        <v>0.2</v>
      </c>
      <c r="FL28" s="211" t="s">
        <v>38</v>
      </c>
      <c r="FN28" s="50" t="s">
        <v>34</v>
      </c>
      <c r="FO28" s="51" t="s">
        <v>35</v>
      </c>
      <c r="FP28" s="51" t="s">
        <v>36</v>
      </c>
      <c r="FQ28" s="52">
        <v>0.1</v>
      </c>
      <c r="FR28" s="52">
        <v>0.08</v>
      </c>
      <c r="FS28" s="53" t="s">
        <v>37</v>
      </c>
      <c r="FT28" s="51">
        <v>3</v>
      </c>
      <c r="FU28" s="54">
        <v>12</v>
      </c>
      <c r="FV28" s="55" t="s">
        <v>38</v>
      </c>
      <c r="FW28" s="55">
        <v>0.5</v>
      </c>
      <c r="FX28" s="55">
        <v>0.6</v>
      </c>
      <c r="FY28" s="55">
        <v>0.8</v>
      </c>
      <c r="FZ28" s="55">
        <v>1</v>
      </c>
      <c r="GA28" s="55">
        <v>1.5</v>
      </c>
      <c r="GB28" s="56">
        <v>1.5</v>
      </c>
      <c r="GC28" s="56">
        <v>1.6</v>
      </c>
      <c r="GD28" s="56">
        <v>1.8</v>
      </c>
      <c r="GE28" s="57">
        <v>2</v>
      </c>
      <c r="GF28" s="57">
        <v>2.5</v>
      </c>
      <c r="GG28" s="55" t="s">
        <v>38</v>
      </c>
      <c r="GH28" s="55" t="s">
        <v>38</v>
      </c>
      <c r="GI28" s="55">
        <v>0.2</v>
      </c>
      <c r="GJ28" s="211" t="s">
        <v>38</v>
      </c>
      <c r="GL28" s="50" t="s">
        <v>34</v>
      </c>
      <c r="GM28" s="51" t="s">
        <v>35</v>
      </c>
      <c r="GN28" s="51" t="s">
        <v>36</v>
      </c>
      <c r="GO28" s="52">
        <v>0.1</v>
      </c>
      <c r="GP28" s="52">
        <v>0.08</v>
      </c>
      <c r="GQ28" s="53" t="s">
        <v>37</v>
      </c>
      <c r="GR28" s="51">
        <v>3</v>
      </c>
      <c r="GS28" s="54">
        <v>12</v>
      </c>
      <c r="GT28" s="55" t="s">
        <v>38</v>
      </c>
      <c r="GU28" s="55">
        <v>0.5</v>
      </c>
      <c r="GV28" s="55">
        <v>0.6</v>
      </c>
      <c r="GW28" s="55">
        <v>0.8</v>
      </c>
      <c r="GX28" s="55">
        <v>1</v>
      </c>
      <c r="GY28" s="55">
        <v>1.5</v>
      </c>
      <c r="GZ28" s="56">
        <v>1.5</v>
      </c>
      <c r="HA28" s="56">
        <v>1.6</v>
      </c>
      <c r="HB28" s="56">
        <v>1.8</v>
      </c>
      <c r="HC28" s="57">
        <v>2</v>
      </c>
      <c r="HD28" s="57">
        <v>2.5</v>
      </c>
      <c r="HE28" s="55" t="s">
        <v>38</v>
      </c>
      <c r="HF28" s="55" t="s">
        <v>38</v>
      </c>
      <c r="HG28" s="55">
        <v>0.2</v>
      </c>
      <c r="HH28" s="211" t="s">
        <v>38</v>
      </c>
      <c r="HJ28" s="50" t="s">
        <v>34</v>
      </c>
      <c r="HK28" s="51" t="s">
        <v>35</v>
      </c>
      <c r="HL28" s="51" t="s">
        <v>36</v>
      </c>
      <c r="HM28" s="52">
        <v>0.1</v>
      </c>
      <c r="HN28" s="52">
        <v>0.08</v>
      </c>
      <c r="HO28" s="53" t="s">
        <v>37</v>
      </c>
      <c r="HP28" s="51">
        <v>3</v>
      </c>
      <c r="HQ28" s="54">
        <v>12</v>
      </c>
      <c r="HR28" s="55" t="s">
        <v>38</v>
      </c>
      <c r="HS28" s="55">
        <v>0.5</v>
      </c>
      <c r="HT28" s="55">
        <v>0.6</v>
      </c>
      <c r="HU28" s="55">
        <v>0.8</v>
      </c>
      <c r="HV28" s="55">
        <v>1</v>
      </c>
      <c r="HW28" s="55">
        <v>1.5</v>
      </c>
      <c r="HX28" s="56">
        <v>1.5</v>
      </c>
      <c r="HY28" s="56">
        <v>1.6</v>
      </c>
      <c r="HZ28" s="56">
        <v>1.8</v>
      </c>
      <c r="IA28" s="57">
        <v>2</v>
      </c>
      <c r="IB28" s="57">
        <v>2.5</v>
      </c>
      <c r="IC28" s="55" t="s">
        <v>38</v>
      </c>
      <c r="ID28" s="55" t="s">
        <v>38</v>
      </c>
      <c r="IE28" s="55">
        <v>0.2</v>
      </c>
      <c r="IF28" s="211" t="s">
        <v>38</v>
      </c>
      <c r="IH28" s="50" t="s">
        <v>34</v>
      </c>
      <c r="II28" s="51" t="s">
        <v>35</v>
      </c>
      <c r="IJ28" s="51" t="s">
        <v>36</v>
      </c>
      <c r="IK28" s="52">
        <v>0.1</v>
      </c>
      <c r="IL28" s="52">
        <v>0.08</v>
      </c>
      <c r="IM28" s="53" t="s">
        <v>37</v>
      </c>
      <c r="IN28" s="51">
        <v>3</v>
      </c>
      <c r="IO28" s="54">
        <v>12</v>
      </c>
      <c r="IP28" s="55" t="s">
        <v>38</v>
      </c>
      <c r="IQ28" s="55">
        <v>0.5</v>
      </c>
      <c r="IR28" s="55">
        <v>0.6</v>
      </c>
      <c r="IS28" s="55">
        <v>0.8</v>
      </c>
      <c r="IT28" s="55">
        <v>1</v>
      </c>
      <c r="IU28" s="55">
        <v>1.5</v>
      </c>
      <c r="IV28" s="56">
        <v>1.5</v>
      </c>
      <c r="IW28" s="56">
        <v>1.6</v>
      </c>
      <c r="IX28" s="56">
        <v>1.8</v>
      </c>
      <c r="IY28" s="57">
        <v>2</v>
      </c>
      <c r="IZ28" s="57">
        <v>2.5</v>
      </c>
      <c r="JA28" s="55" t="s">
        <v>38</v>
      </c>
      <c r="JB28" s="55" t="s">
        <v>38</v>
      </c>
      <c r="JC28" s="55">
        <v>0.2</v>
      </c>
      <c r="JD28" s="475" t="s">
        <v>38</v>
      </c>
      <c r="JF28" s="50" t="s">
        <v>34</v>
      </c>
      <c r="JG28" s="51" t="s">
        <v>35</v>
      </c>
      <c r="JH28" s="51" t="s">
        <v>36</v>
      </c>
      <c r="JI28" s="52">
        <v>0.1</v>
      </c>
      <c r="JJ28" s="52">
        <v>0.08</v>
      </c>
      <c r="JK28" s="53" t="s">
        <v>37</v>
      </c>
      <c r="JL28" s="51">
        <v>3</v>
      </c>
      <c r="JM28" s="54">
        <v>12</v>
      </c>
      <c r="JN28" s="55" t="s">
        <v>38</v>
      </c>
      <c r="JO28" s="55">
        <v>0.5</v>
      </c>
      <c r="JP28" s="55">
        <v>0.6</v>
      </c>
      <c r="JQ28" s="55">
        <v>0.8</v>
      </c>
      <c r="JR28" s="55">
        <v>1</v>
      </c>
      <c r="JS28" s="55">
        <v>1.5</v>
      </c>
      <c r="JT28" s="56">
        <v>1.5</v>
      </c>
      <c r="JU28" s="56">
        <v>1.6</v>
      </c>
      <c r="JV28" s="56">
        <v>1.8</v>
      </c>
      <c r="JW28" s="57">
        <v>2</v>
      </c>
      <c r="JX28" s="57">
        <v>2.5</v>
      </c>
      <c r="JY28" s="55" t="s">
        <v>38</v>
      </c>
      <c r="JZ28" s="55" t="s">
        <v>38</v>
      </c>
      <c r="KA28" s="55">
        <v>0.2</v>
      </c>
      <c r="KB28" s="475" t="s">
        <v>38</v>
      </c>
      <c r="KC28" s="37"/>
      <c r="KD28" s="37"/>
      <c r="KE28" s="37"/>
      <c r="KF28" s="37"/>
      <c r="KG28" s="37"/>
      <c r="KH28" s="37"/>
      <c r="KI28" s="37"/>
      <c r="KJ28" s="37"/>
    </row>
    <row r="29" spans="1:296" ht="15.6" x14ac:dyDescent="0.3">
      <c r="A29" s="386"/>
      <c r="B29" s="387"/>
      <c r="C29" s="387"/>
      <c r="D29" s="387"/>
      <c r="E29" s="472" t="s">
        <v>181</v>
      </c>
      <c r="F29" s="472"/>
      <c r="G29" s="472"/>
      <c r="H29" s="472"/>
      <c r="I29" s="472"/>
      <c r="J29" s="472"/>
      <c r="K29" s="472"/>
      <c r="L29" s="472"/>
      <c r="M29" s="472"/>
      <c r="N29" s="472"/>
      <c r="O29" s="472"/>
      <c r="P29" s="472"/>
      <c r="Q29" s="454"/>
      <c r="R29" s="454"/>
      <c r="S29" s="387"/>
      <c r="T29" s="387"/>
      <c r="U29" s="387"/>
      <c r="V29" s="387"/>
      <c r="W29" s="387"/>
      <c r="X29" s="388"/>
      <c r="Y29" s="386"/>
      <c r="Z29" s="387"/>
      <c r="AA29" s="387"/>
      <c r="AB29" s="387"/>
      <c r="AC29" s="472" t="s">
        <v>181</v>
      </c>
      <c r="AD29" s="472"/>
      <c r="AE29" s="472"/>
      <c r="AF29" s="472"/>
      <c r="AG29" s="472"/>
      <c r="AH29" s="472"/>
      <c r="AI29" s="472"/>
      <c r="AJ29" s="472"/>
      <c r="AK29" s="472"/>
      <c r="AL29" s="472"/>
      <c r="AM29" s="472"/>
      <c r="AN29" s="472"/>
      <c r="AO29" s="454"/>
      <c r="AP29" s="454"/>
      <c r="AQ29" s="387"/>
      <c r="AR29" s="387"/>
      <c r="AS29" s="387"/>
      <c r="AT29" s="387"/>
      <c r="AU29" s="387"/>
      <c r="AV29" s="388"/>
      <c r="AW29" s="386"/>
      <c r="AX29" s="387"/>
      <c r="AY29" s="387"/>
      <c r="AZ29" s="387"/>
      <c r="BA29" s="472" t="s">
        <v>181</v>
      </c>
      <c r="BB29" s="472"/>
      <c r="BC29" s="472"/>
      <c r="BD29" s="472"/>
      <c r="BE29" s="472"/>
      <c r="BF29" s="472"/>
      <c r="BG29" s="472"/>
      <c r="BH29" s="472"/>
      <c r="BI29" s="472"/>
      <c r="BJ29" s="472"/>
      <c r="BK29" s="472"/>
      <c r="BL29" s="472"/>
      <c r="BM29" s="454"/>
      <c r="BN29" s="454"/>
      <c r="BO29" s="387"/>
      <c r="BP29" s="387"/>
      <c r="BQ29" s="387"/>
      <c r="BR29" s="387"/>
      <c r="BS29" s="387"/>
      <c r="BT29" s="388"/>
      <c r="BU29" s="386"/>
      <c r="BV29" s="387"/>
      <c r="BW29" s="387"/>
      <c r="BX29" s="387"/>
      <c r="BY29" s="472" t="s">
        <v>181</v>
      </c>
      <c r="BZ29" s="472"/>
      <c r="CA29" s="472"/>
      <c r="CB29" s="472"/>
      <c r="CC29" s="472"/>
      <c r="CD29" s="472"/>
      <c r="CE29" s="472"/>
      <c r="CF29" s="472"/>
      <c r="CG29" s="472"/>
      <c r="CH29" s="472"/>
      <c r="CI29" s="472"/>
      <c r="CJ29" s="472"/>
      <c r="CK29" s="454"/>
      <c r="CL29" s="454"/>
      <c r="CM29" s="387"/>
      <c r="CN29" s="387"/>
      <c r="CO29" s="387"/>
      <c r="CP29" s="387"/>
      <c r="CQ29" s="387"/>
      <c r="CR29" s="388"/>
      <c r="CS29" s="386"/>
      <c r="CT29" s="387"/>
      <c r="CU29" s="387"/>
      <c r="CV29" s="387"/>
      <c r="CW29" s="472" t="s">
        <v>181</v>
      </c>
      <c r="CX29" s="472"/>
      <c r="CY29" s="472"/>
      <c r="CZ29" s="472"/>
      <c r="DA29" s="472"/>
      <c r="DB29" s="472"/>
      <c r="DC29" s="472"/>
      <c r="DD29" s="472"/>
      <c r="DE29" s="472"/>
      <c r="DF29" s="472"/>
      <c r="DG29" s="472"/>
      <c r="DH29" s="472"/>
      <c r="DI29" s="454"/>
      <c r="DJ29" s="454"/>
      <c r="DK29" s="387"/>
      <c r="DL29" s="387"/>
      <c r="DM29" s="387"/>
      <c r="DN29" s="387"/>
      <c r="DO29" s="387"/>
      <c r="DP29" s="388"/>
      <c r="DQ29" s="386"/>
      <c r="DR29" s="387"/>
      <c r="DS29" s="387"/>
      <c r="DT29" s="387"/>
      <c r="DU29" s="472" t="s">
        <v>181</v>
      </c>
      <c r="DV29" s="472"/>
      <c r="DW29" s="472"/>
      <c r="DX29" s="472"/>
      <c r="DY29" s="472"/>
      <c r="DZ29" s="472"/>
      <c r="EA29" s="472"/>
      <c r="EB29" s="472"/>
      <c r="EC29" s="472"/>
      <c r="ED29" s="472"/>
      <c r="EE29" s="472"/>
      <c r="EF29" s="472"/>
      <c r="EG29" s="454"/>
      <c r="EH29" s="454"/>
      <c r="EI29" s="387"/>
      <c r="EJ29" s="387"/>
      <c r="EK29" s="387"/>
      <c r="EL29" s="387"/>
      <c r="EM29" s="387"/>
      <c r="EN29" s="388"/>
      <c r="EO29" s="386"/>
      <c r="EP29" s="387"/>
      <c r="EQ29" s="387"/>
      <c r="ER29" s="387"/>
      <c r="ES29" s="472" t="s">
        <v>181</v>
      </c>
      <c r="ET29" s="472"/>
      <c r="EU29" s="472"/>
      <c r="EV29" s="472"/>
      <c r="EW29" s="472"/>
      <c r="EX29" s="472"/>
      <c r="EY29" s="472"/>
      <c r="EZ29" s="472"/>
      <c r="FA29" s="472"/>
      <c r="FB29" s="472"/>
      <c r="FC29" s="472"/>
      <c r="FD29" s="472"/>
      <c r="FE29" s="454"/>
      <c r="FF29" s="454"/>
      <c r="FG29" s="387"/>
      <c r="FH29" s="387"/>
      <c r="FI29" s="387"/>
      <c r="FJ29" s="387"/>
      <c r="FK29" s="387"/>
      <c r="FL29" s="388"/>
      <c r="FM29" s="386"/>
      <c r="FN29" s="387"/>
      <c r="FO29" s="387"/>
      <c r="FP29" s="387"/>
      <c r="FQ29" s="472" t="s">
        <v>181</v>
      </c>
      <c r="FR29" s="472"/>
      <c r="FS29" s="472"/>
      <c r="FT29" s="472"/>
      <c r="FU29" s="472"/>
      <c r="FV29" s="472"/>
      <c r="FW29" s="472"/>
      <c r="FX29" s="472"/>
      <c r="FY29" s="472"/>
      <c r="FZ29" s="472"/>
      <c r="GA29" s="472"/>
      <c r="GB29" s="472"/>
      <c r="GC29" s="454"/>
      <c r="GD29" s="454"/>
      <c r="GE29" s="387"/>
      <c r="GF29" s="387"/>
      <c r="GG29" s="387"/>
      <c r="GH29" s="387"/>
      <c r="GI29" s="387"/>
      <c r="GJ29" s="388"/>
      <c r="GK29" s="386"/>
      <c r="GL29" s="387"/>
      <c r="GM29" s="387"/>
      <c r="GN29" s="387"/>
      <c r="GO29" s="472" t="s">
        <v>181</v>
      </c>
      <c r="GP29" s="472"/>
      <c r="GQ29" s="472"/>
      <c r="GR29" s="472"/>
      <c r="GS29" s="472"/>
      <c r="GT29" s="472"/>
      <c r="GU29" s="472"/>
      <c r="GV29" s="472"/>
      <c r="GW29" s="472"/>
      <c r="GX29" s="472"/>
      <c r="GY29" s="472"/>
      <c r="GZ29" s="472"/>
      <c r="HA29" s="454"/>
      <c r="HB29" s="454"/>
      <c r="HC29" s="387"/>
      <c r="HD29" s="387"/>
      <c r="HE29" s="387"/>
      <c r="HF29" s="387"/>
      <c r="HG29" s="387"/>
      <c r="HH29" s="388"/>
      <c r="HI29" s="386"/>
      <c r="HJ29" s="387"/>
      <c r="HK29" s="387"/>
      <c r="HL29" s="387"/>
      <c r="HM29" s="472" t="s">
        <v>181</v>
      </c>
      <c r="HN29" s="472"/>
      <c r="HO29" s="472"/>
      <c r="HP29" s="472"/>
      <c r="HQ29" s="472"/>
      <c r="HR29" s="472"/>
      <c r="HS29" s="472"/>
      <c r="HT29" s="472"/>
      <c r="HU29" s="472"/>
      <c r="HV29" s="472"/>
      <c r="HW29" s="472"/>
      <c r="HX29" s="472"/>
      <c r="HY29" s="454"/>
      <c r="HZ29" s="454"/>
      <c r="IA29" s="387"/>
      <c r="IB29" s="387"/>
      <c r="IC29" s="387"/>
      <c r="ID29" s="387"/>
      <c r="IE29" s="387"/>
      <c r="IF29" s="388"/>
      <c r="IG29" s="386"/>
      <c r="IH29" s="387"/>
      <c r="II29" s="387"/>
      <c r="IJ29" s="387"/>
      <c r="IK29" s="472" t="s">
        <v>181</v>
      </c>
      <c r="IL29" s="472"/>
      <c r="IM29" s="472"/>
      <c r="IN29" s="472"/>
      <c r="IO29" s="472"/>
      <c r="IP29" s="472"/>
      <c r="IQ29" s="472"/>
      <c r="IR29" s="472"/>
      <c r="IS29" s="472"/>
      <c r="IT29" s="472"/>
      <c r="IU29" s="472"/>
      <c r="IV29" s="472"/>
      <c r="IW29" s="454"/>
      <c r="IX29" s="454"/>
      <c r="IY29" s="387"/>
      <c r="IZ29" s="387"/>
      <c r="JA29" s="387"/>
      <c r="JB29" s="387"/>
      <c r="JC29" s="387"/>
      <c r="JD29" s="471"/>
      <c r="JE29" s="386"/>
      <c r="JF29" s="387"/>
      <c r="JG29" s="387"/>
      <c r="JH29" s="387"/>
      <c r="JI29" s="472" t="s">
        <v>181</v>
      </c>
      <c r="JJ29" s="472"/>
      <c r="JK29" s="472"/>
      <c r="JL29" s="472"/>
      <c r="JM29" s="472"/>
      <c r="JN29" s="472"/>
      <c r="JO29" s="472"/>
      <c r="JP29" s="472"/>
      <c r="JQ29" s="472"/>
      <c r="JR29" s="472"/>
      <c r="JS29" s="472"/>
      <c r="JT29" s="472"/>
      <c r="JU29" s="454"/>
      <c r="JV29" s="454"/>
      <c r="JW29" s="387"/>
      <c r="JX29" s="387"/>
      <c r="JY29" s="387"/>
      <c r="JZ29" s="387"/>
      <c r="KA29" s="387"/>
      <c r="KB29" s="471"/>
      <c r="KC29" s="37"/>
      <c r="KD29" s="37"/>
      <c r="KE29" s="37"/>
      <c r="KF29" s="37"/>
      <c r="KG29" s="37"/>
      <c r="KH29" s="37"/>
      <c r="KI29" s="37"/>
      <c r="KJ29" s="37"/>
    </row>
    <row r="30" spans="1:296" x14ac:dyDescent="0.3">
      <c r="A30" s="49">
        <v>0</v>
      </c>
      <c r="B30" s="59" t="s">
        <v>193</v>
      </c>
      <c r="C30" s="28">
        <f t="shared" ref="C30:C36" si="314">D30/$AY$4</f>
        <v>13.101136363636364</v>
      </c>
      <c r="D30" s="60">
        <v>2882.25</v>
      </c>
      <c r="E30" s="28">
        <f>D30*E$28</f>
        <v>288.22500000000002</v>
      </c>
      <c r="F30" s="28">
        <f>D30*F$28</f>
        <v>230.58</v>
      </c>
      <c r="G30" s="28">
        <f>D30/G$28</f>
        <v>240.1875</v>
      </c>
      <c r="H30" s="28">
        <f>G30/H$28</f>
        <v>80.0625</v>
      </c>
      <c r="I30" s="61">
        <f>D30/I$28</f>
        <v>240.1875</v>
      </c>
      <c r="J30" s="61">
        <f t="shared" ref="J30:J36" si="315">SUM(D30:I30)</f>
        <v>3961.4924999999998</v>
      </c>
      <c r="K30" s="62"/>
      <c r="L30" s="62"/>
      <c r="M30" s="62"/>
      <c r="N30" s="62"/>
      <c r="O30" s="54"/>
      <c r="P30" s="63">
        <f>((C30*P$28)+(C30*E$28)+(C30*F$28))*K30</f>
        <v>0</v>
      </c>
      <c r="Q30" s="63">
        <f>((C30*Q$28)+(C30*E$28)+(C30*F$28))*L30</f>
        <v>0</v>
      </c>
      <c r="R30" s="63">
        <f>((C30*R$28)+(C30*F$28)+(C30*E$28))*M30</f>
        <v>0</v>
      </c>
      <c r="S30" s="63">
        <f>((C30*S$28)+(C30*E$28)+(C30*F$28))*N30</f>
        <v>0</v>
      </c>
      <c r="T30" s="63">
        <f>((C30*T$28)+(C30*E$28)+(C30*F$28))*O30</f>
        <v>0</v>
      </c>
      <c r="U30" s="61">
        <f>SUM(P30:T30)</f>
        <v>0</v>
      </c>
      <c r="V30" s="64">
        <v>0</v>
      </c>
      <c r="W30" s="65">
        <f t="shared" ref="W30:W36" si="316">IF(A30=1,($C$1*$W$6),0)</f>
        <v>0</v>
      </c>
      <c r="X30" s="212">
        <f t="shared" ref="X30:X36" si="317">J30+U30+V30+W30</f>
        <v>3961.4924999999998</v>
      </c>
      <c r="Y30" s="49">
        <v>0</v>
      </c>
      <c r="Z30" s="59" t="s">
        <v>193</v>
      </c>
      <c r="AA30" s="28">
        <f t="shared" ref="AA30:AA36" si="318">AB30/$AY$4</f>
        <v>13.101136363636364</v>
      </c>
      <c r="AB30" s="60">
        <v>2882.25</v>
      </c>
      <c r="AC30" s="28">
        <f>AB30*AC$28</f>
        <v>288.22500000000002</v>
      </c>
      <c r="AD30" s="28">
        <f>AB30*AD$28</f>
        <v>230.58</v>
      </c>
      <c r="AE30" s="28">
        <f>AB30/AE$28</f>
        <v>240.1875</v>
      </c>
      <c r="AF30" s="28">
        <f>AE30/AF$28</f>
        <v>80.0625</v>
      </c>
      <c r="AG30" s="61">
        <f>AB30/AG$28</f>
        <v>240.1875</v>
      </c>
      <c r="AH30" s="61">
        <f t="shared" ref="AH30:AH36" si="319">SUM(AB30:AG30)</f>
        <v>3961.4924999999998</v>
      </c>
      <c r="AI30" s="62"/>
      <c r="AJ30" s="62"/>
      <c r="AK30" s="62"/>
      <c r="AL30" s="62"/>
      <c r="AM30" s="54"/>
      <c r="AN30" s="63">
        <f>((AA30*AN$28)+(AA30*AC$28)+(AA30*AD$28))*AI30</f>
        <v>0</v>
      </c>
      <c r="AO30" s="63">
        <f>((AA30*AO$28)+(AA30*AC$28)+(AA30*AD$28))*AJ30</f>
        <v>0</v>
      </c>
      <c r="AP30" s="63">
        <f>((AA30*AP$28)+(AA30*AD$28)+(AA30*AC$28))*AK30</f>
        <v>0</v>
      </c>
      <c r="AQ30" s="63">
        <f>((AA30*AQ$28)+(AA30*AC$28)+(AA30*AD$28))*AL30</f>
        <v>0</v>
      </c>
      <c r="AR30" s="63">
        <f>((AA30*AR$28)+(AA30*AC$28)+(AA30*AD$28))*AM30</f>
        <v>0</v>
      </c>
      <c r="AS30" s="61">
        <f>SUM(AN30:AR30)</f>
        <v>0</v>
      </c>
      <c r="AT30" s="64">
        <v>0</v>
      </c>
      <c r="AU30" s="65">
        <f t="shared" ref="AU30:AU36" si="320">IF(Y30=1,($C$1*$W$6),0)</f>
        <v>0</v>
      </c>
      <c r="AV30" s="212">
        <f t="shared" ref="AV30:AV36" si="321">AH30+AS30+AT30+AU30</f>
        <v>3961.4924999999998</v>
      </c>
      <c r="AW30" s="49">
        <v>0</v>
      </c>
      <c r="AX30" s="59" t="s">
        <v>193</v>
      </c>
      <c r="AY30" s="28">
        <f t="shared" ref="AY30:AY36" si="322">AZ30/$AY$4</f>
        <v>13.101136363636364</v>
      </c>
      <c r="AZ30" s="60">
        <v>2882.25</v>
      </c>
      <c r="BA30" s="28">
        <f>AZ30*BA$28</f>
        <v>288.22500000000002</v>
      </c>
      <c r="BB30" s="28">
        <f>AZ30*BB$28</f>
        <v>230.58</v>
      </c>
      <c r="BC30" s="28">
        <f>AZ30/BC$28</f>
        <v>240.1875</v>
      </c>
      <c r="BD30" s="28">
        <f>BC30/BD$28</f>
        <v>80.0625</v>
      </c>
      <c r="BE30" s="61">
        <f>AZ30/BE$28</f>
        <v>240.1875</v>
      </c>
      <c r="BF30" s="61">
        <f t="shared" ref="BF30:BF36" si="323">SUM(AZ30:BE30)</f>
        <v>3961.4924999999998</v>
      </c>
      <c r="BG30" s="62"/>
      <c r="BH30" s="62"/>
      <c r="BI30" s="62"/>
      <c r="BJ30" s="62"/>
      <c r="BK30" s="54"/>
      <c r="BL30" s="63">
        <f>((AY30*BL$28)+(AY30*BA$28)+(AY30*BB$28))*BG30</f>
        <v>0</v>
      </c>
      <c r="BM30" s="63">
        <f>((AY30*BM$28)+(AY30*BA$28)+(AY30*BB$28))*BH30</f>
        <v>0</v>
      </c>
      <c r="BN30" s="63">
        <f>((AY30*BN$28)+(AY30*BB$28)+(AY30*BA$28))*BI30</f>
        <v>0</v>
      </c>
      <c r="BO30" s="63">
        <f>((AY30*BO$28)+(AY30*BA$28)+(AY30*BB$28))*BJ30</f>
        <v>0</v>
      </c>
      <c r="BP30" s="63">
        <f>((AY30*BP$28)+(AY30*BA$28)+(AY30*BB$28))*BK30</f>
        <v>0</v>
      </c>
      <c r="BQ30" s="61">
        <f>SUM(BL30:BP30)</f>
        <v>0</v>
      </c>
      <c r="BR30" s="64">
        <v>0</v>
      </c>
      <c r="BS30" s="65">
        <f t="shared" ref="BS30:BS36" si="324">IF(AW30=1,($C$1*$W$6),0)</f>
        <v>0</v>
      </c>
      <c r="BT30" s="212">
        <f t="shared" ref="BT30:BT36" si="325">BF30+BQ30+BR30+BS30</f>
        <v>3961.4924999999998</v>
      </c>
      <c r="BU30" s="49">
        <v>0</v>
      </c>
      <c r="BV30" s="59" t="s">
        <v>193</v>
      </c>
      <c r="BW30" s="28">
        <f t="shared" ref="BW30:BW36" si="326">BX30/$AY$4</f>
        <v>13.101136363636364</v>
      </c>
      <c r="BX30" s="60">
        <v>2882.25</v>
      </c>
      <c r="BY30" s="28">
        <f>BX30*BY$28</f>
        <v>288.22500000000002</v>
      </c>
      <c r="BZ30" s="28">
        <f>BX30*BZ$28</f>
        <v>230.58</v>
      </c>
      <c r="CA30" s="28">
        <f>BX30/CA$28</f>
        <v>240.1875</v>
      </c>
      <c r="CB30" s="28">
        <f>CA30/CB$28</f>
        <v>80.0625</v>
      </c>
      <c r="CC30" s="61">
        <f>BX30/CC$28</f>
        <v>240.1875</v>
      </c>
      <c r="CD30" s="61">
        <f t="shared" ref="CD30:CD36" si="327">SUM(BX30:CC30)</f>
        <v>3961.4924999999998</v>
      </c>
      <c r="CE30" s="62"/>
      <c r="CF30" s="62"/>
      <c r="CG30" s="62"/>
      <c r="CH30" s="62"/>
      <c r="CI30" s="54"/>
      <c r="CJ30" s="63">
        <f>((BW30*CJ$28)+(BW30*BY$28)+(BW30*BZ$28))*CE30</f>
        <v>0</v>
      </c>
      <c r="CK30" s="63">
        <f>((BW30*CK$28)+(BW30*BY$28)+(BW30*BZ$28))*CF30</f>
        <v>0</v>
      </c>
      <c r="CL30" s="63">
        <f>((BW30*CL$28)+(BW30*BZ$28)+(BW30*BY$28))*CG30</f>
        <v>0</v>
      </c>
      <c r="CM30" s="63">
        <f>((BW30*CM$28)+(BW30*BY$28)+(BW30*BZ$28))*CH30</f>
        <v>0</v>
      </c>
      <c r="CN30" s="63">
        <f>((BW30*CN$28)+(BW30*BY$28)+(BW30*BZ$28))*CI30</f>
        <v>0</v>
      </c>
      <c r="CO30" s="61">
        <f>SUM(CJ30:CN30)</f>
        <v>0</v>
      </c>
      <c r="CP30" s="64">
        <v>0</v>
      </c>
      <c r="CQ30" s="65">
        <f t="shared" ref="CQ30:CQ36" si="328">IF(BU30=1,($C$1*$W$6),0)</f>
        <v>0</v>
      </c>
      <c r="CR30" s="212">
        <f t="shared" ref="CR30:CR36" si="329">CD30+CO30+CP30+CQ30</f>
        <v>3961.4924999999998</v>
      </c>
      <c r="CS30" s="49">
        <v>0</v>
      </c>
      <c r="CT30" s="59" t="s">
        <v>193</v>
      </c>
      <c r="CU30" s="28">
        <f t="shared" ref="CU30:CU36" si="330">CV30/$AY$4</f>
        <v>13.101136363636364</v>
      </c>
      <c r="CV30" s="60">
        <v>2882.25</v>
      </c>
      <c r="CW30" s="28">
        <f>CV30*CW$28</f>
        <v>288.22500000000002</v>
      </c>
      <c r="CX30" s="28">
        <f>CV30*CX$28</f>
        <v>230.58</v>
      </c>
      <c r="CY30" s="28">
        <f>CV30/CY$28</f>
        <v>240.1875</v>
      </c>
      <c r="CZ30" s="28">
        <f>CY30/CZ$28</f>
        <v>80.0625</v>
      </c>
      <c r="DA30" s="61">
        <f>CV30/DA$28</f>
        <v>240.1875</v>
      </c>
      <c r="DB30" s="61">
        <f t="shared" ref="DB30:DB36" si="331">SUM(CV30:DA30)</f>
        <v>3961.4924999999998</v>
      </c>
      <c r="DC30" s="62"/>
      <c r="DD30" s="62"/>
      <c r="DE30" s="62"/>
      <c r="DF30" s="62"/>
      <c r="DG30" s="54"/>
      <c r="DH30" s="63">
        <f>((CU30*DH$28)+(CU30*CW$28)+(CU30*CX$28))*DC30</f>
        <v>0</v>
      </c>
      <c r="DI30" s="63">
        <f>((CU30*DI$28)+(CU30*CW$28)+(CU30*CX$28))*DD30</f>
        <v>0</v>
      </c>
      <c r="DJ30" s="63">
        <f>((CU30*DJ$28)+(CU30*CX$28)+(CU30*CW$28))*DE30</f>
        <v>0</v>
      </c>
      <c r="DK30" s="63">
        <f>((CU30*DK$28)+(CU30*CW$28)+(CU30*CX$28))*DF30</f>
        <v>0</v>
      </c>
      <c r="DL30" s="63">
        <f>((CU30*DL$28)+(CU30*CW$28)+(CU30*CX$28))*DG30</f>
        <v>0</v>
      </c>
      <c r="DM30" s="61">
        <f>SUM(DH30:DL30)</f>
        <v>0</v>
      </c>
      <c r="DN30" s="64">
        <v>0</v>
      </c>
      <c r="DO30" s="65">
        <f t="shared" ref="DO30:DO36" si="332">IF(CS30=1,($C$1*$W$6),0)</f>
        <v>0</v>
      </c>
      <c r="DP30" s="212">
        <f t="shared" ref="DP30:DP36" si="333">DB30+DM30+DN30+DO30</f>
        <v>3961.4924999999998</v>
      </c>
      <c r="DQ30" s="49">
        <v>0</v>
      </c>
      <c r="DR30" s="59" t="s">
        <v>193</v>
      </c>
      <c r="DS30" s="28">
        <f t="shared" ref="DS30:DS36" si="334">DT30/$AY$4</f>
        <v>13.101136363636364</v>
      </c>
      <c r="DT30" s="60">
        <v>2882.25</v>
      </c>
      <c r="DU30" s="28">
        <f>DT30*DU$28</f>
        <v>288.22500000000002</v>
      </c>
      <c r="DV30" s="28">
        <f>DT30*DV$28</f>
        <v>230.58</v>
      </c>
      <c r="DW30" s="28">
        <f>DT30/DW$28</f>
        <v>240.1875</v>
      </c>
      <c r="DX30" s="28">
        <f>DW30/DX$28</f>
        <v>80.0625</v>
      </c>
      <c r="DY30" s="61">
        <f>DT30/DY$28</f>
        <v>240.1875</v>
      </c>
      <c r="DZ30" s="61">
        <f t="shared" ref="DZ30:DZ36" si="335">SUM(DT30:DY30)</f>
        <v>3961.4924999999998</v>
      </c>
      <c r="EA30" s="62"/>
      <c r="EB30" s="62"/>
      <c r="EC30" s="62"/>
      <c r="ED30" s="62"/>
      <c r="EE30" s="54"/>
      <c r="EF30" s="63">
        <f>((DS30*EF$28)+(DS30*DU$28)+(DS30*DV$28))*EA30</f>
        <v>0</v>
      </c>
      <c r="EG30" s="63">
        <f>((DS30*EG$28)+(DS30*DU$28)+(DS30*DV$28))*EB30</f>
        <v>0</v>
      </c>
      <c r="EH30" s="63">
        <f>((DS30*EH$28)+(DS30*DV$28)+(DS30*DU$28))*EC30</f>
        <v>0</v>
      </c>
      <c r="EI30" s="63">
        <f>((DS30*EI$28)+(DS30*DU$28)+(DS30*DV$28))*ED30</f>
        <v>0</v>
      </c>
      <c r="EJ30" s="63">
        <f>((DS30*EJ$28)+(DS30*DU$28)+(DS30*DV$28))*EE30</f>
        <v>0</v>
      </c>
      <c r="EK30" s="61">
        <f>SUM(EF30:EJ30)</f>
        <v>0</v>
      </c>
      <c r="EL30" s="64">
        <v>0</v>
      </c>
      <c r="EM30" s="65">
        <f t="shared" ref="EM30:EM36" si="336">IF(DQ30=1,($C$1*$W$6),0)</f>
        <v>0</v>
      </c>
      <c r="EN30" s="212">
        <f t="shared" ref="EN30:EN36" si="337">DZ30+EK30+EL30+EM30</f>
        <v>3961.4924999999998</v>
      </c>
      <c r="EO30" s="49">
        <v>0</v>
      </c>
      <c r="EP30" s="59" t="s">
        <v>193</v>
      </c>
      <c r="EQ30" s="28">
        <f t="shared" ref="EQ30:EQ36" si="338">ER30/$AY$4</f>
        <v>13.101136363636364</v>
      </c>
      <c r="ER30" s="60">
        <v>2882.25</v>
      </c>
      <c r="ES30" s="28">
        <f>ER30*ES$28</f>
        <v>288.22500000000002</v>
      </c>
      <c r="ET30" s="28">
        <f>ER30*ET$28</f>
        <v>230.58</v>
      </c>
      <c r="EU30" s="28">
        <f>ER30/EU$28</f>
        <v>240.1875</v>
      </c>
      <c r="EV30" s="28">
        <f>EU30/EV$28</f>
        <v>80.0625</v>
      </c>
      <c r="EW30" s="61">
        <f>ER30/EW$28</f>
        <v>240.1875</v>
      </c>
      <c r="EX30" s="61">
        <f t="shared" ref="EX30:EX36" si="339">SUM(ER30:EW30)</f>
        <v>3961.4924999999998</v>
      </c>
      <c r="EY30" s="62"/>
      <c r="EZ30" s="62"/>
      <c r="FA30" s="62"/>
      <c r="FB30" s="62"/>
      <c r="FC30" s="54"/>
      <c r="FD30" s="63">
        <f>((EQ30*FD$28)+(EQ30*ES$28)+(EQ30*ET$28))*EY30</f>
        <v>0</v>
      </c>
      <c r="FE30" s="63">
        <f>((EQ30*FE$28)+(EQ30*ES$28)+(EQ30*ET$28))*EZ30</f>
        <v>0</v>
      </c>
      <c r="FF30" s="63">
        <f>((EQ30*FF$28)+(EQ30*ET$28)+(EQ30*ES$28))*FA30</f>
        <v>0</v>
      </c>
      <c r="FG30" s="63">
        <f>((EQ30*FG$28)+(EQ30*ES$28)+(EQ30*ET$28))*FB30</f>
        <v>0</v>
      </c>
      <c r="FH30" s="63">
        <f>((EQ30*FH$28)+(EQ30*ES$28)+(EQ30*ET$28))*FC30</f>
        <v>0</v>
      </c>
      <c r="FI30" s="61">
        <f>SUM(FD30:FH30)</f>
        <v>0</v>
      </c>
      <c r="FJ30" s="64">
        <v>0</v>
      </c>
      <c r="FK30" s="65">
        <f t="shared" ref="FK30:FK36" si="340">IF(EO30=1,($C$1*$W$6),0)</f>
        <v>0</v>
      </c>
      <c r="FL30" s="212">
        <f t="shared" ref="FL30:FL36" si="341">EX30+FI30+FJ30+FK30</f>
        <v>3961.4924999999998</v>
      </c>
      <c r="FM30" s="49">
        <v>0</v>
      </c>
      <c r="FN30" s="59" t="s">
        <v>193</v>
      </c>
      <c r="FO30" s="28">
        <f t="shared" ref="FO30:FO36" si="342">FP30/$AY$4</f>
        <v>13.101136363636364</v>
      </c>
      <c r="FP30" s="60">
        <v>2882.25</v>
      </c>
      <c r="FQ30" s="28">
        <f>FP30*FQ$28</f>
        <v>288.22500000000002</v>
      </c>
      <c r="FR30" s="28">
        <f>FP30*FR$28</f>
        <v>230.58</v>
      </c>
      <c r="FS30" s="28">
        <f>FP30/FS$28</f>
        <v>240.1875</v>
      </c>
      <c r="FT30" s="28">
        <f>FS30/FT$28</f>
        <v>80.0625</v>
      </c>
      <c r="FU30" s="61">
        <f>FP30/FU$28</f>
        <v>240.1875</v>
      </c>
      <c r="FV30" s="61">
        <f t="shared" ref="FV30:FV36" si="343">SUM(FP30:FU30)</f>
        <v>3961.4924999999998</v>
      </c>
      <c r="FW30" s="62"/>
      <c r="FX30" s="62"/>
      <c r="FY30" s="62"/>
      <c r="FZ30" s="62"/>
      <c r="GA30" s="54"/>
      <c r="GB30" s="63">
        <f>((FO30*GB$28)+(FO30*FQ$28)+(FO30*FR$28))*FW30</f>
        <v>0</v>
      </c>
      <c r="GC30" s="63">
        <f>((FO30*GC$28)+(FO30*FQ$28)+(FO30*FR$28))*FX30</f>
        <v>0</v>
      </c>
      <c r="GD30" s="63">
        <f>((FO30*GD$28)+(FO30*FR$28)+(FO30*FQ$28))*FY30</f>
        <v>0</v>
      </c>
      <c r="GE30" s="63">
        <f>((FO30*GE$28)+(FO30*FQ$28)+(FO30*FR$28))*FZ30</f>
        <v>0</v>
      </c>
      <c r="GF30" s="63">
        <f>((FO30*GF$28)+(FO30*FQ$28)+(FO30*FR$28))*GA30</f>
        <v>0</v>
      </c>
      <c r="GG30" s="61">
        <f>SUM(GB30:GF30)</f>
        <v>0</v>
      </c>
      <c r="GH30" s="64">
        <v>0</v>
      </c>
      <c r="GI30" s="65">
        <f t="shared" ref="GI30:GI36" si="344">IF(FM30=1,($C$1*$W$6),0)</f>
        <v>0</v>
      </c>
      <c r="GJ30" s="212">
        <f t="shared" ref="GJ30:GJ36" si="345">FV30+GG30+GH30+GI30</f>
        <v>3961.4924999999998</v>
      </c>
      <c r="GK30" s="49">
        <v>0</v>
      </c>
      <c r="GL30" s="59" t="s">
        <v>193</v>
      </c>
      <c r="GM30" s="28">
        <f t="shared" ref="GM30:GM36" si="346">GN30/$AY$4</f>
        <v>13.101136363636364</v>
      </c>
      <c r="GN30" s="60">
        <v>2882.25</v>
      </c>
      <c r="GO30" s="28">
        <f>GN30*GO$28</f>
        <v>288.22500000000002</v>
      </c>
      <c r="GP30" s="28">
        <f>GN30*GP$28</f>
        <v>230.58</v>
      </c>
      <c r="GQ30" s="28">
        <f>GN30/GQ$28</f>
        <v>240.1875</v>
      </c>
      <c r="GR30" s="28">
        <f>GQ30/GR$28</f>
        <v>80.0625</v>
      </c>
      <c r="GS30" s="61">
        <f>GN30/GS$28</f>
        <v>240.1875</v>
      </c>
      <c r="GT30" s="61">
        <f t="shared" ref="GT30:GT36" si="347">SUM(GN30:GS30)</f>
        <v>3961.4924999999998</v>
      </c>
      <c r="GU30" s="62"/>
      <c r="GV30" s="62"/>
      <c r="GW30" s="62"/>
      <c r="GX30" s="62"/>
      <c r="GY30" s="54"/>
      <c r="GZ30" s="63">
        <f>((GM30*GZ$28)+(GM30*GO$28)+(GM30*GP$28))*GU30</f>
        <v>0</v>
      </c>
      <c r="HA30" s="63">
        <f>((GM30*HA$28)+(GM30*GO$28)+(GM30*GP$28))*GV30</f>
        <v>0</v>
      </c>
      <c r="HB30" s="63">
        <f>((GM30*HB$28)+(GM30*GP$28)+(GM30*GO$28))*GW30</f>
        <v>0</v>
      </c>
      <c r="HC30" s="63">
        <f>((GM30*HC$28)+(GM30*GO$28)+(GM30*GP$28))*GX30</f>
        <v>0</v>
      </c>
      <c r="HD30" s="63">
        <f>((GM30*HD$28)+(GM30*GO$28)+(GM30*GP$28))*GY30</f>
        <v>0</v>
      </c>
      <c r="HE30" s="61">
        <f>SUM(GZ30:HD30)</f>
        <v>0</v>
      </c>
      <c r="HF30" s="64">
        <v>0</v>
      </c>
      <c r="HG30" s="65">
        <f t="shared" ref="HG30:HG36" si="348">IF(GK30=1,($C$1*$W$6),0)</f>
        <v>0</v>
      </c>
      <c r="HH30" s="212">
        <f t="shared" ref="HH30:HH36" si="349">GT30+HE30+HF30+HG30</f>
        <v>3961.4924999999998</v>
      </c>
      <c r="HI30" s="49">
        <v>0</v>
      </c>
      <c r="HJ30" s="59" t="s">
        <v>193</v>
      </c>
      <c r="HK30" s="28">
        <f t="shared" ref="HK30:HK36" si="350">HL30/$AY$4</f>
        <v>13.101136363636364</v>
      </c>
      <c r="HL30" s="60">
        <v>2882.25</v>
      </c>
      <c r="HM30" s="28">
        <f>HL30*HM$28</f>
        <v>288.22500000000002</v>
      </c>
      <c r="HN30" s="28">
        <f>HL30*HN$28</f>
        <v>230.58</v>
      </c>
      <c r="HO30" s="28">
        <f>HL30/HO$28</f>
        <v>240.1875</v>
      </c>
      <c r="HP30" s="28">
        <f>HO30/HP$28</f>
        <v>80.0625</v>
      </c>
      <c r="HQ30" s="61">
        <f>HL30/HQ$28</f>
        <v>240.1875</v>
      </c>
      <c r="HR30" s="61">
        <f t="shared" ref="HR30:HR36" si="351">SUM(HL30:HQ30)</f>
        <v>3961.4924999999998</v>
      </c>
      <c r="HS30" s="62"/>
      <c r="HT30" s="62"/>
      <c r="HU30" s="62"/>
      <c r="HV30" s="62"/>
      <c r="HW30" s="54"/>
      <c r="HX30" s="63">
        <f>((HK30*HX$28)+(HK30*HM$28)+(HK30*HN$28))*HS30</f>
        <v>0</v>
      </c>
      <c r="HY30" s="63">
        <f>((HK30*HY$28)+(HK30*HM$28)+(HK30*HN$28))*HT30</f>
        <v>0</v>
      </c>
      <c r="HZ30" s="63">
        <f>((HK30*HZ$28)+(HK30*HN$28)+(HK30*HM$28))*HU30</f>
        <v>0</v>
      </c>
      <c r="IA30" s="63">
        <f>((HK30*IA$28)+(HK30*HM$28)+(HK30*HN$28))*HV30</f>
        <v>0</v>
      </c>
      <c r="IB30" s="63">
        <f>((HK30*IB$28)+(HK30*HM$28)+(HK30*HN$28))*HW30</f>
        <v>0</v>
      </c>
      <c r="IC30" s="61">
        <f>SUM(HX30:IB30)</f>
        <v>0</v>
      </c>
      <c r="ID30" s="64">
        <v>0</v>
      </c>
      <c r="IE30" s="65">
        <f t="shared" ref="IE30:IE36" si="352">IF(HI30=1,($C$1*$W$6),0)</f>
        <v>0</v>
      </c>
      <c r="IF30" s="212">
        <f t="shared" ref="IF30:IF36" si="353">HR30+IC30+ID30+IE30</f>
        <v>3961.4924999999998</v>
      </c>
      <c r="IG30" s="49">
        <v>0</v>
      </c>
      <c r="IH30" s="59" t="s">
        <v>193</v>
      </c>
      <c r="II30" s="28">
        <f t="shared" ref="II30:II36" si="354">IJ30/$AY$4</f>
        <v>13.101136363636364</v>
      </c>
      <c r="IJ30" s="60">
        <v>2882.25</v>
      </c>
      <c r="IK30" s="28">
        <f t="shared" ref="IK30:IK36" si="355">IJ30*IK$28</f>
        <v>288.22500000000002</v>
      </c>
      <c r="IL30" s="28">
        <f t="shared" ref="IL30:IL36" si="356">IJ30*IL$28</f>
        <v>230.58</v>
      </c>
      <c r="IM30" s="28">
        <f t="shared" ref="IM30:IM36" si="357">IJ30/IM$28</f>
        <v>240.1875</v>
      </c>
      <c r="IN30" s="28">
        <f t="shared" ref="IN30:IN36" si="358">IM30/IN$28</f>
        <v>80.0625</v>
      </c>
      <c r="IO30" s="61">
        <f t="shared" ref="IO30:IO36" si="359">IJ30/IO$28</f>
        <v>240.1875</v>
      </c>
      <c r="IP30" s="61">
        <f t="shared" ref="IP30:IP36" si="360">SUM(IJ30:IO30)</f>
        <v>3961.4924999999998</v>
      </c>
      <c r="IQ30" s="62"/>
      <c r="IR30" s="62"/>
      <c r="IS30" s="62"/>
      <c r="IT30" s="62"/>
      <c r="IU30" s="54"/>
      <c r="IV30" s="63">
        <f t="shared" ref="IV30:IV36" si="361">((II30*IV$28)+(II30*IK$28)+(II30*IL$28))*IQ30</f>
        <v>0</v>
      </c>
      <c r="IW30" s="63">
        <f t="shared" ref="IW30:IW36" si="362">((II30*IW$28)+(II30*IK$28)+(II30*IL$28))*IR30</f>
        <v>0</v>
      </c>
      <c r="IX30" s="63">
        <f t="shared" ref="IX30:IX36" si="363">((II30*IX$28)+(II30*IL$28)+(II30*IK$28))*IS30</f>
        <v>0</v>
      </c>
      <c r="IY30" s="63">
        <f t="shared" ref="IY30:IY36" si="364">((II30*IY$28)+(II30*IK$28)+(II30*IL$28))*IT30</f>
        <v>0</v>
      </c>
      <c r="IZ30" s="63">
        <f t="shared" ref="IZ30:IZ36" si="365">((II30*IZ$28)+(II30*IK$28)+(II30*IL$28))*IU30</f>
        <v>0</v>
      </c>
      <c r="JA30" s="61">
        <f>SUM(IV30:IZ30)</f>
        <v>0</v>
      </c>
      <c r="JB30" s="64">
        <v>0</v>
      </c>
      <c r="JC30" s="65">
        <f t="shared" ref="JC30:JC36" si="366">IF(IG30=1,($C$1*$W$6),0)</f>
        <v>0</v>
      </c>
      <c r="JD30" s="476">
        <f t="shared" ref="JD30:JD36" si="367">IP30+JA30+JB30+JC30</f>
        <v>3961.4924999999998</v>
      </c>
      <c r="JE30" s="49">
        <v>0</v>
      </c>
      <c r="JF30" s="59" t="s">
        <v>193</v>
      </c>
      <c r="JG30" s="28">
        <f t="shared" ref="JG30:JG36" si="368">JH30/$AY$4</f>
        <v>13.101136363636364</v>
      </c>
      <c r="JH30" s="60">
        <v>2882.25</v>
      </c>
      <c r="JI30" s="28">
        <f t="shared" ref="JI30:JI36" si="369">JH30*JI$28</f>
        <v>288.22500000000002</v>
      </c>
      <c r="JJ30" s="28">
        <f t="shared" ref="JJ30:JJ36" si="370">JH30*JJ$28</f>
        <v>230.58</v>
      </c>
      <c r="JK30" s="28">
        <f t="shared" ref="JK30:JK36" si="371">JH30/JK$28</f>
        <v>240.1875</v>
      </c>
      <c r="JL30" s="28">
        <f t="shared" ref="JL30:JL36" si="372">JK30/JL$28</f>
        <v>80.0625</v>
      </c>
      <c r="JM30" s="61">
        <f t="shared" ref="JM30:JM36" si="373">JH30/JM$28</f>
        <v>240.1875</v>
      </c>
      <c r="JN30" s="61">
        <f t="shared" ref="JN30:JN36" si="374">SUM(JH30:JM30)</f>
        <v>3961.4924999999998</v>
      </c>
      <c r="JO30" s="62"/>
      <c r="JP30" s="62"/>
      <c r="JQ30" s="62"/>
      <c r="JR30" s="62"/>
      <c r="JS30" s="54"/>
      <c r="JT30" s="63">
        <f t="shared" ref="JT30:JT36" si="375">((JG30*JT$28)+(JG30*JI$28)+(JG30*JJ$28))*JO30</f>
        <v>0</v>
      </c>
      <c r="JU30" s="63">
        <f t="shared" ref="JU30:JU36" si="376">((JG30*JU$28)+(JG30*JI$28)+(JG30*JJ$28))*JP30</f>
        <v>0</v>
      </c>
      <c r="JV30" s="63">
        <f t="shared" ref="JV30:JV36" si="377">((JG30*JV$28)+(JG30*JJ$28)+(JG30*JI$28))*JQ30</f>
        <v>0</v>
      </c>
      <c r="JW30" s="63">
        <f t="shared" ref="JW30:JW36" si="378">((JG30*JW$28)+(JG30*JI$28)+(JG30*JJ$28))*JR30</f>
        <v>0</v>
      </c>
      <c r="JX30" s="63">
        <f t="shared" ref="JX30:JX36" si="379">((JG30*JX$28)+(JG30*JI$28)+(JG30*JJ$28))*JS30</f>
        <v>0</v>
      </c>
      <c r="JY30" s="61">
        <f>SUM(JT30:JX30)</f>
        <v>0</v>
      </c>
      <c r="JZ30" s="64">
        <v>0</v>
      </c>
      <c r="KA30" s="65">
        <f t="shared" ref="KA30:KA36" si="380">IF(JE30=1,($C$1*$W$6),0)</f>
        <v>0</v>
      </c>
      <c r="KB30" s="476">
        <f t="shared" ref="KB30:KB36" si="381">JN30+JY30+JZ30+KA30</f>
        <v>3961.4924999999998</v>
      </c>
      <c r="KC30" s="37"/>
      <c r="KD30" s="37"/>
      <c r="KE30" s="37"/>
      <c r="KF30" s="37"/>
      <c r="KG30" s="37"/>
      <c r="KH30" s="37"/>
      <c r="KI30" s="37"/>
      <c r="KJ30" s="37"/>
    </row>
    <row r="31" spans="1:296" x14ac:dyDescent="0.3">
      <c r="A31" s="49">
        <v>0</v>
      </c>
      <c r="B31" s="59"/>
      <c r="C31" s="28">
        <f t="shared" si="314"/>
        <v>0</v>
      </c>
      <c r="D31" s="28">
        <v>0</v>
      </c>
      <c r="E31" s="28">
        <f t="shared" ref="E31:E36" si="382">D31*E$28</f>
        <v>0</v>
      </c>
      <c r="F31" s="28">
        <f t="shared" ref="F31:F36" si="383">D31*F$28</f>
        <v>0</v>
      </c>
      <c r="G31" s="28">
        <f t="shared" ref="G31:G36" si="384">D31/G$28</f>
        <v>0</v>
      </c>
      <c r="H31" s="28">
        <f t="shared" ref="H31:H36" si="385">G31/H$28</f>
        <v>0</v>
      </c>
      <c r="I31" s="61">
        <f t="shared" ref="I31:I36" si="386">D31/I$28</f>
        <v>0</v>
      </c>
      <c r="J31" s="61">
        <f t="shared" si="315"/>
        <v>0</v>
      </c>
      <c r="K31" s="62"/>
      <c r="L31" s="62"/>
      <c r="M31" s="62"/>
      <c r="N31" s="62"/>
      <c r="O31" s="62"/>
      <c r="P31" s="63">
        <f t="shared" ref="P31:P36" si="387">((C31*P$28)+(C31*E$28)+(C31*F$28))*K31</f>
        <v>0</v>
      </c>
      <c r="Q31" s="63">
        <f t="shared" ref="Q31:Q36" si="388">((C31*Q$28)+(C31*E$28)+(C31*F$28))*L31</f>
        <v>0</v>
      </c>
      <c r="R31" s="63">
        <f t="shared" ref="R31:R36" si="389">((C31*R$28)+(C31*F$28)+(C31*E$28))*M31</f>
        <v>0</v>
      </c>
      <c r="S31" s="63">
        <f t="shared" ref="S31:S36" si="390">((C31*S$28)+(C31*E$28)+(C31*F$28))*N31</f>
        <v>0</v>
      </c>
      <c r="T31" s="63">
        <f t="shared" ref="T31:T36" si="391">((C31*T$28)+(C31*E$28)+(C31*F$28))*O31</f>
        <v>0</v>
      </c>
      <c r="U31" s="61">
        <f t="shared" ref="U31:U36" si="392">SUM(P31:T31)</f>
        <v>0</v>
      </c>
      <c r="V31" s="64">
        <v>0</v>
      </c>
      <c r="W31" s="65">
        <f t="shared" si="316"/>
        <v>0</v>
      </c>
      <c r="X31" s="212">
        <f t="shared" si="317"/>
        <v>0</v>
      </c>
      <c r="Y31" s="49">
        <v>0</v>
      </c>
      <c r="Z31" s="59"/>
      <c r="AA31" s="28">
        <f t="shared" si="318"/>
        <v>0</v>
      </c>
      <c r="AB31" s="28">
        <v>0</v>
      </c>
      <c r="AC31" s="28">
        <f t="shared" ref="AC31:AC36" si="393">AB31*AC$28</f>
        <v>0</v>
      </c>
      <c r="AD31" s="28">
        <f t="shared" ref="AD31:AD36" si="394">AB31*AD$28</f>
        <v>0</v>
      </c>
      <c r="AE31" s="28">
        <f t="shared" ref="AE31:AE36" si="395">AB31/AE$28</f>
        <v>0</v>
      </c>
      <c r="AF31" s="28">
        <f t="shared" ref="AF31:AF36" si="396">AE31/AF$28</f>
        <v>0</v>
      </c>
      <c r="AG31" s="61">
        <f t="shared" ref="AG31:AG36" si="397">AB31/AG$28</f>
        <v>0</v>
      </c>
      <c r="AH31" s="61">
        <f t="shared" si="319"/>
        <v>0</v>
      </c>
      <c r="AI31" s="62"/>
      <c r="AJ31" s="62"/>
      <c r="AK31" s="62"/>
      <c r="AL31" s="62"/>
      <c r="AM31" s="62"/>
      <c r="AN31" s="63">
        <f t="shared" ref="AN31:AN36" si="398">((AA31*AN$28)+(AA31*AC$28)+(AA31*AD$28))*AI31</f>
        <v>0</v>
      </c>
      <c r="AO31" s="63">
        <f t="shared" ref="AO31:AO36" si="399">((AA31*AO$28)+(AA31*AC$28)+(AA31*AD$28))*AJ31</f>
        <v>0</v>
      </c>
      <c r="AP31" s="63">
        <f t="shared" ref="AP31:AP36" si="400">((AA31*AP$28)+(AA31*AD$28)+(AA31*AC$28))*AK31</f>
        <v>0</v>
      </c>
      <c r="AQ31" s="63">
        <f t="shared" ref="AQ31:AQ36" si="401">((AA31*AQ$28)+(AA31*AC$28)+(AA31*AD$28))*AL31</f>
        <v>0</v>
      </c>
      <c r="AR31" s="63">
        <f t="shared" ref="AR31:AR36" si="402">((AA31*AR$28)+(AA31*AC$28)+(AA31*AD$28))*AM31</f>
        <v>0</v>
      </c>
      <c r="AS31" s="61">
        <f t="shared" ref="AS31:AS36" si="403">SUM(AN31:AR31)</f>
        <v>0</v>
      </c>
      <c r="AT31" s="64">
        <v>0</v>
      </c>
      <c r="AU31" s="65">
        <f t="shared" si="320"/>
        <v>0</v>
      </c>
      <c r="AV31" s="212">
        <f t="shared" si="321"/>
        <v>0</v>
      </c>
      <c r="AW31" s="49">
        <v>0</v>
      </c>
      <c r="AX31" s="59"/>
      <c r="AY31" s="28">
        <f t="shared" si="322"/>
        <v>0</v>
      </c>
      <c r="AZ31" s="28">
        <v>0</v>
      </c>
      <c r="BA31" s="28">
        <f t="shared" ref="BA31:BA36" si="404">AZ31*BA$28</f>
        <v>0</v>
      </c>
      <c r="BB31" s="28">
        <f t="shared" ref="BB31:BB36" si="405">AZ31*BB$28</f>
        <v>0</v>
      </c>
      <c r="BC31" s="28">
        <f t="shared" ref="BC31:BC36" si="406">AZ31/BC$28</f>
        <v>0</v>
      </c>
      <c r="BD31" s="28">
        <f t="shared" ref="BD31:BD36" si="407">BC31/BD$28</f>
        <v>0</v>
      </c>
      <c r="BE31" s="61">
        <f t="shared" ref="BE31:BE36" si="408">AZ31/BE$28</f>
        <v>0</v>
      </c>
      <c r="BF31" s="61">
        <f t="shared" si="323"/>
        <v>0</v>
      </c>
      <c r="BG31" s="62"/>
      <c r="BH31" s="62"/>
      <c r="BI31" s="62"/>
      <c r="BJ31" s="62"/>
      <c r="BK31" s="62"/>
      <c r="BL31" s="63">
        <f t="shared" ref="BL31:BL36" si="409">((AY31*BL$28)+(AY31*BA$28)+(AY31*BB$28))*BG31</f>
        <v>0</v>
      </c>
      <c r="BM31" s="63">
        <f t="shared" ref="BM31:BM36" si="410">((AY31*BM$28)+(AY31*BA$28)+(AY31*BB$28))*BH31</f>
        <v>0</v>
      </c>
      <c r="BN31" s="63">
        <f t="shared" ref="BN31:BN36" si="411">((AY31*BN$28)+(AY31*BB$28)+(AY31*BA$28))*BI31</f>
        <v>0</v>
      </c>
      <c r="BO31" s="63">
        <f t="shared" ref="BO31:BO36" si="412">((AY31*BO$28)+(AY31*BA$28)+(AY31*BB$28))*BJ31</f>
        <v>0</v>
      </c>
      <c r="BP31" s="63">
        <f t="shared" ref="BP31:BP36" si="413">((AY31*BP$28)+(AY31*BA$28)+(AY31*BB$28))*BK31</f>
        <v>0</v>
      </c>
      <c r="BQ31" s="61">
        <f t="shared" ref="BQ31:BQ36" si="414">SUM(BL31:BP31)</f>
        <v>0</v>
      </c>
      <c r="BR31" s="64">
        <v>0</v>
      </c>
      <c r="BS31" s="65">
        <f t="shared" si="324"/>
        <v>0</v>
      </c>
      <c r="BT31" s="212">
        <f t="shared" si="325"/>
        <v>0</v>
      </c>
      <c r="BU31" s="49">
        <v>0</v>
      </c>
      <c r="BV31" s="59"/>
      <c r="BW31" s="28">
        <f t="shared" si="326"/>
        <v>0</v>
      </c>
      <c r="BX31" s="28">
        <v>0</v>
      </c>
      <c r="BY31" s="28">
        <f t="shared" ref="BY31:BY36" si="415">BX31*BY$28</f>
        <v>0</v>
      </c>
      <c r="BZ31" s="28">
        <f t="shared" ref="BZ31:BZ36" si="416">BX31*BZ$28</f>
        <v>0</v>
      </c>
      <c r="CA31" s="28">
        <f t="shared" ref="CA31:CA36" si="417">BX31/CA$28</f>
        <v>0</v>
      </c>
      <c r="CB31" s="28">
        <f t="shared" ref="CB31:CB36" si="418">CA31/CB$28</f>
        <v>0</v>
      </c>
      <c r="CC31" s="61">
        <f t="shared" ref="CC31:CC36" si="419">BX31/CC$28</f>
        <v>0</v>
      </c>
      <c r="CD31" s="61">
        <f t="shared" si="327"/>
        <v>0</v>
      </c>
      <c r="CE31" s="62"/>
      <c r="CF31" s="62"/>
      <c r="CG31" s="62"/>
      <c r="CH31" s="62"/>
      <c r="CI31" s="62"/>
      <c r="CJ31" s="63">
        <f t="shared" ref="CJ31:CJ36" si="420">((BW31*CJ$28)+(BW31*BY$28)+(BW31*BZ$28))*CE31</f>
        <v>0</v>
      </c>
      <c r="CK31" s="63">
        <f t="shared" ref="CK31:CK36" si="421">((BW31*CK$28)+(BW31*BY$28)+(BW31*BZ$28))*CF31</f>
        <v>0</v>
      </c>
      <c r="CL31" s="63">
        <f t="shared" ref="CL31:CL36" si="422">((BW31*CL$28)+(BW31*BZ$28)+(BW31*BY$28))*CG31</f>
        <v>0</v>
      </c>
      <c r="CM31" s="63">
        <f t="shared" ref="CM31:CM36" si="423">((BW31*CM$28)+(BW31*BY$28)+(BW31*BZ$28))*CH31</f>
        <v>0</v>
      </c>
      <c r="CN31" s="63">
        <f t="shared" ref="CN31:CN36" si="424">((BW31*CN$28)+(BW31*BY$28)+(BW31*BZ$28))*CI31</f>
        <v>0</v>
      </c>
      <c r="CO31" s="61">
        <f t="shared" ref="CO31:CO36" si="425">SUM(CJ31:CN31)</f>
        <v>0</v>
      </c>
      <c r="CP31" s="64">
        <v>0</v>
      </c>
      <c r="CQ31" s="65">
        <f t="shared" si="328"/>
        <v>0</v>
      </c>
      <c r="CR31" s="212">
        <f t="shared" si="329"/>
        <v>0</v>
      </c>
      <c r="CS31" s="49">
        <v>0</v>
      </c>
      <c r="CT31" s="59"/>
      <c r="CU31" s="28">
        <f t="shared" si="330"/>
        <v>0</v>
      </c>
      <c r="CV31" s="28">
        <v>0</v>
      </c>
      <c r="CW31" s="28">
        <f t="shared" ref="CW31:CW36" si="426">CV31*CW$28</f>
        <v>0</v>
      </c>
      <c r="CX31" s="28">
        <f t="shared" ref="CX31:CX36" si="427">CV31*CX$28</f>
        <v>0</v>
      </c>
      <c r="CY31" s="28">
        <f t="shared" ref="CY31:CY36" si="428">CV31/CY$28</f>
        <v>0</v>
      </c>
      <c r="CZ31" s="28">
        <f t="shared" ref="CZ31:CZ36" si="429">CY31/CZ$28</f>
        <v>0</v>
      </c>
      <c r="DA31" s="61">
        <f t="shared" ref="DA31:DA36" si="430">CV31/DA$28</f>
        <v>0</v>
      </c>
      <c r="DB31" s="61">
        <f t="shared" si="331"/>
        <v>0</v>
      </c>
      <c r="DC31" s="62"/>
      <c r="DD31" s="62"/>
      <c r="DE31" s="62"/>
      <c r="DF31" s="62"/>
      <c r="DG31" s="62"/>
      <c r="DH31" s="63">
        <f t="shared" ref="DH31:DH36" si="431">((CU31*DH$28)+(CU31*CW$28)+(CU31*CX$28))*DC31</f>
        <v>0</v>
      </c>
      <c r="DI31" s="63">
        <f t="shared" ref="DI31:DI36" si="432">((CU31*DI$28)+(CU31*CW$28)+(CU31*CX$28))*DD31</f>
        <v>0</v>
      </c>
      <c r="DJ31" s="63">
        <f t="shared" ref="DJ31:DJ36" si="433">((CU31*DJ$28)+(CU31*CX$28)+(CU31*CW$28))*DE31</f>
        <v>0</v>
      </c>
      <c r="DK31" s="63">
        <f t="shared" ref="DK31:DK36" si="434">((CU31*DK$28)+(CU31*CW$28)+(CU31*CX$28))*DF31</f>
        <v>0</v>
      </c>
      <c r="DL31" s="63">
        <f t="shared" ref="DL31:DL36" si="435">((CU31*DL$28)+(CU31*CW$28)+(CU31*CX$28))*DG31</f>
        <v>0</v>
      </c>
      <c r="DM31" s="61">
        <f t="shared" ref="DM31:DM36" si="436">SUM(DH31:DL31)</f>
        <v>0</v>
      </c>
      <c r="DN31" s="64">
        <v>0</v>
      </c>
      <c r="DO31" s="65">
        <f t="shared" si="332"/>
        <v>0</v>
      </c>
      <c r="DP31" s="212">
        <f t="shared" si="333"/>
        <v>0</v>
      </c>
      <c r="DQ31" s="49">
        <v>0</v>
      </c>
      <c r="DR31" s="59"/>
      <c r="DS31" s="28">
        <f t="shared" si="334"/>
        <v>0</v>
      </c>
      <c r="DT31" s="28">
        <v>0</v>
      </c>
      <c r="DU31" s="28">
        <f t="shared" ref="DU31:DU36" si="437">DT31*DU$28</f>
        <v>0</v>
      </c>
      <c r="DV31" s="28">
        <f t="shared" ref="DV31:DV36" si="438">DT31*DV$28</f>
        <v>0</v>
      </c>
      <c r="DW31" s="28">
        <f t="shared" ref="DW31:DW36" si="439">DT31/DW$28</f>
        <v>0</v>
      </c>
      <c r="DX31" s="28">
        <f t="shared" ref="DX31:DX36" si="440">DW31/DX$28</f>
        <v>0</v>
      </c>
      <c r="DY31" s="61">
        <f t="shared" ref="DY31:DY36" si="441">DT31/DY$28</f>
        <v>0</v>
      </c>
      <c r="DZ31" s="61">
        <f t="shared" si="335"/>
        <v>0</v>
      </c>
      <c r="EA31" s="62"/>
      <c r="EB31" s="62"/>
      <c r="EC31" s="62"/>
      <c r="ED31" s="62"/>
      <c r="EE31" s="62"/>
      <c r="EF31" s="63">
        <f t="shared" ref="EF31:EF36" si="442">((DS31*EF$28)+(DS31*DU$28)+(DS31*DV$28))*EA31</f>
        <v>0</v>
      </c>
      <c r="EG31" s="63">
        <f t="shared" ref="EG31:EG36" si="443">((DS31*EG$28)+(DS31*DU$28)+(DS31*DV$28))*EB31</f>
        <v>0</v>
      </c>
      <c r="EH31" s="63">
        <f t="shared" ref="EH31:EH36" si="444">((DS31*EH$28)+(DS31*DV$28)+(DS31*DU$28))*EC31</f>
        <v>0</v>
      </c>
      <c r="EI31" s="63">
        <f t="shared" ref="EI31:EI36" si="445">((DS31*EI$28)+(DS31*DU$28)+(DS31*DV$28))*ED31</f>
        <v>0</v>
      </c>
      <c r="EJ31" s="63">
        <f t="shared" ref="EJ31:EJ36" si="446">((DS31*EJ$28)+(DS31*DU$28)+(DS31*DV$28))*EE31</f>
        <v>0</v>
      </c>
      <c r="EK31" s="61">
        <f t="shared" ref="EK31:EK36" si="447">SUM(EF31:EJ31)</f>
        <v>0</v>
      </c>
      <c r="EL31" s="64">
        <v>0</v>
      </c>
      <c r="EM31" s="65">
        <f t="shared" si="336"/>
        <v>0</v>
      </c>
      <c r="EN31" s="212">
        <f t="shared" si="337"/>
        <v>0</v>
      </c>
      <c r="EO31" s="49">
        <v>0</v>
      </c>
      <c r="EP31" s="59"/>
      <c r="EQ31" s="28">
        <f t="shared" si="338"/>
        <v>0</v>
      </c>
      <c r="ER31" s="28">
        <v>0</v>
      </c>
      <c r="ES31" s="28">
        <f t="shared" ref="ES31:ES36" si="448">ER31*ES$28</f>
        <v>0</v>
      </c>
      <c r="ET31" s="28">
        <f t="shared" ref="ET31:ET36" si="449">ER31*ET$28</f>
        <v>0</v>
      </c>
      <c r="EU31" s="28">
        <f t="shared" ref="EU31:EU36" si="450">ER31/EU$28</f>
        <v>0</v>
      </c>
      <c r="EV31" s="28">
        <f t="shared" ref="EV31:EV36" si="451">EU31/EV$28</f>
        <v>0</v>
      </c>
      <c r="EW31" s="61">
        <f t="shared" ref="EW31:EW36" si="452">ER31/EW$28</f>
        <v>0</v>
      </c>
      <c r="EX31" s="61">
        <f t="shared" si="339"/>
        <v>0</v>
      </c>
      <c r="EY31" s="62"/>
      <c r="EZ31" s="62"/>
      <c r="FA31" s="62"/>
      <c r="FB31" s="62"/>
      <c r="FC31" s="62"/>
      <c r="FD31" s="63">
        <f t="shared" ref="FD31:FD36" si="453">((EQ31*FD$28)+(EQ31*ES$28)+(EQ31*ET$28))*EY31</f>
        <v>0</v>
      </c>
      <c r="FE31" s="63">
        <f t="shared" ref="FE31:FE36" si="454">((EQ31*FE$28)+(EQ31*ES$28)+(EQ31*ET$28))*EZ31</f>
        <v>0</v>
      </c>
      <c r="FF31" s="63">
        <f t="shared" ref="FF31:FF36" si="455">((EQ31*FF$28)+(EQ31*ET$28)+(EQ31*ES$28))*FA31</f>
        <v>0</v>
      </c>
      <c r="FG31" s="63">
        <f t="shared" ref="FG31:FG36" si="456">((EQ31*FG$28)+(EQ31*ES$28)+(EQ31*ET$28))*FB31</f>
        <v>0</v>
      </c>
      <c r="FH31" s="63">
        <f t="shared" ref="FH31:FH36" si="457">((EQ31*FH$28)+(EQ31*ES$28)+(EQ31*ET$28))*FC31</f>
        <v>0</v>
      </c>
      <c r="FI31" s="61">
        <f t="shared" ref="FI31:FI36" si="458">SUM(FD31:FH31)</f>
        <v>0</v>
      </c>
      <c r="FJ31" s="64">
        <v>0</v>
      </c>
      <c r="FK31" s="65">
        <f t="shared" si="340"/>
        <v>0</v>
      </c>
      <c r="FL31" s="212">
        <f t="shared" si="341"/>
        <v>0</v>
      </c>
      <c r="FM31" s="49">
        <v>0</v>
      </c>
      <c r="FN31" s="59"/>
      <c r="FO31" s="28">
        <f t="shared" si="342"/>
        <v>0</v>
      </c>
      <c r="FP31" s="28">
        <v>0</v>
      </c>
      <c r="FQ31" s="28">
        <f t="shared" ref="FQ31:FQ36" si="459">FP31*FQ$28</f>
        <v>0</v>
      </c>
      <c r="FR31" s="28">
        <f t="shared" ref="FR31:FR36" si="460">FP31*FR$28</f>
        <v>0</v>
      </c>
      <c r="FS31" s="28">
        <f t="shared" ref="FS31:FS36" si="461">FP31/FS$28</f>
        <v>0</v>
      </c>
      <c r="FT31" s="28">
        <f t="shared" ref="FT31:FT36" si="462">FS31/FT$28</f>
        <v>0</v>
      </c>
      <c r="FU31" s="61">
        <f t="shared" ref="FU31:FU36" si="463">FP31/FU$28</f>
        <v>0</v>
      </c>
      <c r="FV31" s="61">
        <f t="shared" si="343"/>
        <v>0</v>
      </c>
      <c r="FW31" s="62"/>
      <c r="FX31" s="62"/>
      <c r="FY31" s="62"/>
      <c r="FZ31" s="62"/>
      <c r="GA31" s="62"/>
      <c r="GB31" s="63">
        <f t="shared" ref="GB31:GB36" si="464">((FO31*GB$28)+(FO31*FQ$28)+(FO31*FR$28))*FW31</f>
        <v>0</v>
      </c>
      <c r="GC31" s="63">
        <f t="shared" ref="GC31:GC36" si="465">((FO31*GC$28)+(FO31*FQ$28)+(FO31*FR$28))*FX31</f>
        <v>0</v>
      </c>
      <c r="GD31" s="63">
        <f t="shared" ref="GD31:GD36" si="466">((FO31*GD$28)+(FO31*FR$28)+(FO31*FQ$28))*FY31</f>
        <v>0</v>
      </c>
      <c r="GE31" s="63">
        <f t="shared" ref="GE31:GE36" si="467">((FO31*GE$28)+(FO31*FQ$28)+(FO31*FR$28))*FZ31</f>
        <v>0</v>
      </c>
      <c r="GF31" s="63">
        <f t="shared" ref="GF31:GF36" si="468">((FO31*GF$28)+(FO31*FQ$28)+(FO31*FR$28))*GA31</f>
        <v>0</v>
      </c>
      <c r="GG31" s="61">
        <f t="shared" ref="GG31:GG36" si="469">SUM(GB31:GF31)</f>
        <v>0</v>
      </c>
      <c r="GH31" s="64">
        <v>0</v>
      </c>
      <c r="GI31" s="65">
        <f t="shared" si="344"/>
        <v>0</v>
      </c>
      <c r="GJ31" s="212">
        <f t="shared" si="345"/>
        <v>0</v>
      </c>
      <c r="GK31" s="49">
        <v>0</v>
      </c>
      <c r="GL31" s="59"/>
      <c r="GM31" s="28">
        <f t="shared" si="346"/>
        <v>0</v>
      </c>
      <c r="GN31" s="28">
        <v>0</v>
      </c>
      <c r="GO31" s="28">
        <f t="shared" ref="GO31:GO36" si="470">GN31*GO$28</f>
        <v>0</v>
      </c>
      <c r="GP31" s="28">
        <f t="shared" ref="GP31:GP36" si="471">GN31*GP$28</f>
        <v>0</v>
      </c>
      <c r="GQ31" s="28">
        <f t="shared" ref="GQ31:GQ36" si="472">GN31/GQ$28</f>
        <v>0</v>
      </c>
      <c r="GR31" s="28">
        <f t="shared" ref="GR31:GR36" si="473">GQ31/GR$28</f>
        <v>0</v>
      </c>
      <c r="GS31" s="61">
        <f t="shared" ref="GS31:GS36" si="474">GN31/GS$28</f>
        <v>0</v>
      </c>
      <c r="GT31" s="61">
        <f t="shared" si="347"/>
        <v>0</v>
      </c>
      <c r="GU31" s="62"/>
      <c r="GV31" s="62"/>
      <c r="GW31" s="62"/>
      <c r="GX31" s="62"/>
      <c r="GY31" s="62"/>
      <c r="GZ31" s="63">
        <f t="shared" ref="GZ31:GZ36" si="475">((GM31*GZ$28)+(GM31*GO$28)+(GM31*GP$28))*GU31</f>
        <v>0</v>
      </c>
      <c r="HA31" s="63">
        <f t="shared" ref="HA31:HA36" si="476">((GM31*HA$28)+(GM31*GO$28)+(GM31*GP$28))*GV31</f>
        <v>0</v>
      </c>
      <c r="HB31" s="63">
        <f t="shared" ref="HB31:HB36" si="477">((GM31*HB$28)+(GM31*GP$28)+(GM31*GO$28))*GW31</f>
        <v>0</v>
      </c>
      <c r="HC31" s="63">
        <f t="shared" ref="HC31:HC36" si="478">((GM31*HC$28)+(GM31*GO$28)+(GM31*GP$28))*GX31</f>
        <v>0</v>
      </c>
      <c r="HD31" s="63">
        <f t="shared" ref="HD31:HD36" si="479">((GM31*HD$28)+(GM31*GO$28)+(GM31*GP$28))*GY31</f>
        <v>0</v>
      </c>
      <c r="HE31" s="61">
        <f t="shared" ref="HE31:HE36" si="480">SUM(GZ31:HD31)</f>
        <v>0</v>
      </c>
      <c r="HF31" s="64">
        <v>0</v>
      </c>
      <c r="HG31" s="65">
        <f t="shared" si="348"/>
        <v>0</v>
      </c>
      <c r="HH31" s="212">
        <f t="shared" si="349"/>
        <v>0</v>
      </c>
      <c r="HI31" s="49">
        <v>0</v>
      </c>
      <c r="HJ31" s="59"/>
      <c r="HK31" s="28">
        <f t="shared" si="350"/>
        <v>0</v>
      </c>
      <c r="HL31" s="28">
        <v>0</v>
      </c>
      <c r="HM31" s="28">
        <f t="shared" ref="HM31:HM36" si="481">HL31*HM$28</f>
        <v>0</v>
      </c>
      <c r="HN31" s="28">
        <f t="shared" ref="HN31:HN36" si="482">HL31*HN$28</f>
        <v>0</v>
      </c>
      <c r="HO31" s="28">
        <f t="shared" ref="HO31:HO36" si="483">HL31/HO$28</f>
        <v>0</v>
      </c>
      <c r="HP31" s="28">
        <f t="shared" ref="HP31:HP36" si="484">HO31/HP$28</f>
        <v>0</v>
      </c>
      <c r="HQ31" s="61">
        <f t="shared" ref="HQ31:HQ36" si="485">HL31/HQ$28</f>
        <v>0</v>
      </c>
      <c r="HR31" s="61">
        <f t="shared" si="351"/>
        <v>0</v>
      </c>
      <c r="HS31" s="62"/>
      <c r="HT31" s="62"/>
      <c r="HU31" s="62"/>
      <c r="HV31" s="62"/>
      <c r="HW31" s="62"/>
      <c r="HX31" s="63">
        <f t="shared" ref="HX31:HX36" si="486">((HK31*HX$28)+(HK31*HM$28)+(HK31*HN$28))*HS31</f>
        <v>0</v>
      </c>
      <c r="HY31" s="63">
        <f t="shared" ref="HY31:HY36" si="487">((HK31*HY$28)+(HK31*HM$28)+(HK31*HN$28))*HT31</f>
        <v>0</v>
      </c>
      <c r="HZ31" s="63">
        <f t="shared" ref="HZ31:HZ36" si="488">((HK31*HZ$28)+(HK31*HN$28)+(HK31*HM$28))*HU31</f>
        <v>0</v>
      </c>
      <c r="IA31" s="63">
        <f t="shared" ref="IA31:IA36" si="489">((HK31*IA$28)+(HK31*HM$28)+(HK31*HN$28))*HV31</f>
        <v>0</v>
      </c>
      <c r="IB31" s="63">
        <f t="shared" ref="IB31:IB36" si="490">((HK31*IB$28)+(HK31*HM$28)+(HK31*HN$28))*HW31</f>
        <v>0</v>
      </c>
      <c r="IC31" s="61">
        <f t="shared" ref="IC31:IC36" si="491">SUM(HX31:IB31)</f>
        <v>0</v>
      </c>
      <c r="ID31" s="64">
        <v>0</v>
      </c>
      <c r="IE31" s="65">
        <f t="shared" si="352"/>
        <v>0</v>
      </c>
      <c r="IF31" s="212">
        <f t="shared" si="353"/>
        <v>0</v>
      </c>
      <c r="IG31" s="49">
        <v>0</v>
      </c>
      <c r="IH31" s="59"/>
      <c r="II31" s="28">
        <f t="shared" si="354"/>
        <v>0</v>
      </c>
      <c r="IJ31" s="28">
        <v>0</v>
      </c>
      <c r="IK31" s="28">
        <f t="shared" si="355"/>
        <v>0</v>
      </c>
      <c r="IL31" s="28">
        <f t="shared" si="356"/>
        <v>0</v>
      </c>
      <c r="IM31" s="28">
        <f t="shared" si="357"/>
        <v>0</v>
      </c>
      <c r="IN31" s="28">
        <f t="shared" si="358"/>
        <v>0</v>
      </c>
      <c r="IO31" s="61">
        <f t="shared" si="359"/>
        <v>0</v>
      </c>
      <c r="IP31" s="61">
        <f t="shared" si="360"/>
        <v>0</v>
      </c>
      <c r="IQ31" s="62"/>
      <c r="IR31" s="62"/>
      <c r="IS31" s="62"/>
      <c r="IT31" s="62"/>
      <c r="IU31" s="62"/>
      <c r="IV31" s="63">
        <f t="shared" si="361"/>
        <v>0</v>
      </c>
      <c r="IW31" s="63">
        <f t="shared" si="362"/>
        <v>0</v>
      </c>
      <c r="IX31" s="63">
        <f t="shared" si="363"/>
        <v>0</v>
      </c>
      <c r="IY31" s="63">
        <f t="shared" si="364"/>
        <v>0</v>
      </c>
      <c r="IZ31" s="63">
        <f t="shared" si="365"/>
        <v>0</v>
      </c>
      <c r="JA31" s="61">
        <f t="shared" ref="JA31:JA36" si="492">SUM(IV31:IZ31)</f>
        <v>0</v>
      </c>
      <c r="JB31" s="64">
        <v>0</v>
      </c>
      <c r="JC31" s="65">
        <f t="shared" si="366"/>
        <v>0</v>
      </c>
      <c r="JD31" s="476">
        <f t="shared" si="367"/>
        <v>0</v>
      </c>
      <c r="JE31" s="49">
        <v>0</v>
      </c>
      <c r="JF31" s="59"/>
      <c r="JG31" s="28">
        <f t="shared" si="368"/>
        <v>0</v>
      </c>
      <c r="JH31" s="28">
        <v>0</v>
      </c>
      <c r="JI31" s="28">
        <f t="shared" si="369"/>
        <v>0</v>
      </c>
      <c r="JJ31" s="28">
        <f t="shared" si="370"/>
        <v>0</v>
      </c>
      <c r="JK31" s="28">
        <f t="shared" si="371"/>
        <v>0</v>
      </c>
      <c r="JL31" s="28">
        <f t="shared" si="372"/>
        <v>0</v>
      </c>
      <c r="JM31" s="61">
        <f t="shared" si="373"/>
        <v>0</v>
      </c>
      <c r="JN31" s="61">
        <f t="shared" si="374"/>
        <v>0</v>
      </c>
      <c r="JO31" s="62"/>
      <c r="JP31" s="62"/>
      <c r="JQ31" s="62"/>
      <c r="JR31" s="62"/>
      <c r="JS31" s="62"/>
      <c r="JT31" s="63">
        <f t="shared" si="375"/>
        <v>0</v>
      </c>
      <c r="JU31" s="63">
        <f t="shared" si="376"/>
        <v>0</v>
      </c>
      <c r="JV31" s="63">
        <f t="shared" si="377"/>
        <v>0</v>
      </c>
      <c r="JW31" s="63">
        <f t="shared" si="378"/>
        <v>0</v>
      </c>
      <c r="JX31" s="63">
        <f t="shared" si="379"/>
        <v>0</v>
      </c>
      <c r="JY31" s="61">
        <f t="shared" ref="JY31:JY36" si="493">SUM(JT31:JX31)</f>
        <v>0</v>
      </c>
      <c r="JZ31" s="64">
        <v>0</v>
      </c>
      <c r="KA31" s="65">
        <f t="shared" si="380"/>
        <v>0</v>
      </c>
      <c r="KB31" s="476">
        <f t="shared" si="381"/>
        <v>0</v>
      </c>
      <c r="KC31" s="37"/>
      <c r="KD31" s="37"/>
      <c r="KE31" s="37"/>
      <c r="KF31" s="37"/>
      <c r="KG31" s="37"/>
      <c r="KH31" s="37"/>
      <c r="KI31" s="37"/>
      <c r="KJ31" s="37"/>
    </row>
    <row r="32" spans="1:296" x14ac:dyDescent="0.3">
      <c r="A32" s="49">
        <v>0</v>
      </c>
      <c r="B32" s="59"/>
      <c r="C32" s="28">
        <f t="shared" si="314"/>
        <v>0</v>
      </c>
      <c r="D32" s="28">
        <v>0</v>
      </c>
      <c r="E32" s="28">
        <f t="shared" si="382"/>
        <v>0</v>
      </c>
      <c r="F32" s="28">
        <f t="shared" si="383"/>
        <v>0</v>
      </c>
      <c r="G32" s="28">
        <f t="shared" si="384"/>
        <v>0</v>
      </c>
      <c r="H32" s="28">
        <f t="shared" si="385"/>
        <v>0</v>
      </c>
      <c r="I32" s="61">
        <f t="shared" si="386"/>
        <v>0</v>
      </c>
      <c r="J32" s="61">
        <f t="shared" si="315"/>
        <v>0</v>
      </c>
      <c r="K32" s="62"/>
      <c r="L32" s="62"/>
      <c r="M32" s="62"/>
      <c r="N32" s="62"/>
      <c r="O32" s="62"/>
      <c r="P32" s="63">
        <f t="shared" si="387"/>
        <v>0</v>
      </c>
      <c r="Q32" s="63">
        <f t="shared" si="388"/>
        <v>0</v>
      </c>
      <c r="R32" s="63">
        <f t="shared" si="389"/>
        <v>0</v>
      </c>
      <c r="S32" s="63">
        <f t="shared" si="390"/>
        <v>0</v>
      </c>
      <c r="T32" s="63">
        <f t="shared" si="391"/>
        <v>0</v>
      </c>
      <c r="U32" s="61">
        <f t="shared" si="392"/>
        <v>0</v>
      </c>
      <c r="V32" s="64">
        <v>0</v>
      </c>
      <c r="W32" s="65">
        <f t="shared" si="316"/>
        <v>0</v>
      </c>
      <c r="X32" s="212">
        <f t="shared" si="317"/>
        <v>0</v>
      </c>
      <c r="Y32" s="49">
        <v>0</v>
      </c>
      <c r="Z32" s="59"/>
      <c r="AA32" s="28">
        <f t="shared" si="318"/>
        <v>0</v>
      </c>
      <c r="AB32" s="28">
        <v>0</v>
      </c>
      <c r="AC32" s="28">
        <f t="shared" si="393"/>
        <v>0</v>
      </c>
      <c r="AD32" s="28">
        <f t="shared" si="394"/>
        <v>0</v>
      </c>
      <c r="AE32" s="28">
        <f t="shared" si="395"/>
        <v>0</v>
      </c>
      <c r="AF32" s="28">
        <f t="shared" si="396"/>
        <v>0</v>
      </c>
      <c r="AG32" s="61">
        <f t="shared" si="397"/>
        <v>0</v>
      </c>
      <c r="AH32" s="61">
        <f t="shared" si="319"/>
        <v>0</v>
      </c>
      <c r="AI32" s="62"/>
      <c r="AJ32" s="62"/>
      <c r="AK32" s="62"/>
      <c r="AL32" s="62"/>
      <c r="AM32" s="62"/>
      <c r="AN32" s="63">
        <f t="shared" si="398"/>
        <v>0</v>
      </c>
      <c r="AO32" s="63">
        <f t="shared" si="399"/>
        <v>0</v>
      </c>
      <c r="AP32" s="63">
        <f t="shared" si="400"/>
        <v>0</v>
      </c>
      <c r="AQ32" s="63">
        <f t="shared" si="401"/>
        <v>0</v>
      </c>
      <c r="AR32" s="63">
        <f t="shared" si="402"/>
        <v>0</v>
      </c>
      <c r="AS32" s="61">
        <f t="shared" si="403"/>
        <v>0</v>
      </c>
      <c r="AT32" s="64">
        <v>0</v>
      </c>
      <c r="AU32" s="65">
        <f t="shared" si="320"/>
        <v>0</v>
      </c>
      <c r="AV32" s="212">
        <f t="shared" si="321"/>
        <v>0</v>
      </c>
      <c r="AW32" s="49">
        <v>0</v>
      </c>
      <c r="AX32" s="59"/>
      <c r="AY32" s="28">
        <f t="shared" si="322"/>
        <v>0</v>
      </c>
      <c r="AZ32" s="28">
        <v>0</v>
      </c>
      <c r="BA32" s="28">
        <f t="shared" si="404"/>
        <v>0</v>
      </c>
      <c r="BB32" s="28">
        <f t="shared" si="405"/>
        <v>0</v>
      </c>
      <c r="BC32" s="28">
        <f t="shared" si="406"/>
        <v>0</v>
      </c>
      <c r="BD32" s="28">
        <f t="shared" si="407"/>
        <v>0</v>
      </c>
      <c r="BE32" s="61">
        <f t="shared" si="408"/>
        <v>0</v>
      </c>
      <c r="BF32" s="61">
        <f t="shared" si="323"/>
        <v>0</v>
      </c>
      <c r="BG32" s="62"/>
      <c r="BH32" s="62"/>
      <c r="BI32" s="62"/>
      <c r="BJ32" s="62"/>
      <c r="BK32" s="62"/>
      <c r="BL32" s="63">
        <f t="shared" si="409"/>
        <v>0</v>
      </c>
      <c r="BM32" s="63">
        <f t="shared" si="410"/>
        <v>0</v>
      </c>
      <c r="BN32" s="63">
        <f t="shared" si="411"/>
        <v>0</v>
      </c>
      <c r="BO32" s="63">
        <f t="shared" si="412"/>
        <v>0</v>
      </c>
      <c r="BP32" s="63">
        <f t="shared" si="413"/>
        <v>0</v>
      </c>
      <c r="BQ32" s="61">
        <f t="shared" si="414"/>
        <v>0</v>
      </c>
      <c r="BR32" s="64">
        <v>0</v>
      </c>
      <c r="BS32" s="65">
        <f t="shared" si="324"/>
        <v>0</v>
      </c>
      <c r="BT32" s="212">
        <f t="shared" si="325"/>
        <v>0</v>
      </c>
      <c r="BU32" s="49">
        <v>0</v>
      </c>
      <c r="BV32" s="59"/>
      <c r="BW32" s="28">
        <f t="shared" si="326"/>
        <v>0</v>
      </c>
      <c r="BX32" s="28">
        <v>0</v>
      </c>
      <c r="BY32" s="28">
        <f t="shared" si="415"/>
        <v>0</v>
      </c>
      <c r="BZ32" s="28">
        <f t="shared" si="416"/>
        <v>0</v>
      </c>
      <c r="CA32" s="28">
        <f t="shared" si="417"/>
        <v>0</v>
      </c>
      <c r="CB32" s="28">
        <f t="shared" si="418"/>
        <v>0</v>
      </c>
      <c r="CC32" s="61">
        <f t="shared" si="419"/>
        <v>0</v>
      </c>
      <c r="CD32" s="61">
        <f t="shared" si="327"/>
        <v>0</v>
      </c>
      <c r="CE32" s="62"/>
      <c r="CF32" s="62"/>
      <c r="CG32" s="62"/>
      <c r="CH32" s="62"/>
      <c r="CI32" s="62"/>
      <c r="CJ32" s="63">
        <f t="shared" si="420"/>
        <v>0</v>
      </c>
      <c r="CK32" s="63">
        <f t="shared" si="421"/>
        <v>0</v>
      </c>
      <c r="CL32" s="63">
        <f t="shared" si="422"/>
        <v>0</v>
      </c>
      <c r="CM32" s="63">
        <f t="shared" si="423"/>
        <v>0</v>
      </c>
      <c r="CN32" s="63">
        <f t="shared" si="424"/>
        <v>0</v>
      </c>
      <c r="CO32" s="61">
        <f t="shared" si="425"/>
        <v>0</v>
      </c>
      <c r="CP32" s="64">
        <v>0</v>
      </c>
      <c r="CQ32" s="65">
        <f t="shared" si="328"/>
        <v>0</v>
      </c>
      <c r="CR32" s="212">
        <f t="shared" si="329"/>
        <v>0</v>
      </c>
      <c r="CS32" s="49">
        <v>0</v>
      </c>
      <c r="CT32" s="59"/>
      <c r="CU32" s="28">
        <f t="shared" si="330"/>
        <v>0</v>
      </c>
      <c r="CV32" s="28">
        <v>0</v>
      </c>
      <c r="CW32" s="28">
        <f t="shared" si="426"/>
        <v>0</v>
      </c>
      <c r="CX32" s="28">
        <f t="shared" si="427"/>
        <v>0</v>
      </c>
      <c r="CY32" s="28">
        <f t="shared" si="428"/>
        <v>0</v>
      </c>
      <c r="CZ32" s="28">
        <f t="shared" si="429"/>
        <v>0</v>
      </c>
      <c r="DA32" s="61">
        <f t="shared" si="430"/>
        <v>0</v>
      </c>
      <c r="DB32" s="61">
        <f t="shared" si="331"/>
        <v>0</v>
      </c>
      <c r="DC32" s="62"/>
      <c r="DD32" s="62"/>
      <c r="DE32" s="62"/>
      <c r="DF32" s="62"/>
      <c r="DG32" s="62"/>
      <c r="DH32" s="63">
        <f t="shared" si="431"/>
        <v>0</v>
      </c>
      <c r="DI32" s="63">
        <f t="shared" si="432"/>
        <v>0</v>
      </c>
      <c r="DJ32" s="63">
        <f t="shared" si="433"/>
        <v>0</v>
      </c>
      <c r="DK32" s="63">
        <f t="shared" si="434"/>
        <v>0</v>
      </c>
      <c r="DL32" s="63">
        <f t="shared" si="435"/>
        <v>0</v>
      </c>
      <c r="DM32" s="61">
        <f t="shared" si="436"/>
        <v>0</v>
      </c>
      <c r="DN32" s="64">
        <v>0</v>
      </c>
      <c r="DO32" s="65">
        <f t="shared" si="332"/>
        <v>0</v>
      </c>
      <c r="DP32" s="212">
        <f t="shared" si="333"/>
        <v>0</v>
      </c>
      <c r="DQ32" s="49">
        <v>0</v>
      </c>
      <c r="DR32" s="59"/>
      <c r="DS32" s="28">
        <f t="shared" si="334"/>
        <v>0</v>
      </c>
      <c r="DT32" s="28">
        <v>0</v>
      </c>
      <c r="DU32" s="28">
        <f t="shared" si="437"/>
        <v>0</v>
      </c>
      <c r="DV32" s="28">
        <f t="shared" si="438"/>
        <v>0</v>
      </c>
      <c r="DW32" s="28">
        <f t="shared" si="439"/>
        <v>0</v>
      </c>
      <c r="DX32" s="28">
        <f t="shared" si="440"/>
        <v>0</v>
      </c>
      <c r="DY32" s="61">
        <f t="shared" si="441"/>
        <v>0</v>
      </c>
      <c r="DZ32" s="61">
        <f t="shared" si="335"/>
        <v>0</v>
      </c>
      <c r="EA32" s="62"/>
      <c r="EB32" s="62"/>
      <c r="EC32" s="62"/>
      <c r="ED32" s="62"/>
      <c r="EE32" s="62"/>
      <c r="EF32" s="63">
        <f t="shared" si="442"/>
        <v>0</v>
      </c>
      <c r="EG32" s="63">
        <f t="shared" si="443"/>
        <v>0</v>
      </c>
      <c r="EH32" s="63">
        <f t="shared" si="444"/>
        <v>0</v>
      </c>
      <c r="EI32" s="63">
        <f t="shared" si="445"/>
        <v>0</v>
      </c>
      <c r="EJ32" s="63">
        <f t="shared" si="446"/>
        <v>0</v>
      </c>
      <c r="EK32" s="61">
        <f t="shared" si="447"/>
        <v>0</v>
      </c>
      <c r="EL32" s="64">
        <v>0</v>
      </c>
      <c r="EM32" s="65">
        <f t="shared" si="336"/>
        <v>0</v>
      </c>
      <c r="EN32" s="212">
        <f t="shared" si="337"/>
        <v>0</v>
      </c>
      <c r="EO32" s="49">
        <v>0</v>
      </c>
      <c r="EP32" s="59"/>
      <c r="EQ32" s="28">
        <f t="shared" si="338"/>
        <v>0</v>
      </c>
      <c r="ER32" s="28">
        <v>0</v>
      </c>
      <c r="ES32" s="28">
        <f t="shared" si="448"/>
        <v>0</v>
      </c>
      <c r="ET32" s="28">
        <f t="shared" si="449"/>
        <v>0</v>
      </c>
      <c r="EU32" s="28">
        <f t="shared" si="450"/>
        <v>0</v>
      </c>
      <c r="EV32" s="28">
        <f t="shared" si="451"/>
        <v>0</v>
      </c>
      <c r="EW32" s="61">
        <f t="shared" si="452"/>
        <v>0</v>
      </c>
      <c r="EX32" s="61">
        <f t="shared" si="339"/>
        <v>0</v>
      </c>
      <c r="EY32" s="62"/>
      <c r="EZ32" s="62"/>
      <c r="FA32" s="62"/>
      <c r="FB32" s="62"/>
      <c r="FC32" s="62"/>
      <c r="FD32" s="63">
        <f t="shared" si="453"/>
        <v>0</v>
      </c>
      <c r="FE32" s="63">
        <f t="shared" si="454"/>
        <v>0</v>
      </c>
      <c r="FF32" s="63">
        <f t="shared" si="455"/>
        <v>0</v>
      </c>
      <c r="FG32" s="63">
        <f t="shared" si="456"/>
        <v>0</v>
      </c>
      <c r="FH32" s="63">
        <f t="shared" si="457"/>
        <v>0</v>
      </c>
      <c r="FI32" s="61">
        <f t="shared" si="458"/>
        <v>0</v>
      </c>
      <c r="FJ32" s="64">
        <v>0</v>
      </c>
      <c r="FK32" s="65">
        <f t="shared" si="340"/>
        <v>0</v>
      </c>
      <c r="FL32" s="212">
        <f t="shared" si="341"/>
        <v>0</v>
      </c>
      <c r="FM32" s="49">
        <v>0</v>
      </c>
      <c r="FN32" s="59"/>
      <c r="FO32" s="28">
        <f t="shared" si="342"/>
        <v>0</v>
      </c>
      <c r="FP32" s="28">
        <v>0</v>
      </c>
      <c r="FQ32" s="28">
        <f t="shared" si="459"/>
        <v>0</v>
      </c>
      <c r="FR32" s="28">
        <f t="shared" si="460"/>
        <v>0</v>
      </c>
      <c r="FS32" s="28">
        <f t="shared" si="461"/>
        <v>0</v>
      </c>
      <c r="FT32" s="28">
        <f t="shared" si="462"/>
        <v>0</v>
      </c>
      <c r="FU32" s="61">
        <f t="shared" si="463"/>
        <v>0</v>
      </c>
      <c r="FV32" s="61">
        <f t="shared" si="343"/>
        <v>0</v>
      </c>
      <c r="FW32" s="62"/>
      <c r="FX32" s="62"/>
      <c r="FY32" s="62"/>
      <c r="FZ32" s="62"/>
      <c r="GA32" s="62"/>
      <c r="GB32" s="63">
        <f t="shared" si="464"/>
        <v>0</v>
      </c>
      <c r="GC32" s="63">
        <f t="shared" si="465"/>
        <v>0</v>
      </c>
      <c r="GD32" s="63">
        <f t="shared" si="466"/>
        <v>0</v>
      </c>
      <c r="GE32" s="63">
        <f t="shared" si="467"/>
        <v>0</v>
      </c>
      <c r="GF32" s="63">
        <f t="shared" si="468"/>
        <v>0</v>
      </c>
      <c r="GG32" s="61">
        <f t="shared" si="469"/>
        <v>0</v>
      </c>
      <c r="GH32" s="64">
        <v>0</v>
      </c>
      <c r="GI32" s="65">
        <f t="shared" si="344"/>
        <v>0</v>
      </c>
      <c r="GJ32" s="212">
        <f t="shared" si="345"/>
        <v>0</v>
      </c>
      <c r="GK32" s="49">
        <v>0</v>
      </c>
      <c r="GL32" s="59"/>
      <c r="GM32" s="28">
        <f t="shared" si="346"/>
        <v>0</v>
      </c>
      <c r="GN32" s="28">
        <v>0</v>
      </c>
      <c r="GO32" s="28">
        <f t="shared" si="470"/>
        <v>0</v>
      </c>
      <c r="GP32" s="28">
        <f t="shared" si="471"/>
        <v>0</v>
      </c>
      <c r="GQ32" s="28">
        <f t="shared" si="472"/>
        <v>0</v>
      </c>
      <c r="GR32" s="28">
        <f t="shared" si="473"/>
        <v>0</v>
      </c>
      <c r="GS32" s="61">
        <f t="shared" si="474"/>
        <v>0</v>
      </c>
      <c r="GT32" s="61">
        <f t="shared" si="347"/>
        <v>0</v>
      </c>
      <c r="GU32" s="62"/>
      <c r="GV32" s="62"/>
      <c r="GW32" s="62"/>
      <c r="GX32" s="62"/>
      <c r="GY32" s="62"/>
      <c r="GZ32" s="63">
        <f t="shared" si="475"/>
        <v>0</v>
      </c>
      <c r="HA32" s="63">
        <f t="shared" si="476"/>
        <v>0</v>
      </c>
      <c r="HB32" s="63">
        <f t="shared" si="477"/>
        <v>0</v>
      </c>
      <c r="HC32" s="63">
        <f t="shared" si="478"/>
        <v>0</v>
      </c>
      <c r="HD32" s="63">
        <f t="shared" si="479"/>
        <v>0</v>
      </c>
      <c r="HE32" s="61">
        <f t="shared" si="480"/>
        <v>0</v>
      </c>
      <c r="HF32" s="64">
        <v>0</v>
      </c>
      <c r="HG32" s="65">
        <f t="shared" si="348"/>
        <v>0</v>
      </c>
      <c r="HH32" s="212">
        <f t="shared" si="349"/>
        <v>0</v>
      </c>
      <c r="HI32" s="49">
        <v>0</v>
      </c>
      <c r="HJ32" s="59"/>
      <c r="HK32" s="28">
        <f t="shared" si="350"/>
        <v>0</v>
      </c>
      <c r="HL32" s="28">
        <v>0</v>
      </c>
      <c r="HM32" s="28">
        <f t="shared" si="481"/>
        <v>0</v>
      </c>
      <c r="HN32" s="28">
        <f t="shared" si="482"/>
        <v>0</v>
      </c>
      <c r="HO32" s="28">
        <f t="shared" si="483"/>
        <v>0</v>
      </c>
      <c r="HP32" s="28">
        <f t="shared" si="484"/>
        <v>0</v>
      </c>
      <c r="HQ32" s="61">
        <f t="shared" si="485"/>
        <v>0</v>
      </c>
      <c r="HR32" s="61">
        <f t="shared" si="351"/>
        <v>0</v>
      </c>
      <c r="HS32" s="62"/>
      <c r="HT32" s="62"/>
      <c r="HU32" s="62"/>
      <c r="HV32" s="62"/>
      <c r="HW32" s="62"/>
      <c r="HX32" s="63">
        <f t="shared" si="486"/>
        <v>0</v>
      </c>
      <c r="HY32" s="63">
        <f t="shared" si="487"/>
        <v>0</v>
      </c>
      <c r="HZ32" s="63">
        <f t="shared" si="488"/>
        <v>0</v>
      </c>
      <c r="IA32" s="63">
        <f t="shared" si="489"/>
        <v>0</v>
      </c>
      <c r="IB32" s="63">
        <f t="shared" si="490"/>
        <v>0</v>
      </c>
      <c r="IC32" s="61">
        <f t="shared" si="491"/>
        <v>0</v>
      </c>
      <c r="ID32" s="64">
        <v>0</v>
      </c>
      <c r="IE32" s="65">
        <f t="shared" si="352"/>
        <v>0</v>
      </c>
      <c r="IF32" s="212">
        <f t="shared" si="353"/>
        <v>0</v>
      </c>
      <c r="IG32" s="49">
        <v>0</v>
      </c>
      <c r="IH32" s="59"/>
      <c r="II32" s="28">
        <f t="shared" si="354"/>
        <v>0</v>
      </c>
      <c r="IJ32" s="28">
        <v>0</v>
      </c>
      <c r="IK32" s="28">
        <f t="shared" si="355"/>
        <v>0</v>
      </c>
      <c r="IL32" s="28">
        <f t="shared" si="356"/>
        <v>0</v>
      </c>
      <c r="IM32" s="28">
        <f t="shared" si="357"/>
        <v>0</v>
      </c>
      <c r="IN32" s="28">
        <f t="shared" si="358"/>
        <v>0</v>
      </c>
      <c r="IO32" s="61">
        <f t="shared" si="359"/>
        <v>0</v>
      </c>
      <c r="IP32" s="61">
        <f t="shared" si="360"/>
        <v>0</v>
      </c>
      <c r="IQ32" s="62"/>
      <c r="IR32" s="62"/>
      <c r="IS32" s="62"/>
      <c r="IT32" s="62"/>
      <c r="IU32" s="62"/>
      <c r="IV32" s="63">
        <f t="shared" si="361"/>
        <v>0</v>
      </c>
      <c r="IW32" s="63">
        <f t="shared" si="362"/>
        <v>0</v>
      </c>
      <c r="IX32" s="63">
        <f t="shared" si="363"/>
        <v>0</v>
      </c>
      <c r="IY32" s="63">
        <f t="shared" si="364"/>
        <v>0</v>
      </c>
      <c r="IZ32" s="63">
        <f t="shared" si="365"/>
        <v>0</v>
      </c>
      <c r="JA32" s="61">
        <f t="shared" si="492"/>
        <v>0</v>
      </c>
      <c r="JB32" s="64">
        <v>0</v>
      </c>
      <c r="JC32" s="65">
        <f t="shared" si="366"/>
        <v>0</v>
      </c>
      <c r="JD32" s="476">
        <f t="shared" si="367"/>
        <v>0</v>
      </c>
      <c r="JE32" s="49">
        <v>0</v>
      </c>
      <c r="JF32" s="59"/>
      <c r="JG32" s="28">
        <f t="shared" si="368"/>
        <v>0</v>
      </c>
      <c r="JH32" s="28">
        <v>0</v>
      </c>
      <c r="JI32" s="28">
        <f t="shared" si="369"/>
        <v>0</v>
      </c>
      <c r="JJ32" s="28">
        <f t="shared" si="370"/>
        <v>0</v>
      </c>
      <c r="JK32" s="28">
        <f t="shared" si="371"/>
        <v>0</v>
      </c>
      <c r="JL32" s="28">
        <f t="shared" si="372"/>
        <v>0</v>
      </c>
      <c r="JM32" s="61">
        <f t="shared" si="373"/>
        <v>0</v>
      </c>
      <c r="JN32" s="61">
        <f t="shared" si="374"/>
        <v>0</v>
      </c>
      <c r="JO32" s="62"/>
      <c r="JP32" s="62"/>
      <c r="JQ32" s="62"/>
      <c r="JR32" s="62"/>
      <c r="JS32" s="62"/>
      <c r="JT32" s="63">
        <f t="shared" si="375"/>
        <v>0</v>
      </c>
      <c r="JU32" s="63">
        <f t="shared" si="376"/>
        <v>0</v>
      </c>
      <c r="JV32" s="63">
        <f t="shared" si="377"/>
        <v>0</v>
      </c>
      <c r="JW32" s="63">
        <f t="shared" si="378"/>
        <v>0</v>
      </c>
      <c r="JX32" s="63">
        <f t="shared" si="379"/>
        <v>0</v>
      </c>
      <c r="JY32" s="61">
        <f t="shared" si="493"/>
        <v>0</v>
      </c>
      <c r="JZ32" s="64">
        <v>0</v>
      </c>
      <c r="KA32" s="65">
        <f t="shared" si="380"/>
        <v>0</v>
      </c>
      <c r="KB32" s="476">
        <f t="shared" si="381"/>
        <v>0</v>
      </c>
      <c r="KC32" s="37"/>
      <c r="KD32" s="37"/>
      <c r="KE32" s="37"/>
      <c r="KF32" s="37"/>
      <c r="KG32" s="37"/>
      <c r="KH32" s="37"/>
      <c r="KI32" s="37"/>
      <c r="KJ32" s="37"/>
    </row>
    <row r="33" spans="1:296" x14ac:dyDescent="0.3">
      <c r="A33" s="49">
        <v>0</v>
      </c>
      <c r="B33" s="59"/>
      <c r="C33" s="28">
        <f t="shared" si="314"/>
        <v>0</v>
      </c>
      <c r="D33" s="28">
        <v>0</v>
      </c>
      <c r="E33" s="28">
        <f t="shared" si="382"/>
        <v>0</v>
      </c>
      <c r="F33" s="28">
        <f t="shared" si="383"/>
        <v>0</v>
      </c>
      <c r="G33" s="28">
        <f t="shared" si="384"/>
        <v>0</v>
      </c>
      <c r="H33" s="28">
        <f t="shared" si="385"/>
        <v>0</v>
      </c>
      <c r="I33" s="61">
        <f t="shared" si="386"/>
        <v>0</v>
      </c>
      <c r="J33" s="61">
        <f t="shared" si="315"/>
        <v>0</v>
      </c>
      <c r="K33" s="62"/>
      <c r="L33" s="62"/>
      <c r="M33" s="62"/>
      <c r="N33" s="62"/>
      <c r="O33" s="62"/>
      <c r="P33" s="63">
        <f t="shared" si="387"/>
        <v>0</v>
      </c>
      <c r="Q33" s="63">
        <f t="shared" si="388"/>
        <v>0</v>
      </c>
      <c r="R33" s="63">
        <f t="shared" si="389"/>
        <v>0</v>
      </c>
      <c r="S33" s="63">
        <f t="shared" si="390"/>
        <v>0</v>
      </c>
      <c r="T33" s="63">
        <f t="shared" si="391"/>
        <v>0</v>
      </c>
      <c r="U33" s="61">
        <f t="shared" si="392"/>
        <v>0</v>
      </c>
      <c r="V33" s="64">
        <v>0</v>
      </c>
      <c r="W33" s="65">
        <f t="shared" si="316"/>
        <v>0</v>
      </c>
      <c r="X33" s="212">
        <f t="shared" si="317"/>
        <v>0</v>
      </c>
      <c r="Y33" s="49">
        <v>0</v>
      </c>
      <c r="Z33" s="59"/>
      <c r="AA33" s="28">
        <f t="shared" si="318"/>
        <v>0</v>
      </c>
      <c r="AB33" s="28">
        <v>0</v>
      </c>
      <c r="AC33" s="28">
        <f t="shared" si="393"/>
        <v>0</v>
      </c>
      <c r="AD33" s="28">
        <f t="shared" si="394"/>
        <v>0</v>
      </c>
      <c r="AE33" s="28">
        <f t="shared" si="395"/>
        <v>0</v>
      </c>
      <c r="AF33" s="28">
        <f t="shared" si="396"/>
        <v>0</v>
      </c>
      <c r="AG33" s="61">
        <f t="shared" si="397"/>
        <v>0</v>
      </c>
      <c r="AH33" s="61">
        <f t="shared" si="319"/>
        <v>0</v>
      </c>
      <c r="AI33" s="62"/>
      <c r="AJ33" s="62"/>
      <c r="AK33" s="62"/>
      <c r="AL33" s="62"/>
      <c r="AM33" s="62"/>
      <c r="AN33" s="63">
        <f t="shared" si="398"/>
        <v>0</v>
      </c>
      <c r="AO33" s="63">
        <f t="shared" si="399"/>
        <v>0</v>
      </c>
      <c r="AP33" s="63">
        <f t="shared" si="400"/>
        <v>0</v>
      </c>
      <c r="AQ33" s="63">
        <f t="shared" si="401"/>
        <v>0</v>
      </c>
      <c r="AR33" s="63">
        <f t="shared" si="402"/>
        <v>0</v>
      </c>
      <c r="AS33" s="61">
        <f t="shared" si="403"/>
        <v>0</v>
      </c>
      <c r="AT33" s="64">
        <v>0</v>
      </c>
      <c r="AU33" s="65">
        <f t="shared" si="320"/>
        <v>0</v>
      </c>
      <c r="AV33" s="212">
        <f t="shared" si="321"/>
        <v>0</v>
      </c>
      <c r="AW33" s="49">
        <v>0</v>
      </c>
      <c r="AX33" s="59"/>
      <c r="AY33" s="28">
        <f t="shared" si="322"/>
        <v>0</v>
      </c>
      <c r="AZ33" s="28">
        <v>0</v>
      </c>
      <c r="BA33" s="28">
        <f t="shared" si="404"/>
        <v>0</v>
      </c>
      <c r="BB33" s="28">
        <f t="shared" si="405"/>
        <v>0</v>
      </c>
      <c r="BC33" s="28">
        <f t="shared" si="406"/>
        <v>0</v>
      </c>
      <c r="BD33" s="28">
        <f t="shared" si="407"/>
        <v>0</v>
      </c>
      <c r="BE33" s="61">
        <f t="shared" si="408"/>
        <v>0</v>
      </c>
      <c r="BF33" s="61">
        <f t="shared" si="323"/>
        <v>0</v>
      </c>
      <c r="BG33" s="62"/>
      <c r="BH33" s="62"/>
      <c r="BI33" s="62"/>
      <c r="BJ33" s="62"/>
      <c r="BK33" s="62"/>
      <c r="BL33" s="63">
        <f t="shared" si="409"/>
        <v>0</v>
      </c>
      <c r="BM33" s="63">
        <f t="shared" si="410"/>
        <v>0</v>
      </c>
      <c r="BN33" s="63">
        <f t="shared" si="411"/>
        <v>0</v>
      </c>
      <c r="BO33" s="63">
        <f t="shared" si="412"/>
        <v>0</v>
      </c>
      <c r="BP33" s="63">
        <f t="shared" si="413"/>
        <v>0</v>
      </c>
      <c r="BQ33" s="61">
        <f t="shared" si="414"/>
        <v>0</v>
      </c>
      <c r="BR33" s="64">
        <v>0</v>
      </c>
      <c r="BS33" s="65">
        <f t="shared" si="324"/>
        <v>0</v>
      </c>
      <c r="BT33" s="212">
        <f t="shared" si="325"/>
        <v>0</v>
      </c>
      <c r="BU33" s="49">
        <v>0</v>
      </c>
      <c r="BV33" s="59"/>
      <c r="BW33" s="28">
        <f t="shared" si="326"/>
        <v>0</v>
      </c>
      <c r="BX33" s="28">
        <v>0</v>
      </c>
      <c r="BY33" s="28">
        <f t="shared" si="415"/>
        <v>0</v>
      </c>
      <c r="BZ33" s="28">
        <f t="shared" si="416"/>
        <v>0</v>
      </c>
      <c r="CA33" s="28">
        <f t="shared" si="417"/>
        <v>0</v>
      </c>
      <c r="CB33" s="28">
        <f t="shared" si="418"/>
        <v>0</v>
      </c>
      <c r="CC33" s="61">
        <f t="shared" si="419"/>
        <v>0</v>
      </c>
      <c r="CD33" s="61">
        <f t="shared" si="327"/>
        <v>0</v>
      </c>
      <c r="CE33" s="62"/>
      <c r="CF33" s="62"/>
      <c r="CG33" s="62"/>
      <c r="CH33" s="62"/>
      <c r="CI33" s="62"/>
      <c r="CJ33" s="63">
        <f t="shared" si="420"/>
        <v>0</v>
      </c>
      <c r="CK33" s="63">
        <f t="shared" si="421"/>
        <v>0</v>
      </c>
      <c r="CL33" s="63">
        <f t="shared" si="422"/>
        <v>0</v>
      </c>
      <c r="CM33" s="63">
        <f t="shared" si="423"/>
        <v>0</v>
      </c>
      <c r="CN33" s="63">
        <f t="shared" si="424"/>
        <v>0</v>
      </c>
      <c r="CO33" s="61">
        <f t="shared" si="425"/>
        <v>0</v>
      </c>
      <c r="CP33" s="64">
        <v>0</v>
      </c>
      <c r="CQ33" s="65">
        <f t="shared" si="328"/>
        <v>0</v>
      </c>
      <c r="CR33" s="212">
        <f t="shared" si="329"/>
        <v>0</v>
      </c>
      <c r="CS33" s="49">
        <v>0</v>
      </c>
      <c r="CT33" s="59"/>
      <c r="CU33" s="28">
        <f t="shared" si="330"/>
        <v>0</v>
      </c>
      <c r="CV33" s="28">
        <v>0</v>
      </c>
      <c r="CW33" s="28">
        <f t="shared" si="426"/>
        <v>0</v>
      </c>
      <c r="CX33" s="28">
        <f t="shared" si="427"/>
        <v>0</v>
      </c>
      <c r="CY33" s="28">
        <f t="shared" si="428"/>
        <v>0</v>
      </c>
      <c r="CZ33" s="28">
        <f t="shared" si="429"/>
        <v>0</v>
      </c>
      <c r="DA33" s="61">
        <f t="shared" si="430"/>
        <v>0</v>
      </c>
      <c r="DB33" s="61">
        <f t="shared" si="331"/>
        <v>0</v>
      </c>
      <c r="DC33" s="62"/>
      <c r="DD33" s="62"/>
      <c r="DE33" s="62"/>
      <c r="DF33" s="62"/>
      <c r="DG33" s="62"/>
      <c r="DH33" s="63">
        <f t="shared" si="431"/>
        <v>0</v>
      </c>
      <c r="DI33" s="63">
        <f t="shared" si="432"/>
        <v>0</v>
      </c>
      <c r="DJ33" s="63">
        <f t="shared" si="433"/>
        <v>0</v>
      </c>
      <c r="DK33" s="63">
        <f t="shared" si="434"/>
        <v>0</v>
      </c>
      <c r="DL33" s="63">
        <f t="shared" si="435"/>
        <v>0</v>
      </c>
      <c r="DM33" s="61">
        <f t="shared" si="436"/>
        <v>0</v>
      </c>
      <c r="DN33" s="64">
        <v>0</v>
      </c>
      <c r="DO33" s="65">
        <f t="shared" si="332"/>
        <v>0</v>
      </c>
      <c r="DP33" s="212">
        <f t="shared" si="333"/>
        <v>0</v>
      </c>
      <c r="DQ33" s="49">
        <v>0</v>
      </c>
      <c r="DR33" s="59"/>
      <c r="DS33" s="28">
        <f t="shared" si="334"/>
        <v>0</v>
      </c>
      <c r="DT33" s="28">
        <v>0</v>
      </c>
      <c r="DU33" s="28">
        <f t="shared" si="437"/>
        <v>0</v>
      </c>
      <c r="DV33" s="28">
        <f t="shared" si="438"/>
        <v>0</v>
      </c>
      <c r="DW33" s="28">
        <f t="shared" si="439"/>
        <v>0</v>
      </c>
      <c r="DX33" s="28">
        <f t="shared" si="440"/>
        <v>0</v>
      </c>
      <c r="DY33" s="61">
        <f t="shared" si="441"/>
        <v>0</v>
      </c>
      <c r="DZ33" s="61">
        <f t="shared" si="335"/>
        <v>0</v>
      </c>
      <c r="EA33" s="62"/>
      <c r="EB33" s="62"/>
      <c r="EC33" s="62"/>
      <c r="ED33" s="62"/>
      <c r="EE33" s="62"/>
      <c r="EF33" s="63">
        <f t="shared" si="442"/>
        <v>0</v>
      </c>
      <c r="EG33" s="63">
        <f t="shared" si="443"/>
        <v>0</v>
      </c>
      <c r="EH33" s="63">
        <f t="shared" si="444"/>
        <v>0</v>
      </c>
      <c r="EI33" s="63">
        <f t="shared" si="445"/>
        <v>0</v>
      </c>
      <c r="EJ33" s="63">
        <f t="shared" si="446"/>
        <v>0</v>
      </c>
      <c r="EK33" s="61">
        <f t="shared" si="447"/>
        <v>0</v>
      </c>
      <c r="EL33" s="64">
        <v>0</v>
      </c>
      <c r="EM33" s="65">
        <f t="shared" si="336"/>
        <v>0</v>
      </c>
      <c r="EN33" s="212">
        <f t="shared" si="337"/>
        <v>0</v>
      </c>
      <c r="EO33" s="49">
        <v>0</v>
      </c>
      <c r="EP33" s="59"/>
      <c r="EQ33" s="28">
        <f t="shared" si="338"/>
        <v>0</v>
      </c>
      <c r="ER33" s="28">
        <v>0</v>
      </c>
      <c r="ES33" s="28">
        <f t="shared" si="448"/>
        <v>0</v>
      </c>
      <c r="ET33" s="28">
        <f t="shared" si="449"/>
        <v>0</v>
      </c>
      <c r="EU33" s="28">
        <f t="shared" si="450"/>
        <v>0</v>
      </c>
      <c r="EV33" s="28">
        <f t="shared" si="451"/>
        <v>0</v>
      </c>
      <c r="EW33" s="61">
        <f t="shared" si="452"/>
        <v>0</v>
      </c>
      <c r="EX33" s="61">
        <f t="shared" si="339"/>
        <v>0</v>
      </c>
      <c r="EY33" s="62"/>
      <c r="EZ33" s="62"/>
      <c r="FA33" s="62"/>
      <c r="FB33" s="62"/>
      <c r="FC33" s="62"/>
      <c r="FD33" s="63">
        <f t="shared" si="453"/>
        <v>0</v>
      </c>
      <c r="FE33" s="63">
        <f t="shared" si="454"/>
        <v>0</v>
      </c>
      <c r="FF33" s="63">
        <f t="shared" si="455"/>
        <v>0</v>
      </c>
      <c r="FG33" s="63">
        <f t="shared" si="456"/>
        <v>0</v>
      </c>
      <c r="FH33" s="63">
        <f t="shared" si="457"/>
        <v>0</v>
      </c>
      <c r="FI33" s="61">
        <f t="shared" si="458"/>
        <v>0</v>
      </c>
      <c r="FJ33" s="64">
        <v>0</v>
      </c>
      <c r="FK33" s="65">
        <f t="shared" si="340"/>
        <v>0</v>
      </c>
      <c r="FL33" s="212">
        <f t="shared" si="341"/>
        <v>0</v>
      </c>
      <c r="FM33" s="49">
        <v>0</v>
      </c>
      <c r="FN33" s="59"/>
      <c r="FO33" s="28">
        <f t="shared" si="342"/>
        <v>0</v>
      </c>
      <c r="FP33" s="28">
        <v>0</v>
      </c>
      <c r="FQ33" s="28">
        <f t="shared" si="459"/>
        <v>0</v>
      </c>
      <c r="FR33" s="28">
        <f t="shared" si="460"/>
        <v>0</v>
      </c>
      <c r="FS33" s="28">
        <f t="shared" si="461"/>
        <v>0</v>
      </c>
      <c r="FT33" s="28">
        <f t="shared" si="462"/>
        <v>0</v>
      </c>
      <c r="FU33" s="61">
        <f t="shared" si="463"/>
        <v>0</v>
      </c>
      <c r="FV33" s="61">
        <f t="shared" si="343"/>
        <v>0</v>
      </c>
      <c r="FW33" s="62"/>
      <c r="FX33" s="62"/>
      <c r="FY33" s="62"/>
      <c r="FZ33" s="62"/>
      <c r="GA33" s="62"/>
      <c r="GB33" s="63">
        <f t="shared" si="464"/>
        <v>0</v>
      </c>
      <c r="GC33" s="63">
        <f t="shared" si="465"/>
        <v>0</v>
      </c>
      <c r="GD33" s="63">
        <f t="shared" si="466"/>
        <v>0</v>
      </c>
      <c r="GE33" s="63">
        <f t="shared" si="467"/>
        <v>0</v>
      </c>
      <c r="GF33" s="63">
        <f t="shared" si="468"/>
        <v>0</v>
      </c>
      <c r="GG33" s="61">
        <f t="shared" si="469"/>
        <v>0</v>
      </c>
      <c r="GH33" s="64">
        <v>0</v>
      </c>
      <c r="GI33" s="65">
        <f t="shared" si="344"/>
        <v>0</v>
      </c>
      <c r="GJ33" s="212">
        <f t="shared" si="345"/>
        <v>0</v>
      </c>
      <c r="GK33" s="49">
        <v>0</v>
      </c>
      <c r="GL33" s="59"/>
      <c r="GM33" s="28">
        <f t="shared" si="346"/>
        <v>0</v>
      </c>
      <c r="GN33" s="28">
        <v>0</v>
      </c>
      <c r="GO33" s="28">
        <f t="shared" si="470"/>
        <v>0</v>
      </c>
      <c r="GP33" s="28">
        <f t="shared" si="471"/>
        <v>0</v>
      </c>
      <c r="GQ33" s="28">
        <f t="shared" si="472"/>
        <v>0</v>
      </c>
      <c r="GR33" s="28">
        <f t="shared" si="473"/>
        <v>0</v>
      </c>
      <c r="GS33" s="61">
        <f t="shared" si="474"/>
        <v>0</v>
      </c>
      <c r="GT33" s="61">
        <f t="shared" si="347"/>
        <v>0</v>
      </c>
      <c r="GU33" s="62"/>
      <c r="GV33" s="62"/>
      <c r="GW33" s="62"/>
      <c r="GX33" s="62"/>
      <c r="GY33" s="62"/>
      <c r="GZ33" s="63">
        <f t="shared" si="475"/>
        <v>0</v>
      </c>
      <c r="HA33" s="63">
        <f t="shared" si="476"/>
        <v>0</v>
      </c>
      <c r="HB33" s="63">
        <f t="shared" si="477"/>
        <v>0</v>
      </c>
      <c r="HC33" s="63">
        <f t="shared" si="478"/>
        <v>0</v>
      </c>
      <c r="HD33" s="63">
        <f t="shared" si="479"/>
        <v>0</v>
      </c>
      <c r="HE33" s="61">
        <f t="shared" si="480"/>
        <v>0</v>
      </c>
      <c r="HF33" s="64">
        <v>0</v>
      </c>
      <c r="HG33" s="65">
        <f t="shared" si="348"/>
        <v>0</v>
      </c>
      <c r="HH33" s="212">
        <f t="shared" si="349"/>
        <v>0</v>
      </c>
      <c r="HI33" s="49">
        <v>0</v>
      </c>
      <c r="HJ33" s="59"/>
      <c r="HK33" s="28">
        <f t="shared" si="350"/>
        <v>0</v>
      </c>
      <c r="HL33" s="28">
        <v>0</v>
      </c>
      <c r="HM33" s="28">
        <f t="shared" si="481"/>
        <v>0</v>
      </c>
      <c r="HN33" s="28">
        <f t="shared" si="482"/>
        <v>0</v>
      </c>
      <c r="HO33" s="28">
        <f t="shared" si="483"/>
        <v>0</v>
      </c>
      <c r="HP33" s="28">
        <f t="shared" si="484"/>
        <v>0</v>
      </c>
      <c r="HQ33" s="61">
        <f t="shared" si="485"/>
        <v>0</v>
      </c>
      <c r="HR33" s="61">
        <f t="shared" si="351"/>
        <v>0</v>
      </c>
      <c r="HS33" s="62"/>
      <c r="HT33" s="62"/>
      <c r="HU33" s="62"/>
      <c r="HV33" s="62"/>
      <c r="HW33" s="62"/>
      <c r="HX33" s="63">
        <f t="shared" si="486"/>
        <v>0</v>
      </c>
      <c r="HY33" s="63">
        <f t="shared" si="487"/>
        <v>0</v>
      </c>
      <c r="HZ33" s="63">
        <f t="shared" si="488"/>
        <v>0</v>
      </c>
      <c r="IA33" s="63">
        <f t="shared" si="489"/>
        <v>0</v>
      </c>
      <c r="IB33" s="63">
        <f t="shared" si="490"/>
        <v>0</v>
      </c>
      <c r="IC33" s="61">
        <f t="shared" si="491"/>
        <v>0</v>
      </c>
      <c r="ID33" s="64">
        <v>0</v>
      </c>
      <c r="IE33" s="65">
        <f t="shared" si="352"/>
        <v>0</v>
      </c>
      <c r="IF33" s="212">
        <f t="shared" si="353"/>
        <v>0</v>
      </c>
      <c r="IG33" s="49">
        <v>0</v>
      </c>
      <c r="IH33" s="59"/>
      <c r="II33" s="28">
        <f t="shared" si="354"/>
        <v>0</v>
      </c>
      <c r="IJ33" s="28">
        <v>0</v>
      </c>
      <c r="IK33" s="28">
        <f t="shared" si="355"/>
        <v>0</v>
      </c>
      <c r="IL33" s="28">
        <f t="shared" si="356"/>
        <v>0</v>
      </c>
      <c r="IM33" s="28">
        <f t="shared" si="357"/>
        <v>0</v>
      </c>
      <c r="IN33" s="28">
        <f t="shared" si="358"/>
        <v>0</v>
      </c>
      <c r="IO33" s="61">
        <f t="shared" si="359"/>
        <v>0</v>
      </c>
      <c r="IP33" s="61">
        <f t="shared" si="360"/>
        <v>0</v>
      </c>
      <c r="IQ33" s="62"/>
      <c r="IR33" s="62"/>
      <c r="IS33" s="62"/>
      <c r="IT33" s="62"/>
      <c r="IU33" s="62"/>
      <c r="IV33" s="63">
        <f t="shared" si="361"/>
        <v>0</v>
      </c>
      <c r="IW33" s="63">
        <f t="shared" si="362"/>
        <v>0</v>
      </c>
      <c r="IX33" s="63">
        <f t="shared" si="363"/>
        <v>0</v>
      </c>
      <c r="IY33" s="63">
        <f t="shared" si="364"/>
        <v>0</v>
      </c>
      <c r="IZ33" s="63">
        <f t="shared" si="365"/>
        <v>0</v>
      </c>
      <c r="JA33" s="61">
        <f t="shared" si="492"/>
        <v>0</v>
      </c>
      <c r="JB33" s="64">
        <v>0</v>
      </c>
      <c r="JC33" s="65">
        <f t="shared" si="366"/>
        <v>0</v>
      </c>
      <c r="JD33" s="476">
        <f t="shared" si="367"/>
        <v>0</v>
      </c>
      <c r="JE33" s="49">
        <v>0</v>
      </c>
      <c r="JF33" s="59"/>
      <c r="JG33" s="28">
        <f t="shared" si="368"/>
        <v>0</v>
      </c>
      <c r="JH33" s="28">
        <v>0</v>
      </c>
      <c r="JI33" s="28">
        <f t="shared" si="369"/>
        <v>0</v>
      </c>
      <c r="JJ33" s="28">
        <f t="shared" si="370"/>
        <v>0</v>
      </c>
      <c r="JK33" s="28">
        <f t="shared" si="371"/>
        <v>0</v>
      </c>
      <c r="JL33" s="28">
        <f t="shared" si="372"/>
        <v>0</v>
      </c>
      <c r="JM33" s="61">
        <f t="shared" si="373"/>
        <v>0</v>
      </c>
      <c r="JN33" s="61">
        <f t="shared" si="374"/>
        <v>0</v>
      </c>
      <c r="JO33" s="62"/>
      <c r="JP33" s="62"/>
      <c r="JQ33" s="62"/>
      <c r="JR33" s="62"/>
      <c r="JS33" s="62"/>
      <c r="JT33" s="63">
        <f t="shared" si="375"/>
        <v>0</v>
      </c>
      <c r="JU33" s="63">
        <f t="shared" si="376"/>
        <v>0</v>
      </c>
      <c r="JV33" s="63">
        <f t="shared" si="377"/>
        <v>0</v>
      </c>
      <c r="JW33" s="63">
        <f t="shared" si="378"/>
        <v>0</v>
      </c>
      <c r="JX33" s="63">
        <f t="shared" si="379"/>
        <v>0</v>
      </c>
      <c r="JY33" s="61">
        <f t="shared" si="493"/>
        <v>0</v>
      </c>
      <c r="JZ33" s="64">
        <v>0</v>
      </c>
      <c r="KA33" s="65">
        <f t="shared" si="380"/>
        <v>0</v>
      </c>
      <c r="KB33" s="476">
        <f t="shared" si="381"/>
        <v>0</v>
      </c>
      <c r="KC33" s="37"/>
      <c r="KD33" s="37"/>
      <c r="KE33" s="37"/>
      <c r="KF33" s="37"/>
      <c r="KG33" s="37"/>
      <c r="KH33" s="37"/>
      <c r="KI33" s="37"/>
      <c r="KJ33" s="37"/>
    </row>
    <row r="34" spans="1:296" x14ac:dyDescent="0.3">
      <c r="A34" s="49">
        <v>0</v>
      </c>
      <c r="B34" s="59"/>
      <c r="C34" s="28">
        <f t="shared" si="314"/>
        <v>0</v>
      </c>
      <c r="D34" s="28">
        <v>0</v>
      </c>
      <c r="E34" s="28">
        <f t="shared" si="382"/>
        <v>0</v>
      </c>
      <c r="F34" s="28">
        <f t="shared" si="383"/>
        <v>0</v>
      </c>
      <c r="G34" s="28">
        <f t="shared" si="384"/>
        <v>0</v>
      </c>
      <c r="H34" s="28">
        <f t="shared" si="385"/>
        <v>0</v>
      </c>
      <c r="I34" s="61">
        <f t="shared" si="386"/>
        <v>0</v>
      </c>
      <c r="J34" s="61">
        <f t="shared" si="315"/>
        <v>0</v>
      </c>
      <c r="K34" s="62"/>
      <c r="L34" s="62"/>
      <c r="M34" s="62"/>
      <c r="N34" s="62"/>
      <c r="O34" s="62"/>
      <c r="P34" s="63">
        <f t="shared" si="387"/>
        <v>0</v>
      </c>
      <c r="Q34" s="63">
        <f t="shared" si="388"/>
        <v>0</v>
      </c>
      <c r="R34" s="63">
        <f t="shared" si="389"/>
        <v>0</v>
      </c>
      <c r="S34" s="63">
        <f t="shared" si="390"/>
        <v>0</v>
      </c>
      <c r="T34" s="63">
        <f t="shared" si="391"/>
        <v>0</v>
      </c>
      <c r="U34" s="61">
        <f t="shared" si="392"/>
        <v>0</v>
      </c>
      <c r="V34" s="64">
        <v>0</v>
      </c>
      <c r="W34" s="65">
        <f t="shared" si="316"/>
        <v>0</v>
      </c>
      <c r="X34" s="212">
        <f t="shared" si="317"/>
        <v>0</v>
      </c>
      <c r="Y34" s="49">
        <v>0</v>
      </c>
      <c r="Z34" s="59"/>
      <c r="AA34" s="28">
        <f t="shared" si="318"/>
        <v>0</v>
      </c>
      <c r="AB34" s="28">
        <v>0</v>
      </c>
      <c r="AC34" s="28">
        <f t="shared" si="393"/>
        <v>0</v>
      </c>
      <c r="AD34" s="28">
        <f t="shared" si="394"/>
        <v>0</v>
      </c>
      <c r="AE34" s="28">
        <f t="shared" si="395"/>
        <v>0</v>
      </c>
      <c r="AF34" s="28">
        <f t="shared" si="396"/>
        <v>0</v>
      </c>
      <c r="AG34" s="61">
        <f t="shared" si="397"/>
        <v>0</v>
      </c>
      <c r="AH34" s="61">
        <f t="shared" si="319"/>
        <v>0</v>
      </c>
      <c r="AI34" s="62"/>
      <c r="AJ34" s="62"/>
      <c r="AK34" s="62"/>
      <c r="AL34" s="62"/>
      <c r="AM34" s="62"/>
      <c r="AN34" s="63">
        <f t="shared" si="398"/>
        <v>0</v>
      </c>
      <c r="AO34" s="63">
        <f t="shared" si="399"/>
        <v>0</v>
      </c>
      <c r="AP34" s="63">
        <f t="shared" si="400"/>
        <v>0</v>
      </c>
      <c r="AQ34" s="63">
        <f t="shared" si="401"/>
        <v>0</v>
      </c>
      <c r="AR34" s="63">
        <f t="shared" si="402"/>
        <v>0</v>
      </c>
      <c r="AS34" s="61">
        <f t="shared" si="403"/>
        <v>0</v>
      </c>
      <c r="AT34" s="64">
        <v>0</v>
      </c>
      <c r="AU34" s="65">
        <f t="shared" si="320"/>
        <v>0</v>
      </c>
      <c r="AV34" s="212">
        <f t="shared" si="321"/>
        <v>0</v>
      </c>
      <c r="AW34" s="49">
        <v>0</v>
      </c>
      <c r="AX34" s="59"/>
      <c r="AY34" s="28">
        <f t="shared" si="322"/>
        <v>0</v>
      </c>
      <c r="AZ34" s="28">
        <v>0</v>
      </c>
      <c r="BA34" s="28">
        <f t="shared" si="404"/>
        <v>0</v>
      </c>
      <c r="BB34" s="28">
        <f t="shared" si="405"/>
        <v>0</v>
      </c>
      <c r="BC34" s="28">
        <f t="shared" si="406"/>
        <v>0</v>
      </c>
      <c r="BD34" s="28">
        <f t="shared" si="407"/>
        <v>0</v>
      </c>
      <c r="BE34" s="61">
        <f t="shared" si="408"/>
        <v>0</v>
      </c>
      <c r="BF34" s="61">
        <f t="shared" si="323"/>
        <v>0</v>
      </c>
      <c r="BG34" s="62"/>
      <c r="BH34" s="62"/>
      <c r="BI34" s="62"/>
      <c r="BJ34" s="62"/>
      <c r="BK34" s="62"/>
      <c r="BL34" s="63">
        <f t="shared" si="409"/>
        <v>0</v>
      </c>
      <c r="BM34" s="63">
        <f t="shared" si="410"/>
        <v>0</v>
      </c>
      <c r="BN34" s="63">
        <f t="shared" si="411"/>
        <v>0</v>
      </c>
      <c r="BO34" s="63">
        <f t="shared" si="412"/>
        <v>0</v>
      </c>
      <c r="BP34" s="63">
        <f t="shared" si="413"/>
        <v>0</v>
      </c>
      <c r="BQ34" s="61">
        <f t="shared" si="414"/>
        <v>0</v>
      </c>
      <c r="BR34" s="64">
        <v>0</v>
      </c>
      <c r="BS34" s="65">
        <f t="shared" si="324"/>
        <v>0</v>
      </c>
      <c r="BT34" s="212">
        <f t="shared" si="325"/>
        <v>0</v>
      </c>
      <c r="BU34" s="49">
        <v>0</v>
      </c>
      <c r="BV34" s="59"/>
      <c r="BW34" s="28">
        <f t="shared" si="326"/>
        <v>0</v>
      </c>
      <c r="BX34" s="28">
        <v>0</v>
      </c>
      <c r="BY34" s="28">
        <f t="shared" si="415"/>
        <v>0</v>
      </c>
      <c r="BZ34" s="28">
        <f t="shared" si="416"/>
        <v>0</v>
      </c>
      <c r="CA34" s="28">
        <f t="shared" si="417"/>
        <v>0</v>
      </c>
      <c r="CB34" s="28">
        <f t="shared" si="418"/>
        <v>0</v>
      </c>
      <c r="CC34" s="61">
        <f t="shared" si="419"/>
        <v>0</v>
      </c>
      <c r="CD34" s="61">
        <f t="shared" si="327"/>
        <v>0</v>
      </c>
      <c r="CE34" s="62"/>
      <c r="CF34" s="62"/>
      <c r="CG34" s="62"/>
      <c r="CH34" s="62"/>
      <c r="CI34" s="62"/>
      <c r="CJ34" s="63">
        <f t="shared" si="420"/>
        <v>0</v>
      </c>
      <c r="CK34" s="63">
        <f t="shared" si="421"/>
        <v>0</v>
      </c>
      <c r="CL34" s="63">
        <f t="shared" si="422"/>
        <v>0</v>
      </c>
      <c r="CM34" s="63">
        <f t="shared" si="423"/>
        <v>0</v>
      </c>
      <c r="CN34" s="63">
        <f t="shared" si="424"/>
        <v>0</v>
      </c>
      <c r="CO34" s="61">
        <f t="shared" si="425"/>
        <v>0</v>
      </c>
      <c r="CP34" s="64">
        <v>0</v>
      </c>
      <c r="CQ34" s="65">
        <f t="shared" si="328"/>
        <v>0</v>
      </c>
      <c r="CR34" s="212">
        <f t="shared" si="329"/>
        <v>0</v>
      </c>
      <c r="CS34" s="49">
        <v>0</v>
      </c>
      <c r="CT34" s="59"/>
      <c r="CU34" s="28">
        <f t="shared" si="330"/>
        <v>0</v>
      </c>
      <c r="CV34" s="28">
        <v>0</v>
      </c>
      <c r="CW34" s="28">
        <f t="shared" si="426"/>
        <v>0</v>
      </c>
      <c r="CX34" s="28">
        <f t="shared" si="427"/>
        <v>0</v>
      </c>
      <c r="CY34" s="28">
        <f t="shared" si="428"/>
        <v>0</v>
      </c>
      <c r="CZ34" s="28">
        <f t="shared" si="429"/>
        <v>0</v>
      </c>
      <c r="DA34" s="61">
        <f t="shared" si="430"/>
        <v>0</v>
      </c>
      <c r="DB34" s="61">
        <f t="shared" si="331"/>
        <v>0</v>
      </c>
      <c r="DC34" s="62"/>
      <c r="DD34" s="62"/>
      <c r="DE34" s="62"/>
      <c r="DF34" s="62"/>
      <c r="DG34" s="62"/>
      <c r="DH34" s="63">
        <f t="shared" si="431"/>
        <v>0</v>
      </c>
      <c r="DI34" s="63">
        <f t="shared" si="432"/>
        <v>0</v>
      </c>
      <c r="DJ34" s="63">
        <f t="shared" si="433"/>
        <v>0</v>
      </c>
      <c r="DK34" s="63">
        <f t="shared" si="434"/>
        <v>0</v>
      </c>
      <c r="DL34" s="63">
        <f t="shared" si="435"/>
        <v>0</v>
      </c>
      <c r="DM34" s="61">
        <f t="shared" si="436"/>
        <v>0</v>
      </c>
      <c r="DN34" s="64">
        <v>0</v>
      </c>
      <c r="DO34" s="65">
        <f t="shared" si="332"/>
        <v>0</v>
      </c>
      <c r="DP34" s="212">
        <f t="shared" si="333"/>
        <v>0</v>
      </c>
      <c r="DQ34" s="49">
        <v>0</v>
      </c>
      <c r="DR34" s="59"/>
      <c r="DS34" s="28">
        <f t="shared" si="334"/>
        <v>0</v>
      </c>
      <c r="DT34" s="28">
        <v>0</v>
      </c>
      <c r="DU34" s="28">
        <f t="shared" si="437"/>
        <v>0</v>
      </c>
      <c r="DV34" s="28">
        <f t="shared" si="438"/>
        <v>0</v>
      </c>
      <c r="DW34" s="28">
        <f t="shared" si="439"/>
        <v>0</v>
      </c>
      <c r="DX34" s="28">
        <f t="shared" si="440"/>
        <v>0</v>
      </c>
      <c r="DY34" s="61">
        <f t="shared" si="441"/>
        <v>0</v>
      </c>
      <c r="DZ34" s="61">
        <f t="shared" si="335"/>
        <v>0</v>
      </c>
      <c r="EA34" s="62"/>
      <c r="EB34" s="62"/>
      <c r="EC34" s="62"/>
      <c r="ED34" s="62"/>
      <c r="EE34" s="62"/>
      <c r="EF34" s="63">
        <f t="shared" si="442"/>
        <v>0</v>
      </c>
      <c r="EG34" s="63">
        <f t="shared" si="443"/>
        <v>0</v>
      </c>
      <c r="EH34" s="63">
        <f t="shared" si="444"/>
        <v>0</v>
      </c>
      <c r="EI34" s="63">
        <f t="shared" si="445"/>
        <v>0</v>
      </c>
      <c r="EJ34" s="63">
        <f t="shared" si="446"/>
        <v>0</v>
      </c>
      <c r="EK34" s="61">
        <f t="shared" si="447"/>
        <v>0</v>
      </c>
      <c r="EL34" s="64">
        <v>0</v>
      </c>
      <c r="EM34" s="65">
        <f t="shared" si="336"/>
        <v>0</v>
      </c>
      <c r="EN34" s="212">
        <f t="shared" si="337"/>
        <v>0</v>
      </c>
      <c r="EO34" s="49">
        <v>0</v>
      </c>
      <c r="EP34" s="59"/>
      <c r="EQ34" s="28">
        <f t="shared" si="338"/>
        <v>0</v>
      </c>
      <c r="ER34" s="28">
        <v>0</v>
      </c>
      <c r="ES34" s="28">
        <f t="shared" si="448"/>
        <v>0</v>
      </c>
      <c r="ET34" s="28">
        <f t="shared" si="449"/>
        <v>0</v>
      </c>
      <c r="EU34" s="28">
        <f t="shared" si="450"/>
        <v>0</v>
      </c>
      <c r="EV34" s="28">
        <f t="shared" si="451"/>
        <v>0</v>
      </c>
      <c r="EW34" s="61">
        <f t="shared" si="452"/>
        <v>0</v>
      </c>
      <c r="EX34" s="61">
        <f t="shared" si="339"/>
        <v>0</v>
      </c>
      <c r="EY34" s="62"/>
      <c r="EZ34" s="62"/>
      <c r="FA34" s="62"/>
      <c r="FB34" s="62"/>
      <c r="FC34" s="62"/>
      <c r="FD34" s="63">
        <f t="shared" si="453"/>
        <v>0</v>
      </c>
      <c r="FE34" s="63">
        <f t="shared" si="454"/>
        <v>0</v>
      </c>
      <c r="FF34" s="63">
        <f t="shared" si="455"/>
        <v>0</v>
      </c>
      <c r="FG34" s="63">
        <f t="shared" si="456"/>
        <v>0</v>
      </c>
      <c r="FH34" s="63">
        <f t="shared" si="457"/>
        <v>0</v>
      </c>
      <c r="FI34" s="61">
        <f t="shared" si="458"/>
        <v>0</v>
      </c>
      <c r="FJ34" s="64">
        <v>0</v>
      </c>
      <c r="FK34" s="65">
        <f t="shared" si="340"/>
        <v>0</v>
      </c>
      <c r="FL34" s="212">
        <f t="shared" si="341"/>
        <v>0</v>
      </c>
      <c r="FM34" s="49">
        <v>0</v>
      </c>
      <c r="FN34" s="59"/>
      <c r="FO34" s="28">
        <f t="shared" si="342"/>
        <v>0</v>
      </c>
      <c r="FP34" s="28">
        <v>0</v>
      </c>
      <c r="FQ34" s="28">
        <f t="shared" si="459"/>
        <v>0</v>
      </c>
      <c r="FR34" s="28">
        <f t="shared" si="460"/>
        <v>0</v>
      </c>
      <c r="FS34" s="28">
        <f t="shared" si="461"/>
        <v>0</v>
      </c>
      <c r="FT34" s="28">
        <f t="shared" si="462"/>
        <v>0</v>
      </c>
      <c r="FU34" s="61">
        <f t="shared" si="463"/>
        <v>0</v>
      </c>
      <c r="FV34" s="61">
        <f t="shared" si="343"/>
        <v>0</v>
      </c>
      <c r="FW34" s="62"/>
      <c r="FX34" s="62"/>
      <c r="FY34" s="62"/>
      <c r="FZ34" s="62"/>
      <c r="GA34" s="62"/>
      <c r="GB34" s="63">
        <f t="shared" si="464"/>
        <v>0</v>
      </c>
      <c r="GC34" s="63">
        <f t="shared" si="465"/>
        <v>0</v>
      </c>
      <c r="GD34" s="63">
        <f t="shared" si="466"/>
        <v>0</v>
      </c>
      <c r="GE34" s="63">
        <f t="shared" si="467"/>
        <v>0</v>
      </c>
      <c r="GF34" s="63">
        <f t="shared" si="468"/>
        <v>0</v>
      </c>
      <c r="GG34" s="61">
        <f t="shared" si="469"/>
        <v>0</v>
      </c>
      <c r="GH34" s="64">
        <v>0</v>
      </c>
      <c r="GI34" s="65">
        <f t="shared" si="344"/>
        <v>0</v>
      </c>
      <c r="GJ34" s="212">
        <f t="shared" si="345"/>
        <v>0</v>
      </c>
      <c r="GK34" s="49">
        <v>0</v>
      </c>
      <c r="GL34" s="59"/>
      <c r="GM34" s="28">
        <f t="shared" si="346"/>
        <v>0</v>
      </c>
      <c r="GN34" s="28">
        <v>0</v>
      </c>
      <c r="GO34" s="28">
        <f t="shared" si="470"/>
        <v>0</v>
      </c>
      <c r="GP34" s="28">
        <f t="shared" si="471"/>
        <v>0</v>
      </c>
      <c r="GQ34" s="28">
        <f t="shared" si="472"/>
        <v>0</v>
      </c>
      <c r="GR34" s="28">
        <f t="shared" si="473"/>
        <v>0</v>
      </c>
      <c r="GS34" s="61">
        <f t="shared" si="474"/>
        <v>0</v>
      </c>
      <c r="GT34" s="61">
        <f t="shared" si="347"/>
        <v>0</v>
      </c>
      <c r="GU34" s="62"/>
      <c r="GV34" s="62"/>
      <c r="GW34" s="62"/>
      <c r="GX34" s="62"/>
      <c r="GY34" s="62"/>
      <c r="GZ34" s="63">
        <f t="shared" si="475"/>
        <v>0</v>
      </c>
      <c r="HA34" s="63">
        <f t="shared" si="476"/>
        <v>0</v>
      </c>
      <c r="HB34" s="63">
        <f t="shared" si="477"/>
        <v>0</v>
      </c>
      <c r="HC34" s="63">
        <f t="shared" si="478"/>
        <v>0</v>
      </c>
      <c r="HD34" s="63">
        <f t="shared" si="479"/>
        <v>0</v>
      </c>
      <c r="HE34" s="61">
        <f t="shared" si="480"/>
        <v>0</v>
      </c>
      <c r="HF34" s="64">
        <v>0</v>
      </c>
      <c r="HG34" s="65">
        <f t="shared" si="348"/>
        <v>0</v>
      </c>
      <c r="HH34" s="212">
        <f t="shared" si="349"/>
        <v>0</v>
      </c>
      <c r="HI34" s="49">
        <v>0</v>
      </c>
      <c r="HJ34" s="59"/>
      <c r="HK34" s="28">
        <f t="shared" si="350"/>
        <v>0</v>
      </c>
      <c r="HL34" s="28">
        <v>0</v>
      </c>
      <c r="HM34" s="28">
        <f t="shared" si="481"/>
        <v>0</v>
      </c>
      <c r="HN34" s="28">
        <f t="shared" si="482"/>
        <v>0</v>
      </c>
      <c r="HO34" s="28">
        <f t="shared" si="483"/>
        <v>0</v>
      </c>
      <c r="HP34" s="28">
        <f t="shared" si="484"/>
        <v>0</v>
      </c>
      <c r="HQ34" s="61">
        <f t="shared" si="485"/>
        <v>0</v>
      </c>
      <c r="HR34" s="61">
        <f t="shared" si="351"/>
        <v>0</v>
      </c>
      <c r="HS34" s="62"/>
      <c r="HT34" s="62"/>
      <c r="HU34" s="62"/>
      <c r="HV34" s="62"/>
      <c r="HW34" s="62"/>
      <c r="HX34" s="63">
        <f t="shared" si="486"/>
        <v>0</v>
      </c>
      <c r="HY34" s="63">
        <f t="shared" si="487"/>
        <v>0</v>
      </c>
      <c r="HZ34" s="63">
        <f t="shared" si="488"/>
        <v>0</v>
      </c>
      <c r="IA34" s="63">
        <f t="shared" si="489"/>
        <v>0</v>
      </c>
      <c r="IB34" s="63">
        <f t="shared" si="490"/>
        <v>0</v>
      </c>
      <c r="IC34" s="61">
        <f t="shared" si="491"/>
        <v>0</v>
      </c>
      <c r="ID34" s="64">
        <v>0</v>
      </c>
      <c r="IE34" s="65">
        <f t="shared" si="352"/>
        <v>0</v>
      </c>
      <c r="IF34" s="212">
        <f t="shared" si="353"/>
        <v>0</v>
      </c>
      <c r="IG34" s="49">
        <v>0</v>
      </c>
      <c r="IH34" s="59"/>
      <c r="II34" s="28">
        <f t="shared" si="354"/>
        <v>0</v>
      </c>
      <c r="IJ34" s="28">
        <v>0</v>
      </c>
      <c r="IK34" s="28">
        <f t="shared" si="355"/>
        <v>0</v>
      </c>
      <c r="IL34" s="28">
        <f t="shared" si="356"/>
        <v>0</v>
      </c>
      <c r="IM34" s="28">
        <f t="shared" si="357"/>
        <v>0</v>
      </c>
      <c r="IN34" s="28">
        <f t="shared" si="358"/>
        <v>0</v>
      </c>
      <c r="IO34" s="61">
        <f t="shared" si="359"/>
        <v>0</v>
      </c>
      <c r="IP34" s="61">
        <f t="shared" si="360"/>
        <v>0</v>
      </c>
      <c r="IQ34" s="62"/>
      <c r="IR34" s="62"/>
      <c r="IS34" s="62"/>
      <c r="IT34" s="62"/>
      <c r="IU34" s="62"/>
      <c r="IV34" s="63">
        <f t="shared" si="361"/>
        <v>0</v>
      </c>
      <c r="IW34" s="63">
        <f t="shared" si="362"/>
        <v>0</v>
      </c>
      <c r="IX34" s="63">
        <f t="shared" si="363"/>
        <v>0</v>
      </c>
      <c r="IY34" s="63">
        <f t="shared" si="364"/>
        <v>0</v>
      </c>
      <c r="IZ34" s="63">
        <f t="shared" si="365"/>
        <v>0</v>
      </c>
      <c r="JA34" s="61">
        <f t="shared" si="492"/>
        <v>0</v>
      </c>
      <c r="JB34" s="64">
        <v>0</v>
      </c>
      <c r="JC34" s="65">
        <f t="shared" si="366"/>
        <v>0</v>
      </c>
      <c r="JD34" s="476">
        <f t="shared" si="367"/>
        <v>0</v>
      </c>
      <c r="JE34" s="49">
        <v>0</v>
      </c>
      <c r="JF34" s="59"/>
      <c r="JG34" s="28">
        <f t="shared" si="368"/>
        <v>0</v>
      </c>
      <c r="JH34" s="28">
        <v>0</v>
      </c>
      <c r="JI34" s="28">
        <f t="shared" si="369"/>
        <v>0</v>
      </c>
      <c r="JJ34" s="28">
        <f t="shared" si="370"/>
        <v>0</v>
      </c>
      <c r="JK34" s="28">
        <f t="shared" si="371"/>
        <v>0</v>
      </c>
      <c r="JL34" s="28">
        <f t="shared" si="372"/>
        <v>0</v>
      </c>
      <c r="JM34" s="61">
        <f t="shared" si="373"/>
        <v>0</v>
      </c>
      <c r="JN34" s="61">
        <f t="shared" si="374"/>
        <v>0</v>
      </c>
      <c r="JO34" s="62"/>
      <c r="JP34" s="62"/>
      <c r="JQ34" s="62"/>
      <c r="JR34" s="62"/>
      <c r="JS34" s="62"/>
      <c r="JT34" s="63">
        <f t="shared" si="375"/>
        <v>0</v>
      </c>
      <c r="JU34" s="63">
        <f t="shared" si="376"/>
        <v>0</v>
      </c>
      <c r="JV34" s="63">
        <f t="shared" si="377"/>
        <v>0</v>
      </c>
      <c r="JW34" s="63">
        <f t="shared" si="378"/>
        <v>0</v>
      </c>
      <c r="JX34" s="63">
        <f t="shared" si="379"/>
        <v>0</v>
      </c>
      <c r="JY34" s="61">
        <f t="shared" si="493"/>
        <v>0</v>
      </c>
      <c r="JZ34" s="64">
        <v>0</v>
      </c>
      <c r="KA34" s="65">
        <f t="shared" si="380"/>
        <v>0</v>
      </c>
      <c r="KB34" s="476">
        <f t="shared" si="381"/>
        <v>0</v>
      </c>
      <c r="KC34" s="37"/>
      <c r="KD34" s="37"/>
      <c r="KE34" s="37"/>
      <c r="KF34" s="37"/>
      <c r="KG34" s="37"/>
      <c r="KH34" s="37"/>
      <c r="KI34" s="37"/>
      <c r="KJ34" s="37"/>
    </row>
    <row r="35" spans="1:296" x14ac:dyDescent="0.3">
      <c r="A35" s="49">
        <v>0</v>
      </c>
      <c r="B35" s="59"/>
      <c r="C35" s="28">
        <f t="shared" si="314"/>
        <v>0</v>
      </c>
      <c r="D35" s="28">
        <v>0</v>
      </c>
      <c r="E35" s="28">
        <f t="shared" si="382"/>
        <v>0</v>
      </c>
      <c r="F35" s="28">
        <f t="shared" si="383"/>
        <v>0</v>
      </c>
      <c r="G35" s="28">
        <f t="shared" si="384"/>
        <v>0</v>
      </c>
      <c r="H35" s="28">
        <f t="shared" si="385"/>
        <v>0</v>
      </c>
      <c r="I35" s="61">
        <f t="shared" si="386"/>
        <v>0</v>
      </c>
      <c r="J35" s="61">
        <f t="shared" si="315"/>
        <v>0</v>
      </c>
      <c r="K35" s="62"/>
      <c r="L35" s="62"/>
      <c r="M35" s="62"/>
      <c r="N35" s="62"/>
      <c r="O35" s="62"/>
      <c r="P35" s="63">
        <f t="shared" si="387"/>
        <v>0</v>
      </c>
      <c r="Q35" s="63">
        <f t="shared" si="388"/>
        <v>0</v>
      </c>
      <c r="R35" s="63">
        <f t="shared" si="389"/>
        <v>0</v>
      </c>
      <c r="S35" s="63">
        <f t="shared" si="390"/>
        <v>0</v>
      </c>
      <c r="T35" s="63">
        <f t="shared" si="391"/>
        <v>0</v>
      </c>
      <c r="U35" s="61">
        <f t="shared" si="392"/>
        <v>0</v>
      </c>
      <c r="V35" s="64">
        <v>0</v>
      </c>
      <c r="W35" s="65">
        <f t="shared" si="316"/>
        <v>0</v>
      </c>
      <c r="X35" s="212">
        <f t="shared" si="317"/>
        <v>0</v>
      </c>
      <c r="Y35" s="49">
        <v>0</v>
      </c>
      <c r="Z35" s="59"/>
      <c r="AA35" s="28">
        <f t="shared" si="318"/>
        <v>0</v>
      </c>
      <c r="AB35" s="28">
        <v>0</v>
      </c>
      <c r="AC35" s="28">
        <f t="shared" si="393"/>
        <v>0</v>
      </c>
      <c r="AD35" s="28">
        <f t="shared" si="394"/>
        <v>0</v>
      </c>
      <c r="AE35" s="28">
        <f t="shared" si="395"/>
        <v>0</v>
      </c>
      <c r="AF35" s="28">
        <f t="shared" si="396"/>
        <v>0</v>
      </c>
      <c r="AG35" s="61">
        <f t="shared" si="397"/>
        <v>0</v>
      </c>
      <c r="AH35" s="61">
        <f t="shared" si="319"/>
        <v>0</v>
      </c>
      <c r="AI35" s="62"/>
      <c r="AJ35" s="62"/>
      <c r="AK35" s="62"/>
      <c r="AL35" s="62"/>
      <c r="AM35" s="62"/>
      <c r="AN35" s="63">
        <f t="shared" si="398"/>
        <v>0</v>
      </c>
      <c r="AO35" s="63">
        <f t="shared" si="399"/>
        <v>0</v>
      </c>
      <c r="AP35" s="63">
        <f t="shared" si="400"/>
        <v>0</v>
      </c>
      <c r="AQ35" s="63">
        <f t="shared" si="401"/>
        <v>0</v>
      </c>
      <c r="AR35" s="63">
        <f t="shared" si="402"/>
        <v>0</v>
      </c>
      <c r="AS35" s="61">
        <f t="shared" si="403"/>
        <v>0</v>
      </c>
      <c r="AT35" s="64">
        <v>0</v>
      </c>
      <c r="AU35" s="65">
        <f t="shared" si="320"/>
        <v>0</v>
      </c>
      <c r="AV35" s="212">
        <f t="shared" si="321"/>
        <v>0</v>
      </c>
      <c r="AW35" s="49">
        <v>0</v>
      </c>
      <c r="AX35" s="59"/>
      <c r="AY35" s="28">
        <f t="shared" si="322"/>
        <v>0</v>
      </c>
      <c r="AZ35" s="28">
        <v>0</v>
      </c>
      <c r="BA35" s="28">
        <f t="shared" si="404"/>
        <v>0</v>
      </c>
      <c r="BB35" s="28">
        <f t="shared" si="405"/>
        <v>0</v>
      </c>
      <c r="BC35" s="28">
        <f t="shared" si="406"/>
        <v>0</v>
      </c>
      <c r="BD35" s="28">
        <f t="shared" si="407"/>
        <v>0</v>
      </c>
      <c r="BE35" s="61">
        <f t="shared" si="408"/>
        <v>0</v>
      </c>
      <c r="BF35" s="61">
        <f t="shared" si="323"/>
        <v>0</v>
      </c>
      <c r="BG35" s="62"/>
      <c r="BH35" s="62"/>
      <c r="BI35" s="62"/>
      <c r="BJ35" s="62"/>
      <c r="BK35" s="62"/>
      <c r="BL35" s="63">
        <f t="shared" si="409"/>
        <v>0</v>
      </c>
      <c r="BM35" s="63">
        <f t="shared" si="410"/>
        <v>0</v>
      </c>
      <c r="BN35" s="63">
        <f t="shared" si="411"/>
        <v>0</v>
      </c>
      <c r="BO35" s="63">
        <f t="shared" si="412"/>
        <v>0</v>
      </c>
      <c r="BP35" s="63">
        <f t="shared" si="413"/>
        <v>0</v>
      </c>
      <c r="BQ35" s="61">
        <f t="shared" si="414"/>
        <v>0</v>
      </c>
      <c r="BR35" s="64">
        <v>0</v>
      </c>
      <c r="BS35" s="65">
        <f t="shared" si="324"/>
        <v>0</v>
      </c>
      <c r="BT35" s="212">
        <f t="shared" si="325"/>
        <v>0</v>
      </c>
      <c r="BU35" s="49">
        <v>0</v>
      </c>
      <c r="BV35" s="59"/>
      <c r="BW35" s="28">
        <f t="shared" si="326"/>
        <v>0</v>
      </c>
      <c r="BX35" s="28">
        <v>0</v>
      </c>
      <c r="BY35" s="28">
        <f t="shared" si="415"/>
        <v>0</v>
      </c>
      <c r="BZ35" s="28">
        <f t="shared" si="416"/>
        <v>0</v>
      </c>
      <c r="CA35" s="28">
        <f t="shared" si="417"/>
        <v>0</v>
      </c>
      <c r="CB35" s="28">
        <f t="shared" si="418"/>
        <v>0</v>
      </c>
      <c r="CC35" s="61">
        <f t="shared" si="419"/>
        <v>0</v>
      </c>
      <c r="CD35" s="61">
        <f t="shared" si="327"/>
        <v>0</v>
      </c>
      <c r="CE35" s="62"/>
      <c r="CF35" s="62"/>
      <c r="CG35" s="62"/>
      <c r="CH35" s="62"/>
      <c r="CI35" s="62"/>
      <c r="CJ35" s="63">
        <f t="shared" si="420"/>
        <v>0</v>
      </c>
      <c r="CK35" s="63">
        <f t="shared" si="421"/>
        <v>0</v>
      </c>
      <c r="CL35" s="63">
        <f t="shared" si="422"/>
        <v>0</v>
      </c>
      <c r="CM35" s="63">
        <f t="shared" si="423"/>
        <v>0</v>
      </c>
      <c r="CN35" s="63">
        <f t="shared" si="424"/>
        <v>0</v>
      </c>
      <c r="CO35" s="61">
        <f t="shared" si="425"/>
        <v>0</v>
      </c>
      <c r="CP35" s="64">
        <v>0</v>
      </c>
      <c r="CQ35" s="65">
        <f t="shared" si="328"/>
        <v>0</v>
      </c>
      <c r="CR35" s="212">
        <f t="shared" si="329"/>
        <v>0</v>
      </c>
      <c r="CS35" s="49">
        <v>0</v>
      </c>
      <c r="CT35" s="59"/>
      <c r="CU35" s="28">
        <f t="shared" si="330"/>
        <v>0</v>
      </c>
      <c r="CV35" s="28">
        <v>0</v>
      </c>
      <c r="CW35" s="28">
        <f t="shared" si="426"/>
        <v>0</v>
      </c>
      <c r="CX35" s="28">
        <f t="shared" si="427"/>
        <v>0</v>
      </c>
      <c r="CY35" s="28">
        <f t="shared" si="428"/>
        <v>0</v>
      </c>
      <c r="CZ35" s="28">
        <f t="shared" si="429"/>
        <v>0</v>
      </c>
      <c r="DA35" s="61">
        <f t="shared" si="430"/>
        <v>0</v>
      </c>
      <c r="DB35" s="61">
        <f t="shared" si="331"/>
        <v>0</v>
      </c>
      <c r="DC35" s="62"/>
      <c r="DD35" s="62"/>
      <c r="DE35" s="62"/>
      <c r="DF35" s="62"/>
      <c r="DG35" s="62"/>
      <c r="DH35" s="63">
        <f t="shared" si="431"/>
        <v>0</v>
      </c>
      <c r="DI35" s="63">
        <f t="shared" si="432"/>
        <v>0</v>
      </c>
      <c r="DJ35" s="63">
        <f t="shared" si="433"/>
        <v>0</v>
      </c>
      <c r="DK35" s="63">
        <f t="shared" si="434"/>
        <v>0</v>
      </c>
      <c r="DL35" s="63">
        <f t="shared" si="435"/>
        <v>0</v>
      </c>
      <c r="DM35" s="61">
        <f t="shared" si="436"/>
        <v>0</v>
      </c>
      <c r="DN35" s="64">
        <v>0</v>
      </c>
      <c r="DO35" s="65">
        <f t="shared" si="332"/>
        <v>0</v>
      </c>
      <c r="DP35" s="212">
        <f t="shared" si="333"/>
        <v>0</v>
      </c>
      <c r="DQ35" s="49">
        <v>0</v>
      </c>
      <c r="DR35" s="59"/>
      <c r="DS35" s="28">
        <f t="shared" si="334"/>
        <v>0</v>
      </c>
      <c r="DT35" s="28">
        <v>0</v>
      </c>
      <c r="DU35" s="28">
        <f t="shared" si="437"/>
        <v>0</v>
      </c>
      <c r="DV35" s="28">
        <f t="shared" si="438"/>
        <v>0</v>
      </c>
      <c r="DW35" s="28">
        <f t="shared" si="439"/>
        <v>0</v>
      </c>
      <c r="DX35" s="28">
        <f t="shared" si="440"/>
        <v>0</v>
      </c>
      <c r="DY35" s="61">
        <f t="shared" si="441"/>
        <v>0</v>
      </c>
      <c r="DZ35" s="61">
        <f t="shared" si="335"/>
        <v>0</v>
      </c>
      <c r="EA35" s="62"/>
      <c r="EB35" s="62"/>
      <c r="EC35" s="62"/>
      <c r="ED35" s="62"/>
      <c r="EE35" s="62"/>
      <c r="EF35" s="63">
        <f t="shared" si="442"/>
        <v>0</v>
      </c>
      <c r="EG35" s="63">
        <f t="shared" si="443"/>
        <v>0</v>
      </c>
      <c r="EH35" s="63">
        <f t="shared" si="444"/>
        <v>0</v>
      </c>
      <c r="EI35" s="63">
        <f t="shared" si="445"/>
        <v>0</v>
      </c>
      <c r="EJ35" s="63">
        <f t="shared" si="446"/>
        <v>0</v>
      </c>
      <c r="EK35" s="61">
        <f t="shared" si="447"/>
        <v>0</v>
      </c>
      <c r="EL35" s="64">
        <v>0</v>
      </c>
      <c r="EM35" s="65">
        <f t="shared" si="336"/>
        <v>0</v>
      </c>
      <c r="EN35" s="212">
        <f t="shared" si="337"/>
        <v>0</v>
      </c>
      <c r="EO35" s="49">
        <v>0</v>
      </c>
      <c r="EP35" s="59"/>
      <c r="EQ35" s="28">
        <f t="shared" si="338"/>
        <v>0</v>
      </c>
      <c r="ER35" s="28">
        <v>0</v>
      </c>
      <c r="ES35" s="28">
        <f t="shared" si="448"/>
        <v>0</v>
      </c>
      <c r="ET35" s="28">
        <f t="shared" si="449"/>
        <v>0</v>
      </c>
      <c r="EU35" s="28">
        <f t="shared" si="450"/>
        <v>0</v>
      </c>
      <c r="EV35" s="28">
        <f t="shared" si="451"/>
        <v>0</v>
      </c>
      <c r="EW35" s="61">
        <f t="shared" si="452"/>
        <v>0</v>
      </c>
      <c r="EX35" s="61">
        <f t="shared" si="339"/>
        <v>0</v>
      </c>
      <c r="EY35" s="62"/>
      <c r="EZ35" s="62"/>
      <c r="FA35" s="62"/>
      <c r="FB35" s="62"/>
      <c r="FC35" s="62"/>
      <c r="FD35" s="63">
        <f t="shared" si="453"/>
        <v>0</v>
      </c>
      <c r="FE35" s="63">
        <f t="shared" si="454"/>
        <v>0</v>
      </c>
      <c r="FF35" s="63">
        <f t="shared" si="455"/>
        <v>0</v>
      </c>
      <c r="FG35" s="63">
        <f t="shared" si="456"/>
        <v>0</v>
      </c>
      <c r="FH35" s="63">
        <f t="shared" si="457"/>
        <v>0</v>
      </c>
      <c r="FI35" s="61">
        <f t="shared" si="458"/>
        <v>0</v>
      </c>
      <c r="FJ35" s="64">
        <v>0</v>
      </c>
      <c r="FK35" s="65">
        <f t="shared" si="340"/>
        <v>0</v>
      </c>
      <c r="FL35" s="212">
        <f t="shared" si="341"/>
        <v>0</v>
      </c>
      <c r="FM35" s="49">
        <v>0</v>
      </c>
      <c r="FN35" s="59"/>
      <c r="FO35" s="28">
        <f t="shared" si="342"/>
        <v>0</v>
      </c>
      <c r="FP35" s="28">
        <v>0</v>
      </c>
      <c r="FQ35" s="28">
        <f t="shared" si="459"/>
        <v>0</v>
      </c>
      <c r="FR35" s="28">
        <f t="shared" si="460"/>
        <v>0</v>
      </c>
      <c r="FS35" s="28">
        <f t="shared" si="461"/>
        <v>0</v>
      </c>
      <c r="FT35" s="28">
        <f t="shared" si="462"/>
        <v>0</v>
      </c>
      <c r="FU35" s="61">
        <f t="shared" si="463"/>
        <v>0</v>
      </c>
      <c r="FV35" s="61">
        <f t="shared" si="343"/>
        <v>0</v>
      </c>
      <c r="FW35" s="62"/>
      <c r="FX35" s="62"/>
      <c r="FY35" s="62"/>
      <c r="FZ35" s="62"/>
      <c r="GA35" s="62"/>
      <c r="GB35" s="63">
        <f t="shared" si="464"/>
        <v>0</v>
      </c>
      <c r="GC35" s="63">
        <f t="shared" si="465"/>
        <v>0</v>
      </c>
      <c r="GD35" s="63">
        <f t="shared" si="466"/>
        <v>0</v>
      </c>
      <c r="GE35" s="63">
        <f t="shared" si="467"/>
        <v>0</v>
      </c>
      <c r="GF35" s="63">
        <f t="shared" si="468"/>
        <v>0</v>
      </c>
      <c r="GG35" s="61">
        <f t="shared" si="469"/>
        <v>0</v>
      </c>
      <c r="GH35" s="64">
        <v>0</v>
      </c>
      <c r="GI35" s="65">
        <f t="shared" si="344"/>
        <v>0</v>
      </c>
      <c r="GJ35" s="212">
        <f t="shared" si="345"/>
        <v>0</v>
      </c>
      <c r="GK35" s="49">
        <v>0</v>
      </c>
      <c r="GL35" s="59"/>
      <c r="GM35" s="28">
        <f t="shared" si="346"/>
        <v>0</v>
      </c>
      <c r="GN35" s="28">
        <v>0</v>
      </c>
      <c r="GO35" s="28">
        <f t="shared" si="470"/>
        <v>0</v>
      </c>
      <c r="GP35" s="28">
        <f t="shared" si="471"/>
        <v>0</v>
      </c>
      <c r="GQ35" s="28">
        <f t="shared" si="472"/>
        <v>0</v>
      </c>
      <c r="GR35" s="28">
        <f t="shared" si="473"/>
        <v>0</v>
      </c>
      <c r="GS35" s="61">
        <f t="shared" si="474"/>
        <v>0</v>
      </c>
      <c r="GT35" s="61">
        <f t="shared" si="347"/>
        <v>0</v>
      </c>
      <c r="GU35" s="62"/>
      <c r="GV35" s="62"/>
      <c r="GW35" s="62"/>
      <c r="GX35" s="62"/>
      <c r="GY35" s="62"/>
      <c r="GZ35" s="63">
        <f t="shared" si="475"/>
        <v>0</v>
      </c>
      <c r="HA35" s="63">
        <f t="shared" si="476"/>
        <v>0</v>
      </c>
      <c r="HB35" s="63">
        <f t="shared" si="477"/>
        <v>0</v>
      </c>
      <c r="HC35" s="63">
        <f t="shared" si="478"/>
        <v>0</v>
      </c>
      <c r="HD35" s="63">
        <f t="shared" si="479"/>
        <v>0</v>
      </c>
      <c r="HE35" s="61">
        <f t="shared" si="480"/>
        <v>0</v>
      </c>
      <c r="HF35" s="64">
        <v>0</v>
      </c>
      <c r="HG35" s="65">
        <f t="shared" si="348"/>
        <v>0</v>
      </c>
      <c r="HH35" s="212">
        <f t="shared" si="349"/>
        <v>0</v>
      </c>
      <c r="HI35" s="49">
        <v>0</v>
      </c>
      <c r="HJ35" s="59"/>
      <c r="HK35" s="28">
        <f t="shared" si="350"/>
        <v>0</v>
      </c>
      <c r="HL35" s="28">
        <v>0</v>
      </c>
      <c r="HM35" s="28">
        <f t="shared" si="481"/>
        <v>0</v>
      </c>
      <c r="HN35" s="28">
        <f t="shared" si="482"/>
        <v>0</v>
      </c>
      <c r="HO35" s="28">
        <f t="shared" si="483"/>
        <v>0</v>
      </c>
      <c r="HP35" s="28">
        <f t="shared" si="484"/>
        <v>0</v>
      </c>
      <c r="HQ35" s="61">
        <f t="shared" si="485"/>
        <v>0</v>
      </c>
      <c r="HR35" s="61">
        <f t="shared" si="351"/>
        <v>0</v>
      </c>
      <c r="HS35" s="62"/>
      <c r="HT35" s="62"/>
      <c r="HU35" s="62"/>
      <c r="HV35" s="62"/>
      <c r="HW35" s="62"/>
      <c r="HX35" s="63">
        <f t="shared" si="486"/>
        <v>0</v>
      </c>
      <c r="HY35" s="63">
        <f t="shared" si="487"/>
        <v>0</v>
      </c>
      <c r="HZ35" s="63">
        <f t="shared" si="488"/>
        <v>0</v>
      </c>
      <c r="IA35" s="63">
        <f t="shared" si="489"/>
        <v>0</v>
      </c>
      <c r="IB35" s="63">
        <f t="shared" si="490"/>
        <v>0</v>
      </c>
      <c r="IC35" s="61">
        <f t="shared" si="491"/>
        <v>0</v>
      </c>
      <c r="ID35" s="64">
        <v>0</v>
      </c>
      <c r="IE35" s="65">
        <f t="shared" si="352"/>
        <v>0</v>
      </c>
      <c r="IF35" s="212">
        <f t="shared" si="353"/>
        <v>0</v>
      </c>
      <c r="IG35" s="49">
        <v>0</v>
      </c>
      <c r="IH35" s="59"/>
      <c r="II35" s="28">
        <f t="shared" si="354"/>
        <v>0</v>
      </c>
      <c r="IJ35" s="28">
        <v>0</v>
      </c>
      <c r="IK35" s="28">
        <f t="shared" si="355"/>
        <v>0</v>
      </c>
      <c r="IL35" s="28">
        <f t="shared" si="356"/>
        <v>0</v>
      </c>
      <c r="IM35" s="28">
        <f t="shared" si="357"/>
        <v>0</v>
      </c>
      <c r="IN35" s="28">
        <f t="shared" si="358"/>
        <v>0</v>
      </c>
      <c r="IO35" s="61">
        <f t="shared" si="359"/>
        <v>0</v>
      </c>
      <c r="IP35" s="61">
        <f t="shared" si="360"/>
        <v>0</v>
      </c>
      <c r="IQ35" s="62"/>
      <c r="IR35" s="62"/>
      <c r="IS35" s="62"/>
      <c r="IT35" s="62"/>
      <c r="IU35" s="62"/>
      <c r="IV35" s="63">
        <f t="shared" si="361"/>
        <v>0</v>
      </c>
      <c r="IW35" s="63">
        <f t="shared" si="362"/>
        <v>0</v>
      </c>
      <c r="IX35" s="63">
        <f t="shared" si="363"/>
        <v>0</v>
      </c>
      <c r="IY35" s="63">
        <f t="shared" si="364"/>
        <v>0</v>
      </c>
      <c r="IZ35" s="63">
        <f t="shared" si="365"/>
        <v>0</v>
      </c>
      <c r="JA35" s="61">
        <f t="shared" si="492"/>
        <v>0</v>
      </c>
      <c r="JB35" s="64">
        <v>0</v>
      </c>
      <c r="JC35" s="65">
        <f t="shared" si="366"/>
        <v>0</v>
      </c>
      <c r="JD35" s="476">
        <f t="shared" si="367"/>
        <v>0</v>
      </c>
      <c r="JE35" s="49">
        <v>0</v>
      </c>
      <c r="JF35" s="59"/>
      <c r="JG35" s="28">
        <f t="shared" si="368"/>
        <v>0</v>
      </c>
      <c r="JH35" s="28">
        <v>0</v>
      </c>
      <c r="JI35" s="28">
        <f t="shared" si="369"/>
        <v>0</v>
      </c>
      <c r="JJ35" s="28">
        <f t="shared" si="370"/>
        <v>0</v>
      </c>
      <c r="JK35" s="28">
        <f t="shared" si="371"/>
        <v>0</v>
      </c>
      <c r="JL35" s="28">
        <f t="shared" si="372"/>
        <v>0</v>
      </c>
      <c r="JM35" s="61">
        <f t="shared" si="373"/>
        <v>0</v>
      </c>
      <c r="JN35" s="61">
        <f t="shared" si="374"/>
        <v>0</v>
      </c>
      <c r="JO35" s="62"/>
      <c r="JP35" s="62"/>
      <c r="JQ35" s="62"/>
      <c r="JR35" s="62"/>
      <c r="JS35" s="62"/>
      <c r="JT35" s="63">
        <f t="shared" si="375"/>
        <v>0</v>
      </c>
      <c r="JU35" s="63">
        <f t="shared" si="376"/>
        <v>0</v>
      </c>
      <c r="JV35" s="63">
        <f t="shared" si="377"/>
        <v>0</v>
      </c>
      <c r="JW35" s="63">
        <f t="shared" si="378"/>
        <v>0</v>
      </c>
      <c r="JX35" s="63">
        <f t="shared" si="379"/>
        <v>0</v>
      </c>
      <c r="JY35" s="61">
        <f t="shared" si="493"/>
        <v>0</v>
      </c>
      <c r="JZ35" s="64">
        <v>0</v>
      </c>
      <c r="KA35" s="65">
        <f t="shared" si="380"/>
        <v>0</v>
      </c>
      <c r="KB35" s="476">
        <f t="shared" si="381"/>
        <v>0</v>
      </c>
      <c r="KC35" s="37"/>
      <c r="KD35" s="37"/>
      <c r="KE35" s="37"/>
      <c r="KF35" s="37"/>
      <c r="KG35" s="37"/>
      <c r="KH35" s="37"/>
      <c r="KI35" s="37"/>
      <c r="KJ35" s="37"/>
    </row>
    <row r="36" spans="1:296" x14ac:dyDescent="0.3">
      <c r="A36" s="49">
        <v>0</v>
      </c>
      <c r="B36" s="59"/>
      <c r="C36" s="28">
        <f t="shared" si="314"/>
        <v>0</v>
      </c>
      <c r="D36" s="28">
        <v>0</v>
      </c>
      <c r="E36" s="28">
        <f t="shared" si="382"/>
        <v>0</v>
      </c>
      <c r="F36" s="28">
        <f t="shared" si="383"/>
        <v>0</v>
      </c>
      <c r="G36" s="28">
        <f t="shared" si="384"/>
        <v>0</v>
      </c>
      <c r="H36" s="28">
        <f t="shared" si="385"/>
        <v>0</v>
      </c>
      <c r="I36" s="61">
        <f t="shared" si="386"/>
        <v>0</v>
      </c>
      <c r="J36" s="61">
        <f t="shared" si="315"/>
        <v>0</v>
      </c>
      <c r="K36" s="62"/>
      <c r="L36" s="62"/>
      <c r="M36" s="62"/>
      <c r="N36" s="62"/>
      <c r="O36" s="62"/>
      <c r="P36" s="63">
        <f t="shared" si="387"/>
        <v>0</v>
      </c>
      <c r="Q36" s="63">
        <f t="shared" si="388"/>
        <v>0</v>
      </c>
      <c r="R36" s="63">
        <f t="shared" si="389"/>
        <v>0</v>
      </c>
      <c r="S36" s="63">
        <f t="shared" si="390"/>
        <v>0</v>
      </c>
      <c r="T36" s="63">
        <f t="shared" si="391"/>
        <v>0</v>
      </c>
      <c r="U36" s="61">
        <f t="shared" si="392"/>
        <v>0</v>
      </c>
      <c r="V36" s="64">
        <v>0</v>
      </c>
      <c r="W36" s="65">
        <f t="shared" si="316"/>
        <v>0</v>
      </c>
      <c r="X36" s="212">
        <f t="shared" si="317"/>
        <v>0</v>
      </c>
      <c r="Y36" s="49">
        <v>0</v>
      </c>
      <c r="Z36" s="59"/>
      <c r="AA36" s="28">
        <f t="shared" si="318"/>
        <v>0</v>
      </c>
      <c r="AB36" s="28">
        <v>0</v>
      </c>
      <c r="AC36" s="28">
        <f t="shared" si="393"/>
        <v>0</v>
      </c>
      <c r="AD36" s="28">
        <f t="shared" si="394"/>
        <v>0</v>
      </c>
      <c r="AE36" s="28">
        <f t="shared" si="395"/>
        <v>0</v>
      </c>
      <c r="AF36" s="28">
        <f t="shared" si="396"/>
        <v>0</v>
      </c>
      <c r="AG36" s="61">
        <f t="shared" si="397"/>
        <v>0</v>
      </c>
      <c r="AH36" s="61">
        <f t="shared" si="319"/>
        <v>0</v>
      </c>
      <c r="AI36" s="62"/>
      <c r="AJ36" s="62"/>
      <c r="AK36" s="62"/>
      <c r="AL36" s="62"/>
      <c r="AM36" s="62"/>
      <c r="AN36" s="63">
        <f t="shared" si="398"/>
        <v>0</v>
      </c>
      <c r="AO36" s="63">
        <f t="shared" si="399"/>
        <v>0</v>
      </c>
      <c r="AP36" s="63">
        <f t="shared" si="400"/>
        <v>0</v>
      </c>
      <c r="AQ36" s="63">
        <f t="shared" si="401"/>
        <v>0</v>
      </c>
      <c r="AR36" s="63">
        <f t="shared" si="402"/>
        <v>0</v>
      </c>
      <c r="AS36" s="61">
        <f t="shared" si="403"/>
        <v>0</v>
      </c>
      <c r="AT36" s="64">
        <v>0</v>
      </c>
      <c r="AU36" s="65">
        <f t="shared" si="320"/>
        <v>0</v>
      </c>
      <c r="AV36" s="212">
        <f t="shared" si="321"/>
        <v>0</v>
      </c>
      <c r="AW36" s="49">
        <v>0</v>
      </c>
      <c r="AX36" s="59"/>
      <c r="AY36" s="28">
        <f t="shared" si="322"/>
        <v>0</v>
      </c>
      <c r="AZ36" s="28">
        <v>0</v>
      </c>
      <c r="BA36" s="28">
        <f t="shared" si="404"/>
        <v>0</v>
      </c>
      <c r="BB36" s="28">
        <f t="shared" si="405"/>
        <v>0</v>
      </c>
      <c r="BC36" s="28">
        <f t="shared" si="406"/>
        <v>0</v>
      </c>
      <c r="BD36" s="28">
        <f t="shared" si="407"/>
        <v>0</v>
      </c>
      <c r="BE36" s="61">
        <f t="shared" si="408"/>
        <v>0</v>
      </c>
      <c r="BF36" s="61">
        <f t="shared" si="323"/>
        <v>0</v>
      </c>
      <c r="BG36" s="62"/>
      <c r="BH36" s="62"/>
      <c r="BI36" s="62"/>
      <c r="BJ36" s="62"/>
      <c r="BK36" s="62"/>
      <c r="BL36" s="63">
        <f t="shared" si="409"/>
        <v>0</v>
      </c>
      <c r="BM36" s="63">
        <f t="shared" si="410"/>
        <v>0</v>
      </c>
      <c r="BN36" s="63">
        <f t="shared" si="411"/>
        <v>0</v>
      </c>
      <c r="BO36" s="63">
        <f t="shared" si="412"/>
        <v>0</v>
      </c>
      <c r="BP36" s="63">
        <f t="shared" si="413"/>
        <v>0</v>
      </c>
      <c r="BQ36" s="61">
        <f t="shared" si="414"/>
        <v>0</v>
      </c>
      <c r="BR36" s="64">
        <v>0</v>
      </c>
      <c r="BS36" s="65">
        <f t="shared" si="324"/>
        <v>0</v>
      </c>
      <c r="BT36" s="212">
        <f t="shared" si="325"/>
        <v>0</v>
      </c>
      <c r="BU36" s="49">
        <v>0</v>
      </c>
      <c r="BV36" s="59"/>
      <c r="BW36" s="28">
        <f t="shared" si="326"/>
        <v>0</v>
      </c>
      <c r="BX36" s="28">
        <v>0</v>
      </c>
      <c r="BY36" s="28">
        <f t="shared" si="415"/>
        <v>0</v>
      </c>
      <c r="BZ36" s="28">
        <f t="shared" si="416"/>
        <v>0</v>
      </c>
      <c r="CA36" s="28">
        <f t="shared" si="417"/>
        <v>0</v>
      </c>
      <c r="CB36" s="28">
        <f t="shared" si="418"/>
        <v>0</v>
      </c>
      <c r="CC36" s="61">
        <f t="shared" si="419"/>
        <v>0</v>
      </c>
      <c r="CD36" s="61">
        <f t="shared" si="327"/>
        <v>0</v>
      </c>
      <c r="CE36" s="62"/>
      <c r="CF36" s="62"/>
      <c r="CG36" s="62"/>
      <c r="CH36" s="62"/>
      <c r="CI36" s="62"/>
      <c r="CJ36" s="63">
        <f t="shared" si="420"/>
        <v>0</v>
      </c>
      <c r="CK36" s="63">
        <f t="shared" si="421"/>
        <v>0</v>
      </c>
      <c r="CL36" s="63">
        <f t="shared" si="422"/>
        <v>0</v>
      </c>
      <c r="CM36" s="63">
        <f t="shared" si="423"/>
        <v>0</v>
      </c>
      <c r="CN36" s="63">
        <f t="shared" si="424"/>
        <v>0</v>
      </c>
      <c r="CO36" s="61">
        <f t="shared" si="425"/>
        <v>0</v>
      </c>
      <c r="CP36" s="64">
        <v>0</v>
      </c>
      <c r="CQ36" s="65">
        <f t="shared" si="328"/>
        <v>0</v>
      </c>
      <c r="CR36" s="212">
        <f t="shared" si="329"/>
        <v>0</v>
      </c>
      <c r="CS36" s="49">
        <v>0</v>
      </c>
      <c r="CT36" s="59"/>
      <c r="CU36" s="28">
        <f t="shared" si="330"/>
        <v>0</v>
      </c>
      <c r="CV36" s="28">
        <v>0</v>
      </c>
      <c r="CW36" s="28">
        <f t="shared" si="426"/>
        <v>0</v>
      </c>
      <c r="CX36" s="28">
        <f t="shared" si="427"/>
        <v>0</v>
      </c>
      <c r="CY36" s="28">
        <f t="shared" si="428"/>
        <v>0</v>
      </c>
      <c r="CZ36" s="28">
        <f t="shared" si="429"/>
        <v>0</v>
      </c>
      <c r="DA36" s="61">
        <f t="shared" si="430"/>
        <v>0</v>
      </c>
      <c r="DB36" s="61">
        <f t="shared" si="331"/>
        <v>0</v>
      </c>
      <c r="DC36" s="62"/>
      <c r="DD36" s="62"/>
      <c r="DE36" s="62"/>
      <c r="DF36" s="62"/>
      <c r="DG36" s="62"/>
      <c r="DH36" s="63">
        <f t="shared" si="431"/>
        <v>0</v>
      </c>
      <c r="DI36" s="63">
        <f t="shared" si="432"/>
        <v>0</v>
      </c>
      <c r="DJ36" s="63">
        <f t="shared" si="433"/>
        <v>0</v>
      </c>
      <c r="DK36" s="63">
        <f t="shared" si="434"/>
        <v>0</v>
      </c>
      <c r="DL36" s="63">
        <f t="shared" si="435"/>
        <v>0</v>
      </c>
      <c r="DM36" s="61">
        <f t="shared" si="436"/>
        <v>0</v>
      </c>
      <c r="DN36" s="64">
        <v>0</v>
      </c>
      <c r="DO36" s="65">
        <f t="shared" si="332"/>
        <v>0</v>
      </c>
      <c r="DP36" s="212">
        <f t="shared" si="333"/>
        <v>0</v>
      </c>
      <c r="DQ36" s="49">
        <v>0</v>
      </c>
      <c r="DR36" s="59"/>
      <c r="DS36" s="28">
        <f t="shared" si="334"/>
        <v>0</v>
      </c>
      <c r="DT36" s="28">
        <v>0</v>
      </c>
      <c r="DU36" s="28">
        <f t="shared" si="437"/>
        <v>0</v>
      </c>
      <c r="DV36" s="28">
        <f t="shared" si="438"/>
        <v>0</v>
      </c>
      <c r="DW36" s="28">
        <f t="shared" si="439"/>
        <v>0</v>
      </c>
      <c r="DX36" s="28">
        <f t="shared" si="440"/>
        <v>0</v>
      </c>
      <c r="DY36" s="61">
        <f t="shared" si="441"/>
        <v>0</v>
      </c>
      <c r="DZ36" s="61">
        <f t="shared" si="335"/>
        <v>0</v>
      </c>
      <c r="EA36" s="62"/>
      <c r="EB36" s="62"/>
      <c r="EC36" s="62"/>
      <c r="ED36" s="62"/>
      <c r="EE36" s="62"/>
      <c r="EF36" s="63">
        <f t="shared" si="442"/>
        <v>0</v>
      </c>
      <c r="EG36" s="63">
        <f t="shared" si="443"/>
        <v>0</v>
      </c>
      <c r="EH36" s="63">
        <f t="shared" si="444"/>
        <v>0</v>
      </c>
      <c r="EI36" s="63">
        <f t="shared" si="445"/>
        <v>0</v>
      </c>
      <c r="EJ36" s="63">
        <f t="shared" si="446"/>
        <v>0</v>
      </c>
      <c r="EK36" s="61">
        <f t="shared" si="447"/>
        <v>0</v>
      </c>
      <c r="EL36" s="64">
        <v>0</v>
      </c>
      <c r="EM36" s="65">
        <f t="shared" si="336"/>
        <v>0</v>
      </c>
      <c r="EN36" s="212">
        <f t="shared" si="337"/>
        <v>0</v>
      </c>
      <c r="EO36" s="49">
        <v>0</v>
      </c>
      <c r="EP36" s="59"/>
      <c r="EQ36" s="28">
        <f t="shared" si="338"/>
        <v>0</v>
      </c>
      <c r="ER36" s="28">
        <v>0</v>
      </c>
      <c r="ES36" s="28">
        <f t="shared" si="448"/>
        <v>0</v>
      </c>
      <c r="ET36" s="28">
        <f t="shared" si="449"/>
        <v>0</v>
      </c>
      <c r="EU36" s="28">
        <f t="shared" si="450"/>
        <v>0</v>
      </c>
      <c r="EV36" s="28">
        <f t="shared" si="451"/>
        <v>0</v>
      </c>
      <c r="EW36" s="61">
        <f t="shared" si="452"/>
        <v>0</v>
      </c>
      <c r="EX36" s="61">
        <f t="shared" si="339"/>
        <v>0</v>
      </c>
      <c r="EY36" s="62"/>
      <c r="EZ36" s="62"/>
      <c r="FA36" s="62"/>
      <c r="FB36" s="62"/>
      <c r="FC36" s="62"/>
      <c r="FD36" s="63">
        <f t="shared" si="453"/>
        <v>0</v>
      </c>
      <c r="FE36" s="63">
        <f t="shared" si="454"/>
        <v>0</v>
      </c>
      <c r="FF36" s="63">
        <f t="shared" si="455"/>
        <v>0</v>
      </c>
      <c r="FG36" s="63">
        <f t="shared" si="456"/>
        <v>0</v>
      </c>
      <c r="FH36" s="63">
        <f t="shared" si="457"/>
        <v>0</v>
      </c>
      <c r="FI36" s="61">
        <f t="shared" si="458"/>
        <v>0</v>
      </c>
      <c r="FJ36" s="64">
        <v>0</v>
      </c>
      <c r="FK36" s="65">
        <f t="shared" si="340"/>
        <v>0</v>
      </c>
      <c r="FL36" s="212">
        <f t="shared" si="341"/>
        <v>0</v>
      </c>
      <c r="FM36" s="49">
        <v>0</v>
      </c>
      <c r="FN36" s="59"/>
      <c r="FO36" s="28">
        <f t="shared" si="342"/>
        <v>0</v>
      </c>
      <c r="FP36" s="28">
        <v>0</v>
      </c>
      <c r="FQ36" s="28">
        <f t="shared" si="459"/>
        <v>0</v>
      </c>
      <c r="FR36" s="28">
        <f t="shared" si="460"/>
        <v>0</v>
      </c>
      <c r="FS36" s="28">
        <f t="shared" si="461"/>
        <v>0</v>
      </c>
      <c r="FT36" s="28">
        <f t="shared" si="462"/>
        <v>0</v>
      </c>
      <c r="FU36" s="61">
        <f t="shared" si="463"/>
        <v>0</v>
      </c>
      <c r="FV36" s="61">
        <f t="shared" si="343"/>
        <v>0</v>
      </c>
      <c r="FW36" s="62"/>
      <c r="FX36" s="62"/>
      <c r="FY36" s="62"/>
      <c r="FZ36" s="62"/>
      <c r="GA36" s="62"/>
      <c r="GB36" s="63">
        <f t="shared" si="464"/>
        <v>0</v>
      </c>
      <c r="GC36" s="63">
        <f t="shared" si="465"/>
        <v>0</v>
      </c>
      <c r="GD36" s="63">
        <f t="shared" si="466"/>
        <v>0</v>
      </c>
      <c r="GE36" s="63">
        <f t="shared" si="467"/>
        <v>0</v>
      </c>
      <c r="GF36" s="63">
        <f t="shared" si="468"/>
        <v>0</v>
      </c>
      <c r="GG36" s="61">
        <f t="shared" si="469"/>
        <v>0</v>
      </c>
      <c r="GH36" s="64">
        <v>0</v>
      </c>
      <c r="GI36" s="65">
        <f t="shared" si="344"/>
        <v>0</v>
      </c>
      <c r="GJ36" s="212">
        <f t="shared" si="345"/>
        <v>0</v>
      </c>
      <c r="GK36" s="49">
        <v>0</v>
      </c>
      <c r="GL36" s="59"/>
      <c r="GM36" s="28">
        <f t="shared" si="346"/>
        <v>0</v>
      </c>
      <c r="GN36" s="28">
        <v>0</v>
      </c>
      <c r="GO36" s="28">
        <f t="shared" si="470"/>
        <v>0</v>
      </c>
      <c r="GP36" s="28">
        <f t="shared" si="471"/>
        <v>0</v>
      </c>
      <c r="GQ36" s="28">
        <f t="shared" si="472"/>
        <v>0</v>
      </c>
      <c r="GR36" s="28">
        <f t="shared" si="473"/>
        <v>0</v>
      </c>
      <c r="GS36" s="61">
        <f t="shared" si="474"/>
        <v>0</v>
      </c>
      <c r="GT36" s="61">
        <f t="shared" si="347"/>
        <v>0</v>
      </c>
      <c r="GU36" s="62"/>
      <c r="GV36" s="62"/>
      <c r="GW36" s="62"/>
      <c r="GX36" s="62"/>
      <c r="GY36" s="62"/>
      <c r="GZ36" s="63">
        <f t="shared" si="475"/>
        <v>0</v>
      </c>
      <c r="HA36" s="63">
        <f t="shared" si="476"/>
        <v>0</v>
      </c>
      <c r="HB36" s="63">
        <f t="shared" si="477"/>
        <v>0</v>
      </c>
      <c r="HC36" s="63">
        <f t="shared" si="478"/>
        <v>0</v>
      </c>
      <c r="HD36" s="63">
        <f t="shared" si="479"/>
        <v>0</v>
      </c>
      <c r="HE36" s="61">
        <f t="shared" si="480"/>
        <v>0</v>
      </c>
      <c r="HF36" s="64">
        <v>0</v>
      </c>
      <c r="HG36" s="65">
        <f t="shared" si="348"/>
        <v>0</v>
      </c>
      <c r="HH36" s="212">
        <f t="shared" si="349"/>
        <v>0</v>
      </c>
      <c r="HI36" s="49">
        <v>0</v>
      </c>
      <c r="HJ36" s="59"/>
      <c r="HK36" s="28">
        <f t="shared" si="350"/>
        <v>0</v>
      </c>
      <c r="HL36" s="28">
        <v>0</v>
      </c>
      <c r="HM36" s="28">
        <f t="shared" si="481"/>
        <v>0</v>
      </c>
      <c r="HN36" s="28">
        <f t="shared" si="482"/>
        <v>0</v>
      </c>
      <c r="HO36" s="28">
        <f t="shared" si="483"/>
        <v>0</v>
      </c>
      <c r="HP36" s="28">
        <f t="shared" si="484"/>
        <v>0</v>
      </c>
      <c r="HQ36" s="61">
        <f t="shared" si="485"/>
        <v>0</v>
      </c>
      <c r="HR36" s="61">
        <f t="shared" si="351"/>
        <v>0</v>
      </c>
      <c r="HS36" s="62"/>
      <c r="HT36" s="62"/>
      <c r="HU36" s="62"/>
      <c r="HV36" s="62"/>
      <c r="HW36" s="62"/>
      <c r="HX36" s="63">
        <f t="shared" si="486"/>
        <v>0</v>
      </c>
      <c r="HY36" s="63">
        <f t="shared" si="487"/>
        <v>0</v>
      </c>
      <c r="HZ36" s="63">
        <f t="shared" si="488"/>
        <v>0</v>
      </c>
      <c r="IA36" s="63">
        <f t="shared" si="489"/>
        <v>0</v>
      </c>
      <c r="IB36" s="63">
        <f t="shared" si="490"/>
        <v>0</v>
      </c>
      <c r="IC36" s="61">
        <f t="shared" si="491"/>
        <v>0</v>
      </c>
      <c r="ID36" s="64">
        <v>0</v>
      </c>
      <c r="IE36" s="65">
        <f t="shared" si="352"/>
        <v>0</v>
      </c>
      <c r="IF36" s="212">
        <f t="shared" si="353"/>
        <v>0</v>
      </c>
      <c r="IG36" s="49">
        <v>0</v>
      </c>
      <c r="IH36" s="59"/>
      <c r="II36" s="28">
        <f t="shared" si="354"/>
        <v>0</v>
      </c>
      <c r="IJ36" s="28">
        <v>0</v>
      </c>
      <c r="IK36" s="28">
        <f t="shared" si="355"/>
        <v>0</v>
      </c>
      <c r="IL36" s="28">
        <f t="shared" si="356"/>
        <v>0</v>
      </c>
      <c r="IM36" s="28">
        <f t="shared" si="357"/>
        <v>0</v>
      </c>
      <c r="IN36" s="28">
        <f t="shared" si="358"/>
        <v>0</v>
      </c>
      <c r="IO36" s="61">
        <f t="shared" si="359"/>
        <v>0</v>
      </c>
      <c r="IP36" s="61">
        <f t="shared" si="360"/>
        <v>0</v>
      </c>
      <c r="IQ36" s="62"/>
      <c r="IR36" s="62"/>
      <c r="IS36" s="62"/>
      <c r="IT36" s="62"/>
      <c r="IU36" s="62"/>
      <c r="IV36" s="63">
        <f t="shared" si="361"/>
        <v>0</v>
      </c>
      <c r="IW36" s="63">
        <f t="shared" si="362"/>
        <v>0</v>
      </c>
      <c r="IX36" s="63">
        <f t="shared" si="363"/>
        <v>0</v>
      </c>
      <c r="IY36" s="63">
        <f t="shared" si="364"/>
        <v>0</v>
      </c>
      <c r="IZ36" s="63">
        <f t="shared" si="365"/>
        <v>0</v>
      </c>
      <c r="JA36" s="61">
        <f t="shared" si="492"/>
        <v>0</v>
      </c>
      <c r="JB36" s="64">
        <v>0</v>
      </c>
      <c r="JC36" s="65">
        <f t="shared" si="366"/>
        <v>0</v>
      </c>
      <c r="JD36" s="476">
        <f t="shared" si="367"/>
        <v>0</v>
      </c>
      <c r="JE36" s="49">
        <v>0</v>
      </c>
      <c r="JF36" s="59"/>
      <c r="JG36" s="28">
        <f t="shared" si="368"/>
        <v>0</v>
      </c>
      <c r="JH36" s="28">
        <v>0</v>
      </c>
      <c r="JI36" s="28">
        <f t="shared" si="369"/>
        <v>0</v>
      </c>
      <c r="JJ36" s="28">
        <f t="shared" si="370"/>
        <v>0</v>
      </c>
      <c r="JK36" s="28">
        <f t="shared" si="371"/>
        <v>0</v>
      </c>
      <c r="JL36" s="28">
        <f t="shared" si="372"/>
        <v>0</v>
      </c>
      <c r="JM36" s="61">
        <f t="shared" si="373"/>
        <v>0</v>
      </c>
      <c r="JN36" s="61">
        <f t="shared" si="374"/>
        <v>0</v>
      </c>
      <c r="JO36" s="62"/>
      <c r="JP36" s="62"/>
      <c r="JQ36" s="62"/>
      <c r="JR36" s="62"/>
      <c r="JS36" s="62"/>
      <c r="JT36" s="63">
        <f t="shared" si="375"/>
        <v>0</v>
      </c>
      <c r="JU36" s="63">
        <f t="shared" si="376"/>
        <v>0</v>
      </c>
      <c r="JV36" s="63">
        <f t="shared" si="377"/>
        <v>0</v>
      </c>
      <c r="JW36" s="63">
        <f t="shared" si="378"/>
        <v>0</v>
      </c>
      <c r="JX36" s="63">
        <f t="shared" si="379"/>
        <v>0</v>
      </c>
      <c r="JY36" s="61">
        <f t="shared" si="493"/>
        <v>0</v>
      </c>
      <c r="JZ36" s="64">
        <v>0</v>
      </c>
      <c r="KA36" s="65">
        <f t="shared" si="380"/>
        <v>0</v>
      </c>
      <c r="KB36" s="476">
        <f t="shared" si="381"/>
        <v>0</v>
      </c>
      <c r="KC36" s="37"/>
      <c r="KD36" s="37"/>
      <c r="KE36" s="37"/>
      <c r="KF36" s="37"/>
      <c r="KG36" s="37"/>
      <c r="KH36" s="37"/>
      <c r="KI36" s="37"/>
      <c r="KJ36" s="37"/>
    </row>
    <row r="37" spans="1:296" ht="15.6" x14ac:dyDescent="0.3">
      <c r="A37" s="385"/>
      <c r="B37" s="383"/>
      <c r="C37" s="383"/>
      <c r="D37" s="383"/>
      <c r="E37" s="383"/>
      <c r="F37" s="383"/>
      <c r="G37" s="383"/>
      <c r="H37" s="383"/>
      <c r="I37" s="383"/>
      <c r="J37" s="383"/>
      <c r="K37" s="383"/>
      <c r="L37" s="383"/>
      <c r="M37" s="383"/>
      <c r="N37" s="383"/>
      <c r="O37" s="383"/>
      <c r="P37" s="383"/>
      <c r="Q37" s="383"/>
      <c r="R37" s="383"/>
      <c r="S37" s="383"/>
      <c r="T37" s="383"/>
      <c r="U37" s="383"/>
      <c r="V37" s="384"/>
      <c r="W37" s="272" t="s">
        <v>7</v>
      </c>
      <c r="X37" s="213">
        <f>SUM(X30:X36)</f>
        <v>3961.4924999999998</v>
      </c>
      <c r="Y37" s="385"/>
      <c r="Z37" s="383"/>
      <c r="AA37" s="383"/>
      <c r="AB37" s="383"/>
      <c r="AC37" s="383"/>
      <c r="AD37" s="383"/>
      <c r="AE37" s="383"/>
      <c r="AF37" s="383"/>
      <c r="AG37" s="383"/>
      <c r="AH37" s="383"/>
      <c r="AI37" s="383"/>
      <c r="AJ37" s="383"/>
      <c r="AK37" s="383"/>
      <c r="AL37" s="383"/>
      <c r="AM37" s="383"/>
      <c r="AN37" s="383"/>
      <c r="AO37" s="383"/>
      <c r="AP37" s="383"/>
      <c r="AQ37" s="383"/>
      <c r="AR37" s="383"/>
      <c r="AS37" s="383"/>
      <c r="AT37" s="384"/>
      <c r="AU37" s="272" t="s">
        <v>7</v>
      </c>
      <c r="AV37" s="213">
        <f>SUM(AV30:AV36)</f>
        <v>3961.4924999999998</v>
      </c>
      <c r="AW37" s="385"/>
      <c r="AX37" s="383"/>
      <c r="AY37" s="383"/>
      <c r="AZ37" s="383"/>
      <c r="BA37" s="383"/>
      <c r="BB37" s="383"/>
      <c r="BC37" s="383"/>
      <c r="BD37" s="383"/>
      <c r="BE37" s="383"/>
      <c r="BF37" s="383"/>
      <c r="BG37" s="383"/>
      <c r="BH37" s="383"/>
      <c r="BI37" s="383"/>
      <c r="BJ37" s="383"/>
      <c r="BK37" s="383"/>
      <c r="BL37" s="383"/>
      <c r="BM37" s="383"/>
      <c r="BN37" s="383"/>
      <c r="BO37" s="383"/>
      <c r="BP37" s="383"/>
      <c r="BQ37" s="383"/>
      <c r="BR37" s="384"/>
      <c r="BS37" s="272" t="s">
        <v>7</v>
      </c>
      <c r="BT37" s="213">
        <f>SUM(BT30:BT36)</f>
        <v>3961.4924999999998</v>
      </c>
      <c r="BU37" s="385"/>
      <c r="BV37" s="383"/>
      <c r="BW37" s="383"/>
      <c r="BX37" s="383"/>
      <c r="BY37" s="383"/>
      <c r="BZ37" s="383"/>
      <c r="CA37" s="383"/>
      <c r="CB37" s="383"/>
      <c r="CC37" s="383"/>
      <c r="CD37" s="383"/>
      <c r="CE37" s="383"/>
      <c r="CF37" s="383"/>
      <c r="CG37" s="383"/>
      <c r="CH37" s="383"/>
      <c r="CI37" s="383"/>
      <c r="CJ37" s="383"/>
      <c r="CK37" s="383"/>
      <c r="CL37" s="383"/>
      <c r="CM37" s="383"/>
      <c r="CN37" s="383"/>
      <c r="CO37" s="383"/>
      <c r="CP37" s="384"/>
      <c r="CQ37" s="272" t="s">
        <v>7</v>
      </c>
      <c r="CR37" s="213">
        <f>SUM(CR30:CR36)</f>
        <v>3961.4924999999998</v>
      </c>
      <c r="CS37" s="385"/>
      <c r="CT37" s="383"/>
      <c r="CU37" s="383"/>
      <c r="CV37" s="383"/>
      <c r="CW37" s="383"/>
      <c r="CX37" s="383"/>
      <c r="CY37" s="383"/>
      <c r="CZ37" s="383"/>
      <c r="DA37" s="383"/>
      <c r="DB37" s="383"/>
      <c r="DC37" s="383"/>
      <c r="DD37" s="383"/>
      <c r="DE37" s="383"/>
      <c r="DF37" s="383"/>
      <c r="DG37" s="383"/>
      <c r="DH37" s="383"/>
      <c r="DI37" s="383"/>
      <c r="DJ37" s="383"/>
      <c r="DK37" s="383"/>
      <c r="DL37" s="383"/>
      <c r="DM37" s="383"/>
      <c r="DN37" s="384"/>
      <c r="DO37" s="272" t="s">
        <v>7</v>
      </c>
      <c r="DP37" s="213">
        <f>SUM(DP30:DP36)</f>
        <v>3961.4924999999998</v>
      </c>
      <c r="DQ37" s="385"/>
      <c r="DR37" s="383"/>
      <c r="DS37" s="383"/>
      <c r="DT37" s="383"/>
      <c r="DU37" s="383"/>
      <c r="DV37" s="383"/>
      <c r="DW37" s="383"/>
      <c r="DX37" s="383"/>
      <c r="DY37" s="383"/>
      <c r="DZ37" s="383"/>
      <c r="EA37" s="383"/>
      <c r="EB37" s="383"/>
      <c r="EC37" s="383"/>
      <c r="ED37" s="383"/>
      <c r="EE37" s="383"/>
      <c r="EF37" s="383"/>
      <c r="EG37" s="383"/>
      <c r="EH37" s="383"/>
      <c r="EI37" s="383"/>
      <c r="EJ37" s="383"/>
      <c r="EK37" s="383"/>
      <c r="EL37" s="384"/>
      <c r="EM37" s="272" t="s">
        <v>7</v>
      </c>
      <c r="EN37" s="213">
        <f>SUM(EN30:EN36)</f>
        <v>3961.4924999999998</v>
      </c>
      <c r="EO37" s="385"/>
      <c r="EP37" s="383"/>
      <c r="EQ37" s="383"/>
      <c r="ER37" s="383"/>
      <c r="ES37" s="383"/>
      <c r="ET37" s="383"/>
      <c r="EU37" s="383"/>
      <c r="EV37" s="383"/>
      <c r="EW37" s="383"/>
      <c r="EX37" s="383"/>
      <c r="EY37" s="383"/>
      <c r="EZ37" s="383"/>
      <c r="FA37" s="383"/>
      <c r="FB37" s="383"/>
      <c r="FC37" s="383"/>
      <c r="FD37" s="383"/>
      <c r="FE37" s="383"/>
      <c r="FF37" s="383"/>
      <c r="FG37" s="383"/>
      <c r="FH37" s="383"/>
      <c r="FI37" s="383"/>
      <c r="FJ37" s="384"/>
      <c r="FK37" s="272" t="s">
        <v>7</v>
      </c>
      <c r="FL37" s="213">
        <f>SUM(FL30:FL36)</f>
        <v>3961.4924999999998</v>
      </c>
      <c r="FM37" s="385"/>
      <c r="FN37" s="383"/>
      <c r="FO37" s="383"/>
      <c r="FP37" s="383"/>
      <c r="FQ37" s="383"/>
      <c r="FR37" s="383"/>
      <c r="FS37" s="383"/>
      <c r="FT37" s="383"/>
      <c r="FU37" s="383"/>
      <c r="FV37" s="383"/>
      <c r="FW37" s="383"/>
      <c r="FX37" s="383"/>
      <c r="FY37" s="383"/>
      <c r="FZ37" s="383"/>
      <c r="GA37" s="383"/>
      <c r="GB37" s="383"/>
      <c r="GC37" s="383"/>
      <c r="GD37" s="383"/>
      <c r="GE37" s="383"/>
      <c r="GF37" s="383"/>
      <c r="GG37" s="383"/>
      <c r="GH37" s="384"/>
      <c r="GI37" s="272" t="s">
        <v>7</v>
      </c>
      <c r="GJ37" s="213">
        <f>SUM(GJ30:GJ36)</f>
        <v>3961.4924999999998</v>
      </c>
      <c r="GK37" s="385"/>
      <c r="GL37" s="383"/>
      <c r="GM37" s="383"/>
      <c r="GN37" s="383"/>
      <c r="GO37" s="383"/>
      <c r="GP37" s="383"/>
      <c r="GQ37" s="383"/>
      <c r="GR37" s="383"/>
      <c r="GS37" s="383"/>
      <c r="GT37" s="383"/>
      <c r="GU37" s="383"/>
      <c r="GV37" s="383"/>
      <c r="GW37" s="383"/>
      <c r="GX37" s="383"/>
      <c r="GY37" s="383"/>
      <c r="GZ37" s="383"/>
      <c r="HA37" s="383"/>
      <c r="HB37" s="383"/>
      <c r="HC37" s="383"/>
      <c r="HD37" s="383"/>
      <c r="HE37" s="383"/>
      <c r="HF37" s="384"/>
      <c r="HG37" s="272" t="s">
        <v>7</v>
      </c>
      <c r="HH37" s="213">
        <f>SUM(HH30:HH36)</f>
        <v>3961.4924999999998</v>
      </c>
      <c r="HI37" s="385"/>
      <c r="HJ37" s="383"/>
      <c r="HK37" s="383"/>
      <c r="HL37" s="383"/>
      <c r="HM37" s="383"/>
      <c r="HN37" s="383"/>
      <c r="HO37" s="383"/>
      <c r="HP37" s="383"/>
      <c r="HQ37" s="383"/>
      <c r="HR37" s="383"/>
      <c r="HS37" s="383"/>
      <c r="HT37" s="383"/>
      <c r="HU37" s="383"/>
      <c r="HV37" s="383"/>
      <c r="HW37" s="383"/>
      <c r="HX37" s="383"/>
      <c r="HY37" s="383"/>
      <c r="HZ37" s="383"/>
      <c r="IA37" s="383"/>
      <c r="IB37" s="383"/>
      <c r="IC37" s="383"/>
      <c r="ID37" s="384"/>
      <c r="IE37" s="272" t="s">
        <v>7</v>
      </c>
      <c r="IF37" s="213">
        <f>SUM(IF30:IF36)</f>
        <v>3961.4924999999998</v>
      </c>
      <c r="IG37" s="385"/>
      <c r="IH37" s="383"/>
      <c r="II37" s="383"/>
      <c r="IJ37" s="383"/>
      <c r="IK37" s="383"/>
      <c r="IL37" s="383"/>
      <c r="IM37" s="383"/>
      <c r="IN37" s="383"/>
      <c r="IO37" s="383"/>
      <c r="IP37" s="383"/>
      <c r="IQ37" s="383"/>
      <c r="IR37" s="383"/>
      <c r="IS37" s="383"/>
      <c r="IT37" s="383"/>
      <c r="IU37" s="383"/>
      <c r="IV37" s="383"/>
      <c r="IW37" s="383"/>
      <c r="IX37" s="383"/>
      <c r="IY37" s="383"/>
      <c r="IZ37" s="383"/>
      <c r="JA37" s="383"/>
      <c r="JB37" s="384"/>
      <c r="JC37" s="272" t="s">
        <v>7</v>
      </c>
      <c r="JD37" s="470">
        <f>SUM(JD30:JD36)</f>
        <v>3961.4924999999998</v>
      </c>
      <c r="JE37" s="385"/>
      <c r="JF37" s="383"/>
      <c r="JG37" s="383"/>
      <c r="JH37" s="383"/>
      <c r="JI37" s="383"/>
      <c r="JJ37" s="383"/>
      <c r="JK37" s="383"/>
      <c r="JL37" s="383"/>
      <c r="JM37" s="383"/>
      <c r="JN37" s="383"/>
      <c r="JO37" s="383"/>
      <c r="JP37" s="383"/>
      <c r="JQ37" s="383"/>
      <c r="JR37" s="383"/>
      <c r="JS37" s="383"/>
      <c r="JT37" s="383"/>
      <c r="JU37" s="383"/>
      <c r="JV37" s="383"/>
      <c r="JW37" s="383"/>
      <c r="JX37" s="383"/>
      <c r="JY37" s="383"/>
      <c r="JZ37" s="384"/>
      <c r="KA37" s="272" t="s">
        <v>7</v>
      </c>
      <c r="KB37" s="470">
        <f>SUM(KB30:KB36)</f>
        <v>3961.4924999999998</v>
      </c>
      <c r="KC37" s="37"/>
      <c r="KD37" s="37"/>
      <c r="KE37" s="37"/>
      <c r="KF37" s="37"/>
      <c r="KG37" s="37"/>
      <c r="KH37" s="37"/>
      <c r="KI37" s="37"/>
      <c r="KJ37" s="37"/>
    </row>
    <row r="38" spans="1:296" ht="28.95" customHeight="1" x14ac:dyDescent="0.3">
      <c r="A38" s="39"/>
      <c r="B38" s="50" t="s">
        <v>34</v>
      </c>
      <c r="C38" s="51" t="s">
        <v>35</v>
      </c>
      <c r="D38" s="51" t="s">
        <v>36</v>
      </c>
      <c r="E38" s="52">
        <v>0.1</v>
      </c>
      <c r="F38" s="52">
        <v>0.08</v>
      </c>
      <c r="G38" s="53" t="s">
        <v>37</v>
      </c>
      <c r="H38" s="51">
        <v>3</v>
      </c>
      <c r="I38" s="54">
        <v>12</v>
      </c>
      <c r="J38" s="55" t="s">
        <v>38</v>
      </c>
      <c r="K38" s="55">
        <v>0.5</v>
      </c>
      <c r="L38" s="55">
        <v>0.6</v>
      </c>
      <c r="M38" s="55">
        <v>0.8</v>
      </c>
      <c r="N38" s="55">
        <v>1</v>
      </c>
      <c r="O38" s="55">
        <v>1.5</v>
      </c>
      <c r="P38" s="56">
        <v>1.5</v>
      </c>
      <c r="Q38" s="56">
        <v>1.6</v>
      </c>
      <c r="R38" s="56">
        <v>1.8</v>
      </c>
      <c r="S38" s="57">
        <v>2</v>
      </c>
      <c r="T38" s="57">
        <v>2.5</v>
      </c>
      <c r="U38" s="55" t="s">
        <v>38</v>
      </c>
      <c r="V38" s="55" t="s">
        <v>38</v>
      </c>
      <c r="W38" s="55">
        <v>0.2</v>
      </c>
      <c r="X38" s="211" t="s">
        <v>38</v>
      </c>
      <c r="Y38" s="39"/>
      <c r="Z38" s="50" t="s">
        <v>34</v>
      </c>
      <c r="AA38" s="51" t="s">
        <v>35</v>
      </c>
      <c r="AB38" s="51" t="s">
        <v>36</v>
      </c>
      <c r="AC38" s="52">
        <v>0.1</v>
      </c>
      <c r="AD38" s="52">
        <v>0.08</v>
      </c>
      <c r="AE38" s="53" t="s">
        <v>37</v>
      </c>
      <c r="AF38" s="51">
        <v>3</v>
      </c>
      <c r="AG38" s="54">
        <v>12</v>
      </c>
      <c r="AH38" s="55" t="s">
        <v>38</v>
      </c>
      <c r="AI38" s="55">
        <v>0.5</v>
      </c>
      <c r="AJ38" s="55">
        <v>0.6</v>
      </c>
      <c r="AK38" s="55">
        <v>0.8</v>
      </c>
      <c r="AL38" s="55">
        <v>1</v>
      </c>
      <c r="AM38" s="55">
        <v>1.5</v>
      </c>
      <c r="AN38" s="56">
        <v>1.5</v>
      </c>
      <c r="AO38" s="56">
        <v>1.6</v>
      </c>
      <c r="AP38" s="56">
        <v>1.8</v>
      </c>
      <c r="AQ38" s="57">
        <v>2</v>
      </c>
      <c r="AR38" s="57">
        <v>2.5</v>
      </c>
      <c r="AS38" s="55" t="s">
        <v>38</v>
      </c>
      <c r="AT38" s="55" t="s">
        <v>38</v>
      </c>
      <c r="AU38" s="55">
        <v>0.2</v>
      </c>
      <c r="AV38" s="211" t="s">
        <v>38</v>
      </c>
      <c r="AW38" s="39"/>
      <c r="AX38" s="50" t="s">
        <v>34</v>
      </c>
      <c r="AY38" s="51" t="s">
        <v>35</v>
      </c>
      <c r="AZ38" s="51" t="s">
        <v>36</v>
      </c>
      <c r="BA38" s="52">
        <v>0.1</v>
      </c>
      <c r="BB38" s="52">
        <v>0.08</v>
      </c>
      <c r="BC38" s="53" t="s">
        <v>37</v>
      </c>
      <c r="BD38" s="51">
        <v>3</v>
      </c>
      <c r="BE38" s="54">
        <v>12</v>
      </c>
      <c r="BF38" s="55" t="s">
        <v>38</v>
      </c>
      <c r="BG38" s="55">
        <v>0.5</v>
      </c>
      <c r="BH38" s="55">
        <v>0.6</v>
      </c>
      <c r="BI38" s="55">
        <v>0.8</v>
      </c>
      <c r="BJ38" s="55">
        <v>1</v>
      </c>
      <c r="BK38" s="55">
        <v>1.5</v>
      </c>
      <c r="BL38" s="56">
        <v>1.5</v>
      </c>
      <c r="BM38" s="56">
        <v>1.6</v>
      </c>
      <c r="BN38" s="56">
        <v>1.8</v>
      </c>
      <c r="BO38" s="57">
        <v>2</v>
      </c>
      <c r="BP38" s="57">
        <v>2.5</v>
      </c>
      <c r="BQ38" s="55" t="s">
        <v>38</v>
      </c>
      <c r="BR38" s="55" t="s">
        <v>38</v>
      </c>
      <c r="BS38" s="55">
        <v>0.2</v>
      </c>
      <c r="BT38" s="211" t="s">
        <v>38</v>
      </c>
      <c r="BV38" s="50" t="s">
        <v>34</v>
      </c>
      <c r="BW38" s="51" t="s">
        <v>35</v>
      </c>
      <c r="BX38" s="51" t="s">
        <v>36</v>
      </c>
      <c r="BY38" s="52">
        <v>0.1</v>
      </c>
      <c r="BZ38" s="52">
        <v>0.08</v>
      </c>
      <c r="CA38" s="53" t="s">
        <v>37</v>
      </c>
      <c r="CB38" s="51">
        <v>3</v>
      </c>
      <c r="CC38" s="54">
        <v>12</v>
      </c>
      <c r="CD38" s="55" t="s">
        <v>38</v>
      </c>
      <c r="CE38" s="55">
        <v>0.5</v>
      </c>
      <c r="CF38" s="55">
        <v>0.6</v>
      </c>
      <c r="CG38" s="55">
        <v>0.8</v>
      </c>
      <c r="CH38" s="55">
        <v>1</v>
      </c>
      <c r="CI38" s="55">
        <v>1.5</v>
      </c>
      <c r="CJ38" s="56">
        <v>1.5</v>
      </c>
      <c r="CK38" s="56">
        <v>1.6</v>
      </c>
      <c r="CL38" s="56">
        <v>1.8</v>
      </c>
      <c r="CM38" s="57">
        <v>2</v>
      </c>
      <c r="CN38" s="57">
        <v>2.5</v>
      </c>
      <c r="CO38" s="55" t="s">
        <v>38</v>
      </c>
      <c r="CP38" s="55" t="s">
        <v>38</v>
      </c>
      <c r="CQ38" s="55">
        <v>0.2</v>
      </c>
      <c r="CR38" s="211" t="s">
        <v>38</v>
      </c>
      <c r="CT38" s="50" t="s">
        <v>34</v>
      </c>
      <c r="CU38" s="51" t="s">
        <v>35</v>
      </c>
      <c r="CV38" s="51" t="s">
        <v>36</v>
      </c>
      <c r="CW38" s="52">
        <v>0.1</v>
      </c>
      <c r="CX38" s="52">
        <v>0.08</v>
      </c>
      <c r="CY38" s="53" t="s">
        <v>37</v>
      </c>
      <c r="CZ38" s="51">
        <v>3</v>
      </c>
      <c r="DA38" s="54">
        <v>12</v>
      </c>
      <c r="DB38" s="55" t="s">
        <v>38</v>
      </c>
      <c r="DC38" s="55">
        <v>0.5</v>
      </c>
      <c r="DD38" s="55">
        <v>0.6</v>
      </c>
      <c r="DE38" s="55">
        <v>0.8</v>
      </c>
      <c r="DF38" s="55">
        <v>1</v>
      </c>
      <c r="DG38" s="55">
        <v>1.5</v>
      </c>
      <c r="DH38" s="56">
        <v>1.5</v>
      </c>
      <c r="DI38" s="56">
        <v>1.6</v>
      </c>
      <c r="DJ38" s="56">
        <v>1.8</v>
      </c>
      <c r="DK38" s="57">
        <v>2</v>
      </c>
      <c r="DL38" s="57">
        <v>2.5</v>
      </c>
      <c r="DM38" s="55" t="s">
        <v>38</v>
      </c>
      <c r="DN38" s="55" t="s">
        <v>38</v>
      </c>
      <c r="DO38" s="55">
        <v>0.2</v>
      </c>
      <c r="DP38" s="211" t="s">
        <v>38</v>
      </c>
      <c r="DR38" s="50" t="s">
        <v>34</v>
      </c>
      <c r="DS38" s="51" t="s">
        <v>35</v>
      </c>
      <c r="DT38" s="51" t="s">
        <v>36</v>
      </c>
      <c r="DU38" s="52">
        <v>0.1</v>
      </c>
      <c r="DV38" s="52">
        <v>0.08</v>
      </c>
      <c r="DW38" s="53" t="s">
        <v>37</v>
      </c>
      <c r="DX38" s="51">
        <v>3</v>
      </c>
      <c r="DY38" s="54">
        <v>12</v>
      </c>
      <c r="DZ38" s="55" t="s">
        <v>38</v>
      </c>
      <c r="EA38" s="55">
        <v>0.5</v>
      </c>
      <c r="EB38" s="55">
        <v>0.6</v>
      </c>
      <c r="EC38" s="55">
        <v>0.8</v>
      </c>
      <c r="ED38" s="55">
        <v>1</v>
      </c>
      <c r="EE38" s="55">
        <v>1.5</v>
      </c>
      <c r="EF38" s="56">
        <v>1.5</v>
      </c>
      <c r="EG38" s="56">
        <v>1.6</v>
      </c>
      <c r="EH38" s="56">
        <v>1.8</v>
      </c>
      <c r="EI38" s="57">
        <v>2</v>
      </c>
      <c r="EJ38" s="57">
        <v>2.5</v>
      </c>
      <c r="EK38" s="55" t="s">
        <v>38</v>
      </c>
      <c r="EL38" s="55" t="s">
        <v>38</v>
      </c>
      <c r="EM38" s="55">
        <v>0.2</v>
      </c>
      <c r="EN38" s="211" t="s">
        <v>38</v>
      </c>
      <c r="EP38" s="50" t="s">
        <v>34</v>
      </c>
      <c r="EQ38" s="51" t="s">
        <v>35</v>
      </c>
      <c r="ER38" s="51" t="s">
        <v>36</v>
      </c>
      <c r="ES38" s="52">
        <v>0.1</v>
      </c>
      <c r="ET38" s="52">
        <v>0.08</v>
      </c>
      <c r="EU38" s="53" t="s">
        <v>37</v>
      </c>
      <c r="EV38" s="51">
        <v>3</v>
      </c>
      <c r="EW38" s="54">
        <v>12</v>
      </c>
      <c r="EX38" s="55" t="s">
        <v>38</v>
      </c>
      <c r="EY38" s="55">
        <v>0.5</v>
      </c>
      <c r="EZ38" s="55">
        <v>0.6</v>
      </c>
      <c r="FA38" s="55">
        <v>0.8</v>
      </c>
      <c r="FB38" s="55">
        <v>1</v>
      </c>
      <c r="FC38" s="55">
        <v>1.5</v>
      </c>
      <c r="FD38" s="56">
        <v>1.5</v>
      </c>
      <c r="FE38" s="56">
        <v>1.6</v>
      </c>
      <c r="FF38" s="56">
        <v>1.8</v>
      </c>
      <c r="FG38" s="57">
        <v>2</v>
      </c>
      <c r="FH38" s="57">
        <v>2.5</v>
      </c>
      <c r="FI38" s="55" t="s">
        <v>38</v>
      </c>
      <c r="FJ38" s="55" t="s">
        <v>38</v>
      </c>
      <c r="FK38" s="55">
        <v>0.2</v>
      </c>
      <c r="FL38" s="211" t="s">
        <v>38</v>
      </c>
      <c r="FN38" s="50" t="s">
        <v>34</v>
      </c>
      <c r="FO38" s="51" t="s">
        <v>35</v>
      </c>
      <c r="FP38" s="51" t="s">
        <v>36</v>
      </c>
      <c r="FQ38" s="52">
        <v>0.1</v>
      </c>
      <c r="FR38" s="52">
        <v>0.08</v>
      </c>
      <c r="FS38" s="53" t="s">
        <v>37</v>
      </c>
      <c r="FT38" s="51">
        <v>3</v>
      </c>
      <c r="FU38" s="54">
        <v>12</v>
      </c>
      <c r="FV38" s="55" t="s">
        <v>38</v>
      </c>
      <c r="FW38" s="55">
        <v>0.5</v>
      </c>
      <c r="FX38" s="55">
        <v>0.6</v>
      </c>
      <c r="FY38" s="55">
        <v>0.8</v>
      </c>
      <c r="FZ38" s="55">
        <v>1</v>
      </c>
      <c r="GA38" s="55">
        <v>1.5</v>
      </c>
      <c r="GB38" s="56">
        <v>1.5</v>
      </c>
      <c r="GC38" s="56">
        <v>1.6</v>
      </c>
      <c r="GD38" s="56">
        <v>1.8</v>
      </c>
      <c r="GE38" s="57">
        <v>2</v>
      </c>
      <c r="GF38" s="57">
        <v>2.5</v>
      </c>
      <c r="GG38" s="55" t="s">
        <v>38</v>
      </c>
      <c r="GH38" s="55" t="s">
        <v>38</v>
      </c>
      <c r="GI38" s="55">
        <v>0.2</v>
      </c>
      <c r="GJ38" s="211" t="s">
        <v>38</v>
      </c>
      <c r="GL38" s="50" t="s">
        <v>34</v>
      </c>
      <c r="GM38" s="51" t="s">
        <v>35</v>
      </c>
      <c r="GN38" s="51" t="s">
        <v>36</v>
      </c>
      <c r="GO38" s="52">
        <v>0.1</v>
      </c>
      <c r="GP38" s="52">
        <v>0.08</v>
      </c>
      <c r="GQ38" s="53" t="s">
        <v>37</v>
      </c>
      <c r="GR38" s="51">
        <v>3</v>
      </c>
      <c r="GS38" s="54">
        <v>12</v>
      </c>
      <c r="GT38" s="55" t="s">
        <v>38</v>
      </c>
      <c r="GU38" s="55">
        <v>0.5</v>
      </c>
      <c r="GV38" s="55">
        <v>0.6</v>
      </c>
      <c r="GW38" s="55">
        <v>0.8</v>
      </c>
      <c r="GX38" s="55">
        <v>1</v>
      </c>
      <c r="GY38" s="55">
        <v>1.5</v>
      </c>
      <c r="GZ38" s="56">
        <v>1.5</v>
      </c>
      <c r="HA38" s="56">
        <v>1.6</v>
      </c>
      <c r="HB38" s="56">
        <v>1.8</v>
      </c>
      <c r="HC38" s="57">
        <v>2</v>
      </c>
      <c r="HD38" s="57">
        <v>2.5</v>
      </c>
      <c r="HE38" s="55" t="s">
        <v>38</v>
      </c>
      <c r="HF38" s="55" t="s">
        <v>38</v>
      </c>
      <c r="HG38" s="55">
        <v>0.2</v>
      </c>
      <c r="HH38" s="211" t="s">
        <v>38</v>
      </c>
      <c r="HJ38" s="50" t="s">
        <v>34</v>
      </c>
      <c r="HK38" s="51" t="s">
        <v>35</v>
      </c>
      <c r="HL38" s="51" t="s">
        <v>36</v>
      </c>
      <c r="HM38" s="52">
        <v>0.1</v>
      </c>
      <c r="HN38" s="52">
        <v>0.08</v>
      </c>
      <c r="HO38" s="53" t="s">
        <v>37</v>
      </c>
      <c r="HP38" s="51">
        <v>3</v>
      </c>
      <c r="HQ38" s="54">
        <v>12</v>
      </c>
      <c r="HR38" s="55" t="s">
        <v>38</v>
      </c>
      <c r="HS38" s="55">
        <v>0.5</v>
      </c>
      <c r="HT38" s="55">
        <v>0.6</v>
      </c>
      <c r="HU38" s="55">
        <v>0.8</v>
      </c>
      <c r="HV38" s="55">
        <v>1</v>
      </c>
      <c r="HW38" s="55">
        <v>1.5</v>
      </c>
      <c r="HX38" s="56">
        <v>1.5</v>
      </c>
      <c r="HY38" s="56">
        <v>1.6</v>
      </c>
      <c r="HZ38" s="56">
        <v>1.8</v>
      </c>
      <c r="IA38" s="57">
        <v>2</v>
      </c>
      <c r="IB38" s="57">
        <v>2.5</v>
      </c>
      <c r="IC38" s="55" t="s">
        <v>38</v>
      </c>
      <c r="ID38" s="55" t="s">
        <v>38</v>
      </c>
      <c r="IE38" s="55">
        <v>0.2</v>
      </c>
      <c r="IF38" s="211" t="s">
        <v>38</v>
      </c>
      <c r="IH38" s="50" t="s">
        <v>34</v>
      </c>
      <c r="II38" s="51" t="s">
        <v>35</v>
      </c>
      <c r="IJ38" s="51" t="s">
        <v>36</v>
      </c>
      <c r="IK38" s="52">
        <v>0.1</v>
      </c>
      <c r="IL38" s="52">
        <v>0.08</v>
      </c>
      <c r="IM38" s="53" t="s">
        <v>37</v>
      </c>
      <c r="IN38" s="51">
        <v>3</v>
      </c>
      <c r="IO38" s="54">
        <v>12</v>
      </c>
      <c r="IP38" s="55" t="s">
        <v>38</v>
      </c>
      <c r="IQ38" s="55">
        <v>0.5</v>
      </c>
      <c r="IR38" s="55">
        <v>0.6</v>
      </c>
      <c r="IS38" s="55">
        <v>0.8</v>
      </c>
      <c r="IT38" s="55">
        <v>1</v>
      </c>
      <c r="IU38" s="55">
        <v>1.5</v>
      </c>
      <c r="IV38" s="56">
        <v>1.5</v>
      </c>
      <c r="IW38" s="56">
        <v>1.6</v>
      </c>
      <c r="IX38" s="56">
        <v>1.8</v>
      </c>
      <c r="IY38" s="57">
        <v>2</v>
      </c>
      <c r="IZ38" s="57">
        <v>2.5</v>
      </c>
      <c r="JA38" s="55" t="s">
        <v>38</v>
      </c>
      <c r="JB38" s="55" t="s">
        <v>38</v>
      </c>
      <c r="JC38" s="55">
        <v>0.2</v>
      </c>
      <c r="JD38" s="475" t="s">
        <v>38</v>
      </c>
      <c r="JF38" s="50" t="s">
        <v>34</v>
      </c>
      <c r="JG38" s="51" t="s">
        <v>35</v>
      </c>
      <c r="JH38" s="51" t="s">
        <v>36</v>
      </c>
      <c r="JI38" s="52">
        <v>0.1</v>
      </c>
      <c r="JJ38" s="52">
        <v>0.08</v>
      </c>
      <c r="JK38" s="53" t="s">
        <v>37</v>
      </c>
      <c r="JL38" s="51">
        <v>3</v>
      </c>
      <c r="JM38" s="54">
        <v>12</v>
      </c>
      <c r="JN38" s="55" t="s">
        <v>38</v>
      </c>
      <c r="JO38" s="55">
        <v>0.5</v>
      </c>
      <c r="JP38" s="55">
        <v>0.6</v>
      </c>
      <c r="JQ38" s="55">
        <v>0.8</v>
      </c>
      <c r="JR38" s="55">
        <v>1</v>
      </c>
      <c r="JS38" s="55">
        <v>1.5</v>
      </c>
      <c r="JT38" s="56">
        <v>1.5</v>
      </c>
      <c r="JU38" s="56">
        <v>1.6</v>
      </c>
      <c r="JV38" s="56">
        <v>1.8</v>
      </c>
      <c r="JW38" s="57">
        <v>2</v>
      </c>
      <c r="JX38" s="57">
        <v>2.5</v>
      </c>
      <c r="JY38" s="55" t="s">
        <v>38</v>
      </c>
      <c r="JZ38" s="55" t="s">
        <v>38</v>
      </c>
      <c r="KA38" s="55">
        <v>0.2</v>
      </c>
      <c r="KB38" s="475" t="s">
        <v>38</v>
      </c>
      <c r="KC38" s="37"/>
      <c r="KD38" s="37"/>
      <c r="KE38" s="37"/>
      <c r="KF38" s="37"/>
      <c r="KG38" s="37"/>
      <c r="KH38" s="37"/>
      <c r="KI38" s="37"/>
      <c r="KJ38" s="37"/>
    </row>
    <row r="39" spans="1:296" ht="15.6" x14ac:dyDescent="0.3">
      <c r="A39" s="386"/>
      <c r="B39" s="387"/>
      <c r="C39" s="387"/>
      <c r="D39" s="387"/>
      <c r="E39" s="472" t="s">
        <v>187</v>
      </c>
      <c r="F39" s="472"/>
      <c r="G39" s="472"/>
      <c r="H39" s="472"/>
      <c r="I39" s="472"/>
      <c r="J39" s="472"/>
      <c r="K39" s="472"/>
      <c r="L39" s="472"/>
      <c r="M39" s="472"/>
      <c r="N39" s="472"/>
      <c r="O39" s="472"/>
      <c r="P39" s="472"/>
      <c r="Q39" s="454"/>
      <c r="R39" s="454"/>
      <c r="S39" s="387"/>
      <c r="T39" s="387"/>
      <c r="U39" s="387"/>
      <c r="V39" s="387"/>
      <c r="W39" s="387"/>
      <c r="X39" s="388"/>
      <c r="Y39" s="386"/>
      <c r="Z39" s="387"/>
      <c r="AA39" s="387"/>
      <c r="AB39" s="387"/>
      <c r="AC39" s="472" t="s">
        <v>187</v>
      </c>
      <c r="AD39" s="472"/>
      <c r="AE39" s="472"/>
      <c r="AF39" s="472"/>
      <c r="AG39" s="472"/>
      <c r="AH39" s="472"/>
      <c r="AI39" s="472"/>
      <c r="AJ39" s="472"/>
      <c r="AK39" s="472"/>
      <c r="AL39" s="472"/>
      <c r="AM39" s="472"/>
      <c r="AN39" s="472"/>
      <c r="AO39" s="454"/>
      <c r="AP39" s="454"/>
      <c r="AQ39" s="387"/>
      <c r="AR39" s="387"/>
      <c r="AS39" s="387"/>
      <c r="AT39" s="387"/>
      <c r="AU39" s="387"/>
      <c r="AV39" s="388"/>
      <c r="AW39" s="386"/>
      <c r="AX39" s="387"/>
      <c r="AY39" s="387"/>
      <c r="AZ39" s="387"/>
      <c r="BA39" s="472" t="s">
        <v>187</v>
      </c>
      <c r="BB39" s="472"/>
      <c r="BC39" s="472"/>
      <c r="BD39" s="472"/>
      <c r="BE39" s="472"/>
      <c r="BF39" s="472"/>
      <c r="BG39" s="472"/>
      <c r="BH39" s="472"/>
      <c r="BI39" s="472"/>
      <c r="BJ39" s="472"/>
      <c r="BK39" s="472"/>
      <c r="BL39" s="472"/>
      <c r="BM39" s="454"/>
      <c r="BN39" s="454"/>
      <c r="BO39" s="387"/>
      <c r="BP39" s="387"/>
      <c r="BQ39" s="387"/>
      <c r="BR39" s="387"/>
      <c r="BS39" s="387"/>
      <c r="BT39" s="388"/>
      <c r="BU39" s="386"/>
      <c r="BV39" s="387"/>
      <c r="BW39" s="387"/>
      <c r="BX39" s="387"/>
      <c r="BY39" s="472" t="s">
        <v>187</v>
      </c>
      <c r="BZ39" s="472"/>
      <c r="CA39" s="472"/>
      <c r="CB39" s="472"/>
      <c r="CC39" s="472"/>
      <c r="CD39" s="472"/>
      <c r="CE39" s="472"/>
      <c r="CF39" s="472"/>
      <c r="CG39" s="472"/>
      <c r="CH39" s="472"/>
      <c r="CI39" s="472"/>
      <c r="CJ39" s="472"/>
      <c r="CK39" s="454"/>
      <c r="CL39" s="454"/>
      <c r="CM39" s="387"/>
      <c r="CN39" s="387"/>
      <c r="CO39" s="387"/>
      <c r="CP39" s="387"/>
      <c r="CQ39" s="387"/>
      <c r="CR39" s="388"/>
      <c r="CS39" s="386"/>
      <c r="CT39" s="387"/>
      <c r="CU39" s="387"/>
      <c r="CV39" s="387"/>
      <c r="CW39" s="472" t="s">
        <v>187</v>
      </c>
      <c r="CX39" s="472"/>
      <c r="CY39" s="472"/>
      <c r="CZ39" s="472"/>
      <c r="DA39" s="472"/>
      <c r="DB39" s="472"/>
      <c r="DC39" s="472"/>
      <c r="DD39" s="472"/>
      <c r="DE39" s="472"/>
      <c r="DF39" s="472"/>
      <c r="DG39" s="472"/>
      <c r="DH39" s="472"/>
      <c r="DI39" s="454"/>
      <c r="DJ39" s="454"/>
      <c r="DK39" s="387"/>
      <c r="DL39" s="387"/>
      <c r="DM39" s="387"/>
      <c r="DN39" s="387"/>
      <c r="DO39" s="387"/>
      <c r="DP39" s="388"/>
      <c r="DQ39" s="386"/>
      <c r="DR39" s="387"/>
      <c r="DS39" s="387"/>
      <c r="DT39" s="387"/>
      <c r="DU39" s="472" t="s">
        <v>187</v>
      </c>
      <c r="DV39" s="472"/>
      <c r="DW39" s="472"/>
      <c r="DX39" s="472"/>
      <c r="DY39" s="472"/>
      <c r="DZ39" s="472"/>
      <c r="EA39" s="472"/>
      <c r="EB39" s="472"/>
      <c r="EC39" s="472"/>
      <c r="ED39" s="472"/>
      <c r="EE39" s="472"/>
      <c r="EF39" s="472"/>
      <c r="EG39" s="454"/>
      <c r="EH39" s="454"/>
      <c r="EI39" s="387"/>
      <c r="EJ39" s="387"/>
      <c r="EK39" s="387"/>
      <c r="EL39" s="387"/>
      <c r="EM39" s="387"/>
      <c r="EN39" s="388"/>
      <c r="EO39" s="386"/>
      <c r="EP39" s="387"/>
      <c r="EQ39" s="387"/>
      <c r="ER39" s="387"/>
      <c r="ES39" s="472" t="s">
        <v>187</v>
      </c>
      <c r="ET39" s="472"/>
      <c r="EU39" s="472"/>
      <c r="EV39" s="472"/>
      <c r="EW39" s="472"/>
      <c r="EX39" s="472"/>
      <c r="EY39" s="472"/>
      <c r="EZ39" s="472"/>
      <c r="FA39" s="472"/>
      <c r="FB39" s="472"/>
      <c r="FC39" s="472"/>
      <c r="FD39" s="472"/>
      <c r="FE39" s="454"/>
      <c r="FF39" s="454"/>
      <c r="FG39" s="387"/>
      <c r="FH39" s="387"/>
      <c r="FI39" s="387"/>
      <c r="FJ39" s="387"/>
      <c r="FK39" s="387"/>
      <c r="FL39" s="388"/>
      <c r="FM39" s="386"/>
      <c r="FN39" s="387"/>
      <c r="FO39" s="387"/>
      <c r="FP39" s="387"/>
      <c r="FQ39" s="472" t="s">
        <v>187</v>
      </c>
      <c r="FR39" s="472"/>
      <c r="FS39" s="472"/>
      <c r="FT39" s="472"/>
      <c r="FU39" s="472"/>
      <c r="FV39" s="472"/>
      <c r="FW39" s="472"/>
      <c r="FX39" s="472"/>
      <c r="FY39" s="472"/>
      <c r="FZ39" s="472"/>
      <c r="GA39" s="472"/>
      <c r="GB39" s="472"/>
      <c r="GC39" s="454"/>
      <c r="GD39" s="454"/>
      <c r="GE39" s="387"/>
      <c r="GF39" s="387"/>
      <c r="GG39" s="387"/>
      <c r="GH39" s="387"/>
      <c r="GI39" s="387"/>
      <c r="GJ39" s="388"/>
      <c r="GK39" s="386"/>
      <c r="GL39" s="387"/>
      <c r="GM39" s="387"/>
      <c r="GN39" s="387"/>
      <c r="GO39" s="472" t="s">
        <v>187</v>
      </c>
      <c r="GP39" s="472"/>
      <c r="GQ39" s="472"/>
      <c r="GR39" s="472"/>
      <c r="GS39" s="472"/>
      <c r="GT39" s="472"/>
      <c r="GU39" s="472"/>
      <c r="GV39" s="472"/>
      <c r="GW39" s="472"/>
      <c r="GX39" s="472"/>
      <c r="GY39" s="472"/>
      <c r="GZ39" s="472"/>
      <c r="HA39" s="454"/>
      <c r="HB39" s="454"/>
      <c r="HC39" s="387"/>
      <c r="HD39" s="387"/>
      <c r="HE39" s="387"/>
      <c r="HF39" s="387"/>
      <c r="HG39" s="387"/>
      <c r="HH39" s="388"/>
      <c r="HI39" s="386"/>
      <c r="HJ39" s="387"/>
      <c r="HK39" s="387"/>
      <c r="HL39" s="387"/>
      <c r="HM39" s="472" t="s">
        <v>187</v>
      </c>
      <c r="HN39" s="472"/>
      <c r="HO39" s="472"/>
      <c r="HP39" s="472"/>
      <c r="HQ39" s="472"/>
      <c r="HR39" s="472"/>
      <c r="HS39" s="472"/>
      <c r="HT39" s="472"/>
      <c r="HU39" s="472"/>
      <c r="HV39" s="472"/>
      <c r="HW39" s="472"/>
      <c r="HX39" s="472"/>
      <c r="HY39" s="454"/>
      <c r="HZ39" s="454"/>
      <c r="IA39" s="387"/>
      <c r="IB39" s="387"/>
      <c r="IC39" s="387"/>
      <c r="ID39" s="387"/>
      <c r="IE39" s="387"/>
      <c r="IF39" s="388"/>
      <c r="IG39" s="386"/>
      <c r="IH39" s="387"/>
      <c r="II39" s="387"/>
      <c r="IJ39" s="387"/>
      <c r="IK39" s="472" t="s">
        <v>187</v>
      </c>
      <c r="IL39" s="472"/>
      <c r="IM39" s="472"/>
      <c r="IN39" s="472"/>
      <c r="IO39" s="472"/>
      <c r="IP39" s="472"/>
      <c r="IQ39" s="472"/>
      <c r="IR39" s="472"/>
      <c r="IS39" s="472"/>
      <c r="IT39" s="472"/>
      <c r="IU39" s="472"/>
      <c r="IV39" s="472"/>
      <c r="IW39" s="454"/>
      <c r="IX39" s="454"/>
      <c r="IY39" s="387"/>
      <c r="IZ39" s="387"/>
      <c r="JA39" s="387"/>
      <c r="JB39" s="387"/>
      <c r="JC39" s="387"/>
      <c r="JD39" s="471"/>
      <c r="JE39" s="386"/>
      <c r="JF39" s="387"/>
      <c r="JG39" s="387"/>
      <c r="JH39" s="387"/>
      <c r="JI39" s="472" t="s">
        <v>187</v>
      </c>
      <c r="JJ39" s="472"/>
      <c r="JK39" s="472"/>
      <c r="JL39" s="472"/>
      <c r="JM39" s="472"/>
      <c r="JN39" s="472"/>
      <c r="JO39" s="472"/>
      <c r="JP39" s="472"/>
      <c r="JQ39" s="472"/>
      <c r="JR39" s="472"/>
      <c r="JS39" s="472"/>
      <c r="JT39" s="472"/>
      <c r="JU39" s="454"/>
      <c r="JV39" s="454"/>
      <c r="JW39" s="387"/>
      <c r="JX39" s="387"/>
      <c r="JY39" s="387"/>
      <c r="JZ39" s="387"/>
      <c r="KA39" s="387"/>
      <c r="KB39" s="471"/>
      <c r="KC39" s="37"/>
      <c r="KD39" s="37"/>
      <c r="KE39" s="37"/>
      <c r="KF39" s="37"/>
      <c r="KG39" s="37"/>
      <c r="KH39" s="37"/>
      <c r="KI39" s="37"/>
      <c r="KJ39" s="37"/>
    </row>
    <row r="40" spans="1:296" x14ac:dyDescent="0.3">
      <c r="A40" s="49">
        <v>0</v>
      </c>
      <c r="B40" s="59" t="s">
        <v>194</v>
      </c>
      <c r="C40" s="28">
        <f>D40/$AY$4</f>
        <v>14.434090909090909</v>
      </c>
      <c r="D40" s="60">
        <v>3175.5</v>
      </c>
      <c r="E40" s="28">
        <f>D40*E$38</f>
        <v>317.55</v>
      </c>
      <c r="F40" s="28">
        <f>D40*F$38</f>
        <v>254.04</v>
      </c>
      <c r="G40" s="28">
        <f>D40/G$38</f>
        <v>264.625</v>
      </c>
      <c r="H40" s="63">
        <f>G40/H$38</f>
        <v>88.208333333333329</v>
      </c>
      <c r="I40" s="63">
        <f>D40/I$38</f>
        <v>264.625</v>
      </c>
      <c r="J40" s="61">
        <f>SUM(D40:I40)</f>
        <v>4364.5483333333332</v>
      </c>
      <c r="K40" s="62"/>
      <c r="L40" s="62"/>
      <c r="M40" s="62"/>
      <c r="N40" s="62"/>
      <c r="O40" s="62"/>
      <c r="P40" s="63">
        <f>((C40*P$38)+(C40*E$38)+(C40*F$38))*K40</f>
        <v>0</v>
      </c>
      <c r="Q40" s="63">
        <f>((C40*Q$38*L40)+(C40*E$38)+(C40*F$38))*L40</f>
        <v>0</v>
      </c>
      <c r="R40" s="63">
        <f>((C40*R$38)+(C40*E$38)+(C40*F$38))*M40</f>
        <v>0</v>
      </c>
      <c r="S40" s="63">
        <f>((C40*S$38)+(C40*E$38)+(C40*F$38))*N40</f>
        <v>0</v>
      </c>
      <c r="T40" s="63">
        <f>((C40*T$38)+(C40*E$38)+(C40*F$38))*O40</f>
        <v>0</v>
      </c>
      <c r="U40" s="61">
        <f>SUM(P40:T40)</f>
        <v>0</v>
      </c>
      <c r="V40" s="64">
        <v>0</v>
      </c>
      <c r="W40" s="65">
        <f>IF(A40=1,($C$1*$W$6),0)</f>
        <v>0</v>
      </c>
      <c r="X40" s="212">
        <f>J40+U40+V40+W40</f>
        <v>4364.5483333333332</v>
      </c>
      <c r="Y40" s="49">
        <v>0</v>
      </c>
      <c r="Z40" s="59" t="s">
        <v>194</v>
      </c>
      <c r="AA40" s="28">
        <f>AB40/$AY$4</f>
        <v>14.434090909090909</v>
      </c>
      <c r="AB40" s="60">
        <v>3175.5</v>
      </c>
      <c r="AC40" s="28">
        <f>AB40*AC$38</f>
        <v>317.55</v>
      </c>
      <c r="AD40" s="28">
        <f>AB40*AD$38</f>
        <v>254.04</v>
      </c>
      <c r="AE40" s="28">
        <f>AB40/AE$38</f>
        <v>264.625</v>
      </c>
      <c r="AF40" s="63">
        <f>AE40/AF$38</f>
        <v>88.208333333333329</v>
      </c>
      <c r="AG40" s="63">
        <f>AB40/AG$38</f>
        <v>264.625</v>
      </c>
      <c r="AH40" s="61">
        <f>SUM(AB40:AG40)</f>
        <v>4364.5483333333332</v>
      </c>
      <c r="AI40" s="62"/>
      <c r="AJ40" s="62"/>
      <c r="AK40" s="62"/>
      <c r="AL40" s="62"/>
      <c r="AM40" s="62"/>
      <c r="AN40" s="63">
        <f>((AA40*AN$38)+(AA40*AC$38)+(AA40*AD$38))*AI40</f>
        <v>0</v>
      </c>
      <c r="AO40" s="63">
        <f>((AA40*AO$38*AJ40)+(AA40*AC$38)+(AA40*AD$38))*AJ40</f>
        <v>0</v>
      </c>
      <c r="AP40" s="63">
        <f>((AA40*AP$38)+(AA40*AC$38)+(AA40*AD$38))*AK40</f>
        <v>0</v>
      </c>
      <c r="AQ40" s="63">
        <f>((AA40*AQ$38)+(AA40*AC$38)+(AA40*AD$38))*AL40</f>
        <v>0</v>
      </c>
      <c r="AR40" s="63">
        <f>((AA40*AR$38)+(AA40*AC$38)+(AA40*AD$38))*AM40</f>
        <v>0</v>
      </c>
      <c r="AS40" s="61">
        <f>SUM(AN40:AR40)</f>
        <v>0</v>
      </c>
      <c r="AT40" s="64">
        <v>0</v>
      </c>
      <c r="AU40" s="65">
        <f>IF(Y40=1,($C$1*$W$6),0)</f>
        <v>0</v>
      </c>
      <c r="AV40" s="212">
        <f>AH40+AS40+AT40+AU40</f>
        <v>4364.5483333333332</v>
      </c>
      <c r="AW40" s="49">
        <v>0</v>
      </c>
      <c r="AX40" s="59" t="s">
        <v>194</v>
      </c>
      <c r="AY40" s="28">
        <f>AZ40/$AY$4</f>
        <v>14.434090909090909</v>
      </c>
      <c r="AZ40" s="60">
        <v>3175.5</v>
      </c>
      <c r="BA40" s="28">
        <f>AZ40*BA$38</f>
        <v>317.55</v>
      </c>
      <c r="BB40" s="28">
        <f>AZ40*BB$38</f>
        <v>254.04</v>
      </c>
      <c r="BC40" s="28">
        <f>AZ40/BC$38</f>
        <v>264.625</v>
      </c>
      <c r="BD40" s="63">
        <f>BC40/BD$38</f>
        <v>88.208333333333329</v>
      </c>
      <c r="BE40" s="63">
        <f>AZ40/BE$38</f>
        <v>264.625</v>
      </c>
      <c r="BF40" s="61">
        <f>SUM(AZ40:BE40)</f>
        <v>4364.5483333333332</v>
      </c>
      <c r="BG40" s="62"/>
      <c r="BH40" s="62"/>
      <c r="BI40" s="62"/>
      <c r="BJ40" s="62"/>
      <c r="BK40" s="62"/>
      <c r="BL40" s="63">
        <f>((AY40*BL$38)+(AY40*BA$38)+(AY40*BB$38))*BG40</f>
        <v>0</v>
      </c>
      <c r="BM40" s="63">
        <f>((AY40*BM$38*BH40)+(AY40*BA$38)+(AY40*BB$38))*BH40</f>
        <v>0</v>
      </c>
      <c r="BN40" s="63">
        <f>((AY40*BN$38)+(AY40*BA$38)+(AY40*BB$38))*BI40</f>
        <v>0</v>
      </c>
      <c r="BO40" s="63">
        <f>((AY40*BO$38)+(AY40*BA$38)+(AY40*BB$38))*BJ40</f>
        <v>0</v>
      </c>
      <c r="BP40" s="63">
        <f>((AY40*BP$38)+(AY40*BA$38)+(AY40*BB$38))*BK40</f>
        <v>0</v>
      </c>
      <c r="BQ40" s="61">
        <f>SUM(BL40:BP40)</f>
        <v>0</v>
      </c>
      <c r="BR40" s="64">
        <v>0</v>
      </c>
      <c r="BS40" s="65">
        <f>IF(AW40=1,($C$1*$W$6),0)</f>
        <v>0</v>
      </c>
      <c r="BT40" s="212">
        <f>BF40+BQ40+BR40+BS40</f>
        <v>4364.5483333333332</v>
      </c>
      <c r="BU40" s="49">
        <v>0</v>
      </c>
      <c r="BV40" s="59" t="s">
        <v>194</v>
      </c>
      <c r="BW40" s="28">
        <f>BX40/$AY$4</f>
        <v>14.434090909090909</v>
      </c>
      <c r="BX40" s="60">
        <v>3175.5</v>
      </c>
      <c r="BY40" s="28">
        <f>BX40*BY$38</f>
        <v>317.55</v>
      </c>
      <c r="BZ40" s="28">
        <f>BX40*BZ$38</f>
        <v>254.04</v>
      </c>
      <c r="CA40" s="28">
        <f>BX40/CA$38</f>
        <v>264.625</v>
      </c>
      <c r="CB40" s="63">
        <f>CA40/CB$38</f>
        <v>88.208333333333329</v>
      </c>
      <c r="CC40" s="63">
        <f>BX40/CC$38</f>
        <v>264.625</v>
      </c>
      <c r="CD40" s="61">
        <f>SUM(BX40:CC40)</f>
        <v>4364.5483333333332</v>
      </c>
      <c r="CE40" s="62"/>
      <c r="CF40" s="62"/>
      <c r="CG40" s="62"/>
      <c r="CH40" s="62"/>
      <c r="CI40" s="62"/>
      <c r="CJ40" s="63">
        <f>((BW40*CJ$38)+(BW40*BY$38)+(BW40*BZ$38))*CE40</f>
        <v>0</v>
      </c>
      <c r="CK40" s="63">
        <f>((BW40*CK$38*CF40)+(BW40*BY$38)+(BW40*BZ$38))*CF40</f>
        <v>0</v>
      </c>
      <c r="CL40" s="63">
        <f>((BW40*CL$38)+(BW40*BY$38)+(BW40*BZ$38))*CG40</f>
        <v>0</v>
      </c>
      <c r="CM40" s="63">
        <f>((BW40*CM$38)+(BW40*BY$38)+(BW40*BZ$38))*CH40</f>
        <v>0</v>
      </c>
      <c r="CN40" s="63">
        <f>((BW40*CN$38)+(BW40*BY$38)+(BW40*BZ$38))*CI40</f>
        <v>0</v>
      </c>
      <c r="CO40" s="61">
        <f>SUM(CJ40:CN40)</f>
        <v>0</v>
      </c>
      <c r="CP40" s="64">
        <v>0</v>
      </c>
      <c r="CQ40" s="65">
        <f>IF(BU40=1,($C$1*$W$6),0)</f>
        <v>0</v>
      </c>
      <c r="CR40" s="212">
        <f>CD40+CO40+CP40+CQ40</f>
        <v>4364.5483333333332</v>
      </c>
      <c r="CS40" s="49">
        <v>0</v>
      </c>
      <c r="CT40" s="59" t="s">
        <v>194</v>
      </c>
      <c r="CU40" s="28">
        <f>CV40/$AY$4</f>
        <v>14.434090909090909</v>
      </c>
      <c r="CV40" s="60">
        <v>3175.5</v>
      </c>
      <c r="CW40" s="28">
        <f>CV40*CW$38</f>
        <v>317.55</v>
      </c>
      <c r="CX40" s="28">
        <f>CV40*CX$38</f>
        <v>254.04</v>
      </c>
      <c r="CY40" s="28">
        <f>CV40/CY$38</f>
        <v>264.625</v>
      </c>
      <c r="CZ40" s="63">
        <f>CY40/CZ$38</f>
        <v>88.208333333333329</v>
      </c>
      <c r="DA40" s="63">
        <f>CV40/DA$38</f>
        <v>264.625</v>
      </c>
      <c r="DB40" s="61">
        <f>SUM(CV40:DA40)</f>
        <v>4364.5483333333332</v>
      </c>
      <c r="DC40" s="62"/>
      <c r="DD40" s="62"/>
      <c r="DE40" s="62"/>
      <c r="DF40" s="62"/>
      <c r="DG40" s="62"/>
      <c r="DH40" s="63">
        <f>((CU40*DH$38)+(CU40*CW$38)+(CU40*CX$38))*DC40</f>
        <v>0</v>
      </c>
      <c r="DI40" s="63">
        <f>((CU40*DI$38*DD40)+(CU40*CW$38)+(CU40*CX$38))*DD40</f>
        <v>0</v>
      </c>
      <c r="DJ40" s="63">
        <f>((CU40*DJ$38)+(CU40*CW$38)+(CU40*CX$38))*DE40</f>
        <v>0</v>
      </c>
      <c r="DK40" s="63">
        <f>((CU40*DK$38)+(CU40*CW$38)+(CU40*CX$38))*DF40</f>
        <v>0</v>
      </c>
      <c r="DL40" s="63">
        <f>((CU40*DL$38)+(CU40*CW$38)+(CU40*CX$38))*DG40</f>
        <v>0</v>
      </c>
      <c r="DM40" s="61">
        <f>SUM(DH40:DL40)</f>
        <v>0</v>
      </c>
      <c r="DN40" s="64">
        <v>0</v>
      </c>
      <c r="DO40" s="65">
        <f>IF(CS40=1,($C$1*$W$6),0)</f>
        <v>0</v>
      </c>
      <c r="DP40" s="212">
        <f>DB40+DM40+DN40+DO40</f>
        <v>4364.5483333333332</v>
      </c>
      <c r="DQ40" s="49">
        <v>0</v>
      </c>
      <c r="DR40" s="59" t="s">
        <v>194</v>
      </c>
      <c r="DS40" s="28">
        <f>DT40/$AY$4</f>
        <v>14.434090909090909</v>
      </c>
      <c r="DT40" s="60">
        <v>3175.5</v>
      </c>
      <c r="DU40" s="28">
        <f>DT40*DU$38</f>
        <v>317.55</v>
      </c>
      <c r="DV40" s="28">
        <f>DT40*DV$38</f>
        <v>254.04</v>
      </c>
      <c r="DW40" s="28">
        <f>DT40/DW$38</f>
        <v>264.625</v>
      </c>
      <c r="DX40" s="63">
        <f>DW40/DX$38</f>
        <v>88.208333333333329</v>
      </c>
      <c r="DY40" s="63">
        <f>DT40/DY$38</f>
        <v>264.625</v>
      </c>
      <c r="DZ40" s="61">
        <f>SUM(DT40:DY40)</f>
        <v>4364.5483333333332</v>
      </c>
      <c r="EA40" s="62"/>
      <c r="EB40" s="62"/>
      <c r="EC40" s="62"/>
      <c r="ED40" s="62"/>
      <c r="EE40" s="62"/>
      <c r="EF40" s="63">
        <f>((DS40*EF$38)+(DS40*DU$38)+(DS40*DV$38))*EA40</f>
        <v>0</v>
      </c>
      <c r="EG40" s="63">
        <f>((DS40*EG$38*EB40)+(DS40*DU$38)+(DS40*DV$38))*EB40</f>
        <v>0</v>
      </c>
      <c r="EH40" s="63">
        <f>((DS40*EH$38)+(DS40*DU$38)+(DS40*DV$38))*EC40</f>
        <v>0</v>
      </c>
      <c r="EI40" s="63">
        <f>((DS40*EI$38)+(DS40*DU$38)+(DS40*DV$38))*ED40</f>
        <v>0</v>
      </c>
      <c r="EJ40" s="63">
        <f>((DS40*EJ$38)+(DS40*DU$38)+(DS40*DV$38))*EE40</f>
        <v>0</v>
      </c>
      <c r="EK40" s="61">
        <f>SUM(EF40:EJ40)</f>
        <v>0</v>
      </c>
      <c r="EL40" s="64">
        <v>0</v>
      </c>
      <c r="EM40" s="65">
        <f>IF(DQ40=1,($C$1*$W$6),0)</f>
        <v>0</v>
      </c>
      <c r="EN40" s="212">
        <f>DZ40+EK40+EL40+EM40</f>
        <v>4364.5483333333332</v>
      </c>
      <c r="EO40" s="49">
        <v>0</v>
      </c>
      <c r="EP40" s="59" t="s">
        <v>194</v>
      </c>
      <c r="EQ40" s="28">
        <f>ER40/$AY$4</f>
        <v>14.434090909090909</v>
      </c>
      <c r="ER40" s="60">
        <v>3175.5</v>
      </c>
      <c r="ES40" s="28">
        <f>ER40*ES$38</f>
        <v>317.55</v>
      </c>
      <c r="ET40" s="28">
        <f>ER40*ET$38</f>
        <v>254.04</v>
      </c>
      <c r="EU40" s="28">
        <f>ER40/EU$38</f>
        <v>264.625</v>
      </c>
      <c r="EV40" s="63">
        <f>EU40/EV$38</f>
        <v>88.208333333333329</v>
      </c>
      <c r="EW40" s="63">
        <f>ER40/EW$38</f>
        <v>264.625</v>
      </c>
      <c r="EX40" s="61">
        <f>SUM(ER40:EW40)</f>
        <v>4364.5483333333332</v>
      </c>
      <c r="EY40" s="62"/>
      <c r="EZ40" s="62"/>
      <c r="FA40" s="62"/>
      <c r="FB40" s="62"/>
      <c r="FC40" s="62"/>
      <c r="FD40" s="63">
        <f>((EQ40*FD$38)+(EQ40*ES$38)+(EQ40*ET$38))*EY40</f>
        <v>0</v>
      </c>
      <c r="FE40" s="63">
        <f>((EQ40*FE$38*EZ40)+(EQ40*ES$38)+(EQ40*ET$38))*EZ40</f>
        <v>0</v>
      </c>
      <c r="FF40" s="63">
        <f>((EQ40*FF$38)+(EQ40*ES$38)+(EQ40*ET$38))*FA40</f>
        <v>0</v>
      </c>
      <c r="FG40" s="63">
        <f>((EQ40*FG$38)+(EQ40*ES$38)+(EQ40*ET$38))*FB40</f>
        <v>0</v>
      </c>
      <c r="FH40" s="63">
        <f>((EQ40*FH$38)+(EQ40*ES$38)+(EQ40*ET$38))*FC40</f>
        <v>0</v>
      </c>
      <c r="FI40" s="61">
        <f>SUM(FD40:FH40)</f>
        <v>0</v>
      </c>
      <c r="FJ40" s="64">
        <v>0</v>
      </c>
      <c r="FK40" s="65">
        <f>IF(EO40=1,($C$1*$W$6),0)</f>
        <v>0</v>
      </c>
      <c r="FL40" s="212">
        <f>EX40+FI40+FJ40+FK40</f>
        <v>4364.5483333333332</v>
      </c>
      <c r="FM40" s="49">
        <v>0</v>
      </c>
      <c r="FN40" s="59" t="s">
        <v>194</v>
      </c>
      <c r="FO40" s="28">
        <f>FP40/$AY$4</f>
        <v>14.434090909090909</v>
      </c>
      <c r="FP40" s="60">
        <v>3175.5</v>
      </c>
      <c r="FQ40" s="28">
        <f>FP40*FQ$38</f>
        <v>317.55</v>
      </c>
      <c r="FR40" s="28">
        <f>FP40*FR$38</f>
        <v>254.04</v>
      </c>
      <c r="FS40" s="28">
        <f>FP40/FS$38</f>
        <v>264.625</v>
      </c>
      <c r="FT40" s="63">
        <f>FS40/FT$38</f>
        <v>88.208333333333329</v>
      </c>
      <c r="FU40" s="63">
        <f>FP40/FU$38</f>
        <v>264.625</v>
      </c>
      <c r="FV40" s="61">
        <f>SUM(FP40:FU40)</f>
        <v>4364.5483333333332</v>
      </c>
      <c r="FW40" s="62"/>
      <c r="FX40" s="62"/>
      <c r="FY40" s="62"/>
      <c r="FZ40" s="62"/>
      <c r="GA40" s="62"/>
      <c r="GB40" s="63">
        <f>((FO40*GB$38)+(FO40*FQ$38)+(FO40*FR$38))*FW40</f>
        <v>0</v>
      </c>
      <c r="GC40" s="63">
        <f>((FO40*GC$38*FX40)+(FO40*FQ$38)+(FO40*FR$38))*FX40</f>
        <v>0</v>
      </c>
      <c r="GD40" s="63">
        <f>((FO40*GD$38)+(FO40*FQ$38)+(FO40*FR$38))*FY40</f>
        <v>0</v>
      </c>
      <c r="GE40" s="63">
        <f>((FO40*GE$38)+(FO40*FQ$38)+(FO40*FR$38))*FZ40</f>
        <v>0</v>
      </c>
      <c r="GF40" s="63">
        <f>((FO40*GF$38)+(FO40*FQ$38)+(FO40*FR$38))*GA40</f>
        <v>0</v>
      </c>
      <c r="GG40" s="61">
        <f>SUM(GB40:GF40)</f>
        <v>0</v>
      </c>
      <c r="GH40" s="64">
        <v>0</v>
      </c>
      <c r="GI40" s="65">
        <f>IF(FM40=1,($C$1*$W$6),0)</f>
        <v>0</v>
      </c>
      <c r="GJ40" s="212">
        <f>FV40+GG40+GH40+GI40</f>
        <v>4364.5483333333332</v>
      </c>
      <c r="GK40" s="49">
        <v>0</v>
      </c>
      <c r="GL40" s="59"/>
      <c r="GM40" s="28">
        <f>GN40/$AY$4</f>
        <v>0</v>
      </c>
      <c r="GN40" s="60">
        <v>0</v>
      </c>
      <c r="GO40" s="28">
        <f>GN40*GO$38</f>
        <v>0</v>
      </c>
      <c r="GP40" s="28">
        <f>GN40*GP$38</f>
        <v>0</v>
      </c>
      <c r="GQ40" s="28">
        <f>GN40/GQ$38</f>
        <v>0</v>
      </c>
      <c r="GR40" s="63">
        <f>GQ40/GR$38</f>
        <v>0</v>
      </c>
      <c r="GS40" s="63">
        <f>GN40/GS$38</f>
        <v>0</v>
      </c>
      <c r="GT40" s="61">
        <f>SUM(GN40:GS40)</f>
        <v>0</v>
      </c>
      <c r="GU40" s="62"/>
      <c r="GV40" s="62"/>
      <c r="GW40" s="62"/>
      <c r="GX40" s="62"/>
      <c r="GY40" s="62"/>
      <c r="GZ40" s="63">
        <f>((GM40*GZ$38)+(GM40*GO$38)+(GM40*GP$38))*GU40</f>
        <v>0</v>
      </c>
      <c r="HA40" s="63">
        <f>((GM40*HA$38*GV40)+(GM40*GO$38)+(GM40*GP$38))*GV40</f>
        <v>0</v>
      </c>
      <c r="HB40" s="63">
        <f>((GM40*HB$38)+(GM40*GO$38)+(GM40*GP$38))*GW40</f>
        <v>0</v>
      </c>
      <c r="HC40" s="63">
        <f>((GM40*HC$38)+(GM40*GO$38)+(GM40*GP$38))*GX40</f>
        <v>0</v>
      </c>
      <c r="HD40" s="63">
        <f>((GM40*HD$38)+(GM40*GO$38)+(GM40*GP$38))*GY40</f>
        <v>0</v>
      </c>
      <c r="HE40" s="61">
        <f>SUM(GZ40:HD40)</f>
        <v>0</v>
      </c>
      <c r="HF40" s="64">
        <v>0</v>
      </c>
      <c r="HG40" s="65">
        <f>IF(GK40=1,($C$1*$W$6),0)</f>
        <v>0</v>
      </c>
      <c r="HH40" s="212">
        <f>GT40+HE40+HF40+HG40</f>
        <v>0</v>
      </c>
      <c r="HI40" s="49">
        <v>0</v>
      </c>
      <c r="HJ40" s="59"/>
      <c r="HK40" s="28">
        <f>HL40/$AY$4</f>
        <v>0</v>
      </c>
      <c r="HL40" s="60">
        <v>0</v>
      </c>
      <c r="HM40" s="28">
        <f>HL40*HM$38</f>
        <v>0</v>
      </c>
      <c r="HN40" s="28">
        <f>HL40*HN$38</f>
        <v>0</v>
      </c>
      <c r="HO40" s="28">
        <f>HL40/HO$38</f>
        <v>0</v>
      </c>
      <c r="HP40" s="63">
        <f>HO40/HP$38</f>
        <v>0</v>
      </c>
      <c r="HQ40" s="63">
        <f>HL40/HQ$38</f>
        <v>0</v>
      </c>
      <c r="HR40" s="61">
        <f>SUM(HL40:HQ40)</f>
        <v>0</v>
      </c>
      <c r="HS40" s="62"/>
      <c r="HT40" s="62"/>
      <c r="HU40" s="62"/>
      <c r="HV40" s="62"/>
      <c r="HW40" s="62"/>
      <c r="HX40" s="63">
        <f>((HK40*HX$38)+(HK40*HM$38)+(HK40*HN$38))*HS40</f>
        <v>0</v>
      </c>
      <c r="HY40" s="63">
        <f>((HK40*HY$38*HT40)+(HK40*HM$38)+(HK40*HN$38))*HT40</f>
        <v>0</v>
      </c>
      <c r="HZ40" s="63">
        <f>((HK40*HZ$38)+(HK40*HM$38)+(HK40*HN$38))*HU40</f>
        <v>0</v>
      </c>
      <c r="IA40" s="63">
        <f>((HK40*IA$38)+(HK40*HM$38)+(HK40*HN$38))*HV40</f>
        <v>0</v>
      </c>
      <c r="IB40" s="63">
        <f>((HK40*IB$38)+(HK40*HM$38)+(HK40*HN$38))*HW40</f>
        <v>0</v>
      </c>
      <c r="IC40" s="61">
        <f>SUM(HX40:IB40)</f>
        <v>0</v>
      </c>
      <c r="ID40" s="64">
        <v>0</v>
      </c>
      <c r="IE40" s="65">
        <f>IF(HI40=1,($C$1*$W$6),0)</f>
        <v>0</v>
      </c>
      <c r="IF40" s="212">
        <f>HR40+IC40+ID40+IE40</f>
        <v>0</v>
      </c>
      <c r="IG40" s="49">
        <v>0</v>
      </c>
      <c r="IH40" s="59"/>
      <c r="II40" s="28">
        <f>IJ40/$AY$4</f>
        <v>0</v>
      </c>
      <c r="IJ40" s="60">
        <v>0</v>
      </c>
      <c r="IK40" s="28">
        <f>IJ40*IK$38</f>
        <v>0</v>
      </c>
      <c r="IL40" s="28">
        <f>IJ40*IL$38</f>
        <v>0</v>
      </c>
      <c r="IM40" s="28">
        <f>IJ40/IM$38</f>
        <v>0</v>
      </c>
      <c r="IN40" s="63">
        <f>IM40/IN$38</f>
        <v>0</v>
      </c>
      <c r="IO40" s="63">
        <f>IJ40/IO$38</f>
        <v>0</v>
      </c>
      <c r="IP40" s="61">
        <f>SUM(IJ40:IO40)</f>
        <v>0</v>
      </c>
      <c r="IQ40" s="62"/>
      <c r="IR40" s="62"/>
      <c r="IS40" s="62"/>
      <c r="IT40" s="62"/>
      <c r="IU40" s="62"/>
      <c r="IV40" s="63">
        <f>((II40*IV$38)+(II40*IK$38)+(II40*IL$38))*IQ40</f>
        <v>0</v>
      </c>
      <c r="IW40" s="63">
        <f>((II40*IW$38*IR40)+(II40*IK$38)+(II40*IL$38))*IR40</f>
        <v>0</v>
      </c>
      <c r="IX40" s="63">
        <f>((II40*IX$38)+(II40*IK$38)+(II40*IL$38))*IS40</f>
        <v>0</v>
      </c>
      <c r="IY40" s="63">
        <f>((II40*IY$38)+(II40*IK$38)+(II40*IL$38))*IT40</f>
        <v>0</v>
      </c>
      <c r="IZ40" s="63">
        <f>((II40*IZ$38)+(II40*IK$38)+(II40*IL$38))*IU40</f>
        <v>0</v>
      </c>
      <c r="JA40" s="61">
        <f>SUM(IV40:IZ40)</f>
        <v>0</v>
      </c>
      <c r="JB40" s="64">
        <v>0</v>
      </c>
      <c r="JC40" s="65">
        <f>IF(IG40=1,($C$1*$W$6),0)</f>
        <v>0</v>
      </c>
      <c r="JD40" s="476">
        <f>IP40+JA40+JB40+JC40</f>
        <v>0</v>
      </c>
      <c r="JE40" s="49">
        <v>0</v>
      </c>
      <c r="JF40" s="59"/>
      <c r="JG40" s="28">
        <f>JH40/$AY$4</f>
        <v>0</v>
      </c>
      <c r="JH40" s="60">
        <v>0</v>
      </c>
      <c r="JI40" s="28">
        <f>JH40*JI$38</f>
        <v>0</v>
      </c>
      <c r="JJ40" s="28">
        <f>JH40*JJ$38</f>
        <v>0</v>
      </c>
      <c r="JK40" s="28">
        <f>JH40/JK$38</f>
        <v>0</v>
      </c>
      <c r="JL40" s="63">
        <f>JK40/JL$38</f>
        <v>0</v>
      </c>
      <c r="JM40" s="63">
        <f>JH40/JM$38</f>
        <v>0</v>
      </c>
      <c r="JN40" s="61">
        <f>SUM(JH40:JM40)</f>
        <v>0</v>
      </c>
      <c r="JO40" s="62"/>
      <c r="JP40" s="62"/>
      <c r="JQ40" s="62"/>
      <c r="JR40" s="62"/>
      <c r="JS40" s="62"/>
      <c r="JT40" s="63">
        <f>((JG40*JT$38)+(JG40*JI$38)+(JG40*JJ$38))*JO40</f>
        <v>0</v>
      </c>
      <c r="JU40" s="63">
        <f>((JG40*JU$38*JP40)+(JG40*JI$38)+(JG40*JJ$38))*JP40</f>
        <v>0</v>
      </c>
      <c r="JV40" s="63">
        <f>((JG40*JV$38)+(JG40*JI$38)+(JG40*JJ$38))*JQ40</f>
        <v>0</v>
      </c>
      <c r="JW40" s="63">
        <f>((JG40*JW$38)+(JG40*JI$38)+(JG40*JJ$38))*JR40</f>
        <v>0</v>
      </c>
      <c r="JX40" s="63">
        <f>((JG40*JX$38)+(JG40*JI$38)+(JG40*JJ$38))*JS40</f>
        <v>0</v>
      </c>
      <c r="JY40" s="61">
        <f>SUM(JT40:JX40)</f>
        <v>0</v>
      </c>
      <c r="JZ40" s="64">
        <v>0</v>
      </c>
      <c r="KA40" s="65">
        <f>IF(JE40=1,($C$1*$W$6),0)</f>
        <v>0</v>
      </c>
      <c r="KB40" s="476">
        <f>JN40+JY40+JZ40+KA40</f>
        <v>0</v>
      </c>
      <c r="KC40" s="37"/>
      <c r="KD40" s="37"/>
      <c r="KE40" s="37"/>
      <c r="KF40" s="37"/>
      <c r="KG40" s="37"/>
      <c r="KH40" s="37"/>
      <c r="KI40" s="37"/>
      <c r="KJ40" s="37"/>
    </row>
    <row r="41" spans="1:296" x14ac:dyDescent="0.3">
      <c r="A41" s="49">
        <v>0</v>
      </c>
      <c r="B41" s="59" t="s">
        <v>195</v>
      </c>
      <c r="C41" s="28">
        <f>D41/$AY$4</f>
        <v>10.340999999999999</v>
      </c>
      <c r="D41" s="28">
        <v>2275.02</v>
      </c>
      <c r="E41" s="28">
        <f t="shared" ref="E41:E43" si="494">D41*E$38</f>
        <v>227.50200000000001</v>
      </c>
      <c r="F41" s="28">
        <f t="shared" ref="F41:F43" si="495">D41*F$38</f>
        <v>182.0016</v>
      </c>
      <c r="G41" s="28">
        <f t="shared" ref="G41:G43" si="496">D41/G$38</f>
        <v>189.58500000000001</v>
      </c>
      <c r="H41" s="63">
        <f t="shared" ref="H41:H43" si="497">G41/H$38</f>
        <v>63.195</v>
      </c>
      <c r="I41" s="63">
        <f t="shared" ref="I41:I43" si="498">D41/I$38</f>
        <v>189.58500000000001</v>
      </c>
      <c r="J41" s="61">
        <f>SUM(D41:I41)</f>
        <v>3126.8886000000002</v>
      </c>
      <c r="K41" s="62"/>
      <c r="L41" s="62"/>
      <c r="M41" s="62"/>
      <c r="N41" s="62"/>
      <c r="O41" s="62"/>
      <c r="P41" s="63">
        <f t="shared" ref="P41:P43" si="499">((C41*P$38)+(C41*E$38)+(C41*F$38))*K41</f>
        <v>0</v>
      </c>
      <c r="Q41" s="63">
        <f t="shared" ref="Q41:Q43" si="500">((C41*Q$38*L41)+(C41*E$38)+(C41*F$38))*L41</f>
        <v>0</v>
      </c>
      <c r="R41" s="63">
        <f t="shared" ref="R41:R43" si="501">((C41*R$38)+(C41*E$38)+(C41*F$38))*M41</f>
        <v>0</v>
      </c>
      <c r="S41" s="63">
        <f t="shared" ref="S41:S43" si="502">((C41*S$38)+(C41*E$38)+(C41*F$38))*N41</f>
        <v>0</v>
      </c>
      <c r="T41" s="63">
        <f t="shared" ref="T41:T43" si="503">((C41*T$38)+(C41*E$38)+(C41*F$38))*O41</f>
        <v>0</v>
      </c>
      <c r="U41" s="61">
        <f t="shared" ref="U41:U43" si="504">SUM(P41:T41)</f>
        <v>0</v>
      </c>
      <c r="V41" s="64">
        <v>0</v>
      </c>
      <c r="W41" s="65">
        <f>IF(A41=1,($C$1*$W$6),0)</f>
        <v>0</v>
      </c>
      <c r="X41" s="212">
        <f>J41+U41+V41+W41</f>
        <v>3126.8886000000002</v>
      </c>
      <c r="Y41" s="49">
        <v>0</v>
      </c>
      <c r="Z41" s="59" t="s">
        <v>195</v>
      </c>
      <c r="AA41" s="28">
        <f>AB41/$AY$4</f>
        <v>10.340999999999999</v>
      </c>
      <c r="AB41" s="28">
        <v>2275.02</v>
      </c>
      <c r="AC41" s="28">
        <f t="shared" ref="AC41:AC43" si="505">AB41*AC$38</f>
        <v>227.50200000000001</v>
      </c>
      <c r="AD41" s="28">
        <f t="shared" ref="AD41:AD43" si="506">AB41*AD$38</f>
        <v>182.0016</v>
      </c>
      <c r="AE41" s="28">
        <f t="shared" ref="AE41:AE43" si="507">AB41/AE$38</f>
        <v>189.58500000000001</v>
      </c>
      <c r="AF41" s="63">
        <f t="shared" ref="AF41:AF43" si="508">AE41/AF$38</f>
        <v>63.195</v>
      </c>
      <c r="AG41" s="63">
        <f t="shared" ref="AG41:AG43" si="509">AB41/AG$38</f>
        <v>189.58500000000001</v>
      </c>
      <c r="AH41" s="61">
        <f>SUM(AB41:AG41)</f>
        <v>3126.8886000000002</v>
      </c>
      <c r="AI41" s="62"/>
      <c r="AJ41" s="62"/>
      <c r="AK41" s="62"/>
      <c r="AL41" s="62"/>
      <c r="AM41" s="62"/>
      <c r="AN41" s="63">
        <f t="shared" ref="AN41:AN43" si="510">((AA41*AN$38)+(AA41*AC$38)+(AA41*AD$38))*AI41</f>
        <v>0</v>
      </c>
      <c r="AO41" s="63">
        <f t="shared" ref="AO41:AO43" si="511">((AA41*AO$38*AJ41)+(AA41*AC$38)+(AA41*AD$38))*AJ41</f>
        <v>0</v>
      </c>
      <c r="AP41" s="63">
        <f t="shared" ref="AP41:AP43" si="512">((AA41*AP$38)+(AA41*AC$38)+(AA41*AD$38))*AK41</f>
        <v>0</v>
      </c>
      <c r="AQ41" s="63">
        <f t="shared" ref="AQ41:AQ43" si="513">((AA41*AQ$38)+(AA41*AC$38)+(AA41*AD$38))*AL41</f>
        <v>0</v>
      </c>
      <c r="AR41" s="63">
        <f t="shared" ref="AR41:AR43" si="514">((AA41*AR$38)+(AA41*AC$38)+(AA41*AD$38))*AM41</f>
        <v>0</v>
      </c>
      <c r="AS41" s="61">
        <f t="shared" ref="AS41:AS43" si="515">SUM(AN41:AR41)</f>
        <v>0</v>
      </c>
      <c r="AT41" s="64">
        <v>0</v>
      </c>
      <c r="AU41" s="65">
        <f>IF(Y41=1,($C$1*$W$6),0)</f>
        <v>0</v>
      </c>
      <c r="AV41" s="212">
        <f>AH41+AS41+AT41+AU41</f>
        <v>3126.8886000000002</v>
      </c>
      <c r="AW41" s="49">
        <v>0</v>
      </c>
      <c r="AX41" s="59" t="s">
        <v>195</v>
      </c>
      <c r="AY41" s="28">
        <f>AZ41/$AY$4</f>
        <v>10.340999999999999</v>
      </c>
      <c r="AZ41" s="28">
        <v>2275.02</v>
      </c>
      <c r="BA41" s="28">
        <f t="shared" ref="BA41:BA43" si="516">AZ41*BA$38</f>
        <v>227.50200000000001</v>
      </c>
      <c r="BB41" s="28">
        <f t="shared" ref="BB41:BB43" si="517">AZ41*BB$38</f>
        <v>182.0016</v>
      </c>
      <c r="BC41" s="28">
        <f t="shared" ref="BC41:BC43" si="518">AZ41/BC$38</f>
        <v>189.58500000000001</v>
      </c>
      <c r="BD41" s="63">
        <f t="shared" ref="BD41:BD43" si="519">BC41/BD$38</f>
        <v>63.195</v>
      </c>
      <c r="BE41" s="63">
        <f t="shared" ref="BE41:BE43" si="520">AZ41/BE$38</f>
        <v>189.58500000000001</v>
      </c>
      <c r="BF41" s="61">
        <f>SUM(AZ41:BE41)</f>
        <v>3126.8886000000002</v>
      </c>
      <c r="BG41" s="62"/>
      <c r="BH41" s="62"/>
      <c r="BI41" s="62"/>
      <c r="BJ41" s="62"/>
      <c r="BK41" s="62"/>
      <c r="BL41" s="63">
        <f t="shared" ref="BL41:BL43" si="521">((AY41*BL$38)+(AY41*BA$38)+(AY41*BB$38))*BG41</f>
        <v>0</v>
      </c>
      <c r="BM41" s="63">
        <f t="shared" ref="BM41:BM43" si="522">((AY41*BM$38*BH41)+(AY41*BA$38)+(AY41*BB$38))*BH41</f>
        <v>0</v>
      </c>
      <c r="BN41" s="63">
        <f t="shared" ref="BN41:BN43" si="523">((AY41*BN$38)+(AY41*BA$38)+(AY41*BB$38))*BI41</f>
        <v>0</v>
      </c>
      <c r="BO41" s="63">
        <f t="shared" ref="BO41:BO43" si="524">((AY41*BO$38)+(AY41*BA$38)+(AY41*BB$38))*BJ41</f>
        <v>0</v>
      </c>
      <c r="BP41" s="63">
        <f t="shared" ref="BP41:BP43" si="525">((AY41*BP$38)+(AY41*BA$38)+(AY41*BB$38))*BK41</f>
        <v>0</v>
      </c>
      <c r="BQ41" s="61">
        <f t="shared" ref="BQ41:BQ43" si="526">SUM(BL41:BP41)</f>
        <v>0</v>
      </c>
      <c r="BR41" s="64">
        <v>0</v>
      </c>
      <c r="BS41" s="65">
        <f>IF(AW41=1,($C$1*$W$6),0)</f>
        <v>0</v>
      </c>
      <c r="BT41" s="212">
        <f>BF41+BQ41+BR41+BS41</f>
        <v>3126.8886000000002</v>
      </c>
      <c r="BU41" s="49">
        <v>0</v>
      </c>
      <c r="BV41" s="59" t="s">
        <v>195</v>
      </c>
      <c r="BW41" s="28">
        <f>BX41/$AY$4</f>
        <v>10.340999999999999</v>
      </c>
      <c r="BX41" s="28">
        <v>2275.02</v>
      </c>
      <c r="BY41" s="28">
        <f t="shared" ref="BY41:BY43" si="527">BX41*BY$38</f>
        <v>227.50200000000001</v>
      </c>
      <c r="BZ41" s="28">
        <f t="shared" ref="BZ41:BZ43" si="528">BX41*BZ$38</f>
        <v>182.0016</v>
      </c>
      <c r="CA41" s="28">
        <f t="shared" ref="CA41:CA43" si="529">BX41/CA$38</f>
        <v>189.58500000000001</v>
      </c>
      <c r="CB41" s="63">
        <f t="shared" ref="CB41:CB43" si="530">CA41/CB$38</f>
        <v>63.195</v>
      </c>
      <c r="CC41" s="63">
        <f t="shared" ref="CC41:CC43" si="531">BX41/CC$38</f>
        <v>189.58500000000001</v>
      </c>
      <c r="CD41" s="61">
        <f>SUM(BX41:CC41)</f>
        <v>3126.8886000000002</v>
      </c>
      <c r="CE41" s="62"/>
      <c r="CF41" s="62"/>
      <c r="CG41" s="62"/>
      <c r="CH41" s="62"/>
      <c r="CI41" s="62"/>
      <c r="CJ41" s="63">
        <f t="shared" ref="CJ41:CJ43" si="532">((BW41*CJ$38)+(BW41*BY$38)+(BW41*BZ$38))*CE41</f>
        <v>0</v>
      </c>
      <c r="CK41" s="63">
        <f t="shared" ref="CK41:CK43" si="533">((BW41*CK$38*CF41)+(BW41*BY$38)+(BW41*BZ$38))*CF41</f>
        <v>0</v>
      </c>
      <c r="CL41" s="63">
        <f t="shared" ref="CL41:CL43" si="534">((BW41*CL$38)+(BW41*BY$38)+(BW41*BZ$38))*CG41</f>
        <v>0</v>
      </c>
      <c r="CM41" s="63">
        <f t="shared" ref="CM41:CM43" si="535">((BW41*CM$38)+(BW41*BY$38)+(BW41*BZ$38))*CH41</f>
        <v>0</v>
      </c>
      <c r="CN41" s="63">
        <f t="shared" ref="CN41:CN43" si="536">((BW41*CN$38)+(BW41*BY$38)+(BW41*BZ$38))*CI41</f>
        <v>0</v>
      </c>
      <c r="CO41" s="61">
        <f t="shared" ref="CO41:CO43" si="537">SUM(CJ41:CN41)</f>
        <v>0</v>
      </c>
      <c r="CP41" s="64">
        <v>0</v>
      </c>
      <c r="CQ41" s="65">
        <f>IF(BU41=1,($C$1*$W$6),0)</f>
        <v>0</v>
      </c>
      <c r="CR41" s="212">
        <f>CD41+CO41+CP41+CQ41</f>
        <v>3126.8886000000002</v>
      </c>
      <c r="CS41" s="49">
        <v>0</v>
      </c>
      <c r="CT41" s="59" t="s">
        <v>195</v>
      </c>
      <c r="CU41" s="28">
        <f>CV41/$AY$4</f>
        <v>10.340999999999999</v>
      </c>
      <c r="CV41" s="28">
        <v>2275.02</v>
      </c>
      <c r="CW41" s="28">
        <f t="shared" ref="CW41:CW43" si="538">CV41*CW$38</f>
        <v>227.50200000000001</v>
      </c>
      <c r="CX41" s="28">
        <f t="shared" ref="CX41:CX43" si="539">CV41*CX$38</f>
        <v>182.0016</v>
      </c>
      <c r="CY41" s="28">
        <f t="shared" ref="CY41:CY43" si="540">CV41/CY$38</f>
        <v>189.58500000000001</v>
      </c>
      <c r="CZ41" s="63">
        <f t="shared" ref="CZ41:CZ43" si="541">CY41/CZ$38</f>
        <v>63.195</v>
      </c>
      <c r="DA41" s="63">
        <f t="shared" ref="DA41:DA43" si="542">CV41/DA$38</f>
        <v>189.58500000000001</v>
      </c>
      <c r="DB41" s="61">
        <f>SUM(CV41:DA41)</f>
        <v>3126.8886000000002</v>
      </c>
      <c r="DC41" s="62"/>
      <c r="DD41" s="62"/>
      <c r="DE41" s="62"/>
      <c r="DF41" s="62"/>
      <c r="DG41" s="62"/>
      <c r="DH41" s="63">
        <f t="shared" ref="DH41:DH43" si="543">((CU41*DH$38)+(CU41*CW$38)+(CU41*CX$38))*DC41</f>
        <v>0</v>
      </c>
      <c r="DI41" s="63">
        <f t="shared" ref="DI41:DI43" si="544">((CU41*DI$38*DD41)+(CU41*CW$38)+(CU41*CX$38))*DD41</f>
        <v>0</v>
      </c>
      <c r="DJ41" s="63">
        <f t="shared" ref="DJ41:DJ43" si="545">((CU41*DJ$38)+(CU41*CW$38)+(CU41*CX$38))*DE41</f>
        <v>0</v>
      </c>
      <c r="DK41" s="63">
        <f t="shared" ref="DK41:DK43" si="546">((CU41*DK$38)+(CU41*CW$38)+(CU41*CX$38))*DF41</f>
        <v>0</v>
      </c>
      <c r="DL41" s="63">
        <f t="shared" ref="DL41:DL43" si="547">((CU41*DL$38)+(CU41*CW$38)+(CU41*CX$38))*DG41</f>
        <v>0</v>
      </c>
      <c r="DM41" s="61">
        <f t="shared" ref="DM41:DM43" si="548">SUM(DH41:DL41)</f>
        <v>0</v>
      </c>
      <c r="DN41" s="64">
        <v>0</v>
      </c>
      <c r="DO41" s="65">
        <f>IF(CS41=1,($C$1*$W$6),0)</f>
        <v>0</v>
      </c>
      <c r="DP41" s="212">
        <f>DB41+DM41+DN41+DO41</f>
        <v>3126.8886000000002</v>
      </c>
      <c r="DQ41" s="49">
        <v>0</v>
      </c>
      <c r="DR41" s="59" t="s">
        <v>195</v>
      </c>
      <c r="DS41" s="28">
        <f>DT41/$AY$4</f>
        <v>10.340999999999999</v>
      </c>
      <c r="DT41" s="28">
        <v>2275.02</v>
      </c>
      <c r="DU41" s="28">
        <f t="shared" ref="DU41:DU43" si="549">DT41*DU$38</f>
        <v>227.50200000000001</v>
      </c>
      <c r="DV41" s="28">
        <f t="shared" ref="DV41:DV43" si="550">DT41*DV$38</f>
        <v>182.0016</v>
      </c>
      <c r="DW41" s="28">
        <f t="shared" ref="DW41:DW43" si="551">DT41/DW$38</f>
        <v>189.58500000000001</v>
      </c>
      <c r="DX41" s="63">
        <f t="shared" ref="DX41:DX43" si="552">DW41/DX$38</f>
        <v>63.195</v>
      </c>
      <c r="DY41" s="63">
        <f t="shared" ref="DY41:DY43" si="553">DT41/DY$38</f>
        <v>189.58500000000001</v>
      </c>
      <c r="DZ41" s="61">
        <f>SUM(DT41:DY41)</f>
        <v>3126.8886000000002</v>
      </c>
      <c r="EA41" s="62"/>
      <c r="EB41" s="62"/>
      <c r="EC41" s="62"/>
      <c r="ED41" s="62"/>
      <c r="EE41" s="62"/>
      <c r="EF41" s="63">
        <f t="shared" ref="EF41:EF43" si="554">((DS41*EF$38)+(DS41*DU$38)+(DS41*DV$38))*EA41</f>
        <v>0</v>
      </c>
      <c r="EG41" s="63">
        <f t="shared" ref="EG41:EG43" si="555">((DS41*EG$38*EB41)+(DS41*DU$38)+(DS41*DV$38))*EB41</f>
        <v>0</v>
      </c>
      <c r="EH41" s="63">
        <f t="shared" ref="EH41:EH43" si="556">((DS41*EH$38)+(DS41*DU$38)+(DS41*DV$38))*EC41</f>
        <v>0</v>
      </c>
      <c r="EI41" s="63">
        <f t="shared" ref="EI41:EI43" si="557">((DS41*EI$38)+(DS41*DU$38)+(DS41*DV$38))*ED41</f>
        <v>0</v>
      </c>
      <c r="EJ41" s="63">
        <f t="shared" ref="EJ41:EJ43" si="558">((DS41*EJ$38)+(DS41*DU$38)+(DS41*DV$38))*EE41</f>
        <v>0</v>
      </c>
      <c r="EK41" s="61">
        <f t="shared" ref="EK41:EK43" si="559">SUM(EF41:EJ41)</f>
        <v>0</v>
      </c>
      <c r="EL41" s="64">
        <v>0</v>
      </c>
      <c r="EM41" s="65">
        <f>IF(DQ41=1,($C$1*$W$6),0)</f>
        <v>0</v>
      </c>
      <c r="EN41" s="212">
        <f>DZ41+EK41+EL41+EM41</f>
        <v>3126.8886000000002</v>
      </c>
      <c r="EO41" s="49">
        <v>0</v>
      </c>
      <c r="EP41" s="59" t="s">
        <v>195</v>
      </c>
      <c r="EQ41" s="28">
        <f>ER41/$AY$4</f>
        <v>10.340999999999999</v>
      </c>
      <c r="ER41" s="28">
        <v>2275.02</v>
      </c>
      <c r="ES41" s="28">
        <f t="shared" ref="ES41:ES43" si="560">ER41*ES$38</f>
        <v>227.50200000000001</v>
      </c>
      <c r="ET41" s="28">
        <f t="shared" ref="ET41:ET43" si="561">ER41*ET$38</f>
        <v>182.0016</v>
      </c>
      <c r="EU41" s="28">
        <f t="shared" ref="EU41:EU43" si="562">ER41/EU$38</f>
        <v>189.58500000000001</v>
      </c>
      <c r="EV41" s="63">
        <f t="shared" ref="EV41:EV43" si="563">EU41/EV$38</f>
        <v>63.195</v>
      </c>
      <c r="EW41" s="63">
        <f t="shared" ref="EW41:EW43" si="564">ER41/EW$38</f>
        <v>189.58500000000001</v>
      </c>
      <c r="EX41" s="61">
        <f>SUM(ER41:EW41)</f>
        <v>3126.8886000000002</v>
      </c>
      <c r="EY41" s="62"/>
      <c r="EZ41" s="62"/>
      <c r="FA41" s="62"/>
      <c r="FB41" s="62"/>
      <c r="FC41" s="62"/>
      <c r="FD41" s="63">
        <f t="shared" ref="FD41:FD43" si="565">((EQ41*FD$38)+(EQ41*ES$38)+(EQ41*ET$38))*EY41</f>
        <v>0</v>
      </c>
      <c r="FE41" s="63">
        <f t="shared" ref="FE41:FE43" si="566">((EQ41*FE$38*EZ41)+(EQ41*ES$38)+(EQ41*ET$38))*EZ41</f>
        <v>0</v>
      </c>
      <c r="FF41" s="63">
        <f t="shared" ref="FF41:FF43" si="567">((EQ41*FF$38)+(EQ41*ES$38)+(EQ41*ET$38))*FA41</f>
        <v>0</v>
      </c>
      <c r="FG41" s="63">
        <f t="shared" ref="FG41:FG43" si="568">((EQ41*FG$38)+(EQ41*ES$38)+(EQ41*ET$38))*FB41</f>
        <v>0</v>
      </c>
      <c r="FH41" s="63">
        <f t="shared" ref="FH41:FH43" si="569">((EQ41*FH$38)+(EQ41*ES$38)+(EQ41*ET$38))*FC41</f>
        <v>0</v>
      </c>
      <c r="FI41" s="61">
        <f t="shared" ref="FI41:FI43" si="570">SUM(FD41:FH41)</f>
        <v>0</v>
      </c>
      <c r="FJ41" s="64">
        <v>0</v>
      </c>
      <c r="FK41" s="65">
        <f>IF(EO41=1,($C$1*$W$6),0)</f>
        <v>0</v>
      </c>
      <c r="FL41" s="212">
        <f>EX41+FI41+FJ41+FK41</f>
        <v>3126.8886000000002</v>
      </c>
      <c r="FM41" s="49">
        <v>0</v>
      </c>
      <c r="FN41" s="59" t="s">
        <v>195</v>
      </c>
      <c r="FO41" s="28">
        <f>FP41/$AY$4</f>
        <v>10.340999999999999</v>
      </c>
      <c r="FP41" s="28">
        <v>2275.02</v>
      </c>
      <c r="FQ41" s="28">
        <f t="shared" ref="FQ41:FQ43" si="571">FP41*FQ$38</f>
        <v>227.50200000000001</v>
      </c>
      <c r="FR41" s="28">
        <f t="shared" ref="FR41:FR43" si="572">FP41*FR$38</f>
        <v>182.0016</v>
      </c>
      <c r="FS41" s="28">
        <f t="shared" ref="FS41:FS43" si="573">FP41/FS$38</f>
        <v>189.58500000000001</v>
      </c>
      <c r="FT41" s="63">
        <f t="shared" ref="FT41:FT43" si="574">FS41/FT$38</f>
        <v>63.195</v>
      </c>
      <c r="FU41" s="63">
        <f t="shared" ref="FU41:FU43" si="575">FP41/FU$38</f>
        <v>189.58500000000001</v>
      </c>
      <c r="FV41" s="61">
        <f>SUM(FP41:FU41)</f>
        <v>3126.8886000000002</v>
      </c>
      <c r="FW41" s="62"/>
      <c r="FX41" s="62"/>
      <c r="FY41" s="62"/>
      <c r="FZ41" s="62"/>
      <c r="GA41" s="62"/>
      <c r="GB41" s="63">
        <f t="shared" ref="GB41:GB43" si="576">((FO41*GB$38)+(FO41*FQ$38)+(FO41*FR$38))*FW41</f>
        <v>0</v>
      </c>
      <c r="GC41" s="63">
        <f t="shared" ref="GC41:GC43" si="577">((FO41*GC$38*FX41)+(FO41*FQ$38)+(FO41*FR$38))*FX41</f>
        <v>0</v>
      </c>
      <c r="GD41" s="63">
        <f t="shared" ref="GD41:GD43" si="578">((FO41*GD$38)+(FO41*FQ$38)+(FO41*FR$38))*FY41</f>
        <v>0</v>
      </c>
      <c r="GE41" s="63">
        <f t="shared" ref="GE41:GE43" si="579">((FO41*GE$38)+(FO41*FQ$38)+(FO41*FR$38))*FZ41</f>
        <v>0</v>
      </c>
      <c r="GF41" s="63">
        <f t="shared" ref="GF41:GF43" si="580">((FO41*GF$38)+(FO41*FQ$38)+(FO41*FR$38))*GA41</f>
        <v>0</v>
      </c>
      <c r="GG41" s="61">
        <f t="shared" ref="GG41:GG43" si="581">SUM(GB41:GF41)</f>
        <v>0</v>
      </c>
      <c r="GH41" s="64">
        <v>0</v>
      </c>
      <c r="GI41" s="65">
        <f>IF(FM41=1,($C$1*$W$6),0)</f>
        <v>0</v>
      </c>
      <c r="GJ41" s="212">
        <f>FV41+GG41+GH41+GI41</f>
        <v>3126.8886000000002</v>
      </c>
      <c r="GK41" s="49">
        <v>0</v>
      </c>
      <c r="GL41" s="59" t="s">
        <v>195</v>
      </c>
      <c r="GM41" s="28">
        <f>GN41/$AY$4</f>
        <v>10.340999999999999</v>
      </c>
      <c r="GN41" s="28">
        <v>2275.02</v>
      </c>
      <c r="GO41" s="28">
        <f t="shared" ref="GO41:GO43" si="582">GN41*GO$38</f>
        <v>227.50200000000001</v>
      </c>
      <c r="GP41" s="28">
        <f t="shared" ref="GP41:GP43" si="583">GN41*GP$38</f>
        <v>182.0016</v>
      </c>
      <c r="GQ41" s="28">
        <f t="shared" ref="GQ41:GQ43" si="584">GN41/GQ$38</f>
        <v>189.58500000000001</v>
      </c>
      <c r="GR41" s="63">
        <f t="shared" ref="GR41:GR43" si="585">GQ41/GR$38</f>
        <v>63.195</v>
      </c>
      <c r="GS41" s="63">
        <f t="shared" ref="GS41:GS43" si="586">GN41/GS$38</f>
        <v>189.58500000000001</v>
      </c>
      <c r="GT41" s="61">
        <f>SUM(GN41:GS41)</f>
        <v>3126.8886000000002</v>
      </c>
      <c r="GU41" s="62"/>
      <c r="GV41" s="62"/>
      <c r="GW41" s="62"/>
      <c r="GX41" s="62"/>
      <c r="GY41" s="62"/>
      <c r="GZ41" s="63">
        <f t="shared" ref="GZ41:GZ43" si="587">((GM41*GZ$38)+(GM41*GO$38)+(GM41*GP$38))*GU41</f>
        <v>0</v>
      </c>
      <c r="HA41" s="63">
        <f t="shared" ref="HA41:HA43" si="588">((GM41*HA$38*GV41)+(GM41*GO$38)+(GM41*GP$38))*GV41</f>
        <v>0</v>
      </c>
      <c r="HB41" s="63">
        <f t="shared" ref="HB41:HB43" si="589">((GM41*HB$38)+(GM41*GO$38)+(GM41*GP$38))*GW41</f>
        <v>0</v>
      </c>
      <c r="HC41" s="63">
        <f t="shared" ref="HC41:HC43" si="590">((GM41*HC$38)+(GM41*GO$38)+(GM41*GP$38))*GX41</f>
        <v>0</v>
      </c>
      <c r="HD41" s="63">
        <f t="shared" ref="HD41:HD43" si="591">((GM41*HD$38)+(GM41*GO$38)+(GM41*GP$38))*GY41</f>
        <v>0</v>
      </c>
      <c r="HE41" s="61">
        <f t="shared" ref="HE41:HE43" si="592">SUM(GZ41:HD41)</f>
        <v>0</v>
      </c>
      <c r="HF41" s="64">
        <v>0</v>
      </c>
      <c r="HG41" s="65">
        <f>IF(GK41=1,($C$1*$W$6),0)</f>
        <v>0</v>
      </c>
      <c r="HH41" s="212">
        <f>GT41+HE41+HF41+HG41</f>
        <v>3126.8886000000002</v>
      </c>
      <c r="HI41" s="49">
        <v>0</v>
      </c>
      <c r="HJ41" s="59" t="s">
        <v>195</v>
      </c>
      <c r="HK41" s="28">
        <f>HL41/$AY$4</f>
        <v>10.340999999999999</v>
      </c>
      <c r="HL41" s="28">
        <v>2275.02</v>
      </c>
      <c r="HM41" s="28">
        <f t="shared" ref="HM41:HM43" si="593">HL41*HM$38</f>
        <v>227.50200000000001</v>
      </c>
      <c r="HN41" s="28">
        <f t="shared" ref="HN41:HN43" si="594">HL41*HN$38</f>
        <v>182.0016</v>
      </c>
      <c r="HO41" s="28">
        <f t="shared" ref="HO41:HO43" si="595">HL41/HO$38</f>
        <v>189.58500000000001</v>
      </c>
      <c r="HP41" s="63">
        <f t="shared" ref="HP41:HP43" si="596">HO41/HP$38</f>
        <v>63.195</v>
      </c>
      <c r="HQ41" s="63">
        <f t="shared" ref="HQ41:HQ43" si="597">HL41/HQ$38</f>
        <v>189.58500000000001</v>
      </c>
      <c r="HR41" s="61">
        <f>SUM(HL41:HQ41)</f>
        <v>3126.8886000000002</v>
      </c>
      <c r="HS41" s="62"/>
      <c r="HT41" s="62"/>
      <c r="HU41" s="62"/>
      <c r="HV41" s="62"/>
      <c r="HW41" s="62"/>
      <c r="HX41" s="63">
        <f t="shared" ref="HX41:HX43" si="598">((HK41*HX$38)+(HK41*HM$38)+(HK41*HN$38))*HS41</f>
        <v>0</v>
      </c>
      <c r="HY41" s="63">
        <f t="shared" ref="HY41:HY43" si="599">((HK41*HY$38*HT41)+(HK41*HM$38)+(HK41*HN$38))*HT41</f>
        <v>0</v>
      </c>
      <c r="HZ41" s="63">
        <f t="shared" ref="HZ41:HZ43" si="600">((HK41*HZ$38)+(HK41*HM$38)+(HK41*HN$38))*HU41</f>
        <v>0</v>
      </c>
      <c r="IA41" s="63">
        <f t="shared" ref="IA41:IA43" si="601">((HK41*IA$38)+(HK41*HM$38)+(HK41*HN$38))*HV41</f>
        <v>0</v>
      </c>
      <c r="IB41" s="63">
        <f t="shared" ref="IB41:IB43" si="602">((HK41*IB$38)+(HK41*HM$38)+(HK41*HN$38))*HW41</f>
        <v>0</v>
      </c>
      <c r="IC41" s="61">
        <f t="shared" ref="IC41:IC43" si="603">SUM(HX41:IB41)</f>
        <v>0</v>
      </c>
      <c r="ID41" s="64">
        <v>0</v>
      </c>
      <c r="IE41" s="65">
        <f>IF(HI41=1,($C$1*$W$6),0)</f>
        <v>0</v>
      </c>
      <c r="IF41" s="212">
        <f>HR41+IC41+ID41+IE41</f>
        <v>3126.8886000000002</v>
      </c>
      <c r="IG41" s="49">
        <v>0</v>
      </c>
      <c r="IH41" s="59" t="s">
        <v>195</v>
      </c>
      <c r="II41" s="28">
        <f>IJ41/$AY$4</f>
        <v>10.340999999999999</v>
      </c>
      <c r="IJ41" s="28">
        <v>2275.02</v>
      </c>
      <c r="IK41" s="28">
        <f>IJ41*IK$38</f>
        <v>227.50200000000001</v>
      </c>
      <c r="IL41" s="28">
        <f>IJ41*IL$38</f>
        <v>182.0016</v>
      </c>
      <c r="IM41" s="28">
        <f>IJ41/IM$38</f>
        <v>189.58500000000001</v>
      </c>
      <c r="IN41" s="63">
        <f>IM41/IN$38</f>
        <v>63.195</v>
      </c>
      <c r="IO41" s="63">
        <f>IJ41/IO$38</f>
        <v>189.58500000000001</v>
      </c>
      <c r="IP41" s="61">
        <f>SUM(IJ41:IO41)</f>
        <v>3126.8886000000002</v>
      </c>
      <c r="IQ41" s="62"/>
      <c r="IR41" s="62"/>
      <c r="IS41" s="62"/>
      <c r="IT41" s="62"/>
      <c r="IU41" s="62"/>
      <c r="IV41" s="63">
        <f>((II41*IV$38)+(II41*IK$38)+(II41*IL$38))*IQ41</f>
        <v>0</v>
      </c>
      <c r="IW41" s="63">
        <f>((II41*IW$38*IR41)+(II41*IK$38)+(II41*IL$38))*IR41</f>
        <v>0</v>
      </c>
      <c r="IX41" s="63">
        <f>((II41*IX$38)+(II41*IK$38)+(II41*IL$38))*IS41</f>
        <v>0</v>
      </c>
      <c r="IY41" s="63">
        <f>((II41*IY$38)+(II41*IK$38)+(II41*IL$38))*IT41</f>
        <v>0</v>
      </c>
      <c r="IZ41" s="63">
        <f>((II41*IZ$38)+(II41*IK$38)+(II41*IL$38))*IU41</f>
        <v>0</v>
      </c>
      <c r="JA41" s="61">
        <f t="shared" ref="JA41:JA43" si="604">SUM(IV41:IZ41)</f>
        <v>0</v>
      </c>
      <c r="JB41" s="64">
        <v>0</v>
      </c>
      <c r="JC41" s="65">
        <f>IF(IG41=1,($C$1*$W$6),0)</f>
        <v>0</v>
      </c>
      <c r="JD41" s="476">
        <f>IP41+JA41+JB41+JC41</f>
        <v>3126.8886000000002</v>
      </c>
      <c r="JE41" s="49">
        <v>0</v>
      </c>
      <c r="JF41" s="59" t="s">
        <v>195</v>
      </c>
      <c r="JG41" s="28">
        <f>JH41/$AY$4</f>
        <v>10.340999999999999</v>
      </c>
      <c r="JH41" s="28">
        <v>2275.02</v>
      </c>
      <c r="JI41" s="28">
        <f>JH41*JI$38</f>
        <v>227.50200000000001</v>
      </c>
      <c r="JJ41" s="28">
        <f>JH41*JJ$38</f>
        <v>182.0016</v>
      </c>
      <c r="JK41" s="28">
        <f>JH41/JK$38</f>
        <v>189.58500000000001</v>
      </c>
      <c r="JL41" s="63">
        <f>JK41/JL$38</f>
        <v>63.195</v>
      </c>
      <c r="JM41" s="63">
        <f>JH41/JM$38</f>
        <v>189.58500000000001</v>
      </c>
      <c r="JN41" s="61">
        <f>SUM(JH41:JM41)</f>
        <v>3126.8886000000002</v>
      </c>
      <c r="JO41" s="62"/>
      <c r="JP41" s="62"/>
      <c r="JQ41" s="62"/>
      <c r="JR41" s="62"/>
      <c r="JS41" s="62"/>
      <c r="JT41" s="63">
        <f>((JG41*JT$38)+(JG41*JI$38)+(JG41*JJ$38))*JO41</f>
        <v>0</v>
      </c>
      <c r="JU41" s="63">
        <f>((JG41*JU$38*JP41)+(JG41*JI$38)+(JG41*JJ$38))*JP41</f>
        <v>0</v>
      </c>
      <c r="JV41" s="63">
        <f>((JG41*JV$38)+(JG41*JI$38)+(JG41*JJ$38))*JQ41</f>
        <v>0</v>
      </c>
      <c r="JW41" s="63">
        <f>((JG41*JW$38)+(JG41*JI$38)+(JG41*JJ$38))*JR41</f>
        <v>0</v>
      </c>
      <c r="JX41" s="63">
        <f>((JG41*JX$38)+(JG41*JI$38)+(JG41*JJ$38))*JS41</f>
        <v>0</v>
      </c>
      <c r="JY41" s="61">
        <f t="shared" ref="JY41:JY43" si="605">SUM(JT41:JX41)</f>
        <v>0</v>
      </c>
      <c r="JZ41" s="64">
        <v>0</v>
      </c>
      <c r="KA41" s="65">
        <f>IF(JE41=1,($C$1*$W$6),0)</f>
        <v>0</v>
      </c>
      <c r="KB41" s="476">
        <f>JN41+JY41+JZ41+KA41</f>
        <v>3126.8886000000002</v>
      </c>
      <c r="KC41" s="37"/>
      <c r="KD41" s="37"/>
      <c r="KE41" s="37"/>
      <c r="KF41" s="37"/>
      <c r="KG41" s="37"/>
      <c r="KH41" s="37"/>
      <c r="KI41" s="37"/>
      <c r="KJ41" s="37"/>
    </row>
    <row r="42" spans="1:296" x14ac:dyDescent="0.3">
      <c r="A42" s="49">
        <v>0</v>
      </c>
      <c r="B42" s="59"/>
      <c r="C42" s="28">
        <f>D42/$AY$4</f>
        <v>0</v>
      </c>
      <c r="D42" s="28">
        <v>0</v>
      </c>
      <c r="E42" s="28">
        <f t="shared" si="494"/>
        <v>0</v>
      </c>
      <c r="F42" s="28">
        <f t="shared" si="495"/>
        <v>0</v>
      </c>
      <c r="G42" s="28">
        <f t="shared" si="496"/>
        <v>0</v>
      </c>
      <c r="H42" s="63">
        <f t="shared" si="497"/>
        <v>0</v>
      </c>
      <c r="I42" s="63">
        <f t="shared" si="498"/>
        <v>0</v>
      </c>
      <c r="J42" s="61">
        <f>SUM(D42:I42)</f>
        <v>0</v>
      </c>
      <c r="K42" s="62"/>
      <c r="L42" s="62"/>
      <c r="M42" s="62"/>
      <c r="N42" s="62"/>
      <c r="O42" s="62"/>
      <c r="P42" s="63">
        <f t="shared" si="499"/>
        <v>0</v>
      </c>
      <c r="Q42" s="63">
        <f t="shared" si="500"/>
        <v>0</v>
      </c>
      <c r="R42" s="63">
        <f t="shared" si="501"/>
        <v>0</v>
      </c>
      <c r="S42" s="63">
        <f t="shared" si="502"/>
        <v>0</v>
      </c>
      <c r="T42" s="63">
        <f t="shared" si="503"/>
        <v>0</v>
      </c>
      <c r="U42" s="61">
        <f t="shared" si="504"/>
        <v>0</v>
      </c>
      <c r="V42" s="64">
        <v>0</v>
      </c>
      <c r="W42" s="65">
        <f>IF(A42=1,($C$1*$W$6),0)</f>
        <v>0</v>
      </c>
      <c r="X42" s="212">
        <f>J42+U42+V42+W42</f>
        <v>0</v>
      </c>
      <c r="Y42" s="49">
        <v>0</v>
      </c>
      <c r="Z42" s="59"/>
      <c r="AA42" s="28">
        <f>AB42/$AY$4</f>
        <v>0</v>
      </c>
      <c r="AB42" s="28">
        <v>0</v>
      </c>
      <c r="AC42" s="28">
        <f t="shared" si="505"/>
        <v>0</v>
      </c>
      <c r="AD42" s="28">
        <f t="shared" si="506"/>
        <v>0</v>
      </c>
      <c r="AE42" s="28">
        <f t="shared" si="507"/>
        <v>0</v>
      </c>
      <c r="AF42" s="63">
        <f t="shared" si="508"/>
        <v>0</v>
      </c>
      <c r="AG42" s="63">
        <f t="shared" si="509"/>
        <v>0</v>
      </c>
      <c r="AH42" s="61">
        <f>SUM(AB42:AG42)</f>
        <v>0</v>
      </c>
      <c r="AI42" s="62"/>
      <c r="AJ42" s="62"/>
      <c r="AK42" s="62"/>
      <c r="AL42" s="62"/>
      <c r="AM42" s="62"/>
      <c r="AN42" s="63">
        <f t="shared" si="510"/>
        <v>0</v>
      </c>
      <c r="AO42" s="63">
        <f t="shared" si="511"/>
        <v>0</v>
      </c>
      <c r="AP42" s="63">
        <f t="shared" si="512"/>
        <v>0</v>
      </c>
      <c r="AQ42" s="63">
        <f t="shared" si="513"/>
        <v>0</v>
      </c>
      <c r="AR42" s="63">
        <f t="shared" si="514"/>
        <v>0</v>
      </c>
      <c r="AS42" s="61">
        <f t="shared" si="515"/>
        <v>0</v>
      </c>
      <c r="AT42" s="64">
        <v>0</v>
      </c>
      <c r="AU42" s="65">
        <f>IF(Y42=1,($C$1*$W$6),0)</f>
        <v>0</v>
      </c>
      <c r="AV42" s="212">
        <f>AH42+AS42+AT42+AU42</f>
        <v>0</v>
      </c>
      <c r="AW42" s="49">
        <v>0</v>
      </c>
      <c r="AX42" s="59"/>
      <c r="AY42" s="28">
        <f>AZ42/$AY$4</f>
        <v>0</v>
      </c>
      <c r="AZ42" s="28">
        <v>0</v>
      </c>
      <c r="BA42" s="28">
        <f t="shared" si="516"/>
        <v>0</v>
      </c>
      <c r="BB42" s="28">
        <f t="shared" si="517"/>
        <v>0</v>
      </c>
      <c r="BC42" s="28">
        <f t="shared" si="518"/>
        <v>0</v>
      </c>
      <c r="BD42" s="63">
        <f t="shared" si="519"/>
        <v>0</v>
      </c>
      <c r="BE42" s="63">
        <f t="shared" si="520"/>
        <v>0</v>
      </c>
      <c r="BF42" s="61">
        <f>SUM(AZ42:BE42)</f>
        <v>0</v>
      </c>
      <c r="BG42" s="62"/>
      <c r="BH42" s="62"/>
      <c r="BI42" s="62"/>
      <c r="BJ42" s="62"/>
      <c r="BK42" s="62"/>
      <c r="BL42" s="63">
        <f t="shared" si="521"/>
        <v>0</v>
      </c>
      <c r="BM42" s="63">
        <f t="shared" si="522"/>
        <v>0</v>
      </c>
      <c r="BN42" s="63">
        <f t="shared" si="523"/>
        <v>0</v>
      </c>
      <c r="BO42" s="63">
        <f t="shared" si="524"/>
        <v>0</v>
      </c>
      <c r="BP42" s="63">
        <f t="shared" si="525"/>
        <v>0</v>
      </c>
      <c r="BQ42" s="61">
        <f t="shared" si="526"/>
        <v>0</v>
      </c>
      <c r="BR42" s="64">
        <v>0</v>
      </c>
      <c r="BS42" s="65">
        <f>IF(AW42=1,($C$1*$W$6),0)</f>
        <v>0</v>
      </c>
      <c r="BT42" s="212">
        <f>BF42+BQ42+BR42+BS42</f>
        <v>0</v>
      </c>
      <c r="BU42" s="49">
        <v>0</v>
      </c>
      <c r="BV42" s="59"/>
      <c r="BW42" s="28">
        <f>BX42/$AY$4</f>
        <v>0</v>
      </c>
      <c r="BX42" s="28">
        <v>0</v>
      </c>
      <c r="BY42" s="28">
        <f t="shared" si="527"/>
        <v>0</v>
      </c>
      <c r="BZ42" s="28">
        <f t="shared" si="528"/>
        <v>0</v>
      </c>
      <c r="CA42" s="28">
        <f t="shared" si="529"/>
        <v>0</v>
      </c>
      <c r="CB42" s="63">
        <f t="shared" si="530"/>
        <v>0</v>
      </c>
      <c r="CC42" s="63">
        <f t="shared" si="531"/>
        <v>0</v>
      </c>
      <c r="CD42" s="61">
        <f>SUM(BX42:CC42)</f>
        <v>0</v>
      </c>
      <c r="CE42" s="62"/>
      <c r="CF42" s="62"/>
      <c r="CG42" s="62"/>
      <c r="CH42" s="62"/>
      <c r="CI42" s="62"/>
      <c r="CJ42" s="63">
        <f t="shared" si="532"/>
        <v>0</v>
      </c>
      <c r="CK42" s="63">
        <f t="shared" si="533"/>
        <v>0</v>
      </c>
      <c r="CL42" s="63">
        <f t="shared" si="534"/>
        <v>0</v>
      </c>
      <c r="CM42" s="63">
        <f t="shared" si="535"/>
        <v>0</v>
      </c>
      <c r="CN42" s="63">
        <f t="shared" si="536"/>
        <v>0</v>
      </c>
      <c r="CO42" s="61">
        <f t="shared" si="537"/>
        <v>0</v>
      </c>
      <c r="CP42" s="64">
        <v>0</v>
      </c>
      <c r="CQ42" s="65">
        <f>IF(BU42=1,($C$1*$W$6),0)</f>
        <v>0</v>
      </c>
      <c r="CR42" s="212">
        <f>CD42+CO42+CP42+CQ42</f>
        <v>0</v>
      </c>
      <c r="CS42" s="49">
        <v>0</v>
      </c>
      <c r="CT42" s="59"/>
      <c r="CU42" s="28">
        <f>CV42/$AY$4</f>
        <v>0</v>
      </c>
      <c r="CV42" s="28">
        <v>0</v>
      </c>
      <c r="CW42" s="28">
        <f t="shared" si="538"/>
        <v>0</v>
      </c>
      <c r="CX42" s="28">
        <f t="shared" si="539"/>
        <v>0</v>
      </c>
      <c r="CY42" s="28">
        <f t="shared" si="540"/>
        <v>0</v>
      </c>
      <c r="CZ42" s="63">
        <f t="shared" si="541"/>
        <v>0</v>
      </c>
      <c r="DA42" s="63">
        <f t="shared" si="542"/>
        <v>0</v>
      </c>
      <c r="DB42" s="61">
        <f>SUM(CV42:DA42)</f>
        <v>0</v>
      </c>
      <c r="DC42" s="62"/>
      <c r="DD42" s="62"/>
      <c r="DE42" s="62"/>
      <c r="DF42" s="62"/>
      <c r="DG42" s="62"/>
      <c r="DH42" s="63">
        <f t="shared" si="543"/>
        <v>0</v>
      </c>
      <c r="DI42" s="63">
        <f t="shared" si="544"/>
        <v>0</v>
      </c>
      <c r="DJ42" s="63">
        <f t="shared" si="545"/>
        <v>0</v>
      </c>
      <c r="DK42" s="63">
        <f t="shared" si="546"/>
        <v>0</v>
      </c>
      <c r="DL42" s="63">
        <f t="shared" si="547"/>
        <v>0</v>
      </c>
      <c r="DM42" s="61">
        <f t="shared" si="548"/>
        <v>0</v>
      </c>
      <c r="DN42" s="64">
        <v>0</v>
      </c>
      <c r="DO42" s="65">
        <f>IF(CS42=1,($C$1*$W$6),0)</f>
        <v>0</v>
      </c>
      <c r="DP42" s="212">
        <f>DB42+DM42+DN42+DO42</f>
        <v>0</v>
      </c>
      <c r="DQ42" s="49">
        <v>0</v>
      </c>
      <c r="DR42" s="59"/>
      <c r="DS42" s="28">
        <f>DT42/$AY$4</f>
        <v>0</v>
      </c>
      <c r="DT42" s="28">
        <v>0</v>
      </c>
      <c r="DU42" s="28">
        <f t="shared" si="549"/>
        <v>0</v>
      </c>
      <c r="DV42" s="28">
        <f t="shared" si="550"/>
        <v>0</v>
      </c>
      <c r="DW42" s="28">
        <f t="shared" si="551"/>
        <v>0</v>
      </c>
      <c r="DX42" s="63">
        <f t="shared" si="552"/>
        <v>0</v>
      </c>
      <c r="DY42" s="63">
        <f t="shared" si="553"/>
        <v>0</v>
      </c>
      <c r="DZ42" s="61">
        <f>SUM(DT42:DY42)</f>
        <v>0</v>
      </c>
      <c r="EA42" s="62"/>
      <c r="EB42" s="62"/>
      <c r="EC42" s="62"/>
      <c r="ED42" s="62"/>
      <c r="EE42" s="62"/>
      <c r="EF42" s="63">
        <f t="shared" si="554"/>
        <v>0</v>
      </c>
      <c r="EG42" s="63">
        <f t="shared" si="555"/>
        <v>0</v>
      </c>
      <c r="EH42" s="63">
        <f t="shared" si="556"/>
        <v>0</v>
      </c>
      <c r="EI42" s="63">
        <f t="shared" si="557"/>
        <v>0</v>
      </c>
      <c r="EJ42" s="63">
        <f t="shared" si="558"/>
        <v>0</v>
      </c>
      <c r="EK42" s="61">
        <f t="shared" si="559"/>
        <v>0</v>
      </c>
      <c r="EL42" s="64">
        <v>0</v>
      </c>
      <c r="EM42" s="65">
        <f>IF(DQ42=1,($C$1*$W$6),0)</f>
        <v>0</v>
      </c>
      <c r="EN42" s="212">
        <f>DZ42+EK42+EL42+EM42</f>
        <v>0</v>
      </c>
      <c r="EO42" s="49">
        <v>0</v>
      </c>
      <c r="EP42" s="59"/>
      <c r="EQ42" s="28">
        <f>ER42/$AY$4</f>
        <v>0</v>
      </c>
      <c r="ER42" s="28">
        <v>0</v>
      </c>
      <c r="ES42" s="28">
        <f t="shared" si="560"/>
        <v>0</v>
      </c>
      <c r="ET42" s="28">
        <f t="shared" si="561"/>
        <v>0</v>
      </c>
      <c r="EU42" s="28">
        <f t="shared" si="562"/>
        <v>0</v>
      </c>
      <c r="EV42" s="63">
        <f t="shared" si="563"/>
        <v>0</v>
      </c>
      <c r="EW42" s="63">
        <f t="shared" si="564"/>
        <v>0</v>
      </c>
      <c r="EX42" s="61">
        <f>SUM(ER42:EW42)</f>
        <v>0</v>
      </c>
      <c r="EY42" s="62"/>
      <c r="EZ42" s="62"/>
      <c r="FA42" s="62"/>
      <c r="FB42" s="62"/>
      <c r="FC42" s="62"/>
      <c r="FD42" s="63">
        <f t="shared" si="565"/>
        <v>0</v>
      </c>
      <c r="FE42" s="63">
        <f t="shared" si="566"/>
        <v>0</v>
      </c>
      <c r="FF42" s="63">
        <f t="shared" si="567"/>
        <v>0</v>
      </c>
      <c r="FG42" s="63">
        <f t="shared" si="568"/>
        <v>0</v>
      </c>
      <c r="FH42" s="63">
        <f t="shared" si="569"/>
        <v>0</v>
      </c>
      <c r="FI42" s="61">
        <f t="shared" si="570"/>
        <v>0</v>
      </c>
      <c r="FJ42" s="64">
        <v>0</v>
      </c>
      <c r="FK42" s="65">
        <f>IF(EO42=1,($C$1*$W$6),0)</f>
        <v>0</v>
      </c>
      <c r="FL42" s="212">
        <f>EX42+FI42+FJ42+FK42</f>
        <v>0</v>
      </c>
      <c r="FM42" s="49">
        <v>0</v>
      </c>
      <c r="FN42" s="59"/>
      <c r="FO42" s="28">
        <f>FP42/$AY$4</f>
        <v>0</v>
      </c>
      <c r="FP42" s="28">
        <v>0</v>
      </c>
      <c r="FQ42" s="28">
        <f t="shared" si="571"/>
        <v>0</v>
      </c>
      <c r="FR42" s="28">
        <f t="shared" si="572"/>
        <v>0</v>
      </c>
      <c r="FS42" s="28">
        <f t="shared" si="573"/>
        <v>0</v>
      </c>
      <c r="FT42" s="63">
        <f t="shared" si="574"/>
        <v>0</v>
      </c>
      <c r="FU42" s="63">
        <f t="shared" si="575"/>
        <v>0</v>
      </c>
      <c r="FV42" s="61">
        <f>SUM(FP42:FU42)</f>
        <v>0</v>
      </c>
      <c r="FW42" s="62"/>
      <c r="FX42" s="62"/>
      <c r="FY42" s="62"/>
      <c r="FZ42" s="62"/>
      <c r="GA42" s="62"/>
      <c r="GB42" s="63">
        <f t="shared" si="576"/>
        <v>0</v>
      </c>
      <c r="GC42" s="63">
        <f t="shared" si="577"/>
        <v>0</v>
      </c>
      <c r="GD42" s="63">
        <f t="shared" si="578"/>
        <v>0</v>
      </c>
      <c r="GE42" s="63">
        <f t="shared" si="579"/>
        <v>0</v>
      </c>
      <c r="GF42" s="63">
        <f t="shared" si="580"/>
        <v>0</v>
      </c>
      <c r="GG42" s="61">
        <f t="shared" si="581"/>
        <v>0</v>
      </c>
      <c r="GH42" s="64">
        <v>0</v>
      </c>
      <c r="GI42" s="65">
        <f>IF(FM42=1,($C$1*$W$6),0)</f>
        <v>0</v>
      </c>
      <c r="GJ42" s="212">
        <f>FV42+GG42+GH42+GI42</f>
        <v>0</v>
      </c>
      <c r="GK42" s="49">
        <v>0</v>
      </c>
      <c r="GL42" s="59"/>
      <c r="GM42" s="28">
        <f>GN42/$AY$4</f>
        <v>0</v>
      </c>
      <c r="GN42" s="28">
        <v>0</v>
      </c>
      <c r="GO42" s="28">
        <f t="shared" si="582"/>
        <v>0</v>
      </c>
      <c r="GP42" s="28">
        <f t="shared" si="583"/>
        <v>0</v>
      </c>
      <c r="GQ42" s="28">
        <f t="shared" si="584"/>
        <v>0</v>
      </c>
      <c r="GR42" s="63">
        <f t="shared" si="585"/>
        <v>0</v>
      </c>
      <c r="GS42" s="63">
        <f t="shared" si="586"/>
        <v>0</v>
      </c>
      <c r="GT42" s="61">
        <f>SUM(GN42:GS42)</f>
        <v>0</v>
      </c>
      <c r="GU42" s="62"/>
      <c r="GV42" s="62"/>
      <c r="GW42" s="62"/>
      <c r="GX42" s="62"/>
      <c r="GY42" s="62"/>
      <c r="GZ42" s="63">
        <f t="shared" si="587"/>
        <v>0</v>
      </c>
      <c r="HA42" s="63">
        <f t="shared" si="588"/>
        <v>0</v>
      </c>
      <c r="HB42" s="63">
        <f t="shared" si="589"/>
        <v>0</v>
      </c>
      <c r="HC42" s="63">
        <f t="shared" si="590"/>
        <v>0</v>
      </c>
      <c r="HD42" s="63">
        <f t="shared" si="591"/>
        <v>0</v>
      </c>
      <c r="HE42" s="61">
        <f t="shared" si="592"/>
        <v>0</v>
      </c>
      <c r="HF42" s="64">
        <v>0</v>
      </c>
      <c r="HG42" s="65">
        <f>IF(GK42=1,($C$1*$W$6),0)</f>
        <v>0</v>
      </c>
      <c r="HH42" s="212">
        <f>GT42+HE42+HF42+HG42</f>
        <v>0</v>
      </c>
      <c r="HI42" s="49">
        <v>0</v>
      </c>
      <c r="HJ42" s="59"/>
      <c r="HK42" s="28">
        <f>HL42/$AY$4</f>
        <v>0</v>
      </c>
      <c r="HL42" s="28">
        <v>0</v>
      </c>
      <c r="HM42" s="28">
        <f t="shared" si="593"/>
        <v>0</v>
      </c>
      <c r="HN42" s="28">
        <f t="shared" si="594"/>
        <v>0</v>
      </c>
      <c r="HO42" s="28">
        <f t="shared" si="595"/>
        <v>0</v>
      </c>
      <c r="HP42" s="63">
        <f t="shared" si="596"/>
        <v>0</v>
      </c>
      <c r="HQ42" s="63">
        <f t="shared" si="597"/>
        <v>0</v>
      </c>
      <c r="HR42" s="61">
        <f>SUM(HL42:HQ42)</f>
        <v>0</v>
      </c>
      <c r="HS42" s="62"/>
      <c r="HT42" s="62"/>
      <c r="HU42" s="62"/>
      <c r="HV42" s="62"/>
      <c r="HW42" s="62"/>
      <c r="HX42" s="63">
        <f t="shared" si="598"/>
        <v>0</v>
      </c>
      <c r="HY42" s="63">
        <f t="shared" si="599"/>
        <v>0</v>
      </c>
      <c r="HZ42" s="63">
        <f t="shared" si="600"/>
        <v>0</v>
      </c>
      <c r="IA42" s="63">
        <f t="shared" si="601"/>
        <v>0</v>
      </c>
      <c r="IB42" s="63">
        <f t="shared" si="602"/>
        <v>0</v>
      </c>
      <c r="IC42" s="61">
        <f t="shared" si="603"/>
        <v>0</v>
      </c>
      <c r="ID42" s="64">
        <v>0</v>
      </c>
      <c r="IE42" s="65">
        <f>IF(HI42=1,($C$1*$W$6),0)</f>
        <v>0</v>
      </c>
      <c r="IF42" s="212">
        <f>HR42+IC42+ID42+IE42</f>
        <v>0</v>
      </c>
      <c r="IG42" s="49">
        <v>0</v>
      </c>
      <c r="IH42" s="59"/>
      <c r="II42" s="28">
        <f>IJ42/$AY$4</f>
        <v>0</v>
      </c>
      <c r="IJ42" s="28">
        <v>0</v>
      </c>
      <c r="IK42" s="28">
        <f>IJ42*IK$38</f>
        <v>0</v>
      </c>
      <c r="IL42" s="28">
        <f>IJ42*IL$38</f>
        <v>0</v>
      </c>
      <c r="IM42" s="28">
        <f>IJ42/IM$38</f>
        <v>0</v>
      </c>
      <c r="IN42" s="63">
        <f>IM42/IN$38</f>
        <v>0</v>
      </c>
      <c r="IO42" s="63">
        <f>IJ42/IO$38</f>
        <v>0</v>
      </c>
      <c r="IP42" s="61">
        <f>SUM(IJ42:IO42)</f>
        <v>0</v>
      </c>
      <c r="IQ42" s="62"/>
      <c r="IR42" s="62"/>
      <c r="IS42" s="62"/>
      <c r="IT42" s="62"/>
      <c r="IU42" s="62"/>
      <c r="IV42" s="63">
        <f>((II42*IV$38)+(II42*IK$38)+(II42*IL$38))*IQ42</f>
        <v>0</v>
      </c>
      <c r="IW42" s="63">
        <f>((II42*IW$38*IR42)+(II42*IK$38)+(II42*IL$38))*IR42</f>
        <v>0</v>
      </c>
      <c r="IX42" s="63">
        <f>((II42*IX$38)+(II42*IK$38)+(II42*IL$38))*IS42</f>
        <v>0</v>
      </c>
      <c r="IY42" s="63">
        <f>((II42*IY$38)+(II42*IK$38)+(II42*IL$38))*IT42</f>
        <v>0</v>
      </c>
      <c r="IZ42" s="63">
        <f>((II42*IZ$38)+(II42*IK$38)+(II42*IL$38))*IU42</f>
        <v>0</v>
      </c>
      <c r="JA42" s="61">
        <f t="shared" si="604"/>
        <v>0</v>
      </c>
      <c r="JB42" s="64">
        <v>0</v>
      </c>
      <c r="JC42" s="65">
        <f>IF(IG42=1,($C$1*$W$6),0)</f>
        <v>0</v>
      </c>
      <c r="JD42" s="476">
        <f>IP42+JA42+JB42+JC42</f>
        <v>0</v>
      </c>
      <c r="JE42" s="49">
        <v>0</v>
      </c>
      <c r="JF42" s="59"/>
      <c r="JG42" s="28">
        <f>JH42/$AY$4</f>
        <v>0</v>
      </c>
      <c r="JH42" s="28">
        <v>0</v>
      </c>
      <c r="JI42" s="28">
        <f>JH42*JI$38</f>
        <v>0</v>
      </c>
      <c r="JJ42" s="28">
        <f>JH42*JJ$38</f>
        <v>0</v>
      </c>
      <c r="JK42" s="28">
        <f>JH42/JK$38</f>
        <v>0</v>
      </c>
      <c r="JL42" s="63">
        <f>JK42/JL$38</f>
        <v>0</v>
      </c>
      <c r="JM42" s="63">
        <f>JH42/JM$38</f>
        <v>0</v>
      </c>
      <c r="JN42" s="61">
        <f>SUM(JH42:JM42)</f>
        <v>0</v>
      </c>
      <c r="JO42" s="62"/>
      <c r="JP42" s="62"/>
      <c r="JQ42" s="62"/>
      <c r="JR42" s="62"/>
      <c r="JS42" s="62"/>
      <c r="JT42" s="63">
        <f>((JG42*JT$38)+(JG42*JI$38)+(JG42*JJ$38))*JO42</f>
        <v>0</v>
      </c>
      <c r="JU42" s="63">
        <f>((JG42*JU$38*JP42)+(JG42*JI$38)+(JG42*JJ$38))*JP42</f>
        <v>0</v>
      </c>
      <c r="JV42" s="63">
        <f>((JG42*JV$38)+(JG42*JI$38)+(JG42*JJ$38))*JQ42</f>
        <v>0</v>
      </c>
      <c r="JW42" s="63">
        <f>((JG42*JW$38)+(JG42*JI$38)+(JG42*JJ$38))*JR42</f>
        <v>0</v>
      </c>
      <c r="JX42" s="63">
        <f>((JG42*JX$38)+(JG42*JI$38)+(JG42*JJ$38))*JS42</f>
        <v>0</v>
      </c>
      <c r="JY42" s="61">
        <f t="shared" si="605"/>
        <v>0</v>
      </c>
      <c r="JZ42" s="64">
        <v>0</v>
      </c>
      <c r="KA42" s="65">
        <f>IF(JE42=1,($C$1*$W$6),0)</f>
        <v>0</v>
      </c>
      <c r="KB42" s="476">
        <f>JN42+JY42+JZ42+KA42</f>
        <v>0</v>
      </c>
      <c r="KC42" s="37"/>
      <c r="KD42" s="37"/>
      <c r="KE42" s="37"/>
      <c r="KF42" s="37"/>
      <c r="KG42" s="37"/>
      <c r="KH42" s="37"/>
      <c r="KI42" s="37"/>
      <c r="KJ42" s="37"/>
    </row>
    <row r="43" spans="1:296" x14ac:dyDescent="0.3">
      <c r="A43" s="49">
        <v>0</v>
      </c>
      <c r="B43" s="59"/>
      <c r="C43" s="28">
        <f>D43/$AY$4</f>
        <v>0</v>
      </c>
      <c r="D43" s="28">
        <v>0</v>
      </c>
      <c r="E43" s="28">
        <f t="shared" si="494"/>
        <v>0</v>
      </c>
      <c r="F43" s="28">
        <f t="shared" si="495"/>
        <v>0</v>
      </c>
      <c r="G43" s="28">
        <f t="shared" si="496"/>
        <v>0</v>
      </c>
      <c r="H43" s="63">
        <f t="shared" si="497"/>
        <v>0</v>
      </c>
      <c r="I43" s="63">
        <f t="shared" si="498"/>
        <v>0</v>
      </c>
      <c r="J43" s="61">
        <f>SUM(D43:I43)</f>
        <v>0</v>
      </c>
      <c r="K43" s="62"/>
      <c r="L43" s="62"/>
      <c r="M43" s="62"/>
      <c r="N43" s="62"/>
      <c r="O43" s="62"/>
      <c r="P43" s="63">
        <f t="shared" si="499"/>
        <v>0</v>
      </c>
      <c r="Q43" s="63">
        <f t="shared" si="500"/>
        <v>0</v>
      </c>
      <c r="R43" s="63">
        <f t="shared" si="501"/>
        <v>0</v>
      </c>
      <c r="S43" s="63">
        <f t="shared" si="502"/>
        <v>0</v>
      </c>
      <c r="T43" s="63">
        <f t="shared" si="503"/>
        <v>0</v>
      </c>
      <c r="U43" s="61">
        <f t="shared" si="504"/>
        <v>0</v>
      </c>
      <c r="V43" s="64">
        <v>0</v>
      </c>
      <c r="W43" s="65">
        <f>IF(A43=1,($C$1*$W$6),0)</f>
        <v>0</v>
      </c>
      <c r="X43" s="212">
        <f>J43+U43+V43+W43</f>
        <v>0</v>
      </c>
      <c r="Y43" s="49">
        <v>0</v>
      </c>
      <c r="Z43" s="59"/>
      <c r="AA43" s="28">
        <f>AB43/$AY$4</f>
        <v>0</v>
      </c>
      <c r="AB43" s="28">
        <v>0</v>
      </c>
      <c r="AC43" s="28">
        <f t="shared" si="505"/>
        <v>0</v>
      </c>
      <c r="AD43" s="28">
        <f t="shared" si="506"/>
        <v>0</v>
      </c>
      <c r="AE43" s="28">
        <f t="shared" si="507"/>
        <v>0</v>
      </c>
      <c r="AF43" s="63">
        <f t="shared" si="508"/>
        <v>0</v>
      </c>
      <c r="AG43" s="63">
        <f t="shared" si="509"/>
        <v>0</v>
      </c>
      <c r="AH43" s="61">
        <f>SUM(AB43:AG43)</f>
        <v>0</v>
      </c>
      <c r="AI43" s="62"/>
      <c r="AJ43" s="62"/>
      <c r="AK43" s="62"/>
      <c r="AL43" s="62"/>
      <c r="AM43" s="62"/>
      <c r="AN43" s="63">
        <f t="shared" si="510"/>
        <v>0</v>
      </c>
      <c r="AO43" s="63">
        <f t="shared" si="511"/>
        <v>0</v>
      </c>
      <c r="AP43" s="63">
        <f t="shared" si="512"/>
        <v>0</v>
      </c>
      <c r="AQ43" s="63">
        <f t="shared" si="513"/>
        <v>0</v>
      </c>
      <c r="AR43" s="63">
        <f t="shared" si="514"/>
        <v>0</v>
      </c>
      <c r="AS43" s="61">
        <f t="shared" si="515"/>
        <v>0</v>
      </c>
      <c r="AT43" s="64">
        <v>0</v>
      </c>
      <c r="AU43" s="65">
        <f>IF(Y43=1,($C$1*$W$6),0)</f>
        <v>0</v>
      </c>
      <c r="AV43" s="212">
        <f>AH43+AS43+AT43+AU43</f>
        <v>0</v>
      </c>
      <c r="AW43" s="49">
        <v>0</v>
      </c>
      <c r="AX43" s="59"/>
      <c r="AY43" s="28">
        <f>AZ43/$AY$4</f>
        <v>0</v>
      </c>
      <c r="AZ43" s="28">
        <v>0</v>
      </c>
      <c r="BA43" s="28">
        <f t="shared" si="516"/>
        <v>0</v>
      </c>
      <c r="BB43" s="28">
        <f t="shared" si="517"/>
        <v>0</v>
      </c>
      <c r="BC43" s="28">
        <f t="shared" si="518"/>
        <v>0</v>
      </c>
      <c r="BD43" s="63">
        <f t="shared" si="519"/>
        <v>0</v>
      </c>
      <c r="BE43" s="63">
        <f t="shared" si="520"/>
        <v>0</v>
      </c>
      <c r="BF43" s="61">
        <f>SUM(AZ43:BE43)</f>
        <v>0</v>
      </c>
      <c r="BG43" s="62"/>
      <c r="BH43" s="62"/>
      <c r="BI43" s="62"/>
      <c r="BJ43" s="62"/>
      <c r="BK43" s="62"/>
      <c r="BL43" s="63">
        <f t="shared" si="521"/>
        <v>0</v>
      </c>
      <c r="BM43" s="63">
        <f t="shared" si="522"/>
        <v>0</v>
      </c>
      <c r="BN43" s="63">
        <f t="shared" si="523"/>
        <v>0</v>
      </c>
      <c r="BO43" s="63">
        <f t="shared" si="524"/>
        <v>0</v>
      </c>
      <c r="BP43" s="63">
        <f t="shared" si="525"/>
        <v>0</v>
      </c>
      <c r="BQ43" s="61">
        <f t="shared" si="526"/>
        <v>0</v>
      </c>
      <c r="BR43" s="64">
        <v>0</v>
      </c>
      <c r="BS43" s="65">
        <f>IF(AW43=1,($C$1*$W$6),0)</f>
        <v>0</v>
      </c>
      <c r="BT43" s="212">
        <f>BF43+BQ43+BR43+BS43</f>
        <v>0</v>
      </c>
      <c r="BU43" s="49">
        <v>0</v>
      </c>
      <c r="BV43" s="59"/>
      <c r="BW43" s="28">
        <f>BX43/$AY$4</f>
        <v>0</v>
      </c>
      <c r="BX43" s="28">
        <v>0</v>
      </c>
      <c r="BY43" s="28">
        <f t="shared" si="527"/>
        <v>0</v>
      </c>
      <c r="BZ43" s="28">
        <f t="shared" si="528"/>
        <v>0</v>
      </c>
      <c r="CA43" s="28">
        <f t="shared" si="529"/>
        <v>0</v>
      </c>
      <c r="CB43" s="63">
        <f t="shared" si="530"/>
        <v>0</v>
      </c>
      <c r="CC43" s="63">
        <f t="shared" si="531"/>
        <v>0</v>
      </c>
      <c r="CD43" s="61">
        <f>SUM(BX43:CC43)</f>
        <v>0</v>
      </c>
      <c r="CE43" s="62"/>
      <c r="CF43" s="62"/>
      <c r="CG43" s="62"/>
      <c r="CH43" s="62"/>
      <c r="CI43" s="62"/>
      <c r="CJ43" s="63">
        <f t="shared" si="532"/>
        <v>0</v>
      </c>
      <c r="CK43" s="63">
        <f t="shared" si="533"/>
        <v>0</v>
      </c>
      <c r="CL43" s="63">
        <f t="shared" si="534"/>
        <v>0</v>
      </c>
      <c r="CM43" s="63">
        <f t="shared" si="535"/>
        <v>0</v>
      </c>
      <c r="CN43" s="63">
        <f t="shared" si="536"/>
        <v>0</v>
      </c>
      <c r="CO43" s="61">
        <f t="shared" si="537"/>
        <v>0</v>
      </c>
      <c r="CP43" s="64">
        <v>0</v>
      </c>
      <c r="CQ43" s="65">
        <f>IF(BU43=1,($C$1*$W$6),0)</f>
        <v>0</v>
      </c>
      <c r="CR43" s="212">
        <f>CD43+CO43+CP43+CQ43</f>
        <v>0</v>
      </c>
      <c r="CS43" s="49">
        <v>0</v>
      </c>
      <c r="CT43" s="59"/>
      <c r="CU43" s="28">
        <f>CV43/$AY$4</f>
        <v>0</v>
      </c>
      <c r="CV43" s="28">
        <v>0</v>
      </c>
      <c r="CW43" s="28">
        <f t="shared" si="538"/>
        <v>0</v>
      </c>
      <c r="CX43" s="28">
        <f t="shared" si="539"/>
        <v>0</v>
      </c>
      <c r="CY43" s="28">
        <f t="shared" si="540"/>
        <v>0</v>
      </c>
      <c r="CZ43" s="63">
        <f t="shared" si="541"/>
        <v>0</v>
      </c>
      <c r="DA43" s="63">
        <f t="shared" si="542"/>
        <v>0</v>
      </c>
      <c r="DB43" s="61">
        <f>SUM(CV43:DA43)</f>
        <v>0</v>
      </c>
      <c r="DC43" s="62"/>
      <c r="DD43" s="62"/>
      <c r="DE43" s="62"/>
      <c r="DF43" s="62"/>
      <c r="DG43" s="62"/>
      <c r="DH43" s="63">
        <f t="shared" si="543"/>
        <v>0</v>
      </c>
      <c r="DI43" s="63">
        <f t="shared" si="544"/>
        <v>0</v>
      </c>
      <c r="DJ43" s="63">
        <f t="shared" si="545"/>
        <v>0</v>
      </c>
      <c r="DK43" s="63">
        <f t="shared" si="546"/>
        <v>0</v>
      </c>
      <c r="DL43" s="63">
        <f t="shared" si="547"/>
        <v>0</v>
      </c>
      <c r="DM43" s="61">
        <f t="shared" si="548"/>
        <v>0</v>
      </c>
      <c r="DN43" s="64">
        <v>0</v>
      </c>
      <c r="DO43" s="65">
        <f>IF(CS43=1,($C$1*$W$6),0)</f>
        <v>0</v>
      </c>
      <c r="DP43" s="212">
        <f>DB43+DM43+DN43+DO43</f>
        <v>0</v>
      </c>
      <c r="DQ43" s="49">
        <v>0</v>
      </c>
      <c r="DR43" s="59"/>
      <c r="DS43" s="28">
        <f>DT43/$AY$4</f>
        <v>0</v>
      </c>
      <c r="DT43" s="28">
        <v>0</v>
      </c>
      <c r="DU43" s="28">
        <f t="shared" si="549"/>
        <v>0</v>
      </c>
      <c r="DV43" s="28">
        <f t="shared" si="550"/>
        <v>0</v>
      </c>
      <c r="DW43" s="28">
        <f t="shared" si="551"/>
        <v>0</v>
      </c>
      <c r="DX43" s="63">
        <f t="shared" si="552"/>
        <v>0</v>
      </c>
      <c r="DY43" s="63">
        <f t="shared" si="553"/>
        <v>0</v>
      </c>
      <c r="DZ43" s="61">
        <f>SUM(DT43:DY43)</f>
        <v>0</v>
      </c>
      <c r="EA43" s="62"/>
      <c r="EB43" s="62"/>
      <c r="EC43" s="62"/>
      <c r="ED43" s="62"/>
      <c r="EE43" s="62"/>
      <c r="EF43" s="63">
        <f t="shared" si="554"/>
        <v>0</v>
      </c>
      <c r="EG43" s="63">
        <f t="shared" si="555"/>
        <v>0</v>
      </c>
      <c r="EH43" s="63">
        <f t="shared" si="556"/>
        <v>0</v>
      </c>
      <c r="EI43" s="63">
        <f t="shared" si="557"/>
        <v>0</v>
      </c>
      <c r="EJ43" s="63">
        <f t="shared" si="558"/>
        <v>0</v>
      </c>
      <c r="EK43" s="61">
        <f t="shared" si="559"/>
        <v>0</v>
      </c>
      <c r="EL43" s="64">
        <v>0</v>
      </c>
      <c r="EM43" s="65">
        <f>IF(DQ43=1,($C$1*$W$6),0)</f>
        <v>0</v>
      </c>
      <c r="EN43" s="212">
        <f>DZ43+EK43+EL43+EM43</f>
        <v>0</v>
      </c>
      <c r="EO43" s="49">
        <v>0</v>
      </c>
      <c r="EP43" s="59"/>
      <c r="EQ43" s="28">
        <f>ER43/$AY$4</f>
        <v>0</v>
      </c>
      <c r="ER43" s="28">
        <v>0</v>
      </c>
      <c r="ES43" s="28">
        <f t="shared" si="560"/>
        <v>0</v>
      </c>
      <c r="ET43" s="28">
        <f t="shared" si="561"/>
        <v>0</v>
      </c>
      <c r="EU43" s="28">
        <f t="shared" si="562"/>
        <v>0</v>
      </c>
      <c r="EV43" s="63">
        <f t="shared" si="563"/>
        <v>0</v>
      </c>
      <c r="EW43" s="63">
        <f t="shared" si="564"/>
        <v>0</v>
      </c>
      <c r="EX43" s="61">
        <f>SUM(ER43:EW43)</f>
        <v>0</v>
      </c>
      <c r="EY43" s="62"/>
      <c r="EZ43" s="62"/>
      <c r="FA43" s="62"/>
      <c r="FB43" s="62"/>
      <c r="FC43" s="62"/>
      <c r="FD43" s="63">
        <f t="shared" si="565"/>
        <v>0</v>
      </c>
      <c r="FE43" s="63">
        <f t="shared" si="566"/>
        <v>0</v>
      </c>
      <c r="FF43" s="63">
        <f t="shared" si="567"/>
        <v>0</v>
      </c>
      <c r="FG43" s="63">
        <f t="shared" si="568"/>
        <v>0</v>
      </c>
      <c r="FH43" s="63">
        <f t="shared" si="569"/>
        <v>0</v>
      </c>
      <c r="FI43" s="61">
        <f t="shared" si="570"/>
        <v>0</v>
      </c>
      <c r="FJ43" s="64">
        <v>0</v>
      </c>
      <c r="FK43" s="65">
        <f>IF(EO43=1,($C$1*$W$6),0)</f>
        <v>0</v>
      </c>
      <c r="FL43" s="212">
        <f>EX43+FI43+FJ43+FK43</f>
        <v>0</v>
      </c>
      <c r="FM43" s="49">
        <v>0</v>
      </c>
      <c r="FN43" s="59"/>
      <c r="FO43" s="28">
        <f>FP43/$AY$4</f>
        <v>0</v>
      </c>
      <c r="FP43" s="28">
        <v>0</v>
      </c>
      <c r="FQ43" s="28">
        <f t="shared" si="571"/>
        <v>0</v>
      </c>
      <c r="FR43" s="28">
        <f t="shared" si="572"/>
        <v>0</v>
      </c>
      <c r="FS43" s="28">
        <f t="shared" si="573"/>
        <v>0</v>
      </c>
      <c r="FT43" s="63">
        <f t="shared" si="574"/>
        <v>0</v>
      </c>
      <c r="FU43" s="63">
        <f t="shared" si="575"/>
        <v>0</v>
      </c>
      <c r="FV43" s="61">
        <f>SUM(FP43:FU43)</f>
        <v>0</v>
      </c>
      <c r="FW43" s="62"/>
      <c r="FX43" s="62"/>
      <c r="FY43" s="62"/>
      <c r="FZ43" s="62"/>
      <c r="GA43" s="62"/>
      <c r="GB43" s="63">
        <f t="shared" si="576"/>
        <v>0</v>
      </c>
      <c r="GC43" s="63">
        <f t="shared" si="577"/>
        <v>0</v>
      </c>
      <c r="GD43" s="63">
        <f t="shared" si="578"/>
        <v>0</v>
      </c>
      <c r="GE43" s="63">
        <f t="shared" si="579"/>
        <v>0</v>
      </c>
      <c r="GF43" s="63">
        <f t="shared" si="580"/>
        <v>0</v>
      </c>
      <c r="GG43" s="61">
        <f t="shared" si="581"/>
        <v>0</v>
      </c>
      <c r="GH43" s="64">
        <v>0</v>
      </c>
      <c r="GI43" s="65">
        <f>IF(FM43=1,($C$1*$W$6),0)</f>
        <v>0</v>
      </c>
      <c r="GJ43" s="212">
        <f>FV43+GG43+GH43+GI43</f>
        <v>0</v>
      </c>
      <c r="GK43" s="49">
        <v>0</v>
      </c>
      <c r="GL43" s="59"/>
      <c r="GM43" s="28">
        <f>GN43/$AY$4</f>
        <v>0</v>
      </c>
      <c r="GN43" s="28">
        <v>0</v>
      </c>
      <c r="GO43" s="28">
        <f t="shared" si="582"/>
        <v>0</v>
      </c>
      <c r="GP43" s="28">
        <f t="shared" si="583"/>
        <v>0</v>
      </c>
      <c r="GQ43" s="28">
        <f t="shared" si="584"/>
        <v>0</v>
      </c>
      <c r="GR43" s="63">
        <f t="shared" si="585"/>
        <v>0</v>
      </c>
      <c r="GS43" s="63">
        <f t="shared" si="586"/>
        <v>0</v>
      </c>
      <c r="GT43" s="61">
        <f>SUM(GN43:GS43)</f>
        <v>0</v>
      </c>
      <c r="GU43" s="62"/>
      <c r="GV43" s="62"/>
      <c r="GW43" s="62"/>
      <c r="GX43" s="62"/>
      <c r="GY43" s="62"/>
      <c r="GZ43" s="63">
        <f t="shared" si="587"/>
        <v>0</v>
      </c>
      <c r="HA43" s="63">
        <f t="shared" si="588"/>
        <v>0</v>
      </c>
      <c r="HB43" s="63">
        <f t="shared" si="589"/>
        <v>0</v>
      </c>
      <c r="HC43" s="63">
        <f t="shared" si="590"/>
        <v>0</v>
      </c>
      <c r="HD43" s="63">
        <f t="shared" si="591"/>
        <v>0</v>
      </c>
      <c r="HE43" s="61">
        <f t="shared" si="592"/>
        <v>0</v>
      </c>
      <c r="HF43" s="64">
        <v>0</v>
      </c>
      <c r="HG43" s="65">
        <f>IF(GK43=1,($C$1*$W$6),0)</f>
        <v>0</v>
      </c>
      <c r="HH43" s="212">
        <f>GT43+HE43+HF43+HG43</f>
        <v>0</v>
      </c>
      <c r="HI43" s="49">
        <v>0</v>
      </c>
      <c r="HJ43" s="59"/>
      <c r="HK43" s="28">
        <f>HL43/$AY$4</f>
        <v>0</v>
      </c>
      <c r="HL43" s="28">
        <v>0</v>
      </c>
      <c r="HM43" s="28">
        <f t="shared" si="593"/>
        <v>0</v>
      </c>
      <c r="HN43" s="28">
        <f t="shared" si="594"/>
        <v>0</v>
      </c>
      <c r="HO43" s="28">
        <f t="shared" si="595"/>
        <v>0</v>
      </c>
      <c r="HP43" s="63">
        <f t="shared" si="596"/>
        <v>0</v>
      </c>
      <c r="HQ43" s="63">
        <f t="shared" si="597"/>
        <v>0</v>
      </c>
      <c r="HR43" s="61">
        <f>SUM(HL43:HQ43)</f>
        <v>0</v>
      </c>
      <c r="HS43" s="62"/>
      <c r="HT43" s="62"/>
      <c r="HU43" s="62"/>
      <c r="HV43" s="62"/>
      <c r="HW43" s="62"/>
      <c r="HX43" s="63">
        <f t="shared" si="598"/>
        <v>0</v>
      </c>
      <c r="HY43" s="63">
        <f t="shared" si="599"/>
        <v>0</v>
      </c>
      <c r="HZ43" s="63">
        <f t="shared" si="600"/>
        <v>0</v>
      </c>
      <c r="IA43" s="63">
        <f t="shared" si="601"/>
        <v>0</v>
      </c>
      <c r="IB43" s="63">
        <f t="shared" si="602"/>
        <v>0</v>
      </c>
      <c r="IC43" s="61">
        <f t="shared" si="603"/>
        <v>0</v>
      </c>
      <c r="ID43" s="64">
        <v>0</v>
      </c>
      <c r="IE43" s="65">
        <f>IF(HI43=1,($C$1*$W$6),0)</f>
        <v>0</v>
      </c>
      <c r="IF43" s="212">
        <f>HR43+IC43+ID43+IE43</f>
        <v>0</v>
      </c>
      <c r="IG43" s="49">
        <v>0</v>
      </c>
      <c r="IH43" s="59"/>
      <c r="II43" s="28">
        <f>IJ43/$AY$4</f>
        <v>0</v>
      </c>
      <c r="IJ43" s="28">
        <v>0</v>
      </c>
      <c r="IK43" s="28">
        <f>IJ43*IK$38</f>
        <v>0</v>
      </c>
      <c r="IL43" s="28">
        <f>IJ43*IL$38</f>
        <v>0</v>
      </c>
      <c r="IM43" s="28">
        <f>IJ43/IM$38</f>
        <v>0</v>
      </c>
      <c r="IN43" s="63">
        <f>IM43/IN$38</f>
        <v>0</v>
      </c>
      <c r="IO43" s="63">
        <f>IJ43/IO$38</f>
        <v>0</v>
      </c>
      <c r="IP43" s="61">
        <f>SUM(IJ43:IO43)</f>
        <v>0</v>
      </c>
      <c r="IQ43" s="62"/>
      <c r="IR43" s="62"/>
      <c r="IS43" s="62"/>
      <c r="IT43" s="62"/>
      <c r="IU43" s="62"/>
      <c r="IV43" s="63">
        <f>((II43*IV$38)+(II43*IK$38)+(II43*IL$38))*IQ43</f>
        <v>0</v>
      </c>
      <c r="IW43" s="63">
        <f>((II43*IW$38*IR43)+(II43*IK$38)+(II43*IL$38))*IR43</f>
        <v>0</v>
      </c>
      <c r="IX43" s="63">
        <f>((II43*IX$38)+(II43*IK$38)+(II43*IL$38))*IS43</f>
        <v>0</v>
      </c>
      <c r="IY43" s="63">
        <f>((II43*IY$38)+(II43*IK$38)+(II43*IL$38))*IT43</f>
        <v>0</v>
      </c>
      <c r="IZ43" s="63">
        <f>((II43*IZ$38)+(II43*IK$38)+(II43*IL$38))*IU43</f>
        <v>0</v>
      </c>
      <c r="JA43" s="61">
        <f t="shared" si="604"/>
        <v>0</v>
      </c>
      <c r="JB43" s="64">
        <v>0</v>
      </c>
      <c r="JC43" s="65">
        <f>IF(IG43=1,($C$1*$W$6),0)</f>
        <v>0</v>
      </c>
      <c r="JD43" s="476">
        <f>IP43+JA43+JB43+JC43</f>
        <v>0</v>
      </c>
      <c r="JE43" s="49">
        <v>0</v>
      </c>
      <c r="JF43" s="59"/>
      <c r="JG43" s="28">
        <f>JH43/$AY$4</f>
        <v>0</v>
      </c>
      <c r="JH43" s="28">
        <v>0</v>
      </c>
      <c r="JI43" s="28">
        <f>JH43*JI$38</f>
        <v>0</v>
      </c>
      <c r="JJ43" s="28">
        <f>JH43*JJ$38</f>
        <v>0</v>
      </c>
      <c r="JK43" s="28">
        <f>JH43/JK$38</f>
        <v>0</v>
      </c>
      <c r="JL43" s="63">
        <f>JK43/JL$38</f>
        <v>0</v>
      </c>
      <c r="JM43" s="63">
        <f>JH43/JM$38</f>
        <v>0</v>
      </c>
      <c r="JN43" s="61">
        <f>SUM(JH43:JM43)</f>
        <v>0</v>
      </c>
      <c r="JO43" s="62"/>
      <c r="JP43" s="62"/>
      <c r="JQ43" s="62"/>
      <c r="JR43" s="62"/>
      <c r="JS43" s="62"/>
      <c r="JT43" s="63">
        <f>((JG43*JT$38)+(JG43*JI$38)+(JG43*JJ$38))*JO43</f>
        <v>0</v>
      </c>
      <c r="JU43" s="63">
        <f>((JG43*JU$38*JP43)+(JG43*JI$38)+(JG43*JJ$38))*JP43</f>
        <v>0</v>
      </c>
      <c r="JV43" s="63">
        <f>((JG43*JV$38)+(JG43*JI$38)+(JG43*JJ$38))*JQ43</f>
        <v>0</v>
      </c>
      <c r="JW43" s="63">
        <f>((JG43*JW$38)+(JG43*JI$38)+(JG43*JJ$38))*JR43</f>
        <v>0</v>
      </c>
      <c r="JX43" s="63">
        <f>((JG43*JX$38)+(JG43*JI$38)+(JG43*JJ$38))*JS43</f>
        <v>0</v>
      </c>
      <c r="JY43" s="61">
        <f t="shared" si="605"/>
        <v>0</v>
      </c>
      <c r="JZ43" s="64">
        <v>0</v>
      </c>
      <c r="KA43" s="65">
        <f>IF(JE43=1,($C$1*$W$6),0)</f>
        <v>0</v>
      </c>
      <c r="KB43" s="476">
        <f>JN43+JY43+JZ43+KA43</f>
        <v>0</v>
      </c>
      <c r="KC43" s="37"/>
      <c r="KD43" s="37"/>
      <c r="KE43" s="37"/>
      <c r="KF43" s="37"/>
      <c r="KG43" s="37"/>
      <c r="KH43" s="37"/>
      <c r="KI43" s="37"/>
      <c r="KJ43" s="37"/>
    </row>
    <row r="44" spans="1:296" ht="15.6" x14ac:dyDescent="0.3">
      <c r="A44" s="385"/>
      <c r="B44" s="383"/>
      <c r="C44" s="383"/>
      <c r="D44" s="383"/>
      <c r="E44" s="383"/>
      <c r="F44" s="383"/>
      <c r="G44" s="383"/>
      <c r="H44" s="383"/>
      <c r="I44" s="383"/>
      <c r="J44" s="383"/>
      <c r="K44" s="383"/>
      <c r="L44" s="383"/>
      <c r="M44" s="383"/>
      <c r="N44" s="383"/>
      <c r="O44" s="383"/>
      <c r="P44" s="383"/>
      <c r="Q44" s="383"/>
      <c r="R44" s="383"/>
      <c r="S44" s="383"/>
      <c r="T44" s="383"/>
      <c r="U44" s="383"/>
      <c r="V44" s="384"/>
      <c r="W44" s="272" t="s">
        <v>7</v>
      </c>
      <c r="X44" s="213">
        <f>SUM(X40:X43)</f>
        <v>7491.4369333333334</v>
      </c>
      <c r="Y44" s="385"/>
      <c r="Z44" s="383"/>
      <c r="AA44" s="383"/>
      <c r="AB44" s="383"/>
      <c r="AC44" s="383"/>
      <c r="AD44" s="383"/>
      <c r="AE44" s="383"/>
      <c r="AF44" s="383"/>
      <c r="AG44" s="383"/>
      <c r="AH44" s="383"/>
      <c r="AI44" s="383"/>
      <c r="AJ44" s="383"/>
      <c r="AK44" s="383"/>
      <c r="AL44" s="383"/>
      <c r="AM44" s="383"/>
      <c r="AN44" s="383"/>
      <c r="AO44" s="383"/>
      <c r="AP44" s="383"/>
      <c r="AQ44" s="383"/>
      <c r="AR44" s="383"/>
      <c r="AS44" s="383"/>
      <c r="AT44" s="384"/>
      <c r="AU44" s="272" t="s">
        <v>7</v>
      </c>
      <c r="AV44" s="213">
        <f>SUM(AV40:AV43)</f>
        <v>7491.4369333333334</v>
      </c>
      <c r="AW44" s="385"/>
      <c r="AX44" s="383"/>
      <c r="AY44" s="383"/>
      <c r="AZ44" s="383"/>
      <c r="BA44" s="383"/>
      <c r="BB44" s="383"/>
      <c r="BC44" s="383"/>
      <c r="BD44" s="383"/>
      <c r="BE44" s="383"/>
      <c r="BF44" s="383"/>
      <c r="BG44" s="383"/>
      <c r="BH44" s="383"/>
      <c r="BI44" s="383"/>
      <c r="BJ44" s="383"/>
      <c r="BK44" s="383"/>
      <c r="BL44" s="383"/>
      <c r="BM44" s="383"/>
      <c r="BN44" s="383"/>
      <c r="BO44" s="383"/>
      <c r="BP44" s="383"/>
      <c r="BQ44" s="383"/>
      <c r="BR44" s="384"/>
      <c r="BS44" s="272" t="s">
        <v>7</v>
      </c>
      <c r="BT44" s="213">
        <f>SUM(BT40:BT43)</f>
        <v>7491.4369333333334</v>
      </c>
      <c r="BU44" s="385"/>
      <c r="BV44" s="383"/>
      <c r="BW44" s="383"/>
      <c r="BX44" s="383"/>
      <c r="BY44" s="383"/>
      <c r="BZ44" s="383"/>
      <c r="CA44" s="383"/>
      <c r="CB44" s="383"/>
      <c r="CC44" s="383"/>
      <c r="CD44" s="383"/>
      <c r="CE44" s="383"/>
      <c r="CF44" s="383"/>
      <c r="CG44" s="383"/>
      <c r="CH44" s="383"/>
      <c r="CI44" s="383"/>
      <c r="CJ44" s="383"/>
      <c r="CK44" s="383"/>
      <c r="CL44" s="383"/>
      <c r="CM44" s="383"/>
      <c r="CN44" s="383"/>
      <c r="CO44" s="383"/>
      <c r="CP44" s="384"/>
      <c r="CQ44" s="272" t="s">
        <v>7</v>
      </c>
      <c r="CR44" s="213">
        <f>SUM(CR40:CR43)</f>
        <v>7491.4369333333334</v>
      </c>
      <c r="CS44" s="385"/>
      <c r="CT44" s="383"/>
      <c r="CU44" s="383"/>
      <c r="CV44" s="383"/>
      <c r="CW44" s="383"/>
      <c r="CX44" s="383"/>
      <c r="CY44" s="383"/>
      <c r="CZ44" s="383"/>
      <c r="DA44" s="383"/>
      <c r="DB44" s="383"/>
      <c r="DC44" s="383"/>
      <c r="DD44" s="383"/>
      <c r="DE44" s="383"/>
      <c r="DF44" s="383"/>
      <c r="DG44" s="383"/>
      <c r="DH44" s="383"/>
      <c r="DI44" s="383"/>
      <c r="DJ44" s="383"/>
      <c r="DK44" s="383"/>
      <c r="DL44" s="383"/>
      <c r="DM44" s="383"/>
      <c r="DN44" s="384"/>
      <c r="DO44" s="272" t="s">
        <v>7</v>
      </c>
      <c r="DP44" s="213">
        <f>SUM(DP40:DP43)</f>
        <v>7491.4369333333334</v>
      </c>
      <c r="DQ44" s="385"/>
      <c r="DR44" s="383"/>
      <c r="DS44" s="383"/>
      <c r="DT44" s="383"/>
      <c r="DU44" s="383"/>
      <c r="DV44" s="383"/>
      <c r="DW44" s="383"/>
      <c r="DX44" s="383"/>
      <c r="DY44" s="383"/>
      <c r="DZ44" s="383"/>
      <c r="EA44" s="383"/>
      <c r="EB44" s="383"/>
      <c r="EC44" s="383"/>
      <c r="ED44" s="383"/>
      <c r="EE44" s="383"/>
      <c r="EF44" s="383"/>
      <c r="EG44" s="383"/>
      <c r="EH44" s="383"/>
      <c r="EI44" s="383"/>
      <c r="EJ44" s="383"/>
      <c r="EK44" s="383"/>
      <c r="EL44" s="384"/>
      <c r="EM44" s="272" t="s">
        <v>7</v>
      </c>
      <c r="EN44" s="213">
        <f>SUM(EN40:EN43)</f>
        <v>7491.4369333333334</v>
      </c>
      <c r="EO44" s="385"/>
      <c r="EP44" s="383"/>
      <c r="EQ44" s="383"/>
      <c r="ER44" s="383"/>
      <c r="ES44" s="383"/>
      <c r="ET44" s="383"/>
      <c r="EU44" s="383"/>
      <c r="EV44" s="383"/>
      <c r="EW44" s="383"/>
      <c r="EX44" s="383"/>
      <c r="EY44" s="383"/>
      <c r="EZ44" s="383"/>
      <c r="FA44" s="383"/>
      <c r="FB44" s="383"/>
      <c r="FC44" s="383"/>
      <c r="FD44" s="383"/>
      <c r="FE44" s="383"/>
      <c r="FF44" s="383"/>
      <c r="FG44" s="383"/>
      <c r="FH44" s="383"/>
      <c r="FI44" s="383"/>
      <c r="FJ44" s="384"/>
      <c r="FK44" s="272" t="s">
        <v>7</v>
      </c>
      <c r="FL44" s="213">
        <f>SUM(FL40:FL43)</f>
        <v>7491.4369333333334</v>
      </c>
      <c r="FM44" s="385"/>
      <c r="FN44" s="383"/>
      <c r="FO44" s="383"/>
      <c r="FP44" s="383"/>
      <c r="FQ44" s="383"/>
      <c r="FR44" s="383"/>
      <c r="FS44" s="383"/>
      <c r="FT44" s="383"/>
      <c r="FU44" s="383"/>
      <c r="FV44" s="383"/>
      <c r="FW44" s="383"/>
      <c r="FX44" s="383"/>
      <c r="FY44" s="383"/>
      <c r="FZ44" s="383"/>
      <c r="GA44" s="383"/>
      <c r="GB44" s="383"/>
      <c r="GC44" s="383"/>
      <c r="GD44" s="383"/>
      <c r="GE44" s="383"/>
      <c r="GF44" s="383"/>
      <c r="GG44" s="383"/>
      <c r="GH44" s="384"/>
      <c r="GI44" s="272" t="s">
        <v>7</v>
      </c>
      <c r="GJ44" s="213">
        <f>SUM(GJ40:GJ43)</f>
        <v>7491.4369333333334</v>
      </c>
      <c r="GK44" s="385"/>
      <c r="GL44" s="383"/>
      <c r="GM44" s="383"/>
      <c r="GN44" s="383"/>
      <c r="GO44" s="383"/>
      <c r="GP44" s="383"/>
      <c r="GQ44" s="383"/>
      <c r="GR44" s="383"/>
      <c r="GS44" s="383"/>
      <c r="GT44" s="383"/>
      <c r="GU44" s="383"/>
      <c r="GV44" s="383"/>
      <c r="GW44" s="383"/>
      <c r="GX44" s="383"/>
      <c r="GY44" s="383"/>
      <c r="GZ44" s="383"/>
      <c r="HA44" s="383"/>
      <c r="HB44" s="383"/>
      <c r="HC44" s="383"/>
      <c r="HD44" s="383"/>
      <c r="HE44" s="383"/>
      <c r="HF44" s="384"/>
      <c r="HG44" s="272" t="s">
        <v>7</v>
      </c>
      <c r="HH44" s="213">
        <f>SUM(HH40:HH43)</f>
        <v>3126.8886000000002</v>
      </c>
      <c r="HI44" s="385"/>
      <c r="HJ44" s="383"/>
      <c r="HK44" s="383"/>
      <c r="HL44" s="383"/>
      <c r="HM44" s="383"/>
      <c r="HN44" s="383"/>
      <c r="HO44" s="383"/>
      <c r="HP44" s="383"/>
      <c r="HQ44" s="383"/>
      <c r="HR44" s="383"/>
      <c r="HS44" s="383"/>
      <c r="HT44" s="383"/>
      <c r="HU44" s="383"/>
      <c r="HV44" s="383"/>
      <c r="HW44" s="383"/>
      <c r="HX44" s="383"/>
      <c r="HY44" s="383"/>
      <c r="HZ44" s="383"/>
      <c r="IA44" s="383"/>
      <c r="IB44" s="383"/>
      <c r="IC44" s="383"/>
      <c r="ID44" s="384"/>
      <c r="IE44" s="272" t="s">
        <v>7</v>
      </c>
      <c r="IF44" s="213">
        <f>SUM(IF40:IF43)</f>
        <v>3126.8886000000002</v>
      </c>
      <c r="IG44" s="385"/>
      <c r="IH44" s="383"/>
      <c r="II44" s="383"/>
      <c r="IJ44" s="383"/>
      <c r="IK44" s="383"/>
      <c r="IL44" s="383"/>
      <c r="IM44" s="383"/>
      <c r="IN44" s="383"/>
      <c r="IO44" s="383"/>
      <c r="IP44" s="383"/>
      <c r="IQ44" s="383"/>
      <c r="IR44" s="383"/>
      <c r="IS44" s="383"/>
      <c r="IT44" s="383"/>
      <c r="IU44" s="383"/>
      <c r="IV44" s="383"/>
      <c r="IW44" s="383"/>
      <c r="IX44" s="383"/>
      <c r="IY44" s="383"/>
      <c r="IZ44" s="383"/>
      <c r="JA44" s="383"/>
      <c r="JB44" s="384"/>
      <c r="JC44" s="272" t="s">
        <v>7</v>
      </c>
      <c r="JD44" s="470">
        <f>SUM(JD40:JD43)</f>
        <v>3126.8886000000002</v>
      </c>
      <c r="JE44" s="385"/>
      <c r="JF44" s="383"/>
      <c r="JG44" s="383"/>
      <c r="JH44" s="383"/>
      <c r="JI44" s="383"/>
      <c r="JJ44" s="383"/>
      <c r="JK44" s="383"/>
      <c r="JL44" s="383"/>
      <c r="JM44" s="383"/>
      <c r="JN44" s="383"/>
      <c r="JO44" s="383"/>
      <c r="JP44" s="383"/>
      <c r="JQ44" s="383"/>
      <c r="JR44" s="383"/>
      <c r="JS44" s="383"/>
      <c r="JT44" s="383"/>
      <c r="JU44" s="383"/>
      <c r="JV44" s="383"/>
      <c r="JW44" s="383"/>
      <c r="JX44" s="383"/>
      <c r="JY44" s="383"/>
      <c r="JZ44" s="384"/>
      <c r="KA44" s="272" t="s">
        <v>7</v>
      </c>
      <c r="KB44" s="470">
        <f>SUM(KB40:KB43)</f>
        <v>3126.8886000000002</v>
      </c>
      <c r="KC44" s="37"/>
      <c r="KD44" s="37"/>
      <c r="KE44" s="37"/>
      <c r="KF44" s="37"/>
      <c r="KG44" s="37"/>
      <c r="KH44" s="37"/>
      <c r="KI44" s="37"/>
      <c r="KJ44" s="37"/>
    </row>
    <row r="45" spans="1:296" ht="28.95" customHeight="1" x14ac:dyDescent="0.3">
      <c r="A45" s="39"/>
      <c r="B45" s="50" t="s">
        <v>34</v>
      </c>
      <c r="C45" s="51" t="s">
        <v>35</v>
      </c>
      <c r="D45" s="51" t="s">
        <v>36</v>
      </c>
      <c r="E45" s="52">
        <v>0.1</v>
      </c>
      <c r="F45" s="52">
        <v>0.08</v>
      </c>
      <c r="G45" s="53" t="s">
        <v>37</v>
      </c>
      <c r="H45" s="51">
        <v>3</v>
      </c>
      <c r="I45" s="54">
        <v>12</v>
      </c>
      <c r="J45" s="55" t="s">
        <v>38</v>
      </c>
      <c r="K45" s="55">
        <v>0.5</v>
      </c>
      <c r="L45" s="55">
        <v>0.6</v>
      </c>
      <c r="M45" s="55">
        <v>0.8</v>
      </c>
      <c r="N45" s="55">
        <v>1</v>
      </c>
      <c r="O45" s="55">
        <v>1.5</v>
      </c>
      <c r="P45" s="56">
        <v>1.5</v>
      </c>
      <c r="Q45" s="56">
        <v>1.6</v>
      </c>
      <c r="R45" s="56">
        <v>1.8</v>
      </c>
      <c r="S45" s="57">
        <v>2</v>
      </c>
      <c r="T45" s="57">
        <v>2.5</v>
      </c>
      <c r="U45" s="55" t="s">
        <v>38</v>
      </c>
      <c r="V45" s="55" t="s">
        <v>38</v>
      </c>
      <c r="W45" s="55">
        <v>0.2</v>
      </c>
      <c r="X45" s="211" t="s">
        <v>38</v>
      </c>
      <c r="Y45" s="39"/>
      <c r="Z45" s="50" t="s">
        <v>34</v>
      </c>
      <c r="AA45" s="51" t="s">
        <v>35</v>
      </c>
      <c r="AB45" s="51" t="s">
        <v>36</v>
      </c>
      <c r="AC45" s="52">
        <v>0.1</v>
      </c>
      <c r="AD45" s="52">
        <v>0.08</v>
      </c>
      <c r="AE45" s="53" t="s">
        <v>37</v>
      </c>
      <c r="AF45" s="51">
        <v>3</v>
      </c>
      <c r="AG45" s="54">
        <v>12</v>
      </c>
      <c r="AH45" s="55" t="s">
        <v>38</v>
      </c>
      <c r="AI45" s="55">
        <v>0.5</v>
      </c>
      <c r="AJ45" s="55">
        <v>0.6</v>
      </c>
      <c r="AK45" s="55">
        <v>0.8</v>
      </c>
      <c r="AL45" s="55">
        <v>1</v>
      </c>
      <c r="AM45" s="55">
        <v>1.5</v>
      </c>
      <c r="AN45" s="56">
        <v>1.5</v>
      </c>
      <c r="AO45" s="56">
        <v>1.6</v>
      </c>
      <c r="AP45" s="56">
        <v>1.8</v>
      </c>
      <c r="AQ45" s="57">
        <v>2</v>
      </c>
      <c r="AR45" s="57">
        <v>2.5</v>
      </c>
      <c r="AS45" s="55" t="s">
        <v>38</v>
      </c>
      <c r="AT45" s="55" t="s">
        <v>38</v>
      </c>
      <c r="AU45" s="55">
        <v>0.2</v>
      </c>
      <c r="AV45" s="211" t="s">
        <v>38</v>
      </c>
      <c r="AW45" s="39"/>
      <c r="AX45" s="50" t="s">
        <v>34</v>
      </c>
      <c r="AY45" s="51" t="s">
        <v>35</v>
      </c>
      <c r="AZ45" s="51" t="s">
        <v>36</v>
      </c>
      <c r="BA45" s="52">
        <v>0.1</v>
      </c>
      <c r="BB45" s="52">
        <v>0.08</v>
      </c>
      <c r="BC45" s="53" t="s">
        <v>37</v>
      </c>
      <c r="BD45" s="51">
        <v>3</v>
      </c>
      <c r="BE45" s="54">
        <v>12</v>
      </c>
      <c r="BF45" s="55" t="s">
        <v>38</v>
      </c>
      <c r="BG45" s="55">
        <v>0.5</v>
      </c>
      <c r="BH45" s="55">
        <v>0.6</v>
      </c>
      <c r="BI45" s="55">
        <v>0.8</v>
      </c>
      <c r="BJ45" s="55">
        <v>1</v>
      </c>
      <c r="BK45" s="55">
        <v>1.5</v>
      </c>
      <c r="BL45" s="56">
        <v>1.5</v>
      </c>
      <c r="BM45" s="56">
        <v>1.6</v>
      </c>
      <c r="BN45" s="56">
        <v>1.8</v>
      </c>
      <c r="BO45" s="57">
        <v>2</v>
      </c>
      <c r="BP45" s="57">
        <v>2.5</v>
      </c>
      <c r="BQ45" s="55" t="s">
        <v>38</v>
      </c>
      <c r="BR45" s="55" t="s">
        <v>38</v>
      </c>
      <c r="BS45" s="55">
        <v>0.2</v>
      </c>
      <c r="BT45" s="211" t="s">
        <v>38</v>
      </c>
      <c r="BV45" s="50" t="s">
        <v>34</v>
      </c>
      <c r="BW45" s="51" t="s">
        <v>35</v>
      </c>
      <c r="BX45" s="51" t="s">
        <v>36</v>
      </c>
      <c r="BY45" s="52">
        <v>0.1</v>
      </c>
      <c r="BZ45" s="52">
        <v>0.08</v>
      </c>
      <c r="CA45" s="53" t="s">
        <v>37</v>
      </c>
      <c r="CB45" s="51">
        <v>3</v>
      </c>
      <c r="CC45" s="54">
        <v>12</v>
      </c>
      <c r="CD45" s="55" t="s">
        <v>38</v>
      </c>
      <c r="CE45" s="55">
        <v>0.5</v>
      </c>
      <c r="CF45" s="55">
        <v>0.6</v>
      </c>
      <c r="CG45" s="55">
        <v>0.8</v>
      </c>
      <c r="CH45" s="55">
        <v>1</v>
      </c>
      <c r="CI45" s="55">
        <v>1.5</v>
      </c>
      <c r="CJ45" s="56">
        <v>1.5</v>
      </c>
      <c r="CK45" s="56">
        <v>1.6</v>
      </c>
      <c r="CL45" s="56">
        <v>1.8</v>
      </c>
      <c r="CM45" s="57">
        <v>2</v>
      </c>
      <c r="CN45" s="57">
        <v>2.5</v>
      </c>
      <c r="CO45" s="55" t="s">
        <v>38</v>
      </c>
      <c r="CP45" s="55" t="s">
        <v>38</v>
      </c>
      <c r="CQ45" s="55">
        <v>0.2</v>
      </c>
      <c r="CR45" s="211" t="s">
        <v>38</v>
      </c>
      <c r="CT45" s="50" t="s">
        <v>34</v>
      </c>
      <c r="CU45" s="51" t="s">
        <v>35</v>
      </c>
      <c r="CV45" s="51" t="s">
        <v>36</v>
      </c>
      <c r="CW45" s="52">
        <v>0.1</v>
      </c>
      <c r="CX45" s="52">
        <v>0.08</v>
      </c>
      <c r="CY45" s="53" t="s">
        <v>37</v>
      </c>
      <c r="CZ45" s="51">
        <v>3</v>
      </c>
      <c r="DA45" s="54">
        <v>12</v>
      </c>
      <c r="DB45" s="55" t="s">
        <v>38</v>
      </c>
      <c r="DC45" s="55">
        <v>0.5</v>
      </c>
      <c r="DD45" s="55">
        <v>0.6</v>
      </c>
      <c r="DE45" s="55">
        <v>0.8</v>
      </c>
      <c r="DF45" s="55">
        <v>1</v>
      </c>
      <c r="DG45" s="55">
        <v>1.5</v>
      </c>
      <c r="DH45" s="56">
        <v>1.5</v>
      </c>
      <c r="DI45" s="56">
        <v>1.6</v>
      </c>
      <c r="DJ45" s="56">
        <v>1.8</v>
      </c>
      <c r="DK45" s="57">
        <v>2</v>
      </c>
      <c r="DL45" s="57">
        <v>2.5</v>
      </c>
      <c r="DM45" s="55" t="s">
        <v>38</v>
      </c>
      <c r="DN45" s="55" t="s">
        <v>38</v>
      </c>
      <c r="DO45" s="55">
        <v>0.2</v>
      </c>
      <c r="DP45" s="211" t="s">
        <v>38</v>
      </c>
      <c r="DR45" s="50" t="s">
        <v>34</v>
      </c>
      <c r="DS45" s="51" t="s">
        <v>35</v>
      </c>
      <c r="DT45" s="51" t="s">
        <v>36</v>
      </c>
      <c r="DU45" s="52">
        <v>0.1</v>
      </c>
      <c r="DV45" s="52">
        <v>0.08</v>
      </c>
      <c r="DW45" s="53" t="s">
        <v>37</v>
      </c>
      <c r="DX45" s="51">
        <v>3</v>
      </c>
      <c r="DY45" s="54">
        <v>12</v>
      </c>
      <c r="DZ45" s="55" t="s">
        <v>38</v>
      </c>
      <c r="EA45" s="55">
        <v>0.5</v>
      </c>
      <c r="EB45" s="55">
        <v>0.6</v>
      </c>
      <c r="EC45" s="55">
        <v>0.8</v>
      </c>
      <c r="ED45" s="55">
        <v>1</v>
      </c>
      <c r="EE45" s="55">
        <v>1.5</v>
      </c>
      <c r="EF45" s="56">
        <v>1.5</v>
      </c>
      <c r="EG45" s="56">
        <v>1.6</v>
      </c>
      <c r="EH45" s="56">
        <v>1.8</v>
      </c>
      <c r="EI45" s="57">
        <v>2</v>
      </c>
      <c r="EJ45" s="57">
        <v>2.5</v>
      </c>
      <c r="EK45" s="55" t="s">
        <v>38</v>
      </c>
      <c r="EL45" s="55" t="s">
        <v>38</v>
      </c>
      <c r="EM45" s="55">
        <v>0.2</v>
      </c>
      <c r="EN45" s="211" t="s">
        <v>38</v>
      </c>
      <c r="EP45" s="50" t="s">
        <v>34</v>
      </c>
      <c r="EQ45" s="51" t="s">
        <v>35</v>
      </c>
      <c r="ER45" s="51" t="s">
        <v>36</v>
      </c>
      <c r="ES45" s="52">
        <v>0.1</v>
      </c>
      <c r="ET45" s="52">
        <v>0.08</v>
      </c>
      <c r="EU45" s="53" t="s">
        <v>37</v>
      </c>
      <c r="EV45" s="51">
        <v>3</v>
      </c>
      <c r="EW45" s="54">
        <v>12</v>
      </c>
      <c r="EX45" s="55" t="s">
        <v>38</v>
      </c>
      <c r="EY45" s="55">
        <v>0.5</v>
      </c>
      <c r="EZ45" s="55">
        <v>0.6</v>
      </c>
      <c r="FA45" s="55">
        <v>0.8</v>
      </c>
      <c r="FB45" s="55">
        <v>1</v>
      </c>
      <c r="FC45" s="55">
        <v>1.5</v>
      </c>
      <c r="FD45" s="56">
        <v>1.5</v>
      </c>
      <c r="FE45" s="56">
        <v>1.6</v>
      </c>
      <c r="FF45" s="56">
        <v>1.8</v>
      </c>
      <c r="FG45" s="57">
        <v>2</v>
      </c>
      <c r="FH45" s="57">
        <v>2.5</v>
      </c>
      <c r="FI45" s="55" t="s">
        <v>38</v>
      </c>
      <c r="FJ45" s="55" t="s">
        <v>38</v>
      </c>
      <c r="FK45" s="55">
        <v>0.2</v>
      </c>
      <c r="FL45" s="211" t="s">
        <v>38</v>
      </c>
      <c r="FN45" s="50" t="s">
        <v>34</v>
      </c>
      <c r="FO45" s="51" t="s">
        <v>35</v>
      </c>
      <c r="FP45" s="51" t="s">
        <v>36</v>
      </c>
      <c r="FQ45" s="52">
        <v>0.1</v>
      </c>
      <c r="FR45" s="52">
        <v>0.08</v>
      </c>
      <c r="FS45" s="53" t="s">
        <v>37</v>
      </c>
      <c r="FT45" s="51">
        <v>3</v>
      </c>
      <c r="FU45" s="54">
        <v>12</v>
      </c>
      <c r="FV45" s="55" t="s">
        <v>38</v>
      </c>
      <c r="FW45" s="55">
        <v>0.5</v>
      </c>
      <c r="FX45" s="55">
        <v>0.6</v>
      </c>
      <c r="FY45" s="55">
        <v>0.8</v>
      </c>
      <c r="FZ45" s="55">
        <v>1</v>
      </c>
      <c r="GA45" s="55">
        <v>1.5</v>
      </c>
      <c r="GB45" s="56">
        <v>1.5</v>
      </c>
      <c r="GC45" s="56">
        <v>1.6</v>
      </c>
      <c r="GD45" s="56">
        <v>1.8</v>
      </c>
      <c r="GE45" s="57">
        <v>2</v>
      </c>
      <c r="GF45" s="57">
        <v>2.5</v>
      </c>
      <c r="GG45" s="55" t="s">
        <v>38</v>
      </c>
      <c r="GH45" s="55" t="s">
        <v>38</v>
      </c>
      <c r="GI45" s="55">
        <v>0.2</v>
      </c>
      <c r="GJ45" s="211" t="s">
        <v>38</v>
      </c>
      <c r="GL45" s="50" t="s">
        <v>34</v>
      </c>
      <c r="GM45" s="51" t="s">
        <v>35</v>
      </c>
      <c r="GN45" s="51" t="s">
        <v>36</v>
      </c>
      <c r="GO45" s="52">
        <v>0.1</v>
      </c>
      <c r="GP45" s="52">
        <v>0.08</v>
      </c>
      <c r="GQ45" s="53" t="s">
        <v>37</v>
      </c>
      <c r="GR45" s="51">
        <v>3</v>
      </c>
      <c r="GS45" s="54">
        <v>12</v>
      </c>
      <c r="GT45" s="55" t="s">
        <v>38</v>
      </c>
      <c r="GU45" s="55">
        <v>0.5</v>
      </c>
      <c r="GV45" s="55">
        <v>0.6</v>
      </c>
      <c r="GW45" s="55">
        <v>0.8</v>
      </c>
      <c r="GX45" s="55">
        <v>1</v>
      </c>
      <c r="GY45" s="55">
        <v>1.5</v>
      </c>
      <c r="GZ45" s="56">
        <v>1.5</v>
      </c>
      <c r="HA45" s="56">
        <v>1.6</v>
      </c>
      <c r="HB45" s="56">
        <v>1.8</v>
      </c>
      <c r="HC45" s="57">
        <v>2</v>
      </c>
      <c r="HD45" s="57">
        <v>2.5</v>
      </c>
      <c r="HE45" s="55" t="s">
        <v>38</v>
      </c>
      <c r="HF45" s="55" t="s">
        <v>38</v>
      </c>
      <c r="HG45" s="55">
        <v>0.2</v>
      </c>
      <c r="HH45" s="211" t="s">
        <v>38</v>
      </c>
      <c r="HJ45" s="50" t="s">
        <v>34</v>
      </c>
      <c r="HK45" s="51" t="s">
        <v>35</v>
      </c>
      <c r="HL45" s="51" t="s">
        <v>36</v>
      </c>
      <c r="HM45" s="52">
        <v>0.1</v>
      </c>
      <c r="HN45" s="52">
        <v>0.08</v>
      </c>
      <c r="HO45" s="53" t="s">
        <v>37</v>
      </c>
      <c r="HP45" s="51">
        <v>3</v>
      </c>
      <c r="HQ45" s="54">
        <v>12</v>
      </c>
      <c r="HR45" s="55" t="s">
        <v>38</v>
      </c>
      <c r="HS45" s="55">
        <v>0.5</v>
      </c>
      <c r="HT45" s="55">
        <v>0.6</v>
      </c>
      <c r="HU45" s="55">
        <v>0.8</v>
      </c>
      <c r="HV45" s="55">
        <v>1</v>
      </c>
      <c r="HW45" s="55">
        <v>1.5</v>
      </c>
      <c r="HX45" s="56">
        <v>1.5</v>
      </c>
      <c r="HY45" s="56">
        <v>1.6</v>
      </c>
      <c r="HZ45" s="56">
        <v>1.8</v>
      </c>
      <c r="IA45" s="57">
        <v>2</v>
      </c>
      <c r="IB45" s="57">
        <v>2.5</v>
      </c>
      <c r="IC45" s="55" t="s">
        <v>38</v>
      </c>
      <c r="ID45" s="55" t="s">
        <v>38</v>
      </c>
      <c r="IE45" s="55">
        <v>0.2</v>
      </c>
      <c r="IF45" s="211" t="s">
        <v>38</v>
      </c>
      <c r="IH45" s="50" t="s">
        <v>34</v>
      </c>
      <c r="II45" s="51" t="s">
        <v>35</v>
      </c>
      <c r="IJ45" s="51" t="s">
        <v>36</v>
      </c>
      <c r="IK45" s="52">
        <v>0.1</v>
      </c>
      <c r="IL45" s="52">
        <v>0.08</v>
      </c>
      <c r="IM45" s="53" t="s">
        <v>37</v>
      </c>
      <c r="IN45" s="51">
        <v>3</v>
      </c>
      <c r="IO45" s="54">
        <v>12</v>
      </c>
      <c r="IP45" s="55" t="s">
        <v>38</v>
      </c>
      <c r="IQ45" s="55">
        <v>0.5</v>
      </c>
      <c r="IR45" s="55">
        <v>0.6</v>
      </c>
      <c r="IS45" s="55">
        <v>0.8</v>
      </c>
      <c r="IT45" s="55">
        <v>1</v>
      </c>
      <c r="IU45" s="55">
        <v>1.5</v>
      </c>
      <c r="IV45" s="56">
        <v>1.5</v>
      </c>
      <c r="IW45" s="56">
        <v>1.6</v>
      </c>
      <c r="IX45" s="56">
        <v>1.8</v>
      </c>
      <c r="IY45" s="57">
        <v>2</v>
      </c>
      <c r="IZ45" s="57">
        <v>2.5</v>
      </c>
      <c r="JA45" s="55" t="s">
        <v>38</v>
      </c>
      <c r="JB45" s="55" t="s">
        <v>38</v>
      </c>
      <c r="JC45" s="55">
        <v>0.2</v>
      </c>
      <c r="JD45" s="475" t="s">
        <v>38</v>
      </c>
      <c r="JF45" s="50" t="s">
        <v>34</v>
      </c>
      <c r="JG45" s="51" t="s">
        <v>35</v>
      </c>
      <c r="JH45" s="51" t="s">
        <v>36</v>
      </c>
      <c r="JI45" s="52">
        <v>0.1</v>
      </c>
      <c r="JJ45" s="52">
        <v>0.08</v>
      </c>
      <c r="JK45" s="53" t="s">
        <v>37</v>
      </c>
      <c r="JL45" s="51">
        <v>3</v>
      </c>
      <c r="JM45" s="54">
        <v>12</v>
      </c>
      <c r="JN45" s="55" t="s">
        <v>38</v>
      </c>
      <c r="JO45" s="55">
        <v>0.5</v>
      </c>
      <c r="JP45" s="55">
        <v>0.6</v>
      </c>
      <c r="JQ45" s="55">
        <v>0.8</v>
      </c>
      <c r="JR45" s="55">
        <v>1</v>
      </c>
      <c r="JS45" s="55">
        <v>1.5</v>
      </c>
      <c r="JT45" s="56">
        <v>1.5</v>
      </c>
      <c r="JU45" s="56">
        <v>1.6</v>
      </c>
      <c r="JV45" s="56">
        <v>1.8</v>
      </c>
      <c r="JW45" s="57">
        <v>2</v>
      </c>
      <c r="JX45" s="57">
        <v>2.5</v>
      </c>
      <c r="JY45" s="55" t="s">
        <v>38</v>
      </c>
      <c r="JZ45" s="55" t="s">
        <v>38</v>
      </c>
      <c r="KA45" s="55">
        <v>0.2</v>
      </c>
      <c r="KB45" s="475" t="s">
        <v>38</v>
      </c>
      <c r="KC45" s="37"/>
      <c r="KD45" s="37"/>
      <c r="KE45" s="37"/>
      <c r="KF45" s="37"/>
      <c r="KG45" s="37"/>
      <c r="KH45" s="37"/>
      <c r="KI45" s="37"/>
      <c r="KJ45" s="37"/>
    </row>
    <row r="46" spans="1:296" ht="15.6" x14ac:dyDescent="0.3">
      <c r="A46" s="386"/>
      <c r="B46" s="387"/>
      <c r="C46" s="387"/>
      <c r="D46" s="387"/>
      <c r="E46" s="472" t="s">
        <v>188</v>
      </c>
      <c r="F46" s="472"/>
      <c r="G46" s="472"/>
      <c r="H46" s="472"/>
      <c r="I46" s="472"/>
      <c r="J46" s="472"/>
      <c r="K46" s="472"/>
      <c r="L46" s="472"/>
      <c r="M46" s="472"/>
      <c r="N46" s="472"/>
      <c r="O46" s="472"/>
      <c r="P46" s="472"/>
      <c r="Q46" s="454"/>
      <c r="R46" s="454"/>
      <c r="S46" s="387"/>
      <c r="T46" s="387"/>
      <c r="U46" s="387"/>
      <c r="V46" s="387"/>
      <c r="W46" s="387"/>
      <c r="X46" s="388"/>
      <c r="Y46" s="386"/>
      <c r="Z46" s="387"/>
      <c r="AA46" s="387"/>
      <c r="AB46" s="387"/>
      <c r="AC46" s="472" t="s">
        <v>188</v>
      </c>
      <c r="AD46" s="472"/>
      <c r="AE46" s="472"/>
      <c r="AF46" s="472"/>
      <c r="AG46" s="472"/>
      <c r="AH46" s="472"/>
      <c r="AI46" s="472"/>
      <c r="AJ46" s="472"/>
      <c r="AK46" s="472"/>
      <c r="AL46" s="472"/>
      <c r="AM46" s="472"/>
      <c r="AN46" s="472"/>
      <c r="AO46" s="454"/>
      <c r="AP46" s="454"/>
      <c r="AQ46" s="387"/>
      <c r="AR46" s="387"/>
      <c r="AS46" s="387"/>
      <c r="AT46" s="387"/>
      <c r="AU46" s="387"/>
      <c r="AV46" s="388"/>
      <c r="AW46" s="386"/>
      <c r="AX46" s="387"/>
      <c r="AY46" s="387"/>
      <c r="AZ46" s="387"/>
      <c r="BA46" s="472" t="s">
        <v>188</v>
      </c>
      <c r="BB46" s="472"/>
      <c r="BC46" s="472"/>
      <c r="BD46" s="472"/>
      <c r="BE46" s="472"/>
      <c r="BF46" s="472"/>
      <c r="BG46" s="472"/>
      <c r="BH46" s="472"/>
      <c r="BI46" s="472"/>
      <c r="BJ46" s="472"/>
      <c r="BK46" s="472"/>
      <c r="BL46" s="472"/>
      <c r="BM46" s="454"/>
      <c r="BN46" s="454"/>
      <c r="BO46" s="387"/>
      <c r="BP46" s="387"/>
      <c r="BQ46" s="387"/>
      <c r="BR46" s="387"/>
      <c r="BS46" s="387"/>
      <c r="BT46" s="388"/>
      <c r="BU46" s="386"/>
      <c r="BV46" s="387"/>
      <c r="BW46" s="387"/>
      <c r="BX46" s="387"/>
      <c r="BY46" s="472" t="s">
        <v>188</v>
      </c>
      <c r="BZ46" s="472"/>
      <c r="CA46" s="472"/>
      <c r="CB46" s="472"/>
      <c r="CC46" s="472"/>
      <c r="CD46" s="472"/>
      <c r="CE46" s="472"/>
      <c r="CF46" s="472"/>
      <c r="CG46" s="472"/>
      <c r="CH46" s="472"/>
      <c r="CI46" s="472"/>
      <c r="CJ46" s="472"/>
      <c r="CK46" s="454"/>
      <c r="CL46" s="454"/>
      <c r="CM46" s="387"/>
      <c r="CN46" s="387"/>
      <c r="CO46" s="387"/>
      <c r="CP46" s="387"/>
      <c r="CQ46" s="387"/>
      <c r="CR46" s="388"/>
      <c r="CS46" s="386"/>
      <c r="CT46" s="387"/>
      <c r="CU46" s="387"/>
      <c r="CV46" s="387"/>
      <c r="CW46" s="472" t="s">
        <v>188</v>
      </c>
      <c r="CX46" s="472"/>
      <c r="CY46" s="472"/>
      <c r="CZ46" s="472"/>
      <c r="DA46" s="472"/>
      <c r="DB46" s="472"/>
      <c r="DC46" s="472"/>
      <c r="DD46" s="472"/>
      <c r="DE46" s="472"/>
      <c r="DF46" s="472"/>
      <c r="DG46" s="472"/>
      <c r="DH46" s="472"/>
      <c r="DI46" s="454"/>
      <c r="DJ46" s="454"/>
      <c r="DK46" s="387"/>
      <c r="DL46" s="387"/>
      <c r="DM46" s="387"/>
      <c r="DN46" s="387"/>
      <c r="DO46" s="387"/>
      <c r="DP46" s="388"/>
      <c r="DQ46" s="386"/>
      <c r="DR46" s="387"/>
      <c r="DS46" s="387"/>
      <c r="DT46" s="387"/>
      <c r="DU46" s="472" t="s">
        <v>188</v>
      </c>
      <c r="DV46" s="472"/>
      <c r="DW46" s="472"/>
      <c r="DX46" s="472"/>
      <c r="DY46" s="472"/>
      <c r="DZ46" s="472"/>
      <c r="EA46" s="472"/>
      <c r="EB46" s="472"/>
      <c r="EC46" s="472"/>
      <c r="ED46" s="472"/>
      <c r="EE46" s="472"/>
      <c r="EF46" s="472"/>
      <c r="EG46" s="454"/>
      <c r="EH46" s="454"/>
      <c r="EI46" s="387"/>
      <c r="EJ46" s="387"/>
      <c r="EK46" s="387"/>
      <c r="EL46" s="387"/>
      <c r="EM46" s="387"/>
      <c r="EN46" s="388"/>
      <c r="EO46" s="386"/>
      <c r="EP46" s="387"/>
      <c r="EQ46" s="387"/>
      <c r="ER46" s="387"/>
      <c r="ES46" s="472" t="s">
        <v>188</v>
      </c>
      <c r="ET46" s="472"/>
      <c r="EU46" s="472"/>
      <c r="EV46" s="472"/>
      <c r="EW46" s="472"/>
      <c r="EX46" s="472"/>
      <c r="EY46" s="472"/>
      <c r="EZ46" s="472"/>
      <c r="FA46" s="472"/>
      <c r="FB46" s="472"/>
      <c r="FC46" s="472"/>
      <c r="FD46" s="472"/>
      <c r="FE46" s="454"/>
      <c r="FF46" s="454"/>
      <c r="FG46" s="387"/>
      <c r="FH46" s="387"/>
      <c r="FI46" s="387"/>
      <c r="FJ46" s="387"/>
      <c r="FK46" s="387"/>
      <c r="FL46" s="388"/>
      <c r="FM46" s="386"/>
      <c r="FN46" s="387"/>
      <c r="FO46" s="387"/>
      <c r="FP46" s="387"/>
      <c r="FQ46" s="472" t="s">
        <v>188</v>
      </c>
      <c r="FR46" s="472"/>
      <c r="FS46" s="472"/>
      <c r="FT46" s="472"/>
      <c r="FU46" s="472"/>
      <c r="FV46" s="472"/>
      <c r="FW46" s="472"/>
      <c r="FX46" s="472"/>
      <c r="FY46" s="472"/>
      <c r="FZ46" s="472"/>
      <c r="GA46" s="472"/>
      <c r="GB46" s="472"/>
      <c r="GC46" s="454"/>
      <c r="GD46" s="454"/>
      <c r="GE46" s="387"/>
      <c r="GF46" s="387"/>
      <c r="GG46" s="387"/>
      <c r="GH46" s="387"/>
      <c r="GI46" s="387"/>
      <c r="GJ46" s="388"/>
      <c r="GK46" s="386"/>
      <c r="GL46" s="387"/>
      <c r="GM46" s="387"/>
      <c r="GN46" s="387"/>
      <c r="GO46" s="472" t="s">
        <v>188</v>
      </c>
      <c r="GP46" s="472"/>
      <c r="GQ46" s="472"/>
      <c r="GR46" s="472"/>
      <c r="GS46" s="472"/>
      <c r="GT46" s="472"/>
      <c r="GU46" s="472"/>
      <c r="GV46" s="472"/>
      <c r="GW46" s="472"/>
      <c r="GX46" s="472"/>
      <c r="GY46" s="472"/>
      <c r="GZ46" s="472"/>
      <c r="HA46" s="454"/>
      <c r="HB46" s="454"/>
      <c r="HC46" s="387"/>
      <c r="HD46" s="387"/>
      <c r="HE46" s="387"/>
      <c r="HF46" s="387"/>
      <c r="HG46" s="387"/>
      <c r="HH46" s="388"/>
      <c r="HI46" s="386"/>
      <c r="HJ46" s="387"/>
      <c r="HK46" s="387"/>
      <c r="HL46" s="387"/>
      <c r="HM46" s="472" t="s">
        <v>188</v>
      </c>
      <c r="HN46" s="472"/>
      <c r="HO46" s="472"/>
      <c r="HP46" s="472"/>
      <c r="HQ46" s="472"/>
      <c r="HR46" s="472"/>
      <c r="HS46" s="472"/>
      <c r="HT46" s="472"/>
      <c r="HU46" s="472"/>
      <c r="HV46" s="472"/>
      <c r="HW46" s="472"/>
      <c r="HX46" s="472"/>
      <c r="HY46" s="454"/>
      <c r="HZ46" s="454"/>
      <c r="IA46" s="387"/>
      <c r="IB46" s="387"/>
      <c r="IC46" s="387"/>
      <c r="ID46" s="387"/>
      <c r="IE46" s="387"/>
      <c r="IF46" s="388"/>
      <c r="IG46" s="386"/>
      <c r="IH46" s="387"/>
      <c r="II46" s="387"/>
      <c r="IJ46" s="387"/>
      <c r="IK46" s="472" t="s">
        <v>188</v>
      </c>
      <c r="IL46" s="472"/>
      <c r="IM46" s="472"/>
      <c r="IN46" s="472"/>
      <c r="IO46" s="472"/>
      <c r="IP46" s="472"/>
      <c r="IQ46" s="472"/>
      <c r="IR46" s="472"/>
      <c r="IS46" s="472"/>
      <c r="IT46" s="472"/>
      <c r="IU46" s="472"/>
      <c r="IV46" s="472"/>
      <c r="IW46" s="454"/>
      <c r="IX46" s="454"/>
      <c r="IY46" s="387"/>
      <c r="IZ46" s="387"/>
      <c r="JA46" s="387"/>
      <c r="JB46" s="387"/>
      <c r="JC46" s="387"/>
      <c r="JD46" s="471"/>
      <c r="JE46" s="386"/>
      <c r="JF46" s="387"/>
      <c r="JG46" s="387"/>
      <c r="JH46" s="387"/>
      <c r="JI46" s="472" t="s">
        <v>188</v>
      </c>
      <c r="JJ46" s="472"/>
      <c r="JK46" s="472"/>
      <c r="JL46" s="472"/>
      <c r="JM46" s="472"/>
      <c r="JN46" s="472"/>
      <c r="JO46" s="472"/>
      <c r="JP46" s="472"/>
      <c r="JQ46" s="472"/>
      <c r="JR46" s="472"/>
      <c r="JS46" s="472"/>
      <c r="JT46" s="472"/>
      <c r="JU46" s="454"/>
      <c r="JV46" s="454"/>
      <c r="JW46" s="387"/>
      <c r="JX46" s="387"/>
      <c r="JY46" s="387"/>
      <c r="JZ46" s="387"/>
      <c r="KA46" s="387"/>
      <c r="KB46" s="471"/>
      <c r="KC46" s="37"/>
      <c r="KD46" s="37"/>
      <c r="KE46" s="37"/>
      <c r="KF46" s="37"/>
      <c r="KG46" s="37"/>
      <c r="KH46" s="37"/>
      <c r="KI46" s="37"/>
      <c r="KJ46" s="37"/>
    </row>
    <row r="47" spans="1:296" x14ac:dyDescent="0.3">
      <c r="A47" s="49">
        <v>0</v>
      </c>
      <c r="B47" s="59" t="s">
        <v>196</v>
      </c>
      <c r="C47" s="28">
        <f t="shared" ref="C47:C52" si="606">D47/$AY$4</f>
        <v>12.727272727272727</v>
      </c>
      <c r="D47" s="60">
        <v>2800</v>
      </c>
      <c r="E47" s="28">
        <f>D47*E$45</f>
        <v>280</v>
      </c>
      <c r="F47" s="28">
        <f>D47*F$45</f>
        <v>224</v>
      </c>
      <c r="G47" s="28">
        <f>D47/G$45</f>
        <v>233.33333333333334</v>
      </c>
      <c r="H47" s="63">
        <f>G47/H$45</f>
        <v>77.777777777777786</v>
      </c>
      <c r="I47" s="63">
        <f>D47/I$45</f>
        <v>233.33333333333334</v>
      </c>
      <c r="J47" s="61">
        <f t="shared" ref="J47:J52" si="607">SUM(D47:I47)</f>
        <v>3848.4444444444448</v>
      </c>
      <c r="K47" s="62"/>
      <c r="L47" s="62"/>
      <c r="M47" s="62"/>
      <c r="N47" s="62"/>
      <c r="O47" s="62"/>
      <c r="P47" s="63">
        <f>((C47*P$45)+(C47*E$45)+(C47*F$45))*K47</f>
        <v>0</v>
      </c>
      <c r="Q47" s="63">
        <f>((C47*Q$45)+(C47*E$45)+(C47*F$45))*L47</f>
        <v>0</v>
      </c>
      <c r="R47" s="63">
        <f>((C47*R$45)+(C47*F$45)+(C47*E$45))*M47</f>
        <v>0</v>
      </c>
      <c r="S47" s="63">
        <f>((C47*S$45)+(C47*E$45)+(C47*F$45))*N47</f>
        <v>0</v>
      </c>
      <c r="T47" s="63">
        <f>((C47*T$45)+(C47*E$45)+(C47*F45))*O47</f>
        <v>0</v>
      </c>
      <c r="U47" s="61">
        <f>SUM(P47:T47)</f>
        <v>0</v>
      </c>
      <c r="V47" s="64">
        <v>0</v>
      </c>
      <c r="W47" s="65">
        <f t="shared" ref="W47:W52" si="608">IF(A47=1,($C$1*$W$6),0)</f>
        <v>0</v>
      </c>
      <c r="X47" s="212">
        <f t="shared" ref="X47:X52" si="609">J47+U47+V47+W47</f>
        <v>3848.4444444444448</v>
      </c>
      <c r="Y47" s="49">
        <v>0</v>
      </c>
      <c r="Z47" s="59" t="s">
        <v>196</v>
      </c>
      <c r="AA47" s="28">
        <f t="shared" ref="AA47:AA52" si="610">AB47/$AY$4</f>
        <v>12.727272727272727</v>
      </c>
      <c r="AB47" s="60">
        <v>2800</v>
      </c>
      <c r="AC47" s="28">
        <f>AB47*AC$45</f>
        <v>280</v>
      </c>
      <c r="AD47" s="28">
        <f>AB47*AD$45</f>
        <v>224</v>
      </c>
      <c r="AE47" s="28">
        <f>AB47/AE$45</f>
        <v>233.33333333333334</v>
      </c>
      <c r="AF47" s="63">
        <f>AE47/AF$45</f>
        <v>77.777777777777786</v>
      </c>
      <c r="AG47" s="63">
        <f>AB47/AG$45</f>
        <v>233.33333333333334</v>
      </c>
      <c r="AH47" s="61">
        <f t="shared" ref="AH47:AH52" si="611">SUM(AB47:AG47)</f>
        <v>3848.4444444444448</v>
      </c>
      <c r="AI47" s="62"/>
      <c r="AJ47" s="62"/>
      <c r="AK47" s="62"/>
      <c r="AL47" s="62"/>
      <c r="AM47" s="62"/>
      <c r="AN47" s="63">
        <f>((AA47*AN$45)+(AA47*AC$45)+(AA47*AD$45))*AI47</f>
        <v>0</v>
      </c>
      <c r="AO47" s="63">
        <f>((AA47*AO$45)+(AA47*AC$45)+(AA47*AD$45))*AJ47</f>
        <v>0</v>
      </c>
      <c r="AP47" s="63">
        <f>((AA47*AP$45)+(AA47*AD$45)+(AA47*AC$45))*AK47</f>
        <v>0</v>
      </c>
      <c r="AQ47" s="63">
        <f>((AA47*AQ$45)+(AA47*AC$45)+(AA47*AD$45))*AL47</f>
        <v>0</v>
      </c>
      <c r="AR47" s="63">
        <f>((AA47*AR$45)+(AA47*AC$45)+(AA47*AD45))*AM47</f>
        <v>0</v>
      </c>
      <c r="AS47" s="61">
        <f>SUM(AN47:AR47)</f>
        <v>0</v>
      </c>
      <c r="AT47" s="64">
        <v>0</v>
      </c>
      <c r="AU47" s="65">
        <f t="shared" ref="AU47:AU52" si="612">IF(Y47=1,($C$1*$W$6),0)</f>
        <v>0</v>
      </c>
      <c r="AV47" s="212">
        <f t="shared" ref="AV47:AV52" si="613">AH47+AS47+AT47+AU47</f>
        <v>3848.4444444444448</v>
      </c>
      <c r="AW47" s="49">
        <v>0</v>
      </c>
      <c r="AX47" s="59" t="s">
        <v>196</v>
      </c>
      <c r="AY47" s="28">
        <f t="shared" ref="AY47:AY52" si="614">AZ47/$AY$4</f>
        <v>12.727272727272727</v>
      </c>
      <c r="AZ47" s="60">
        <v>2800</v>
      </c>
      <c r="BA47" s="28">
        <f>AZ47*BA$45</f>
        <v>280</v>
      </c>
      <c r="BB47" s="28">
        <f>AZ47*BB$45</f>
        <v>224</v>
      </c>
      <c r="BC47" s="28">
        <f>AZ47/BC$45</f>
        <v>233.33333333333334</v>
      </c>
      <c r="BD47" s="63">
        <f>BC47/BD$45</f>
        <v>77.777777777777786</v>
      </c>
      <c r="BE47" s="63">
        <f>AZ47/BE$45</f>
        <v>233.33333333333334</v>
      </c>
      <c r="BF47" s="61">
        <f t="shared" ref="BF47:BF52" si="615">SUM(AZ47:BE47)</f>
        <v>3848.4444444444448</v>
      </c>
      <c r="BG47" s="62"/>
      <c r="BH47" s="62"/>
      <c r="BI47" s="62"/>
      <c r="BJ47" s="62"/>
      <c r="BK47" s="62"/>
      <c r="BL47" s="63">
        <f>((AY47*BL$45)+(AY47*BA$45)+(AY47*BB$45))*BG47</f>
        <v>0</v>
      </c>
      <c r="BM47" s="63">
        <f>((AY47*BM$45)+(AY47*BA$45)+(AY47*BB$45))*BH47</f>
        <v>0</v>
      </c>
      <c r="BN47" s="63">
        <f>((AY47*BN$45)+(AY47*BB$45)+(AY47*BA$45))*BI47</f>
        <v>0</v>
      </c>
      <c r="BO47" s="63">
        <f>((AY47*BO$45)+(AY47*BA$45)+(AY47*BB$45))*BJ47</f>
        <v>0</v>
      </c>
      <c r="BP47" s="63">
        <f>((AY47*BP$45)+(AY47*BA$45)+(AY47*BB45))*BK47</f>
        <v>0</v>
      </c>
      <c r="BQ47" s="61">
        <f>SUM(BL47:BP47)</f>
        <v>0</v>
      </c>
      <c r="BR47" s="64">
        <v>0</v>
      </c>
      <c r="BS47" s="65">
        <f t="shared" ref="BS47:BS52" si="616">IF(AW47=1,($C$1*$W$6),0)</f>
        <v>0</v>
      </c>
      <c r="BT47" s="212">
        <f t="shared" ref="BT47:BT52" si="617">BF47+BQ47+BR47+BS47</f>
        <v>3848.4444444444448</v>
      </c>
      <c r="BU47" s="49">
        <v>0</v>
      </c>
      <c r="BV47" s="59" t="s">
        <v>196</v>
      </c>
      <c r="BW47" s="28">
        <f t="shared" ref="BW47:BW52" si="618">BX47/$AY$4</f>
        <v>12.727272727272727</v>
      </c>
      <c r="BX47" s="60">
        <v>2800</v>
      </c>
      <c r="BY47" s="28">
        <f>BX47*BY$45</f>
        <v>280</v>
      </c>
      <c r="BZ47" s="28">
        <f>BX47*BZ$45</f>
        <v>224</v>
      </c>
      <c r="CA47" s="28">
        <f>BX47/CA$45</f>
        <v>233.33333333333334</v>
      </c>
      <c r="CB47" s="63">
        <f>CA47/CB$45</f>
        <v>77.777777777777786</v>
      </c>
      <c r="CC47" s="63">
        <f>BX47/CC$45</f>
        <v>233.33333333333334</v>
      </c>
      <c r="CD47" s="61">
        <f t="shared" ref="CD47:CD52" si="619">SUM(BX47:CC47)</f>
        <v>3848.4444444444448</v>
      </c>
      <c r="CE47" s="62"/>
      <c r="CF47" s="62"/>
      <c r="CG47" s="62"/>
      <c r="CH47" s="62"/>
      <c r="CI47" s="62"/>
      <c r="CJ47" s="63">
        <f>((BW47*CJ$45)+(BW47*BY$45)+(BW47*BZ$45))*CE47</f>
        <v>0</v>
      </c>
      <c r="CK47" s="63">
        <f>((BW47*CK$45)+(BW47*BY$45)+(BW47*BZ$45))*CF47</f>
        <v>0</v>
      </c>
      <c r="CL47" s="63">
        <f>((BW47*CL$45)+(BW47*BZ$45)+(BW47*BY$45))*CG47</f>
        <v>0</v>
      </c>
      <c r="CM47" s="63">
        <f>((BW47*CM$45)+(BW47*BY$45)+(BW47*BZ$45))*CH47</f>
        <v>0</v>
      </c>
      <c r="CN47" s="63">
        <f>((BW47*CN$45)+(BW47*BY$45)+(BW47*BZ45))*CI47</f>
        <v>0</v>
      </c>
      <c r="CO47" s="61">
        <f>SUM(CJ47:CN47)</f>
        <v>0</v>
      </c>
      <c r="CP47" s="64">
        <v>0</v>
      </c>
      <c r="CQ47" s="65">
        <f t="shared" ref="CQ47:CQ52" si="620">IF(BU47=1,($C$1*$W$6),0)</f>
        <v>0</v>
      </c>
      <c r="CR47" s="212">
        <f t="shared" ref="CR47:CR52" si="621">CD47+CO47+CP47+CQ47</f>
        <v>3848.4444444444448</v>
      </c>
      <c r="CS47" s="49">
        <v>0</v>
      </c>
      <c r="CT47" s="59" t="s">
        <v>196</v>
      </c>
      <c r="CU47" s="28">
        <f t="shared" ref="CU47:CU52" si="622">CV47/$AY$4</f>
        <v>12.727272727272727</v>
      </c>
      <c r="CV47" s="60">
        <v>2800</v>
      </c>
      <c r="CW47" s="28">
        <f>CV47*CW$45</f>
        <v>280</v>
      </c>
      <c r="CX47" s="28">
        <f>CV47*CX$45</f>
        <v>224</v>
      </c>
      <c r="CY47" s="28">
        <f>CV47/CY$45</f>
        <v>233.33333333333334</v>
      </c>
      <c r="CZ47" s="63">
        <f>CY47/CZ$45</f>
        <v>77.777777777777786</v>
      </c>
      <c r="DA47" s="63">
        <f>CV47/DA$45</f>
        <v>233.33333333333334</v>
      </c>
      <c r="DB47" s="61">
        <f t="shared" ref="DB47:DB52" si="623">SUM(CV47:DA47)</f>
        <v>3848.4444444444448</v>
      </c>
      <c r="DC47" s="62"/>
      <c r="DD47" s="62"/>
      <c r="DE47" s="62"/>
      <c r="DF47" s="62"/>
      <c r="DG47" s="62"/>
      <c r="DH47" s="63">
        <f>((CU47*DH$45)+(CU47*CW$45)+(CU47*CX$45))*DC47</f>
        <v>0</v>
      </c>
      <c r="DI47" s="63">
        <f>((CU47*DI$45)+(CU47*CW$45)+(CU47*CX$45))*DD47</f>
        <v>0</v>
      </c>
      <c r="DJ47" s="63">
        <f>((CU47*DJ$45)+(CU47*CX$45)+(CU47*CW$45))*DE47</f>
        <v>0</v>
      </c>
      <c r="DK47" s="63">
        <f>((CU47*DK$45)+(CU47*CW$45)+(CU47*CX$45))*DF47</f>
        <v>0</v>
      </c>
      <c r="DL47" s="63">
        <f>((CU47*DL$45)+(CU47*CW$45)+(CU47*CX45))*DG47</f>
        <v>0</v>
      </c>
      <c r="DM47" s="61">
        <f>SUM(DH47:DL47)</f>
        <v>0</v>
      </c>
      <c r="DN47" s="64">
        <v>0</v>
      </c>
      <c r="DO47" s="65">
        <f t="shared" ref="DO47:DO52" si="624">IF(CS47=1,($C$1*$W$6),0)</f>
        <v>0</v>
      </c>
      <c r="DP47" s="212">
        <f t="shared" ref="DP47:DP52" si="625">DB47+DM47+DN47+DO47</f>
        <v>3848.4444444444448</v>
      </c>
      <c r="DQ47" s="49">
        <v>0</v>
      </c>
      <c r="DR47" s="59" t="s">
        <v>196</v>
      </c>
      <c r="DS47" s="28">
        <f t="shared" ref="DS47:DS52" si="626">DT47/$AY$4</f>
        <v>12.727272727272727</v>
      </c>
      <c r="DT47" s="60">
        <v>2800</v>
      </c>
      <c r="DU47" s="28">
        <f>DT47*DU$45</f>
        <v>280</v>
      </c>
      <c r="DV47" s="28">
        <f>DT47*DV$45</f>
        <v>224</v>
      </c>
      <c r="DW47" s="28">
        <f>DT47/DW$45</f>
        <v>233.33333333333334</v>
      </c>
      <c r="DX47" s="63">
        <f>DW47/DX$45</f>
        <v>77.777777777777786</v>
      </c>
      <c r="DY47" s="63">
        <f>DT47/DY$45</f>
        <v>233.33333333333334</v>
      </c>
      <c r="DZ47" s="61">
        <f t="shared" ref="DZ47:DZ52" si="627">SUM(DT47:DY47)</f>
        <v>3848.4444444444448</v>
      </c>
      <c r="EA47" s="62"/>
      <c r="EB47" s="62"/>
      <c r="EC47" s="62"/>
      <c r="ED47" s="62"/>
      <c r="EE47" s="62"/>
      <c r="EF47" s="63">
        <f>((DS47*EF$45)+(DS47*DU$45)+(DS47*DV$45))*EA47</f>
        <v>0</v>
      </c>
      <c r="EG47" s="63">
        <f>((DS47*EG$45)+(DS47*DU$45)+(DS47*DV$45))*EB47</f>
        <v>0</v>
      </c>
      <c r="EH47" s="63">
        <f>((DS47*EH$45)+(DS47*DV$45)+(DS47*DU$45))*EC47</f>
        <v>0</v>
      </c>
      <c r="EI47" s="63">
        <f>((DS47*EI$45)+(DS47*DU$45)+(DS47*DV$45))*ED47</f>
        <v>0</v>
      </c>
      <c r="EJ47" s="63">
        <f>((DS47*EJ$45)+(DS47*DU$45)+(DS47*DV45))*EE47</f>
        <v>0</v>
      </c>
      <c r="EK47" s="61">
        <f>SUM(EF47:EJ47)</f>
        <v>0</v>
      </c>
      <c r="EL47" s="64">
        <v>0</v>
      </c>
      <c r="EM47" s="65">
        <f t="shared" ref="EM47:EM52" si="628">IF(DQ47=1,($C$1*$W$6),0)</f>
        <v>0</v>
      </c>
      <c r="EN47" s="212">
        <f t="shared" ref="EN47:EN52" si="629">DZ47+EK47+EL47+EM47</f>
        <v>3848.4444444444448</v>
      </c>
      <c r="EO47" s="49">
        <v>0</v>
      </c>
      <c r="EP47" s="59" t="s">
        <v>196</v>
      </c>
      <c r="EQ47" s="28">
        <f t="shared" ref="EQ47:EQ52" si="630">ER47/$AY$4</f>
        <v>12.727272727272727</v>
      </c>
      <c r="ER47" s="60">
        <v>2800</v>
      </c>
      <c r="ES47" s="28">
        <f>ER47*ES$45</f>
        <v>280</v>
      </c>
      <c r="ET47" s="28">
        <f>ER47*ET$45</f>
        <v>224</v>
      </c>
      <c r="EU47" s="28">
        <f>ER47/EU$45</f>
        <v>233.33333333333334</v>
      </c>
      <c r="EV47" s="63">
        <f>EU47/EV$45</f>
        <v>77.777777777777786</v>
      </c>
      <c r="EW47" s="63">
        <f>ER47/EW$45</f>
        <v>233.33333333333334</v>
      </c>
      <c r="EX47" s="61">
        <f t="shared" ref="EX47:EX52" si="631">SUM(ER47:EW47)</f>
        <v>3848.4444444444448</v>
      </c>
      <c r="EY47" s="62"/>
      <c r="EZ47" s="62"/>
      <c r="FA47" s="62"/>
      <c r="FB47" s="62"/>
      <c r="FC47" s="62"/>
      <c r="FD47" s="63">
        <f>((EQ47*FD$45)+(EQ47*ES$45)+(EQ47*ET$45))*EY47</f>
        <v>0</v>
      </c>
      <c r="FE47" s="63">
        <f>((EQ47*FE$45)+(EQ47*ES$45)+(EQ47*ET$45))*EZ47</f>
        <v>0</v>
      </c>
      <c r="FF47" s="63">
        <f>((EQ47*FF$45)+(EQ47*ET$45)+(EQ47*ES$45))*FA47</f>
        <v>0</v>
      </c>
      <c r="FG47" s="63">
        <f>((EQ47*FG$45)+(EQ47*ES$45)+(EQ47*ET$45))*FB47</f>
        <v>0</v>
      </c>
      <c r="FH47" s="63">
        <f>((EQ47*FH$45)+(EQ47*ES$45)+(EQ47*ET45))*FC47</f>
        <v>0</v>
      </c>
      <c r="FI47" s="61">
        <f>SUM(FD47:FH47)</f>
        <v>0</v>
      </c>
      <c r="FJ47" s="64">
        <v>0</v>
      </c>
      <c r="FK47" s="65">
        <f t="shared" ref="FK47:FK52" si="632">IF(EO47=1,($C$1*$W$6),0)</f>
        <v>0</v>
      </c>
      <c r="FL47" s="212">
        <f t="shared" ref="FL47:FL52" si="633">EX47+FI47+FJ47+FK47</f>
        <v>3848.4444444444448</v>
      </c>
      <c r="FM47" s="49">
        <v>0</v>
      </c>
      <c r="FN47" s="59" t="s">
        <v>196</v>
      </c>
      <c r="FO47" s="28">
        <f t="shared" ref="FO47:FO52" si="634">FP47/$AY$4</f>
        <v>12.727272727272727</v>
      </c>
      <c r="FP47" s="60">
        <v>2800</v>
      </c>
      <c r="FQ47" s="28">
        <f>FP47*FQ$45</f>
        <v>280</v>
      </c>
      <c r="FR47" s="28">
        <f>FP47*FR$45</f>
        <v>224</v>
      </c>
      <c r="FS47" s="28">
        <f>FP47/FS$45</f>
        <v>233.33333333333334</v>
      </c>
      <c r="FT47" s="63">
        <f>FS47/FT$45</f>
        <v>77.777777777777786</v>
      </c>
      <c r="FU47" s="63">
        <f>FP47/FU$45</f>
        <v>233.33333333333334</v>
      </c>
      <c r="FV47" s="61">
        <f t="shared" ref="FV47:FV52" si="635">SUM(FP47:FU47)</f>
        <v>3848.4444444444448</v>
      </c>
      <c r="FW47" s="62"/>
      <c r="FX47" s="62"/>
      <c r="FY47" s="62"/>
      <c r="FZ47" s="62"/>
      <c r="GA47" s="62"/>
      <c r="GB47" s="63">
        <f>((FO47*GB$45)+(FO47*FQ$45)+(FO47*FR$45))*FW47</f>
        <v>0</v>
      </c>
      <c r="GC47" s="63">
        <f>((FO47*GC$45)+(FO47*FQ$45)+(FO47*FR$45))*FX47</f>
        <v>0</v>
      </c>
      <c r="GD47" s="63">
        <f>((FO47*GD$45)+(FO47*FR$45)+(FO47*FQ$45))*FY47</f>
        <v>0</v>
      </c>
      <c r="GE47" s="63">
        <f>((FO47*GE$45)+(FO47*FQ$45)+(FO47*FR$45))*FZ47</f>
        <v>0</v>
      </c>
      <c r="GF47" s="63">
        <f>((FO47*GF$45)+(FO47*FQ$45)+(FO47*FR45))*GA47</f>
        <v>0</v>
      </c>
      <c r="GG47" s="61">
        <f>SUM(GB47:GF47)</f>
        <v>0</v>
      </c>
      <c r="GH47" s="64">
        <v>0</v>
      </c>
      <c r="GI47" s="65">
        <f t="shared" ref="GI47:GI52" si="636">IF(FM47=1,($C$1*$W$6),0)</f>
        <v>0</v>
      </c>
      <c r="GJ47" s="212">
        <f t="shared" ref="GJ47:GJ52" si="637">FV47+GG47+GH47+GI47</f>
        <v>3848.4444444444448</v>
      </c>
      <c r="GK47" s="49">
        <v>0</v>
      </c>
      <c r="GL47" s="59" t="s">
        <v>224</v>
      </c>
      <c r="GM47" s="28">
        <f t="shared" ref="GM47:GM52" si="638">GN47/$AY$4</f>
        <v>10</v>
      </c>
      <c r="GN47" s="60">
        <v>2200</v>
      </c>
      <c r="GO47" s="28">
        <f>GN47*GO$45</f>
        <v>220</v>
      </c>
      <c r="GP47" s="28">
        <f>GN47*GP$45</f>
        <v>176</v>
      </c>
      <c r="GQ47" s="28">
        <f>GN47/GQ$45</f>
        <v>183.33333333333334</v>
      </c>
      <c r="GR47" s="63">
        <f>GQ47/GR$45</f>
        <v>61.111111111111114</v>
      </c>
      <c r="GS47" s="63">
        <f>GN47/GS$45</f>
        <v>183.33333333333334</v>
      </c>
      <c r="GT47" s="61">
        <f t="shared" ref="GT47:GT52" si="639">SUM(GN47:GS47)</f>
        <v>3023.7777777777783</v>
      </c>
      <c r="GU47" s="62"/>
      <c r="GV47" s="62"/>
      <c r="GW47" s="62"/>
      <c r="GX47" s="62"/>
      <c r="GY47" s="62"/>
      <c r="GZ47" s="63">
        <f>((GM47*GZ$45)+(GM47*GO$45)+(GM47*GP$45))*GU47</f>
        <v>0</v>
      </c>
      <c r="HA47" s="63">
        <f>((GM47*HA$45)+(GM47*GO$45)+(GM47*GP$45))*GV47</f>
        <v>0</v>
      </c>
      <c r="HB47" s="63">
        <f>((GM47*HB$45)+(GM47*GP$45)+(GM47*GO$45))*GW47</f>
        <v>0</v>
      </c>
      <c r="HC47" s="63">
        <f>((GM47*HC$45)+(GM47*GO$45)+(GM47*GP$45))*GX47</f>
        <v>0</v>
      </c>
      <c r="HD47" s="63">
        <f>((GM47*HD$45)+(GM47*GO$45)+(GM47*GP45))*GY47</f>
        <v>0</v>
      </c>
      <c r="HE47" s="61">
        <f>SUM(GZ47:HD47)</f>
        <v>0</v>
      </c>
      <c r="HF47" s="64">
        <v>0</v>
      </c>
      <c r="HG47" s="65">
        <f t="shared" ref="HG47:HG52" si="640">IF(GK47=1,($C$1*$W$6),0)</f>
        <v>0</v>
      </c>
      <c r="HH47" s="212">
        <f t="shared" ref="HH47:HH52" si="641">GT47+HE47+HF47+HG47</f>
        <v>3023.7777777777783</v>
      </c>
      <c r="HI47" s="49">
        <v>0</v>
      </c>
      <c r="HJ47" s="59" t="s">
        <v>223</v>
      </c>
      <c r="HK47" s="28">
        <f t="shared" ref="HK47:HK52" si="642">HL47/$AY$4</f>
        <v>10</v>
      </c>
      <c r="HL47" s="60">
        <v>2200</v>
      </c>
      <c r="HM47" s="28">
        <f>HL47*HM$45</f>
        <v>220</v>
      </c>
      <c r="HN47" s="28">
        <f>HL47*HN$45</f>
        <v>176</v>
      </c>
      <c r="HO47" s="28">
        <f>HL47/HO$45</f>
        <v>183.33333333333334</v>
      </c>
      <c r="HP47" s="63">
        <f>HO47/HP$45</f>
        <v>61.111111111111114</v>
      </c>
      <c r="HQ47" s="63">
        <f>HL47/HQ$45</f>
        <v>183.33333333333334</v>
      </c>
      <c r="HR47" s="61">
        <f t="shared" ref="HR47:HR52" si="643">SUM(HL47:HQ47)</f>
        <v>3023.7777777777783</v>
      </c>
      <c r="HS47" s="62"/>
      <c r="HT47" s="62"/>
      <c r="HU47" s="62"/>
      <c r="HV47" s="62"/>
      <c r="HW47" s="62"/>
      <c r="HX47" s="63">
        <f>((HK47*HX$45)+(HK47*HM$45)+(HK47*HN$45))*HS47</f>
        <v>0</v>
      </c>
      <c r="HY47" s="63">
        <f>((HK47*HY$45)+(HK47*HM$45)+(HK47*HN$45))*HT47</f>
        <v>0</v>
      </c>
      <c r="HZ47" s="63">
        <f>((HK47*HZ$45)+(HK47*HN$45)+(HK47*HM$45))*HU47</f>
        <v>0</v>
      </c>
      <c r="IA47" s="63">
        <f>((HK47*IA$45)+(HK47*HM$45)+(HK47*HN$45))*HV47</f>
        <v>0</v>
      </c>
      <c r="IB47" s="63">
        <f>((HK47*IB$45)+(HK47*HM$45)+(HK47*HN45))*HW47</f>
        <v>0</v>
      </c>
      <c r="IC47" s="61">
        <f>SUM(HX47:IB47)</f>
        <v>0</v>
      </c>
      <c r="ID47" s="64">
        <v>0</v>
      </c>
      <c r="IE47" s="65">
        <f t="shared" ref="IE47:IE52" si="644">IF(HI47=1,($C$1*$W$6),0)</f>
        <v>0</v>
      </c>
      <c r="IF47" s="212">
        <f t="shared" ref="IF47:IF52" si="645">HR47+IC47+ID47+IE47</f>
        <v>3023.7777777777783</v>
      </c>
      <c r="IG47" s="49">
        <v>0</v>
      </c>
      <c r="IH47" s="59" t="s">
        <v>245</v>
      </c>
      <c r="II47" s="28">
        <f t="shared" ref="II47:II52" si="646">IJ47/$AY$4</f>
        <v>10</v>
      </c>
      <c r="IJ47" s="60">
        <v>2200</v>
      </c>
      <c r="IK47" s="28">
        <f t="shared" ref="IK47:IK52" si="647">IJ47*IK$45</f>
        <v>220</v>
      </c>
      <c r="IL47" s="28">
        <f t="shared" ref="IL47:IL52" si="648">IJ47*IL$45</f>
        <v>176</v>
      </c>
      <c r="IM47" s="28">
        <f t="shared" ref="IM47:IM52" si="649">IJ47/IM$45</f>
        <v>183.33333333333334</v>
      </c>
      <c r="IN47" s="63">
        <f t="shared" ref="IN47:IN52" si="650">IM47/IN$45</f>
        <v>61.111111111111114</v>
      </c>
      <c r="IO47" s="63">
        <f t="shared" ref="IO47:IO52" si="651">IJ47/IO$45</f>
        <v>183.33333333333334</v>
      </c>
      <c r="IP47" s="61">
        <f t="shared" ref="IP47:IP52" si="652">SUM(IJ47:IO47)</f>
        <v>3023.7777777777783</v>
      </c>
      <c r="IQ47" s="62"/>
      <c r="IR47" s="62"/>
      <c r="IS47" s="62"/>
      <c r="IT47" s="62"/>
      <c r="IU47" s="62"/>
      <c r="IV47" s="63">
        <f t="shared" ref="IV47:IV52" si="653">((II47*IV$45)+(II47*IK$45)+(II47*IL$45))*IQ47</f>
        <v>0</v>
      </c>
      <c r="IW47" s="63">
        <f t="shared" ref="IW47:IW52" si="654">((II47*IW$45)+(II47*IK$45)+(II47*IL$45))*IR47</f>
        <v>0</v>
      </c>
      <c r="IX47" s="63">
        <f t="shared" ref="IX47:IX52" si="655">((II47*IX$45)+(II47*IL$45)+(II47*IK$45))*IS47</f>
        <v>0</v>
      </c>
      <c r="IY47" s="63">
        <f t="shared" ref="IY47:IY52" si="656">((II47*IY$45)+(II47*IK$45)+(II47*IL$45))*IT47</f>
        <v>0</v>
      </c>
      <c r="IZ47" s="63">
        <f t="shared" ref="IZ47:IZ52" si="657">((II47*IZ$45)+(II47*IK$45)+(II47*IL45))*IU47</f>
        <v>0</v>
      </c>
      <c r="JA47" s="61">
        <f>SUM(IV47:IZ47)</f>
        <v>0</v>
      </c>
      <c r="JB47" s="64">
        <v>0</v>
      </c>
      <c r="JC47" s="65">
        <f t="shared" ref="JC47:JC52" si="658">IF(IG47=1,($C$1*$W$6),0)</f>
        <v>0</v>
      </c>
      <c r="JD47" s="476">
        <f t="shared" ref="JD47:JD52" si="659">IP47+JA47+JB47+JC47</f>
        <v>3023.7777777777783</v>
      </c>
      <c r="JE47" s="49">
        <v>0</v>
      </c>
      <c r="JF47" s="59" t="s">
        <v>223</v>
      </c>
      <c r="JG47" s="28">
        <f t="shared" ref="JG47:JG52" si="660">JH47/$AY$4</f>
        <v>10</v>
      </c>
      <c r="JH47" s="60">
        <v>2200</v>
      </c>
      <c r="JI47" s="28">
        <f t="shared" ref="JI47:JI52" si="661">JH47*JI$45</f>
        <v>220</v>
      </c>
      <c r="JJ47" s="28">
        <f t="shared" ref="JJ47:JJ52" si="662">JH47*JJ$45</f>
        <v>176</v>
      </c>
      <c r="JK47" s="28">
        <f t="shared" ref="JK47:JK52" si="663">JH47/JK$45</f>
        <v>183.33333333333334</v>
      </c>
      <c r="JL47" s="63">
        <f t="shared" ref="JL47:JL52" si="664">JK47/JL$45</f>
        <v>61.111111111111114</v>
      </c>
      <c r="JM47" s="63">
        <f t="shared" ref="JM47:JM52" si="665">JH47/JM$45</f>
        <v>183.33333333333334</v>
      </c>
      <c r="JN47" s="61">
        <f t="shared" ref="JN47:JN52" si="666">SUM(JH47:JM47)</f>
        <v>3023.7777777777783</v>
      </c>
      <c r="JO47" s="62"/>
      <c r="JP47" s="62"/>
      <c r="JQ47" s="62"/>
      <c r="JR47" s="62"/>
      <c r="JS47" s="62"/>
      <c r="JT47" s="63">
        <f t="shared" ref="JT47:JT52" si="667">((JG47*JT$45)+(JG47*JI$45)+(JG47*JJ$45))*JO47</f>
        <v>0</v>
      </c>
      <c r="JU47" s="63">
        <f t="shared" ref="JU47:JU52" si="668">((JG47*JU$45)+(JG47*JI$45)+(JG47*JJ$45))*JP47</f>
        <v>0</v>
      </c>
      <c r="JV47" s="63">
        <f t="shared" ref="JV47:JV52" si="669">((JG47*JV$45)+(JG47*JJ$45)+(JG47*JI$45))*JQ47</f>
        <v>0</v>
      </c>
      <c r="JW47" s="63">
        <f t="shared" ref="JW47:JW52" si="670">((JG47*JW$45)+(JG47*JI$45)+(JG47*JJ$45))*JR47</f>
        <v>0</v>
      </c>
      <c r="JX47" s="63">
        <f t="shared" ref="JX47:JX52" si="671">((JG47*JX$45)+(JG47*JI$45)+(JG47*JJ45))*JS47</f>
        <v>0</v>
      </c>
      <c r="JY47" s="61">
        <f>SUM(JT47:JX47)</f>
        <v>0</v>
      </c>
      <c r="JZ47" s="64">
        <v>0</v>
      </c>
      <c r="KA47" s="65">
        <f t="shared" ref="KA47:KA52" si="672">IF(JE47=1,($C$1*$W$6),0)</f>
        <v>0</v>
      </c>
      <c r="KB47" s="476">
        <f t="shared" ref="KB47:KB52" si="673">JN47+JY47+JZ47+KA47</f>
        <v>3023.7777777777783</v>
      </c>
      <c r="KC47" s="37"/>
      <c r="KD47" s="37"/>
      <c r="KE47" s="37"/>
      <c r="KF47" s="37"/>
      <c r="KG47" s="37"/>
      <c r="KH47" s="37"/>
      <c r="KI47" s="37"/>
      <c r="KJ47" s="37"/>
    </row>
    <row r="48" spans="1:296" x14ac:dyDescent="0.3">
      <c r="A48" s="49">
        <v>0</v>
      </c>
      <c r="B48" s="59" t="s">
        <v>197</v>
      </c>
      <c r="C48" s="28">
        <f t="shared" si="606"/>
        <v>10</v>
      </c>
      <c r="D48" s="28">
        <v>2200</v>
      </c>
      <c r="E48" s="28">
        <f t="shared" ref="E48:E52" si="674">D48*E$45</f>
        <v>220</v>
      </c>
      <c r="F48" s="28">
        <f t="shared" ref="F48:F52" si="675">D48*F$45</f>
        <v>176</v>
      </c>
      <c r="G48" s="28">
        <f t="shared" ref="G48:G52" si="676">D48/G$45</f>
        <v>183.33333333333334</v>
      </c>
      <c r="H48" s="63">
        <f t="shared" ref="H48:H52" si="677">G48/H$45</f>
        <v>61.111111111111114</v>
      </c>
      <c r="I48" s="63">
        <f t="shared" ref="I48:I52" si="678">D48/I$45</f>
        <v>183.33333333333334</v>
      </c>
      <c r="J48" s="61">
        <f t="shared" si="607"/>
        <v>3023.7777777777783</v>
      </c>
      <c r="K48" s="62"/>
      <c r="L48" s="62"/>
      <c r="M48" s="62"/>
      <c r="N48" s="62"/>
      <c r="O48" s="62"/>
      <c r="P48" s="63">
        <f t="shared" ref="P48:P52" si="679">((C48*P$45)+(C48*E$45)+(C48*F$45))*K48</f>
        <v>0</v>
      </c>
      <c r="Q48" s="63">
        <f t="shared" ref="Q48:Q52" si="680">((C48*Q$45)+(C48*E$45)+(C48*F$45))*L48</f>
        <v>0</v>
      </c>
      <c r="R48" s="63">
        <f t="shared" ref="R48:R52" si="681">((C48*R$45)+(C48*F$45)+(C48*E$45))*M48</f>
        <v>0</v>
      </c>
      <c r="S48" s="63">
        <f t="shared" ref="S48:S52" si="682">((C48*S$45)+(C48*E$45)+(C48*F$45))*N48</f>
        <v>0</v>
      </c>
      <c r="T48" s="63">
        <f t="shared" ref="T48:T52" si="683">((C48*T$45)+(C48*E$45)+(C48*F46))*O48</f>
        <v>0</v>
      </c>
      <c r="U48" s="61">
        <f t="shared" ref="U48:U52" si="684">SUM(P48:T48)</f>
        <v>0</v>
      </c>
      <c r="V48" s="64">
        <v>0</v>
      </c>
      <c r="W48" s="65">
        <f t="shared" si="608"/>
        <v>0</v>
      </c>
      <c r="X48" s="212">
        <f t="shared" si="609"/>
        <v>3023.7777777777783</v>
      </c>
      <c r="Y48" s="49">
        <v>0</v>
      </c>
      <c r="Z48" s="59" t="s">
        <v>197</v>
      </c>
      <c r="AA48" s="28">
        <f t="shared" si="610"/>
        <v>10</v>
      </c>
      <c r="AB48" s="28">
        <v>2200</v>
      </c>
      <c r="AC48" s="28">
        <f t="shared" ref="AC48:AC52" si="685">AB48*AC$45</f>
        <v>220</v>
      </c>
      <c r="AD48" s="28">
        <f t="shared" ref="AD48:AD52" si="686">AB48*AD$45</f>
        <v>176</v>
      </c>
      <c r="AE48" s="28">
        <f t="shared" ref="AE48:AE52" si="687">AB48/AE$45</f>
        <v>183.33333333333334</v>
      </c>
      <c r="AF48" s="63">
        <f t="shared" ref="AF48:AF52" si="688">AE48/AF$45</f>
        <v>61.111111111111114</v>
      </c>
      <c r="AG48" s="63">
        <f t="shared" ref="AG48:AG52" si="689">AB48/AG$45</f>
        <v>183.33333333333334</v>
      </c>
      <c r="AH48" s="61">
        <f t="shared" si="611"/>
        <v>3023.7777777777783</v>
      </c>
      <c r="AI48" s="62"/>
      <c r="AJ48" s="62"/>
      <c r="AK48" s="62"/>
      <c r="AL48" s="62"/>
      <c r="AM48" s="62"/>
      <c r="AN48" s="63">
        <f t="shared" ref="AN48:AN52" si="690">((AA48*AN$45)+(AA48*AC$45)+(AA48*AD$45))*AI48</f>
        <v>0</v>
      </c>
      <c r="AO48" s="63">
        <f t="shared" ref="AO48:AO52" si="691">((AA48*AO$45)+(AA48*AC$45)+(AA48*AD$45))*AJ48</f>
        <v>0</v>
      </c>
      <c r="AP48" s="63">
        <f t="shared" ref="AP48:AP52" si="692">((AA48*AP$45)+(AA48*AD$45)+(AA48*AC$45))*AK48</f>
        <v>0</v>
      </c>
      <c r="AQ48" s="63">
        <f t="shared" ref="AQ48:AQ52" si="693">((AA48*AQ$45)+(AA48*AC$45)+(AA48*AD$45))*AL48</f>
        <v>0</v>
      </c>
      <c r="AR48" s="63">
        <f t="shared" ref="AR48:AR52" si="694">((AA48*AR$45)+(AA48*AC$45)+(AA48*AD46))*AM48</f>
        <v>0</v>
      </c>
      <c r="AS48" s="61">
        <f t="shared" ref="AS48:AS52" si="695">SUM(AN48:AR48)</f>
        <v>0</v>
      </c>
      <c r="AT48" s="64">
        <v>0</v>
      </c>
      <c r="AU48" s="65">
        <f t="shared" si="612"/>
        <v>0</v>
      </c>
      <c r="AV48" s="212">
        <f t="shared" si="613"/>
        <v>3023.7777777777783</v>
      </c>
      <c r="AW48" s="49">
        <v>0</v>
      </c>
      <c r="AX48" s="59" t="s">
        <v>197</v>
      </c>
      <c r="AY48" s="28">
        <f t="shared" si="614"/>
        <v>10</v>
      </c>
      <c r="AZ48" s="28">
        <v>2200</v>
      </c>
      <c r="BA48" s="28">
        <f t="shared" ref="BA48:BA52" si="696">AZ48*BA$45</f>
        <v>220</v>
      </c>
      <c r="BB48" s="28">
        <f t="shared" ref="BB48:BB52" si="697">AZ48*BB$45</f>
        <v>176</v>
      </c>
      <c r="BC48" s="28">
        <f t="shared" ref="BC48:BC52" si="698">AZ48/BC$45</f>
        <v>183.33333333333334</v>
      </c>
      <c r="BD48" s="63">
        <f t="shared" ref="BD48:BD52" si="699">BC48/BD$45</f>
        <v>61.111111111111114</v>
      </c>
      <c r="BE48" s="63">
        <f t="shared" ref="BE48:BE52" si="700">AZ48/BE$45</f>
        <v>183.33333333333334</v>
      </c>
      <c r="BF48" s="61">
        <f t="shared" si="615"/>
        <v>3023.7777777777783</v>
      </c>
      <c r="BG48" s="62"/>
      <c r="BH48" s="62"/>
      <c r="BI48" s="62"/>
      <c r="BJ48" s="62"/>
      <c r="BK48" s="62"/>
      <c r="BL48" s="63">
        <f t="shared" ref="BL48:BL52" si="701">((AY48*BL$45)+(AY48*BA$45)+(AY48*BB$45))*BG48</f>
        <v>0</v>
      </c>
      <c r="BM48" s="63">
        <f t="shared" ref="BM48:BM52" si="702">((AY48*BM$45)+(AY48*BA$45)+(AY48*BB$45))*BH48</f>
        <v>0</v>
      </c>
      <c r="BN48" s="63">
        <f t="shared" ref="BN48:BN52" si="703">((AY48*BN$45)+(AY48*BB$45)+(AY48*BA$45))*BI48</f>
        <v>0</v>
      </c>
      <c r="BO48" s="63">
        <f t="shared" ref="BO48:BO52" si="704">((AY48*BO$45)+(AY48*BA$45)+(AY48*BB$45))*BJ48</f>
        <v>0</v>
      </c>
      <c r="BP48" s="63">
        <f t="shared" ref="BP48:BP52" si="705">((AY48*BP$45)+(AY48*BA$45)+(AY48*BB46))*BK48</f>
        <v>0</v>
      </c>
      <c r="BQ48" s="61">
        <f t="shared" ref="BQ48:BQ52" si="706">SUM(BL48:BP48)</f>
        <v>0</v>
      </c>
      <c r="BR48" s="64">
        <v>0</v>
      </c>
      <c r="BS48" s="65">
        <f t="shared" si="616"/>
        <v>0</v>
      </c>
      <c r="BT48" s="212">
        <f t="shared" si="617"/>
        <v>3023.7777777777783</v>
      </c>
      <c r="BU48" s="49">
        <v>0</v>
      </c>
      <c r="BV48" s="59" t="s">
        <v>197</v>
      </c>
      <c r="BW48" s="28">
        <f t="shared" si="618"/>
        <v>10</v>
      </c>
      <c r="BX48" s="28">
        <v>2200</v>
      </c>
      <c r="BY48" s="28">
        <f t="shared" ref="BY48:BY52" si="707">BX48*BY$45</f>
        <v>220</v>
      </c>
      <c r="BZ48" s="28">
        <f t="shared" ref="BZ48:BZ52" si="708">BX48*BZ$45</f>
        <v>176</v>
      </c>
      <c r="CA48" s="28">
        <f t="shared" ref="CA48:CA52" si="709">BX48/CA$45</f>
        <v>183.33333333333334</v>
      </c>
      <c r="CB48" s="63">
        <f t="shared" ref="CB48:CB52" si="710">CA48/CB$45</f>
        <v>61.111111111111114</v>
      </c>
      <c r="CC48" s="63">
        <f t="shared" ref="CC48:CC52" si="711">BX48/CC$45</f>
        <v>183.33333333333334</v>
      </c>
      <c r="CD48" s="61">
        <f t="shared" si="619"/>
        <v>3023.7777777777783</v>
      </c>
      <c r="CE48" s="62"/>
      <c r="CF48" s="62"/>
      <c r="CG48" s="62"/>
      <c r="CH48" s="62"/>
      <c r="CI48" s="62"/>
      <c r="CJ48" s="63">
        <f t="shared" ref="CJ48:CJ52" si="712">((BW48*CJ$45)+(BW48*BY$45)+(BW48*BZ$45))*CE48</f>
        <v>0</v>
      </c>
      <c r="CK48" s="63">
        <f t="shared" ref="CK48:CK52" si="713">((BW48*CK$45)+(BW48*BY$45)+(BW48*BZ$45))*CF48</f>
        <v>0</v>
      </c>
      <c r="CL48" s="63">
        <f t="shared" ref="CL48:CL52" si="714">((BW48*CL$45)+(BW48*BZ$45)+(BW48*BY$45))*CG48</f>
        <v>0</v>
      </c>
      <c r="CM48" s="63">
        <f t="shared" ref="CM48:CM52" si="715">((BW48*CM$45)+(BW48*BY$45)+(BW48*BZ$45))*CH48</f>
        <v>0</v>
      </c>
      <c r="CN48" s="63">
        <f t="shared" ref="CN48:CN52" si="716">((BW48*CN$45)+(BW48*BY$45)+(BW48*BZ46))*CI48</f>
        <v>0</v>
      </c>
      <c r="CO48" s="61">
        <f t="shared" ref="CO48:CO52" si="717">SUM(CJ48:CN48)</f>
        <v>0</v>
      </c>
      <c r="CP48" s="64">
        <v>0</v>
      </c>
      <c r="CQ48" s="65">
        <f t="shared" si="620"/>
        <v>0</v>
      </c>
      <c r="CR48" s="212">
        <f t="shared" si="621"/>
        <v>3023.7777777777783</v>
      </c>
      <c r="CS48" s="49">
        <v>0</v>
      </c>
      <c r="CT48" s="59" t="s">
        <v>197</v>
      </c>
      <c r="CU48" s="28">
        <f t="shared" si="622"/>
        <v>10</v>
      </c>
      <c r="CV48" s="28">
        <v>2200</v>
      </c>
      <c r="CW48" s="28">
        <f t="shared" ref="CW48:CW52" si="718">CV48*CW$45</f>
        <v>220</v>
      </c>
      <c r="CX48" s="28">
        <f t="shared" ref="CX48:CX52" si="719">CV48*CX$45</f>
        <v>176</v>
      </c>
      <c r="CY48" s="28">
        <f t="shared" ref="CY48:CY52" si="720">CV48/CY$45</f>
        <v>183.33333333333334</v>
      </c>
      <c r="CZ48" s="63">
        <f t="shared" ref="CZ48:CZ52" si="721">CY48/CZ$45</f>
        <v>61.111111111111114</v>
      </c>
      <c r="DA48" s="63">
        <f t="shared" ref="DA48:DA52" si="722">CV48/DA$45</f>
        <v>183.33333333333334</v>
      </c>
      <c r="DB48" s="61">
        <f t="shared" si="623"/>
        <v>3023.7777777777783</v>
      </c>
      <c r="DC48" s="62"/>
      <c r="DD48" s="62"/>
      <c r="DE48" s="62"/>
      <c r="DF48" s="62"/>
      <c r="DG48" s="62"/>
      <c r="DH48" s="63">
        <f t="shared" ref="DH48:DH52" si="723">((CU48*DH$45)+(CU48*CW$45)+(CU48*CX$45))*DC48</f>
        <v>0</v>
      </c>
      <c r="DI48" s="63">
        <f t="shared" ref="DI48:DI52" si="724">((CU48*DI$45)+(CU48*CW$45)+(CU48*CX$45))*DD48</f>
        <v>0</v>
      </c>
      <c r="DJ48" s="63">
        <f t="shared" ref="DJ48:DJ52" si="725">((CU48*DJ$45)+(CU48*CX$45)+(CU48*CW$45))*DE48</f>
        <v>0</v>
      </c>
      <c r="DK48" s="63">
        <f t="shared" ref="DK48:DK52" si="726">((CU48*DK$45)+(CU48*CW$45)+(CU48*CX$45))*DF48</f>
        <v>0</v>
      </c>
      <c r="DL48" s="63">
        <f t="shared" ref="DL48:DL52" si="727">((CU48*DL$45)+(CU48*CW$45)+(CU48*CX46))*DG48</f>
        <v>0</v>
      </c>
      <c r="DM48" s="61">
        <f t="shared" ref="DM48:DM52" si="728">SUM(DH48:DL48)</f>
        <v>0</v>
      </c>
      <c r="DN48" s="64">
        <v>0</v>
      </c>
      <c r="DO48" s="65">
        <f t="shared" si="624"/>
        <v>0</v>
      </c>
      <c r="DP48" s="212">
        <f t="shared" si="625"/>
        <v>3023.7777777777783</v>
      </c>
      <c r="DQ48" s="49">
        <v>0</v>
      </c>
      <c r="DR48" s="59" t="s">
        <v>197</v>
      </c>
      <c r="DS48" s="28">
        <f t="shared" si="626"/>
        <v>10</v>
      </c>
      <c r="DT48" s="28">
        <v>2200</v>
      </c>
      <c r="DU48" s="28">
        <f t="shared" ref="DU48:DU52" si="729">DT48*DU$45</f>
        <v>220</v>
      </c>
      <c r="DV48" s="28">
        <f t="shared" ref="DV48:DV52" si="730">DT48*DV$45</f>
        <v>176</v>
      </c>
      <c r="DW48" s="28">
        <f t="shared" ref="DW48:DW52" si="731">DT48/DW$45</f>
        <v>183.33333333333334</v>
      </c>
      <c r="DX48" s="63">
        <f t="shared" ref="DX48:DX52" si="732">DW48/DX$45</f>
        <v>61.111111111111114</v>
      </c>
      <c r="DY48" s="63">
        <f t="shared" ref="DY48:DY52" si="733">DT48/DY$45</f>
        <v>183.33333333333334</v>
      </c>
      <c r="DZ48" s="61">
        <f t="shared" si="627"/>
        <v>3023.7777777777783</v>
      </c>
      <c r="EA48" s="62"/>
      <c r="EB48" s="62"/>
      <c r="EC48" s="62"/>
      <c r="ED48" s="62"/>
      <c r="EE48" s="62"/>
      <c r="EF48" s="63">
        <f t="shared" ref="EF48:EF52" si="734">((DS48*EF$45)+(DS48*DU$45)+(DS48*DV$45))*EA48</f>
        <v>0</v>
      </c>
      <c r="EG48" s="63">
        <f t="shared" ref="EG48:EG52" si="735">((DS48*EG$45)+(DS48*DU$45)+(DS48*DV$45))*EB48</f>
        <v>0</v>
      </c>
      <c r="EH48" s="63">
        <f t="shared" ref="EH48:EH52" si="736">((DS48*EH$45)+(DS48*DV$45)+(DS48*DU$45))*EC48</f>
        <v>0</v>
      </c>
      <c r="EI48" s="63">
        <f t="shared" ref="EI48:EI52" si="737">((DS48*EI$45)+(DS48*DU$45)+(DS48*DV$45))*ED48</f>
        <v>0</v>
      </c>
      <c r="EJ48" s="63">
        <f t="shared" ref="EJ48:EJ52" si="738">((DS48*EJ$45)+(DS48*DU$45)+(DS48*DV46))*EE48</f>
        <v>0</v>
      </c>
      <c r="EK48" s="61">
        <f t="shared" ref="EK48:EK52" si="739">SUM(EF48:EJ48)</f>
        <v>0</v>
      </c>
      <c r="EL48" s="64">
        <v>0</v>
      </c>
      <c r="EM48" s="65">
        <f t="shared" si="628"/>
        <v>0</v>
      </c>
      <c r="EN48" s="212">
        <f t="shared" si="629"/>
        <v>3023.7777777777783</v>
      </c>
      <c r="EO48" s="49">
        <v>0</v>
      </c>
      <c r="EP48" s="59" t="s">
        <v>197</v>
      </c>
      <c r="EQ48" s="28">
        <f t="shared" si="630"/>
        <v>10</v>
      </c>
      <c r="ER48" s="28">
        <v>2200</v>
      </c>
      <c r="ES48" s="28">
        <f t="shared" ref="ES48:ES52" si="740">ER48*ES$45</f>
        <v>220</v>
      </c>
      <c r="ET48" s="28">
        <f t="shared" ref="ET48:ET52" si="741">ER48*ET$45</f>
        <v>176</v>
      </c>
      <c r="EU48" s="28">
        <f t="shared" ref="EU48:EU52" si="742">ER48/EU$45</f>
        <v>183.33333333333334</v>
      </c>
      <c r="EV48" s="63">
        <f t="shared" ref="EV48:EV52" si="743">EU48/EV$45</f>
        <v>61.111111111111114</v>
      </c>
      <c r="EW48" s="63">
        <f t="shared" ref="EW48:EW52" si="744">ER48/EW$45</f>
        <v>183.33333333333334</v>
      </c>
      <c r="EX48" s="61">
        <f t="shared" si="631"/>
        <v>3023.7777777777783</v>
      </c>
      <c r="EY48" s="62"/>
      <c r="EZ48" s="62"/>
      <c r="FA48" s="62"/>
      <c r="FB48" s="62"/>
      <c r="FC48" s="62"/>
      <c r="FD48" s="63">
        <f t="shared" ref="FD48:FD52" si="745">((EQ48*FD$45)+(EQ48*ES$45)+(EQ48*ET$45))*EY48</f>
        <v>0</v>
      </c>
      <c r="FE48" s="63">
        <f t="shared" ref="FE48:FE52" si="746">((EQ48*FE$45)+(EQ48*ES$45)+(EQ48*ET$45))*EZ48</f>
        <v>0</v>
      </c>
      <c r="FF48" s="63">
        <f t="shared" ref="FF48:FF52" si="747">((EQ48*FF$45)+(EQ48*ET$45)+(EQ48*ES$45))*FA48</f>
        <v>0</v>
      </c>
      <c r="FG48" s="63">
        <f t="shared" ref="FG48:FG52" si="748">((EQ48*FG$45)+(EQ48*ES$45)+(EQ48*ET$45))*FB48</f>
        <v>0</v>
      </c>
      <c r="FH48" s="63">
        <f t="shared" ref="FH48:FH52" si="749">((EQ48*FH$45)+(EQ48*ES$45)+(EQ48*ET46))*FC48</f>
        <v>0</v>
      </c>
      <c r="FI48" s="61">
        <f t="shared" ref="FI48:FI52" si="750">SUM(FD48:FH48)</f>
        <v>0</v>
      </c>
      <c r="FJ48" s="64">
        <v>0</v>
      </c>
      <c r="FK48" s="65">
        <f t="shared" si="632"/>
        <v>0</v>
      </c>
      <c r="FL48" s="212">
        <f t="shared" si="633"/>
        <v>3023.7777777777783</v>
      </c>
      <c r="FM48" s="49">
        <v>0</v>
      </c>
      <c r="FN48" s="59" t="s">
        <v>197</v>
      </c>
      <c r="FO48" s="28">
        <f t="shared" si="634"/>
        <v>10</v>
      </c>
      <c r="FP48" s="28">
        <v>2200</v>
      </c>
      <c r="FQ48" s="28">
        <f t="shared" ref="FQ48:FQ52" si="751">FP48*FQ$45</f>
        <v>220</v>
      </c>
      <c r="FR48" s="28">
        <f t="shared" ref="FR48:FR52" si="752">FP48*FR$45</f>
        <v>176</v>
      </c>
      <c r="FS48" s="28">
        <f t="shared" ref="FS48:FS52" si="753">FP48/FS$45</f>
        <v>183.33333333333334</v>
      </c>
      <c r="FT48" s="63">
        <f t="shared" ref="FT48:FT52" si="754">FS48/FT$45</f>
        <v>61.111111111111114</v>
      </c>
      <c r="FU48" s="63">
        <f t="shared" ref="FU48:FU52" si="755">FP48/FU$45</f>
        <v>183.33333333333334</v>
      </c>
      <c r="FV48" s="61">
        <f t="shared" si="635"/>
        <v>3023.7777777777783</v>
      </c>
      <c r="FW48" s="62"/>
      <c r="FX48" s="62"/>
      <c r="FY48" s="62"/>
      <c r="FZ48" s="62"/>
      <c r="GA48" s="62"/>
      <c r="GB48" s="63">
        <f t="shared" ref="GB48:GB52" si="756">((FO48*GB$45)+(FO48*FQ$45)+(FO48*FR$45))*FW48</f>
        <v>0</v>
      </c>
      <c r="GC48" s="63">
        <f t="shared" ref="GC48:GC52" si="757">((FO48*GC$45)+(FO48*FQ$45)+(FO48*FR$45))*FX48</f>
        <v>0</v>
      </c>
      <c r="GD48" s="63">
        <f t="shared" ref="GD48:GD52" si="758">((FO48*GD$45)+(FO48*FR$45)+(FO48*FQ$45))*FY48</f>
        <v>0</v>
      </c>
      <c r="GE48" s="63">
        <f t="shared" ref="GE48:GE52" si="759">((FO48*GE$45)+(FO48*FQ$45)+(FO48*FR$45))*FZ48</f>
        <v>0</v>
      </c>
      <c r="GF48" s="63">
        <f t="shared" ref="GF48:GF52" si="760">((FO48*GF$45)+(FO48*FQ$45)+(FO48*FR46))*GA48</f>
        <v>0</v>
      </c>
      <c r="GG48" s="61">
        <f t="shared" ref="GG48:GG52" si="761">SUM(GB48:GF48)</f>
        <v>0</v>
      </c>
      <c r="GH48" s="64">
        <v>0</v>
      </c>
      <c r="GI48" s="65">
        <f t="shared" si="636"/>
        <v>0</v>
      </c>
      <c r="GJ48" s="212">
        <f t="shared" si="637"/>
        <v>3023.7777777777783</v>
      </c>
      <c r="GK48" s="49">
        <v>0</v>
      </c>
      <c r="GL48" s="59" t="s">
        <v>197</v>
      </c>
      <c r="GM48" s="28">
        <f t="shared" si="638"/>
        <v>10</v>
      </c>
      <c r="GN48" s="28">
        <v>2200</v>
      </c>
      <c r="GO48" s="28">
        <f t="shared" ref="GO48:GO52" si="762">GN48*GO$45</f>
        <v>220</v>
      </c>
      <c r="GP48" s="28">
        <f t="shared" ref="GP48:GP52" si="763">GN48*GP$45</f>
        <v>176</v>
      </c>
      <c r="GQ48" s="28">
        <f t="shared" ref="GQ48:GQ52" si="764">GN48/GQ$45</f>
        <v>183.33333333333334</v>
      </c>
      <c r="GR48" s="63">
        <f t="shared" ref="GR48:GR52" si="765">GQ48/GR$45</f>
        <v>61.111111111111114</v>
      </c>
      <c r="GS48" s="63">
        <f t="shared" ref="GS48:GS52" si="766">GN48/GS$45</f>
        <v>183.33333333333334</v>
      </c>
      <c r="GT48" s="61">
        <f t="shared" si="639"/>
        <v>3023.7777777777783</v>
      </c>
      <c r="GU48" s="62"/>
      <c r="GV48" s="62"/>
      <c r="GW48" s="62"/>
      <c r="GX48" s="62"/>
      <c r="GY48" s="62"/>
      <c r="GZ48" s="63">
        <f t="shared" ref="GZ48:GZ52" si="767">((GM48*GZ$45)+(GM48*GO$45)+(GM48*GP$45))*GU48</f>
        <v>0</v>
      </c>
      <c r="HA48" s="63">
        <f t="shared" ref="HA48:HA52" si="768">((GM48*HA$45)+(GM48*GO$45)+(GM48*GP$45))*GV48</f>
        <v>0</v>
      </c>
      <c r="HB48" s="63">
        <f t="shared" ref="HB48:HB52" si="769">((GM48*HB$45)+(GM48*GP$45)+(GM48*GO$45))*GW48</f>
        <v>0</v>
      </c>
      <c r="HC48" s="63">
        <f t="shared" ref="HC48:HC52" si="770">((GM48*HC$45)+(GM48*GO$45)+(GM48*GP$45))*GX48</f>
        <v>0</v>
      </c>
      <c r="HD48" s="63">
        <f t="shared" ref="HD48:HD52" si="771">((GM48*HD$45)+(GM48*GO$45)+(GM48*GP46))*GY48</f>
        <v>0</v>
      </c>
      <c r="HE48" s="61">
        <f t="shared" ref="HE48:HE52" si="772">SUM(GZ48:HD48)</f>
        <v>0</v>
      </c>
      <c r="HF48" s="64">
        <v>0</v>
      </c>
      <c r="HG48" s="65">
        <f t="shared" si="640"/>
        <v>0</v>
      </c>
      <c r="HH48" s="212">
        <f t="shared" si="641"/>
        <v>3023.7777777777783</v>
      </c>
      <c r="HI48" s="49">
        <v>0</v>
      </c>
      <c r="HJ48" s="59" t="s">
        <v>197</v>
      </c>
      <c r="HK48" s="28">
        <f t="shared" si="642"/>
        <v>10</v>
      </c>
      <c r="HL48" s="28">
        <v>2200</v>
      </c>
      <c r="HM48" s="28">
        <f t="shared" ref="HM48:HM52" si="773">HL48*HM$45</f>
        <v>220</v>
      </c>
      <c r="HN48" s="28">
        <f t="shared" ref="HN48:HN52" si="774">HL48*HN$45</f>
        <v>176</v>
      </c>
      <c r="HO48" s="28">
        <f t="shared" ref="HO48:HO52" si="775">HL48/HO$45</f>
        <v>183.33333333333334</v>
      </c>
      <c r="HP48" s="63">
        <f t="shared" ref="HP48:HP52" si="776">HO48/HP$45</f>
        <v>61.111111111111114</v>
      </c>
      <c r="HQ48" s="63">
        <f t="shared" ref="HQ48:HQ52" si="777">HL48/HQ$45</f>
        <v>183.33333333333334</v>
      </c>
      <c r="HR48" s="61">
        <f t="shared" si="643"/>
        <v>3023.7777777777783</v>
      </c>
      <c r="HS48" s="62"/>
      <c r="HT48" s="62"/>
      <c r="HU48" s="62"/>
      <c r="HV48" s="62"/>
      <c r="HW48" s="62"/>
      <c r="HX48" s="63">
        <f t="shared" ref="HX48:HX52" si="778">((HK48*HX$45)+(HK48*HM$45)+(HK48*HN$45))*HS48</f>
        <v>0</v>
      </c>
      <c r="HY48" s="63">
        <f t="shared" ref="HY48:HY52" si="779">((HK48*HY$45)+(HK48*HM$45)+(HK48*HN$45))*HT48</f>
        <v>0</v>
      </c>
      <c r="HZ48" s="63">
        <f t="shared" ref="HZ48:HZ52" si="780">((HK48*HZ$45)+(HK48*HN$45)+(HK48*HM$45))*HU48</f>
        <v>0</v>
      </c>
      <c r="IA48" s="63">
        <f t="shared" ref="IA48:IA52" si="781">((HK48*IA$45)+(HK48*HM$45)+(HK48*HN$45))*HV48</f>
        <v>0</v>
      </c>
      <c r="IB48" s="63">
        <f t="shared" ref="IB48:IB52" si="782">((HK48*IB$45)+(HK48*HM$45)+(HK48*HN46))*HW48</f>
        <v>0</v>
      </c>
      <c r="IC48" s="61">
        <f t="shared" ref="IC48:IC52" si="783">SUM(HX48:IB48)</f>
        <v>0</v>
      </c>
      <c r="ID48" s="64">
        <v>0</v>
      </c>
      <c r="IE48" s="65">
        <f t="shared" si="644"/>
        <v>0</v>
      </c>
      <c r="IF48" s="212">
        <f t="shared" si="645"/>
        <v>3023.7777777777783</v>
      </c>
      <c r="IG48" s="49">
        <v>0</v>
      </c>
      <c r="IH48" s="59" t="s">
        <v>197</v>
      </c>
      <c r="II48" s="28">
        <f t="shared" si="646"/>
        <v>10</v>
      </c>
      <c r="IJ48" s="28">
        <v>2200</v>
      </c>
      <c r="IK48" s="28">
        <f t="shared" si="647"/>
        <v>220</v>
      </c>
      <c r="IL48" s="28">
        <f t="shared" si="648"/>
        <v>176</v>
      </c>
      <c r="IM48" s="28">
        <f t="shared" si="649"/>
        <v>183.33333333333334</v>
      </c>
      <c r="IN48" s="63">
        <f t="shared" si="650"/>
        <v>61.111111111111114</v>
      </c>
      <c r="IO48" s="63">
        <f t="shared" si="651"/>
        <v>183.33333333333334</v>
      </c>
      <c r="IP48" s="61">
        <f t="shared" si="652"/>
        <v>3023.7777777777783</v>
      </c>
      <c r="IQ48" s="62"/>
      <c r="IR48" s="62"/>
      <c r="IS48" s="62"/>
      <c r="IT48" s="62"/>
      <c r="IU48" s="62"/>
      <c r="IV48" s="63">
        <f t="shared" si="653"/>
        <v>0</v>
      </c>
      <c r="IW48" s="63">
        <f t="shared" si="654"/>
        <v>0</v>
      </c>
      <c r="IX48" s="63">
        <f t="shared" si="655"/>
        <v>0</v>
      </c>
      <c r="IY48" s="63">
        <f t="shared" si="656"/>
        <v>0</v>
      </c>
      <c r="IZ48" s="63">
        <f t="shared" si="657"/>
        <v>0</v>
      </c>
      <c r="JA48" s="61">
        <f t="shared" ref="JA48:JA52" si="784">SUM(IV48:IZ48)</f>
        <v>0</v>
      </c>
      <c r="JB48" s="64">
        <v>0</v>
      </c>
      <c r="JC48" s="65">
        <f t="shared" si="658"/>
        <v>0</v>
      </c>
      <c r="JD48" s="476">
        <f t="shared" si="659"/>
        <v>3023.7777777777783</v>
      </c>
      <c r="JE48" s="49">
        <v>0</v>
      </c>
      <c r="JF48" s="59" t="s">
        <v>197</v>
      </c>
      <c r="JG48" s="28">
        <f t="shared" si="660"/>
        <v>10</v>
      </c>
      <c r="JH48" s="28">
        <v>2200</v>
      </c>
      <c r="JI48" s="28">
        <f t="shared" si="661"/>
        <v>220</v>
      </c>
      <c r="JJ48" s="28">
        <f t="shared" si="662"/>
        <v>176</v>
      </c>
      <c r="JK48" s="28">
        <f t="shared" si="663"/>
        <v>183.33333333333334</v>
      </c>
      <c r="JL48" s="63">
        <f t="shared" si="664"/>
        <v>61.111111111111114</v>
      </c>
      <c r="JM48" s="63">
        <f t="shared" si="665"/>
        <v>183.33333333333334</v>
      </c>
      <c r="JN48" s="61">
        <f t="shared" si="666"/>
        <v>3023.7777777777783</v>
      </c>
      <c r="JO48" s="62"/>
      <c r="JP48" s="62"/>
      <c r="JQ48" s="62"/>
      <c r="JR48" s="62"/>
      <c r="JS48" s="62"/>
      <c r="JT48" s="63">
        <f t="shared" si="667"/>
        <v>0</v>
      </c>
      <c r="JU48" s="63">
        <f t="shared" si="668"/>
        <v>0</v>
      </c>
      <c r="JV48" s="63">
        <f t="shared" si="669"/>
        <v>0</v>
      </c>
      <c r="JW48" s="63">
        <f t="shared" si="670"/>
        <v>0</v>
      </c>
      <c r="JX48" s="63">
        <f t="shared" si="671"/>
        <v>0</v>
      </c>
      <c r="JY48" s="61">
        <f t="shared" ref="JY48:JY52" si="785">SUM(JT48:JX48)</f>
        <v>0</v>
      </c>
      <c r="JZ48" s="64">
        <v>0</v>
      </c>
      <c r="KA48" s="65">
        <f t="shared" si="672"/>
        <v>0</v>
      </c>
      <c r="KB48" s="476">
        <f t="shared" si="673"/>
        <v>3023.7777777777783</v>
      </c>
      <c r="KC48" s="37"/>
      <c r="KD48" s="37"/>
      <c r="KE48" s="37"/>
      <c r="KF48" s="37"/>
      <c r="KG48" s="37"/>
      <c r="KH48" s="37"/>
      <c r="KI48" s="37"/>
      <c r="KJ48" s="37"/>
    </row>
    <row r="49" spans="1:296" x14ac:dyDescent="0.3">
      <c r="A49" s="49">
        <v>0</v>
      </c>
      <c r="B49" s="59"/>
      <c r="C49" s="28">
        <f t="shared" si="606"/>
        <v>0</v>
      </c>
      <c r="D49" s="28">
        <v>0</v>
      </c>
      <c r="E49" s="28">
        <f t="shared" si="674"/>
        <v>0</v>
      </c>
      <c r="F49" s="28">
        <f t="shared" si="675"/>
        <v>0</v>
      </c>
      <c r="G49" s="28">
        <f t="shared" si="676"/>
        <v>0</v>
      </c>
      <c r="H49" s="63">
        <f t="shared" si="677"/>
        <v>0</v>
      </c>
      <c r="I49" s="63">
        <f t="shared" si="678"/>
        <v>0</v>
      </c>
      <c r="J49" s="61">
        <f t="shared" si="607"/>
        <v>0</v>
      </c>
      <c r="K49" s="62"/>
      <c r="L49" s="62"/>
      <c r="M49" s="62"/>
      <c r="N49" s="62"/>
      <c r="O49" s="62"/>
      <c r="P49" s="63">
        <f t="shared" si="679"/>
        <v>0</v>
      </c>
      <c r="Q49" s="63">
        <f t="shared" si="680"/>
        <v>0</v>
      </c>
      <c r="R49" s="63">
        <f t="shared" si="681"/>
        <v>0</v>
      </c>
      <c r="S49" s="63">
        <f t="shared" si="682"/>
        <v>0</v>
      </c>
      <c r="T49" s="63">
        <f t="shared" si="683"/>
        <v>0</v>
      </c>
      <c r="U49" s="61">
        <f t="shared" si="684"/>
        <v>0</v>
      </c>
      <c r="V49" s="64">
        <v>0</v>
      </c>
      <c r="W49" s="65">
        <f t="shared" si="608"/>
        <v>0</v>
      </c>
      <c r="X49" s="212">
        <f t="shared" si="609"/>
        <v>0</v>
      </c>
      <c r="Y49" s="49">
        <v>0</v>
      </c>
      <c r="Z49" s="59"/>
      <c r="AA49" s="28">
        <f t="shared" si="610"/>
        <v>0</v>
      </c>
      <c r="AB49" s="28">
        <v>0</v>
      </c>
      <c r="AC49" s="28">
        <f t="shared" si="685"/>
        <v>0</v>
      </c>
      <c r="AD49" s="28">
        <f t="shared" si="686"/>
        <v>0</v>
      </c>
      <c r="AE49" s="28">
        <f t="shared" si="687"/>
        <v>0</v>
      </c>
      <c r="AF49" s="63">
        <f t="shared" si="688"/>
        <v>0</v>
      </c>
      <c r="AG49" s="63">
        <f t="shared" si="689"/>
        <v>0</v>
      </c>
      <c r="AH49" s="61">
        <f t="shared" si="611"/>
        <v>0</v>
      </c>
      <c r="AI49" s="62"/>
      <c r="AJ49" s="62"/>
      <c r="AK49" s="62"/>
      <c r="AL49" s="62"/>
      <c r="AM49" s="62"/>
      <c r="AN49" s="63">
        <f t="shared" si="690"/>
        <v>0</v>
      </c>
      <c r="AO49" s="63">
        <f t="shared" si="691"/>
        <v>0</v>
      </c>
      <c r="AP49" s="63">
        <f t="shared" si="692"/>
        <v>0</v>
      </c>
      <c r="AQ49" s="63">
        <f t="shared" si="693"/>
        <v>0</v>
      </c>
      <c r="AR49" s="63">
        <f t="shared" si="694"/>
        <v>0</v>
      </c>
      <c r="AS49" s="61">
        <f t="shared" si="695"/>
        <v>0</v>
      </c>
      <c r="AT49" s="64">
        <v>0</v>
      </c>
      <c r="AU49" s="65">
        <f t="shared" si="612"/>
        <v>0</v>
      </c>
      <c r="AV49" s="212">
        <f t="shared" si="613"/>
        <v>0</v>
      </c>
      <c r="AW49" s="49">
        <v>0</v>
      </c>
      <c r="AX49" s="59"/>
      <c r="AY49" s="28">
        <f t="shared" si="614"/>
        <v>0</v>
      </c>
      <c r="AZ49" s="28">
        <v>0</v>
      </c>
      <c r="BA49" s="28">
        <f t="shared" si="696"/>
        <v>0</v>
      </c>
      <c r="BB49" s="28">
        <f t="shared" si="697"/>
        <v>0</v>
      </c>
      <c r="BC49" s="28">
        <f t="shared" si="698"/>
        <v>0</v>
      </c>
      <c r="BD49" s="63">
        <f t="shared" si="699"/>
        <v>0</v>
      </c>
      <c r="BE49" s="63">
        <f t="shared" si="700"/>
        <v>0</v>
      </c>
      <c r="BF49" s="61">
        <f t="shared" si="615"/>
        <v>0</v>
      </c>
      <c r="BG49" s="62"/>
      <c r="BH49" s="62"/>
      <c r="BI49" s="62"/>
      <c r="BJ49" s="62"/>
      <c r="BK49" s="62"/>
      <c r="BL49" s="63">
        <f t="shared" si="701"/>
        <v>0</v>
      </c>
      <c r="BM49" s="63">
        <f t="shared" si="702"/>
        <v>0</v>
      </c>
      <c r="BN49" s="63">
        <f t="shared" si="703"/>
        <v>0</v>
      </c>
      <c r="BO49" s="63">
        <f t="shared" si="704"/>
        <v>0</v>
      </c>
      <c r="BP49" s="63">
        <f t="shared" si="705"/>
        <v>0</v>
      </c>
      <c r="BQ49" s="61">
        <f t="shared" si="706"/>
        <v>0</v>
      </c>
      <c r="BR49" s="64">
        <v>0</v>
      </c>
      <c r="BS49" s="65">
        <f t="shared" si="616"/>
        <v>0</v>
      </c>
      <c r="BT49" s="212">
        <f t="shared" si="617"/>
        <v>0</v>
      </c>
      <c r="BU49" s="49">
        <v>0</v>
      </c>
      <c r="BV49" s="59"/>
      <c r="BW49" s="28">
        <f t="shared" si="618"/>
        <v>0</v>
      </c>
      <c r="BX49" s="28">
        <v>0</v>
      </c>
      <c r="BY49" s="28">
        <f t="shared" si="707"/>
        <v>0</v>
      </c>
      <c r="BZ49" s="28">
        <f t="shared" si="708"/>
        <v>0</v>
      </c>
      <c r="CA49" s="28">
        <f t="shared" si="709"/>
        <v>0</v>
      </c>
      <c r="CB49" s="63">
        <f t="shared" si="710"/>
        <v>0</v>
      </c>
      <c r="CC49" s="63">
        <f t="shared" si="711"/>
        <v>0</v>
      </c>
      <c r="CD49" s="61">
        <f t="shared" si="619"/>
        <v>0</v>
      </c>
      <c r="CE49" s="62"/>
      <c r="CF49" s="62"/>
      <c r="CG49" s="62"/>
      <c r="CH49" s="62"/>
      <c r="CI49" s="62"/>
      <c r="CJ49" s="63">
        <f t="shared" si="712"/>
        <v>0</v>
      </c>
      <c r="CK49" s="63">
        <f t="shared" si="713"/>
        <v>0</v>
      </c>
      <c r="CL49" s="63">
        <f t="shared" si="714"/>
        <v>0</v>
      </c>
      <c r="CM49" s="63">
        <f t="shared" si="715"/>
        <v>0</v>
      </c>
      <c r="CN49" s="63">
        <f t="shared" si="716"/>
        <v>0</v>
      </c>
      <c r="CO49" s="61">
        <f t="shared" si="717"/>
        <v>0</v>
      </c>
      <c r="CP49" s="64">
        <v>0</v>
      </c>
      <c r="CQ49" s="65">
        <f t="shared" si="620"/>
        <v>0</v>
      </c>
      <c r="CR49" s="212">
        <f t="shared" si="621"/>
        <v>0</v>
      </c>
      <c r="CS49" s="49">
        <v>0</v>
      </c>
      <c r="CT49" s="59"/>
      <c r="CU49" s="28">
        <f t="shared" si="622"/>
        <v>0</v>
      </c>
      <c r="CV49" s="28">
        <v>0</v>
      </c>
      <c r="CW49" s="28">
        <f t="shared" si="718"/>
        <v>0</v>
      </c>
      <c r="CX49" s="28">
        <f t="shared" si="719"/>
        <v>0</v>
      </c>
      <c r="CY49" s="28">
        <f t="shared" si="720"/>
        <v>0</v>
      </c>
      <c r="CZ49" s="63">
        <f t="shared" si="721"/>
        <v>0</v>
      </c>
      <c r="DA49" s="63">
        <f t="shared" si="722"/>
        <v>0</v>
      </c>
      <c r="DB49" s="61">
        <f t="shared" si="623"/>
        <v>0</v>
      </c>
      <c r="DC49" s="62"/>
      <c r="DD49" s="62"/>
      <c r="DE49" s="62"/>
      <c r="DF49" s="62"/>
      <c r="DG49" s="62"/>
      <c r="DH49" s="63">
        <f t="shared" si="723"/>
        <v>0</v>
      </c>
      <c r="DI49" s="63">
        <f t="shared" si="724"/>
        <v>0</v>
      </c>
      <c r="DJ49" s="63">
        <f t="shared" si="725"/>
        <v>0</v>
      </c>
      <c r="DK49" s="63">
        <f t="shared" si="726"/>
        <v>0</v>
      </c>
      <c r="DL49" s="63">
        <f t="shared" si="727"/>
        <v>0</v>
      </c>
      <c r="DM49" s="61">
        <f t="shared" si="728"/>
        <v>0</v>
      </c>
      <c r="DN49" s="64">
        <v>0</v>
      </c>
      <c r="DO49" s="65">
        <f t="shared" si="624"/>
        <v>0</v>
      </c>
      <c r="DP49" s="212">
        <f t="shared" si="625"/>
        <v>0</v>
      </c>
      <c r="DQ49" s="49">
        <v>0</v>
      </c>
      <c r="DR49" s="59"/>
      <c r="DS49" s="28">
        <f t="shared" si="626"/>
        <v>0</v>
      </c>
      <c r="DT49" s="28">
        <v>0</v>
      </c>
      <c r="DU49" s="28">
        <f t="shared" si="729"/>
        <v>0</v>
      </c>
      <c r="DV49" s="28">
        <f t="shared" si="730"/>
        <v>0</v>
      </c>
      <c r="DW49" s="28">
        <f t="shared" si="731"/>
        <v>0</v>
      </c>
      <c r="DX49" s="63">
        <f t="shared" si="732"/>
        <v>0</v>
      </c>
      <c r="DY49" s="63">
        <f t="shared" si="733"/>
        <v>0</v>
      </c>
      <c r="DZ49" s="61">
        <f t="shared" si="627"/>
        <v>0</v>
      </c>
      <c r="EA49" s="62"/>
      <c r="EB49" s="62"/>
      <c r="EC49" s="62"/>
      <c r="ED49" s="62"/>
      <c r="EE49" s="62"/>
      <c r="EF49" s="63">
        <f t="shared" si="734"/>
        <v>0</v>
      </c>
      <c r="EG49" s="63">
        <f t="shared" si="735"/>
        <v>0</v>
      </c>
      <c r="EH49" s="63">
        <f t="shared" si="736"/>
        <v>0</v>
      </c>
      <c r="EI49" s="63">
        <f t="shared" si="737"/>
        <v>0</v>
      </c>
      <c r="EJ49" s="63">
        <f t="shared" si="738"/>
        <v>0</v>
      </c>
      <c r="EK49" s="61">
        <f t="shared" si="739"/>
        <v>0</v>
      </c>
      <c r="EL49" s="64">
        <v>0</v>
      </c>
      <c r="EM49" s="65">
        <f t="shared" si="628"/>
        <v>0</v>
      </c>
      <c r="EN49" s="212">
        <f t="shared" si="629"/>
        <v>0</v>
      </c>
      <c r="EO49" s="49">
        <v>0</v>
      </c>
      <c r="EP49" s="59"/>
      <c r="EQ49" s="28">
        <f t="shared" si="630"/>
        <v>0</v>
      </c>
      <c r="ER49" s="28">
        <v>0</v>
      </c>
      <c r="ES49" s="28">
        <f t="shared" si="740"/>
        <v>0</v>
      </c>
      <c r="ET49" s="28">
        <f t="shared" si="741"/>
        <v>0</v>
      </c>
      <c r="EU49" s="28">
        <f t="shared" si="742"/>
        <v>0</v>
      </c>
      <c r="EV49" s="63">
        <f t="shared" si="743"/>
        <v>0</v>
      </c>
      <c r="EW49" s="63">
        <f t="shared" si="744"/>
        <v>0</v>
      </c>
      <c r="EX49" s="61">
        <f t="shared" si="631"/>
        <v>0</v>
      </c>
      <c r="EY49" s="62"/>
      <c r="EZ49" s="62"/>
      <c r="FA49" s="62"/>
      <c r="FB49" s="62"/>
      <c r="FC49" s="62"/>
      <c r="FD49" s="63">
        <f t="shared" si="745"/>
        <v>0</v>
      </c>
      <c r="FE49" s="63">
        <f t="shared" si="746"/>
        <v>0</v>
      </c>
      <c r="FF49" s="63">
        <f t="shared" si="747"/>
        <v>0</v>
      </c>
      <c r="FG49" s="63">
        <f t="shared" si="748"/>
        <v>0</v>
      </c>
      <c r="FH49" s="63">
        <f t="shared" si="749"/>
        <v>0</v>
      </c>
      <c r="FI49" s="61">
        <f t="shared" si="750"/>
        <v>0</v>
      </c>
      <c r="FJ49" s="64">
        <v>0</v>
      </c>
      <c r="FK49" s="65">
        <f t="shared" si="632"/>
        <v>0</v>
      </c>
      <c r="FL49" s="212">
        <f t="shared" si="633"/>
        <v>0</v>
      </c>
      <c r="FM49" s="49">
        <v>0</v>
      </c>
      <c r="FN49" s="59"/>
      <c r="FO49" s="28">
        <f t="shared" si="634"/>
        <v>0</v>
      </c>
      <c r="FP49" s="28">
        <v>0</v>
      </c>
      <c r="FQ49" s="28">
        <f t="shared" si="751"/>
        <v>0</v>
      </c>
      <c r="FR49" s="28">
        <f t="shared" si="752"/>
        <v>0</v>
      </c>
      <c r="FS49" s="28">
        <f t="shared" si="753"/>
        <v>0</v>
      </c>
      <c r="FT49" s="63">
        <f t="shared" si="754"/>
        <v>0</v>
      </c>
      <c r="FU49" s="63">
        <f t="shared" si="755"/>
        <v>0</v>
      </c>
      <c r="FV49" s="61">
        <f t="shared" si="635"/>
        <v>0</v>
      </c>
      <c r="FW49" s="62"/>
      <c r="FX49" s="62"/>
      <c r="FY49" s="62"/>
      <c r="FZ49" s="62"/>
      <c r="GA49" s="62"/>
      <c r="GB49" s="63">
        <f t="shared" si="756"/>
        <v>0</v>
      </c>
      <c r="GC49" s="63">
        <f t="shared" si="757"/>
        <v>0</v>
      </c>
      <c r="GD49" s="63">
        <f t="shared" si="758"/>
        <v>0</v>
      </c>
      <c r="GE49" s="63">
        <f t="shared" si="759"/>
        <v>0</v>
      </c>
      <c r="GF49" s="63">
        <f t="shared" si="760"/>
        <v>0</v>
      </c>
      <c r="GG49" s="61">
        <f t="shared" si="761"/>
        <v>0</v>
      </c>
      <c r="GH49" s="64">
        <v>0</v>
      </c>
      <c r="GI49" s="65">
        <f t="shared" si="636"/>
        <v>0</v>
      </c>
      <c r="GJ49" s="212">
        <f t="shared" si="637"/>
        <v>0</v>
      </c>
      <c r="GK49" s="49">
        <v>0</v>
      </c>
      <c r="GL49" s="59"/>
      <c r="GM49" s="28">
        <f t="shared" si="638"/>
        <v>0</v>
      </c>
      <c r="GN49" s="28">
        <v>0</v>
      </c>
      <c r="GO49" s="28">
        <f t="shared" si="762"/>
        <v>0</v>
      </c>
      <c r="GP49" s="28">
        <f t="shared" si="763"/>
        <v>0</v>
      </c>
      <c r="GQ49" s="28">
        <f t="shared" si="764"/>
        <v>0</v>
      </c>
      <c r="GR49" s="63">
        <f t="shared" si="765"/>
        <v>0</v>
      </c>
      <c r="GS49" s="63">
        <f t="shared" si="766"/>
        <v>0</v>
      </c>
      <c r="GT49" s="61">
        <f t="shared" si="639"/>
        <v>0</v>
      </c>
      <c r="GU49" s="62"/>
      <c r="GV49" s="62"/>
      <c r="GW49" s="62"/>
      <c r="GX49" s="62"/>
      <c r="GY49" s="62"/>
      <c r="GZ49" s="63">
        <f t="shared" si="767"/>
        <v>0</v>
      </c>
      <c r="HA49" s="63">
        <f t="shared" si="768"/>
        <v>0</v>
      </c>
      <c r="HB49" s="63">
        <f t="shared" si="769"/>
        <v>0</v>
      </c>
      <c r="HC49" s="63">
        <f t="shared" si="770"/>
        <v>0</v>
      </c>
      <c r="HD49" s="63">
        <f t="shared" si="771"/>
        <v>0</v>
      </c>
      <c r="HE49" s="61">
        <f t="shared" si="772"/>
        <v>0</v>
      </c>
      <c r="HF49" s="64">
        <v>0</v>
      </c>
      <c r="HG49" s="65">
        <f t="shared" si="640"/>
        <v>0</v>
      </c>
      <c r="HH49" s="212">
        <f t="shared" si="641"/>
        <v>0</v>
      </c>
      <c r="HI49" s="49">
        <v>0</v>
      </c>
      <c r="HJ49" s="59"/>
      <c r="HK49" s="28">
        <f t="shared" si="642"/>
        <v>0</v>
      </c>
      <c r="HL49" s="28">
        <v>0</v>
      </c>
      <c r="HM49" s="28">
        <f t="shared" si="773"/>
        <v>0</v>
      </c>
      <c r="HN49" s="28">
        <f t="shared" si="774"/>
        <v>0</v>
      </c>
      <c r="HO49" s="28">
        <f t="shared" si="775"/>
        <v>0</v>
      </c>
      <c r="HP49" s="63">
        <f t="shared" si="776"/>
        <v>0</v>
      </c>
      <c r="HQ49" s="63">
        <f t="shared" si="777"/>
        <v>0</v>
      </c>
      <c r="HR49" s="61">
        <f t="shared" si="643"/>
        <v>0</v>
      </c>
      <c r="HS49" s="62"/>
      <c r="HT49" s="62"/>
      <c r="HU49" s="62"/>
      <c r="HV49" s="62"/>
      <c r="HW49" s="62"/>
      <c r="HX49" s="63">
        <f t="shared" si="778"/>
        <v>0</v>
      </c>
      <c r="HY49" s="63">
        <f t="shared" si="779"/>
        <v>0</v>
      </c>
      <c r="HZ49" s="63">
        <f t="shared" si="780"/>
        <v>0</v>
      </c>
      <c r="IA49" s="63">
        <f t="shared" si="781"/>
        <v>0</v>
      </c>
      <c r="IB49" s="63">
        <f t="shared" si="782"/>
        <v>0</v>
      </c>
      <c r="IC49" s="61">
        <f t="shared" si="783"/>
        <v>0</v>
      </c>
      <c r="ID49" s="64">
        <v>0</v>
      </c>
      <c r="IE49" s="65">
        <f t="shared" si="644"/>
        <v>0</v>
      </c>
      <c r="IF49" s="212">
        <f t="shared" si="645"/>
        <v>0</v>
      </c>
      <c r="IG49" s="49">
        <v>0</v>
      </c>
      <c r="IH49" s="59"/>
      <c r="II49" s="28">
        <f t="shared" si="646"/>
        <v>0</v>
      </c>
      <c r="IJ49" s="28">
        <v>0</v>
      </c>
      <c r="IK49" s="28">
        <f t="shared" si="647"/>
        <v>0</v>
      </c>
      <c r="IL49" s="28">
        <f t="shared" si="648"/>
        <v>0</v>
      </c>
      <c r="IM49" s="28">
        <f t="shared" si="649"/>
        <v>0</v>
      </c>
      <c r="IN49" s="63">
        <f t="shared" si="650"/>
        <v>0</v>
      </c>
      <c r="IO49" s="63">
        <f t="shared" si="651"/>
        <v>0</v>
      </c>
      <c r="IP49" s="61">
        <f t="shared" si="652"/>
        <v>0</v>
      </c>
      <c r="IQ49" s="62"/>
      <c r="IR49" s="62"/>
      <c r="IS49" s="62"/>
      <c r="IT49" s="62"/>
      <c r="IU49" s="62"/>
      <c r="IV49" s="63">
        <f t="shared" si="653"/>
        <v>0</v>
      </c>
      <c r="IW49" s="63">
        <f t="shared" si="654"/>
        <v>0</v>
      </c>
      <c r="IX49" s="63">
        <f t="shared" si="655"/>
        <v>0</v>
      </c>
      <c r="IY49" s="63">
        <f t="shared" si="656"/>
        <v>0</v>
      </c>
      <c r="IZ49" s="63">
        <f t="shared" si="657"/>
        <v>0</v>
      </c>
      <c r="JA49" s="61">
        <f t="shared" si="784"/>
        <v>0</v>
      </c>
      <c r="JB49" s="64">
        <v>0</v>
      </c>
      <c r="JC49" s="65">
        <f t="shared" si="658"/>
        <v>0</v>
      </c>
      <c r="JD49" s="476">
        <f t="shared" si="659"/>
        <v>0</v>
      </c>
      <c r="JE49" s="49">
        <v>0</v>
      </c>
      <c r="JF49" s="59"/>
      <c r="JG49" s="28">
        <f t="shared" si="660"/>
        <v>0</v>
      </c>
      <c r="JH49" s="28">
        <v>0</v>
      </c>
      <c r="JI49" s="28">
        <f t="shared" si="661"/>
        <v>0</v>
      </c>
      <c r="JJ49" s="28">
        <f t="shared" si="662"/>
        <v>0</v>
      </c>
      <c r="JK49" s="28">
        <f t="shared" si="663"/>
        <v>0</v>
      </c>
      <c r="JL49" s="63">
        <f t="shared" si="664"/>
        <v>0</v>
      </c>
      <c r="JM49" s="63">
        <f t="shared" si="665"/>
        <v>0</v>
      </c>
      <c r="JN49" s="61">
        <f t="shared" si="666"/>
        <v>0</v>
      </c>
      <c r="JO49" s="62"/>
      <c r="JP49" s="62"/>
      <c r="JQ49" s="62"/>
      <c r="JR49" s="62"/>
      <c r="JS49" s="62"/>
      <c r="JT49" s="63">
        <f t="shared" si="667"/>
        <v>0</v>
      </c>
      <c r="JU49" s="63">
        <f t="shared" si="668"/>
        <v>0</v>
      </c>
      <c r="JV49" s="63">
        <f t="shared" si="669"/>
        <v>0</v>
      </c>
      <c r="JW49" s="63">
        <f t="shared" si="670"/>
        <v>0</v>
      </c>
      <c r="JX49" s="63">
        <f t="shared" si="671"/>
        <v>0</v>
      </c>
      <c r="JY49" s="61">
        <f t="shared" si="785"/>
        <v>0</v>
      </c>
      <c r="JZ49" s="64">
        <v>0</v>
      </c>
      <c r="KA49" s="65">
        <f t="shared" si="672"/>
        <v>0</v>
      </c>
      <c r="KB49" s="476">
        <f t="shared" si="673"/>
        <v>0</v>
      </c>
      <c r="KC49" s="37"/>
      <c r="KD49" s="37"/>
      <c r="KE49" s="37"/>
      <c r="KF49" s="37"/>
      <c r="KG49" s="37"/>
      <c r="KH49" s="37"/>
      <c r="KI49" s="37"/>
      <c r="KJ49" s="37"/>
    </row>
    <row r="50" spans="1:296" x14ac:dyDescent="0.3">
      <c r="A50" s="49">
        <v>0</v>
      </c>
      <c r="B50" s="59"/>
      <c r="C50" s="28">
        <f t="shared" si="606"/>
        <v>0</v>
      </c>
      <c r="D50" s="28">
        <v>0</v>
      </c>
      <c r="E50" s="28">
        <f t="shared" si="674"/>
        <v>0</v>
      </c>
      <c r="F50" s="28">
        <f t="shared" si="675"/>
        <v>0</v>
      </c>
      <c r="G50" s="28">
        <f t="shared" si="676"/>
        <v>0</v>
      </c>
      <c r="H50" s="63">
        <f t="shared" si="677"/>
        <v>0</v>
      </c>
      <c r="I50" s="63">
        <f t="shared" si="678"/>
        <v>0</v>
      </c>
      <c r="J50" s="61">
        <f t="shared" si="607"/>
        <v>0</v>
      </c>
      <c r="K50" s="62"/>
      <c r="L50" s="62"/>
      <c r="M50" s="62"/>
      <c r="N50" s="62"/>
      <c r="O50" s="62"/>
      <c r="P50" s="63">
        <f t="shared" si="679"/>
        <v>0</v>
      </c>
      <c r="Q50" s="63">
        <f t="shared" si="680"/>
        <v>0</v>
      </c>
      <c r="R50" s="63">
        <f t="shared" si="681"/>
        <v>0</v>
      </c>
      <c r="S50" s="63">
        <f t="shared" si="682"/>
        <v>0</v>
      </c>
      <c r="T50" s="63">
        <f t="shared" si="683"/>
        <v>0</v>
      </c>
      <c r="U50" s="61">
        <f t="shared" si="684"/>
        <v>0</v>
      </c>
      <c r="V50" s="64">
        <v>0</v>
      </c>
      <c r="W50" s="65">
        <f t="shared" si="608"/>
        <v>0</v>
      </c>
      <c r="X50" s="212">
        <f t="shared" si="609"/>
        <v>0</v>
      </c>
      <c r="Y50" s="49">
        <v>0</v>
      </c>
      <c r="Z50" s="59"/>
      <c r="AA50" s="28">
        <f t="shared" si="610"/>
        <v>0</v>
      </c>
      <c r="AB50" s="28">
        <v>0</v>
      </c>
      <c r="AC50" s="28">
        <f t="shared" si="685"/>
        <v>0</v>
      </c>
      <c r="AD50" s="28">
        <f t="shared" si="686"/>
        <v>0</v>
      </c>
      <c r="AE50" s="28">
        <f t="shared" si="687"/>
        <v>0</v>
      </c>
      <c r="AF50" s="63">
        <f t="shared" si="688"/>
        <v>0</v>
      </c>
      <c r="AG50" s="63">
        <f t="shared" si="689"/>
        <v>0</v>
      </c>
      <c r="AH50" s="61">
        <f t="shared" si="611"/>
        <v>0</v>
      </c>
      <c r="AI50" s="62"/>
      <c r="AJ50" s="62"/>
      <c r="AK50" s="62"/>
      <c r="AL50" s="62"/>
      <c r="AM50" s="62"/>
      <c r="AN50" s="63">
        <f t="shared" si="690"/>
        <v>0</v>
      </c>
      <c r="AO50" s="63">
        <f t="shared" si="691"/>
        <v>0</v>
      </c>
      <c r="AP50" s="63">
        <f t="shared" si="692"/>
        <v>0</v>
      </c>
      <c r="AQ50" s="63">
        <f t="shared" si="693"/>
        <v>0</v>
      </c>
      <c r="AR50" s="63">
        <f t="shared" si="694"/>
        <v>0</v>
      </c>
      <c r="AS50" s="61">
        <f t="shared" si="695"/>
        <v>0</v>
      </c>
      <c r="AT50" s="64">
        <v>0</v>
      </c>
      <c r="AU50" s="65">
        <f t="shared" si="612"/>
        <v>0</v>
      </c>
      <c r="AV50" s="212">
        <f t="shared" si="613"/>
        <v>0</v>
      </c>
      <c r="AW50" s="49">
        <v>0</v>
      </c>
      <c r="AX50" s="59"/>
      <c r="AY50" s="28">
        <f t="shared" si="614"/>
        <v>0</v>
      </c>
      <c r="AZ50" s="28">
        <v>0</v>
      </c>
      <c r="BA50" s="28">
        <f t="shared" si="696"/>
        <v>0</v>
      </c>
      <c r="BB50" s="28">
        <f t="shared" si="697"/>
        <v>0</v>
      </c>
      <c r="BC50" s="28">
        <f t="shared" si="698"/>
        <v>0</v>
      </c>
      <c r="BD50" s="63">
        <f t="shared" si="699"/>
        <v>0</v>
      </c>
      <c r="BE50" s="63">
        <f t="shared" si="700"/>
        <v>0</v>
      </c>
      <c r="BF50" s="61">
        <f t="shared" si="615"/>
        <v>0</v>
      </c>
      <c r="BG50" s="62"/>
      <c r="BH50" s="62"/>
      <c r="BI50" s="62"/>
      <c r="BJ50" s="62"/>
      <c r="BK50" s="62"/>
      <c r="BL50" s="63">
        <f t="shared" si="701"/>
        <v>0</v>
      </c>
      <c r="BM50" s="63">
        <f t="shared" si="702"/>
        <v>0</v>
      </c>
      <c r="BN50" s="63">
        <f t="shared" si="703"/>
        <v>0</v>
      </c>
      <c r="BO50" s="63">
        <f t="shared" si="704"/>
        <v>0</v>
      </c>
      <c r="BP50" s="63">
        <f t="shared" si="705"/>
        <v>0</v>
      </c>
      <c r="BQ50" s="61">
        <f t="shared" si="706"/>
        <v>0</v>
      </c>
      <c r="BR50" s="64">
        <v>0</v>
      </c>
      <c r="BS50" s="65">
        <f t="shared" si="616"/>
        <v>0</v>
      </c>
      <c r="BT50" s="212">
        <f t="shared" si="617"/>
        <v>0</v>
      </c>
      <c r="BU50" s="49">
        <v>0</v>
      </c>
      <c r="BV50" s="59"/>
      <c r="BW50" s="28">
        <f t="shared" si="618"/>
        <v>0</v>
      </c>
      <c r="BX50" s="28">
        <v>0</v>
      </c>
      <c r="BY50" s="28">
        <f t="shared" si="707"/>
        <v>0</v>
      </c>
      <c r="BZ50" s="28">
        <f t="shared" si="708"/>
        <v>0</v>
      </c>
      <c r="CA50" s="28">
        <f t="shared" si="709"/>
        <v>0</v>
      </c>
      <c r="CB50" s="63">
        <f t="shared" si="710"/>
        <v>0</v>
      </c>
      <c r="CC50" s="63">
        <f t="shared" si="711"/>
        <v>0</v>
      </c>
      <c r="CD50" s="61">
        <f t="shared" si="619"/>
        <v>0</v>
      </c>
      <c r="CE50" s="62"/>
      <c r="CF50" s="62"/>
      <c r="CG50" s="62"/>
      <c r="CH50" s="62"/>
      <c r="CI50" s="62"/>
      <c r="CJ50" s="63">
        <f t="shared" si="712"/>
        <v>0</v>
      </c>
      <c r="CK50" s="63">
        <f t="shared" si="713"/>
        <v>0</v>
      </c>
      <c r="CL50" s="63">
        <f t="shared" si="714"/>
        <v>0</v>
      </c>
      <c r="CM50" s="63">
        <f t="shared" si="715"/>
        <v>0</v>
      </c>
      <c r="CN50" s="63">
        <f t="shared" si="716"/>
        <v>0</v>
      </c>
      <c r="CO50" s="61">
        <f t="shared" si="717"/>
        <v>0</v>
      </c>
      <c r="CP50" s="64">
        <v>0</v>
      </c>
      <c r="CQ50" s="65">
        <f t="shared" si="620"/>
        <v>0</v>
      </c>
      <c r="CR50" s="212">
        <f t="shared" si="621"/>
        <v>0</v>
      </c>
      <c r="CS50" s="49">
        <v>0</v>
      </c>
      <c r="CT50" s="59"/>
      <c r="CU50" s="28">
        <f t="shared" si="622"/>
        <v>0</v>
      </c>
      <c r="CV50" s="28">
        <v>0</v>
      </c>
      <c r="CW50" s="28">
        <f t="shared" si="718"/>
        <v>0</v>
      </c>
      <c r="CX50" s="28">
        <f t="shared" si="719"/>
        <v>0</v>
      </c>
      <c r="CY50" s="28">
        <f t="shared" si="720"/>
        <v>0</v>
      </c>
      <c r="CZ50" s="63">
        <f t="shared" si="721"/>
        <v>0</v>
      </c>
      <c r="DA50" s="63">
        <f t="shared" si="722"/>
        <v>0</v>
      </c>
      <c r="DB50" s="61">
        <f t="shared" si="623"/>
        <v>0</v>
      </c>
      <c r="DC50" s="62"/>
      <c r="DD50" s="62"/>
      <c r="DE50" s="62"/>
      <c r="DF50" s="62"/>
      <c r="DG50" s="62"/>
      <c r="DH50" s="63">
        <f t="shared" si="723"/>
        <v>0</v>
      </c>
      <c r="DI50" s="63">
        <f t="shared" si="724"/>
        <v>0</v>
      </c>
      <c r="DJ50" s="63">
        <f t="shared" si="725"/>
        <v>0</v>
      </c>
      <c r="DK50" s="63">
        <f t="shared" si="726"/>
        <v>0</v>
      </c>
      <c r="DL50" s="63">
        <f t="shared" si="727"/>
        <v>0</v>
      </c>
      <c r="DM50" s="61">
        <f t="shared" si="728"/>
        <v>0</v>
      </c>
      <c r="DN50" s="64">
        <v>0</v>
      </c>
      <c r="DO50" s="65">
        <f t="shared" si="624"/>
        <v>0</v>
      </c>
      <c r="DP50" s="212">
        <f t="shared" si="625"/>
        <v>0</v>
      </c>
      <c r="DQ50" s="49">
        <v>0</v>
      </c>
      <c r="DR50" s="59"/>
      <c r="DS50" s="28">
        <f t="shared" si="626"/>
        <v>0</v>
      </c>
      <c r="DT50" s="28">
        <v>0</v>
      </c>
      <c r="DU50" s="28">
        <f t="shared" si="729"/>
        <v>0</v>
      </c>
      <c r="DV50" s="28">
        <f t="shared" si="730"/>
        <v>0</v>
      </c>
      <c r="DW50" s="28">
        <f t="shared" si="731"/>
        <v>0</v>
      </c>
      <c r="DX50" s="63">
        <f t="shared" si="732"/>
        <v>0</v>
      </c>
      <c r="DY50" s="63">
        <f t="shared" si="733"/>
        <v>0</v>
      </c>
      <c r="DZ50" s="61">
        <f t="shared" si="627"/>
        <v>0</v>
      </c>
      <c r="EA50" s="62"/>
      <c r="EB50" s="62"/>
      <c r="EC50" s="62"/>
      <c r="ED50" s="62"/>
      <c r="EE50" s="62"/>
      <c r="EF50" s="63">
        <f t="shared" si="734"/>
        <v>0</v>
      </c>
      <c r="EG50" s="63">
        <f t="shared" si="735"/>
        <v>0</v>
      </c>
      <c r="EH50" s="63">
        <f t="shared" si="736"/>
        <v>0</v>
      </c>
      <c r="EI50" s="63">
        <f t="shared" si="737"/>
        <v>0</v>
      </c>
      <c r="EJ50" s="63">
        <f t="shared" si="738"/>
        <v>0</v>
      </c>
      <c r="EK50" s="61">
        <f t="shared" si="739"/>
        <v>0</v>
      </c>
      <c r="EL50" s="64">
        <v>0</v>
      </c>
      <c r="EM50" s="65">
        <f t="shared" si="628"/>
        <v>0</v>
      </c>
      <c r="EN50" s="212">
        <f t="shared" si="629"/>
        <v>0</v>
      </c>
      <c r="EO50" s="49">
        <v>0</v>
      </c>
      <c r="EP50" s="59"/>
      <c r="EQ50" s="28">
        <f t="shared" si="630"/>
        <v>0</v>
      </c>
      <c r="ER50" s="28">
        <v>0</v>
      </c>
      <c r="ES50" s="28">
        <f t="shared" si="740"/>
        <v>0</v>
      </c>
      <c r="ET50" s="28">
        <f t="shared" si="741"/>
        <v>0</v>
      </c>
      <c r="EU50" s="28">
        <f t="shared" si="742"/>
        <v>0</v>
      </c>
      <c r="EV50" s="63">
        <f t="shared" si="743"/>
        <v>0</v>
      </c>
      <c r="EW50" s="63">
        <f t="shared" si="744"/>
        <v>0</v>
      </c>
      <c r="EX50" s="61">
        <f t="shared" si="631"/>
        <v>0</v>
      </c>
      <c r="EY50" s="62"/>
      <c r="EZ50" s="62"/>
      <c r="FA50" s="62"/>
      <c r="FB50" s="62"/>
      <c r="FC50" s="62"/>
      <c r="FD50" s="63">
        <f t="shared" si="745"/>
        <v>0</v>
      </c>
      <c r="FE50" s="63">
        <f t="shared" si="746"/>
        <v>0</v>
      </c>
      <c r="FF50" s="63">
        <f t="shared" si="747"/>
        <v>0</v>
      </c>
      <c r="FG50" s="63">
        <f t="shared" si="748"/>
        <v>0</v>
      </c>
      <c r="FH50" s="63">
        <f t="shared" si="749"/>
        <v>0</v>
      </c>
      <c r="FI50" s="61">
        <f t="shared" si="750"/>
        <v>0</v>
      </c>
      <c r="FJ50" s="64">
        <v>0</v>
      </c>
      <c r="FK50" s="65">
        <f t="shared" si="632"/>
        <v>0</v>
      </c>
      <c r="FL50" s="212">
        <f t="shared" si="633"/>
        <v>0</v>
      </c>
      <c r="FM50" s="49">
        <v>0</v>
      </c>
      <c r="FN50" s="59"/>
      <c r="FO50" s="28">
        <f t="shared" si="634"/>
        <v>0</v>
      </c>
      <c r="FP50" s="28">
        <v>0</v>
      </c>
      <c r="FQ50" s="28">
        <f t="shared" si="751"/>
        <v>0</v>
      </c>
      <c r="FR50" s="28">
        <f t="shared" si="752"/>
        <v>0</v>
      </c>
      <c r="FS50" s="28">
        <f t="shared" si="753"/>
        <v>0</v>
      </c>
      <c r="FT50" s="63">
        <f t="shared" si="754"/>
        <v>0</v>
      </c>
      <c r="FU50" s="63">
        <f t="shared" si="755"/>
        <v>0</v>
      </c>
      <c r="FV50" s="61">
        <f t="shared" si="635"/>
        <v>0</v>
      </c>
      <c r="FW50" s="62"/>
      <c r="FX50" s="62"/>
      <c r="FY50" s="62"/>
      <c r="FZ50" s="62"/>
      <c r="GA50" s="62"/>
      <c r="GB50" s="63">
        <f t="shared" si="756"/>
        <v>0</v>
      </c>
      <c r="GC50" s="63">
        <f t="shared" si="757"/>
        <v>0</v>
      </c>
      <c r="GD50" s="63">
        <f t="shared" si="758"/>
        <v>0</v>
      </c>
      <c r="GE50" s="63">
        <f t="shared" si="759"/>
        <v>0</v>
      </c>
      <c r="GF50" s="63">
        <f t="shared" si="760"/>
        <v>0</v>
      </c>
      <c r="GG50" s="61">
        <f t="shared" si="761"/>
        <v>0</v>
      </c>
      <c r="GH50" s="64">
        <v>0</v>
      </c>
      <c r="GI50" s="65">
        <f t="shared" si="636"/>
        <v>0</v>
      </c>
      <c r="GJ50" s="212">
        <f t="shared" si="637"/>
        <v>0</v>
      </c>
      <c r="GK50" s="49">
        <v>0</v>
      </c>
      <c r="GL50" s="59"/>
      <c r="GM50" s="28">
        <f t="shared" si="638"/>
        <v>0</v>
      </c>
      <c r="GN50" s="28">
        <v>0</v>
      </c>
      <c r="GO50" s="28">
        <f t="shared" si="762"/>
        <v>0</v>
      </c>
      <c r="GP50" s="28">
        <f t="shared" si="763"/>
        <v>0</v>
      </c>
      <c r="GQ50" s="28">
        <f t="shared" si="764"/>
        <v>0</v>
      </c>
      <c r="GR50" s="63">
        <f t="shared" si="765"/>
        <v>0</v>
      </c>
      <c r="GS50" s="63">
        <f t="shared" si="766"/>
        <v>0</v>
      </c>
      <c r="GT50" s="61">
        <f t="shared" si="639"/>
        <v>0</v>
      </c>
      <c r="GU50" s="62"/>
      <c r="GV50" s="62"/>
      <c r="GW50" s="62"/>
      <c r="GX50" s="62"/>
      <c r="GY50" s="62"/>
      <c r="GZ50" s="63">
        <f t="shared" si="767"/>
        <v>0</v>
      </c>
      <c r="HA50" s="63">
        <f t="shared" si="768"/>
        <v>0</v>
      </c>
      <c r="HB50" s="63">
        <f t="shared" si="769"/>
        <v>0</v>
      </c>
      <c r="HC50" s="63">
        <f t="shared" si="770"/>
        <v>0</v>
      </c>
      <c r="HD50" s="63">
        <f t="shared" si="771"/>
        <v>0</v>
      </c>
      <c r="HE50" s="61">
        <f t="shared" si="772"/>
        <v>0</v>
      </c>
      <c r="HF50" s="64">
        <v>0</v>
      </c>
      <c r="HG50" s="65">
        <f t="shared" si="640"/>
        <v>0</v>
      </c>
      <c r="HH50" s="212">
        <f t="shared" si="641"/>
        <v>0</v>
      </c>
      <c r="HI50" s="49">
        <v>0</v>
      </c>
      <c r="HJ50" s="59"/>
      <c r="HK50" s="28">
        <f t="shared" si="642"/>
        <v>0</v>
      </c>
      <c r="HL50" s="28">
        <v>0</v>
      </c>
      <c r="HM50" s="28">
        <f t="shared" si="773"/>
        <v>0</v>
      </c>
      <c r="HN50" s="28">
        <f t="shared" si="774"/>
        <v>0</v>
      </c>
      <c r="HO50" s="28">
        <f t="shared" si="775"/>
        <v>0</v>
      </c>
      <c r="HP50" s="63">
        <f t="shared" si="776"/>
        <v>0</v>
      </c>
      <c r="HQ50" s="63">
        <f t="shared" si="777"/>
        <v>0</v>
      </c>
      <c r="HR50" s="61">
        <f t="shared" si="643"/>
        <v>0</v>
      </c>
      <c r="HS50" s="62"/>
      <c r="HT50" s="62"/>
      <c r="HU50" s="62"/>
      <c r="HV50" s="62"/>
      <c r="HW50" s="62"/>
      <c r="HX50" s="63">
        <f t="shared" si="778"/>
        <v>0</v>
      </c>
      <c r="HY50" s="63">
        <f t="shared" si="779"/>
        <v>0</v>
      </c>
      <c r="HZ50" s="63">
        <f t="shared" si="780"/>
        <v>0</v>
      </c>
      <c r="IA50" s="63">
        <f t="shared" si="781"/>
        <v>0</v>
      </c>
      <c r="IB50" s="63">
        <f t="shared" si="782"/>
        <v>0</v>
      </c>
      <c r="IC50" s="61">
        <f t="shared" si="783"/>
        <v>0</v>
      </c>
      <c r="ID50" s="64">
        <v>0</v>
      </c>
      <c r="IE50" s="65">
        <f t="shared" si="644"/>
        <v>0</v>
      </c>
      <c r="IF50" s="212">
        <f t="shared" si="645"/>
        <v>0</v>
      </c>
      <c r="IG50" s="49">
        <v>0</v>
      </c>
      <c r="IH50" s="59"/>
      <c r="II50" s="28">
        <f t="shared" si="646"/>
        <v>0</v>
      </c>
      <c r="IJ50" s="28">
        <v>0</v>
      </c>
      <c r="IK50" s="28">
        <f t="shared" si="647"/>
        <v>0</v>
      </c>
      <c r="IL50" s="28">
        <f t="shared" si="648"/>
        <v>0</v>
      </c>
      <c r="IM50" s="28">
        <f t="shared" si="649"/>
        <v>0</v>
      </c>
      <c r="IN50" s="63">
        <f t="shared" si="650"/>
        <v>0</v>
      </c>
      <c r="IO50" s="63">
        <f t="shared" si="651"/>
        <v>0</v>
      </c>
      <c r="IP50" s="61">
        <f t="shared" si="652"/>
        <v>0</v>
      </c>
      <c r="IQ50" s="62"/>
      <c r="IR50" s="62"/>
      <c r="IS50" s="62"/>
      <c r="IT50" s="62"/>
      <c r="IU50" s="62"/>
      <c r="IV50" s="63">
        <f t="shared" si="653"/>
        <v>0</v>
      </c>
      <c r="IW50" s="63">
        <f t="shared" si="654"/>
        <v>0</v>
      </c>
      <c r="IX50" s="63">
        <f t="shared" si="655"/>
        <v>0</v>
      </c>
      <c r="IY50" s="63">
        <f t="shared" si="656"/>
        <v>0</v>
      </c>
      <c r="IZ50" s="63">
        <f t="shared" si="657"/>
        <v>0</v>
      </c>
      <c r="JA50" s="61">
        <f t="shared" si="784"/>
        <v>0</v>
      </c>
      <c r="JB50" s="64">
        <v>0</v>
      </c>
      <c r="JC50" s="65">
        <f t="shared" si="658"/>
        <v>0</v>
      </c>
      <c r="JD50" s="476">
        <f t="shared" si="659"/>
        <v>0</v>
      </c>
      <c r="JE50" s="49">
        <v>0</v>
      </c>
      <c r="JF50" s="59"/>
      <c r="JG50" s="28">
        <f t="shared" si="660"/>
        <v>0</v>
      </c>
      <c r="JH50" s="28">
        <v>0</v>
      </c>
      <c r="JI50" s="28">
        <f t="shared" si="661"/>
        <v>0</v>
      </c>
      <c r="JJ50" s="28">
        <f t="shared" si="662"/>
        <v>0</v>
      </c>
      <c r="JK50" s="28">
        <f t="shared" si="663"/>
        <v>0</v>
      </c>
      <c r="JL50" s="63">
        <f t="shared" si="664"/>
        <v>0</v>
      </c>
      <c r="JM50" s="63">
        <f t="shared" si="665"/>
        <v>0</v>
      </c>
      <c r="JN50" s="61">
        <f t="shared" si="666"/>
        <v>0</v>
      </c>
      <c r="JO50" s="62"/>
      <c r="JP50" s="62"/>
      <c r="JQ50" s="62"/>
      <c r="JR50" s="62"/>
      <c r="JS50" s="62"/>
      <c r="JT50" s="63">
        <f t="shared" si="667"/>
        <v>0</v>
      </c>
      <c r="JU50" s="63">
        <f t="shared" si="668"/>
        <v>0</v>
      </c>
      <c r="JV50" s="63">
        <f t="shared" si="669"/>
        <v>0</v>
      </c>
      <c r="JW50" s="63">
        <f t="shared" si="670"/>
        <v>0</v>
      </c>
      <c r="JX50" s="63">
        <f t="shared" si="671"/>
        <v>0</v>
      </c>
      <c r="JY50" s="61">
        <f t="shared" si="785"/>
        <v>0</v>
      </c>
      <c r="JZ50" s="64">
        <v>0</v>
      </c>
      <c r="KA50" s="65">
        <f t="shared" si="672"/>
        <v>0</v>
      </c>
      <c r="KB50" s="476">
        <f t="shared" si="673"/>
        <v>0</v>
      </c>
      <c r="KC50" s="37"/>
      <c r="KD50" s="37"/>
      <c r="KE50" s="37"/>
      <c r="KF50" s="37"/>
      <c r="KG50" s="37"/>
      <c r="KH50" s="37"/>
      <c r="KI50" s="37"/>
      <c r="KJ50" s="37"/>
    </row>
    <row r="51" spans="1:296" x14ac:dyDescent="0.3">
      <c r="A51" s="49">
        <v>0</v>
      </c>
      <c r="B51" s="59"/>
      <c r="C51" s="28">
        <f t="shared" si="606"/>
        <v>0</v>
      </c>
      <c r="D51" s="28">
        <v>0</v>
      </c>
      <c r="E51" s="28">
        <f t="shared" si="674"/>
        <v>0</v>
      </c>
      <c r="F51" s="28">
        <f t="shared" si="675"/>
        <v>0</v>
      </c>
      <c r="G51" s="28">
        <f t="shared" si="676"/>
        <v>0</v>
      </c>
      <c r="H51" s="63">
        <f t="shared" si="677"/>
        <v>0</v>
      </c>
      <c r="I51" s="63">
        <f t="shared" si="678"/>
        <v>0</v>
      </c>
      <c r="J51" s="61">
        <f t="shared" si="607"/>
        <v>0</v>
      </c>
      <c r="K51" s="62"/>
      <c r="L51" s="62"/>
      <c r="M51" s="62"/>
      <c r="N51" s="62"/>
      <c r="O51" s="62"/>
      <c r="P51" s="63">
        <f t="shared" si="679"/>
        <v>0</v>
      </c>
      <c r="Q51" s="63">
        <f t="shared" si="680"/>
        <v>0</v>
      </c>
      <c r="R51" s="63">
        <f t="shared" si="681"/>
        <v>0</v>
      </c>
      <c r="S51" s="63">
        <f t="shared" si="682"/>
        <v>0</v>
      </c>
      <c r="T51" s="63">
        <f t="shared" si="683"/>
        <v>0</v>
      </c>
      <c r="U51" s="61">
        <f t="shared" si="684"/>
        <v>0</v>
      </c>
      <c r="V51" s="64">
        <v>0</v>
      </c>
      <c r="W51" s="65">
        <f t="shared" si="608"/>
        <v>0</v>
      </c>
      <c r="X51" s="212">
        <f t="shared" si="609"/>
        <v>0</v>
      </c>
      <c r="Y51" s="49">
        <v>0</v>
      </c>
      <c r="Z51" s="59"/>
      <c r="AA51" s="28">
        <f t="shared" si="610"/>
        <v>0</v>
      </c>
      <c r="AB51" s="28">
        <v>0</v>
      </c>
      <c r="AC51" s="28">
        <f t="shared" si="685"/>
        <v>0</v>
      </c>
      <c r="AD51" s="28">
        <f t="shared" si="686"/>
        <v>0</v>
      </c>
      <c r="AE51" s="28">
        <f t="shared" si="687"/>
        <v>0</v>
      </c>
      <c r="AF51" s="63">
        <f t="shared" si="688"/>
        <v>0</v>
      </c>
      <c r="AG51" s="63">
        <f t="shared" si="689"/>
        <v>0</v>
      </c>
      <c r="AH51" s="61">
        <f t="shared" si="611"/>
        <v>0</v>
      </c>
      <c r="AI51" s="62"/>
      <c r="AJ51" s="62"/>
      <c r="AK51" s="62"/>
      <c r="AL51" s="62"/>
      <c r="AM51" s="62"/>
      <c r="AN51" s="63">
        <f t="shared" si="690"/>
        <v>0</v>
      </c>
      <c r="AO51" s="63">
        <f t="shared" si="691"/>
        <v>0</v>
      </c>
      <c r="AP51" s="63">
        <f t="shared" si="692"/>
        <v>0</v>
      </c>
      <c r="AQ51" s="63">
        <f t="shared" si="693"/>
        <v>0</v>
      </c>
      <c r="AR51" s="63">
        <f t="shared" si="694"/>
        <v>0</v>
      </c>
      <c r="AS51" s="61">
        <f t="shared" si="695"/>
        <v>0</v>
      </c>
      <c r="AT51" s="64">
        <v>0</v>
      </c>
      <c r="AU51" s="65">
        <f t="shared" si="612"/>
        <v>0</v>
      </c>
      <c r="AV51" s="212">
        <f t="shared" si="613"/>
        <v>0</v>
      </c>
      <c r="AW51" s="49">
        <v>0</v>
      </c>
      <c r="AX51" s="59"/>
      <c r="AY51" s="28">
        <f t="shared" si="614"/>
        <v>0</v>
      </c>
      <c r="AZ51" s="28">
        <v>0</v>
      </c>
      <c r="BA51" s="28">
        <f t="shared" si="696"/>
        <v>0</v>
      </c>
      <c r="BB51" s="28">
        <f t="shared" si="697"/>
        <v>0</v>
      </c>
      <c r="BC51" s="28">
        <f t="shared" si="698"/>
        <v>0</v>
      </c>
      <c r="BD51" s="63">
        <f t="shared" si="699"/>
        <v>0</v>
      </c>
      <c r="BE51" s="63">
        <f t="shared" si="700"/>
        <v>0</v>
      </c>
      <c r="BF51" s="61">
        <f t="shared" si="615"/>
        <v>0</v>
      </c>
      <c r="BG51" s="62"/>
      <c r="BH51" s="62"/>
      <c r="BI51" s="62"/>
      <c r="BJ51" s="62"/>
      <c r="BK51" s="62"/>
      <c r="BL51" s="63">
        <f t="shared" si="701"/>
        <v>0</v>
      </c>
      <c r="BM51" s="63">
        <f t="shared" si="702"/>
        <v>0</v>
      </c>
      <c r="BN51" s="63">
        <f t="shared" si="703"/>
        <v>0</v>
      </c>
      <c r="BO51" s="63">
        <f t="shared" si="704"/>
        <v>0</v>
      </c>
      <c r="BP51" s="63">
        <f t="shared" si="705"/>
        <v>0</v>
      </c>
      <c r="BQ51" s="61">
        <f t="shared" si="706"/>
        <v>0</v>
      </c>
      <c r="BR51" s="64">
        <v>0</v>
      </c>
      <c r="BS51" s="65">
        <f t="shared" si="616"/>
        <v>0</v>
      </c>
      <c r="BT51" s="212">
        <f t="shared" si="617"/>
        <v>0</v>
      </c>
      <c r="BU51" s="49">
        <v>0</v>
      </c>
      <c r="BV51" s="59"/>
      <c r="BW51" s="28">
        <f t="shared" si="618"/>
        <v>0</v>
      </c>
      <c r="BX51" s="28">
        <v>0</v>
      </c>
      <c r="BY51" s="28">
        <f t="shared" si="707"/>
        <v>0</v>
      </c>
      <c r="BZ51" s="28">
        <f t="shared" si="708"/>
        <v>0</v>
      </c>
      <c r="CA51" s="28">
        <f t="shared" si="709"/>
        <v>0</v>
      </c>
      <c r="CB51" s="63">
        <f t="shared" si="710"/>
        <v>0</v>
      </c>
      <c r="CC51" s="63">
        <f t="shared" si="711"/>
        <v>0</v>
      </c>
      <c r="CD51" s="61">
        <f t="shared" si="619"/>
        <v>0</v>
      </c>
      <c r="CE51" s="62"/>
      <c r="CF51" s="62"/>
      <c r="CG51" s="62"/>
      <c r="CH51" s="62"/>
      <c r="CI51" s="62"/>
      <c r="CJ51" s="63">
        <f t="shared" si="712"/>
        <v>0</v>
      </c>
      <c r="CK51" s="63">
        <f t="shared" si="713"/>
        <v>0</v>
      </c>
      <c r="CL51" s="63">
        <f t="shared" si="714"/>
        <v>0</v>
      </c>
      <c r="CM51" s="63">
        <f t="shared" si="715"/>
        <v>0</v>
      </c>
      <c r="CN51" s="63">
        <f t="shared" si="716"/>
        <v>0</v>
      </c>
      <c r="CO51" s="61">
        <f t="shared" si="717"/>
        <v>0</v>
      </c>
      <c r="CP51" s="64">
        <v>0</v>
      </c>
      <c r="CQ51" s="65">
        <f t="shared" si="620"/>
        <v>0</v>
      </c>
      <c r="CR51" s="212">
        <f t="shared" si="621"/>
        <v>0</v>
      </c>
      <c r="CS51" s="49">
        <v>0</v>
      </c>
      <c r="CT51" s="59"/>
      <c r="CU51" s="28">
        <f t="shared" si="622"/>
        <v>0</v>
      </c>
      <c r="CV51" s="28">
        <v>0</v>
      </c>
      <c r="CW51" s="28">
        <f t="shared" si="718"/>
        <v>0</v>
      </c>
      <c r="CX51" s="28">
        <f t="shared" si="719"/>
        <v>0</v>
      </c>
      <c r="CY51" s="28">
        <f t="shared" si="720"/>
        <v>0</v>
      </c>
      <c r="CZ51" s="63">
        <f t="shared" si="721"/>
        <v>0</v>
      </c>
      <c r="DA51" s="63">
        <f t="shared" si="722"/>
        <v>0</v>
      </c>
      <c r="DB51" s="61">
        <f t="shared" si="623"/>
        <v>0</v>
      </c>
      <c r="DC51" s="62"/>
      <c r="DD51" s="62"/>
      <c r="DE51" s="62"/>
      <c r="DF51" s="62"/>
      <c r="DG51" s="62"/>
      <c r="DH51" s="63">
        <f t="shared" si="723"/>
        <v>0</v>
      </c>
      <c r="DI51" s="63">
        <f t="shared" si="724"/>
        <v>0</v>
      </c>
      <c r="DJ51" s="63">
        <f t="shared" si="725"/>
        <v>0</v>
      </c>
      <c r="DK51" s="63">
        <f t="shared" si="726"/>
        <v>0</v>
      </c>
      <c r="DL51" s="63">
        <f t="shared" si="727"/>
        <v>0</v>
      </c>
      <c r="DM51" s="61">
        <f t="shared" si="728"/>
        <v>0</v>
      </c>
      <c r="DN51" s="64">
        <v>0</v>
      </c>
      <c r="DO51" s="65">
        <f t="shared" si="624"/>
        <v>0</v>
      </c>
      <c r="DP51" s="212">
        <f t="shared" si="625"/>
        <v>0</v>
      </c>
      <c r="DQ51" s="49">
        <v>0</v>
      </c>
      <c r="DR51" s="59"/>
      <c r="DS51" s="28">
        <f t="shared" si="626"/>
        <v>0</v>
      </c>
      <c r="DT51" s="28">
        <v>0</v>
      </c>
      <c r="DU51" s="28">
        <f t="shared" si="729"/>
        <v>0</v>
      </c>
      <c r="DV51" s="28">
        <f t="shared" si="730"/>
        <v>0</v>
      </c>
      <c r="DW51" s="28">
        <f t="shared" si="731"/>
        <v>0</v>
      </c>
      <c r="DX51" s="63">
        <f t="shared" si="732"/>
        <v>0</v>
      </c>
      <c r="DY51" s="63">
        <f t="shared" si="733"/>
        <v>0</v>
      </c>
      <c r="DZ51" s="61">
        <f t="shared" si="627"/>
        <v>0</v>
      </c>
      <c r="EA51" s="62"/>
      <c r="EB51" s="62"/>
      <c r="EC51" s="62"/>
      <c r="ED51" s="62"/>
      <c r="EE51" s="62"/>
      <c r="EF51" s="63">
        <f t="shared" si="734"/>
        <v>0</v>
      </c>
      <c r="EG51" s="63">
        <f t="shared" si="735"/>
        <v>0</v>
      </c>
      <c r="EH51" s="63">
        <f t="shared" si="736"/>
        <v>0</v>
      </c>
      <c r="EI51" s="63">
        <f t="shared" si="737"/>
        <v>0</v>
      </c>
      <c r="EJ51" s="63">
        <f t="shared" si="738"/>
        <v>0</v>
      </c>
      <c r="EK51" s="61">
        <f t="shared" si="739"/>
        <v>0</v>
      </c>
      <c r="EL51" s="64">
        <v>0</v>
      </c>
      <c r="EM51" s="65">
        <f t="shared" si="628"/>
        <v>0</v>
      </c>
      <c r="EN51" s="212">
        <f t="shared" si="629"/>
        <v>0</v>
      </c>
      <c r="EO51" s="49">
        <v>0</v>
      </c>
      <c r="EP51" s="59"/>
      <c r="EQ51" s="28">
        <f t="shared" si="630"/>
        <v>0</v>
      </c>
      <c r="ER51" s="28">
        <v>0</v>
      </c>
      <c r="ES51" s="28">
        <f t="shared" si="740"/>
        <v>0</v>
      </c>
      <c r="ET51" s="28">
        <f t="shared" si="741"/>
        <v>0</v>
      </c>
      <c r="EU51" s="28">
        <f t="shared" si="742"/>
        <v>0</v>
      </c>
      <c r="EV51" s="63">
        <f t="shared" si="743"/>
        <v>0</v>
      </c>
      <c r="EW51" s="63">
        <f t="shared" si="744"/>
        <v>0</v>
      </c>
      <c r="EX51" s="61">
        <f t="shared" si="631"/>
        <v>0</v>
      </c>
      <c r="EY51" s="62"/>
      <c r="EZ51" s="62"/>
      <c r="FA51" s="62"/>
      <c r="FB51" s="62"/>
      <c r="FC51" s="62"/>
      <c r="FD51" s="63">
        <f t="shared" si="745"/>
        <v>0</v>
      </c>
      <c r="FE51" s="63">
        <f t="shared" si="746"/>
        <v>0</v>
      </c>
      <c r="FF51" s="63">
        <f t="shared" si="747"/>
        <v>0</v>
      </c>
      <c r="FG51" s="63">
        <f t="shared" si="748"/>
        <v>0</v>
      </c>
      <c r="FH51" s="63">
        <f t="shared" si="749"/>
        <v>0</v>
      </c>
      <c r="FI51" s="61">
        <f t="shared" si="750"/>
        <v>0</v>
      </c>
      <c r="FJ51" s="64">
        <v>0</v>
      </c>
      <c r="FK51" s="65">
        <f t="shared" si="632"/>
        <v>0</v>
      </c>
      <c r="FL51" s="212">
        <f t="shared" si="633"/>
        <v>0</v>
      </c>
      <c r="FM51" s="49">
        <v>0</v>
      </c>
      <c r="FN51" s="59"/>
      <c r="FO51" s="28">
        <f t="shared" si="634"/>
        <v>0</v>
      </c>
      <c r="FP51" s="28">
        <v>0</v>
      </c>
      <c r="FQ51" s="28">
        <f t="shared" si="751"/>
        <v>0</v>
      </c>
      <c r="FR51" s="28">
        <f t="shared" si="752"/>
        <v>0</v>
      </c>
      <c r="FS51" s="28">
        <f t="shared" si="753"/>
        <v>0</v>
      </c>
      <c r="FT51" s="63">
        <f t="shared" si="754"/>
        <v>0</v>
      </c>
      <c r="FU51" s="63">
        <f t="shared" si="755"/>
        <v>0</v>
      </c>
      <c r="FV51" s="61">
        <f t="shared" si="635"/>
        <v>0</v>
      </c>
      <c r="FW51" s="62"/>
      <c r="FX51" s="62"/>
      <c r="FY51" s="62"/>
      <c r="FZ51" s="62"/>
      <c r="GA51" s="62"/>
      <c r="GB51" s="63">
        <f t="shared" si="756"/>
        <v>0</v>
      </c>
      <c r="GC51" s="63">
        <f t="shared" si="757"/>
        <v>0</v>
      </c>
      <c r="GD51" s="63">
        <f t="shared" si="758"/>
        <v>0</v>
      </c>
      <c r="GE51" s="63">
        <f t="shared" si="759"/>
        <v>0</v>
      </c>
      <c r="GF51" s="63">
        <f t="shared" si="760"/>
        <v>0</v>
      </c>
      <c r="GG51" s="61">
        <f t="shared" si="761"/>
        <v>0</v>
      </c>
      <c r="GH51" s="64">
        <v>0</v>
      </c>
      <c r="GI51" s="65">
        <f t="shared" si="636"/>
        <v>0</v>
      </c>
      <c r="GJ51" s="212">
        <f t="shared" si="637"/>
        <v>0</v>
      </c>
      <c r="GK51" s="49">
        <v>0</v>
      </c>
      <c r="GL51" s="59"/>
      <c r="GM51" s="28">
        <f t="shared" si="638"/>
        <v>0</v>
      </c>
      <c r="GN51" s="28">
        <v>0</v>
      </c>
      <c r="GO51" s="28">
        <f t="shared" si="762"/>
        <v>0</v>
      </c>
      <c r="GP51" s="28">
        <f t="shared" si="763"/>
        <v>0</v>
      </c>
      <c r="GQ51" s="28">
        <f t="shared" si="764"/>
        <v>0</v>
      </c>
      <c r="GR51" s="63">
        <f t="shared" si="765"/>
        <v>0</v>
      </c>
      <c r="GS51" s="63">
        <f t="shared" si="766"/>
        <v>0</v>
      </c>
      <c r="GT51" s="61">
        <f t="shared" si="639"/>
        <v>0</v>
      </c>
      <c r="GU51" s="62"/>
      <c r="GV51" s="62"/>
      <c r="GW51" s="62"/>
      <c r="GX51" s="62"/>
      <c r="GY51" s="62"/>
      <c r="GZ51" s="63">
        <f t="shared" si="767"/>
        <v>0</v>
      </c>
      <c r="HA51" s="63">
        <f t="shared" si="768"/>
        <v>0</v>
      </c>
      <c r="HB51" s="63">
        <f t="shared" si="769"/>
        <v>0</v>
      </c>
      <c r="HC51" s="63">
        <f t="shared" si="770"/>
        <v>0</v>
      </c>
      <c r="HD51" s="63">
        <f t="shared" si="771"/>
        <v>0</v>
      </c>
      <c r="HE51" s="61">
        <f t="shared" si="772"/>
        <v>0</v>
      </c>
      <c r="HF51" s="64">
        <v>0</v>
      </c>
      <c r="HG51" s="65">
        <f t="shared" si="640"/>
        <v>0</v>
      </c>
      <c r="HH51" s="212">
        <f t="shared" si="641"/>
        <v>0</v>
      </c>
      <c r="HI51" s="49">
        <v>0</v>
      </c>
      <c r="HJ51" s="59"/>
      <c r="HK51" s="28">
        <f t="shared" si="642"/>
        <v>0</v>
      </c>
      <c r="HL51" s="28">
        <v>0</v>
      </c>
      <c r="HM51" s="28">
        <f t="shared" si="773"/>
        <v>0</v>
      </c>
      <c r="HN51" s="28">
        <f t="shared" si="774"/>
        <v>0</v>
      </c>
      <c r="HO51" s="28">
        <f t="shared" si="775"/>
        <v>0</v>
      </c>
      <c r="HP51" s="63">
        <f t="shared" si="776"/>
        <v>0</v>
      </c>
      <c r="HQ51" s="63">
        <f t="shared" si="777"/>
        <v>0</v>
      </c>
      <c r="HR51" s="61">
        <f t="shared" si="643"/>
        <v>0</v>
      </c>
      <c r="HS51" s="62"/>
      <c r="HT51" s="62"/>
      <c r="HU51" s="62"/>
      <c r="HV51" s="62"/>
      <c r="HW51" s="62"/>
      <c r="HX51" s="63">
        <f t="shared" si="778"/>
        <v>0</v>
      </c>
      <c r="HY51" s="63">
        <f t="shared" si="779"/>
        <v>0</v>
      </c>
      <c r="HZ51" s="63">
        <f t="shared" si="780"/>
        <v>0</v>
      </c>
      <c r="IA51" s="63">
        <f t="shared" si="781"/>
        <v>0</v>
      </c>
      <c r="IB51" s="63">
        <f t="shared" si="782"/>
        <v>0</v>
      </c>
      <c r="IC51" s="61">
        <f t="shared" si="783"/>
        <v>0</v>
      </c>
      <c r="ID51" s="64">
        <v>0</v>
      </c>
      <c r="IE51" s="65">
        <f t="shared" si="644"/>
        <v>0</v>
      </c>
      <c r="IF51" s="212">
        <f t="shared" si="645"/>
        <v>0</v>
      </c>
      <c r="IG51" s="49">
        <v>0</v>
      </c>
      <c r="IH51" s="59"/>
      <c r="II51" s="28">
        <f t="shared" si="646"/>
        <v>0</v>
      </c>
      <c r="IJ51" s="28">
        <v>0</v>
      </c>
      <c r="IK51" s="28">
        <f t="shared" si="647"/>
        <v>0</v>
      </c>
      <c r="IL51" s="28">
        <f t="shared" si="648"/>
        <v>0</v>
      </c>
      <c r="IM51" s="28">
        <f t="shared" si="649"/>
        <v>0</v>
      </c>
      <c r="IN51" s="63">
        <f t="shared" si="650"/>
        <v>0</v>
      </c>
      <c r="IO51" s="63">
        <f t="shared" si="651"/>
        <v>0</v>
      </c>
      <c r="IP51" s="61">
        <f t="shared" si="652"/>
        <v>0</v>
      </c>
      <c r="IQ51" s="62"/>
      <c r="IR51" s="62"/>
      <c r="IS51" s="62"/>
      <c r="IT51" s="62"/>
      <c r="IU51" s="62"/>
      <c r="IV51" s="63">
        <f t="shared" si="653"/>
        <v>0</v>
      </c>
      <c r="IW51" s="63">
        <f t="shared" si="654"/>
        <v>0</v>
      </c>
      <c r="IX51" s="63">
        <f t="shared" si="655"/>
        <v>0</v>
      </c>
      <c r="IY51" s="63">
        <f t="shared" si="656"/>
        <v>0</v>
      </c>
      <c r="IZ51" s="63">
        <f t="shared" si="657"/>
        <v>0</v>
      </c>
      <c r="JA51" s="61">
        <f t="shared" si="784"/>
        <v>0</v>
      </c>
      <c r="JB51" s="64">
        <v>0</v>
      </c>
      <c r="JC51" s="65">
        <f t="shared" si="658"/>
        <v>0</v>
      </c>
      <c r="JD51" s="476">
        <f t="shared" si="659"/>
        <v>0</v>
      </c>
      <c r="JE51" s="49">
        <v>0</v>
      </c>
      <c r="JF51" s="59"/>
      <c r="JG51" s="28">
        <f t="shared" si="660"/>
        <v>0</v>
      </c>
      <c r="JH51" s="28">
        <v>0</v>
      </c>
      <c r="JI51" s="28">
        <f t="shared" si="661"/>
        <v>0</v>
      </c>
      <c r="JJ51" s="28">
        <f t="shared" si="662"/>
        <v>0</v>
      </c>
      <c r="JK51" s="28">
        <f t="shared" si="663"/>
        <v>0</v>
      </c>
      <c r="JL51" s="63">
        <f t="shared" si="664"/>
        <v>0</v>
      </c>
      <c r="JM51" s="63">
        <f t="shared" si="665"/>
        <v>0</v>
      </c>
      <c r="JN51" s="61">
        <f t="shared" si="666"/>
        <v>0</v>
      </c>
      <c r="JO51" s="62"/>
      <c r="JP51" s="62"/>
      <c r="JQ51" s="62"/>
      <c r="JR51" s="62"/>
      <c r="JS51" s="62"/>
      <c r="JT51" s="63">
        <f t="shared" si="667"/>
        <v>0</v>
      </c>
      <c r="JU51" s="63">
        <f t="shared" si="668"/>
        <v>0</v>
      </c>
      <c r="JV51" s="63">
        <f t="shared" si="669"/>
        <v>0</v>
      </c>
      <c r="JW51" s="63">
        <f t="shared" si="670"/>
        <v>0</v>
      </c>
      <c r="JX51" s="63">
        <f t="shared" si="671"/>
        <v>0</v>
      </c>
      <c r="JY51" s="61">
        <f t="shared" si="785"/>
        <v>0</v>
      </c>
      <c r="JZ51" s="64">
        <v>0</v>
      </c>
      <c r="KA51" s="65">
        <f t="shared" si="672"/>
        <v>0</v>
      </c>
      <c r="KB51" s="476">
        <f t="shared" si="673"/>
        <v>0</v>
      </c>
      <c r="KC51" s="37"/>
      <c r="KD51" s="37"/>
      <c r="KE51" s="37"/>
      <c r="KF51" s="37"/>
      <c r="KG51" s="37"/>
      <c r="KH51" s="37"/>
      <c r="KI51" s="37"/>
      <c r="KJ51" s="37"/>
    </row>
    <row r="52" spans="1:296" x14ac:dyDescent="0.3">
      <c r="A52" s="49">
        <v>0</v>
      </c>
      <c r="B52" s="59"/>
      <c r="C52" s="28">
        <f t="shared" si="606"/>
        <v>0</v>
      </c>
      <c r="D52" s="28">
        <v>0</v>
      </c>
      <c r="E52" s="28">
        <f t="shared" si="674"/>
        <v>0</v>
      </c>
      <c r="F52" s="28">
        <f t="shared" si="675"/>
        <v>0</v>
      </c>
      <c r="G52" s="28">
        <f t="shared" si="676"/>
        <v>0</v>
      </c>
      <c r="H52" s="63">
        <f t="shared" si="677"/>
        <v>0</v>
      </c>
      <c r="I52" s="63">
        <f t="shared" si="678"/>
        <v>0</v>
      </c>
      <c r="J52" s="61">
        <f t="shared" si="607"/>
        <v>0</v>
      </c>
      <c r="K52" s="62"/>
      <c r="L52" s="62"/>
      <c r="M52" s="62"/>
      <c r="N52" s="62"/>
      <c r="O52" s="62"/>
      <c r="P52" s="63">
        <f t="shared" si="679"/>
        <v>0</v>
      </c>
      <c r="Q52" s="63">
        <f t="shared" si="680"/>
        <v>0</v>
      </c>
      <c r="R52" s="63">
        <f t="shared" si="681"/>
        <v>0</v>
      </c>
      <c r="S52" s="63">
        <f t="shared" si="682"/>
        <v>0</v>
      </c>
      <c r="T52" s="63">
        <f t="shared" si="683"/>
        <v>0</v>
      </c>
      <c r="U52" s="61">
        <f t="shared" si="684"/>
        <v>0</v>
      </c>
      <c r="V52" s="64">
        <v>0</v>
      </c>
      <c r="W52" s="65">
        <f t="shared" si="608"/>
        <v>0</v>
      </c>
      <c r="X52" s="212">
        <f t="shared" si="609"/>
        <v>0</v>
      </c>
      <c r="Y52" s="49">
        <v>0</v>
      </c>
      <c r="Z52" s="59"/>
      <c r="AA52" s="28">
        <f t="shared" si="610"/>
        <v>0</v>
      </c>
      <c r="AB52" s="28">
        <v>0</v>
      </c>
      <c r="AC52" s="28">
        <f t="shared" si="685"/>
        <v>0</v>
      </c>
      <c r="AD52" s="28">
        <f t="shared" si="686"/>
        <v>0</v>
      </c>
      <c r="AE52" s="28">
        <f t="shared" si="687"/>
        <v>0</v>
      </c>
      <c r="AF52" s="63">
        <f t="shared" si="688"/>
        <v>0</v>
      </c>
      <c r="AG52" s="63">
        <f t="shared" si="689"/>
        <v>0</v>
      </c>
      <c r="AH52" s="61">
        <f t="shared" si="611"/>
        <v>0</v>
      </c>
      <c r="AI52" s="62"/>
      <c r="AJ52" s="62"/>
      <c r="AK52" s="62"/>
      <c r="AL52" s="62"/>
      <c r="AM52" s="62"/>
      <c r="AN52" s="63">
        <f t="shared" si="690"/>
        <v>0</v>
      </c>
      <c r="AO52" s="63">
        <f t="shared" si="691"/>
        <v>0</v>
      </c>
      <c r="AP52" s="63">
        <f t="shared" si="692"/>
        <v>0</v>
      </c>
      <c r="AQ52" s="63">
        <f t="shared" si="693"/>
        <v>0</v>
      </c>
      <c r="AR52" s="63">
        <f t="shared" si="694"/>
        <v>0</v>
      </c>
      <c r="AS52" s="61">
        <f t="shared" si="695"/>
        <v>0</v>
      </c>
      <c r="AT52" s="64">
        <v>0</v>
      </c>
      <c r="AU52" s="65">
        <f t="shared" si="612"/>
        <v>0</v>
      </c>
      <c r="AV52" s="212">
        <f t="shared" si="613"/>
        <v>0</v>
      </c>
      <c r="AW52" s="49">
        <v>0</v>
      </c>
      <c r="AX52" s="59"/>
      <c r="AY52" s="28">
        <f t="shared" si="614"/>
        <v>0</v>
      </c>
      <c r="AZ52" s="28">
        <v>0</v>
      </c>
      <c r="BA52" s="28">
        <f t="shared" si="696"/>
        <v>0</v>
      </c>
      <c r="BB52" s="28">
        <f t="shared" si="697"/>
        <v>0</v>
      </c>
      <c r="BC52" s="28">
        <f t="shared" si="698"/>
        <v>0</v>
      </c>
      <c r="BD52" s="63">
        <f t="shared" si="699"/>
        <v>0</v>
      </c>
      <c r="BE52" s="63">
        <f t="shared" si="700"/>
        <v>0</v>
      </c>
      <c r="BF52" s="61">
        <f t="shared" si="615"/>
        <v>0</v>
      </c>
      <c r="BG52" s="62"/>
      <c r="BH52" s="62"/>
      <c r="BI52" s="62"/>
      <c r="BJ52" s="62"/>
      <c r="BK52" s="62"/>
      <c r="BL52" s="63">
        <f t="shared" si="701"/>
        <v>0</v>
      </c>
      <c r="BM52" s="63">
        <f t="shared" si="702"/>
        <v>0</v>
      </c>
      <c r="BN52" s="63">
        <f t="shared" si="703"/>
        <v>0</v>
      </c>
      <c r="BO52" s="63">
        <f t="shared" si="704"/>
        <v>0</v>
      </c>
      <c r="BP52" s="63">
        <f t="shared" si="705"/>
        <v>0</v>
      </c>
      <c r="BQ52" s="61">
        <f t="shared" si="706"/>
        <v>0</v>
      </c>
      <c r="BR52" s="64">
        <v>0</v>
      </c>
      <c r="BS52" s="65">
        <f t="shared" si="616"/>
        <v>0</v>
      </c>
      <c r="BT52" s="212">
        <f t="shared" si="617"/>
        <v>0</v>
      </c>
      <c r="BU52" s="49">
        <v>0</v>
      </c>
      <c r="BV52" s="59"/>
      <c r="BW52" s="28">
        <f t="shared" si="618"/>
        <v>0</v>
      </c>
      <c r="BX52" s="28">
        <v>0</v>
      </c>
      <c r="BY52" s="28">
        <f t="shared" si="707"/>
        <v>0</v>
      </c>
      <c r="BZ52" s="28">
        <f t="shared" si="708"/>
        <v>0</v>
      </c>
      <c r="CA52" s="28">
        <f t="shared" si="709"/>
        <v>0</v>
      </c>
      <c r="CB52" s="63">
        <f t="shared" si="710"/>
        <v>0</v>
      </c>
      <c r="CC52" s="63">
        <f t="shared" si="711"/>
        <v>0</v>
      </c>
      <c r="CD52" s="61">
        <f t="shared" si="619"/>
        <v>0</v>
      </c>
      <c r="CE52" s="62"/>
      <c r="CF52" s="62"/>
      <c r="CG52" s="62"/>
      <c r="CH52" s="62"/>
      <c r="CI52" s="62"/>
      <c r="CJ52" s="63">
        <f t="shared" si="712"/>
        <v>0</v>
      </c>
      <c r="CK52" s="63">
        <f t="shared" si="713"/>
        <v>0</v>
      </c>
      <c r="CL52" s="63">
        <f t="shared" si="714"/>
        <v>0</v>
      </c>
      <c r="CM52" s="63">
        <f t="shared" si="715"/>
        <v>0</v>
      </c>
      <c r="CN52" s="63">
        <f t="shared" si="716"/>
        <v>0</v>
      </c>
      <c r="CO52" s="61">
        <f t="shared" si="717"/>
        <v>0</v>
      </c>
      <c r="CP52" s="64">
        <v>0</v>
      </c>
      <c r="CQ52" s="65">
        <f t="shared" si="620"/>
        <v>0</v>
      </c>
      <c r="CR52" s="212">
        <f t="shared" si="621"/>
        <v>0</v>
      </c>
      <c r="CS52" s="49">
        <v>0</v>
      </c>
      <c r="CT52" s="59"/>
      <c r="CU52" s="28">
        <f t="shared" si="622"/>
        <v>0</v>
      </c>
      <c r="CV52" s="28">
        <v>0</v>
      </c>
      <c r="CW52" s="28">
        <f t="shared" si="718"/>
        <v>0</v>
      </c>
      <c r="CX52" s="28">
        <f t="shared" si="719"/>
        <v>0</v>
      </c>
      <c r="CY52" s="28">
        <f t="shared" si="720"/>
        <v>0</v>
      </c>
      <c r="CZ52" s="63">
        <f t="shared" si="721"/>
        <v>0</v>
      </c>
      <c r="DA52" s="63">
        <f t="shared" si="722"/>
        <v>0</v>
      </c>
      <c r="DB52" s="61">
        <f t="shared" si="623"/>
        <v>0</v>
      </c>
      <c r="DC52" s="62"/>
      <c r="DD52" s="62"/>
      <c r="DE52" s="62"/>
      <c r="DF52" s="62"/>
      <c r="DG52" s="62"/>
      <c r="DH52" s="63">
        <f t="shared" si="723"/>
        <v>0</v>
      </c>
      <c r="DI52" s="63">
        <f t="shared" si="724"/>
        <v>0</v>
      </c>
      <c r="DJ52" s="63">
        <f t="shared" si="725"/>
        <v>0</v>
      </c>
      <c r="DK52" s="63">
        <f t="shared" si="726"/>
        <v>0</v>
      </c>
      <c r="DL52" s="63">
        <f t="shared" si="727"/>
        <v>0</v>
      </c>
      <c r="DM52" s="61">
        <f t="shared" si="728"/>
        <v>0</v>
      </c>
      <c r="DN52" s="64">
        <v>0</v>
      </c>
      <c r="DO52" s="65">
        <f t="shared" si="624"/>
        <v>0</v>
      </c>
      <c r="DP52" s="212">
        <f t="shared" si="625"/>
        <v>0</v>
      </c>
      <c r="DQ52" s="49">
        <v>0</v>
      </c>
      <c r="DR52" s="59"/>
      <c r="DS52" s="28">
        <f t="shared" si="626"/>
        <v>0</v>
      </c>
      <c r="DT52" s="28">
        <v>0</v>
      </c>
      <c r="DU52" s="28">
        <f t="shared" si="729"/>
        <v>0</v>
      </c>
      <c r="DV52" s="28">
        <f t="shared" si="730"/>
        <v>0</v>
      </c>
      <c r="DW52" s="28">
        <f t="shared" si="731"/>
        <v>0</v>
      </c>
      <c r="DX52" s="63">
        <f t="shared" si="732"/>
        <v>0</v>
      </c>
      <c r="DY52" s="63">
        <f t="shared" si="733"/>
        <v>0</v>
      </c>
      <c r="DZ52" s="61">
        <f t="shared" si="627"/>
        <v>0</v>
      </c>
      <c r="EA52" s="62"/>
      <c r="EB52" s="62"/>
      <c r="EC52" s="62"/>
      <c r="ED52" s="62"/>
      <c r="EE52" s="62"/>
      <c r="EF52" s="63">
        <f t="shared" si="734"/>
        <v>0</v>
      </c>
      <c r="EG52" s="63">
        <f t="shared" si="735"/>
        <v>0</v>
      </c>
      <c r="EH52" s="63">
        <f t="shared" si="736"/>
        <v>0</v>
      </c>
      <c r="EI52" s="63">
        <f t="shared" si="737"/>
        <v>0</v>
      </c>
      <c r="EJ52" s="63">
        <f t="shared" si="738"/>
        <v>0</v>
      </c>
      <c r="EK52" s="61">
        <f t="shared" si="739"/>
        <v>0</v>
      </c>
      <c r="EL52" s="64">
        <v>0</v>
      </c>
      <c r="EM52" s="65">
        <f t="shared" si="628"/>
        <v>0</v>
      </c>
      <c r="EN52" s="212">
        <f t="shared" si="629"/>
        <v>0</v>
      </c>
      <c r="EO52" s="49">
        <v>0</v>
      </c>
      <c r="EP52" s="59"/>
      <c r="EQ52" s="28">
        <f t="shared" si="630"/>
        <v>0</v>
      </c>
      <c r="ER52" s="28">
        <v>0</v>
      </c>
      <c r="ES52" s="28">
        <f t="shared" si="740"/>
        <v>0</v>
      </c>
      <c r="ET52" s="28">
        <f t="shared" si="741"/>
        <v>0</v>
      </c>
      <c r="EU52" s="28">
        <f t="shared" si="742"/>
        <v>0</v>
      </c>
      <c r="EV52" s="63">
        <f t="shared" si="743"/>
        <v>0</v>
      </c>
      <c r="EW52" s="63">
        <f t="shared" si="744"/>
        <v>0</v>
      </c>
      <c r="EX52" s="61">
        <f t="shared" si="631"/>
        <v>0</v>
      </c>
      <c r="EY52" s="62"/>
      <c r="EZ52" s="62"/>
      <c r="FA52" s="62"/>
      <c r="FB52" s="62"/>
      <c r="FC52" s="62"/>
      <c r="FD52" s="63">
        <f t="shared" si="745"/>
        <v>0</v>
      </c>
      <c r="FE52" s="63">
        <f t="shared" si="746"/>
        <v>0</v>
      </c>
      <c r="FF52" s="63">
        <f t="shared" si="747"/>
        <v>0</v>
      </c>
      <c r="FG52" s="63">
        <f t="shared" si="748"/>
        <v>0</v>
      </c>
      <c r="FH52" s="63">
        <f t="shared" si="749"/>
        <v>0</v>
      </c>
      <c r="FI52" s="61">
        <f t="shared" si="750"/>
        <v>0</v>
      </c>
      <c r="FJ52" s="64">
        <v>0</v>
      </c>
      <c r="FK52" s="65">
        <f t="shared" si="632"/>
        <v>0</v>
      </c>
      <c r="FL52" s="212">
        <f t="shared" si="633"/>
        <v>0</v>
      </c>
      <c r="FM52" s="49">
        <v>0</v>
      </c>
      <c r="FN52" s="59"/>
      <c r="FO52" s="28">
        <f t="shared" si="634"/>
        <v>0</v>
      </c>
      <c r="FP52" s="28">
        <v>0</v>
      </c>
      <c r="FQ52" s="28">
        <f t="shared" si="751"/>
        <v>0</v>
      </c>
      <c r="FR52" s="28">
        <f t="shared" si="752"/>
        <v>0</v>
      </c>
      <c r="FS52" s="28">
        <f t="shared" si="753"/>
        <v>0</v>
      </c>
      <c r="FT52" s="63">
        <f t="shared" si="754"/>
        <v>0</v>
      </c>
      <c r="FU52" s="63">
        <f t="shared" si="755"/>
        <v>0</v>
      </c>
      <c r="FV52" s="61">
        <f t="shared" si="635"/>
        <v>0</v>
      </c>
      <c r="FW52" s="62"/>
      <c r="FX52" s="62"/>
      <c r="FY52" s="62"/>
      <c r="FZ52" s="62"/>
      <c r="GA52" s="62"/>
      <c r="GB52" s="63">
        <f t="shared" si="756"/>
        <v>0</v>
      </c>
      <c r="GC52" s="63">
        <f t="shared" si="757"/>
        <v>0</v>
      </c>
      <c r="GD52" s="63">
        <f t="shared" si="758"/>
        <v>0</v>
      </c>
      <c r="GE52" s="63">
        <f t="shared" si="759"/>
        <v>0</v>
      </c>
      <c r="GF52" s="63">
        <f t="shared" si="760"/>
        <v>0</v>
      </c>
      <c r="GG52" s="61">
        <f t="shared" si="761"/>
        <v>0</v>
      </c>
      <c r="GH52" s="64">
        <v>0</v>
      </c>
      <c r="GI52" s="65">
        <f t="shared" si="636"/>
        <v>0</v>
      </c>
      <c r="GJ52" s="212">
        <f t="shared" si="637"/>
        <v>0</v>
      </c>
      <c r="GK52" s="49">
        <v>0</v>
      </c>
      <c r="GL52" s="59"/>
      <c r="GM52" s="28">
        <f t="shared" si="638"/>
        <v>0</v>
      </c>
      <c r="GN52" s="28">
        <v>0</v>
      </c>
      <c r="GO52" s="28">
        <f t="shared" si="762"/>
        <v>0</v>
      </c>
      <c r="GP52" s="28">
        <f t="shared" si="763"/>
        <v>0</v>
      </c>
      <c r="GQ52" s="28">
        <f t="shared" si="764"/>
        <v>0</v>
      </c>
      <c r="GR52" s="63">
        <f t="shared" si="765"/>
        <v>0</v>
      </c>
      <c r="GS52" s="63">
        <f t="shared" si="766"/>
        <v>0</v>
      </c>
      <c r="GT52" s="61">
        <f t="shared" si="639"/>
        <v>0</v>
      </c>
      <c r="GU52" s="62"/>
      <c r="GV52" s="62"/>
      <c r="GW52" s="62"/>
      <c r="GX52" s="62"/>
      <c r="GY52" s="62"/>
      <c r="GZ52" s="63">
        <f t="shared" si="767"/>
        <v>0</v>
      </c>
      <c r="HA52" s="63">
        <f t="shared" si="768"/>
        <v>0</v>
      </c>
      <c r="HB52" s="63">
        <f t="shared" si="769"/>
        <v>0</v>
      </c>
      <c r="HC52" s="63">
        <f t="shared" si="770"/>
        <v>0</v>
      </c>
      <c r="HD52" s="63">
        <f t="shared" si="771"/>
        <v>0</v>
      </c>
      <c r="HE52" s="61">
        <f t="shared" si="772"/>
        <v>0</v>
      </c>
      <c r="HF52" s="64">
        <v>0</v>
      </c>
      <c r="HG52" s="65">
        <f t="shared" si="640"/>
        <v>0</v>
      </c>
      <c r="HH52" s="212">
        <f t="shared" si="641"/>
        <v>0</v>
      </c>
      <c r="HI52" s="49">
        <v>0</v>
      </c>
      <c r="HJ52" s="59"/>
      <c r="HK52" s="28">
        <f t="shared" si="642"/>
        <v>0</v>
      </c>
      <c r="HL52" s="28">
        <v>0</v>
      </c>
      <c r="HM52" s="28">
        <f t="shared" si="773"/>
        <v>0</v>
      </c>
      <c r="HN52" s="28">
        <f t="shared" si="774"/>
        <v>0</v>
      </c>
      <c r="HO52" s="28">
        <f t="shared" si="775"/>
        <v>0</v>
      </c>
      <c r="HP52" s="63">
        <f t="shared" si="776"/>
        <v>0</v>
      </c>
      <c r="HQ52" s="63">
        <f t="shared" si="777"/>
        <v>0</v>
      </c>
      <c r="HR52" s="61">
        <f t="shared" si="643"/>
        <v>0</v>
      </c>
      <c r="HS52" s="62"/>
      <c r="HT52" s="62"/>
      <c r="HU52" s="62"/>
      <c r="HV52" s="62"/>
      <c r="HW52" s="62"/>
      <c r="HX52" s="63">
        <f t="shared" si="778"/>
        <v>0</v>
      </c>
      <c r="HY52" s="63">
        <f t="shared" si="779"/>
        <v>0</v>
      </c>
      <c r="HZ52" s="63">
        <f t="shared" si="780"/>
        <v>0</v>
      </c>
      <c r="IA52" s="63">
        <f t="shared" si="781"/>
        <v>0</v>
      </c>
      <c r="IB52" s="63">
        <f t="shared" si="782"/>
        <v>0</v>
      </c>
      <c r="IC52" s="61">
        <f t="shared" si="783"/>
        <v>0</v>
      </c>
      <c r="ID52" s="64">
        <v>0</v>
      </c>
      <c r="IE52" s="65">
        <f t="shared" si="644"/>
        <v>0</v>
      </c>
      <c r="IF52" s="212">
        <f t="shared" si="645"/>
        <v>0</v>
      </c>
      <c r="IG52" s="49">
        <v>0</v>
      </c>
      <c r="IH52" s="59"/>
      <c r="II52" s="28">
        <f t="shared" si="646"/>
        <v>0</v>
      </c>
      <c r="IJ52" s="28">
        <v>0</v>
      </c>
      <c r="IK52" s="28">
        <f t="shared" si="647"/>
        <v>0</v>
      </c>
      <c r="IL52" s="28">
        <f t="shared" si="648"/>
        <v>0</v>
      </c>
      <c r="IM52" s="28">
        <f t="shared" si="649"/>
        <v>0</v>
      </c>
      <c r="IN52" s="63">
        <f t="shared" si="650"/>
        <v>0</v>
      </c>
      <c r="IO52" s="63">
        <f t="shared" si="651"/>
        <v>0</v>
      </c>
      <c r="IP52" s="61">
        <f t="shared" si="652"/>
        <v>0</v>
      </c>
      <c r="IQ52" s="62"/>
      <c r="IR52" s="62"/>
      <c r="IS52" s="62"/>
      <c r="IT52" s="62"/>
      <c r="IU52" s="62"/>
      <c r="IV52" s="63">
        <f t="shared" si="653"/>
        <v>0</v>
      </c>
      <c r="IW52" s="63">
        <f t="shared" si="654"/>
        <v>0</v>
      </c>
      <c r="IX52" s="63">
        <f t="shared" si="655"/>
        <v>0</v>
      </c>
      <c r="IY52" s="63">
        <f t="shared" si="656"/>
        <v>0</v>
      </c>
      <c r="IZ52" s="63">
        <f t="shared" si="657"/>
        <v>0</v>
      </c>
      <c r="JA52" s="61">
        <f t="shared" si="784"/>
        <v>0</v>
      </c>
      <c r="JB52" s="64">
        <v>0</v>
      </c>
      <c r="JC52" s="65">
        <f t="shared" si="658"/>
        <v>0</v>
      </c>
      <c r="JD52" s="476">
        <f t="shared" si="659"/>
        <v>0</v>
      </c>
      <c r="JE52" s="49">
        <v>0</v>
      </c>
      <c r="JF52" s="59"/>
      <c r="JG52" s="28">
        <f t="shared" si="660"/>
        <v>0</v>
      </c>
      <c r="JH52" s="28">
        <v>0</v>
      </c>
      <c r="JI52" s="28">
        <f t="shared" si="661"/>
        <v>0</v>
      </c>
      <c r="JJ52" s="28">
        <f t="shared" si="662"/>
        <v>0</v>
      </c>
      <c r="JK52" s="28">
        <f t="shared" si="663"/>
        <v>0</v>
      </c>
      <c r="JL52" s="63">
        <f t="shared" si="664"/>
        <v>0</v>
      </c>
      <c r="JM52" s="63">
        <f t="shared" si="665"/>
        <v>0</v>
      </c>
      <c r="JN52" s="61">
        <f t="shared" si="666"/>
        <v>0</v>
      </c>
      <c r="JO52" s="62"/>
      <c r="JP52" s="62"/>
      <c r="JQ52" s="62"/>
      <c r="JR52" s="62"/>
      <c r="JS52" s="62"/>
      <c r="JT52" s="63">
        <f t="shared" si="667"/>
        <v>0</v>
      </c>
      <c r="JU52" s="63">
        <f t="shared" si="668"/>
        <v>0</v>
      </c>
      <c r="JV52" s="63">
        <f t="shared" si="669"/>
        <v>0</v>
      </c>
      <c r="JW52" s="63">
        <f t="shared" si="670"/>
        <v>0</v>
      </c>
      <c r="JX52" s="63">
        <f t="shared" si="671"/>
        <v>0</v>
      </c>
      <c r="JY52" s="61">
        <f t="shared" si="785"/>
        <v>0</v>
      </c>
      <c r="JZ52" s="64">
        <v>0</v>
      </c>
      <c r="KA52" s="65">
        <f t="shared" si="672"/>
        <v>0</v>
      </c>
      <c r="KB52" s="476">
        <f t="shared" si="673"/>
        <v>0</v>
      </c>
      <c r="KC52" s="37"/>
      <c r="KD52" s="37"/>
      <c r="KE52" s="37"/>
      <c r="KF52" s="37"/>
      <c r="KG52" s="37"/>
      <c r="KH52" s="37"/>
      <c r="KI52" s="37"/>
      <c r="KJ52" s="37"/>
    </row>
    <row r="53" spans="1:296" ht="15.6" x14ac:dyDescent="0.3">
      <c r="A53" s="385"/>
      <c r="B53" s="383"/>
      <c r="C53" s="383"/>
      <c r="D53" s="383"/>
      <c r="E53" s="383"/>
      <c r="F53" s="383"/>
      <c r="G53" s="383"/>
      <c r="H53" s="383"/>
      <c r="I53" s="383"/>
      <c r="J53" s="383"/>
      <c r="K53" s="383"/>
      <c r="L53" s="383"/>
      <c r="M53" s="383"/>
      <c r="N53" s="383"/>
      <c r="O53" s="383"/>
      <c r="P53" s="383"/>
      <c r="Q53" s="383"/>
      <c r="R53" s="383"/>
      <c r="S53" s="383"/>
      <c r="T53" s="383"/>
      <c r="U53" s="383"/>
      <c r="V53" s="384"/>
      <c r="W53" s="272" t="s">
        <v>7</v>
      </c>
      <c r="X53" s="213">
        <f>SUM(X47:X52)</f>
        <v>6872.2222222222226</v>
      </c>
      <c r="Y53" s="385"/>
      <c r="Z53" s="383"/>
      <c r="AA53" s="383"/>
      <c r="AB53" s="383"/>
      <c r="AC53" s="383"/>
      <c r="AD53" s="383"/>
      <c r="AE53" s="383"/>
      <c r="AF53" s="383"/>
      <c r="AG53" s="383"/>
      <c r="AH53" s="383"/>
      <c r="AI53" s="383"/>
      <c r="AJ53" s="383"/>
      <c r="AK53" s="383"/>
      <c r="AL53" s="383"/>
      <c r="AM53" s="383"/>
      <c r="AN53" s="383"/>
      <c r="AO53" s="383"/>
      <c r="AP53" s="383"/>
      <c r="AQ53" s="383"/>
      <c r="AR53" s="383"/>
      <c r="AS53" s="383"/>
      <c r="AT53" s="384"/>
      <c r="AU53" s="272" t="s">
        <v>7</v>
      </c>
      <c r="AV53" s="213">
        <f>SUM(AV47:AV52)</f>
        <v>6872.2222222222226</v>
      </c>
      <c r="AW53" s="385"/>
      <c r="AX53" s="383"/>
      <c r="AY53" s="383"/>
      <c r="AZ53" s="383"/>
      <c r="BA53" s="383"/>
      <c r="BB53" s="383"/>
      <c r="BC53" s="383"/>
      <c r="BD53" s="383"/>
      <c r="BE53" s="383"/>
      <c r="BF53" s="383"/>
      <c r="BG53" s="383"/>
      <c r="BH53" s="383"/>
      <c r="BI53" s="383"/>
      <c r="BJ53" s="383"/>
      <c r="BK53" s="383"/>
      <c r="BL53" s="383"/>
      <c r="BM53" s="383"/>
      <c r="BN53" s="383"/>
      <c r="BO53" s="383"/>
      <c r="BP53" s="383"/>
      <c r="BQ53" s="383"/>
      <c r="BR53" s="384"/>
      <c r="BS53" s="272" t="s">
        <v>7</v>
      </c>
      <c r="BT53" s="213">
        <f>SUM(BT47:BT52)</f>
        <v>6872.2222222222226</v>
      </c>
      <c r="BU53" s="385"/>
      <c r="BV53" s="383"/>
      <c r="BW53" s="383"/>
      <c r="BX53" s="383"/>
      <c r="BY53" s="383"/>
      <c r="BZ53" s="383"/>
      <c r="CA53" s="383"/>
      <c r="CB53" s="383"/>
      <c r="CC53" s="383"/>
      <c r="CD53" s="383"/>
      <c r="CE53" s="383"/>
      <c r="CF53" s="383"/>
      <c r="CG53" s="383"/>
      <c r="CH53" s="383"/>
      <c r="CI53" s="383"/>
      <c r="CJ53" s="383"/>
      <c r="CK53" s="383"/>
      <c r="CL53" s="383"/>
      <c r="CM53" s="383"/>
      <c r="CN53" s="383"/>
      <c r="CO53" s="383"/>
      <c r="CP53" s="384"/>
      <c r="CQ53" s="272" t="s">
        <v>7</v>
      </c>
      <c r="CR53" s="213">
        <f>SUM(CR47:CR52)</f>
        <v>6872.2222222222226</v>
      </c>
      <c r="CS53" s="385"/>
      <c r="CT53" s="383"/>
      <c r="CU53" s="383"/>
      <c r="CV53" s="383"/>
      <c r="CW53" s="383"/>
      <c r="CX53" s="383"/>
      <c r="CY53" s="383"/>
      <c r="CZ53" s="383"/>
      <c r="DA53" s="383"/>
      <c r="DB53" s="383"/>
      <c r="DC53" s="383"/>
      <c r="DD53" s="383"/>
      <c r="DE53" s="383"/>
      <c r="DF53" s="383"/>
      <c r="DG53" s="383"/>
      <c r="DH53" s="383"/>
      <c r="DI53" s="383"/>
      <c r="DJ53" s="383"/>
      <c r="DK53" s="383"/>
      <c r="DL53" s="383"/>
      <c r="DM53" s="383"/>
      <c r="DN53" s="384"/>
      <c r="DO53" s="272" t="s">
        <v>7</v>
      </c>
      <c r="DP53" s="213">
        <f>SUM(DP47:DP52)</f>
        <v>6872.2222222222226</v>
      </c>
      <c r="DQ53" s="385"/>
      <c r="DR53" s="383"/>
      <c r="DS53" s="383"/>
      <c r="DT53" s="383"/>
      <c r="DU53" s="383"/>
      <c r="DV53" s="383"/>
      <c r="DW53" s="383"/>
      <c r="DX53" s="383"/>
      <c r="DY53" s="383"/>
      <c r="DZ53" s="383"/>
      <c r="EA53" s="383"/>
      <c r="EB53" s="383"/>
      <c r="EC53" s="383"/>
      <c r="ED53" s="383"/>
      <c r="EE53" s="383"/>
      <c r="EF53" s="383"/>
      <c r="EG53" s="383"/>
      <c r="EH53" s="383"/>
      <c r="EI53" s="383"/>
      <c r="EJ53" s="383"/>
      <c r="EK53" s="383"/>
      <c r="EL53" s="384"/>
      <c r="EM53" s="272" t="s">
        <v>7</v>
      </c>
      <c r="EN53" s="213">
        <f>SUM(EN47:EN52)</f>
        <v>6872.2222222222226</v>
      </c>
      <c r="EO53" s="385"/>
      <c r="EP53" s="383"/>
      <c r="EQ53" s="383"/>
      <c r="ER53" s="383"/>
      <c r="ES53" s="383"/>
      <c r="ET53" s="383"/>
      <c r="EU53" s="383"/>
      <c r="EV53" s="383"/>
      <c r="EW53" s="383"/>
      <c r="EX53" s="383"/>
      <c r="EY53" s="383"/>
      <c r="EZ53" s="383"/>
      <c r="FA53" s="383"/>
      <c r="FB53" s="383"/>
      <c r="FC53" s="383"/>
      <c r="FD53" s="383"/>
      <c r="FE53" s="383"/>
      <c r="FF53" s="383"/>
      <c r="FG53" s="383"/>
      <c r="FH53" s="383"/>
      <c r="FI53" s="383"/>
      <c r="FJ53" s="384"/>
      <c r="FK53" s="272" t="s">
        <v>7</v>
      </c>
      <c r="FL53" s="213">
        <f>SUM(FL47:FL52)</f>
        <v>6872.2222222222226</v>
      </c>
      <c r="FM53" s="385"/>
      <c r="FN53" s="383"/>
      <c r="FO53" s="383"/>
      <c r="FP53" s="383"/>
      <c r="FQ53" s="383"/>
      <c r="FR53" s="383"/>
      <c r="FS53" s="383"/>
      <c r="FT53" s="383"/>
      <c r="FU53" s="383"/>
      <c r="FV53" s="383"/>
      <c r="FW53" s="383"/>
      <c r="FX53" s="383"/>
      <c r="FY53" s="383"/>
      <c r="FZ53" s="383"/>
      <c r="GA53" s="383"/>
      <c r="GB53" s="383"/>
      <c r="GC53" s="383"/>
      <c r="GD53" s="383"/>
      <c r="GE53" s="383"/>
      <c r="GF53" s="383"/>
      <c r="GG53" s="383"/>
      <c r="GH53" s="384"/>
      <c r="GI53" s="272" t="s">
        <v>7</v>
      </c>
      <c r="GJ53" s="213">
        <f>SUM(GJ47:GJ52)</f>
        <v>6872.2222222222226</v>
      </c>
      <c r="GK53" s="385"/>
      <c r="GL53" s="383"/>
      <c r="GM53" s="383"/>
      <c r="GN53" s="383"/>
      <c r="GO53" s="383"/>
      <c r="GP53" s="383"/>
      <c r="GQ53" s="383"/>
      <c r="GR53" s="383"/>
      <c r="GS53" s="383"/>
      <c r="GT53" s="383"/>
      <c r="GU53" s="383"/>
      <c r="GV53" s="383"/>
      <c r="GW53" s="383"/>
      <c r="GX53" s="383"/>
      <c r="GY53" s="383"/>
      <c r="GZ53" s="383"/>
      <c r="HA53" s="383"/>
      <c r="HB53" s="383"/>
      <c r="HC53" s="383"/>
      <c r="HD53" s="383"/>
      <c r="HE53" s="383"/>
      <c r="HF53" s="384"/>
      <c r="HG53" s="272" t="s">
        <v>7</v>
      </c>
      <c r="HH53" s="213">
        <f>SUM(HH47:HH52)</f>
        <v>6047.5555555555566</v>
      </c>
      <c r="HI53" s="385"/>
      <c r="HJ53" s="383"/>
      <c r="HK53" s="383"/>
      <c r="HL53" s="383"/>
      <c r="HM53" s="383"/>
      <c r="HN53" s="383"/>
      <c r="HO53" s="383"/>
      <c r="HP53" s="383"/>
      <c r="HQ53" s="383"/>
      <c r="HR53" s="383"/>
      <c r="HS53" s="383"/>
      <c r="HT53" s="383"/>
      <c r="HU53" s="383"/>
      <c r="HV53" s="383"/>
      <c r="HW53" s="383"/>
      <c r="HX53" s="383"/>
      <c r="HY53" s="383"/>
      <c r="HZ53" s="383"/>
      <c r="IA53" s="383"/>
      <c r="IB53" s="383"/>
      <c r="IC53" s="383"/>
      <c r="ID53" s="384"/>
      <c r="IE53" s="272" t="s">
        <v>7</v>
      </c>
      <c r="IF53" s="213">
        <f>SUM(IF47:IF52)</f>
        <v>6047.5555555555566</v>
      </c>
      <c r="IG53" s="385"/>
      <c r="IH53" s="383"/>
      <c r="II53" s="383"/>
      <c r="IJ53" s="383"/>
      <c r="IK53" s="383"/>
      <c r="IL53" s="383"/>
      <c r="IM53" s="383"/>
      <c r="IN53" s="383"/>
      <c r="IO53" s="383"/>
      <c r="IP53" s="383"/>
      <c r="IQ53" s="383"/>
      <c r="IR53" s="383"/>
      <c r="IS53" s="383"/>
      <c r="IT53" s="383"/>
      <c r="IU53" s="383"/>
      <c r="IV53" s="383"/>
      <c r="IW53" s="383"/>
      <c r="IX53" s="383"/>
      <c r="IY53" s="383"/>
      <c r="IZ53" s="383"/>
      <c r="JA53" s="383"/>
      <c r="JB53" s="384"/>
      <c r="JC53" s="272" t="s">
        <v>7</v>
      </c>
      <c r="JD53" s="470">
        <f>SUM(JD47:JD52)</f>
        <v>6047.5555555555566</v>
      </c>
      <c r="JE53" s="385"/>
      <c r="JF53" s="383"/>
      <c r="JG53" s="383"/>
      <c r="JH53" s="383"/>
      <c r="JI53" s="383"/>
      <c r="JJ53" s="383"/>
      <c r="JK53" s="383"/>
      <c r="JL53" s="383"/>
      <c r="JM53" s="383"/>
      <c r="JN53" s="383"/>
      <c r="JO53" s="383"/>
      <c r="JP53" s="383"/>
      <c r="JQ53" s="383"/>
      <c r="JR53" s="383"/>
      <c r="JS53" s="383"/>
      <c r="JT53" s="383"/>
      <c r="JU53" s="383"/>
      <c r="JV53" s="383"/>
      <c r="JW53" s="383"/>
      <c r="JX53" s="383"/>
      <c r="JY53" s="383"/>
      <c r="JZ53" s="384"/>
      <c r="KA53" s="272" t="s">
        <v>7</v>
      </c>
      <c r="KB53" s="470">
        <f>SUM(KB47:KB52)</f>
        <v>6047.5555555555566</v>
      </c>
      <c r="KC53" s="37"/>
      <c r="KD53" s="37"/>
      <c r="KE53" s="37"/>
      <c r="KF53" s="37"/>
      <c r="KG53" s="37"/>
      <c r="KH53" s="37"/>
      <c r="KI53" s="37"/>
      <c r="KJ53" s="37"/>
    </row>
    <row r="54" spans="1:296" ht="28.95" customHeight="1" x14ac:dyDescent="0.3">
      <c r="A54" s="39"/>
      <c r="B54" s="50" t="s">
        <v>34</v>
      </c>
      <c r="C54" s="51" t="s">
        <v>35</v>
      </c>
      <c r="D54" s="51" t="s">
        <v>36</v>
      </c>
      <c r="E54" s="52">
        <v>0.1</v>
      </c>
      <c r="F54" s="52">
        <v>0.08</v>
      </c>
      <c r="G54" s="53" t="s">
        <v>37</v>
      </c>
      <c r="H54" s="51">
        <v>3</v>
      </c>
      <c r="I54" s="54">
        <v>12</v>
      </c>
      <c r="J54" s="55" t="s">
        <v>38</v>
      </c>
      <c r="K54" s="55">
        <v>0.5</v>
      </c>
      <c r="L54" s="55">
        <v>0.6</v>
      </c>
      <c r="M54" s="55">
        <v>0.8</v>
      </c>
      <c r="N54" s="55">
        <v>1</v>
      </c>
      <c r="O54" s="55">
        <v>1.5</v>
      </c>
      <c r="P54" s="56">
        <v>1.5</v>
      </c>
      <c r="Q54" s="56">
        <v>1.6</v>
      </c>
      <c r="R54" s="56">
        <v>1.8</v>
      </c>
      <c r="S54" s="57">
        <v>2</v>
      </c>
      <c r="T54" s="57">
        <v>2.5</v>
      </c>
      <c r="U54" s="55" t="s">
        <v>38</v>
      </c>
      <c r="V54" s="55" t="s">
        <v>38</v>
      </c>
      <c r="W54" s="55">
        <v>0.2</v>
      </c>
      <c r="X54" s="211" t="s">
        <v>38</v>
      </c>
      <c r="Y54" s="39"/>
      <c r="Z54" s="50" t="s">
        <v>34</v>
      </c>
      <c r="AA54" s="51" t="s">
        <v>35</v>
      </c>
      <c r="AB54" s="51" t="s">
        <v>36</v>
      </c>
      <c r="AC54" s="52">
        <v>0.1</v>
      </c>
      <c r="AD54" s="52">
        <v>0.08</v>
      </c>
      <c r="AE54" s="53" t="s">
        <v>37</v>
      </c>
      <c r="AF54" s="51">
        <v>3</v>
      </c>
      <c r="AG54" s="54">
        <v>12</v>
      </c>
      <c r="AH54" s="55" t="s">
        <v>38</v>
      </c>
      <c r="AI54" s="55">
        <v>0.5</v>
      </c>
      <c r="AJ54" s="55">
        <v>0.6</v>
      </c>
      <c r="AK54" s="55">
        <v>0.8</v>
      </c>
      <c r="AL54" s="55">
        <v>1</v>
      </c>
      <c r="AM54" s="55">
        <v>1.5</v>
      </c>
      <c r="AN54" s="56">
        <v>1.5</v>
      </c>
      <c r="AO54" s="56">
        <v>1.6</v>
      </c>
      <c r="AP54" s="56">
        <v>1.8</v>
      </c>
      <c r="AQ54" s="57">
        <v>2</v>
      </c>
      <c r="AR54" s="57">
        <v>2.5</v>
      </c>
      <c r="AS54" s="55" t="s">
        <v>38</v>
      </c>
      <c r="AT54" s="55" t="s">
        <v>38</v>
      </c>
      <c r="AU54" s="55">
        <v>0.2</v>
      </c>
      <c r="AV54" s="211" t="s">
        <v>38</v>
      </c>
      <c r="AW54" s="39"/>
      <c r="AX54" s="50" t="s">
        <v>34</v>
      </c>
      <c r="AY54" s="51" t="s">
        <v>35</v>
      </c>
      <c r="AZ54" s="51" t="s">
        <v>36</v>
      </c>
      <c r="BA54" s="52">
        <v>0.1</v>
      </c>
      <c r="BB54" s="52">
        <v>0.08</v>
      </c>
      <c r="BC54" s="53" t="s">
        <v>37</v>
      </c>
      <c r="BD54" s="51">
        <v>3</v>
      </c>
      <c r="BE54" s="54">
        <v>12</v>
      </c>
      <c r="BF54" s="55" t="s">
        <v>38</v>
      </c>
      <c r="BG54" s="55">
        <v>0.5</v>
      </c>
      <c r="BH54" s="55">
        <v>0.6</v>
      </c>
      <c r="BI54" s="55">
        <v>0.8</v>
      </c>
      <c r="BJ54" s="55">
        <v>1</v>
      </c>
      <c r="BK54" s="55">
        <v>1.5</v>
      </c>
      <c r="BL54" s="56">
        <v>1.5</v>
      </c>
      <c r="BM54" s="56">
        <v>1.6</v>
      </c>
      <c r="BN54" s="56">
        <v>1.8</v>
      </c>
      <c r="BO54" s="57">
        <v>2</v>
      </c>
      <c r="BP54" s="57">
        <v>2.5</v>
      </c>
      <c r="BQ54" s="55" t="s">
        <v>38</v>
      </c>
      <c r="BR54" s="55" t="s">
        <v>38</v>
      </c>
      <c r="BS54" s="55">
        <v>0.2</v>
      </c>
      <c r="BT54" s="211" t="s">
        <v>38</v>
      </c>
      <c r="BV54" s="50" t="s">
        <v>34</v>
      </c>
      <c r="BW54" s="51" t="s">
        <v>35</v>
      </c>
      <c r="BX54" s="51" t="s">
        <v>36</v>
      </c>
      <c r="BY54" s="52">
        <v>0.1</v>
      </c>
      <c r="BZ54" s="52">
        <v>0.08</v>
      </c>
      <c r="CA54" s="53" t="s">
        <v>37</v>
      </c>
      <c r="CB54" s="51">
        <v>3</v>
      </c>
      <c r="CC54" s="54">
        <v>12</v>
      </c>
      <c r="CD54" s="55" t="s">
        <v>38</v>
      </c>
      <c r="CE54" s="55">
        <v>0.5</v>
      </c>
      <c r="CF54" s="55">
        <v>0.6</v>
      </c>
      <c r="CG54" s="55">
        <v>0.8</v>
      </c>
      <c r="CH54" s="55">
        <v>1</v>
      </c>
      <c r="CI54" s="55">
        <v>1.5</v>
      </c>
      <c r="CJ54" s="56">
        <v>1.5</v>
      </c>
      <c r="CK54" s="56">
        <v>1.6</v>
      </c>
      <c r="CL54" s="56">
        <v>1.8</v>
      </c>
      <c r="CM54" s="57">
        <v>2</v>
      </c>
      <c r="CN54" s="57">
        <v>2.5</v>
      </c>
      <c r="CO54" s="55" t="s">
        <v>38</v>
      </c>
      <c r="CP54" s="55" t="s">
        <v>38</v>
      </c>
      <c r="CQ54" s="55">
        <v>0.2</v>
      </c>
      <c r="CR54" s="211" t="s">
        <v>38</v>
      </c>
      <c r="CT54" s="50" t="s">
        <v>34</v>
      </c>
      <c r="CU54" s="51" t="s">
        <v>35</v>
      </c>
      <c r="CV54" s="51" t="s">
        <v>36</v>
      </c>
      <c r="CW54" s="52">
        <v>0.1</v>
      </c>
      <c r="CX54" s="52">
        <v>0.08</v>
      </c>
      <c r="CY54" s="53" t="s">
        <v>37</v>
      </c>
      <c r="CZ54" s="51">
        <v>3</v>
      </c>
      <c r="DA54" s="54">
        <v>12</v>
      </c>
      <c r="DB54" s="55" t="s">
        <v>38</v>
      </c>
      <c r="DC54" s="55">
        <v>0.5</v>
      </c>
      <c r="DD54" s="55">
        <v>0.6</v>
      </c>
      <c r="DE54" s="55">
        <v>0.8</v>
      </c>
      <c r="DF54" s="55">
        <v>1</v>
      </c>
      <c r="DG54" s="55">
        <v>1.5</v>
      </c>
      <c r="DH54" s="56">
        <v>1.5</v>
      </c>
      <c r="DI54" s="56">
        <v>1.6</v>
      </c>
      <c r="DJ54" s="56">
        <v>1.8</v>
      </c>
      <c r="DK54" s="57">
        <v>2</v>
      </c>
      <c r="DL54" s="57">
        <v>2.5</v>
      </c>
      <c r="DM54" s="55" t="s">
        <v>38</v>
      </c>
      <c r="DN54" s="55" t="s">
        <v>38</v>
      </c>
      <c r="DO54" s="55">
        <v>0.2</v>
      </c>
      <c r="DP54" s="211" t="s">
        <v>38</v>
      </c>
      <c r="DR54" s="50" t="s">
        <v>34</v>
      </c>
      <c r="DS54" s="51" t="s">
        <v>35</v>
      </c>
      <c r="DT54" s="51" t="s">
        <v>36</v>
      </c>
      <c r="DU54" s="52">
        <v>0.1</v>
      </c>
      <c r="DV54" s="52">
        <v>0.08</v>
      </c>
      <c r="DW54" s="53" t="s">
        <v>37</v>
      </c>
      <c r="DX54" s="51">
        <v>3</v>
      </c>
      <c r="DY54" s="54">
        <v>12</v>
      </c>
      <c r="DZ54" s="55" t="s">
        <v>38</v>
      </c>
      <c r="EA54" s="55">
        <v>0.5</v>
      </c>
      <c r="EB54" s="55">
        <v>0.6</v>
      </c>
      <c r="EC54" s="55">
        <v>0.8</v>
      </c>
      <c r="ED54" s="55">
        <v>1</v>
      </c>
      <c r="EE54" s="55">
        <v>1.5</v>
      </c>
      <c r="EF54" s="56">
        <v>1.5</v>
      </c>
      <c r="EG54" s="56">
        <v>1.6</v>
      </c>
      <c r="EH54" s="56">
        <v>1.8</v>
      </c>
      <c r="EI54" s="57">
        <v>2</v>
      </c>
      <c r="EJ54" s="57">
        <v>2.5</v>
      </c>
      <c r="EK54" s="55" t="s">
        <v>38</v>
      </c>
      <c r="EL54" s="55" t="s">
        <v>38</v>
      </c>
      <c r="EM54" s="55">
        <v>0.2</v>
      </c>
      <c r="EN54" s="211" t="s">
        <v>38</v>
      </c>
      <c r="EP54" s="50" t="s">
        <v>34</v>
      </c>
      <c r="EQ54" s="51" t="s">
        <v>35</v>
      </c>
      <c r="ER54" s="51" t="s">
        <v>36</v>
      </c>
      <c r="ES54" s="52">
        <v>0.1</v>
      </c>
      <c r="ET54" s="52">
        <v>0.08</v>
      </c>
      <c r="EU54" s="53" t="s">
        <v>37</v>
      </c>
      <c r="EV54" s="51">
        <v>3</v>
      </c>
      <c r="EW54" s="54">
        <v>12</v>
      </c>
      <c r="EX54" s="55" t="s">
        <v>38</v>
      </c>
      <c r="EY54" s="55">
        <v>0.5</v>
      </c>
      <c r="EZ54" s="55">
        <v>0.6</v>
      </c>
      <c r="FA54" s="55">
        <v>0.8</v>
      </c>
      <c r="FB54" s="55">
        <v>1</v>
      </c>
      <c r="FC54" s="55">
        <v>1.5</v>
      </c>
      <c r="FD54" s="56">
        <v>1.5</v>
      </c>
      <c r="FE54" s="56">
        <v>1.6</v>
      </c>
      <c r="FF54" s="56">
        <v>1.8</v>
      </c>
      <c r="FG54" s="57">
        <v>2</v>
      </c>
      <c r="FH54" s="57">
        <v>2.5</v>
      </c>
      <c r="FI54" s="55" t="s">
        <v>38</v>
      </c>
      <c r="FJ54" s="55" t="s">
        <v>38</v>
      </c>
      <c r="FK54" s="55">
        <v>0.2</v>
      </c>
      <c r="FL54" s="211" t="s">
        <v>38</v>
      </c>
      <c r="FN54" s="50" t="s">
        <v>34</v>
      </c>
      <c r="FO54" s="51" t="s">
        <v>35</v>
      </c>
      <c r="FP54" s="51" t="s">
        <v>36</v>
      </c>
      <c r="FQ54" s="52">
        <v>0.1</v>
      </c>
      <c r="FR54" s="52">
        <v>0.08</v>
      </c>
      <c r="FS54" s="53" t="s">
        <v>37</v>
      </c>
      <c r="FT54" s="51">
        <v>3</v>
      </c>
      <c r="FU54" s="54">
        <v>12</v>
      </c>
      <c r="FV54" s="55" t="s">
        <v>38</v>
      </c>
      <c r="FW54" s="55">
        <v>0.5</v>
      </c>
      <c r="FX54" s="55">
        <v>0.6</v>
      </c>
      <c r="FY54" s="55">
        <v>0.8</v>
      </c>
      <c r="FZ54" s="55">
        <v>1</v>
      </c>
      <c r="GA54" s="55">
        <v>1.5</v>
      </c>
      <c r="GB54" s="56">
        <v>1.5</v>
      </c>
      <c r="GC54" s="56">
        <v>1.6</v>
      </c>
      <c r="GD54" s="56">
        <v>1.8</v>
      </c>
      <c r="GE54" s="57">
        <v>2</v>
      </c>
      <c r="GF54" s="57">
        <v>2.5</v>
      </c>
      <c r="GG54" s="55" t="s">
        <v>38</v>
      </c>
      <c r="GH54" s="55" t="s">
        <v>38</v>
      </c>
      <c r="GI54" s="55">
        <v>0.2</v>
      </c>
      <c r="GJ54" s="211" t="s">
        <v>38</v>
      </c>
      <c r="GL54" s="50" t="s">
        <v>34</v>
      </c>
      <c r="GM54" s="51" t="s">
        <v>35</v>
      </c>
      <c r="GN54" s="51" t="s">
        <v>36</v>
      </c>
      <c r="GO54" s="52">
        <v>0.1</v>
      </c>
      <c r="GP54" s="52">
        <v>0.08</v>
      </c>
      <c r="GQ54" s="53" t="s">
        <v>37</v>
      </c>
      <c r="GR54" s="51">
        <v>3</v>
      </c>
      <c r="GS54" s="54">
        <v>12</v>
      </c>
      <c r="GT54" s="55" t="s">
        <v>38</v>
      </c>
      <c r="GU54" s="55">
        <v>0.5</v>
      </c>
      <c r="GV54" s="55">
        <v>0.6</v>
      </c>
      <c r="GW54" s="55">
        <v>0.8</v>
      </c>
      <c r="GX54" s="55">
        <v>1</v>
      </c>
      <c r="GY54" s="55">
        <v>1.5</v>
      </c>
      <c r="GZ54" s="56">
        <v>1.5</v>
      </c>
      <c r="HA54" s="56">
        <v>1.6</v>
      </c>
      <c r="HB54" s="56">
        <v>1.8</v>
      </c>
      <c r="HC54" s="57">
        <v>2</v>
      </c>
      <c r="HD54" s="57">
        <v>2.5</v>
      </c>
      <c r="HE54" s="55" t="s">
        <v>38</v>
      </c>
      <c r="HF54" s="55" t="s">
        <v>38</v>
      </c>
      <c r="HG54" s="55">
        <v>0.2</v>
      </c>
      <c r="HH54" s="211" t="s">
        <v>38</v>
      </c>
      <c r="HJ54" s="50" t="s">
        <v>34</v>
      </c>
      <c r="HK54" s="51" t="s">
        <v>35</v>
      </c>
      <c r="HL54" s="51" t="s">
        <v>36</v>
      </c>
      <c r="HM54" s="52">
        <v>0.1</v>
      </c>
      <c r="HN54" s="52">
        <v>0.08</v>
      </c>
      <c r="HO54" s="53" t="s">
        <v>37</v>
      </c>
      <c r="HP54" s="51">
        <v>3</v>
      </c>
      <c r="HQ54" s="54">
        <v>12</v>
      </c>
      <c r="HR54" s="55" t="s">
        <v>38</v>
      </c>
      <c r="HS54" s="55">
        <v>0.5</v>
      </c>
      <c r="HT54" s="55">
        <v>0.6</v>
      </c>
      <c r="HU54" s="55">
        <v>0.8</v>
      </c>
      <c r="HV54" s="55">
        <v>1</v>
      </c>
      <c r="HW54" s="55">
        <v>1.5</v>
      </c>
      <c r="HX54" s="56">
        <v>1.5</v>
      </c>
      <c r="HY54" s="56">
        <v>1.6</v>
      </c>
      <c r="HZ54" s="56">
        <v>1.8</v>
      </c>
      <c r="IA54" s="57">
        <v>2</v>
      </c>
      <c r="IB54" s="57">
        <v>2.5</v>
      </c>
      <c r="IC54" s="55" t="s">
        <v>38</v>
      </c>
      <c r="ID54" s="55" t="s">
        <v>38</v>
      </c>
      <c r="IE54" s="55">
        <v>0.2</v>
      </c>
      <c r="IF54" s="211" t="s">
        <v>38</v>
      </c>
      <c r="IH54" s="50" t="s">
        <v>34</v>
      </c>
      <c r="II54" s="51" t="s">
        <v>35</v>
      </c>
      <c r="IJ54" s="51" t="s">
        <v>36</v>
      </c>
      <c r="IK54" s="52">
        <v>0.1</v>
      </c>
      <c r="IL54" s="52">
        <v>0.08</v>
      </c>
      <c r="IM54" s="53" t="s">
        <v>37</v>
      </c>
      <c r="IN54" s="51">
        <v>3</v>
      </c>
      <c r="IO54" s="54">
        <v>12</v>
      </c>
      <c r="IP54" s="55" t="s">
        <v>38</v>
      </c>
      <c r="IQ54" s="55">
        <v>0.5</v>
      </c>
      <c r="IR54" s="55">
        <v>0.6</v>
      </c>
      <c r="IS54" s="55">
        <v>0.8</v>
      </c>
      <c r="IT54" s="55">
        <v>1</v>
      </c>
      <c r="IU54" s="55">
        <v>1.5</v>
      </c>
      <c r="IV54" s="56">
        <v>1.5</v>
      </c>
      <c r="IW54" s="56">
        <v>1.6</v>
      </c>
      <c r="IX54" s="56">
        <v>1.8</v>
      </c>
      <c r="IY54" s="57">
        <v>2</v>
      </c>
      <c r="IZ54" s="57">
        <v>2.5</v>
      </c>
      <c r="JA54" s="55" t="s">
        <v>38</v>
      </c>
      <c r="JB54" s="55" t="s">
        <v>38</v>
      </c>
      <c r="JC54" s="55">
        <v>0.2</v>
      </c>
      <c r="JD54" s="475" t="s">
        <v>38</v>
      </c>
      <c r="JF54" s="50" t="s">
        <v>34</v>
      </c>
      <c r="JG54" s="51" t="s">
        <v>35</v>
      </c>
      <c r="JH54" s="51" t="s">
        <v>36</v>
      </c>
      <c r="JI54" s="52">
        <v>0.1</v>
      </c>
      <c r="JJ54" s="52">
        <v>0.08</v>
      </c>
      <c r="JK54" s="53" t="s">
        <v>37</v>
      </c>
      <c r="JL54" s="51">
        <v>3</v>
      </c>
      <c r="JM54" s="54">
        <v>12</v>
      </c>
      <c r="JN54" s="55" t="s">
        <v>38</v>
      </c>
      <c r="JO54" s="55">
        <v>0.5</v>
      </c>
      <c r="JP54" s="55">
        <v>0.6</v>
      </c>
      <c r="JQ54" s="55">
        <v>0.8</v>
      </c>
      <c r="JR54" s="55">
        <v>1</v>
      </c>
      <c r="JS54" s="55">
        <v>1.5</v>
      </c>
      <c r="JT54" s="56">
        <v>1.5</v>
      </c>
      <c r="JU54" s="56">
        <v>1.6</v>
      </c>
      <c r="JV54" s="56">
        <v>1.8</v>
      </c>
      <c r="JW54" s="57">
        <v>2</v>
      </c>
      <c r="JX54" s="57">
        <v>2.5</v>
      </c>
      <c r="JY54" s="55" t="s">
        <v>38</v>
      </c>
      <c r="JZ54" s="55" t="s">
        <v>38</v>
      </c>
      <c r="KA54" s="55">
        <v>0.2</v>
      </c>
      <c r="KB54" s="475" t="s">
        <v>38</v>
      </c>
      <c r="KC54" s="37"/>
      <c r="KD54" s="37"/>
      <c r="KE54" s="37"/>
      <c r="KF54" s="37"/>
      <c r="KG54" s="37"/>
      <c r="KH54" s="37"/>
      <c r="KI54" s="37"/>
      <c r="KJ54" s="37"/>
    </row>
    <row r="55" spans="1:296" ht="15.6" x14ac:dyDescent="0.3">
      <c r="A55" s="386"/>
      <c r="B55" s="387"/>
      <c r="C55" s="387"/>
      <c r="D55" s="387"/>
      <c r="E55" s="472" t="s">
        <v>189</v>
      </c>
      <c r="F55" s="472"/>
      <c r="G55" s="472"/>
      <c r="H55" s="472"/>
      <c r="I55" s="472"/>
      <c r="J55" s="472"/>
      <c r="K55" s="472"/>
      <c r="L55" s="472"/>
      <c r="M55" s="472"/>
      <c r="N55" s="472"/>
      <c r="O55" s="472"/>
      <c r="P55" s="472"/>
      <c r="Q55" s="454"/>
      <c r="R55" s="454"/>
      <c r="S55" s="387"/>
      <c r="T55" s="387"/>
      <c r="U55" s="387"/>
      <c r="V55" s="387"/>
      <c r="W55" s="387"/>
      <c r="X55" s="388"/>
      <c r="Y55" s="386"/>
      <c r="Z55" s="387"/>
      <c r="AA55" s="387"/>
      <c r="AB55" s="387"/>
      <c r="AC55" s="472" t="s">
        <v>189</v>
      </c>
      <c r="AD55" s="472"/>
      <c r="AE55" s="472"/>
      <c r="AF55" s="472"/>
      <c r="AG55" s="472"/>
      <c r="AH55" s="472"/>
      <c r="AI55" s="472"/>
      <c r="AJ55" s="472"/>
      <c r="AK55" s="472"/>
      <c r="AL55" s="472"/>
      <c r="AM55" s="472"/>
      <c r="AN55" s="472"/>
      <c r="AO55" s="454"/>
      <c r="AP55" s="454"/>
      <c r="AQ55" s="387"/>
      <c r="AR55" s="387"/>
      <c r="AS55" s="387"/>
      <c r="AT55" s="387"/>
      <c r="AU55" s="387"/>
      <c r="AV55" s="388"/>
      <c r="AW55" s="386"/>
      <c r="AX55" s="387"/>
      <c r="AY55" s="387"/>
      <c r="AZ55" s="387"/>
      <c r="BA55" s="472" t="s">
        <v>189</v>
      </c>
      <c r="BB55" s="472"/>
      <c r="BC55" s="472"/>
      <c r="BD55" s="472"/>
      <c r="BE55" s="472"/>
      <c r="BF55" s="472"/>
      <c r="BG55" s="472"/>
      <c r="BH55" s="472"/>
      <c r="BI55" s="472"/>
      <c r="BJ55" s="472"/>
      <c r="BK55" s="472"/>
      <c r="BL55" s="472"/>
      <c r="BM55" s="454"/>
      <c r="BN55" s="454"/>
      <c r="BO55" s="387"/>
      <c r="BP55" s="387"/>
      <c r="BQ55" s="387"/>
      <c r="BR55" s="387"/>
      <c r="BS55" s="387"/>
      <c r="BT55" s="388"/>
      <c r="BU55" s="386"/>
      <c r="BV55" s="387"/>
      <c r="BW55" s="387"/>
      <c r="BX55" s="387"/>
      <c r="BY55" s="472" t="s">
        <v>189</v>
      </c>
      <c r="BZ55" s="472"/>
      <c r="CA55" s="472"/>
      <c r="CB55" s="472"/>
      <c r="CC55" s="472"/>
      <c r="CD55" s="472"/>
      <c r="CE55" s="472"/>
      <c r="CF55" s="472"/>
      <c r="CG55" s="472"/>
      <c r="CH55" s="472"/>
      <c r="CI55" s="472"/>
      <c r="CJ55" s="472"/>
      <c r="CK55" s="454"/>
      <c r="CL55" s="454"/>
      <c r="CM55" s="387"/>
      <c r="CN55" s="387"/>
      <c r="CO55" s="387"/>
      <c r="CP55" s="387"/>
      <c r="CQ55" s="387"/>
      <c r="CR55" s="388"/>
      <c r="CS55" s="386"/>
      <c r="CT55" s="387"/>
      <c r="CU55" s="387"/>
      <c r="CV55" s="387"/>
      <c r="CW55" s="472" t="s">
        <v>189</v>
      </c>
      <c r="CX55" s="472"/>
      <c r="CY55" s="472"/>
      <c r="CZ55" s="472"/>
      <c r="DA55" s="472"/>
      <c r="DB55" s="472"/>
      <c r="DC55" s="472"/>
      <c r="DD55" s="472"/>
      <c r="DE55" s="472"/>
      <c r="DF55" s="472"/>
      <c r="DG55" s="472"/>
      <c r="DH55" s="472"/>
      <c r="DI55" s="454"/>
      <c r="DJ55" s="454"/>
      <c r="DK55" s="387"/>
      <c r="DL55" s="387"/>
      <c r="DM55" s="387"/>
      <c r="DN55" s="387"/>
      <c r="DO55" s="387"/>
      <c r="DP55" s="388"/>
      <c r="DQ55" s="386"/>
      <c r="DR55" s="387"/>
      <c r="DS55" s="387"/>
      <c r="DT55" s="387"/>
      <c r="DU55" s="472" t="s">
        <v>189</v>
      </c>
      <c r="DV55" s="472"/>
      <c r="DW55" s="472"/>
      <c r="DX55" s="472"/>
      <c r="DY55" s="472"/>
      <c r="DZ55" s="472"/>
      <c r="EA55" s="472"/>
      <c r="EB55" s="472"/>
      <c r="EC55" s="472"/>
      <c r="ED55" s="472"/>
      <c r="EE55" s="472"/>
      <c r="EF55" s="472"/>
      <c r="EG55" s="454"/>
      <c r="EH55" s="454"/>
      <c r="EI55" s="387"/>
      <c r="EJ55" s="387"/>
      <c r="EK55" s="387"/>
      <c r="EL55" s="387"/>
      <c r="EM55" s="387"/>
      <c r="EN55" s="388"/>
      <c r="EO55" s="386"/>
      <c r="EP55" s="387"/>
      <c r="EQ55" s="387"/>
      <c r="ER55" s="387"/>
      <c r="ES55" s="472" t="s">
        <v>189</v>
      </c>
      <c r="ET55" s="472"/>
      <c r="EU55" s="472"/>
      <c r="EV55" s="472"/>
      <c r="EW55" s="472"/>
      <c r="EX55" s="472"/>
      <c r="EY55" s="472"/>
      <c r="EZ55" s="472"/>
      <c r="FA55" s="472"/>
      <c r="FB55" s="472"/>
      <c r="FC55" s="472"/>
      <c r="FD55" s="472"/>
      <c r="FE55" s="454"/>
      <c r="FF55" s="454"/>
      <c r="FG55" s="387"/>
      <c r="FH55" s="387"/>
      <c r="FI55" s="387"/>
      <c r="FJ55" s="387"/>
      <c r="FK55" s="387"/>
      <c r="FL55" s="388"/>
      <c r="FM55" s="386"/>
      <c r="FN55" s="387"/>
      <c r="FO55" s="387"/>
      <c r="FP55" s="387"/>
      <c r="FQ55" s="472" t="s">
        <v>189</v>
      </c>
      <c r="FR55" s="472"/>
      <c r="FS55" s="472"/>
      <c r="FT55" s="472"/>
      <c r="FU55" s="472"/>
      <c r="FV55" s="472"/>
      <c r="FW55" s="472"/>
      <c r="FX55" s="472"/>
      <c r="FY55" s="472"/>
      <c r="FZ55" s="472"/>
      <c r="GA55" s="472"/>
      <c r="GB55" s="472"/>
      <c r="GC55" s="454"/>
      <c r="GD55" s="454"/>
      <c r="GE55" s="387"/>
      <c r="GF55" s="387"/>
      <c r="GG55" s="387"/>
      <c r="GH55" s="387"/>
      <c r="GI55" s="387"/>
      <c r="GJ55" s="388"/>
      <c r="GK55" s="386"/>
      <c r="GL55" s="387"/>
      <c r="GM55" s="387"/>
      <c r="GN55" s="387"/>
      <c r="GO55" s="472" t="s">
        <v>189</v>
      </c>
      <c r="GP55" s="472"/>
      <c r="GQ55" s="472"/>
      <c r="GR55" s="472"/>
      <c r="GS55" s="472"/>
      <c r="GT55" s="472"/>
      <c r="GU55" s="472"/>
      <c r="GV55" s="472"/>
      <c r="GW55" s="472"/>
      <c r="GX55" s="472"/>
      <c r="GY55" s="472"/>
      <c r="GZ55" s="472"/>
      <c r="HA55" s="454"/>
      <c r="HB55" s="454"/>
      <c r="HC55" s="387"/>
      <c r="HD55" s="387"/>
      <c r="HE55" s="387"/>
      <c r="HF55" s="387"/>
      <c r="HG55" s="387"/>
      <c r="HH55" s="388"/>
      <c r="HI55" s="386"/>
      <c r="HJ55" s="387"/>
      <c r="HK55" s="387"/>
      <c r="HL55" s="387"/>
      <c r="HM55" s="472" t="s">
        <v>189</v>
      </c>
      <c r="HN55" s="472"/>
      <c r="HO55" s="472"/>
      <c r="HP55" s="472"/>
      <c r="HQ55" s="472"/>
      <c r="HR55" s="472"/>
      <c r="HS55" s="472"/>
      <c r="HT55" s="472"/>
      <c r="HU55" s="472"/>
      <c r="HV55" s="472"/>
      <c r="HW55" s="472"/>
      <c r="HX55" s="472"/>
      <c r="HY55" s="454"/>
      <c r="HZ55" s="454"/>
      <c r="IA55" s="387"/>
      <c r="IB55" s="387"/>
      <c r="IC55" s="387"/>
      <c r="ID55" s="387"/>
      <c r="IE55" s="387"/>
      <c r="IF55" s="388"/>
      <c r="IG55" s="386"/>
      <c r="IH55" s="387"/>
      <c r="II55" s="387"/>
      <c r="IJ55" s="387"/>
      <c r="IK55" s="472" t="s">
        <v>189</v>
      </c>
      <c r="IL55" s="472"/>
      <c r="IM55" s="472"/>
      <c r="IN55" s="472"/>
      <c r="IO55" s="472"/>
      <c r="IP55" s="472"/>
      <c r="IQ55" s="472"/>
      <c r="IR55" s="472"/>
      <c r="IS55" s="472"/>
      <c r="IT55" s="472"/>
      <c r="IU55" s="472"/>
      <c r="IV55" s="472"/>
      <c r="IW55" s="454"/>
      <c r="IX55" s="454"/>
      <c r="IY55" s="387"/>
      <c r="IZ55" s="387"/>
      <c r="JA55" s="387"/>
      <c r="JB55" s="387"/>
      <c r="JC55" s="387"/>
      <c r="JD55" s="471"/>
      <c r="JE55" s="386"/>
      <c r="JF55" s="387"/>
      <c r="JG55" s="387"/>
      <c r="JH55" s="387"/>
      <c r="JI55" s="472" t="s">
        <v>189</v>
      </c>
      <c r="JJ55" s="472"/>
      <c r="JK55" s="472"/>
      <c r="JL55" s="472"/>
      <c r="JM55" s="472"/>
      <c r="JN55" s="472"/>
      <c r="JO55" s="472"/>
      <c r="JP55" s="472"/>
      <c r="JQ55" s="472"/>
      <c r="JR55" s="472"/>
      <c r="JS55" s="472"/>
      <c r="JT55" s="472"/>
      <c r="JU55" s="454"/>
      <c r="JV55" s="454"/>
      <c r="JW55" s="387"/>
      <c r="JX55" s="387"/>
      <c r="JY55" s="387"/>
      <c r="JZ55" s="387"/>
      <c r="KA55" s="387"/>
      <c r="KB55" s="471"/>
      <c r="KC55" s="37"/>
      <c r="KD55" s="37"/>
      <c r="KE55" s="37"/>
      <c r="KF55" s="37"/>
      <c r="KG55" s="37"/>
      <c r="KH55" s="37"/>
      <c r="KI55" s="37"/>
      <c r="KJ55" s="37"/>
    </row>
    <row r="56" spans="1:296" x14ac:dyDescent="0.3">
      <c r="A56" s="49">
        <v>0</v>
      </c>
      <c r="B56" s="59" t="s">
        <v>198</v>
      </c>
      <c r="C56" s="28">
        <f t="shared" ref="C56:C61" si="786">D56/$AY$4</f>
        <v>10</v>
      </c>
      <c r="D56" s="60">
        <v>2200</v>
      </c>
      <c r="E56" s="28">
        <f>D56*E$54</f>
        <v>220</v>
      </c>
      <c r="F56" s="28">
        <f>D56*F$54</f>
        <v>176</v>
      </c>
      <c r="G56" s="28">
        <f>D56/G$54</f>
        <v>183.33333333333334</v>
      </c>
      <c r="H56" s="63">
        <f>G56/H$54</f>
        <v>61.111111111111114</v>
      </c>
      <c r="I56" s="63">
        <f>D56/I$54</f>
        <v>183.33333333333334</v>
      </c>
      <c r="J56" s="61">
        <f t="shared" ref="J56:J61" si="787">SUM(D56:I56)</f>
        <v>3023.7777777777783</v>
      </c>
      <c r="K56" s="62"/>
      <c r="L56" s="62"/>
      <c r="M56" s="62"/>
      <c r="N56" s="62"/>
      <c r="O56" s="62"/>
      <c r="P56" s="63">
        <f>((C56*P$54)+(C56*E$54)+(C56*F$54))*K56</f>
        <v>0</v>
      </c>
      <c r="Q56" s="63">
        <f>((C56*Q$54)+(C56*E$54)+(C56*F$54))*L56</f>
        <v>0</v>
      </c>
      <c r="R56" s="63">
        <f>((C56*R$54)+(C56*E$54)+(C56*F$54))*M56</f>
        <v>0</v>
      </c>
      <c r="S56" s="63">
        <f>((C56*S$54)+(C56*E$54)+(C56*F$54))*N56</f>
        <v>0</v>
      </c>
      <c r="T56" s="63">
        <f>((C56*T$54)+(C56*E$54)+(C56*F$54))*O56</f>
        <v>0</v>
      </c>
      <c r="U56" s="61">
        <f>SUM(P56:T56)</f>
        <v>0</v>
      </c>
      <c r="V56" s="64">
        <v>0</v>
      </c>
      <c r="W56" s="65">
        <f t="shared" ref="W56:W61" si="788">IF(A56=1,($C$1*$W$6),0)</f>
        <v>0</v>
      </c>
      <c r="X56" s="212">
        <f t="shared" ref="X56:X61" si="789">J56+U56+V56+W56</f>
        <v>3023.7777777777783</v>
      </c>
      <c r="Y56" s="49">
        <v>0</v>
      </c>
      <c r="Z56" s="59" t="s">
        <v>198</v>
      </c>
      <c r="AA56" s="28">
        <f t="shared" ref="AA56:AA61" si="790">AB56/$AY$4</f>
        <v>10</v>
      </c>
      <c r="AB56" s="60">
        <v>2200</v>
      </c>
      <c r="AC56" s="28">
        <f>AB56*AC$54</f>
        <v>220</v>
      </c>
      <c r="AD56" s="28">
        <f>AB56*AD$54</f>
        <v>176</v>
      </c>
      <c r="AE56" s="28">
        <f>AB56/AE$54</f>
        <v>183.33333333333334</v>
      </c>
      <c r="AF56" s="63">
        <f>AE56/AF$54</f>
        <v>61.111111111111114</v>
      </c>
      <c r="AG56" s="63">
        <f>AB56/AG$54</f>
        <v>183.33333333333334</v>
      </c>
      <c r="AH56" s="61">
        <f t="shared" ref="AH56:AH61" si="791">SUM(AB56:AG56)</f>
        <v>3023.7777777777783</v>
      </c>
      <c r="AI56" s="62"/>
      <c r="AJ56" s="62"/>
      <c r="AK56" s="62"/>
      <c r="AL56" s="62"/>
      <c r="AM56" s="62"/>
      <c r="AN56" s="63">
        <f>((AA56*AN$54)+(AA56*AC$54)+(AA56*AD$54))*AI56</f>
        <v>0</v>
      </c>
      <c r="AO56" s="63">
        <f>((AA56*AO$54)+(AA56*AC$54)+(AA56*AD$54))*AJ56</f>
        <v>0</v>
      </c>
      <c r="AP56" s="63">
        <f>((AA56*AP$54)+(AA56*AC$54)+(AA56*AD$54))*AK56</f>
        <v>0</v>
      </c>
      <c r="AQ56" s="63">
        <f>((AA56*AQ$54)+(AA56*AC$54)+(AA56*AD$54))*AL56</f>
        <v>0</v>
      </c>
      <c r="AR56" s="63">
        <f>((AA56*AR$54)+(AA56*AC$54)+(AA56*AD$54))*AM56</f>
        <v>0</v>
      </c>
      <c r="AS56" s="61">
        <f>SUM(AN56:AR56)</f>
        <v>0</v>
      </c>
      <c r="AT56" s="64">
        <v>0</v>
      </c>
      <c r="AU56" s="65">
        <f t="shared" ref="AU56:AU61" si="792">IF(Y56=1,($C$1*$W$6),0)</f>
        <v>0</v>
      </c>
      <c r="AV56" s="212">
        <f t="shared" ref="AV56:AV61" si="793">AH56+AS56+AT56+AU56</f>
        <v>3023.7777777777783</v>
      </c>
      <c r="AW56" s="49">
        <v>0</v>
      </c>
      <c r="AX56" s="59" t="s">
        <v>198</v>
      </c>
      <c r="AY56" s="28">
        <f t="shared" ref="AY56:AY61" si="794">AZ56/$AY$4</f>
        <v>10</v>
      </c>
      <c r="AZ56" s="60">
        <v>2200</v>
      </c>
      <c r="BA56" s="28">
        <f>AZ56*BA$54</f>
        <v>220</v>
      </c>
      <c r="BB56" s="28">
        <f>AZ56*BB$54</f>
        <v>176</v>
      </c>
      <c r="BC56" s="28">
        <f>AZ56/BC$54</f>
        <v>183.33333333333334</v>
      </c>
      <c r="BD56" s="63">
        <f>BC56/BD$54</f>
        <v>61.111111111111114</v>
      </c>
      <c r="BE56" s="63">
        <f>AZ56/BE$54</f>
        <v>183.33333333333334</v>
      </c>
      <c r="BF56" s="61">
        <f t="shared" ref="BF56:BF61" si="795">SUM(AZ56:BE56)</f>
        <v>3023.7777777777783</v>
      </c>
      <c r="BG56" s="62"/>
      <c r="BH56" s="62"/>
      <c r="BI56" s="62"/>
      <c r="BJ56" s="62"/>
      <c r="BK56" s="62"/>
      <c r="BL56" s="63">
        <f>((AY56*BL$54)+(AY56*BA$54)+(AY56*BB$54))*BG56</f>
        <v>0</v>
      </c>
      <c r="BM56" s="63">
        <f>((AY56*BM$54)+(AY56*BA$54)+(AY56*BB$54))*BH56</f>
        <v>0</v>
      </c>
      <c r="BN56" s="63">
        <f>((AY56*BN$54)+(AY56*BA$54)+(AY56*BB$54))*BI56</f>
        <v>0</v>
      </c>
      <c r="BO56" s="63">
        <f>((AY56*BO$54)+(AY56*BA$54)+(AY56*BB$54))*BJ56</f>
        <v>0</v>
      </c>
      <c r="BP56" s="63">
        <f>((AY56*BP$54)+(AY56*BA$54)+(AY56*BB$54))*BK56</f>
        <v>0</v>
      </c>
      <c r="BQ56" s="61">
        <f>SUM(BL56:BP56)</f>
        <v>0</v>
      </c>
      <c r="BR56" s="64">
        <v>0</v>
      </c>
      <c r="BS56" s="65">
        <f t="shared" ref="BS56:BS61" si="796">IF(AW56=1,($C$1*$W$6),0)</f>
        <v>0</v>
      </c>
      <c r="BT56" s="212">
        <f t="shared" ref="BT56:BT61" si="797">BF56+BQ56+BR56+BS56</f>
        <v>3023.7777777777783</v>
      </c>
      <c r="BU56" s="49">
        <v>0</v>
      </c>
      <c r="BV56" s="59" t="s">
        <v>198</v>
      </c>
      <c r="BW56" s="28">
        <f t="shared" ref="BW56:BW61" si="798">BX56/$AY$4</f>
        <v>10</v>
      </c>
      <c r="BX56" s="60">
        <v>2200</v>
      </c>
      <c r="BY56" s="28">
        <f>BX56*BY$54</f>
        <v>220</v>
      </c>
      <c r="BZ56" s="28">
        <f>BX56*BZ$54</f>
        <v>176</v>
      </c>
      <c r="CA56" s="28">
        <f>BX56/CA$54</f>
        <v>183.33333333333334</v>
      </c>
      <c r="CB56" s="63">
        <f>CA56/CB$54</f>
        <v>61.111111111111114</v>
      </c>
      <c r="CC56" s="63">
        <f>BX56/CC$54</f>
        <v>183.33333333333334</v>
      </c>
      <c r="CD56" s="61">
        <f t="shared" ref="CD56:CD61" si="799">SUM(BX56:CC56)</f>
        <v>3023.7777777777783</v>
      </c>
      <c r="CE56" s="62"/>
      <c r="CF56" s="62"/>
      <c r="CG56" s="62"/>
      <c r="CH56" s="62"/>
      <c r="CI56" s="62"/>
      <c r="CJ56" s="63">
        <f>((BW56*CJ$54)+(BW56*BY$54)+(BW56*BZ$54))*CE56</f>
        <v>0</v>
      </c>
      <c r="CK56" s="63">
        <f>((BW56*CK$54)+(BW56*BY$54)+(BW56*BZ$54))*CF56</f>
        <v>0</v>
      </c>
      <c r="CL56" s="63">
        <f>((BW56*CL$54)+(BW56*BY$54)+(BW56*BZ$54))*CG56</f>
        <v>0</v>
      </c>
      <c r="CM56" s="63">
        <f>((BW56*CM$54)+(BW56*BY$54)+(BW56*BZ$54))*CH56</f>
        <v>0</v>
      </c>
      <c r="CN56" s="63">
        <f>((BW56*CN$54)+(BW56*BY$54)+(BW56*BZ$54))*CI56</f>
        <v>0</v>
      </c>
      <c r="CO56" s="61">
        <f>SUM(CJ56:CN56)</f>
        <v>0</v>
      </c>
      <c r="CP56" s="64">
        <v>0</v>
      </c>
      <c r="CQ56" s="65">
        <f t="shared" ref="CQ56:CQ61" si="800">IF(BU56=1,($C$1*$W$6),0)</f>
        <v>0</v>
      </c>
      <c r="CR56" s="212">
        <f t="shared" ref="CR56:CR61" si="801">CD56+CO56+CP56+CQ56</f>
        <v>3023.7777777777783</v>
      </c>
      <c r="CS56" s="49">
        <v>0</v>
      </c>
      <c r="CT56" s="59" t="s">
        <v>198</v>
      </c>
      <c r="CU56" s="28">
        <f t="shared" ref="CU56:CU61" si="802">CV56/$AY$4</f>
        <v>10</v>
      </c>
      <c r="CV56" s="60">
        <v>2200</v>
      </c>
      <c r="CW56" s="28">
        <f>CV56*CW$54</f>
        <v>220</v>
      </c>
      <c r="CX56" s="28">
        <f>CV56*CX$54</f>
        <v>176</v>
      </c>
      <c r="CY56" s="28">
        <f>CV56/CY$54</f>
        <v>183.33333333333334</v>
      </c>
      <c r="CZ56" s="63">
        <f>CY56/CZ$54</f>
        <v>61.111111111111114</v>
      </c>
      <c r="DA56" s="63">
        <f>CV56/DA$54</f>
        <v>183.33333333333334</v>
      </c>
      <c r="DB56" s="61">
        <f t="shared" ref="DB56:DB61" si="803">SUM(CV56:DA56)</f>
        <v>3023.7777777777783</v>
      </c>
      <c r="DC56" s="62"/>
      <c r="DD56" s="62"/>
      <c r="DE56" s="62"/>
      <c r="DF56" s="62"/>
      <c r="DG56" s="62"/>
      <c r="DH56" s="63">
        <f>((CU56*DH$54)+(CU56*CW$54)+(CU56*CX$54))*DC56</f>
        <v>0</v>
      </c>
      <c r="DI56" s="63">
        <f>((CU56*DI$54)+(CU56*CW$54)+(CU56*CX$54))*DD56</f>
        <v>0</v>
      </c>
      <c r="DJ56" s="63">
        <f>((CU56*DJ$54)+(CU56*CW$54)+(CU56*CX$54))*DE56</f>
        <v>0</v>
      </c>
      <c r="DK56" s="63">
        <f>((CU56*DK$54)+(CU56*CW$54)+(CU56*CX$54))*DF56</f>
        <v>0</v>
      </c>
      <c r="DL56" s="63">
        <f>((CU56*DL$54)+(CU56*CW$54)+(CU56*CX$54))*DG56</f>
        <v>0</v>
      </c>
      <c r="DM56" s="61">
        <f>SUM(DH56:DL56)</f>
        <v>0</v>
      </c>
      <c r="DN56" s="64">
        <v>0</v>
      </c>
      <c r="DO56" s="65">
        <f t="shared" ref="DO56:DO61" si="804">IF(CS56=1,($C$1*$W$6),0)</f>
        <v>0</v>
      </c>
      <c r="DP56" s="212">
        <f t="shared" ref="DP56:DP61" si="805">DB56+DM56+DN56+DO56</f>
        <v>3023.7777777777783</v>
      </c>
      <c r="DQ56" s="49">
        <v>0</v>
      </c>
      <c r="DR56" s="59" t="s">
        <v>198</v>
      </c>
      <c r="DS56" s="28">
        <f t="shared" ref="DS56:DS61" si="806">DT56/$AY$4</f>
        <v>10</v>
      </c>
      <c r="DT56" s="60">
        <v>2200</v>
      </c>
      <c r="DU56" s="28">
        <f>DT56*DU$54</f>
        <v>220</v>
      </c>
      <c r="DV56" s="28">
        <f>DT56*DV$54</f>
        <v>176</v>
      </c>
      <c r="DW56" s="28">
        <f>DT56/DW$54</f>
        <v>183.33333333333334</v>
      </c>
      <c r="DX56" s="63">
        <f>DW56/DX$54</f>
        <v>61.111111111111114</v>
      </c>
      <c r="DY56" s="63">
        <f>DT56/DY$54</f>
        <v>183.33333333333334</v>
      </c>
      <c r="DZ56" s="61">
        <f t="shared" ref="DZ56:DZ61" si="807">SUM(DT56:DY56)</f>
        <v>3023.7777777777783</v>
      </c>
      <c r="EA56" s="62"/>
      <c r="EB56" s="62"/>
      <c r="EC56" s="62"/>
      <c r="ED56" s="62"/>
      <c r="EE56" s="62"/>
      <c r="EF56" s="63">
        <f>((DS56*EF$54)+(DS56*DU$54)+(DS56*DV$54))*EA56</f>
        <v>0</v>
      </c>
      <c r="EG56" s="63">
        <f>((DS56*EG$54)+(DS56*DU$54)+(DS56*DV$54))*EB56</f>
        <v>0</v>
      </c>
      <c r="EH56" s="63">
        <f>((DS56*EH$54)+(DS56*DU$54)+(DS56*DV$54))*EC56</f>
        <v>0</v>
      </c>
      <c r="EI56" s="63">
        <f>((DS56*EI$54)+(DS56*DU$54)+(DS56*DV$54))*ED56</f>
        <v>0</v>
      </c>
      <c r="EJ56" s="63">
        <f>((DS56*EJ$54)+(DS56*DU$54)+(DS56*DV$54))*EE56</f>
        <v>0</v>
      </c>
      <c r="EK56" s="61">
        <f>SUM(EF56:EJ56)</f>
        <v>0</v>
      </c>
      <c r="EL56" s="64">
        <v>0</v>
      </c>
      <c r="EM56" s="65">
        <f t="shared" ref="EM56:EM61" si="808">IF(DQ56=1,($C$1*$W$6),0)</f>
        <v>0</v>
      </c>
      <c r="EN56" s="212">
        <f t="shared" ref="EN56:EN61" si="809">DZ56+EK56+EL56+EM56</f>
        <v>3023.7777777777783</v>
      </c>
      <c r="EO56" s="49">
        <v>0</v>
      </c>
      <c r="EP56" s="59" t="s">
        <v>198</v>
      </c>
      <c r="EQ56" s="28">
        <f t="shared" ref="EQ56:EQ61" si="810">ER56/$AY$4</f>
        <v>10</v>
      </c>
      <c r="ER56" s="60">
        <v>2200</v>
      </c>
      <c r="ES56" s="28">
        <f>ER56*ES$54</f>
        <v>220</v>
      </c>
      <c r="ET56" s="28">
        <f>ER56*ET$54</f>
        <v>176</v>
      </c>
      <c r="EU56" s="28">
        <f>ER56/EU$54</f>
        <v>183.33333333333334</v>
      </c>
      <c r="EV56" s="63">
        <f>EU56/EV$54</f>
        <v>61.111111111111114</v>
      </c>
      <c r="EW56" s="63">
        <f>ER56/EW$54</f>
        <v>183.33333333333334</v>
      </c>
      <c r="EX56" s="61">
        <f t="shared" ref="EX56:EX61" si="811">SUM(ER56:EW56)</f>
        <v>3023.7777777777783</v>
      </c>
      <c r="EY56" s="62"/>
      <c r="EZ56" s="62"/>
      <c r="FA56" s="62"/>
      <c r="FB56" s="62"/>
      <c r="FC56" s="62"/>
      <c r="FD56" s="63">
        <f>((EQ56*FD$54)+(EQ56*ES$54)+(EQ56*ET$54))*EY56</f>
        <v>0</v>
      </c>
      <c r="FE56" s="63">
        <f>((EQ56*FE$54)+(EQ56*ES$54)+(EQ56*ET$54))*EZ56</f>
        <v>0</v>
      </c>
      <c r="FF56" s="63">
        <f>((EQ56*FF$54)+(EQ56*ES$54)+(EQ56*ET$54))*FA56</f>
        <v>0</v>
      </c>
      <c r="FG56" s="63">
        <f>((EQ56*FG$54)+(EQ56*ES$54)+(EQ56*ET$54))*FB56</f>
        <v>0</v>
      </c>
      <c r="FH56" s="63">
        <f>((EQ56*FH$54)+(EQ56*ES$54)+(EQ56*ET$54))*FC56</f>
        <v>0</v>
      </c>
      <c r="FI56" s="61">
        <f>SUM(FD56:FH56)</f>
        <v>0</v>
      </c>
      <c r="FJ56" s="64">
        <v>0</v>
      </c>
      <c r="FK56" s="65">
        <f t="shared" ref="FK56:FK61" si="812">IF(EO56=1,($C$1*$W$6),0)</f>
        <v>0</v>
      </c>
      <c r="FL56" s="212">
        <f t="shared" ref="FL56:FL61" si="813">EX56+FI56+FJ56+FK56</f>
        <v>3023.7777777777783</v>
      </c>
      <c r="FM56" s="49">
        <v>0</v>
      </c>
      <c r="FN56" s="59" t="s">
        <v>198</v>
      </c>
      <c r="FO56" s="28">
        <f t="shared" ref="FO56:FO61" si="814">FP56/$AY$4</f>
        <v>10</v>
      </c>
      <c r="FP56" s="60">
        <v>2200</v>
      </c>
      <c r="FQ56" s="28">
        <f>FP56*FQ$54</f>
        <v>220</v>
      </c>
      <c r="FR56" s="28">
        <f>FP56*FR$54</f>
        <v>176</v>
      </c>
      <c r="FS56" s="28">
        <f>FP56/FS$54</f>
        <v>183.33333333333334</v>
      </c>
      <c r="FT56" s="63">
        <f>FS56/FT$54</f>
        <v>61.111111111111114</v>
      </c>
      <c r="FU56" s="63">
        <f>FP56/FU$54</f>
        <v>183.33333333333334</v>
      </c>
      <c r="FV56" s="61">
        <f t="shared" ref="FV56:FV61" si="815">SUM(FP56:FU56)</f>
        <v>3023.7777777777783</v>
      </c>
      <c r="FW56" s="62"/>
      <c r="FX56" s="62"/>
      <c r="FY56" s="62"/>
      <c r="FZ56" s="62"/>
      <c r="GA56" s="62"/>
      <c r="GB56" s="63">
        <f>((FO56*GB$54)+(FO56*FQ$54)+(FO56*FR$54))*FW56</f>
        <v>0</v>
      </c>
      <c r="GC56" s="63">
        <f>((FO56*GC$54)+(FO56*FQ$54)+(FO56*FR$54))*FX56</f>
        <v>0</v>
      </c>
      <c r="GD56" s="63">
        <f>((FO56*GD$54)+(FO56*FQ$54)+(FO56*FR$54))*FY56</f>
        <v>0</v>
      </c>
      <c r="GE56" s="63">
        <f>((FO56*GE$54)+(FO56*FQ$54)+(FO56*FR$54))*FZ56</f>
        <v>0</v>
      </c>
      <c r="GF56" s="63">
        <f>((FO56*GF$54)+(FO56*FQ$54)+(FO56*FR$54))*GA56</f>
        <v>0</v>
      </c>
      <c r="GG56" s="61">
        <f>SUM(GB56:GF56)</f>
        <v>0</v>
      </c>
      <c r="GH56" s="64">
        <v>0</v>
      </c>
      <c r="GI56" s="65">
        <f t="shared" ref="GI56:GI61" si="816">IF(FM56=1,($C$1*$W$6),0)</f>
        <v>0</v>
      </c>
      <c r="GJ56" s="212">
        <f t="shared" ref="GJ56:GJ61" si="817">FV56+GG56+GH56+GI56</f>
        <v>3023.7777777777783</v>
      </c>
      <c r="GK56" s="49">
        <v>0</v>
      </c>
      <c r="GL56" s="59" t="s">
        <v>198</v>
      </c>
      <c r="GM56" s="28">
        <f t="shared" ref="GM56:GM61" si="818">GN56/$AY$4</f>
        <v>10</v>
      </c>
      <c r="GN56" s="60">
        <v>2200</v>
      </c>
      <c r="GO56" s="28">
        <f>GN56*GO$54</f>
        <v>220</v>
      </c>
      <c r="GP56" s="28">
        <f>GN56*GP$54</f>
        <v>176</v>
      </c>
      <c r="GQ56" s="28">
        <f>GN56/GQ$54</f>
        <v>183.33333333333334</v>
      </c>
      <c r="GR56" s="63">
        <f>GQ56/GR$54</f>
        <v>61.111111111111114</v>
      </c>
      <c r="GS56" s="63">
        <f>GN56/GS$54</f>
        <v>183.33333333333334</v>
      </c>
      <c r="GT56" s="61">
        <f t="shared" ref="GT56:GT61" si="819">SUM(GN56:GS56)</f>
        <v>3023.7777777777783</v>
      </c>
      <c r="GU56" s="62"/>
      <c r="GV56" s="62"/>
      <c r="GW56" s="62"/>
      <c r="GX56" s="62"/>
      <c r="GY56" s="62"/>
      <c r="GZ56" s="63">
        <f>((GM56*GZ$54)+(GM56*GO$54)+(GM56*GP$54))*GU56</f>
        <v>0</v>
      </c>
      <c r="HA56" s="63">
        <f>((GM56*HA$54)+(GM56*GO$54)+(GM56*GP$54))*GV56</f>
        <v>0</v>
      </c>
      <c r="HB56" s="63">
        <f>((GM56*HB$54)+(GM56*GO$54)+(GM56*GP$54))*GW56</f>
        <v>0</v>
      </c>
      <c r="HC56" s="63">
        <f>((GM56*HC$54)+(GM56*GO$54)+(GM56*GP$54))*GX56</f>
        <v>0</v>
      </c>
      <c r="HD56" s="63">
        <f>((GM56*HD$54)+(GM56*GO$54)+(GM56*GP$54))*GY56</f>
        <v>0</v>
      </c>
      <c r="HE56" s="61">
        <f>SUM(GZ56:HD56)</f>
        <v>0</v>
      </c>
      <c r="HF56" s="64">
        <v>0</v>
      </c>
      <c r="HG56" s="65">
        <f t="shared" ref="HG56:HG61" si="820">IF(GK56=1,($C$1*$W$6),0)</f>
        <v>0</v>
      </c>
      <c r="HH56" s="212">
        <f t="shared" ref="HH56:HH61" si="821">GT56+HE56+HF56+HG56</f>
        <v>3023.7777777777783</v>
      </c>
      <c r="HI56" s="49">
        <v>0</v>
      </c>
      <c r="HJ56" s="59" t="s">
        <v>198</v>
      </c>
      <c r="HK56" s="28">
        <f t="shared" ref="HK56:HK61" si="822">HL56/$AY$4</f>
        <v>10</v>
      </c>
      <c r="HL56" s="60">
        <v>2200</v>
      </c>
      <c r="HM56" s="28">
        <f>HL56*HM$54</f>
        <v>220</v>
      </c>
      <c r="HN56" s="28">
        <f>HL56*HN$54</f>
        <v>176</v>
      </c>
      <c r="HO56" s="28">
        <f>HL56/HO$54</f>
        <v>183.33333333333334</v>
      </c>
      <c r="HP56" s="63">
        <f>HO56/HP$54</f>
        <v>61.111111111111114</v>
      </c>
      <c r="HQ56" s="63">
        <f>HL56/HQ$54</f>
        <v>183.33333333333334</v>
      </c>
      <c r="HR56" s="61">
        <f t="shared" ref="HR56:HR61" si="823">SUM(HL56:HQ56)</f>
        <v>3023.7777777777783</v>
      </c>
      <c r="HS56" s="62"/>
      <c r="HT56" s="62"/>
      <c r="HU56" s="62"/>
      <c r="HV56" s="62"/>
      <c r="HW56" s="62"/>
      <c r="HX56" s="63">
        <f>((HK56*HX$54)+(HK56*HM$54)+(HK56*HN$54))*HS56</f>
        <v>0</v>
      </c>
      <c r="HY56" s="63">
        <f>((HK56*HY$54)+(HK56*HM$54)+(HK56*HN$54))*HT56</f>
        <v>0</v>
      </c>
      <c r="HZ56" s="63">
        <f>((HK56*HZ$54)+(HK56*HM$54)+(HK56*HN$54))*HU56</f>
        <v>0</v>
      </c>
      <c r="IA56" s="63">
        <f>((HK56*IA$54)+(HK56*HM$54)+(HK56*HN$54))*HV56</f>
        <v>0</v>
      </c>
      <c r="IB56" s="63">
        <f>((HK56*IB$54)+(HK56*HM$54)+(HK56*HN$54))*HW56</f>
        <v>0</v>
      </c>
      <c r="IC56" s="61">
        <f>SUM(HX56:IB56)</f>
        <v>0</v>
      </c>
      <c r="ID56" s="64">
        <v>0</v>
      </c>
      <c r="IE56" s="65">
        <f t="shared" ref="IE56:IE61" si="824">IF(HI56=1,($C$1*$W$6),0)</f>
        <v>0</v>
      </c>
      <c r="IF56" s="212">
        <f t="shared" ref="IF56:IF61" si="825">HR56+IC56+ID56+IE56</f>
        <v>3023.7777777777783</v>
      </c>
      <c r="IG56" s="49">
        <v>0</v>
      </c>
      <c r="IH56" s="59" t="s">
        <v>198</v>
      </c>
      <c r="II56" s="28">
        <f t="shared" ref="II56:II61" si="826">IJ56/$AY$4</f>
        <v>10</v>
      </c>
      <c r="IJ56" s="60">
        <v>2200</v>
      </c>
      <c r="IK56" s="28">
        <f t="shared" ref="IK56:IK61" si="827">IJ56*IK$54</f>
        <v>220</v>
      </c>
      <c r="IL56" s="28">
        <f t="shared" ref="IL56:IL61" si="828">IJ56*IL$54</f>
        <v>176</v>
      </c>
      <c r="IM56" s="28">
        <f t="shared" ref="IM56:IM61" si="829">IJ56/IM$54</f>
        <v>183.33333333333334</v>
      </c>
      <c r="IN56" s="63">
        <f t="shared" ref="IN56:IN61" si="830">IM56/IN$54</f>
        <v>61.111111111111114</v>
      </c>
      <c r="IO56" s="63">
        <f t="shared" ref="IO56:IO61" si="831">IJ56/IO$54</f>
        <v>183.33333333333334</v>
      </c>
      <c r="IP56" s="61">
        <f t="shared" ref="IP56:IP61" si="832">SUM(IJ56:IO56)</f>
        <v>3023.7777777777783</v>
      </c>
      <c r="IQ56" s="62"/>
      <c r="IR56" s="62"/>
      <c r="IS56" s="62"/>
      <c r="IT56" s="62"/>
      <c r="IU56" s="62"/>
      <c r="IV56" s="63">
        <f t="shared" ref="IV56:IV61" si="833">((II56*IV$54)+(II56*IK$54)+(II56*IL$54))*IQ56</f>
        <v>0</v>
      </c>
      <c r="IW56" s="63">
        <f t="shared" ref="IW56:IW61" si="834">((II56*IW$54)+(II56*IK$54)+(II56*IL$54))*IR56</f>
        <v>0</v>
      </c>
      <c r="IX56" s="63">
        <f t="shared" ref="IX56:IX61" si="835">((II56*IX$54)+(II56*IK$54)+(II56*IL$54))*IS56</f>
        <v>0</v>
      </c>
      <c r="IY56" s="63">
        <f t="shared" ref="IY56:IY61" si="836">((II56*IY$54)+(II56*IK$54)+(II56*IL$54))*IT56</f>
        <v>0</v>
      </c>
      <c r="IZ56" s="63">
        <f t="shared" ref="IZ56:IZ61" si="837">((II56*IZ$54)+(II56*IK$54)+(II56*IL$54))*IU56</f>
        <v>0</v>
      </c>
      <c r="JA56" s="61">
        <f>SUM(IV56:IZ56)</f>
        <v>0</v>
      </c>
      <c r="JB56" s="64">
        <v>0</v>
      </c>
      <c r="JC56" s="65">
        <f t="shared" ref="JC56:JC61" si="838">IF(IG56=1,($C$1*$W$6),0)</f>
        <v>0</v>
      </c>
      <c r="JD56" s="476">
        <f t="shared" ref="JD56:JD61" si="839">IP56+JA56+JB56+JC56</f>
        <v>3023.7777777777783</v>
      </c>
      <c r="JE56" s="49">
        <v>0</v>
      </c>
      <c r="JF56" s="59" t="s">
        <v>198</v>
      </c>
      <c r="JG56" s="28">
        <f t="shared" ref="JG56:JG61" si="840">JH56/$AY$4</f>
        <v>10</v>
      </c>
      <c r="JH56" s="60">
        <v>2200</v>
      </c>
      <c r="JI56" s="28">
        <f t="shared" ref="JI56:JI61" si="841">JH56*JI$54</f>
        <v>220</v>
      </c>
      <c r="JJ56" s="28">
        <f t="shared" ref="JJ56:JJ61" si="842">JH56*JJ$54</f>
        <v>176</v>
      </c>
      <c r="JK56" s="28">
        <f t="shared" ref="JK56:JK61" si="843">JH56/JK$54</f>
        <v>183.33333333333334</v>
      </c>
      <c r="JL56" s="63">
        <f t="shared" ref="JL56:JL61" si="844">JK56/JL$54</f>
        <v>61.111111111111114</v>
      </c>
      <c r="JM56" s="63">
        <f t="shared" ref="JM56:JM61" si="845">JH56/JM$54</f>
        <v>183.33333333333334</v>
      </c>
      <c r="JN56" s="61">
        <f t="shared" ref="JN56:JN61" si="846">SUM(JH56:JM56)</f>
        <v>3023.7777777777783</v>
      </c>
      <c r="JO56" s="62"/>
      <c r="JP56" s="62"/>
      <c r="JQ56" s="62"/>
      <c r="JR56" s="62"/>
      <c r="JS56" s="62"/>
      <c r="JT56" s="63">
        <f t="shared" ref="JT56:JT61" si="847">((JG56*JT$54)+(JG56*JI$54)+(JG56*JJ$54))*JO56</f>
        <v>0</v>
      </c>
      <c r="JU56" s="63">
        <f t="shared" ref="JU56:JU61" si="848">((JG56*JU$54)+(JG56*JI$54)+(JG56*JJ$54))*JP56</f>
        <v>0</v>
      </c>
      <c r="JV56" s="63">
        <f t="shared" ref="JV56:JV61" si="849">((JG56*JV$54)+(JG56*JI$54)+(JG56*JJ$54))*JQ56</f>
        <v>0</v>
      </c>
      <c r="JW56" s="63">
        <f t="shared" ref="JW56:JW61" si="850">((JG56*JW$54)+(JG56*JI$54)+(JG56*JJ$54))*JR56</f>
        <v>0</v>
      </c>
      <c r="JX56" s="63">
        <f t="shared" ref="JX56:JX61" si="851">((JG56*JX$54)+(JG56*JI$54)+(JG56*JJ$54))*JS56</f>
        <v>0</v>
      </c>
      <c r="JY56" s="61">
        <f>SUM(JT56:JX56)</f>
        <v>0</v>
      </c>
      <c r="JZ56" s="64">
        <v>0</v>
      </c>
      <c r="KA56" s="65">
        <f t="shared" ref="KA56:KA61" si="852">IF(JE56=1,($C$1*$W$6),0)</f>
        <v>0</v>
      </c>
      <c r="KB56" s="476">
        <f t="shared" ref="KB56:KB61" si="853">JN56+JY56+JZ56+KA56</f>
        <v>3023.7777777777783</v>
      </c>
      <c r="KC56" s="37"/>
      <c r="KD56" s="37"/>
      <c r="KE56" s="37"/>
      <c r="KF56" s="37"/>
      <c r="KG56" s="37"/>
      <c r="KH56" s="37"/>
      <c r="KI56" s="37"/>
      <c r="KJ56" s="37"/>
    </row>
    <row r="57" spans="1:296" x14ac:dyDescent="0.3">
      <c r="A57" s="49">
        <v>0</v>
      </c>
      <c r="B57" s="59"/>
      <c r="C57" s="28">
        <f t="shared" si="786"/>
        <v>0</v>
      </c>
      <c r="D57" s="28">
        <v>0</v>
      </c>
      <c r="E57" s="28">
        <f t="shared" ref="E57:E61" si="854">D57*E$54</f>
        <v>0</v>
      </c>
      <c r="F57" s="28">
        <f t="shared" ref="F57:F61" si="855">D57*F$54</f>
        <v>0</v>
      </c>
      <c r="G57" s="28">
        <f t="shared" ref="G57:G61" si="856">D57/G$54</f>
        <v>0</v>
      </c>
      <c r="H57" s="63">
        <f t="shared" ref="H57:H61" si="857">G57/H$54</f>
        <v>0</v>
      </c>
      <c r="I57" s="63">
        <f t="shared" ref="I57:I61" si="858">D57/I$54</f>
        <v>0</v>
      </c>
      <c r="J57" s="61">
        <f t="shared" si="787"/>
        <v>0</v>
      </c>
      <c r="K57" s="62"/>
      <c r="L57" s="62"/>
      <c r="M57" s="62"/>
      <c r="N57" s="62"/>
      <c r="O57" s="62"/>
      <c r="P57" s="63">
        <f t="shared" ref="P57:P61" si="859">((C57*P$54)+(C57*E$54)+(C57*F$54))*K57</f>
        <v>0</v>
      </c>
      <c r="Q57" s="63">
        <f t="shared" ref="Q57:Q61" si="860">((C57*Q$54)+(C57*E$54)+(C57*F$54))*L57</f>
        <v>0</v>
      </c>
      <c r="R57" s="63">
        <f t="shared" ref="R57:R61" si="861">((C57*R$54)+(C57*E$54)+(C57*F$54))*M57</f>
        <v>0</v>
      </c>
      <c r="S57" s="63">
        <f t="shared" ref="S57:S61" si="862">((C57*S$54)+(C57*E$54)+(C57*F$54))*N57</f>
        <v>0</v>
      </c>
      <c r="T57" s="63">
        <f t="shared" ref="T57:T61" si="863">((C57*T$54)+(C57*E$54)+(C57*F$54))*O57</f>
        <v>0</v>
      </c>
      <c r="U57" s="61">
        <f t="shared" ref="U57:U61" si="864">SUM(P57:T57)</f>
        <v>0</v>
      </c>
      <c r="V57" s="64">
        <v>0</v>
      </c>
      <c r="W57" s="65">
        <f t="shared" si="788"/>
        <v>0</v>
      </c>
      <c r="X57" s="212">
        <f t="shared" si="789"/>
        <v>0</v>
      </c>
      <c r="Y57" s="49">
        <v>0</v>
      </c>
      <c r="Z57" s="59"/>
      <c r="AA57" s="28">
        <f t="shared" si="790"/>
        <v>0</v>
      </c>
      <c r="AB57" s="28">
        <v>0</v>
      </c>
      <c r="AC57" s="28">
        <f t="shared" ref="AC57:AC61" si="865">AB57*AC$54</f>
        <v>0</v>
      </c>
      <c r="AD57" s="28">
        <f t="shared" ref="AD57:AD61" si="866">AB57*AD$54</f>
        <v>0</v>
      </c>
      <c r="AE57" s="28">
        <f t="shared" ref="AE57:AE61" si="867">AB57/AE$54</f>
        <v>0</v>
      </c>
      <c r="AF57" s="63">
        <f t="shared" ref="AF57:AF61" si="868">AE57/AF$54</f>
        <v>0</v>
      </c>
      <c r="AG57" s="63">
        <f t="shared" ref="AG57:AG61" si="869">AB57/AG$54</f>
        <v>0</v>
      </c>
      <c r="AH57" s="61">
        <f t="shared" si="791"/>
        <v>0</v>
      </c>
      <c r="AI57" s="62"/>
      <c r="AJ57" s="62"/>
      <c r="AK57" s="62"/>
      <c r="AL57" s="62"/>
      <c r="AM57" s="62"/>
      <c r="AN57" s="63">
        <f t="shared" ref="AN57:AN61" si="870">((AA57*AN$54)+(AA57*AC$54)+(AA57*AD$54))*AI57</f>
        <v>0</v>
      </c>
      <c r="AO57" s="63">
        <f t="shared" ref="AO57:AO61" si="871">((AA57*AO$54)+(AA57*AC$54)+(AA57*AD$54))*AJ57</f>
        <v>0</v>
      </c>
      <c r="AP57" s="63">
        <f t="shared" ref="AP57:AP61" si="872">((AA57*AP$54)+(AA57*AC$54)+(AA57*AD$54))*AK57</f>
        <v>0</v>
      </c>
      <c r="AQ57" s="63">
        <f t="shared" ref="AQ57:AQ61" si="873">((AA57*AQ$54)+(AA57*AC$54)+(AA57*AD$54))*AL57</f>
        <v>0</v>
      </c>
      <c r="AR57" s="63">
        <f t="shared" ref="AR57:AR61" si="874">((AA57*AR$54)+(AA57*AC$54)+(AA57*AD$54))*AM57</f>
        <v>0</v>
      </c>
      <c r="AS57" s="61">
        <f t="shared" ref="AS57:AS61" si="875">SUM(AN57:AR57)</f>
        <v>0</v>
      </c>
      <c r="AT57" s="64">
        <v>0</v>
      </c>
      <c r="AU57" s="65">
        <f t="shared" si="792"/>
        <v>0</v>
      </c>
      <c r="AV57" s="212">
        <f t="shared" si="793"/>
        <v>0</v>
      </c>
      <c r="AW57" s="49">
        <v>0</v>
      </c>
      <c r="AX57" s="59"/>
      <c r="AY57" s="28">
        <f t="shared" si="794"/>
        <v>0</v>
      </c>
      <c r="AZ57" s="28">
        <v>0</v>
      </c>
      <c r="BA57" s="28">
        <f t="shared" ref="BA57:BA61" si="876">AZ57*BA$54</f>
        <v>0</v>
      </c>
      <c r="BB57" s="28">
        <f t="shared" ref="BB57:BB61" si="877">AZ57*BB$54</f>
        <v>0</v>
      </c>
      <c r="BC57" s="28">
        <f t="shared" ref="BC57:BC61" si="878">AZ57/BC$54</f>
        <v>0</v>
      </c>
      <c r="BD57" s="63">
        <f t="shared" ref="BD57:BD61" si="879">BC57/BD$54</f>
        <v>0</v>
      </c>
      <c r="BE57" s="63">
        <f t="shared" ref="BE57:BE61" si="880">AZ57/BE$54</f>
        <v>0</v>
      </c>
      <c r="BF57" s="61">
        <f t="shared" si="795"/>
        <v>0</v>
      </c>
      <c r="BG57" s="62"/>
      <c r="BH57" s="62"/>
      <c r="BI57" s="62"/>
      <c r="BJ57" s="62"/>
      <c r="BK57" s="62"/>
      <c r="BL57" s="63">
        <f t="shared" ref="BL57:BL61" si="881">((AY57*BL$54)+(AY57*BA$54)+(AY57*BB$54))*BG57</f>
        <v>0</v>
      </c>
      <c r="BM57" s="63">
        <f t="shared" ref="BM57:BM61" si="882">((AY57*BM$54)+(AY57*BA$54)+(AY57*BB$54))*BH57</f>
        <v>0</v>
      </c>
      <c r="BN57" s="63">
        <f t="shared" ref="BN57:BN61" si="883">((AY57*BN$54)+(AY57*BA$54)+(AY57*BB$54))*BI57</f>
        <v>0</v>
      </c>
      <c r="BO57" s="63">
        <f t="shared" ref="BO57:BO61" si="884">((AY57*BO$54)+(AY57*BA$54)+(AY57*BB$54))*BJ57</f>
        <v>0</v>
      </c>
      <c r="BP57" s="63">
        <f t="shared" ref="BP57:BP61" si="885">((AY57*BP$54)+(AY57*BA$54)+(AY57*BB$54))*BK57</f>
        <v>0</v>
      </c>
      <c r="BQ57" s="61">
        <f t="shared" ref="BQ57:BQ61" si="886">SUM(BL57:BP57)</f>
        <v>0</v>
      </c>
      <c r="BR57" s="64">
        <v>0</v>
      </c>
      <c r="BS57" s="65">
        <f t="shared" si="796"/>
        <v>0</v>
      </c>
      <c r="BT57" s="212">
        <f t="shared" si="797"/>
        <v>0</v>
      </c>
      <c r="BU57" s="49">
        <v>0</v>
      </c>
      <c r="BV57" s="59"/>
      <c r="BW57" s="28">
        <f t="shared" si="798"/>
        <v>0</v>
      </c>
      <c r="BX57" s="28">
        <v>0</v>
      </c>
      <c r="BY57" s="28">
        <f t="shared" ref="BY57:BY61" si="887">BX57*BY$54</f>
        <v>0</v>
      </c>
      <c r="BZ57" s="28">
        <f t="shared" ref="BZ57:BZ61" si="888">BX57*BZ$54</f>
        <v>0</v>
      </c>
      <c r="CA57" s="28">
        <f t="shared" ref="CA57:CA61" si="889">BX57/CA$54</f>
        <v>0</v>
      </c>
      <c r="CB57" s="63">
        <f t="shared" ref="CB57:CB61" si="890">CA57/CB$54</f>
        <v>0</v>
      </c>
      <c r="CC57" s="63">
        <f t="shared" ref="CC57:CC61" si="891">BX57/CC$54</f>
        <v>0</v>
      </c>
      <c r="CD57" s="61">
        <f t="shared" si="799"/>
        <v>0</v>
      </c>
      <c r="CE57" s="62"/>
      <c r="CF57" s="62"/>
      <c r="CG57" s="62"/>
      <c r="CH57" s="62"/>
      <c r="CI57" s="62"/>
      <c r="CJ57" s="63">
        <f t="shared" ref="CJ57:CJ61" si="892">((BW57*CJ$54)+(BW57*BY$54)+(BW57*BZ$54))*CE57</f>
        <v>0</v>
      </c>
      <c r="CK57" s="63">
        <f t="shared" ref="CK57:CK61" si="893">((BW57*CK$54)+(BW57*BY$54)+(BW57*BZ$54))*CF57</f>
        <v>0</v>
      </c>
      <c r="CL57" s="63">
        <f t="shared" ref="CL57:CL61" si="894">((BW57*CL$54)+(BW57*BY$54)+(BW57*BZ$54))*CG57</f>
        <v>0</v>
      </c>
      <c r="CM57" s="63">
        <f t="shared" ref="CM57:CM61" si="895">((BW57*CM$54)+(BW57*BY$54)+(BW57*BZ$54))*CH57</f>
        <v>0</v>
      </c>
      <c r="CN57" s="63">
        <f t="shared" ref="CN57:CN61" si="896">((BW57*CN$54)+(BW57*BY$54)+(BW57*BZ$54))*CI57</f>
        <v>0</v>
      </c>
      <c r="CO57" s="61">
        <f t="shared" ref="CO57:CO61" si="897">SUM(CJ57:CN57)</f>
        <v>0</v>
      </c>
      <c r="CP57" s="64">
        <v>0</v>
      </c>
      <c r="CQ57" s="65">
        <f t="shared" si="800"/>
        <v>0</v>
      </c>
      <c r="CR57" s="212">
        <f t="shared" si="801"/>
        <v>0</v>
      </c>
      <c r="CS57" s="49">
        <v>0</v>
      </c>
      <c r="CT57" s="59"/>
      <c r="CU57" s="28">
        <f t="shared" si="802"/>
        <v>0</v>
      </c>
      <c r="CV57" s="28">
        <v>0</v>
      </c>
      <c r="CW57" s="28">
        <f t="shared" ref="CW57:CW61" si="898">CV57*CW$54</f>
        <v>0</v>
      </c>
      <c r="CX57" s="28">
        <f t="shared" ref="CX57:CX61" si="899">CV57*CX$54</f>
        <v>0</v>
      </c>
      <c r="CY57" s="28">
        <f t="shared" ref="CY57:CY61" si="900">CV57/CY$54</f>
        <v>0</v>
      </c>
      <c r="CZ57" s="63">
        <f t="shared" ref="CZ57:CZ61" si="901">CY57/CZ$54</f>
        <v>0</v>
      </c>
      <c r="DA57" s="63">
        <f t="shared" ref="DA57:DA61" si="902">CV57/DA$54</f>
        <v>0</v>
      </c>
      <c r="DB57" s="61">
        <f t="shared" si="803"/>
        <v>0</v>
      </c>
      <c r="DC57" s="62"/>
      <c r="DD57" s="62"/>
      <c r="DE57" s="62"/>
      <c r="DF57" s="62"/>
      <c r="DG57" s="62"/>
      <c r="DH57" s="63">
        <f t="shared" ref="DH57:DH61" si="903">((CU57*DH$54)+(CU57*CW$54)+(CU57*CX$54))*DC57</f>
        <v>0</v>
      </c>
      <c r="DI57" s="63">
        <f t="shared" ref="DI57:DI61" si="904">((CU57*DI$54)+(CU57*CW$54)+(CU57*CX$54))*DD57</f>
        <v>0</v>
      </c>
      <c r="DJ57" s="63">
        <f t="shared" ref="DJ57:DJ61" si="905">((CU57*DJ$54)+(CU57*CW$54)+(CU57*CX$54))*DE57</f>
        <v>0</v>
      </c>
      <c r="DK57" s="63">
        <f t="shared" ref="DK57:DK61" si="906">((CU57*DK$54)+(CU57*CW$54)+(CU57*CX$54))*DF57</f>
        <v>0</v>
      </c>
      <c r="DL57" s="63">
        <f t="shared" ref="DL57:DL61" si="907">((CU57*DL$54)+(CU57*CW$54)+(CU57*CX$54))*DG57</f>
        <v>0</v>
      </c>
      <c r="DM57" s="61">
        <f t="shared" ref="DM57:DM61" si="908">SUM(DH57:DL57)</f>
        <v>0</v>
      </c>
      <c r="DN57" s="64">
        <v>0</v>
      </c>
      <c r="DO57" s="65">
        <f t="shared" si="804"/>
        <v>0</v>
      </c>
      <c r="DP57" s="212">
        <f t="shared" si="805"/>
        <v>0</v>
      </c>
      <c r="DQ57" s="49">
        <v>0</v>
      </c>
      <c r="DR57" s="59"/>
      <c r="DS57" s="28">
        <f t="shared" si="806"/>
        <v>0</v>
      </c>
      <c r="DT57" s="28">
        <v>0</v>
      </c>
      <c r="DU57" s="28">
        <f t="shared" ref="DU57:DU61" si="909">DT57*DU$54</f>
        <v>0</v>
      </c>
      <c r="DV57" s="28">
        <f t="shared" ref="DV57:DV61" si="910">DT57*DV$54</f>
        <v>0</v>
      </c>
      <c r="DW57" s="28">
        <f t="shared" ref="DW57:DW61" si="911">DT57/DW$54</f>
        <v>0</v>
      </c>
      <c r="DX57" s="63">
        <f t="shared" ref="DX57:DX61" si="912">DW57/DX$54</f>
        <v>0</v>
      </c>
      <c r="DY57" s="63">
        <f t="shared" ref="DY57:DY61" si="913">DT57/DY$54</f>
        <v>0</v>
      </c>
      <c r="DZ57" s="61">
        <f t="shared" si="807"/>
        <v>0</v>
      </c>
      <c r="EA57" s="62"/>
      <c r="EB57" s="62"/>
      <c r="EC57" s="62"/>
      <c r="ED57" s="62"/>
      <c r="EE57" s="62"/>
      <c r="EF57" s="63">
        <f t="shared" ref="EF57:EF61" si="914">((DS57*EF$54)+(DS57*DU$54)+(DS57*DV$54))*EA57</f>
        <v>0</v>
      </c>
      <c r="EG57" s="63">
        <f t="shared" ref="EG57:EG61" si="915">((DS57*EG$54)+(DS57*DU$54)+(DS57*DV$54))*EB57</f>
        <v>0</v>
      </c>
      <c r="EH57" s="63">
        <f t="shared" ref="EH57:EH61" si="916">((DS57*EH$54)+(DS57*DU$54)+(DS57*DV$54))*EC57</f>
        <v>0</v>
      </c>
      <c r="EI57" s="63">
        <f t="shared" ref="EI57:EI61" si="917">((DS57*EI$54)+(DS57*DU$54)+(DS57*DV$54))*ED57</f>
        <v>0</v>
      </c>
      <c r="EJ57" s="63">
        <f t="shared" ref="EJ57:EJ61" si="918">((DS57*EJ$54)+(DS57*DU$54)+(DS57*DV$54))*EE57</f>
        <v>0</v>
      </c>
      <c r="EK57" s="61">
        <f t="shared" ref="EK57:EK61" si="919">SUM(EF57:EJ57)</f>
        <v>0</v>
      </c>
      <c r="EL57" s="64">
        <v>0</v>
      </c>
      <c r="EM57" s="65">
        <f t="shared" si="808"/>
        <v>0</v>
      </c>
      <c r="EN57" s="212">
        <f t="shared" si="809"/>
        <v>0</v>
      </c>
      <c r="EO57" s="49">
        <v>0</v>
      </c>
      <c r="EP57" s="59"/>
      <c r="EQ57" s="28">
        <f t="shared" si="810"/>
        <v>0</v>
      </c>
      <c r="ER57" s="28">
        <v>0</v>
      </c>
      <c r="ES57" s="28">
        <f t="shared" ref="ES57:ES61" si="920">ER57*ES$54</f>
        <v>0</v>
      </c>
      <c r="ET57" s="28">
        <f t="shared" ref="ET57:ET61" si="921">ER57*ET$54</f>
        <v>0</v>
      </c>
      <c r="EU57" s="28">
        <f t="shared" ref="EU57:EU61" si="922">ER57/EU$54</f>
        <v>0</v>
      </c>
      <c r="EV57" s="63">
        <f t="shared" ref="EV57:EV61" si="923">EU57/EV$54</f>
        <v>0</v>
      </c>
      <c r="EW57" s="63">
        <f t="shared" ref="EW57:EW61" si="924">ER57/EW$54</f>
        <v>0</v>
      </c>
      <c r="EX57" s="61">
        <f t="shared" si="811"/>
        <v>0</v>
      </c>
      <c r="EY57" s="62"/>
      <c r="EZ57" s="62"/>
      <c r="FA57" s="62"/>
      <c r="FB57" s="62"/>
      <c r="FC57" s="62"/>
      <c r="FD57" s="63">
        <f t="shared" ref="FD57:FD61" si="925">((EQ57*FD$54)+(EQ57*ES$54)+(EQ57*ET$54))*EY57</f>
        <v>0</v>
      </c>
      <c r="FE57" s="63">
        <f t="shared" ref="FE57:FE61" si="926">((EQ57*FE$54)+(EQ57*ES$54)+(EQ57*ET$54))*EZ57</f>
        <v>0</v>
      </c>
      <c r="FF57" s="63">
        <f t="shared" ref="FF57:FF61" si="927">((EQ57*FF$54)+(EQ57*ES$54)+(EQ57*ET$54))*FA57</f>
        <v>0</v>
      </c>
      <c r="FG57" s="63">
        <f t="shared" ref="FG57:FG61" si="928">((EQ57*FG$54)+(EQ57*ES$54)+(EQ57*ET$54))*FB57</f>
        <v>0</v>
      </c>
      <c r="FH57" s="63">
        <f t="shared" ref="FH57:FH61" si="929">((EQ57*FH$54)+(EQ57*ES$54)+(EQ57*ET$54))*FC57</f>
        <v>0</v>
      </c>
      <c r="FI57" s="61">
        <f t="shared" ref="FI57:FI61" si="930">SUM(FD57:FH57)</f>
        <v>0</v>
      </c>
      <c r="FJ57" s="64">
        <v>0</v>
      </c>
      <c r="FK57" s="65">
        <f t="shared" si="812"/>
        <v>0</v>
      </c>
      <c r="FL57" s="212">
        <f t="shared" si="813"/>
        <v>0</v>
      </c>
      <c r="FM57" s="49">
        <v>0</v>
      </c>
      <c r="FN57" s="59"/>
      <c r="FO57" s="28">
        <f t="shared" si="814"/>
        <v>0</v>
      </c>
      <c r="FP57" s="28">
        <v>0</v>
      </c>
      <c r="FQ57" s="28">
        <f t="shared" ref="FQ57:FQ61" si="931">FP57*FQ$54</f>
        <v>0</v>
      </c>
      <c r="FR57" s="28">
        <f t="shared" ref="FR57:FR61" si="932">FP57*FR$54</f>
        <v>0</v>
      </c>
      <c r="FS57" s="28">
        <f t="shared" ref="FS57:FS61" si="933">FP57/FS$54</f>
        <v>0</v>
      </c>
      <c r="FT57" s="63">
        <f t="shared" ref="FT57:FT61" si="934">FS57/FT$54</f>
        <v>0</v>
      </c>
      <c r="FU57" s="63">
        <f t="shared" ref="FU57:FU61" si="935">FP57/FU$54</f>
        <v>0</v>
      </c>
      <c r="FV57" s="61">
        <f t="shared" si="815"/>
        <v>0</v>
      </c>
      <c r="FW57" s="62"/>
      <c r="FX57" s="62"/>
      <c r="FY57" s="62"/>
      <c r="FZ57" s="62"/>
      <c r="GA57" s="62"/>
      <c r="GB57" s="63">
        <f t="shared" ref="GB57:GB61" si="936">((FO57*GB$54)+(FO57*FQ$54)+(FO57*FR$54))*FW57</f>
        <v>0</v>
      </c>
      <c r="GC57" s="63">
        <f t="shared" ref="GC57:GC61" si="937">((FO57*GC$54)+(FO57*FQ$54)+(FO57*FR$54))*FX57</f>
        <v>0</v>
      </c>
      <c r="GD57" s="63">
        <f t="shared" ref="GD57:GD61" si="938">((FO57*GD$54)+(FO57*FQ$54)+(FO57*FR$54))*FY57</f>
        <v>0</v>
      </c>
      <c r="GE57" s="63">
        <f t="shared" ref="GE57:GE61" si="939">((FO57*GE$54)+(FO57*FQ$54)+(FO57*FR$54))*FZ57</f>
        <v>0</v>
      </c>
      <c r="GF57" s="63">
        <f t="shared" ref="GF57:GF61" si="940">((FO57*GF$54)+(FO57*FQ$54)+(FO57*FR$54))*GA57</f>
        <v>0</v>
      </c>
      <c r="GG57" s="61">
        <f t="shared" ref="GG57:GG61" si="941">SUM(GB57:GF57)</f>
        <v>0</v>
      </c>
      <c r="GH57" s="64">
        <v>0</v>
      </c>
      <c r="GI57" s="65">
        <f t="shared" si="816"/>
        <v>0</v>
      </c>
      <c r="GJ57" s="212">
        <f t="shared" si="817"/>
        <v>0</v>
      </c>
      <c r="GK57" s="49">
        <v>0</v>
      </c>
      <c r="GL57" s="59"/>
      <c r="GM57" s="28">
        <f t="shared" si="818"/>
        <v>0</v>
      </c>
      <c r="GN57" s="28">
        <v>0</v>
      </c>
      <c r="GO57" s="28">
        <f t="shared" ref="GO57:GO61" si="942">GN57*GO$54</f>
        <v>0</v>
      </c>
      <c r="GP57" s="28">
        <f t="shared" ref="GP57:GP61" si="943">GN57*GP$54</f>
        <v>0</v>
      </c>
      <c r="GQ57" s="28">
        <f t="shared" ref="GQ57:GQ61" si="944">GN57/GQ$54</f>
        <v>0</v>
      </c>
      <c r="GR57" s="63">
        <f t="shared" ref="GR57:GR61" si="945">GQ57/GR$54</f>
        <v>0</v>
      </c>
      <c r="GS57" s="63">
        <f t="shared" ref="GS57:GS61" si="946">GN57/GS$54</f>
        <v>0</v>
      </c>
      <c r="GT57" s="61">
        <f t="shared" si="819"/>
        <v>0</v>
      </c>
      <c r="GU57" s="62"/>
      <c r="GV57" s="62"/>
      <c r="GW57" s="62"/>
      <c r="GX57" s="62"/>
      <c r="GY57" s="62"/>
      <c r="GZ57" s="63">
        <f t="shared" ref="GZ57:GZ61" si="947">((GM57*GZ$54)+(GM57*GO$54)+(GM57*GP$54))*GU57</f>
        <v>0</v>
      </c>
      <c r="HA57" s="63">
        <f t="shared" ref="HA57:HA61" si="948">((GM57*HA$54)+(GM57*GO$54)+(GM57*GP$54))*GV57</f>
        <v>0</v>
      </c>
      <c r="HB57" s="63">
        <f t="shared" ref="HB57:HB61" si="949">((GM57*HB$54)+(GM57*GO$54)+(GM57*GP$54))*GW57</f>
        <v>0</v>
      </c>
      <c r="HC57" s="63">
        <f t="shared" ref="HC57:HC61" si="950">((GM57*HC$54)+(GM57*GO$54)+(GM57*GP$54))*GX57</f>
        <v>0</v>
      </c>
      <c r="HD57" s="63">
        <f t="shared" ref="HD57:HD61" si="951">((GM57*HD$54)+(GM57*GO$54)+(GM57*GP$54))*GY57</f>
        <v>0</v>
      </c>
      <c r="HE57" s="61">
        <f t="shared" ref="HE57:HE61" si="952">SUM(GZ57:HD57)</f>
        <v>0</v>
      </c>
      <c r="HF57" s="64">
        <v>0</v>
      </c>
      <c r="HG57" s="65">
        <f t="shared" si="820"/>
        <v>0</v>
      </c>
      <c r="HH57" s="212">
        <f t="shared" si="821"/>
        <v>0</v>
      </c>
      <c r="HI57" s="49">
        <v>0</v>
      </c>
      <c r="HJ57" s="59"/>
      <c r="HK57" s="28">
        <f t="shared" si="822"/>
        <v>0</v>
      </c>
      <c r="HL57" s="28">
        <v>0</v>
      </c>
      <c r="HM57" s="28">
        <f t="shared" ref="HM57:HM61" si="953">HL57*HM$54</f>
        <v>0</v>
      </c>
      <c r="HN57" s="28">
        <f t="shared" ref="HN57:HN61" si="954">HL57*HN$54</f>
        <v>0</v>
      </c>
      <c r="HO57" s="28">
        <f t="shared" ref="HO57:HO61" si="955">HL57/HO$54</f>
        <v>0</v>
      </c>
      <c r="HP57" s="63">
        <f t="shared" ref="HP57:HP61" si="956">HO57/HP$54</f>
        <v>0</v>
      </c>
      <c r="HQ57" s="63">
        <f t="shared" ref="HQ57:HQ61" si="957">HL57/HQ$54</f>
        <v>0</v>
      </c>
      <c r="HR57" s="61">
        <f t="shared" si="823"/>
        <v>0</v>
      </c>
      <c r="HS57" s="62"/>
      <c r="HT57" s="62"/>
      <c r="HU57" s="62"/>
      <c r="HV57" s="62"/>
      <c r="HW57" s="62"/>
      <c r="HX57" s="63">
        <f t="shared" ref="HX57:HX61" si="958">((HK57*HX$54)+(HK57*HM$54)+(HK57*HN$54))*HS57</f>
        <v>0</v>
      </c>
      <c r="HY57" s="63">
        <f t="shared" ref="HY57:HY61" si="959">((HK57*HY$54)+(HK57*HM$54)+(HK57*HN$54))*HT57</f>
        <v>0</v>
      </c>
      <c r="HZ57" s="63">
        <f t="shared" ref="HZ57:HZ61" si="960">((HK57*HZ$54)+(HK57*HM$54)+(HK57*HN$54))*HU57</f>
        <v>0</v>
      </c>
      <c r="IA57" s="63">
        <f t="shared" ref="IA57:IA61" si="961">((HK57*IA$54)+(HK57*HM$54)+(HK57*HN$54))*HV57</f>
        <v>0</v>
      </c>
      <c r="IB57" s="63">
        <f t="shared" ref="IB57:IB61" si="962">((HK57*IB$54)+(HK57*HM$54)+(HK57*HN$54))*HW57</f>
        <v>0</v>
      </c>
      <c r="IC57" s="61">
        <f t="shared" ref="IC57:IC61" si="963">SUM(HX57:IB57)</f>
        <v>0</v>
      </c>
      <c r="ID57" s="64">
        <v>0</v>
      </c>
      <c r="IE57" s="65">
        <f t="shared" si="824"/>
        <v>0</v>
      </c>
      <c r="IF57" s="212">
        <f t="shared" si="825"/>
        <v>0</v>
      </c>
      <c r="IG57" s="49">
        <v>0</v>
      </c>
      <c r="IH57" s="59"/>
      <c r="II57" s="28">
        <f t="shared" si="826"/>
        <v>0</v>
      </c>
      <c r="IJ57" s="28">
        <v>0</v>
      </c>
      <c r="IK57" s="28">
        <f t="shared" si="827"/>
        <v>0</v>
      </c>
      <c r="IL57" s="28">
        <f t="shared" si="828"/>
        <v>0</v>
      </c>
      <c r="IM57" s="28">
        <f t="shared" si="829"/>
        <v>0</v>
      </c>
      <c r="IN57" s="63">
        <f t="shared" si="830"/>
        <v>0</v>
      </c>
      <c r="IO57" s="63">
        <f t="shared" si="831"/>
        <v>0</v>
      </c>
      <c r="IP57" s="61">
        <f t="shared" si="832"/>
        <v>0</v>
      </c>
      <c r="IQ57" s="62"/>
      <c r="IR57" s="62"/>
      <c r="IS57" s="62"/>
      <c r="IT57" s="62"/>
      <c r="IU57" s="62"/>
      <c r="IV57" s="63">
        <f t="shared" si="833"/>
        <v>0</v>
      </c>
      <c r="IW57" s="63">
        <f t="shared" si="834"/>
        <v>0</v>
      </c>
      <c r="IX57" s="63">
        <f t="shared" si="835"/>
        <v>0</v>
      </c>
      <c r="IY57" s="63">
        <f t="shared" si="836"/>
        <v>0</v>
      </c>
      <c r="IZ57" s="63">
        <f t="shared" si="837"/>
        <v>0</v>
      </c>
      <c r="JA57" s="61">
        <f t="shared" ref="JA57:JA61" si="964">SUM(IV57:IZ57)</f>
        <v>0</v>
      </c>
      <c r="JB57" s="64">
        <v>0</v>
      </c>
      <c r="JC57" s="65">
        <f t="shared" si="838"/>
        <v>0</v>
      </c>
      <c r="JD57" s="476">
        <f t="shared" si="839"/>
        <v>0</v>
      </c>
      <c r="JE57" s="49">
        <v>0</v>
      </c>
      <c r="JF57" s="59"/>
      <c r="JG57" s="28">
        <f t="shared" si="840"/>
        <v>0</v>
      </c>
      <c r="JH57" s="28">
        <v>0</v>
      </c>
      <c r="JI57" s="28">
        <f t="shared" si="841"/>
        <v>0</v>
      </c>
      <c r="JJ57" s="28">
        <f t="shared" si="842"/>
        <v>0</v>
      </c>
      <c r="JK57" s="28">
        <f t="shared" si="843"/>
        <v>0</v>
      </c>
      <c r="JL57" s="63">
        <f t="shared" si="844"/>
        <v>0</v>
      </c>
      <c r="JM57" s="63">
        <f t="shared" si="845"/>
        <v>0</v>
      </c>
      <c r="JN57" s="61">
        <f t="shared" si="846"/>
        <v>0</v>
      </c>
      <c r="JO57" s="62"/>
      <c r="JP57" s="62"/>
      <c r="JQ57" s="62"/>
      <c r="JR57" s="62"/>
      <c r="JS57" s="62"/>
      <c r="JT57" s="63">
        <f t="shared" si="847"/>
        <v>0</v>
      </c>
      <c r="JU57" s="63">
        <f t="shared" si="848"/>
        <v>0</v>
      </c>
      <c r="JV57" s="63">
        <f t="shared" si="849"/>
        <v>0</v>
      </c>
      <c r="JW57" s="63">
        <f t="shared" si="850"/>
        <v>0</v>
      </c>
      <c r="JX57" s="63">
        <f t="shared" si="851"/>
        <v>0</v>
      </c>
      <c r="JY57" s="61">
        <f t="shared" ref="JY57:JY61" si="965">SUM(JT57:JX57)</f>
        <v>0</v>
      </c>
      <c r="JZ57" s="64">
        <v>0</v>
      </c>
      <c r="KA57" s="65">
        <f t="shared" si="852"/>
        <v>0</v>
      </c>
      <c r="KB57" s="476">
        <f t="shared" si="853"/>
        <v>0</v>
      </c>
      <c r="KC57" s="37"/>
      <c r="KD57" s="37"/>
      <c r="KE57" s="37"/>
      <c r="KF57" s="37"/>
      <c r="KG57" s="37"/>
      <c r="KH57" s="37"/>
      <c r="KI57" s="37"/>
      <c r="KJ57" s="37"/>
    </row>
    <row r="58" spans="1:296" x14ac:dyDescent="0.3">
      <c r="A58" s="49">
        <v>0</v>
      </c>
      <c r="B58" s="59"/>
      <c r="C58" s="28">
        <f t="shared" si="786"/>
        <v>0</v>
      </c>
      <c r="D58" s="28">
        <v>0</v>
      </c>
      <c r="E58" s="28">
        <f t="shared" si="854"/>
        <v>0</v>
      </c>
      <c r="F58" s="28">
        <f t="shared" si="855"/>
        <v>0</v>
      </c>
      <c r="G58" s="28">
        <f t="shared" si="856"/>
        <v>0</v>
      </c>
      <c r="H58" s="63">
        <f t="shared" si="857"/>
        <v>0</v>
      </c>
      <c r="I58" s="63">
        <f t="shared" si="858"/>
        <v>0</v>
      </c>
      <c r="J58" s="61">
        <f t="shared" si="787"/>
        <v>0</v>
      </c>
      <c r="K58" s="62"/>
      <c r="L58" s="62"/>
      <c r="M58" s="62"/>
      <c r="N58" s="62"/>
      <c r="O58" s="62"/>
      <c r="P58" s="63">
        <f t="shared" si="859"/>
        <v>0</v>
      </c>
      <c r="Q58" s="63">
        <f t="shared" si="860"/>
        <v>0</v>
      </c>
      <c r="R58" s="63">
        <f t="shared" si="861"/>
        <v>0</v>
      </c>
      <c r="S58" s="63">
        <f t="shared" si="862"/>
        <v>0</v>
      </c>
      <c r="T58" s="63">
        <f t="shared" si="863"/>
        <v>0</v>
      </c>
      <c r="U58" s="61">
        <f t="shared" si="864"/>
        <v>0</v>
      </c>
      <c r="V58" s="64">
        <v>0</v>
      </c>
      <c r="W58" s="65">
        <f t="shared" si="788"/>
        <v>0</v>
      </c>
      <c r="X58" s="212">
        <f t="shared" si="789"/>
        <v>0</v>
      </c>
      <c r="Y58" s="49">
        <v>0</v>
      </c>
      <c r="Z58" s="59"/>
      <c r="AA58" s="28">
        <f t="shared" si="790"/>
        <v>0</v>
      </c>
      <c r="AB58" s="28">
        <v>0</v>
      </c>
      <c r="AC58" s="28">
        <f t="shared" si="865"/>
        <v>0</v>
      </c>
      <c r="AD58" s="28">
        <f t="shared" si="866"/>
        <v>0</v>
      </c>
      <c r="AE58" s="28">
        <f t="shared" si="867"/>
        <v>0</v>
      </c>
      <c r="AF58" s="63">
        <f t="shared" si="868"/>
        <v>0</v>
      </c>
      <c r="AG58" s="63">
        <f t="shared" si="869"/>
        <v>0</v>
      </c>
      <c r="AH58" s="61">
        <f t="shared" si="791"/>
        <v>0</v>
      </c>
      <c r="AI58" s="62"/>
      <c r="AJ58" s="62"/>
      <c r="AK58" s="62"/>
      <c r="AL58" s="62"/>
      <c r="AM58" s="62"/>
      <c r="AN58" s="63">
        <f t="shared" si="870"/>
        <v>0</v>
      </c>
      <c r="AO58" s="63">
        <f t="shared" si="871"/>
        <v>0</v>
      </c>
      <c r="AP58" s="63">
        <f t="shared" si="872"/>
        <v>0</v>
      </c>
      <c r="AQ58" s="63">
        <f t="shared" si="873"/>
        <v>0</v>
      </c>
      <c r="AR58" s="63">
        <f t="shared" si="874"/>
        <v>0</v>
      </c>
      <c r="AS58" s="61">
        <f t="shared" si="875"/>
        <v>0</v>
      </c>
      <c r="AT58" s="64">
        <v>0</v>
      </c>
      <c r="AU58" s="65">
        <f t="shared" si="792"/>
        <v>0</v>
      </c>
      <c r="AV58" s="212">
        <f t="shared" si="793"/>
        <v>0</v>
      </c>
      <c r="AW58" s="49">
        <v>0</v>
      </c>
      <c r="AX58" s="59"/>
      <c r="AY58" s="28">
        <f t="shared" si="794"/>
        <v>0</v>
      </c>
      <c r="AZ58" s="28">
        <v>0</v>
      </c>
      <c r="BA58" s="28">
        <f t="shared" si="876"/>
        <v>0</v>
      </c>
      <c r="BB58" s="28">
        <f t="shared" si="877"/>
        <v>0</v>
      </c>
      <c r="BC58" s="28">
        <f t="shared" si="878"/>
        <v>0</v>
      </c>
      <c r="BD58" s="63">
        <f t="shared" si="879"/>
        <v>0</v>
      </c>
      <c r="BE58" s="63">
        <f t="shared" si="880"/>
        <v>0</v>
      </c>
      <c r="BF58" s="61">
        <f t="shared" si="795"/>
        <v>0</v>
      </c>
      <c r="BG58" s="62"/>
      <c r="BH58" s="62"/>
      <c r="BI58" s="62"/>
      <c r="BJ58" s="62"/>
      <c r="BK58" s="62"/>
      <c r="BL58" s="63">
        <f t="shared" si="881"/>
        <v>0</v>
      </c>
      <c r="BM58" s="63">
        <f t="shared" si="882"/>
        <v>0</v>
      </c>
      <c r="BN58" s="63">
        <f t="shared" si="883"/>
        <v>0</v>
      </c>
      <c r="BO58" s="63">
        <f t="shared" si="884"/>
        <v>0</v>
      </c>
      <c r="BP58" s="63">
        <f t="shared" si="885"/>
        <v>0</v>
      </c>
      <c r="BQ58" s="61">
        <f t="shared" si="886"/>
        <v>0</v>
      </c>
      <c r="BR58" s="64">
        <v>0</v>
      </c>
      <c r="BS58" s="65">
        <f t="shared" si="796"/>
        <v>0</v>
      </c>
      <c r="BT58" s="212">
        <f t="shared" si="797"/>
        <v>0</v>
      </c>
      <c r="BU58" s="49">
        <v>0</v>
      </c>
      <c r="BV58" s="59"/>
      <c r="BW58" s="28">
        <f t="shared" si="798"/>
        <v>0</v>
      </c>
      <c r="BX58" s="28">
        <v>0</v>
      </c>
      <c r="BY58" s="28">
        <f t="shared" si="887"/>
        <v>0</v>
      </c>
      <c r="BZ58" s="28">
        <f t="shared" si="888"/>
        <v>0</v>
      </c>
      <c r="CA58" s="28">
        <f t="shared" si="889"/>
        <v>0</v>
      </c>
      <c r="CB58" s="63">
        <f t="shared" si="890"/>
        <v>0</v>
      </c>
      <c r="CC58" s="63">
        <f t="shared" si="891"/>
        <v>0</v>
      </c>
      <c r="CD58" s="61">
        <f t="shared" si="799"/>
        <v>0</v>
      </c>
      <c r="CE58" s="62"/>
      <c r="CF58" s="62"/>
      <c r="CG58" s="62"/>
      <c r="CH58" s="62"/>
      <c r="CI58" s="62"/>
      <c r="CJ58" s="63">
        <f t="shared" si="892"/>
        <v>0</v>
      </c>
      <c r="CK58" s="63">
        <f t="shared" si="893"/>
        <v>0</v>
      </c>
      <c r="CL58" s="63">
        <f t="shared" si="894"/>
        <v>0</v>
      </c>
      <c r="CM58" s="63">
        <f t="shared" si="895"/>
        <v>0</v>
      </c>
      <c r="CN58" s="63">
        <f t="shared" si="896"/>
        <v>0</v>
      </c>
      <c r="CO58" s="61">
        <f t="shared" si="897"/>
        <v>0</v>
      </c>
      <c r="CP58" s="64">
        <v>0</v>
      </c>
      <c r="CQ58" s="65">
        <f t="shared" si="800"/>
        <v>0</v>
      </c>
      <c r="CR58" s="212">
        <f t="shared" si="801"/>
        <v>0</v>
      </c>
      <c r="CS58" s="49">
        <v>0</v>
      </c>
      <c r="CT58" s="59"/>
      <c r="CU58" s="28">
        <f t="shared" si="802"/>
        <v>0</v>
      </c>
      <c r="CV58" s="28">
        <v>0</v>
      </c>
      <c r="CW58" s="28">
        <f t="shared" si="898"/>
        <v>0</v>
      </c>
      <c r="CX58" s="28">
        <f t="shared" si="899"/>
        <v>0</v>
      </c>
      <c r="CY58" s="28">
        <f t="shared" si="900"/>
        <v>0</v>
      </c>
      <c r="CZ58" s="63">
        <f t="shared" si="901"/>
        <v>0</v>
      </c>
      <c r="DA58" s="63">
        <f t="shared" si="902"/>
        <v>0</v>
      </c>
      <c r="DB58" s="61">
        <f t="shared" si="803"/>
        <v>0</v>
      </c>
      <c r="DC58" s="62"/>
      <c r="DD58" s="62"/>
      <c r="DE58" s="62"/>
      <c r="DF58" s="62"/>
      <c r="DG58" s="62"/>
      <c r="DH58" s="63">
        <f t="shared" si="903"/>
        <v>0</v>
      </c>
      <c r="DI58" s="63">
        <f t="shared" si="904"/>
        <v>0</v>
      </c>
      <c r="DJ58" s="63">
        <f t="shared" si="905"/>
        <v>0</v>
      </c>
      <c r="DK58" s="63">
        <f t="shared" si="906"/>
        <v>0</v>
      </c>
      <c r="DL58" s="63">
        <f t="shared" si="907"/>
        <v>0</v>
      </c>
      <c r="DM58" s="61">
        <f t="shared" si="908"/>
        <v>0</v>
      </c>
      <c r="DN58" s="64">
        <v>0</v>
      </c>
      <c r="DO58" s="65">
        <f t="shared" si="804"/>
        <v>0</v>
      </c>
      <c r="DP58" s="212">
        <f t="shared" si="805"/>
        <v>0</v>
      </c>
      <c r="DQ58" s="49">
        <v>0</v>
      </c>
      <c r="DR58" s="59"/>
      <c r="DS58" s="28">
        <f t="shared" si="806"/>
        <v>0</v>
      </c>
      <c r="DT58" s="28">
        <v>0</v>
      </c>
      <c r="DU58" s="28">
        <f t="shared" si="909"/>
        <v>0</v>
      </c>
      <c r="DV58" s="28">
        <f t="shared" si="910"/>
        <v>0</v>
      </c>
      <c r="DW58" s="28">
        <f t="shared" si="911"/>
        <v>0</v>
      </c>
      <c r="DX58" s="63">
        <f t="shared" si="912"/>
        <v>0</v>
      </c>
      <c r="DY58" s="63">
        <f t="shared" si="913"/>
        <v>0</v>
      </c>
      <c r="DZ58" s="61">
        <f t="shared" si="807"/>
        <v>0</v>
      </c>
      <c r="EA58" s="62"/>
      <c r="EB58" s="62"/>
      <c r="EC58" s="62"/>
      <c r="ED58" s="62"/>
      <c r="EE58" s="62"/>
      <c r="EF58" s="63">
        <f t="shared" si="914"/>
        <v>0</v>
      </c>
      <c r="EG58" s="63">
        <f t="shared" si="915"/>
        <v>0</v>
      </c>
      <c r="EH58" s="63">
        <f t="shared" si="916"/>
        <v>0</v>
      </c>
      <c r="EI58" s="63">
        <f t="shared" si="917"/>
        <v>0</v>
      </c>
      <c r="EJ58" s="63">
        <f t="shared" si="918"/>
        <v>0</v>
      </c>
      <c r="EK58" s="61">
        <f t="shared" si="919"/>
        <v>0</v>
      </c>
      <c r="EL58" s="64">
        <v>0</v>
      </c>
      <c r="EM58" s="65">
        <f t="shared" si="808"/>
        <v>0</v>
      </c>
      <c r="EN58" s="212">
        <f t="shared" si="809"/>
        <v>0</v>
      </c>
      <c r="EO58" s="49">
        <v>0</v>
      </c>
      <c r="EP58" s="59"/>
      <c r="EQ58" s="28">
        <f t="shared" si="810"/>
        <v>0</v>
      </c>
      <c r="ER58" s="28">
        <v>0</v>
      </c>
      <c r="ES58" s="28">
        <f t="shared" si="920"/>
        <v>0</v>
      </c>
      <c r="ET58" s="28">
        <f t="shared" si="921"/>
        <v>0</v>
      </c>
      <c r="EU58" s="28">
        <f t="shared" si="922"/>
        <v>0</v>
      </c>
      <c r="EV58" s="63">
        <f t="shared" si="923"/>
        <v>0</v>
      </c>
      <c r="EW58" s="63">
        <f t="shared" si="924"/>
        <v>0</v>
      </c>
      <c r="EX58" s="61">
        <f t="shared" si="811"/>
        <v>0</v>
      </c>
      <c r="EY58" s="62"/>
      <c r="EZ58" s="62"/>
      <c r="FA58" s="62"/>
      <c r="FB58" s="62"/>
      <c r="FC58" s="62"/>
      <c r="FD58" s="63">
        <f t="shared" si="925"/>
        <v>0</v>
      </c>
      <c r="FE58" s="63">
        <f t="shared" si="926"/>
        <v>0</v>
      </c>
      <c r="FF58" s="63">
        <f t="shared" si="927"/>
        <v>0</v>
      </c>
      <c r="FG58" s="63">
        <f t="shared" si="928"/>
        <v>0</v>
      </c>
      <c r="FH58" s="63">
        <f t="shared" si="929"/>
        <v>0</v>
      </c>
      <c r="FI58" s="61">
        <f t="shared" si="930"/>
        <v>0</v>
      </c>
      <c r="FJ58" s="64">
        <v>0</v>
      </c>
      <c r="FK58" s="65">
        <f t="shared" si="812"/>
        <v>0</v>
      </c>
      <c r="FL58" s="212">
        <f t="shared" si="813"/>
        <v>0</v>
      </c>
      <c r="FM58" s="49">
        <v>0</v>
      </c>
      <c r="FN58" s="59"/>
      <c r="FO58" s="28">
        <f t="shared" si="814"/>
        <v>0</v>
      </c>
      <c r="FP58" s="28">
        <v>0</v>
      </c>
      <c r="FQ58" s="28">
        <f t="shared" si="931"/>
        <v>0</v>
      </c>
      <c r="FR58" s="28">
        <f t="shared" si="932"/>
        <v>0</v>
      </c>
      <c r="FS58" s="28">
        <f t="shared" si="933"/>
        <v>0</v>
      </c>
      <c r="FT58" s="63">
        <f t="shared" si="934"/>
        <v>0</v>
      </c>
      <c r="FU58" s="63">
        <f t="shared" si="935"/>
        <v>0</v>
      </c>
      <c r="FV58" s="61">
        <f t="shared" si="815"/>
        <v>0</v>
      </c>
      <c r="FW58" s="62"/>
      <c r="FX58" s="62"/>
      <c r="FY58" s="62"/>
      <c r="FZ58" s="62"/>
      <c r="GA58" s="62"/>
      <c r="GB58" s="63">
        <f t="shared" si="936"/>
        <v>0</v>
      </c>
      <c r="GC58" s="63">
        <f t="shared" si="937"/>
        <v>0</v>
      </c>
      <c r="GD58" s="63">
        <f t="shared" si="938"/>
        <v>0</v>
      </c>
      <c r="GE58" s="63">
        <f t="shared" si="939"/>
        <v>0</v>
      </c>
      <c r="GF58" s="63">
        <f t="shared" si="940"/>
        <v>0</v>
      </c>
      <c r="GG58" s="61">
        <f t="shared" si="941"/>
        <v>0</v>
      </c>
      <c r="GH58" s="64">
        <v>0</v>
      </c>
      <c r="GI58" s="65">
        <f t="shared" si="816"/>
        <v>0</v>
      </c>
      <c r="GJ58" s="212">
        <f t="shared" si="817"/>
        <v>0</v>
      </c>
      <c r="GK58" s="49">
        <v>0</v>
      </c>
      <c r="GL58" s="59"/>
      <c r="GM58" s="28">
        <f t="shared" si="818"/>
        <v>0</v>
      </c>
      <c r="GN58" s="28">
        <v>0</v>
      </c>
      <c r="GO58" s="28">
        <f t="shared" si="942"/>
        <v>0</v>
      </c>
      <c r="GP58" s="28">
        <f t="shared" si="943"/>
        <v>0</v>
      </c>
      <c r="GQ58" s="28">
        <f t="shared" si="944"/>
        <v>0</v>
      </c>
      <c r="GR58" s="63">
        <f t="shared" si="945"/>
        <v>0</v>
      </c>
      <c r="GS58" s="63">
        <f t="shared" si="946"/>
        <v>0</v>
      </c>
      <c r="GT58" s="61">
        <f t="shared" si="819"/>
        <v>0</v>
      </c>
      <c r="GU58" s="62"/>
      <c r="GV58" s="62"/>
      <c r="GW58" s="62"/>
      <c r="GX58" s="62"/>
      <c r="GY58" s="62"/>
      <c r="GZ58" s="63">
        <f t="shared" si="947"/>
        <v>0</v>
      </c>
      <c r="HA58" s="63">
        <f t="shared" si="948"/>
        <v>0</v>
      </c>
      <c r="HB58" s="63">
        <f t="shared" si="949"/>
        <v>0</v>
      </c>
      <c r="HC58" s="63">
        <f t="shared" si="950"/>
        <v>0</v>
      </c>
      <c r="HD58" s="63">
        <f t="shared" si="951"/>
        <v>0</v>
      </c>
      <c r="HE58" s="61">
        <f t="shared" si="952"/>
        <v>0</v>
      </c>
      <c r="HF58" s="64">
        <v>0</v>
      </c>
      <c r="HG58" s="65">
        <f t="shared" si="820"/>
        <v>0</v>
      </c>
      <c r="HH58" s="212">
        <f t="shared" si="821"/>
        <v>0</v>
      </c>
      <c r="HI58" s="49">
        <v>0</v>
      </c>
      <c r="HJ58" s="59"/>
      <c r="HK58" s="28">
        <f t="shared" si="822"/>
        <v>0</v>
      </c>
      <c r="HL58" s="28">
        <v>0</v>
      </c>
      <c r="HM58" s="28">
        <f t="shared" si="953"/>
        <v>0</v>
      </c>
      <c r="HN58" s="28">
        <f t="shared" si="954"/>
        <v>0</v>
      </c>
      <c r="HO58" s="28">
        <f t="shared" si="955"/>
        <v>0</v>
      </c>
      <c r="HP58" s="63">
        <f t="shared" si="956"/>
        <v>0</v>
      </c>
      <c r="HQ58" s="63">
        <f t="shared" si="957"/>
        <v>0</v>
      </c>
      <c r="HR58" s="61">
        <f t="shared" si="823"/>
        <v>0</v>
      </c>
      <c r="HS58" s="62"/>
      <c r="HT58" s="62"/>
      <c r="HU58" s="62"/>
      <c r="HV58" s="62"/>
      <c r="HW58" s="62"/>
      <c r="HX58" s="63">
        <f t="shared" si="958"/>
        <v>0</v>
      </c>
      <c r="HY58" s="63">
        <f t="shared" si="959"/>
        <v>0</v>
      </c>
      <c r="HZ58" s="63">
        <f t="shared" si="960"/>
        <v>0</v>
      </c>
      <c r="IA58" s="63">
        <f t="shared" si="961"/>
        <v>0</v>
      </c>
      <c r="IB58" s="63">
        <f t="shared" si="962"/>
        <v>0</v>
      </c>
      <c r="IC58" s="61">
        <f t="shared" si="963"/>
        <v>0</v>
      </c>
      <c r="ID58" s="64">
        <v>0</v>
      </c>
      <c r="IE58" s="65">
        <f t="shared" si="824"/>
        <v>0</v>
      </c>
      <c r="IF58" s="212">
        <f t="shared" si="825"/>
        <v>0</v>
      </c>
      <c r="IG58" s="49">
        <v>0</v>
      </c>
      <c r="IH58" s="59"/>
      <c r="II58" s="28">
        <f t="shared" si="826"/>
        <v>0</v>
      </c>
      <c r="IJ58" s="28">
        <v>0</v>
      </c>
      <c r="IK58" s="28">
        <f t="shared" si="827"/>
        <v>0</v>
      </c>
      <c r="IL58" s="28">
        <f t="shared" si="828"/>
        <v>0</v>
      </c>
      <c r="IM58" s="28">
        <f t="shared" si="829"/>
        <v>0</v>
      </c>
      <c r="IN58" s="63">
        <f t="shared" si="830"/>
        <v>0</v>
      </c>
      <c r="IO58" s="63">
        <f t="shared" si="831"/>
        <v>0</v>
      </c>
      <c r="IP58" s="61">
        <f t="shared" si="832"/>
        <v>0</v>
      </c>
      <c r="IQ58" s="62"/>
      <c r="IR58" s="62"/>
      <c r="IS58" s="62"/>
      <c r="IT58" s="62"/>
      <c r="IU58" s="62"/>
      <c r="IV58" s="63">
        <f t="shared" si="833"/>
        <v>0</v>
      </c>
      <c r="IW58" s="63">
        <f t="shared" si="834"/>
        <v>0</v>
      </c>
      <c r="IX58" s="63">
        <f t="shared" si="835"/>
        <v>0</v>
      </c>
      <c r="IY58" s="63">
        <f t="shared" si="836"/>
        <v>0</v>
      </c>
      <c r="IZ58" s="63">
        <f t="shared" si="837"/>
        <v>0</v>
      </c>
      <c r="JA58" s="61">
        <f t="shared" si="964"/>
        <v>0</v>
      </c>
      <c r="JB58" s="64">
        <v>0</v>
      </c>
      <c r="JC58" s="65">
        <f t="shared" si="838"/>
        <v>0</v>
      </c>
      <c r="JD58" s="476">
        <f t="shared" si="839"/>
        <v>0</v>
      </c>
      <c r="JE58" s="49">
        <v>0</v>
      </c>
      <c r="JF58" s="59"/>
      <c r="JG58" s="28">
        <f t="shared" si="840"/>
        <v>0</v>
      </c>
      <c r="JH58" s="28">
        <v>0</v>
      </c>
      <c r="JI58" s="28">
        <f t="shared" si="841"/>
        <v>0</v>
      </c>
      <c r="JJ58" s="28">
        <f t="shared" si="842"/>
        <v>0</v>
      </c>
      <c r="JK58" s="28">
        <f t="shared" si="843"/>
        <v>0</v>
      </c>
      <c r="JL58" s="63">
        <f t="shared" si="844"/>
        <v>0</v>
      </c>
      <c r="JM58" s="63">
        <f t="shared" si="845"/>
        <v>0</v>
      </c>
      <c r="JN58" s="61">
        <f t="shared" si="846"/>
        <v>0</v>
      </c>
      <c r="JO58" s="62"/>
      <c r="JP58" s="62"/>
      <c r="JQ58" s="62"/>
      <c r="JR58" s="62"/>
      <c r="JS58" s="62"/>
      <c r="JT58" s="63">
        <f t="shared" si="847"/>
        <v>0</v>
      </c>
      <c r="JU58" s="63">
        <f t="shared" si="848"/>
        <v>0</v>
      </c>
      <c r="JV58" s="63">
        <f t="shared" si="849"/>
        <v>0</v>
      </c>
      <c r="JW58" s="63">
        <f t="shared" si="850"/>
        <v>0</v>
      </c>
      <c r="JX58" s="63">
        <f t="shared" si="851"/>
        <v>0</v>
      </c>
      <c r="JY58" s="61">
        <f t="shared" si="965"/>
        <v>0</v>
      </c>
      <c r="JZ58" s="64">
        <v>0</v>
      </c>
      <c r="KA58" s="65">
        <f t="shared" si="852"/>
        <v>0</v>
      </c>
      <c r="KB58" s="476">
        <f t="shared" si="853"/>
        <v>0</v>
      </c>
      <c r="KC58" s="37"/>
      <c r="KD58" s="37"/>
      <c r="KE58" s="37"/>
      <c r="KF58" s="37"/>
      <c r="KG58" s="37"/>
      <c r="KH58" s="37"/>
      <c r="KI58" s="37"/>
      <c r="KJ58" s="37"/>
    </row>
    <row r="59" spans="1:296" x14ac:dyDescent="0.3">
      <c r="A59" s="49">
        <v>0</v>
      </c>
      <c r="B59" s="59"/>
      <c r="C59" s="28">
        <f t="shared" si="786"/>
        <v>0</v>
      </c>
      <c r="D59" s="28">
        <v>0</v>
      </c>
      <c r="E59" s="28">
        <f t="shared" si="854"/>
        <v>0</v>
      </c>
      <c r="F59" s="28">
        <f t="shared" si="855"/>
        <v>0</v>
      </c>
      <c r="G59" s="28">
        <f t="shared" si="856"/>
        <v>0</v>
      </c>
      <c r="H59" s="63">
        <f t="shared" si="857"/>
        <v>0</v>
      </c>
      <c r="I59" s="63">
        <f t="shared" si="858"/>
        <v>0</v>
      </c>
      <c r="J59" s="61">
        <f t="shared" si="787"/>
        <v>0</v>
      </c>
      <c r="K59" s="62"/>
      <c r="L59" s="62"/>
      <c r="M59" s="62"/>
      <c r="N59" s="62"/>
      <c r="O59" s="62"/>
      <c r="P59" s="63">
        <f t="shared" si="859"/>
        <v>0</v>
      </c>
      <c r="Q59" s="63">
        <f t="shared" si="860"/>
        <v>0</v>
      </c>
      <c r="R59" s="63">
        <f t="shared" si="861"/>
        <v>0</v>
      </c>
      <c r="S59" s="63">
        <f t="shared" si="862"/>
        <v>0</v>
      </c>
      <c r="T59" s="63">
        <f t="shared" si="863"/>
        <v>0</v>
      </c>
      <c r="U59" s="61">
        <f t="shared" si="864"/>
        <v>0</v>
      </c>
      <c r="V59" s="64">
        <v>0</v>
      </c>
      <c r="W59" s="65">
        <f t="shared" si="788"/>
        <v>0</v>
      </c>
      <c r="X59" s="212">
        <f t="shared" si="789"/>
        <v>0</v>
      </c>
      <c r="Y59" s="49">
        <v>0</v>
      </c>
      <c r="Z59" s="59"/>
      <c r="AA59" s="28">
        <f t="shared" si="790"/>
        <v>0</v>
      </c>
      <c r="AB59" s="28">
        <v>0</v>
      </c>
      <c r="AC59" s="28">
        <f t="shared" si="865"/>
        <v>0</v>
      </c>
      <c r="AD59" s="28">
        <f t="shared" si="866"/>
        <v>0</v>
      </c>
      <c r="AE59" s="28">
        <f t="shared" si="867"/>
        <v>0</v>
      </c>
      <c r="AF59" s="63">
        <f t="shared" si="868"/>
        <v>0</v>
      </c>
      <c r="AG59" s="63">
        <f t="shared" si="869"/>
        <v>0</v>
      </c>
      <c r="AH59" s="61">
        <f t="shared" si="791"/>
        <v>0</v>
      </c>
      <c r="AI59" s="62"/>
      <c r="AJ59" s="62"/>
      <c r="AK59" s="62"/>
      <c r="AL59" s="62"/>
      <c r="AM59" s="62"/>
      <c r="AN59" s="63">
        <f t="shared" si="870"/>
        <v>0</v>
      </c>
      <c r="AO59" s="63">
        <f t="shared" si="871"/>
        <v>0</v>
      </c>
      <c r="AP59" s="63">
        <f t="shared" si="872"/>
        <v>0</v>
      </c>
      <c r="AQ59" s="63">
        <f t="shared" si="873"/>
        <v>0</v>
      </c>
      <c r="AR59" s="63">
        <f t="shared" si="874"/>
        <v>0</v>
      </c>
      <c r="AS59" s="61">
        <f t="shared" si="875"/>
        <v>0</v>
      </c>
      <c r="AT59" s="64">
        <v>0</v>
      </c>
      <c r="AU59" s="65">
        <f t="shared" si="792"/>
        <v>0</v>
      </c>
      <c r="AV59" s="212">
        <f t="shared" si="793"/>
        <v>0</v>
      </c>
      <c r="AW59" s="49">
        <v>0</v>
      </c>
      <c r="AX59" s="59"/>
      <c r="AY59" s="28">
        <f t="shared" si="794"/>
        <v>0</v>
      </c>
      <c r="AZ59" s="28">
        <v>0</v>
      </c>
      <c r="BA59" s="28">
        <f t="shared" si="876"/>
        <v>0</v>
      </c>
      <c r="BB59" s="28">
        <f t="shared" si="877"/>
        <v>0</v>
      </c>
      <c r="BC59" s="28">
        <f t="shared" si="878"/>
        <v>0</v>
      </c>
      <c r="BD59" s="63">
        <f t="shared" si="879"/>
        <v>0</v>
      </c>
      <c r="BE59" s="63">
        <f t="shared" si="880"/>
        <v>0</v>
      </c>
      <c r="BF59" s="61">
        <f t="shared" si="795"/>
        <v>0</v>
      </c>
      <c r="BG59" s="62"/>
      <c r="BH59" s="62"/>
      <c r="BI59" s="62"/>
      <c r="BJ59" s="62"/>
      <c r="BK59" s="62"/>
      <c r="BL59" s="63">
        <f t="shared" si="881"/>
        <v>0</v>
      </c>
      <c r="BM59" s="63">
        <f t="shared" si="882"/>
        <v>0</v>
      </c>
      <c r="BN59" s="63">
        <f t="shared" si="883"/>
        <v>0</v>
      </c>
      <c r="BO59" s="63">
        <f t="shared" si="884"/>
        <v>0</v>
      </c>
      <c r="BP59" s="63">
        <f t="shared" si="885"/>
        <v>0</v>
      </c>
      <c r="BQ59" s="61">
        <f t="shared" si="886"/>
        <v>0</v>
      </c>
      <c r="BR59" s="64">
        <v>0</v>
      </c>
      <c r="BS59" s="65">
        <f t="shared" si="796"/>
        <v>0</v>
      </c>
      <c r="BT59" s="212">
        <f t="shared" si="797"/>
        <v>0</v>
      </c>
      <c r="BU59" s="49">
        <v>0</v>
      </c>
      <c r="BV59" s="59"/>
      <c r="BW59" s="28">
        <f t="shared" si="798"/>
        <v>0</v>
      </c>
      <c r="BX59" s="28">
        <v>0</v>
      </c>
      <c r="BY59" s="28">
        <f t="shared" si="887"/>
        <v>0</v>
      </c>
      <c r="BZ59" s="28">
        <f t="shared" si="888"/>
        <v>0</v>
      </c>
      <c r="CA59" s="28">
        <f t="shared" si="889"/>
        <v>0</v>
      </c>
      <c r="CB59" s="63">
        <f t="shared" si="890"/>
        <v>0</v>
      </c>
      <c r="CC59" s="63">
        <f t="shared" si="891"/>
        <v>0</v>
      </c>
      <c r="CD59" s="61">
        <f t="shared" si="799"/>
        <v>0</v>
      </c>
      <c r="CE59" s="62"/>
      <c r="CF59" s="62"/>
      <c r="CG59" s="62"/>
      <c r="CH59" s="62"/>
      <c r="CI59" s="62"/>
      <c r="CJ59" s="63">
        <f t="shared" si="892"/>
        <v>0</v>
      </c>
      <c r="CK59" s="63">
        <f t="shared" si="893"/>
        <v>0</v>
      </c>
      <c r="CL59" s="63">
        <f t="shared" si="894"/>
        <v>0</v>
      </c>
      <c r="CM59" s="63">
        <f t="shared" si="895"/>
        <v>0</v>
      </c>
      <c r="CN59" s="63">
        <f t="shared" si="896"/>
        <v>0</v>
      </c>
      <c r="CO59" s="61">
        <f t="shared" si="897"/>
        <v>0</v>
      </c>
      <c r="CP59" s="64">
        <v>0</v>
      </c>
      <c r="CQ59" s="65">
        <f t="shared" si="800"/>
        <v>0</v>
      </c>
      <c r="CR59" s="212">
        <f t="shared" si="801"/>
        <v>0</v>
      </c>
      <c r="CS59" s="49">
        <v>0</v>
      </c>
      <c r="CT59" s="59"/>
      <c r="CU59" s="28">
        <f t="shared" si="802"/>
        <v>0</v>
      </c>
      <c r="CV59" s="28">
        <v>0</v>
      </c>
      <c r="CW59" s="28">
        <f t="shared" si="898"/>
        <v>0</v>
      </c>
      <c r="CX59" s="28">
        <f t="shared" si="899"/>
        <v>0</v>
      </c>
      <c r="CY59" s="28">
        <f t="shared" si="900"/>
        <v>0</v>
      </c>
      <c r="CZ59" s="63">
        <f t="shared" si="901"/>
        <v>0</v>
      </c>
      <c r="DA59" s="63">
        <f t="shared" si="902"/>
        <v>0</v>
      </c>
      <c r="DB59" s="61">
        <f t="shared" si="803"/>
        <v>0</v>
      </c>
      <c r="DC59" s="62"/>
      <c r="DD59" s="62"/>
      <c r="DE59" s="62"/>
      <c r="DF59" s="62"/>
      <c r="DG59" s="62"/>
      <c r="DH59" s="63">
        <f t="shared" si="903"/>
        <v>0</v>
      </c>
      <c r="DI59" s="63">
        <f t="shared" si="904"/>
        <v>0</v>
      </c>
      <c r="DJ59" s="63">
        <f t="shared" si="905"/>
        <v>0</v>
      </c>
      <c r="DK59" s="63">
        <f t="shared" si="906"/>
        <v>0</v>
      </c>
      <c r="DL59" s="63">
        <f t="shared" si="907"/>
        <v>0</v>
      </c>
      <c r="DM59" s="61">
        <f t="shared" si="908"/>
        <v>0</v>
      </c>
      <c r="DN59" s="64">
        <v>0</v>
      </c>
      <c r="DO59" s="65">
        <f t="shared" si="804"/>
        <v>0</v>
      </c>
      <c r="DP59" s="212">
        <f t="shared" si="805"/>
        <v>0</v>
      </c>
      <c r="DQ59" s="49">
        <v>0</v>
      </c>
      <c r="DR59" s="59"/>
      <c r="DS59" s="28">
        <f t="shared" si="806"/>
        <v>0</v>
      </c>
      <c r="DT59" s="28">
        <v>0</v>
      </c>
      <c r="DU59" s="28">
        <f t="shared" si="909"/>
        <v>0</v>
      </c>
      <c r="DV59" s="28">
        <f t="shared" si="910"/>
        <v>0</v>
      </c>
      <c r="DW59" s="28">
        <f t="shared" si="911"/>
        <v>0</v>
      </c>
      <c r="DX59" s="63">
        <f t="shared" si="912"/>
        <v>0</v>
      </c>
      <c r="DY59" s="63">
        <f t="shared" si="913"/>
        <v>0</v>
      </c>
      <c r="DZ59" s="61">
        <f t="shared" si="807"/>
        <v>0</v>
      </c>
      <c r="EA59" s="62"/>
      <c r="EB59" s="62"/>
      <c r="EC59" s="62"/>
      <c r="ED59" s="62"/>
      <c r="EE59" s="62"/>
      <c r="EF59" s="63">
        <f t="shared" si="914"/>
        <v>0</v>
      </c>
      <c r="EG59" s="63">
        <f t="shared" si="915"/>
        <v>0</v>
      </c>
      <c r="EH59" s="63">
        <f t="shared" si="916"/>
        <v>0</v>
      </c>
      <c r="EI59" s="63">
        <f t="shared" si="917"/>
        <v>0</v>
      </c>
      <c r="EJ59" s="63">
        <f t="shared" si="918"/>
        <v>0</v>
      </c>
      <c r="EK59" s="61">
        <f t="shared" si="919"/>
        <v>0</v>
      </c>
      <c r="EL59" s="64">
        <v>0</v>
      </c>
      <c r="EM59" s="65">
        <f t="shared" si="808"/>
        <v>0</v>
      </c>
      <c r="EN59" s="212">
        <f t="shared" si="809"/>
        <v>0</v>
      </c>
      <c r="EO59" s="49">
        <v>0</v>
      </c>
      <c r="EP59" s="59"/>
      <c r="EQ59" s="28">
        <f t="shared" si="810"/>
        <v>0</v>
      </c>
      <c r="ER59" s="28">
        <v>0</v>
      </c>
      <c r="ES59" s="28">
        <f t="shared" si="920"/>
        <v>0</v>
      </c>
      <c r="ET59" s="28">
        <f t="shared" si="921"/>
        <v>0</v>
      </c>
      <c r="EU59" s="28">
        <f t="shared" si="922"/>
        <v>0</v>
      </c>
      <c r="EV59" s="63">
        <f t="shared" si="923"/>
        <v>0</v>
      </c>
      <c r="EW59" s="63">
        <f t="shared" si="924"/>
        <v>0</v>
      </c>
      <c r="EX59" s="61">
        <f t="shared" si="811"/>
        <v>0</v>
      </c>
      <c r="EY59" s="62"/>
      <c r="EZ59" s="62"/>
      <c r="FA59" s="62"/>
      <c r="FB59" s="62"/>
      <c r="FC59" s="62"/>
      <c r="FD59" s="63">
        <f t="shared" si="925"/>
        <v>0</v>
      </c>
      <c r="FE59" s="63">
        <f t="shared" si="926"/>
        <v>0</v>
      </c>
      <c r="FF59" s="63">
        <f t="shared" si="927"/>
        <v>0</v>
      </c>
      <c r="FG59" s="63">
        <f t="shared" si="928"/>
        <v>0</v>
      </c>
      <c r="FH59" s="63">
        <f t="shared" si="929"/>
        <v>0</v>
      </c>
      <c r="FI59" s="61">
        <f t="shared" si="930"/>
        <v>0</v>
      </c>
      <c r="FJ59" s="64">
        <v>0</v>
      </c>
      <c r="FK59" s="65">
        <f t="shared" si="812"/>
        <v>0</v>
      </c>
      <c r="FL59" s="212">
        <f t="shared" si="813"/>
        <v>0</v>
      </c>
      <c r="FM59" s="49">
        <v>0</v>
      </c>
      <c r="FN59" s="59"/>
      <c r="FO59" s="28">
        <f t="shared" si="814"/>
        <v>0</v>
      </c>
      <c r="FP59" s="28">
        <v>0</v>
      </c>
      <c r="FQ59" s="28">
        <f t="shared" si="931"/>
        <v>0</v>
      </c>
      <c r="FR59" s="28">
        <f t="shared" si="932"/>
        <v>0</v>
      </c>
      <c r="FS59" s="28">
        <f t="shared" si="933"/>
        <v>0</v>
      </c>
      <c r="FT59" s="63">
        <f t="shared" si="934"/>
        <v>0</v>
      </c>
      <c r="FU59" s="63">
        <f t="shared" si="935"/>
        <v>0</v>
      </c>
      <c r="FV59" s="61">
        <f t="shared" si="815"/>
        <v>0</v>
      </c>
      <c r="FW59" s="62"/>
      <c r="FX59" s="62"/>
      <c r="FY59" s="62"/>
      <c r="FZ59" s="62"/>
      <c r="GA59" s="62"/>
      <c r="GB59" s="63">
        <f t="shared" si="936"/>
        <v>0</v>
      </c>
      <c r="GC59" s="63">
        <f t="shared" si="937"/>
        <v>0</v>
      </c>
      <c r="GD59" s="63">
        <f t="shared" si="938"/>
        <v>0</v>
      </c>
      <c r="GE59" s="63">
        <f t="shared" si="939"/>
        <v>0</v>
      </c>
      <c r="GF59" s="63">
        <f t="shared" si="940"/>
        <v>0</v>
      </c>
      <c r="GG59" s="61">
        <f t="shared" si="941"/>
        <v>0</v>
      </c>
      <c r="GH59" s="64">
        <v>0</v>
      </c>
      <c r="GI59" s="65">
        <f t="shared" si="816"/>
        <v>0</v>
      </c>
      <c r="GJ59" s="212">
        <f t="shared" si="817"/>
        <v>0</v>
      </c>
      <c r="GK59" s="49">
        <v>0</v>
      </c>
      <c r="GL59" s="59"/>
      <c r="GM59" s="28">
        <f t="shared" si="818"/>
        <v>0</v>
      </c>
      <c r="GN59" s="28">
        <v>0</v>
      </c>
      <c r="GO59" s="28">
        <f t="shared" si="942"/>
        <v>0</v>
      </c>
      <c r="GP59" s="28">
        <f t="shared" si="943"/>
        <v>0</v>
      </c>
      <c r="GQ59" s="28">
        <f t="shared" si="944"/>
        <v>0</v>
      </c>
      <c r="GR59" s="63">
        <f t="shared" si="945"/>
        <v>0</v>
      </c>
      <c r="GS59" s="63">
        <f t="shared" si="946"/>
        <v>0</v>
      </c>
      <c r="GT59" s="61">
        <f t="shared" si="819"/>
        <v>0</v>
      </c>
      <c r="GU59" s="62"/>
      <c r="GV59" s="62"/>
      <c r="GW59" s="62"/>
      <c r="GX59" s="62"/>
      <c r="GY59" s="62"/>
      <c r="GZ59" s="63">
        <f t="shared" si="947"/>
        <v>0</v>
      </c>
      <c r="HA59" s="63">
        <f t="shared" si="948"/>
        <v>0</v>
      </c>
      <c r="HB59" s="63">
        <f t="shared" si="949"/>
        <v>0</v>
      </c>
      <c r="HC59" s="63">
        <f t="shared" si="950"/>
        <v>0</v>
      </c>
      <c r="HD59" s="63">
        <f t="shared" si="951"/>
        <v>0</v>
      </c>
      <c r="HE59" s="61">
        <f t="shared" si="952"/>
        <v>0</v>
      </c>
      <c r="HF59" s="64">
        <v>0</v>
      </c>
      <c r="HG59" s="65">
        <f t="shared" si="820"/>
        <v>0</v>
      </c>
      <c r="HH59" s="212">
        <f t="shared" si="821"/>
        <v>0</v>
      </c>
      <c r="HI59" s="49">
        <v>0</v>
      </c>
      <c r="HJ59" s="59"/>
      <c r="HK59" s="28">
        <f t="shared" si="822"/>
        <v>0</v>
      </c>
      <c r="HL59" s="28">
        <v>0</v>
      </c>
      <c r="HM59" s="28">
        <f t="shared" si="953"/>
        <v>0</v>
      </c>
      <c r="HN59" s="28">
        <f t="shared" si="954"/>
        <v>0</v>
      </c>
      <c r="HO59" s="28">
        <f t="shared" si="955"/>
        <v>0</v>
      </c>
      <c r="HP59" s="63">
        <f t="shared" si="956"/>
        <v>0</v>
      </c>
      <c r="HQ59" s="63">
        <f t="shared" si="957"/>
        <v>0</v>
      </c>
      <c r="HR59" s="61">
        <f t="shared" si="823"/>
        <v>0</v>
      </c>
      <c r="HS59" s="62"/>
      <c r="HT59" s="62"/>
      <c r="HU59" s="62"/>
      <c r="HV59" s="62"/>
      <c r="HW59" s="62"/>
      <c r="HX59" s="63">
        <f t="shared" si="958"/>
        <v>0</v>
      </c>
      <c r="HY59" s="63">
        <f t="shared" si="959"/>
        <v>0</v>
      </c>
      <c r="HZ59" s="63">
        <f t="shared" si="960"/>
        <v>0</v>
      </c>
      <c r="IA59" s="63">
        <f t="shared" si="961"/>
        <v>0</v>
      </c>
      <c r="IB59" s="63">
        <f t="shared" si="962"/>
        <v>0</v>
      </c>
      <c r="IC59" s="61">
        <f t="shared" si="963"/>
        <v>0</v>
      </c>
      <c r="ID59" s="64">
        <v>0</v>
      </c>
      <c r="IE59" s="65">
        <f t="shared" si="824"/>
        <v>0</v>
      </c>
      <c r="IF59" s="212">
        <f t="shared" si="825"/>
        <v>0</v>
      </c>
      <c r="IG59" s="49">
        <v>0</v>
      </c>
      <c r="IH59" s="59"/>
      <c r="II59" s="28">
        <f t="shared" si="826"/>
        <v>0</v>
      </c>
      <c r="IJ59" s="28">
        <v>0</v>
      </c>
      <c r="IK59" s="28">
        <f t="shared" si="827"/>
        <v>0</v>
      </c>
      <c r="IL59" s="28">
        <f t="shared" si="828"/>
        <v>0</v>
      </c>
      <c r="IM59" s="28">
        <f t="shared" si="829"/>
        <v>0</v>
      </c>
      <c r="IN59" s="63">
        <f t="shared" si="830"/>
        <v>0</v>
      </c>
      <c r="IO59" s="63">
        <f t="shared" si="831"/>
        <v>0</v>
      </c>
      <c r="IP59" s="61">
        <f t="shared" si="832"/>
        <v>0</v>
      </c>
      <c r="IQ59" s="62"/>
      <c r="IR59" s="62"/>
      <c r="IS59" s="62"/>
      <c r="IT59" s="62"/>
      <c r="IU59" s="62"/>
      <c r="IV59" s="63">
        <f t="shared" si="833"/>
        <v>0</v>
      </c>
      <c r="IW59" s="63">
        <f t="shared" si="834"/>
        <v>0</v>
      </c>
      <c r="IX59" s="63">
        <f t="shared" si="835"/>
        <v>0</v>
      </c>
      <c r="IY59" s="63">
        <f t="shared" si="836"/>
        <v>0</v>
      </c>
      <c r="IZ59" s="63">
        <f t="shared" si="837"/>
        <v>0</v>
      </c>
      <c r="JA59" s="61">
        <f t="shared" si="964"/>
        <v>0</v>
      </c>
      <c r="JB59" s="64">
        <v>0</v>
      </c>
      <c r="JC59" s="65">
        <f t="shared" si="838"/>
        <v>0</v>
      </c>
      <c r="JD59" s="476">
        <f t="shared" si="839"/>
        <v>0</v>
      </c>
      <c r="JE59" s="49">
        <v>0</v>
      </c>
      <c r="JF59" s="59"/>
      <c r="JG59" s="28">
        <f t="shared" si="840"/>
        <v>0</v>
      </c>
      <c r="JH59" s="28">
        <v>0</v>
      </c>
      <c r="JI59" s="28">
        <f t="shared" si="841"/>
        <v>0</v>
      </c>
      <c r="JJ59" s="28">
        <f t="shared" si="842"/>
        <v>0</v>
      </c>
      <c r="JK59" s="28">
        <f t="shared" si="843"/>
        <v>0</v>
      </c>
      <c r="JL59" s="63">
        <f t="shared" si="844"/>
        <v>0</v>
      </c>
      <c r="JM59" s="63">
        <f t="shared" si="845"/>
        <v>0</v>
      </c>
      <c r="JN59" s="61">
        <f t="shared" si="846"/>
        <v>0</v>
      </c>
      <c r="JO59" s="62"/>
      <c r="JP59" s="62"/>
      <c r="JQ59" s="62"/>
      <c r="JR59" s="62"/>
      <c r="JS59" s="62"/>
      <c r="JT59" s="63">
        <f t="shared" si="847"/>
        <v>0</v>
      </c>
      <c r="JU59" s="63">
        <f t="shared" si="848"/>
        <v>0</v>
      </c>
      <c r="JV59" s="63">
        <f t="shared" si="849"/>
        <v>0</v>
      </c>
      <c r="JW59" s="63">
        <f t="shared" si="850"/>
        <v>0</v>
      </c>
      <c r="JX59" s="63">
        <f t="shared" si="851"/>
        <v>0</v>
      </c>
      <c r="JY59" s="61">
        <f t="shared" si="965"/>
        <v>0</v>
      </c>
      <c r="JZ59" s="64">
        <v>0</v>
      </c>
      <c r="KA59" s="65">
        <f t="shared" si="852"/>
        <v>0</v>
      </c>
      <c r="KB59" s="476">
        <f t="shared" si="853"/>
        <v>0</v>
      </c>
      <c r="KC59" s="37"/>
      <c r="KD59" s="37"/>
      <c r="KE59" s="37"/>
      <c r="KF59" s="37"/>
      <c r="KG59" s="37"/>
      <c r="KH59" s="37"/>
      <c r="KI59" s="37"/>
      <c r="KJ59" s="37"/>
    </row>
    <row r="60" spans="1:296" x14ac:dyDescent="0.3">
      <c r="A60" s="49">
        <v>0</v>
      </c>
      <c r="B60" s="59"/>
      <c r="C60" s="28">
        <f t="shared" si="786"/>
        <v>0</v>
      </c>
      <c r="D60" s="28">
        <v>0</v>
      </c>
      <c r="E60" s="28">
        <f t="shared" si="854"/>
        <v>0</v>
      </c>
      <c r="F60" s="28">
        <f t="shared" si="855"/>
        <v>0</v>
      </c>
      <c r="G60" s="28">
        <f t="shared" si="856"/>
        <v>0</v>
      </c>
      <c r="H60" s="63">
        <f t="shared" si="857"/>
        <v>0</v>
      </c>
      <c r="I60" s="63">
        <f t="shared" si="858"/>
        <v>0</v>
      </c>
      <c r="J60" s="61">
        <f t="shared" si="787"/>
        <v>0</v>
      </c>
      <c r="K60" s="62"/>
      <c r="L60" s="62"/>
      <c r="M60" s="62"/>
      <c r="N60" s="62"/>
      <c r="O60" s="62"/>
      <c r="P60" s="63">
        <f t="shared" si="859"/>
        <v>0</v>
      </c>
      <c r="Q60" s="63">
        <f t="shared" si="860"/>
        <v>0</v>
      </c>
      <c r="R60" s="63">
        <f t="shared" si="861"/>
        <v>0</v>
      </c>
      <c r="S60" s="63">
        <f t="shared" si="862"/>
        <v>0</v>
      </c>
      <c r="T60" s="63">
        <f t="shared" si="863"/>
        <v>0</v>
      </c>
      <c r="U60" s="61">
        <f t="shared" si="864"/>
        <v>0</v>
      </c>
      <c r="V60" s="64">
        <v>0</v>
      </c>
      <c r="W60" s="65">
        <f t="shared" si="788"/>
        <v>0</v>
      </c>
      <c r="X60" s="212">
        <f t="shared" si="789"/>
        <v>0</v>
      </c>
      <c r="Y60" s="49">
        <v>0</v>
      </c>
      <c r="Z60" s="59"/>
      <c r="AA60" s="28">
        <f t="shared" si="790"/>
        <v>0</v>
      </c>
      <c r="AB60" s="28">
        <v>0</v>
      </c>
      <c r="AC60" s="28">
        <f t="shared" si="865"/>
        <v>0</v>
      </c>
      <c r="AD60" s="28">
        <f t="shared" si="866"/>
        <v>0</v>
      </c>
      <c r="AE60" s="28">
        <f t="shared" si="867"/>
        <v>0</v>
      </c>
      <c r="AF60" s="63">
        <f t="shared" si="868"/>
        <v>0</v>
      </c>
      <c r="AG60" s="63">
        <f t="shared" si="869"/>
        <v>0</v>
      </c>
      <c r="AH60" s="61">
        <f t="shared" si="791"/>
        <v>0</v>
      </c>
      <c r="AI60" s="62"/>
      <c r="AJ60" s="62"/>
      <c r="AK60" s="62"/>
      <c r="AL60" s="62"/>
      <c r="AM60" s="62"/>
      <c r="AN60" s="63">
        <f t="shared" si="870"/>
        <v>0</v>
      </c>
      <c r="AO60" s="63">
        <f t="shared" si="871"/>
        <v>0</v>
      </c>
      <c r="AP60" s="63">
        <f t="shared" si="872"/>
        <v>0</v>
      </c>
      <c r="AQ60" s="63">
        <f t="shared" si="873"/>
        <v>0</v>
      </c>
      <c r="AR60" s="63">
        <f t="shared" si="874"/>
        <v>0</v>
      </c>
      <c r="AS60" s="61">
        <f t="shared" si="875"/>
        <v>0</v>
      </c>
      <c r="AT60" s="64">
        <v>0</v>
      </c>
      <c r="AU60" s="65">
        <f t="shared" si="792"/>
        <v>0</v>
      </c>
      <c r="AV60" s="212">
        <f t="shared" si="793"/>
        <v>0</v>
      </c>
      <c r="AW60" s="49">
        <v>0</v>
      </c>
      <c r="AX60" s="59"/>
      <c r="AY60" s="28">
        <f t="shared" si="794"/>
        <v>0</v>
      </c>
      <c r="AZ60" s="28">
        <v>0</v>
      </c>
      <c r="BA60" s="28">
        <f t="shared" si="876"/>
        <v>0</v>
      </c>
      <c r="BB60" s="28">
        <f t="shared" si="877"/>
        <v>0</v>
      </c>
      <c r="BC60" s="28">
        <f t="shared" si="878"/>
        <v>0</v>
      </c>
      <c r="BD60" s="63">
        <f t="shared" si="879"/>
        <v>0</v>
      </c>
      <c r="BE60" s="63">
        <f t="shared" si="880"/>
        <v>0</v>
      </c>
      <c r="BF60" s="61">
        <f t="shared" si="795"/>
        <v>0</v>
      </c>
      <c r="BG60" s="62"/>
      <c r="BH60" s="62"/>
      <c r="BI60" s="62"/>
      <c r="BJ60" s="62"/>
      <c r="BK60" s="62"/>
      <c r="BL60" s="63">
        <f t="shared" si="881"/>
        <v>0</v>
      </c>
      <c r="BM60" s="63">
        <f t="shared" si="882"/>
        <v>0</v>
      </c>
      <c r="BN60" s="63">
        <f t="shared" si="883"/>
        <v>0</v>
      </c>
      <c r="BO60" s="63">
        <f t="shared" si="884"/>
        <v>0</v>
      </c>
      <c r="BP60" s="63">
        <f t="shared" si="885"/>
        <v>0</v>
      </c>
      <c r="BQ60" s="61">
        <f t="shared" si="886"/>
        <v>0</v>
      </c>
      <c r="BR60" s="64">
        <v>0</v>
      </c>
      <c r="BS60" s="65">
        <f t="shared" si="796"/>
        <v>0</v>
      </c>
      <c r="BT60" s="212">
        <f t="shared" si="797"/>
        <v>0</v>
      </c>
      <c r="BU60" s="49">
        <v>0</v>
      </c>
      <c r="BV60" s="59"/>
      <c r="BW60" s="28">
        <f t="shared" si="798"/>
        <v>0</v>
      </c>
      <c r="BX60" s="28">
        <v>0</v>
      </c>
      <c r="BY60" s="28">
        <f t="shared" si="887"/>
        <v>0</v>
      </c>
      <c r="BZ60" s="28">
        <f t="shared" si="888"/>
        <v>0</v>
      </c>
      <c r="CA60" s="28">
        <f t="shared" si="889"/>
        <v>0</v>
      </c>
      <c r="CB60" s="63">
        <f t="shared" si="890"/>
        <v>0</v>
      </c>
      <c r="CC60" s="63">
        <f t="shared" si="891"/>
        <v>0</v>
      </c>
      <c r="CD60" s="61">
        <f t="shared" si="799"/>
        <v>0</v>
      </c>
      <c r="CE60" s="62"/>
      <c r="CF60" s="62"/>
      <c r="CG60" s="62"/>
      <c r="CH60" s="62"/>
      <c r="CI60" s="62"/>
      <c r="CJ60" s="63">
        <f t="shared" si="892"/>
        <v>0</v>
      </c>
      <c r="CK60" s="63">
        <f t="shared" si="893"/>
        <v>0</v>
      </c>
      <c r="CL60" s="63">
        <f t="shared" si="894"/>
        <v>0</v>
      </c>
      <c r="CM60" s="63">
        <f t="shared" si="895"/>
        <v>0</v>
      </c>
      <c r="CN60" s="63">
        <f t="shared" si="896"/>
        <v>0</v>
      </c>
      <c r="CO60" s="61">
        <f t="shared" si="897"/>
        <v>0</v>
      </c>
      <c r="CP60" s="64">
        <v>0</v>
      </c>
      <c r="CQ60" s="65">
        <f t="shared" si="800"/>
        <v>0</v>
      </c>
      <c r="CR60" s="212">
        <f t="shared" si="801"/>
        <v>0</v>
      </c>
      <c r="CS60" s="49">
        <v>0</v>
      </c>
      <c r="CT60" s="59"/>
      <c r="CU60" s="28">
        <f t="shared" si="802"/>
        <v>0</v>
      </c>
      <c r="CV60" s="28">
        <v>0</v>
      </c>
      <c r="CW60" s="28">
        <f t="shared" si="898"/>
        <v>0</v>
      </c>
      <c r="CX60" s="28">
        <f t="shared" si="899"/>
        <v>0</v>
      </c>
      <c r="CY60" s="28">
        <f t="shared" si="900"/>
        <v>0</v>
      </c>
      <c r="CZ60" s="63">
        <f t="shared" si="901"/>
        <v>0</v>
      </c>
      <c r="DA60" s="63">
        <f t="shared" si="902"/>
        <v>0</v>
      </c>
      <c r="DB60" s="61">
        <f t="shared" si="803"/>
        <v>0</v>
      </c>
      <c r="DC60" s="62"/>
      <c r="DD60" s="62"/>
      <c r="DE60" s="62"/>
      <c r="DF60" s="62"/>
      <c r="DG60" s="62"/>
      <c r="DH60" s="63">
        <f t="shared" si="903"/>
        <v>0</v>
      </c>
      <c r="DI60" s="63">
        <f t="shared" si="904"/>
        <v>0</v>
      </c>
      <c r="DJ60" s="63">
        <f t="shared" si="905"/>
        <v>0</v>
      </c>
      <c r="DK60" s="63">
        <f t="shared" si="906"/>
        <v>0</v>
      </c>
      <c r="DL60" s="63">
        <f t="shared" si="907"/>
        <v>0</v>
      </c>
      <c r="DM60" s="61">
        <f t="shared" si="908"/>
        <v>0</v>
      </c>
      <c r="DN60" s="64">
        <v>0</v>
      </c>
      <c r="DO60" s="65">
        <f t="shared" si="804"/>
        <v>0</v>
      </c>
      <c r="DP60" s="212">
        <f t="shared" si="805"/>
        <v>0</v>
      </c>
      <c r="DQ60" s="49">
        <v>0</v>
      </c>
      <c r="DR60" s="59"/>
      <c r="DS60" s="28">
        <f t="shared" si="806"/>
        <v>0</v>
      </c>
      <c r="DT60" s="28">
        <v>0</v>
      </c>
      <c r="DU60" s="28">
        <f t="shared" si="909"/>
        <v>0</v>
      </c>
      <c r="DV60" s="28">
        <f t="shared" si="910"/>
        <v>0</v>
      </c>
      <c r="DW60" s="28">
        <f t="shared" si="911"/>
        <v>0</v>
      </c>
      <c r="DX60" s="63">
        <f t="shared" si="912"/>
        <v>0</v>
      </c>
      <c r="DY60" s="63">
        <f t="shared" si="913"/>
        <v>0</v>
      </c>
      <c r="DZ60" s="61">
        <f t="shared" si="807"/>
        <v>0</v>
      </c>
      <c r="EA60" s="62"/>
      <c r="EB60" s="62"/>
      <c r="EC60" s="62"/>
      <c r="ED60" s="62"/>
      <c r="EE60" s="62"/>
      <c r="EF60" s="63">
        <f t="shared" si="914"/>
        <v>0</v>
      </c>
      <c r="EG60" s="63">
        <f t="shared" si="915"/>
        <v>0</v>
      </c>
      <c r="EH60" s="63">
        <f t="shared" si="916"/>
        <v>0</v>
      </c>
      <c r="EI60" s="63">
        <f t="shared" si="917"/>
        <v>0</v>
      </c>
      <c r="EJ60" s="63">
        <f t="shared" si="918"/>
        <v>0</v>
      </c>
      <c r="EK60" s="61">
        <f t="shared" si="919"/>
        <v>0</v>
      </c>
      <c r="EL60" s="64">
        <v>0</v>
      </c>
      <c r="EM60" s="65">
        <f t="shared" si="808"/>
        <v>0</v>
      </c>
      <c r="EN60" s="212">
        <f t="shared" si="809"/>
        <v>0</v>
      </c>
      <c r="EO60" s="49">
        <v>0</v>
      </c>
      <c r="EP60" s="59"/>
      <c r="EQ60" s="28">
        <f t="shared" si="810"/>
        <v>0</v>
      </c>
      <c r="ER60" s="28">
        <v>0</v>
      </c>
      <c r="ES60" s="28">
        <f t="shared" si="920"/>
        <v>0</v>
      </c>
      <c r="ET60" s="28">
        <f t="shared" si="921"/>
        <v>0</v>
      </c>
      <c r="EU60" s="28">
        <f t="shared" si="922"/>
        <v>0</v>
      </c>
      <c r="EV60" s="63">
        <f t="shared" si="923"/>
        <v>0</v>
      </c>
      <c r="EW60" s="63">
        <f t="shared" si="924"/>
        <v>0</v>
      </c>
      <c r="EX60" s="61">
        <f t="shared" si="811"/>
        <v>0</v>
      </c>
      <c r="EY60" s="62"/>
      <c r="EZ60" s="62"/>
      <c r="FA60" s="62"/>
      <c r="FB60" s="62"/>
      <c r="FC60" s="62"/>
      <c r="FD60" s="63">
        <f t="shared" si="925"/>
        <v>0</v>
      </c>
      <c r="FE60" s="63">
        <f t="shared" si="926"/>
        <v>0</v>
      </c>
      <c r="FF60" s="63">
        <f t="shared" si="927"/>
        <v>0</v>
      </c>
      <c r="FG60" s="63">
        <f t="shared" si="928"/>
        <v>0</v>
      </c>
      <c r="FH60" s="63">
        <f t="shared" si="929"/>
        <v>0</v>
      </c>
      <c r="FI60" s="61">
        <f t="shared" si="930"/>
        <v>0</v>
      </c>
      <c r="FJ60" s="64">
        <v>0</v>
      </c>
      <c r="FK60" s="65">
        <f t="shared" si="812"/>
        <v>0</v>
      </c>
      <c r="FL60" s="212">
        <f t="shared" si="813"/>
        <v>0</v>
      </c>
      <c r="FM60" s="49">
        <v>0</v>
      </c>
      <c r="FN60" s="59"/>
      <c r="FO60" s="28">
        <f t="shared" si="814"/>
        <v>0</v>
      </c>
      <c r="FP60" s="28">
        <v>0</v>
      </c>
      <c r="FQ60" s="28">
        <f t="shared" si="931"/>
        <v>0</v>
      </c>
      <c r="FR60" s="28">
        <f t="shared" si="932"/>
        <v>0</v>
      </c>
      <c r="FS60" s="28">
        <f t="shared" si="933"/>
        <v>0</v>
      </c>
      <c r="FT60" s="63">
        <f t="shared" si="934"/>
        <v>0</v>
      </c>
      <c r="FU60" s="63">
        <f t="shared" si="935"/>
        <v>0</v>
      </c>
      <c r="FV60" s="61">
        <f t="shared" si="815"/>
        <v>0</v>
      </c>
      <c r="FW60" s="62"/>
      <c r="FX60" s="62"/>
      <c r="FY60" s="62"/>
      <c r="FZ60" s="62"/>
      <c r="GA60" s="62"/>
      <c r="GB60" s="63">
        <f t="shared" si="936"/>
        <v>0</v>
      </c>
      <c r="GC60" s="63">
        <f t="shared" si="937"/>
        <v>0</v>
      </c>
      <c r="GD60" s="63">
        <f t="shared" si="938"/>
        <v>0</v>
      </c>
      <c r="GE60" s="63">
        <f t="shared" si="939"/>
        <v>0</v>
      </c>
      <c r="GF60" s="63">
        <f t="shared" si="940"/>
        <v>0</v>
      </c>
      <c r="GG60" s="61">
        <f t="shared" si="941"/>
        <v>0</v>
      </c>
      <c r="GH60" s="64">
        <v>0</v>
      </c>
      <c r="GI60" s="65">
        <f t="shared" si="816"/>
        <v>0</v>
      </c>
      <c r="GJ60" s="212">
        <f t="shared" si="817"/>
        <v>0</v>
      </c>
      <c r="GK60" s="49">
        <v>0</v>
      </c>
      <c r="GL60" s="59"/>
      <c r="GM60" s="28">
        <f t="shared" si="818"/>
        <v>0</v>
      </c>
      <c r="GN60" s="28">
        <v>0</v>
      </c>
      <c r="GO60" s="28">
        <f t="shared" si="942"/>
        <v>0</v>
      </c>
      <c r="GP60" s="28">
        <f t="shared" si="943"/>
        <v>0</v>
      </c>
      <c r="GQ60" s="28">
        <f t="shared" si="944"/>
        <v>0</v>
      </c>
      <c r="GR60" s="63">
        <f t="shared" si="945"/>
        <v>0</v>
      </c>
      <c r="GS60" s="63">
        <f t="shared" si="946"/>
        <v>0</v>
      </c>
      <c r="GT60" s="61">
        <f t="shared" si="819"/>
        <v>0</v>
      </c>
      <c r="GU60" s="62"/>
      <c r="GV60" s="62"/>
      <c r="GW60" s="62"/>
      <c r="GX60" s="62"/>
      <c r="GY60" s="62"/>
      <c r="GZ60" s="63">
        <f t="shared" si="947"/>
        <v>0</v>
      </c>
      <c r="HA60" s="63">
        <f t="shared" si="948"/>
        <v>0</v>
      </c>
      <c r="HB60" s="63">
        <f t="shared" si="949"/>
        <v>0</v>
      </c>
      <c r="HC60" s="63">
        <f t="shared" si="950"/>
        <v>0</v>
      </c>
      <c r="HD60" s="63">
        <f t="shared" si="951"/>
        <v>0</v>
      </c>
      <c r="HE60" s="61">
        <f t="shared" si="952"/>
        <v>0</v>
      </c>
      <c r="HF60" s="64">
        <v>0</v>
      </c>
      <c r="HG60" s="65">
        <f t="shared" si="820"/>
        <v>0</v>
      </c>
      <c r="HH60" s="212">
        <f t="shared" si="821"/>
        <v>0</v>
      </c>
      <c r="HI60" s="49">
        <v>0</v>
      </c>
      <c r="HJ60" s="59"/>
      <c r="HK60" s="28">
        <f t="shared" si="822"/>
        <v>0</v>
      </c>
      <c r="HL60" s="28">
        <v>0</v>
      </c>
      <c r="HM60" s="28">
        <f t="shared" si="953"/>
        <v>0</v>
      </c>
      <c r="HN60" s="28">
        <f t="shared" si="954"/>
        <v>0</v>
      </c>
      <c r="HO60" s="28">
        <f t="shared" si="955"/>
        <v>0</v>
      </c>
      <c r="HP60" s="63">
        <f t="shared" si="956"/>
        <v>0</v>
      </c>
      <c r="HQ60" s="63">
        <f t="shared" si="957"/>
        <v>0</v>
      </c>
      <c r="HR60" s="61">
        <f t="shared" si="823"/>
        <v>0</v>
      </c>
      <c r="HS60" s="62"/>
      <c r="HT60" s="62"/>
      <c r="HU60" s="62"/>
      <c r="HV60" s="62"/>
      <c r="HW60" s="62"/>
      <c r="HX60" s="63">
        <f t="shared" si="958"/>
        <v>0</v>
      </c>
      <c r="HY60" s="63">
        <f t="shared" si="959"/>
        <v>0</v>
      </c>
      <c r="HZ60" s="63">
        <f t="shared" si="960"/>
        <v>0</v>
      </c>
      <c r="IA60" s="63">
        <f t="shared" si="961"/>
        <v>0</v>
      </c>
      <c r="IB60" s="63">
        <f t="shared" si="962"/>
        <v>0</v>
      </c>
      <c r="IC60" s="61">
        <f t="shared" si="963"/>
        <v>0</v>
      </c>
      <c r="ID60" s="64">
        <v>0</v>
      </c>
      <c r="IE60" s="65">
        <f t="shared" si="824"/>
        <v>0</v>
      </c>
      <c r="IF60" s="212">
        <f t="shared" si="825"/>
        <v>0</v>
      </c>
      <c r="IG60" s="49">
        <v>0</v>
      </c>
      <c r="IH60" s="59"/>
      <c r="II60" s="28">
        <f t="shared" si="826"/>
        <v>0</v>
      </c>
      <c r="IJ60" s="28">
        <v>0</v>
      </c>
      <c r="IK60" s="28">
        <f t="shared" si="827"/>
        <v>0</v>
      </c>
      <c r="IL60" s="28">
        <f t="shared" si="828"/>
        <v>0</v>
      </c>
      <c r="IM60" s="28">
        <f t="shared" si="829"/>
        <v>0</v>
      </c>
      <c r="IN60" s="63">
        <f t="shared" si="830"/>
        <v>0</v>
      </c>
      <c r="IO60" s="63">
        <f t="shared" si="831"/>
        <v>0</v>
      </c>
      <c r="IP60" s="61">
        <f t="shared" si="832"/>
        <v>0</v>
      </c>
      <c r="IQ60" s="62"/>
      <c r="IR60" s="62"/>
      <c r="IS60" s="62"/>
      <c r="IT60" s="62"/>
      <c r="IU60" s="62"/>
      <c r="IV60" s="63">
        <f t="shared" si="833"/>
        <v>0</v>
      </c>
      <c r="IW60" s="63">
        <f t="shared" si="834"/>
        <v>0</v>
      </c>
      <c r="IX60" s="63">
        <f t="shared" si="835"/>
        <v>0</v>
      </c>
      <c r="IY60" s="63">
        <f t="shared" si="836"/>
        <v>0</v>
      </c>
      <c r="IZ60" s="63">
        <f t="shared" si="837"/>
        <v>0</v>
      </c>
      <c r="JA60" s="61">
        <f t="shared" si="964"/>
        <v>0</v>
      </c>
      <c r="JB60" s="64">
        <v>0</v>
      </c>
      <c r="JC60" s="65">
        <f t="shared" si="838"/>
        <v>0</v>
      </c>
      <c r="JD60" s="476">
        <f t="shared" si="839"/>
        <v>0</v>
      </c>
      <c r="JE60" s="49">
        <v>0</v>
      </c>
      <c r="JF60" s="59"/>
      <c r="JG60" s="28">
        <f t="shared" si="840"/>
        <v>0</v>
      </c>
      <c r="JH60" s="28">
        <v>0</v>
      </c>
      <c r="JI60" s="28">
        <f t="shared" si="841"/>
        <v>0</v>
      </c>
      <c r="JJ60" s="28">
        <f t="shared" si="842"/>
        <v>0</v>
      </c>
      <c r="JK60" s="28">
        <f t="shared" si="843"/>
        <v>0</v>
      </c>
      <c r="JL60" s="63">
        <f t="shared" si="844"/>
        <v>0</v>
      </c>
      <c r="JM60" s="63">
        <f t="shared" si="845"/>
        <v>0</v>
      </c>
      <c r="JN60" s="61">
        <f t="shared" si="846"/>
        <v>0</v>
      </c>
      <c r="JO60" s="62"/>
      <c r="JP60" s="62"/>
      <c r="JQ60" s="62"/>
      <c r="JR60" s="62"/>
      <c r="JS60" s="62"/>
      <c r="JT60" s="63">
        <f t="shared" si="847"/>
        <v>0</v>
      </c>
      <c r="JU60" s="63">
        <f t="shared" si="848"/>
        <v>0</v>
      </c>
      <c r="JV60" s="63">
        <f t="shared" si="849"/>
        <v>0</v>
      </c>
      <c r="JW60" s="63">
        <f t="shared" si="850"/>
        <v>0</v>
      </c>
      <c r="JX60" s="63">
        <f t="shared" si="851"/>
        <v>0</v>
      </c>
      <c r="JY60" s="61">
        <f t="shared" si="965"/>
        <v>0</v>
      </c>
      <c r="JZ60" s="64">
        <v>0</v>
      </c>
      <c r="KA60" s="65">
        <f t="shared" si="852"/>
        <v>0</v>
      </c>
      <c r="KB60" s="476">
        <f t="shared" si="853"/>
        <v>0</v>
      </c>
      <c r="KC60" s="37"/>
      <c r="KD60" s="37"/>
      <c r="KE60" s="37"/>
      <c r="KF60" s="37"/>
      <c r="KG60" s="37"/>
      <c r="KH60" s="37"/>
      <c r="KI60" s="37"/>
      <c r="KJ60" s="37"/>
    </row>
    <row r="61" spans="1:296" x14ac:dyDescent="0.3">
      <c r="A61" s="49">
        <v>0</v>
      </c>
      <c r="B61" s="59"/>
      <c r="C61" s="28">
        <f t="shared" si="786"/>
        <v>0</v>
      </c>
      <c r="D61" s="28">
        <v>0</v>
      </c>
      <c r="E61" s="28">
        <f t="shared" si="854"/>
        <v>0</v>
      </c>
      <c r="F61" s="28">
        <f t="shared" si="855"/>
        <v>0</v>
      </c>
      <c r="G61" s="28">
        <f t="shared" si="856"/>
        <v>0</v>
      </c>
      <c r="H61" s="63">
        <f t="shared" si="857"/>
        <v>0</v>
      </c>
      <c r="I61" s="63">
        <f t="shared" si="858"/>
        <v>0</v>
      </c>
      <c r="J61" s="61">
        <f t="shared" si="787"/>
        <v>0</v>
      </c>
      <c r="K61" s="62"/>
      <c r="L61" s="62"/>
      <c r="M61" s="62"/>
      <c r="N61" s="62"/>
      <c r="O61" s="62"/>
      <c r="P61" s="63">
        <f t="shared" si="859"/>
        <v>0</v>
      </c>
      <c r="Q61" s="63">
        <f t="shared" si="860"/>
        <v>0</v>
      </c>
      <c r="R61" s="63">
        <f t="shared" si="861"/>
        <v>0</v>
      </c>
      <c r="S61" s="63">
        <f t="shared" si="862"/>
        <v>0</v>
      </c>
      <c r="T61" s="63">
        <f t="shared" si="863"/>
        <v>0</v>
      </c>
      <c r="U61" s="61">
        <f t="shared" si="864"/>
        <v>0</v>
      </c>
      <c r="V61" s="64">
        <v>0</v>
      </c>
      <c r="W61" s="65">
        <f t="shared" si="788"/>
        <v>0</v>
      </c>
      <c r="X61" s="212">
        <f t="shared" si="789"/>
        <v>0</v>
      </c>
      <c r="Y61" s="49">
        <v>0</v>
      </c>
      <c r="Z61" s="59"/>
      <c r="AA61" s="28">
        <f t="shared" si="790"/>
        <v>0</v>
      </c>
      <c r="AB61" s="28">
        <v>0</v>
      </c>
      <c r="AC61" s="28">
        <f t="shared" si="865"/>
        <v>0</v>
      </c>
      <c r="AD61" s="28">
        <f t="shared" si="866"/>
        <v>0</v>
      </c>
      <c r="AE61" s="28">
        <f t="shared" si="867"/>
        <v>0</v>
      </c>
      <c r="AF61" s="63">
        <f t="shared" si="868"/>
        <v>0</v>
      </c>
      <c r="AG61" s="63">
        <f t="shared" si="869"/>
        <v>0</v>
      </c>
      <c r="AH61" s="61">
        <f t="shared" si="791"/>
        <v>0</v>
      </c>
      <c r="AI61" s="62"/>
      <c r="AJ61" s="62"/>
      <c r="AK61" s="62"/>
      <c r="AL61" s="62"/>
      <c r="AM61" s="62"/>
      <c r="AN61" s="63">
        <f t="shared" si="870"/>
        <v>0</v>
      </c>
      <c r="AO61" s="63">
        <f t="shared" si="871"/>
        <v>0</v>
      </c>
      <c r="AP61" s="63">
        <f t="shared" si="872"/>
        <v>0</v>
      </c>
      <c r="AQ61" s="63">
        <f t="shared" si="873"/>
        <v>0</v>
      </c>
      <c r="AR61" s="63">
        <f t="shared" si="874"/>
        <v>0</v>
      </c>
      <c r="AS61" s="61">
        <f t="shared" si="875"/>
        <v>0</v>
      </c>
      <c r="AT61" s="64">
        <v>0</v>
      </c>
      <c r="AU61" s="65">
        <f t="shared" si="792"/>
        <v>0</v>
      </c>
      <c r="AV61" s="212">
        <f t="shared" si="793"/>
        <v>0</v>
      </c>
      <c r="AW61" s="49">
        <v>0</v>
      </c>
      <c r="AX61" s="59"/>
      <c r="AY61" s="28">
        <f t="shared" si="794"/>
        <v>0</v>
      </c>
      <c r="AZ61" s="28">
        <v>0</v>
      </c>
      <c r="BA61" s="28">
        <f t="shared" si="876"/>
        <v>0</v>
      </c>
      <c r="BB61" s="28">
        <f t="shared" si="877"/>
        <v>0</v>
      </c>
      <c r="BC61" s="28">
        <f t="shared" si="878"/>
        <v>0</v>
      </c>
      <c r="BD61" s="63">
        <f t="shared" si="879"/>
        <v>0</v>
      </c>
      <c r="BE61" s="63">
        <f t="shared" si="880"/>
        <v>0</v>
      </c>
      <c r="BF61" s="61">
        <f t="shared" si="795"/>
        <v>0</v>
      </c>
      <c r="BG61" s="62"/>
      <c r="BH61" s="62"/>
      <c r="BI61" s="62"/>
      <c r="BJ61" s="62"/>
      <c r="BK61" s="62"/>
      <c r="BL61" s="63">
        <f t="shared" si="881"/>
        <v>0</v>
      </c>
      <c r="BM61" s="63">
        <f t="shared" si="882"/>
        <v>0</v>
      </c>
      <c r="BN61" s="63">
        <f t="shared" si="883"/>
        <v>0</v>
      </c>
      <c r="BO61" s="63">
        <f t="shared" si="884"/>
        <v>0</v>
      </c>
      <c r="BP61" s="63">
        <f t="shared" si="885"/>
        <v>0</v>
      </c>
      <c r="BQ61" s="61">
        <f t="shared" si="886"/>
        <v>0</v>
      </c>
      <c r="BR61" s="64">
        <v>0</v>
      </c>
      <c r="BS61" s="65">
        <f t="shared" si="796"/>
        <v>0</v>
      </c>
      <c r="BT61" s="212">
        <f t="shared" si="797"/>
        <v>0</v>
      </c>
      <c r="BU61" s="49">
        <v>0</v>
      </c>
      <c r="BV61" s="59"/>
      <c r="BW61" s="28">
        <f t="shared" si="798"/>
        <v>0</v>
      </c>
      <c r="BX61" s="28">
        <v>0</v>
      </c>
      <c r="BY61" s="28">
        <f t="shared" si="887"/>
        <v>0</v>
      </c>
      <c r="BZ61" s="28">
        <f t="shared" si="888"/>
        <v>0</v>
      </c>
      <c r="CA61" s="28">
        <f t="shared" si="889"/>
        <v>0</v>
      </c>
      <c r="CB61" s="63">
        <f t="shared" si="890"/>
        <v>0</v>
      </c>
      <c r="CC61" s="63">
        <f t="shared" si="891"/>
        <v>0</v>
      </c>
      <c r="CD61" s="61">
        <f t="shared" si="799"/>
        <v>0</v>
      </c>
      <c r="CE61" s="62"/>
      <c r="CF61" s="62"/>
      <c r="CG61" s="62"/>
      <c r="CH61" s="62"/>
      <c r="CI61" s="62"/>
      <c r="CJ61" s="63">
        <f t="shared" si="892"/>
        <v>0</v>
      </c>
      <c r="CK61" s="63">
        <f t="shared" si="893"/>
        <v>0</v>
      </c>
      <c r="CL61" s="63">
        <f t="shared" si="894"/>
        <v>0</v>
      </c>
      <c r="CM61" s="63">
        <f t="shared" si="895"/>
        <v>0</v>
      </c>
      <c r="CN61" s="63">
        <f t="shared" si="896"/>
        <v>0</v>
      </c>
      <c r="CO61" s="61">
        <f t="shared" si="897"/>
        <v>0</v>
      </c>
      <c r="CP61" s="64">
        <v>0</v>
      </c>
      <c r="CQ61" s="65">
        <f t="shared" si="800"/>
        <v>0</v>
      </c>
      <c r="CR61" s="212">
        <f t="shared" si="801"/>
        <v>0</v>
      </c>
      <c r="CS61" s="49">
        <v>0</v>
      </c>
      <c r="CT61" s="59"/>
      <c r="CU61" s="28">
        <f t="shared" si="802"/>
        <v>0</v>
      </c>
      <c r="CV61" s="28">
        <v>0</v>
      </c>
      <c r="CW61" s="28">
        <f t="shared" si="898"/>
        <v>0</v>
      </c>
      <c r="CX61" s="28">
        <f t="shared" si="899"/>
        <v>0</v>
      </c>
      <c r="CY61" s="28">
        <f t="shared" si="900"/>
        <v>0</v>
      </c>
      <c r="CZ61" s="63">
        <f t="shared" si="901"/>
        <v>0</v>
      </c>
      <c r="DA61" s="63">
        <f t="shared" si="902"/>
        <v>0</v>
      </c>
      <c r="DB61" s="61">
        <f t="shared" si="803"/>
        <v>0</v>
      </c>
      <c r="DC61" s="62"/>
      <c r="DD61" s="62"/>
      <c r="DE61" s="62"/>
      <c r="DF61" s="62"/>
      <c r="DG61" s="62"/>
      <c r="DH61" s="63">
        <f t="shared" si="903"/>
        <v>0</v>
      </c>
      <c r="DI61" s="63">
        <f t="shared" si="904"/>
        <v>0</v>
      </c>
      <c r="DJ61" s="63">
        <f t="shared" si="905"/>
        <v>0</v>
      </c>
      <c r="DK61" s="63">
        <f t="shared" si="906"/>
        <v>0</v>
      </c>
      <c r="DL61" s="63">
        <f t="shared" si="907"/>
        <v>0</v>
      </c>
      <c r="DM61" s="61">
        <f t="shared" si="908"/>
        <v>0</v>
      </c>
      <c r="DN61" s="64">
        <v>0</v>
      </c>
      <c r="DO61" s="65">
        <f t="shared" si="804"/>
        <v>0</v>
      </c>
      <c r="DP61" s="212">
        <f t="shared" si="805"/>
        <v>0</v>
      </c>
      <c r="DQ61" s="49">
        <v>0</v>
      </c>
      <c r="DR61" s="59"/>
      <c r="DS61" s="28">
        <f t="shared" si="806"/>
        <v>0</v>
      </c>
      <c r="DT61" s="28">
        <v>0</v>
      </c>
      <c r="DU61" s="28">
        <f t="shared" si="909"/>
        <v>0</v>
      </c>
      <c r="DV61" s="28">
        <f t="shared" si="910"/>
        <v>0</v>
      </c>
      <c r="DW61" s="28">
        <f t="shared" si="911"/>
        <v>0</v>
      </c>
      <c r="DX61" s="63">
        <f t="shared" si="912"/>
        <v>0</v>
      </c>
      <c r="DY61" s="63">
        <f t="shared" si="913"/>
        <v>0</v>
      </c>
      <c r="DZ61" s="61">
        <f t="shared" si="807"/>
        <v>0</v>
      </c>
      <c r="EA61" s="62"/>
      <c r="EB61" s="62"/>
      <c r="EC61" s="62"/>
      <c r="ED61" s="62"/>
      <c r="EE61" s="62"/>
      <c r="EF61" s="63">
        <f t="shared" si="914"/>
        <v>0</v>
      </c>
      <c r="EG61" s="63">
        <f t="shared" si="915"/>
        <v>0</v>
      </c>
      <c r="EH61" s="63">
        <f t="shared" si="916"/>
        <v>0</v>
      </c>
      <c r="EI61" s="63">
        <f t="shared" si="917"/>
        <v>0</v>
      </c>
      <c r="EJ61" s="63">
        <f t="shared" si="918"/>
        <v>0</v>
      </c>
      <c r="EK61" s="61">
        <f t="shared" si="919"/>
        <v>0</v>
      </c>
      <c r="EL61" s="64">
        <v>0</v>
      </c>
      <c r="EM61" s="65">
        <f t="shared" si="808"/>
        <v>0</v>
      </c>
      <c r="EN61" s="212">
        <f t="shared" si="809"/>
        <v>0</v>
      </c>
      <c r="EO61" s="49">
        <v>0</v>
      </c>
      <c r="EP61" s="59"/>
      <c r="EQ61" s="28">
        <f t="shared" si="810"/>
        <v>0</v>
      </c>
      <c r="ER61" s="28">
        <v>0</v>
      </c>
      <c r="ES61" s="28">
        <f t="shared" si="920"/>
        <v>0</v>
      </c>
      <c r="ET61" s="28">
        <f t="shared" si="921"/>
        <v>0</v>
      </c>
      <c r="EU61" s="28">
        <f t="shared" si="922"/>
        <v>0</v>
      </c>
      <c r="EV61" s="63">
        <f t="shared" si="923"/>
        <v>0</v>
      </c>
      <c r="EW61" s="63">
        <f t="shared" si="924"/>
        <v>0</v>
      </c>
      <c r="EX61" s="61">
        <f t="shared" si="811"/>
        <v>0</v>
      </c>
      <c r="EY61" s="62"/>
      <c r="EZ61" s="62"/>
      <c r="FA61" s="62"/>
      <c r="FB61" s="62"/>
      <c r="FC61" s="62"/>
      <c r="FD61" s="63">
        <f t="shared" si="925"/>
        <v>0</v>
      </c>
      <c r="FE61" s="63">
        <f t="shared" si="926"/>
        <v>0</v>
      </c>
      <c r="FF61" s="63">
        <f t="shared" si="927"/>
        <v>0</v>
      </c>
      <c r="FG61" s="63">
        <f t="shared" si="928"/>
        <v>0</v>
      </c>
      <c r="FH61" s="63">
        <f t="shared" si="929"/>
        <v>0</v>
      </c>
      <c r="FI61" s="61">
        <f t="shared" si="930"/>
        <v>0</v>
      </c>
      <c r="FJ61" s="64">
        <v>0</v>
      </c>
      <c r="FK61" s="65">
        <f t="shared" si="812"/>
        <v>0</v>
      </c>
      <c r="FL61" s="212">
        <f t="shared" si="813"/>
        <v>0</v>
      </c>
      <c r="FM61" s="49">
        <v>0</v>
      </c>
      <c r="FN61" s="59"/>
      <c r="FO61" s="28">
        <f t="shared" si="814"/>
        <v>0</v>
      </c>
      <c r="FP61" s="28">
        <v>0</v>
      </c>
      <c r="FQ61" s="28">
        <f t="shared" si="931"/>
        <v>0</v>
      </c>
      <c r="FR61" s="28">
        <f t="shared" si="932"/>
        <v>0</v>
      </c>
      <c r="FS61" s="28">
        <f t="shared" si="933"/>
        <v>0</v>
      </c>
      <c r="FT61" s="63">
        <f t="shared" si="934"/>
        <v>0</v>
      </c>
      <c r="FU61" s="63">
        <f t="shared" si="935"/>
        <v>0</v>
      </c>
      <c r="FV61" s="61">
        <f t="shared" si="815"/>
        <v>0</v>
      </c>
      <c r="FW61" s="62"/>
      <c r="FX61" s="62"/>
      <c r="FY61" s="62"/>
      <c r="FZ61" s="62"/>
      <c r="GA61" s="62"/>
      <c r="GB61" s="63">
        <f t="shared" si="936"/>
        <v>0</v>
      </c>
      <c r="GC61" s="63">
        <f t="shared" si="937"/>
        <v>0</v>
      </c>
      <c r="GD61" s="63">
        <f t="shared" si="938"/>
        <v>0</v>
      </c>
      <c r="GE61" s="63">
        <f t="shared" si="939"/>
        <v>0</v>
      </c>
      <c r="GF61" s="63">
        <f t="shared" si="940"/>
        <v>0</v>
      </c>
      <c r="GG61" s="61">
        <f t="shared" si="941"/>
        <v>0</v>
      </c>
      <c r="GH61" s="64">
        <v>0</v>
      </c>
      <c r="GI61" s="65">
        <f t="shared" si="816"/>
        <v>0</v>
      </c>
      <c r="GJ61" s="212">
        <f t="shared" si="817"/>
        <v>0</v>
      </c>
      <c r="GK61" s="49">
        <v>0</v>
      </c>
      <c r="GL61" s="59"/>
      <c r="GM61" s="28">
        <f t="shared" si="818"/>
        <v>0</v>
      </c>
      <c r="GN61" s="28">
        <v>0</v>
      </c>
      <c r="GO61" s="28">
        <f t="shared" si="942"/>
        <v>0</v>
      </c>
      <c r="GP61" s="28">
        <f t="shared" si="943"/>
        <v>0</v>
      </c>
      <c r="GQ61" s="28">
        <f t="shared" si="944"/>
        <v>0</v>
      </c>
      <c r="GR61" s="63">
        <f t="shared" si="945"/>
        <v>0</v>
      </c>
      <c r="GS61" s="63">
        <f t="shared" si="946"/>
        <v>0</v>
      </c>
      <c r="GT61" s="61">
        <f t="shared" si="819"/>
        <v>0</v>
      </c>
      <c r="GU61" s="62"/>
      <c r="GV61" s="62"/>
      <c r="GW61" s="62"/>
      <c r="GX61" s="62"/>
      <c r="GY61" s="62"/>
      <c r="GZ61" s="63">
        <f t="shared" si="947"/>
        <v>0</v>
      </c>
      <c r="HA61" s="63">
        <f t="shared" si="948"/>
        <v>0</v>
      </c>
      <c r="HB61" s="63">
        <f t="shared" si="949"/>
        <v>0</v>
      </c>
      <c r="HC61" s="63">
        <f t="shared" si="950"/>
        <v>0</v>
      </c>
      <c r="HD61" s="63">
        <f t="shared" si="951"/>
        <v>0</v>
      </c>
      <c r="HE61" s="61">
        <f t="shared" si="952"/>
        <v>0</v>
      </c>
      <c r="HF61" s="64">
        <v>0</v>
      </c>
      <c r="HG61" s="65">
        <f t="shared" si="820"/>
        <v>0</v>
      </c>
      <c r="HH61" s="212">
        <f t="shared" si="821"/>
        <v>0</v>
      </c>
      <c r="HI61" s="49">
        <v>0</v>
      </c>
      <c r="HJ61" s="59"/>
      <c r="HK61" s="28">
        <f t="shared" si="822"/>
        <v>0</v>
      </c>
      <c r="HL61" s="28">
        <v>0</v>
      </c>
      <c r="HM61" s="28">
        <f t="shared" si="953"/>
        <v>0</v>
      </c>
      <c r="HN61" s="28">
        <f t="shared" si="954"/>
        <v>0</v>
      </c>
      <c r="HO61" s="28">
        <f t="shared" si="955"/>
        <v>0</v>
      </c>
      <c r="HP61" s="63">
        <f t="shared" si="956"/>
        <v>0</v>
      </c>
      <c r="HQ61" s="63">
        <f t="shared" si="957"/>
        <v>0</v>
      </c>
      <c r="HR61" s="61">
        <f t="shared" si="823"/>
        <v>0</v>
      </c>
      <c r="HS61" s="62"/>
      <c r="HT61" s="62"/>
      <c r="HU61" s="62"/>
      <c r="HV61" s="62"/>
      <c r="HW61" s="62"/>
      <c r="HX61" s="63">
        <f t="shared" si="958"/>
        <v>0</v>
      </c>
      <c r="HY61" s="63">
        <f t="shared" si="959"/>
        <v>0</v>
      </c>
      <c r="HZ61" s="63">
        <f t="shared" si="960"/>
        <v>0</v>
      </c>
      <c r="IA61" s="63">
        <f t="shared" si="961"/>
        <v>0</v>
      </c>
      <c r="IB61" s="63">
        <f t="shared" si="962"/>
        <v>0</v>
      </c>
      <c r="IC61" s="61">
        <f t="shared" si="963"/>
        <v>0</v>
      </c>
      <c r="ID61" s="64">
        <v>0</v>
      </c>
      <c r="IE61" s="65">
        <f t="shared" si="824"/>
        <v>0</v>
      </c>
      <c r="IF61" s="212">
        <f t="shared" si="825"/>
        <v>0</v>
      </c>
      <c r="IG61" s="49">
        <v>0</v>
      </c>
      <c r="IH61" s="59"/>
      <c r="II61" s="28">
        <f t="shared" si="826"/>
        <v>0</v>
      </c>
      <c r="IJ61" s="28">
        <v>0</v>
      </c>
      <c r="IK61" s="28">
        <f t="shared" si="827"/>
        <v>0</v>
      </c>
      <c r="IL61" s="28">
        <f t="shared" si="828"/>
        <v>0</v>
      </c>
      <c r="IM61" s="28">
        <f t="shared" si="829"/>
        <v>0</v>
      </c>
      <c r="IN61" s="63">
        <f t="shared" si="830"/>
        <v>0</v>
      </c>
      <c r="IO61" s="63">
        <f t="shared" si="831"/>
        <v>0</v>
      </c>
      <c r="IP61" s="61">
        <f t="shared" si="832"/>
        <v>0</v>
      </c>
      <c r="IQ61" s="62"/>
      <c r="IR61" s="62"/>
      <c r="IS61" s="62"/>
      <c r="IT61" s="62"/>
      <c r="IU61" s="62"/>
      <c r="IV61" s="63">
        <f t="shared" si="833"/>
        <v>0</v>
      </c>
      <c r="IW61" s="63">
        <f t="shared" si="834"/>
        <v>0</v>
      </c>
      <c r="IX61" s="63">
        <f t="shared" si="835"/>
        <v>0</v>
      </c>
      <c r="IY61" s="63">
        <f t="shared" si="836"/>
        <v>0</v>
      </c>
      <c r="IZ61" s="63">
        <f t="shared" si="837"/>
        <v>0</v>
      </c>
      <c r="JA61" s="61">
        <f t="shared" si="964"/>
        <v>0</v>
      </c>
      <c r="JB61" s="64">
        <v>0</v>
      </c>
      <c r="JC61" s="65">
        <f t="shared" si="838"/>
        <v>0</v>
      </c>
      <c r="JD61" s="476">
        <f t="shared" si="839"/>
        <v>0</v>
      </c>
      <c r="JE61" s="49">
        <v>0</v>
      </c>
      <c r="JF61" s="59"/>
      <c r="JG61" s="28">
        <f t="shared" si="840"/>
        <v>0</v>
      </c>
      <c r="JH61" s="28">
        <v>0</v>
      </c>
      <c r="JI61" s="28">
        <f t="shared" si="841"/>
        <v>0</v>
      </c>
      <c r="JJ61" s="28">
        <f t="shared" si="842"/>
        <v>0</v>
      </c>
      <c r="JK61" s="28">
        <f t="shared" si="843"/>
        <v>0</v>
      </c>
      <c r="JL61" s="63">
        <f t="shared" si="844"/>
        <v>0</v>
      </c>
      <c r="JM61" s="63">
        <f t="shared" si="845"/>
        <v>0</v>
      </c>
      <c r="JN61" s="61">
        <f t="shared" si="846"/>
        <v>0</v>
      </c>
      <c r="JO61" s="62"/>
      <c r="JP61" s="62"/>
      <c r="JQ61" s="62"/>
      <c r="JR61" s="62"/>
      <c r="JS61" s="62"/>
      <c r="JT61" s="63">
        <f t="shared" si="847"/>
        <v>0</v>
      </c>
      <c r="JU61" s="63">
        <f t="shared" si="848"/>
        <v>0</v>
      </c>
      <c r="JV61" s="63">
        <f t="shared" si="849"/>
        <v>0</v>
      </c>
      <c r="JW61" s="63">
        <f t="shared" si="850"/>
        <v>0</v>
      </c>
      <c r="JX61" s="63">
        <f t="shared" si="851"/>
        <v>0</v>
      </c>
      <c r="JY61" s="61">
        <f t="shared" si="965"/>
        <v>0</v>
      </c>
      <c r="JZ61" s="64">
        <v>0</v>
      </c>
      <c r="KA61" s="65">
        <f t="shared" si="852"/>
        <v>0</v>
      </c>
      <c r="KB61" s="476">
        <f t="shared" si="853"/>
        <v>0</v>
      </c>
      <c r="KC61" s="37"/>
      <c r="KD61" s="37"/>
      <c r="KE61" s="37"/>
      <c r="KF61" s="37"/>
      <c r="KG61" s="37"/>
      <c r="KH61" s="37"/>
      <c r="KI61" s="37"/>
      <c r="KJ61" s="37"/>
    </row>
    <row r="62" spans="1:296" ht="15.6" x14ac:dyDescent="0.3">
      <c r="A62" s="385"/>
      <c r="B62" s="383"/>
      <c r="C62" s="383"/>
      <c r="D62" s="383"/>
      <c r="E62" s="383"/>
      <c r="F62" s="383"/>
      <c r="G62" s="383"/>
      <c r="H62" s="383"/>
      <c r="I62" s="383"/>
      <c r="J62" s="383"/>
      <c r="K62" s="383"/>
      <c r="L62" s="383"/>
      <c r="M62" s="383"/>
      <c r="N62" s="383"/>
      <c r="O62" s="383"/>
      <c r="P62" s="383"/>
      <c r="Q62" s="383"/>
      <c r="R62" s="383"/>
      <c r="S62" s="383"/>
      <c r="T62" s="383"/>
      <c r="U62" s="383"/>
      <c r="V62" s="384"/>
      <c r="W62" s="272" t="s">
        <v>7</v>
      </c>
      <c r="X62" s="213">
        <f>SUM(X56:X61)</f>
        <v>3023.7777777777783</v>
      </c>
      <c r="Y62" s="385"/>
      <c r="Z62" s="383"/>
      <c r="AA62" s="383"/>
      <c r="AB62" s="383"/>
      <c r="AC62" s="383"/>
      <c r="AD62" s="383"/>
      <c r="AE62" s="383"/>
      <c r="AF62" s="383"/>
      <c r="AG62" s="383"/>
      <c r="AH62" s="383"/>
      <c r="AI62" s="383"/>
      <c r="AJ62" s="383"/>
      <c r="AK62" s="383"/>
      <c r="AL62" s="383"/>
      <c r="AM62" s="383"/>
      <c r="AN62" s="383"/>
      <c r="AO62" s="383"/>
      <c r="AP62" s="383"/>
      <c r="AQ62" s="383"/>
      <c r="AR62" s="383"/>
      <c r="AS62" s="383"/>
      <c r="AT62" s="384"/>
      <c r="AU62" s="272" t="s">
        <v>7</v>
      </c>
      <c r="AV62" s="213">
        <f>SUM(AV56:AV61)</f>
        <v>3023.7777777777783</v>
      </c>
      <c r="AW62" s="385"/>
      <c r="AX62" s="383"/>
      <c r="AY62" s="383"/>
      <c r="AZ62" s="383"/>
      <c r="BA62" s="383"/>
      <c r="BB62" s="383"/>
      <c r="BC62" s="383"/>
      <c r="BD62" s="383"/>
      <c r="BE62" s="383"/>
      <c r="BF62" s="383"/>
      <c r="BG62" s="383"/>
      <c r="BH62" s="383"/>
      <c r="BI62" s="383"/>
      <c r="BJ62" s="383"/>
      <c r="BK62" s="383"/>
      <c r="BL62" s="383"/>
      <c r="BM62" s="383"/>
      <c r="BN62" s="383"/>
      <c r="BO62" s="383"/>
      <c r="BP62" s="383"/>
      <c r="BQ62" s="383"/>
      <c r="BR62" s="384"/>
      <c r="BS62" s="272" t="s">
        <v>7</v>
      </c>
      <c r="BT62" s="213">
        <f>SUM(BT56:BT61)</f>
        <v>3023.7777777777783</v>
      </c>
      <c r="BU62" s="385"/>
      <c r="BV62" s="383"/>
      <c r="BW62" s="383"/>
      <c r="BX62" s="383"/>
      <c r="BY62" s="383"/>
      <c r="BZ62" s="383"/>
      <c r="CA62" s="383"/>
      <c r="CB62" s="383"/>
      <c r="CC62" s="383"/>
      <c r="CD62" s="383"/>
      <c r="CE62" s="383"/>
      <c r="CF62" s="383"/>
      <c r="CG62" s="383"/>
      <c r="CH62" s="383"/>
      <c r="CI62" s="383"/>
      <c r="CJ62" s="383"/>
      <c r="CK62" s="383"/>
      <c r="CL62" s="383"/>
      <c r="CM62" s="383"/>
      <c r="CN62" s="383"/>
      <c r="CO62" s="383"/>
      <c r="CP62" s="384"/>
      <c r="CQ62" s="272" t="s">
        <v>7</v>
      </c>
      <c r="CR62" s="213">
        <f>SUM(CR56:CR61)</f>
        <v>3023.7777777777783</v>
      </c>
      <c r="CS62" s="385"/>
      <c r="CT62" s="383"/>
      <c r="CU62" s="383"/>
      <c r="CV62" s="383"/>
      <c r="CW62" s="383"/>
      <c r="CX62" s="383"/>
      <c r="CY62" s="383"/>
      <c r="CZ62" s="383"/>
      <c r="DA62" s="383"/>
      <c r="DB62" s="383"/>
      <c r="DC62" s="383"/>
      <c r="DD62" s="383"/>
      <c r="DE62" s="383"/>
      <c r="DF62" s="383"/>
      <c r="DG62" s="383"/>
      <c r="DH62" s="383"/>
      <c r="DI62" s="383"/>
      <c r="DJ62" s="383"/>
      <c r="DK62" s="383"/>
      <c r="DL62" s="383"/>
      <c r="DM62" s="383"/>
      <c r="DN62" s="384"/>
      <c r="DO62" s="272" t="s">
        <v>7</v>
      </c>
      <c r="DP62" s="213">
        <f>SUM(DP56:DP61)</f>
        <v>3023.7777777777783</v>
      </c>
      <c r="DQ62" s="385"/>
      <c r="DR62" s="383"/>
      <c r="DS62" s="383"/>
      <c r="DT62" s="383"/>
      <c r="DU62" s="383"/>
      <c r="DV62" s="383"/>
      <c r="DW62" s="383"/>
      <c r="DX62" s="383"/>
      <c r="DY62" s="383"/>
      <c r="DZ62" s="383"/>
      <c r="EA62" s="383"/>
      <c r="EB62" s="383"/>
      <c r="EC62" s="383"/>
      <c r="ED62" s="383"/>
      <c r="EE62" s="383"/>
      <c r="EF62" s="383"/>
      <c r="EG62" s="383"/>
      <c r="EH62" s="383"/>
      <c r="EI62" s="383"/>
      <c r="EJ62" s="383"/>
      <c r="EK62" s="383"/>
      <c r="EL62" s="384"/>
      <c r="EM62" s="272" t="s">
        <v>7</v>
      </c>
      <c r="EN62" s="213">
        <f>SUM(EN56:EN61)</f>
        <v>3023.7777777777783</v>
      </c>
      <c r="EO62" s="385"/>
      <c r="EP62" s="383"/>
      <c r="EQ62" s="383"/>
      <c r="ER62" s="383"/>
      <c r="ES62" s="383"/>
      <c r="ET62" s="383"/>
      <c r="EU62" s="383"/>
      <c r="EV62" s="383"/>
      <c r="EW62" s="383"/>
      <c r="EX62" s="383"/>
      <c r="EY62" s="383"/>
      <c r="EZ62" s="383"/>
      <c r="FA62" s="383"/>
      <c r="FB62" s="383"/>
      <c r="FC62" s="383"/>
      <c r="FD62" s="383"/>
      <c r="FE62" s="383"/>
      <c r="FF62" s="383"/>
      <c r="FG62" s="383"/>
      <c r="FH62" s="383"/>
      <c r="FI62" s="383"/>
      <c r="FJ62" s="384"/>
      <c r="FK62" s="272" t="s">
        <v>7</v>
      </c>
      <c r="FL62" s="213">
        <f>SUM(FL56:FL61)</f>
        <v>3023.7777777777783</v>
      </c>
      <c r="FM62" s="385"/>
      <c r="FN62" s="383"/>
      <c r="FO62" s="383"/>
      <c r="FP62" s="383"/>
      <c r="FQ62" s="383"/>
      <c r="FR62" s="383"/>
      <c r="FS62" s="383"/>
      <c r="FT62" s="383"/>
      <c r="FU62" s="383"/>
      <c r="FV62" s="383"/>
      <c r="FW62" s="383"/>
      <c r="FX62" s="383"/>
      <c r="FY62" s="383"/>
      <c r="FZ62" s="383"/>
      <c r="GA62" s="383"/>
      <c r="GB62" s="383"/>
      <c r="GC62" s="383"/>
      <c r="GD62" s="383"/>
      <c r="GE62" s="383"/>
      <c r="GF62" s="383"/>
      <c r="GG62" s="383"/>
      <c r="GH62" s="384"/>
      <c r="GI62" s="272" t="s">
        <v>7</v>
      </c>
      <c r="GJ62" s="213">
        <f>SUM(GJ56:GJ61)</f>
        <v>3023.7777777777783</v>
      </c>
      <c r="GK62" s="385"/>
      <c r="GL62" s="383"/>
      <c r="GM62" s="383"/>
      <c r="GN62" s="383"/>
      <c r="GO62" s="383"/>
      <c r="GP62" s="383"/>
      <c r="GQ62" s="383"/>
      <c r="GR62" s="383"/>
      <c r="GS62" s="383"/>
      <c r="GT62" s="383"/>
      <c r="GU62" s="383"/>
      <c r="GV62" s="383"/>
      <c r="GW62" s="383"/>
      <c r="GX62" s="383"/>
      <c r="GY62" s="383"/>
      <c r="GZ62" s="383"/>
      <c r="HA62" s="383"/>
      <c r="HB62" s="383"/>
      <c r="HC62" s="383"/>
      <c r="HD62" s="383"/>
      <c r="HE62" s="383"/>
      <c r="HF62" s="384"/>
      <c r="HG62" s="272" t="s">
        <v>7</v>
      </c>
      <c r="HH62" s="213">
        <f>SUM(HH56:HH61)</f>
        <v>3023.7777777777783</v>
      </c>
      <c r="HI62" s="385"/>
      <c r="HJ62" s="383"/>
      <c r="HK62" s="383"/>
      <c r="HL62" s="383"/>
      <c r="HM62" s="383"/>
      <c r="HN62" s="383"/>
      <c r="HO62" s="383"/>
      <c r="HP62" s="383"/>
      <c r="HQ62" s="383"/>
      <c r="HR62" s="383"/>
      <c r="HS62" s="383"/>
      <c r="HT62" s="383"/>
      <c r="HU62" s="383"/>
      <c r="HV62" s="383"/>
      <c r="HW62" s="383"/>
      <c r="HX62" s="383"/>
      <c r="HY62" s="383"/>
      <c r="HZ62" s="383"/>
      <c r="IA62" s="383"/>
      <c r="IB62" s="383"/>
      <c r="IC62" s="383"/>
      <c r="ID62" s="384"/>
      <c r="IE62" s="272" t="s">
        <v>7</v>
      </c>
      <c r="IF62" s="213">
        <f>SUM(IF56:IF61)</f>
        <v>3023.7777777777783</v>
      </c>
      <c r="IG62" s="385"/>
      <c r="IH62" s="383"/>
      <c r="II62" s="383"/>
      <c r="IJ62" s="383"/>
      <c r="IK62" s="383"/>
      <c r="IL62" s="383"/>
      <c r="IM62" s="383"/>
      <c r="IN62" s="383"/>
      <c r="IO62" s="383"/>
      <c r="IP62" s="383"/>
      <c r="IQ62" s="383"/>
      <c r="IR62" s="383"/>
      <c r="IS62" s="383"/>
      <c r="IT62" s="383"/>
      <c r="IU62" s="383"/>
      <c r="IV62" s="383"/>
      <c r="IW62" s="383"/>
      <c r="IX62" s="383"/>
      <c r="IY62" s="383"/>
      <c r="IZ62" s="383"/>
      <c r="JA62" s="383"/>
      <c r="JB62" s="384"/>
      <c r="JC62" s="272" t="s">
        <v>7</v>
      </c>
      <c r="JD62" s="470">
        <f>SUM(JD56:JD61)</f>
        <v>3023.7777777777783</v>
      </c>
      <c r="JE62" s="385"/>
      <c r="JF62" s="383"/>
      <c r="JG62" s="383"/>
      <c r="JH62" s="383"/>
      <c r="JI62" s="383"/>
      <c r="JJ62" s="383"/>
      <c r="JK62" s="383"/>
      <c r="JL62" s="383"/>
      <c r="JM62" s="383"/>
      <c r="JN62" s="383"/>
      <c r="JO62" s="383"/>
      <c r="JP62" s="383"/>
      <c r="JQ62" s="383"/>
      <c r="JR62" s="383"/>
      <c r="JS62" s="383"/>
      <c r="JT62" s="383"/>
      <c r="JU62" s="383"/>
      <c r="JV62" s="383"/>
      <c r="JW62" s="383"/>
      <c r="JX62" s="383"/>
      <c r="JY62" s="383"/>
      <c r="JZ62" s="384"/>
      <c r="KA62" s="272" t="s">
        <v>7</v>
      </c>
      <c r="KB62" s="470">
        <f>SUM(KB56:KB61)</f>
        <v>3023.7777777777783</v>
      </c>
      <c r="KC62" s="37"/>
      <c r="KD62" s="37"/>
      <c r="KE62" s="37"/>
      <c r="KF62" s="37"/>
      <c r="KG62" s="37"/>
      <c r="KH62" s="37"/>
      <c r="KI62" s="37"/>
      <c r="KJ62" s="37"/>
    </row>
    <row r="63" spans="1:296" ht="15" hidden="1" customHeight="1" x14ac:dyDescent="0.3">
      <c r="A63" s="389"/>
      <c r="B63" s="390"/>
      <c r="C63" s="390"/>
      <c r="D63" s="390"/>
      <c r="E63" s="598" t="s">
        <v>115</v>
      </c>
      <c r="F63" s="598"/>
      <c r="G63" s="598"/>
      <c r="H63" s="598"/>
      <c r="I63" s="598"/>
      <c r="J63" s="598"/>
      <c r="K63" s="598"/>
      <c r="L63" s="598"/>
      <c r="M63" s="598"/>
      <c r="N63" s="598"/>
      <c r="O63" s="598"/>
      <c r="P63" s="598"/>
      <c r="Q63" s="454"/>
      <c r="R63" s="454"/>
      <c r="S63" s="390"/>
      <c r="T63" s="390"/>
      <c r="U63" s="390"/>
      <c r="V63" s="390"/>
      <c r="W63" s="390"/>
      <c r="X63" s="391"/>
      <c r="Y63" s="389"/>
      <c r="Z63" s="390"/>
      <c r="AA63" s="390"/>
      <c r="AB63" s="390"/>
      <c r="AC63" s="598" t="s">
        <v>115</v>
      </c>
      <c r="AD63" s="598"/>
      <c r="AE63" s="598"/>
      <c r="AF63" s="598"/>
      <c r="AG63" s="598"/>
      <c r="AH63" s="598"/>
      <c r="AI63" s="598"/>
      <c r="AJ63" s="598"/>
      <c r="AK63" s="598"/>
      <c r="AL63" s="598"/>
      <c r="AM63" s="598"/>
      <c r="AN63" s="598"/>
      <c r="AO63" s="454"/>
      <c r="AP63" s="454"/>
      <c r="AQ63" s="390"/>
      <c r="AR63" s="390"/>
      <c r="AS63" s="390"/>
      <c r="AT63" s="390"/>
      <c r="AU63" s="390"/>
      <c r="AV63" s="391"/>
      <c r="AW63" s="389"/>
      <c r="AX63" s="390"/>
      <c r="AY63" s="390"/>
      <c r="AZ63" s="390"/>
      <c r="BA63" s="598" t="s">
        <v>115</v>
      </c>
      <c r="BB63" s="598"/>
      <c r="BC63" s="598"/>
      <c r="BD63" s="598"/>
      <c r="BE63" s="598"/>
      <c r="BF63" s="598"/>
      <c r="BG63" s="598"/>
      <c r="BH63" s="598"/>
      <c r="BI63" s="598"/>
      <c r="BJ63" s="598"/>
      <c r="BK63" s="598"/>
      <c r="BL63" s="598"/>
      <c r="BM63" s="454"/>
      <c r="BN63" s="454"/>
      <c r="BO63" s="390"/>
      <c r="BP63" s="390"/>
      <c r="BQ63" s="390"/>
      <c r="BR63" s="390"/>
      <c r="BS63" s="390"/>
      <c r="BT63" s="391"/>
      <c r="BU63" s="389"/>
      <c r="BV63" s="390"/>
      <c r="BW63" s="390"/>
      <c r="BX63" s="390"/>
      <c r="BY63" s="598" t="s">
        <v>115</v>
      </c>
      <c r="BZ63" s="598"/>
      <c r="CA63" s="598"/>
      <c r="CB63" s="598"/>
      <c r="CC63" s="598"/>
      <c r="CD63" s="598"/>
      <c r="CE63" s="598"/>
      <c r="CF63" s="598"/>
      <c r="CG63" s="598"/>
      <c r="CH63" s="598"/>
      <c r="CI63" s="598"/>
      <c r="CJ63" s="598"/>
      <c r="CK63" s="454"/>
      <c r="CL63" s="454"/>
      <c r="CM63" s="390"/>
      <c r="CN63" s="390"/>
      <c r="CO63" s="390"/>
      <c r="CP63" s="390"/>
      <c r="CQ63" s="390"/>
      <c r="CR63" s="391"/>
      <c r="CS63" s="389"/>
      <c r="CT63" s="390"/>
      <c r="CU63" s="390"/>
      <c r="CV63" s="390"/>
      <c r="CW63" s="598" t="s">
        <v>115</v>
      </c>
      <c r="CX63" s="598"/>
      <c r="CY63" s="598"/>
      <c r="CZ63" s="598"/>
      <c r="DA63" s="598"/>
      <c r="DB63" s="598"/>
      <c r="DC63" s="598"/>
      <c r="DD63" s="598"/>
      <c r="DE63" s="598"/>
      <c r="DF63" s="598"/>
      <c r="DG63" s="598"/>
      <c r="DH63" s="598"/>
      <c r="DI63" s="454"/>
      <c r="DJ63" s="454"/>
      <c r="DK63" s="390"/>
      <c r="DL63" s="390"/>
      <c r="DM63" s="390"/>
      <c r="DN63" s="390"/>
      <c r="DO63" s="390"/>
      <c r="DP63" s="391"/>
      <c r="DQ63" s="389"/>
      <c r="DR63" s="390"/>
      <c r="DS63" s="390"/>
      <c r="DT63" s="390"/>
      <c r="DU63" s="598" t="s">
        <v>115</v>
      </c>
      <c r="DV63" s="598"/>
      <c r="DW63" s="598"/>
      <c r="DX63" s="598"/>
      <c r="DY63" s="598"/>
      <c r="DZ63" s="598"/>
      <c r="EA63" s="598"/>
      <c r="EB63" s="598"/>
      <c r="EC63" s="598"/>
      <c r="ED63" s="598"/>
      <c r="EE63" s="598"/>
      <c r="EF63" s="598"/>
      <c r="EG63" s="454"/>
      <c r="EH63" s="454"/>
      <c r="EI63" s="390"/>
      <c r="EJ63" s="390"/>
      <c r="EK63" s="390"/>
      <c r="EL63" s="390"/>
      <c r="EM63" s="390"/>
      <c r="EN63" s="391"/>
      <c r="EO63" s="389"/>
      <c r="EP63" s="390"/>
      <c r="EQ63" s="390"/>
      <c r="ER63" s="390"/>
      <c r="ES63" s="598" t="s">
        <v>115</v>
      </c>
      <c r="ET63" s="598"/>
      <c r="EU63" s="598"/>
      <c r="EV63" s="598"/>
      <c r="EW63" s="598"/>
      <c r="EX63" s="598"/>
      <c r="EY63" s="598"/>
      <c r="EZ63" s="598"/>
      <c r="FA63" s="598"/>
      <c r="FB63" s="598"/>
      <c r="FC63" s="598"/>
      <c r="FD63" s="598"/>
      <c r="FE63" s="454"/>
      <c r="FF63" s="454"/>
      <c r="FG63" s="390"/>
      <c r="FH63" s="390"/>
      <c r="FI63" s="390"/>
      <c r="FJ63" s="390"/>
      <c r="FK63" s="390"/>
      <c r="FL63" s="391"/>
      <c r="FM63" s="389"/>
      <c r="FN63" s="390"/>
      <c r="FO63" s="390"/>
      <c r="FP63" s="390"/>
      <c r="FQ63" s="598" t="s">
        <v>115</v>
      </c>
      <c r="FR63" s="598"/>
      <c r="FS63" s="598"/>
      <c r="FT63" s="598"/>
      <c r="FU63" s="598"/>
      <c r="FV63" s="598"/>
      <c r="FW63" s="598"/>
      <c r="FX63" s="598"/>
      <c r="FY63" s="598"/>
      <c r="FZ63" s="598"/>
      <c r="GA63" s="598"/>
      <c r="GB63" s="598"/>
      <c r="GC63" s="454"/>
      <c r="GD63" s="454"/>
      <c r="GE63" s="390"/>
      <c r="GF63" s="390"/>
      <c r="GG63" s="390"/>
      <c r="GH63" s="390"/>
      <c r="GI63" s="390"/>
      <c r="GJ63" s="391"/>
      <c r="GK63" s="389"/>
      <c r="GL63" s="390"/>
      <c r="GM63" s="390"/>
      <c r="GN63" s="390"/>
      <c r="GO63" s="598" t="s">
        <v>115</v>
      </c>
      <c r="GP63" s="598"/>
      <c r="GQ63" s="598"/>
      <c r="GR63" s="598"/>
      <c r="GS63" s="598"/>
      <c r="GT63" s="598"/>
      <c r="GU63" s="598"/>
      <c r="GV63" s="598"/>
      <c r="GW63" s="598"/>
      <c r="GX63" s="598"/>
      <c r="GY63" s="598"/>
      <c r="GZ63" s="598"/>
      <c r="HA63" s="454"/>
      <c r="HB63" s="454"/>
      <c r="HC63" s="390"/>
      <c r="HD63" s="390"/>
      <c r="HE63" s="390"/>
      <c r="HF63" s="390"/>
      <c r="HG63" s="390"/>
      <c r="HH63" s="391"/>
      <c r="HI63" s="389"/>
      <c r="HJ63" s="390"/>
      <c r="HK63" s="390"/>
      <c r="HL63" s="390"/>
      <c r="HM63" s="598" t="s">
        <v>115</v>
      </c>
      <c r="HN63" s="598"/>
      <c r="HO63" s="598"/>
      <c r="HP63" s="598"/>
      <c r="HQ63" s="598"/>
      <c r="HR63" s="598"/>
      <c r="HS63" s="598"/>
      <c r="HT63" s="598"/>
      <c r="HU63" s="598"/>
      <c r="HV63" s="598"/>
      <c r="HW63" s="598"/>
      <c r="HX63" s="598"/>
      <c r="HY63" s="454"/>
      <c r="HZ63" s="454"/>
      <c r="IA63" s="390"/>
      <c r="IB63" s="390"/>
      <c r="IC63" s="390"/>
      <c r="ID63" s="390"/>
      <c r="IE63" s="390"/>
      <c r="IF63" s="391"/>
      <c r="IG63" s="389"/>
      <c r="IH63" s="390"/>
      <c r="II63" s="390"/>
      <c r="IJ63" s="390"/>
      <c r="IK63" s="598" t="s">
        <v>115</v>
      </c>
      <c r="IL63" s="598"/>
      <c r="IM63" s="598"/>
      <c r="IN63" s="598"/>
      <c r="IO63" s="598"/>
      <c r="IP63" s="598"/>
      <c r="IQ63" s="598"/>
      <c r="IR63" s="598"/>
      <c r="IS63" s="598"/>
      <c r="IT63" s="598"/>
      <c r="IU63" s="598"/>
      <c r="IV63" s="598"/>
      <c r="IW63" s="454"/>
      <c r="IX63" s="454"/>
      <c r="IY63" s="390"/>
      <c r="IZ63" s="390"/>
      <c r="JA63" s="390"/>
      <c r="JB63" s="390"/>
      <c r="JC63" s="390"/>
      <c r="JD63" s="477"/>
      <c r="JE63" s="389"/>
      <c r="JF63" s="390"/>
      <c r="JG63" s="390"/>
      <c r="JH63" s="390"/>
      <c r="JI63" s="598" t="s">
        <v>115</v>
      </c>
      <c r="JJ63" s="598"/>
      <c r="JK63" s="598"/>
      <c r="JL63" s="598"/>
      <c r="JM63" s="598"/>
      <c r="JN63" s="598"/>
      <c r="JO63" s="598"/>
      <c r="JP63" s="598"/>
      <c r="JQ63" s="598"/>
      <c r="JR63" s="598"/>
      <c r="JS63" s="598"/>
      <c r="JT63" s="598"/>
      <c r="JU63" s="454"/>
      <c r="JV63" s="454"/>
      <c r="JW63" s="390"/>
      <c r="JX63" s="390"/>
      <c r="JY63" s="390"/>
      <c r="JZ63" s="390"/>
      <c r="KA63" s="390"/>
      <c r="KB63" s="477"/>
      <c r="KC63" s="37"/>
      <c r="KD63" s="37"/>
      <c r="KE63" s="37"/>
      <c r="KF63" s="37"/>
      <c r="KG63" s="37"/>
      <c r="KH63" s="37"/>
      <c r="KI63" s="37"/>
      <c r="KJ63" s="37"/>
    </row>
    <row r="64" spans="1:296" ht="14.4" hidden="1" customHeight="1" x14ac:dyDescent="0.3">
      <c r="A64" s="49">
        <v>0</v>
      </c>
      <c r="B64" s="59" t="s">
        <v>120</v>
      </c>
      <c r="C64" s="28">
        <f>D64/$AY$4</f>
        <v>0</v>
      </c>
      <c r="D64" s="60">
        <v>0</v>
      </c>
      <c r="E64" s="28">
        <f t="shared" ref="E64:E66" si="966">D64*E$6</f>
        <v>0</v>
      </c>
      <c r="F64" s="28">
        <f t="shared" ref="F64:F66" si="967">D64*F$6</f>
        <v>0</v>
      </c>
      <c r="G64" s="28">
        <f t="shared" ref="G64:G66" si="968">D64/G$6</f>
        <v>0</v>
      </c>
      <c r="H64" s="63">
        <f t="shared" ref="H64:H66" si="969">G64/H$6</f>
        <v>0</v>
      </c>
      <c r="I64" s="63">
        <f t="shared" ref="I64:I66" si="970">D64/I$6</f>
        <v>0</v>
      </c>
      <c r="J64" s="61">
        <f>SUM(D64:I64)</f>
        <v>0</v>
      </c>
      <c r="K64" s="62">
        <v>0</v>
      </c>
      <c r="L64" s="62"/>
      <c r="M64" s="62"/>
      <c r="N64" s="62">
        <v>0</v>
      </c>
      <c r="O64" s="62"/>
      <c r="P64" s="63">
        <f>((C64*P$6)+(C64*$BA$6)+(C64*$BB$6))*K64</f>
        <v>0</v>
      </c>
      <c r="Q64" s="63"/>
      <c r="R64" s="63"/>
      <c r="S64" s="63">
        <f>((C64*S$6)+(C64*$BA$6)+(C64*$BB$6))*N64</f>
        <v>0</v>
      </c>
      <c r="T64" s="63"/>
      <c r="U64" s="61">
        <f t="shared" ref="U64:U66" si="971">SUM(P64:S64)</f>
        <v>0</v>
      </c>
      <c r="V64" s="134">
        <v>0</v>
      </c>
      <c r="W64" s="65">
        <f>IF(A64=1,($C$1*$W$6),0)</f>
        <v>0</v>
      </c>
      <c r="X64" s="212">
        <f>J64+U64+V64+W64</f>
        <v>0</v>
      </c>
      <c r="Y64" s="49">
        <v>0</v>
      </c>
      <c r="Z64" s="59" t="s">
        <v>120</v>
      </c>
      <c r="AA64" s="28">
        <f>AB64/$AY$4</f>
        <v>0</v>
      </c>
      <c r="AB64" s="60">
        <v>0</v>
      </c>
      <c r="AC64" s="28">
        <f t="shared" ref="AC64:AC66" si="972">AB64*AC$6</f>
        <v>0</v>
      </c>
      <c r="AD64" s="28">
        <f t="shared" ref="AD64:AD66" si="973">AB64*AD$6</f>
        <v>0</v>
      </c>
      <c r="AE64" s="28">
        <f t="shared" ref="AE64:AE66" si="974">AB64/AE$6</f>
        <v>0</v>
      </c>
      <c r="AF64" s="63">
        <f t="shared" ref="AF64:AF66" si="975">AE64/AF$6</f>
        <v>0</v>
      </c>
      <c r="AG64" s="63">
        <f t="shared" ref="AG64:AG66" si="976">AB64/AG$6</f>
        <v>0</v>
      </c>
      <c r="AH64" s="61">
        <f>SUM(AB64:AG64)</f>
        <v>0</v>
      </c>
      <c r="AI64" s="62">
        <v>0</v>
      </c>
      <c r="AJ64" s="62"/>
      <c r="AK64" s="62"/>
      <c r="AL64" s="62">
        <v>0</v>
      </c>
      <c r="AM64" s="62"/>
      <c r="AN64" s="63">
        <f>((AA64*AN$6)+(AA64*$BA$6)+(AA64*$BB$6))*AI64</f>
        <v>0</v>
      </c>
      <c r="AO64" s="63"/>
      <c r="AP64" s="63"/>
      <c r="AQ64" s="63">
        <f>((AA64*AQ$6)+(AA64*$BA$6)+(AA64*$BB$6))*AL64</f>
        <v>0</v>
      </c>
      <c r="AR64" s="63"/>
      <c r="AS64" s="61">
        <f t="shared" ref="AS64:AS66" si="977">SUM(AN64:AQ64)</f>
        <v>0</v>
      </c>
      <c r="AT64" s="134">
        <v>0</v>
      </c>
      <c r="AU64" s="65">
        <f>IF(Y64=1,($C$1*$W$6),0)</f>
        <v>0</v>
      </c>
      <c r="AV64" s="212">
        <f>AH64+AS64+AT64+AU64</f>
        <v>0</v>
      </c>
      <c r="AW64" s="49">
        <v>0</v>
      </c>
      <c r="AX64" s="59" t="s">
        <v>120</v>
      </c>
      <c r="AY64" s="28">
        <f>AZ64/$AY$4</f>
        <v>0</v>
      </c>
      <c r="AZ64" s="60">
        <v>0</v>
      </c>
      <c r="BA64" s="28">
        <f t="shared" ref="BA64:BA66" si="978">AZ64*BA$6</f>
        <v>0</v>
      </c>
      <c r="BB64" s="28">
        <f t="shared" ref="BB64:BB66" si="979">AZ64*BB$6</f>
        <v>0</v>
      </c>
      <c r="BC64" s="28">
        <f t="shared" ref="BC64:BC66" si="980">AZ64/BC$6</f>
        <v>0</v>
      </c>
      <c r="BD64" s="63">
        <f t="shared" ref="BD64:BD66" si="981">BC64/BD$6</f>
        <v>0</v>
      </c>
      <c r="BE64" s="63">
        <f t="shared" ref="BE64:BE66" si="982">AZ64/BE$6</f>
        <v>0</v>
      </c>
      <c r="BF64" s="61">
        <f>SUM(AZ64:BE64)</f>
        <v>0</v>
      </c>
      <c r="BG64" s="62">
        <v>0</v>
      </c>
      <c r="BH64" s="62"/>
      <c r="BI64" s="62"/>
      <c r="BJ64" s="62">
        <v>0</v>
      </c>
      <c r="BK64" s="62"/>
      <c r="BL64" s="63">
        <f>((AY64*BL$6)+(AY64*$BA$6)+(AY64*$BB$6))*BG64</f>
        <v>0</v>
      </c>
      <c r="BM64" s="63"/>
      <c r="BN64" s="63"/>
      <c r="BO64" s="63">
        <f>((AY64*BO$6)+(AY64*$BA$6)+(AY64*$BB$6))*BJ64</f>
        <v>0</v>
      </c>
      <c r="BP64" s="63"/>
      <c r="BQ64" s="61">
        <f t="shared" ref="BQ64:BQ66" si="983">SUM(BL64:BO64)</f>
        <v>0</v>
      </c>
      <c r="BR64" s="134">
        <v>0</v>
      </c>
      <c r="BS64" s="65">
        <f>IF(AW64=1,($C$1*$W$6),0)</f>
        <v>0</v>
      </c>
      <c r="BT64" s="212">
        <f>BF64+BQ64+BR64+BS64</f>
        <v>0</v>
      </c>
      <c r="BU64" s="49">
        <v>0</v>
      </c>
      <c r="BV64" s="59" t="s">
        <v>120</v>
      </c>
      <c r="BW64" s="28">
        <f>BX64/$AY$4</f>
        <v>0</v>
      </c>
      <c r="BX64" s="60">
        <v>0</v>
      </c>
      <c r="BY64" s="28">
        <f t="shared" ref="BY64:BY66" si="984">BX64*BY$6</f>
        <v>0</v>
      </c>
      <c r="BZ64" s="28">
        <f t="shared" ref="BZ64:BZ66" si="985">BX64*BZ$6</f>
        <v>0</v>
      </c>
      <c r="CA64" s="28">
        <f t="shared" ref="CA64:CA66" si="986">BX64/CA$6</f>
        <v>0</v>
      </c>
      <c r="CB64" s="63">
        <f t="shared" ref="CB64:CB66" si="987">CA64/CB$6</f>
        <v>0</v>
      </c>
      <c r="CC64" s="63">
        <f t="shared" ref="CC64:CC66" si="988">BX64/CC$6</f>
        <v>0</v>
      </c>
      <c r="CD64" s="61">
        <f>SUM(BX64:CC64)</f>
        <v>0</v>
      </c>
      <c r="CE64" s="62">
        <v>0</v>
      </c>
      <c r="CF64" s="62"/>
      <c r="CG64" s="62"/>
      <c r="CH64" s="62">
        <v>0</v>
      </c>
      <c r="CI64" s="62"/>
      <c r="CJ64" s="63">
        <f>((BW64*CJ$6)+(BW64*$BA$6)+(BW64*$BB$6))*CE64</f>
        <v>0</v>
      </c>
      <c r="CK64" s="63"/>
      <c r="CL64" s="63"/>
      <c r="CM64" s="63">
        <f>((BW64*CM$6)+(BW64*$BA$6)+(BW64*$BB$6))*CH64</f>
        <v>0</v>
      </c>
      <c r="CN64" s="63"/>
      <c r="CO64" s="61">
        <f t="shared" ref="CO64:CO66" si="989">SUM(CJ64:CM64)</f>
        <v>0</v>
      </c>
      <c r="CP64" s="134">
        <v>0</v>
      </c>
      <c r="CQ64" s="65">
        <f>IF(BU64=1,($C$1*$W$6),0)</f>
        <v>0</v>
      </c>
      <c r="CR64" s="212">
        <f>CD64+CO64+CP64+CQ64</f>
        <v>0</v>
      </c>
      <c r="CS64" s="49">
        <v>0</v>
      </c>
      <c r="CT64" s="59" t="s">
        <v>120</v>
      </c>
      <c r="CU64" s="28">
        <f>CV64/$AY$4</f>
        <v>0</v>
      </c>
      <c r="CV64" s="60">
        <v>0</v>
      </c>
      <c r="CW64" s="28">
        <f t="shared" ref="CW64:CW66" si="990">CV64*CW$6</f>
        <v>0</v>
      </c>
      <c r="CX64" s="28">
        <f t="shared" ref="CX64:CX66" si="991">CV64*CX$6</f>
        <v>0</v>
      </c>
      <c r="CY64" s="28">
        <f t="shared" ref="CY64:CY66" si="992">CV64/CY$6</f>
        <v>0</v>
      </c>
      <c r="CZ64" s="63">
        <f t="shared" ref="CZ64:CZ66" si="993">CY64/CZ$6</f>
        <v>0</v>
      </c>
      <c r="DA64" s="63">
        <f t="shared" ref="DA64:DA66" si="994">CV64/DA$6</f>
        <v>0</v>
      </c>
      <c r="DB64" s="61">
        <f>SUM(CV64:DA64)</f>
        <v>0</v>
      </c>
      <c r="DC64" s="62">
        <v>0</v>
      </c>
      <c r="DD64" s="62"/>
      <c r="DE64" s="62"/>
      <c r="DF64" s="62">
        <v>0</v>
      </c>
      <c r="DG64" s="62"/>
      <c r="DH64" s="63">
        <f>((CU64*DH$6)+(CU64*$BA$6)+(CU64*$BB$6))*DC64</f>
        <v>0</v>
      </c>
      <c r="DI64" s="63"/>
      <c r="DJ64" s="63"/>
      <c r="DK64" s="63">
        <f>((CU64*DK$6)+(CU64*$BA$6)+(CU64*$BB$6))*DF64</f>
        <v>0</v>
      </c>
      <c r="DL64" s="63"/>
      <c r="DM64" s="61">
        <f t="shared" ref="DM64:DM66" si="995">SUM(DH64:DK64)</f>
        <v>0</v>
      </c>
      <c r="DN64" s="134">
        <v>0</v>
      </c>
      <c r="DO64" s="65">
        <f>IF(CS64=1,($C$1*$W$6),0)</f>
        <v>0</v>
      </c>
      <c r="DP64" s="212">
        <f>DB64+DM64+DN64+DO64</f>
        <v>0</v>
      </c>
      <c r="DQ64" s="49">
        <v>0</v>
      </c>
      <c r="DR64" s="59" t="s">
        <v>120</v>
      </c>
      <c r="DS64" s="28">
        <f>DT64/$AY$4</f>
        <v>0</v>
      </c>
      <c r="DT64" s="60">
        <v>0</v>
      </c>
      <c r="DU64" s="28">
        <f t="shared" ref="DU64:DU66" si="996">DT64*DU$6</f>
        <v>0</v>
      </c>
      <c r="DV64" s="28">
        <f t="shared" ref="DV64:DV66" si="997">DT64*DV$6</f>
        <v>0</v>
      </c>
      <c r="DW64" s="28">
        <f t="shared" ref="DW64:DW66" si="998">DT64/DW$6</f>
        <v>0</v>
      </c>
      <c r="DX64" s="63">
        <f t="shared" ref="DX64:DX66" si="999">DW64/DX$6</f>
        <v>0</v>
      </c>
      <c r="DY64" s="63">
        <f t="shared" ref="DY64:DY66" si="1000">DT64/DY$6</f>
        <v>0</v>
      </c>
      <c r="DZ64" s="61">
        <f>SUM(DT64:DY64)</f>
        <v>0</v>
      </c>
      <c r="EA64" s="62">
        <v>0</v>
      </c>
      <c r="EB64" s="62"/>
      <c r="EC64" s="62"/>
      <c r="ED64" s="62">
        <v>0</v>
      </c>
      <c r="EE64" s="62"/>
      <c r="EF64" s="63">
        <f>((DS64*EF$6)+(DS64*$BA$6)+(DS64*$BB$6))*EA64</f>
        <v>0</v>
      </c>
      <c r="EG64" s="63"/>
      <c r="EH64" s="63"/>
      <c r="EI64" s="63">
        <f>((DS64*EI$6)+(DS64*$BA$6)+(DS64*$BB$6))*ED64</f>
        <v>0</v>
      </c>
      <c r="EJ64" s="63"/>
      <c r="EK64" s="61">
        <f t="shared" ref="EK64:EK66" si="1001">SUM(EF64:EI64)</f>
        <v>0</v>
      </c>
      <c r="EL64" s="134">
        <v>0</v>
      </c>
      <c r="EM64" s="65">
        <f>IF(DQ64=1,($C$1*$W$6),0)</f>
        <v>0</v>
      </c>
      <c r="EN64" s="212">
        <f>DZ64+EK64+EL64+EM64</f>
        <v>0</v>
      </c>
      <c r="EO64" s="49">
        <v>0</v>
      </c>
      <c r="EP64" s="59" t="s">
        <v>120</v>
      </c>
      <c r="EQ64" s="28">
        <f>ER64/$AY$4</f>
        <v>0</v>
      </c>
      <c r="ER64" s="60">
        <v>0</v>
      </c>
      <c r="ES64" s="28">
        <f t="shared" ref="ES64:ES66" si="1002">ER64*ES$6</f>
        <v>0</v>
      </c>
      <c r="ET64" s="28">
        <f t="shared" ref="ET64:ET66" si="1003">ER64*ET$6</f>
        <v>0</v>
      </c>
      <c r="EU64" s="28">
        <f t="shared" ref="EU64:EU66" si="1004">ER64/EU$6</f>
        <v>0</v>
      </c>
      <c r="EV64" s="63">
        <f t="shared" ref="EV64:EV66" si="1005">EU64/EV$6</f>
        <v>0</v>
      </c>
      <c r="EW64" s="63">
        <f t="shared" ref="EW64:EW66" si="1006">ER64/EW$6</f>
        <v>0</v>
      </c>
      <c r="EX64" s="61">
        <f>SUM(ER64:EW64)</f>
        <v>0</v>
      </c>
      <c r="EY64" s="62">
        <v>0</v>
      </c>
      <c r="EZ64" s="62"/>
      <c r="FA64" s="62"/>
      <c r="FB64" s="62">
        <v>0</v>
      </c>
      <c r="FC64" s="62"/>
      <c r="FD64" s="63">
        <f>((EQ64*FD$6)+(EQ64*$BA$6)+(EQ64*$BB$6))*EY64</f>
        <v>0</v>
      </c>
      <c r="FE64" s="63"/>
      <c r="FF64" s="63"/>
      <c r="FG64" s="63">
        <f>((EQ64*FG$6)+(EQ64*$BA$6)+(EQ64*$BB$6))*FB64</f>
        <v>0</v>
      </c>
      <c r="FH64" s="63"/>
      <c r="FI64" s="61">
        <f t="shared" ref="FI64:FI66" si="1007">SUM(FD64:FG64)</f>
        <v>0</v>
      </c>
      <c r="FJ64" s="134">
        <v>0</v>
      </c>
      <c r="FK64" s="65">
        <f>IF(EO64=1,($C$1*$W$6),0)</f>
        <v>0</v>
      </c>
      <c r="FL64" s="212">
        <f>EX64+FI64+FJ64+FK64</f>
        <v>0</v>
      </c>
      <c r="FM64" s="49">
        <v>0</v>
      </c>
      <c r="FN64" s="59" t="s">
        <v>120</v>
      </c>
      <c r="FO64" s="28">
        <f>FP64/$AY$4</f>
        <v>0</v>
      </c>
      <c r="FP64" s="60">
        <v>0</v>
      </c>
      <c r="FQ64" s="28">
        <f t="shared" ref="FQ64:FQ66" si="1008">FP64*FQ$6</f>
        <v>0</v>
      </c>
      <c r="FR64" s="28">
        <f t="shared" ref="FR64:FR66" si="1009">FP64*FR$6</f>
        <v>0</v>
      </c>
      <c r="FS64" s="28">
        <f t="shared" ref="FS64:FS66" si="1010">FP64/FS$6</f>
        <v>0</v>
      </c>
      <c r="FT64" s="63">
        <f t="shared" ref="FT64:FT66" si="1011">FS64/FT$6</f>
        <v>0</v>
      </c>
      <c r="FU64" s="63">
        <f t="shared" ref="FU64:FU66" si="1012">FP64/FU$6</f>
        <v>0</v>
      </c>
      <c r="FV64" s="61">
        <f>SUM(FP64:FU64)</f>
        <v>0</v>
      </c>
      <c r="FW64" s="62">
        <v>0</v>
      </c>
      <c r="FX64" s="62"/>
      <c r="FY64" s="62"/>
      <c r="FZ64" s="62">
        <v>0</v>
      </c>
      <c r="GA64" s="62"/>
      <c r="GB64" s="63">
        <f>((FO64*GB$6)+(FO64*$BA$6)+(FO64*$BB$6))*FW64</f>
        <v>0</v>
      </c>
      <c r="GC64" s="63"/>
      <c r="GD64" s="63"/>
      <c r="GE64" s="63">
        <f>((FO64*GE$6)+(FO64*$BA$6)+(FO64*$BB$6))*FZ64</f>
        <v>0</v>
      </c>
      <c r="GF64" s="63"/>
      <c r="GG64" s="61">
        <f t="shared" ref="GG64:GG66" si="1013">SUM(GB64:GE64)</f>
        <v>0</v>
      </c>
      <c r="GH64" s="134">
        <v>0</v>
      </c>
      <c r="GI64" s="65">
        <f>IF(FM64=1,($C$1*$W$6),0)</f>
        <v>0</v>
      </c>
      <c r="GJ64" s="212">
        <f>FV64+GG64+GH64+GI64</f>
        <v>0</v>
      </c>
      <c r="GK64" s="49">
        <v>0</v>
      </c>
      <c r="GL64" s="59" t="s">
        <v>120</v>
      </c>
      <c r="GM64" s="28">
        <f>GN64/$AY$4</f>
        <v>0</v>
      </c>
      <c r="GN64" s="60">
        <v>0</v>
      </c>
      <c r="GO64" s="28">
        <f t="shared" ref="GO64:GO66" si="1014">GN64*GO$6</f>
        <v>0</v>
      </c>
      <c r="GP64" s="28">
        <f t="shared" ref="GP64:GP66" si="1015">GN64*GP$6</f>
        <v>0</v>
      </c>
      <c r="GQ64" s="28">
        <f t="shared" ref="GQ64:GQ66" si="1016">GN64/GQ$6</f>
        <v>0</v>
      </c>
      <c r="GR64" s="63">
        <f t="shared" ref="GR64:GR66" si="1017">GQ64/GR$6</f>
        <v>0</v>
      </c>
      <c r="GS64" s="63">
        <f t="shared" ref="GS64:GS66" si="1018">GN64/GS$6</f>
        <v>0</v>
      </c>
      <c r="GT64" s="61">
        <f>SUM(GN64:GS64)</f>
        <v>0</v>
      </c>
      <c r="GU64" s="62">
        <v>0</v>
      </c>
      <c r="GV64" s="62"/>
      <c r="GW64" s="62"/>
      <c r="GX64" s="62">
        <v>0</v>
      </c>
      <c r="GY64" s="62"/>
      <c r="GZ64" s="63">
        <f>((GM64*GZ$6)+(GM64*$BA$6)+(GM64*$BB$6))*GU64</f>
        <v>0</v>
      </c>
      <c r="HA64" s="63"/>
      <c r="HB64" s="63"/>
      <c r="HC64" s="63">
        <f>((GM64*HC$6)+(GM64*$BA$6)+(GM64*$BB$6))*GX64</f>
        <v>0</v>
      </c>
      <c r="HD64" s="63"/>
      <c r="HE64" s="61">
        <f t="shared" ref="HE64:HE66" si="1019">SUM(GZ64:HC64)</f>
        <v>0</v>
      </c>
      <c r="HF64" s="134">
        <v>0</v>
      </c>
      <c r="HG64" s="65">
        <f>IF(GK64=1,($C$1*$W$6),0)</f>
        <v>0</v>
      </c>
      <c r="HH64" s="212">
        <f>GT64+HE64+HF64+HG64</f>
        <v>0</v>
      </c>
      <c r="HI64" s="49">
        <v>0</v>
      </c>
      <c r="HJ64" s="59" t="s">
        <v>120</v>
      </c>
      <c r="HK64" s="28">
        <f>HL64/$AY$4</f>
        <v>0</v>
      </c>
      <c r="HL64" s="60">
        <v>0</v>
      </c>
      <c r="HM64" s="28">
        <f t="shared" ref="HM64:HM66" si="1020">HL64*HM$6</f>
        <v>0</v>
      </c>
      <c r="HN64" s="28">
        <f t="shared" ref="HN64:HN66" si="1021">HL64*HN$6</f>
        <v>0</v>
      </c>
      <c r="HO64" s="28">
        <f t="shared" ref="HO64:HO66" si="1022">HL64/HO$6</f>
        <v>0</v>
      </c>
      <c r="HP64" s="63">
        <f t="shared" ref="HP64:HP66" si="1023">HO64/HP$6</f>
        <v>0</v>
      </c>
      <c r="HQ64" s="63">
        <f t="shared" ref="HQ64:HQ66" si="1024">HL64/HQ$6</f>
        <v>0</v>
      </c>
      <c r="HR64" s="61">
        <f>SUM(HL64:HQ64)</f>
        <v>0</v>
      </c>
      <c r="HS64" s="62">
        <v>0</v>
      </c>
      <c r="HT64" s="62"/>
      <c r="HU64" s="62"/>
      <c r="HV64" s="62">
        <v>0</v>
      </c>
      <c r="HW64" s="62"/>
      <c r="HX64" s="63">
        <f>((HK64*HX$6)+(HK64*$BA$6)+(HK64*$BB$6))*HS64</f>
        <v>0</v>
      </c>
      <c r="HY64" s="63"/>
      <c r="HZ64" s="63"/>
      <c r="IA64" s="63">
        <f>((HK64*IA$6)+(HK64*$BA$6)+(HK64*$BB$6))*HV64</f>
        <v>0</v>
      </c>
      <c r="IB64" s="63"/>
      <c r="IC64" s="61">
        <f t="shared" ref="IC64:IC66" si="1025">SUM(HX64:IA64)</f>
        <v>0</v>
      </c>
      <c r="ID64" s="134">
        <v>0</v>
      </c>
      <c r="IE64" s="65">
        <f>IF(HI64=1,($C$1*$W$6),0)</f>
        <v>0</v>
      </c>
      <c r="IF64" s="212">
        <f>HR64+IC64+ID64+IE64</f>
        <v>0</v>
      </c>
      <c r="IG64" s="49">
        <v>0</v>
      </c>
      <c r="IH64" s="59" t="s">
        <v>120</v>
      </c>
      <c r="II64" s="28">
        <f>IJ64/$AY$4</f>
        <v>0</v>
      </c>
      <c r="IJ64" s="60">
        <v>0</v>
      </c>
      <c r="IK64" s="28">
        <f>IJ64*IK$6</f>
        <v>0</v>
      </c>
      <c r="IL64" s="28">
        <f>IJ64*IL$6</f>
        <v>0</v>
      </c>
      <c r="IM64" s="28">
        <f>IJ64/IM$6</f>
        <v>0</v>
      </c>
      <c r="IN64" s="63">
        <f>IM64/IN$6</f>
        <v>0</v>
      </c>
      <c r="IO64" s="63">
        <f>IJ64/IO$6</f>
        <v>0</v>
      </c>
      <c r="IP64" s="61">
        <f>SUM(IJ64:IO64)</f>
        <v>0</v>
      </c>
      <c r="IQ64" s="62">
        <v>0</v>
      </c>
      <c r="IR64" s="62"/>
      <c r="IS64" s="62"/>
      <c r="IT64" s="62">
        <v>0</v>
      </c>
      <c r="IU64" s="62"/>
      <c r="IV64" s="63">
        <f>((II64*IV$6)+(II64*$BA$6)+(II64*$BB$6))*IQ64</f>
        <v>0</v>
      </c>
      <c r="IW64" s="63"/>
      <c r="IX64" s="63"/>
      <c r="IY64" s="63">
        <f>((II64*IY$6)+(II64*$BA$6)+(II64*$BB$6))*IT64</f>
        <v>0</v>
      </c>
      <c r="IZ64" s="63"/>
      <c r="JA64" s="61">
        <f t="shared" ref="JA64:JA66" si="1026">SUM(IV64:IY64)</f>
        <v>0</v>
      </c>
      <c r="JB64" s="134">
        <v>0</v>
      </c>
      <c r="JC64" s="65">
        <f>IF(IG64=1,($C$1*$W$6),0)</f>
        <v>0</v>
      </c>
      <c r="JD64" s="476">
        <f>IP64+JA64+JB64+JC64</f>
        <v>0</v>
      </c>
      <c r="JE64" s="49">
        <v>0</v>
      </c>
      <c r="JF64" s="59" t="s">
        <v>120</v>
      </c>
      <c r="JG64" s="28">
        <f>JH64/$AY$4</f>
        <v>0</v>
      </c>
      <c r="JH64" s="60">
        <v>0</v>
      </c>
      <c r="JI64" s="28">
        <f>JH64*JI$6</f>
        <v>0</v>
      </c>
      <c r="JJ64" s="28">
        <f>JH64*JJ$6</f>
        <v>0</v>
      </c>
      <c r="JK64" s="28">
        <f>JH64/JK$6</f>
        <v>0</v>
      </c>
      <c r="JL64" s="63">
        <f>JK64/JL$6</f>
        <v>0</v>
      </c>
      <c r="JM64" s="63">
        <f>JH64/JM$6</f>
        <v>0</v>
      </c>
      <c r="JN64" s="61">
        <f>SUM(JH64:JM64)</f>
        <v>0</v>
      </c>
      <c r="JO64" s="62">
        <v>0</v>
      </c>
      <c r="JP64" s="62"/>
      <c r="JQ64" s="62"/>
      <c r="JR64" s="62">
        <v>0</v>
      </c>
      <c r="JS64" s="62"/>
      <c r="JT64" s="63">
        <f>((JG64*JT$6)+(JG64*$BA$6)+(JG64*$BB$6))*JO64</f>
        <v>0</v>
      </c>
      <c r="JU64" s="63"/>
      <c r="JV64" s="63"/>
      <c r="JW64" s="63">
        <f>((JG64*JW$6)+(JG64*$BA$6)+(JG64*$BB$6))*JR64</f>
        <v>0</v>
      </c>
      <c r="JX64" s="63"/>
      <c r="JY64" s="61">
        <f t="shared" ref="JY64:JY66" si="1027">SUM(JT64:JW64)</f>
        <v>0</v>
      </c>
      <c r="JZ64" s="134">
        <v>0</v>
      </c>
      <c r="KA64" s="65">
        <f>IF(JE64=1,($C$1*$W$6),0)</f>
        <v>0</v>
      </c>
      <c r="KB64" s="476">
        <f>JN64+JY64+JZ64+KA64</f>
        <v>0</v>
      </c>
      <c r="KC64" s="37"/>
      <c r="KD64" s="37"/>
      <c r="KE64" s="37"/>
      <c r="KF64" s="37"/>
      <c r="KG64" s="37"/>
      <c r="KH64" s="37"/>
      <c r="KI64" s="37"/>
      <c r="KJ64" s="37"/>
    </row>
    <row r="65" spans="1:296" ht="14.4" hidden="1" customHeight="1" x14ac:dyDescent="0.3">
      <c r="A65" s="49">
        <v>0</v>
      </c>
      <c r="B65" s="59" t="s">
        <v>120</v>
      </c>
      <c r="C65" s="28">
        <f>D65/$AY$4</f>
        <v>0</v>
      </c>
      <c r="D65" s="215">
        <v>0</v>
      </c>
      <c r="E65" s="28">
        <f t="shared" si="966"/>
        <v>0</v>
      </c>
      <c r="F65" s="28">
        <f t="shared" si="967"/>
        <v>0</v>
      </c>
      <c r="G65" s="28">
        <f t="shared" si="968"/>
        <v>0</v>
      </c>
      <c r="H65" s="63">
        <f t="shared" si="969"/>
        <v>0</v>
      </c>
      <c r="I65" s="63">
        <f t="shared" si="970"/>
        <v>0</v>
      </c>
      <c r="J65" s="61">
        <f t="shared" ref="J65:J66" si="1028">SUM(D65:I65)</f>
        <v>0</v>
      </c>
      <c r="K65" s="209">
        <v>0</v>
      </c>
      <c r="L65" s="209"/>
      <c r="M65" s="209"/>
      <c r="N65" s="62">
        <v>0</v>
      </c>
      <c r="O65" s="62"/>
      <c r="P65" s="63">
        <f>((C65*P$6)+(C65*$BA$6)+(C65*$BB$6))*K65</f>
        <v>0</v>
      </c>
      <c r="Q65" s="63"/>
      <c r="R65" s="63"/>
      <c r="S65" s="63">
        <f>((C65*S$6)+(C65*$BA$6)+(C65*$BB$6))*N65</f>
        <v>0</v>
      </c>
      <c r="T65" s="63"/>
      <c r="U65" s="61">
        <f t="shared" si="971"/>
        <v>0</v>
      </c>
      <c r="V65" s="134">
        <v>0</v>
      </c>
      <c r="W65" s="65">
        <f>IF(A65=1,($C$1*$W$6),0)</f>
        <v>0</v>
      </c>
      <c r="X65" s="212">
        <f>J65+U65+V65+W65</f>
        <v>0</v>
      </c>
      <c r="Y65" s="49">
        <v>0</v>
      </c>
      <c r="Z65" s="59" t="s">
        <v>120</v>
      </c>
      <c r="AA65" s="28">
        <f>AB65/$AY$4</f>
        <v>0</v>
      </c>
      <c r="AB65" s="215">
        <v>0</v>
      </c>
      <c r="AC65" s="28">
        <f t="shared" si="972"/>
        <v>0</v>
      </c>
      <c r="AD65" s="28">
        <f t="shared" si="973"/>
        <v>0</v>
      </c>
      <c r="AE65" s="28">
        <f t="shared" si="974"/>
        <v>0</v>
      </c>
      <c r="AF65" s="63">
        <f t="shared" si="975"/>
        <v>0</v>
      </c>
      <c r="AG65" s="63">
        <f t="shared" si="976"/>
        <v>0</v>
      </c>
      <c r="AH65" s="61">
        <f t="shared" ref="AH65:AH66" si="1029">SUM(AB65:AG65)</f>
        <v>0</v>
      </c>
      <c r="AI65" s="209">
        <v>0</v>
      </c>
      <c r="AJ65" s="209"/>
      <c r="AK65" s="209"/>
      <c r="AL65" s="62">
        <v>0</v>
      </c>
      <c r="AM65" s="62"/>
      <c r="AN65" s="63">
        <f>((AA65*AN$6)+(AA65*$BA$6)+(AA65*$BB$6))*AI65</f>
        <v>0</v>
      </c>
      <c r="AO65" s="63"/>
      <c r="AP65" s="63"/>
      <c r="AQ65" s="63">
        <f>((AA65*AQ$6)+(AA65*$BA$6)+(AA65*$BB$6))*AL65</f>
        <v>0</v>
      </c>
      <c r="AR65" s="63"/>
      <c r="AS65" s="61">
        <f t="shared" si="977"/>
        <v>0</v>
      </c>
      <c r="AT65" s="134">
        <v>0</v>
      </c>
      <c r="AU65" s="65">
        <f>IF(Y65=1,($C$1*$W$6),0)</f>
        <v>0</v>
      </c>
      <c r="AV65" s="212">
        <f>AH65+AS65+AT65+AU65</f>
        <v>0</v>
      </c>
      <c r="AW65" s="49">
        <v>0</v>
      </c>
      <c r="AX65" s="59" t="s">
        <v>120</v>
      </c>
      <c r="AY65" s="28">
        <f>AZ65/$AY$4</f>
        <v>0</v>
      </c>
      <c r="AZ65" s="215">
        <v>0</v>
      </c>
      <c r="BA65" s="28">
        <f t="shared" si="978"/>
        <v>0</v>
      </c>
      <c r="BB65" s="28">
        <f t="shared" si="979"/>
        <v>0</v>
      </c>
      <c r="BC65" s="28">
        <f t="shared" si="980"/>
        <v>0</v>
      </c>
      <c r="BD65" s="63">
        <f t="shared" si="981"/>
        <v>0</v>
      </c>
      <c r="BE65" s="63">
        <f t="shared" si="982"/>
        <v>0</v>
      </c>
      <c r="BF65" s="61">
        <f t="shared" ref="BF65:BF66" si="1030">SUM(AZ65:BE65)</f>
        <v>0</v>
      </c>
      <c r="BG65" s="209">
        <v>0</v>
      </c>
      <c r="BH65" s="209"/>
      <c r="BI65" s="209"/>
      <c r="BJ65" s="62">
        <v>0</v>
      </c>
      <c r="BK65" s="62"/>
      <c r="BL65" s="63">
        <f>((AY65*BL$6)+(AY65*$BA$6)+(AY65*$BB$6))*BG65</f>
        <v>0</v>
      </c>
      <c r="BM65" s="63"/>
      <c r="BN65" s="63"/>
      <c r="BO65" s="63">
        <f>((AY65*BO$6)+(AY65*$BA$6)+(AY65*$BB$6))*BJ65</f>
        <v>0</v>
      </c>
      <c r="BP65" s="63"/>
      <c r="BQ65" s="61">
        <f t="shared" si="983"/>
        <v>0</v>
      </c>
      <c r="BR65" s="134">
        <v>0</v>
      </c>
      <c r="BS65" s="65">
        <f>IF(AW65=1,($C$1*$W$6),0)</f>
        <v>0</v>
      </c>
      <c r="BT65" s="212">
        <f>BF65+BQ65+BR65+BS65</f>
        <v>0</v>
      </c>
      <c r="BU65" s="49">
        <v>0</v>
      </c>
      <c r="BV65" s="59" t="s">
        <v>120</v>
      </c>
      <c r="BW65" s="28">
        <f>BX65/$AY$4</f>
        <v>0</v>
      </c>
      <c r="BX65" s="215">
        <v>0</v>
      </c>
      <c r="BY65" s="28">
        <f t="shared" si="984"/>
        <v>0</v>
      </c>
      <c r="BZ65" s="28">
        <f t="shared" si="985"/>
        <v>0</v>
      </c>
      <c r="CA65" s="28">
        <f t="shared" si="986"/>
        <v>0</v>
      </c>
      <c r="CB65" s="63">
        <f t="shared" si="987"/>
        <v>0</v>
      </c>
      <c r="CC65" s="63">
        <f t="shared" si="988"/>
        <v>0</v>
      </c>
      <c r="CD65" s="61">
        <f t="shared" ref="CD65:CD66" si="1031">SUM(BX65:CC65)</f>
        <v>0</v>
      </c>
      <c r="CE65" s="209">
        <v>0</v>
      </c>
      <c r="CF65" s="209"/>
      <c r="CG65" s="209"/>
      <c r="CH65" s="62">
        <v>0</v>
      </c>
      <c r="CI65" s="62"/>
      <c r="CJ65" s="63">
        <f>((BW65*CJ$6)+(BW65*$BA$6)+(BW65*$BB$6))*CE65</f>
        <v>0</v>
      </c>
      <c r="CK65" s="63"/>
      <c r="CL65" s="63"/>
      <c r="CM65" s="63">
        <f>((BW65*CM$6)+(BW65*$BA$6)+(BW65*$BB$6))*CH65</f>
        <v>0</v>
      </c>
      <c r="CN65" s="63"/>
      <c r="CO65" s="61">
        <f t="shared" si="989"/>
        <v>0</v>
      </c>
      <c r="CP65" s="134">
        <v>0</v>
      </c>
      <c r="CQ65" s="65">
        <f>IF(BU65=1,($C$1*$W$6),0)</f>
        <v>0</v>
      </c>
      <c r="CR65" s="212">
        <f>CD65+CO65+CP65+CQ65</f>
        <v>0</v>
      </c>
      <c r="CS65" s="49">
        <v>0</v>
      </c>
      <c r="CT65" s="59" t="s">
        <v>120</v>
      </c>
      <c r="CU65" s="28">
        <f>CV65/$AY$4</f>
        <v>0</v>
      </c>
      <c r="CV65" s="215">
        <v>0</v>
      </c>
      <c r="CW65" s="28">
        <f t="shared" si="990"/>
        <v>0</v>
      </c>
      <c r="CX65" s="28">
        <f t="shared" si="991"/>
        <v>0</v>
      </c>
      <c r="CY65" s="28">
        <f t="shared" si="992"/>
        <v>0</v>
      </c>
      <c r="CZ65" s="63">
        <f t="shared" si="993"/>
        <v>0</v>
      </c>
      <c r="DA65" s="63">
        <f t="shared" si="994"/>
        <v>0</v>
      </c>
      <c r="DB65" s="61">
        <f t="shared" ref="DB65:DB66" si="1032">SUM(CV65:DA65)</f>
        <v>0</v>
      </c>
      <c r="DC65" s="209">
        <v>0</v>
      </c>
      <c r="DD65" s="209"/>
      <c r="DE65" s="209"/>
      <c r="DF65" s="62">
        <v>0</v>
      </c>
      <c r="DG65" s="62"/>
      <c r="DH65" s="63">
        <f>((CU65*DH$6)+(CU65*$BA$6)+(CU65*$BB$6))*DC65</f>
        <v>0</v>
      </c>
      <c r="DI65" s="63"/>
      <c r="DJ65" s="63"/>
      <c r="DK65" s="63">
        <f>((CU65*DK$6)+(CU65*$BA$6)+(CU65*$BB$6))*DF65</f>
        <v>0</v>
      </c>
      <c r="DL65" s="63"/>
      <c r="DM65" s="61">
        <f t="shared" si="995"/>
        <v>0</v>
      </c>
      <c r="DN65" s="134">
        <v>0</v>
      </c>
      <c r="DO65" s="65">
        <f>IF(CS65=1,($C$1*$W$6),0)</f>
        <v>0</v>
      </c>
      <c r="DP65" s="212">
        <f>DB65+DM65+DN65+DO65</f>
        <v>0</v>
      </c>
      <c r="DQ65" s="49">
        <v>0</v>
      </c>
      <c r="DR65" s="59" t="s">
        <v>120</v>
      </c>
      <c r="DS65" s="28">
        <f>DT65/$AY$4</f>
        <v>0</v>
      </c>
      <c r="DT65" s="215">
        <v>0</v>
      </c>
      <c r="DU65" s="28">
        <f t="shared" si="996"/>
        <v>0</v>
      </c>
      <c r="DV65" s="28">
        <f t="shared" si="997"/>
        <v>0</v>
      </c>
      <c r="DW65" s="28">
        <f t="shared" si="998"/>
        <v>0</v>
      </c>
      <c r="DX65" s="63">
        <f t="shared" si="999"/>
        <v>0</v>
      </c>
      <c r="DY65" s="63">
        <f t="shared" si="1000"/>
        <v>0</v>
      </c>
      <c r="DZ65" s="61">
        <f t="shared" ref="DZ65:DZ66" si="1033">SUM(DT65:DY65)</f>
        <v>0</v>
      </c>
      <c r="EA65" s="209">
        <v>0</v>
      </c>
      <c r="EB65" s="209"/>
      <c r="EC65" s="209"/>
      <c r="ED65" s="62">
        <v>0</v>
      </c>
      <c r="EE65" s="62"/>
      <c r="EF65" s="63">
        <f>((DS65*EF$6)+(DS65*$BA$6)+(DS65*$BB$6))*EA65</f>
        <v>0</v>
      </c>
      <c r="EG65" s="63"/>
      <c r="EH65" s="63"/>
      <c r="EI65" s="63">
        <f>((DS65*EI$6)+(DS65*$BA$6)+(DS65*$BB$6))*ED65</f>
        <v>0</v>
      </c>
      <c r="EJ65" s="63"/>
      <c r="EK65" s="61">
        <f t="shared" si="1001"/>
        <v>0</v>
      </c>
      <c r="EL65" s="134">
        <v>0</v>
      </c>
      <c r="EM65" s="65">
        <f>IF(DQ65=1,($C$1*$W$6),0)</f>
        <v>0</v>
      </c>
      <c r="EN65" s="212">
        <f>DZ65+EK65+EL65+EM65</f>
        <v>0</v>
      </c>
      <c r="EO65" s="49">
        <v>0</v>
      </c>
      <c r="EP65" s="59" t="s">
        <v>120</v>
      </c>
      <c r="EQ65" s="28">
        <f>ER65/$AY$4</f>
        <v>0</v>
      </c>
      <c r="ER65" s="215">
        <v>0</v>
      </c>
      <c r="ES65" s="28">
        <f t="shared" si="1002"/>
        <v>0</v>
      </c>
      <c r="ET65" s="28">
        <f t="shared" si="1003"/>
        <v>0</v>
      </c>
      <c r="EU65" s="28">
        <f t="shared" si="1004"/>
        <v>0</v>
      </c>
      <c r="EV65" s="63">
        <f t="shared" si="1005"/>
        <v>0</v>
      </c>
      <c r="EW65" s="63">
        <f t="shared" si="1006"/>
        <v>0</v>
      </c>
      <c r="EX65" s="61">
        <f t="shared" ref="EX65:EX66" si="1034">SUM(ER65:EW65)</f>
        <v>0</v>
      </c>
      <c r="EY65" s="209">
        <v>0</v>
      </c>
      <c r="EZ65" s="209"/>
      <c r="FA65" s="209"/>
      <c r="FB65" s="62">
        <v>0</v>
      </c>
      <c r="FC65" s="62"/>
      <c r="FD65" s="63">
        <f>((EQ65*FD$6)+(EQ65*$BA$6)+(EQ65*$BB$6))*EY65</f>
        <v>0</v>
      </c>
      <c r="FE65" s="63"/>
      <c r="FF65" s="63"/>
      <c r="FG65" s="63">
        <f>((EQ65*FG$6)+(EQ65*$BA$6)+(EQ65*$BB$6))*FB65</f>
        <v>0</v>
      </c>
      <c r="FH65" s="63"/>
      <c r="FI65" s="61">
        <f t="shared" si="1007"/>
        <v>0</v>
      </c>
      <c r="FJ65" s="134">
        <v>0</v>
      </c>
      <c r="FK65" s="65">
        <f>IF(EO65=1,($C$1*$W$6),0)</f>
        <v>0</v>
      </c>
      <c r="FL65" s="212">
        <f>EX65+FI65+FJ65+FK65</f>
        <v>0</v>
      </c>
      <c r="FM65" s="49">
        <v>0</v>
      </c>
      <c r="FN65" s="59" t="s">
        <v>120</v>
      </c>
      <c r="FO65" s="28">
        <f>FP65/$AY$4</f>
        <v>0</v>
      </c>
      <c r="FP65" s="215">
        <v>0</v>
      </c>
      <c r="FQ65" s="28">
        <f t="shared" si="1008"/>
        <v>0</v>
      </c>
      <c r="FR65" s="28">
        <f t="shared" si="1009"/>
        <v>0</v>
      </c>
      <c r="FS65" s="28">
        <f t="shared" si="1010"/>
        <v>0</v>
      </c>
      <c r="FT65" s="63">
        <f t="shared" si="1011"/>
        <v>0</v>
      </c>
      <c r="FU65" s="63">
        <f t="shared" si="1012"/>
        <v>0</v>
      </c>
      <c r="FV65" s="61">
        <f t="shared" ref="FV65:FV66" si="1035">SUM(FP65:FU65)</f>
        <v>0</v>
      </c>
      <c r="FW65" s="209">
        <v>0</v>
      </c>
      <c r="FX65" s="209"/>
      <c r="FY65" s="209"/>
      <c r="FZ65" s="62">
        <v>0</v>
      </c>
      <c r="GA65" s="62"/>
      <c r="GB65" s="63">
        <f>((FO65*GB$6)+(FO65*$BA$6)+(FO65*$BB$6))*FW65</f>
        <v>0</v>
      </c>
      <c r="GC65" s="63"/>
      <c r="GD65" s="63"/>
      <c r="GE65" s="63">
        <f>((FO65*GE$6)+(FO65*$BA$6)+(FO65*$BB$6))*FZ65</f>
        <v>0</v>
      </c>
      <c r="GF65" s="63"/>
      <c r="GG65" s="61">
        <f t="shared" si="1013"/>
        <v>0</v>
      </c>
      <c r="GH65" s="134">
        <v>0</v>
      </c>
      <c r="GI65" s="65">
        <f>IF(FM65=1,($C$1*$W$6),0)</f>
        <v>0</v>
      </c>
      <c r="GJ65" s="212">
        <f>FV65+GG65+GH65+GI65</f>
        <v>0</v>
      </c>
      <c r="GK65" s="49">
        <v>0</v>
      </c>
      <c r="GL65" s="59" t="s">
        <v>120</v>
      </c>
      <c r="GM65" s="28">
        <f>GN65/$AY$4</f>
        <v>0</v>
      </c>
      <c r="GN65" s="215">
        <v>0</v>
      </c>
      <c r="GO65" s="28">
        <f t="shared" si="1014"/>
        <v>0</v>
      </c>
      <c r="GP65" s="28">
        <f t="shared" si="1015"/>
        <v>0</v>
      </c>
      <c r="GQ65" s="28">
        <f t="shared" si="1016"/>
        <v>0</v>
      </c>
      <c r="GR65" s="63">
        <f t="shared" si="1017"/>
        <v>0</v>
      </c>
      <c r="GS65" s="63">
        <f t="shared" si="1018"/>
        <v>0</v>
      </c>
      <c r="GT65" s="61">
        <f t="shared" ref="GT65:GT66" si="1036">SUM(GN65:GS65)</f>
        <v>0</v>
      </c>
      <c r="GU65" s="209">
        <v>0</v>
      </c>
      <c r="GV65" s="209"/>
      <c r="GW65" s="209"/>
      <c r="GX65" s="62">
        <v>0</v>
      </c>
      <c r="GY65" s="62"/>
      <c r="GZ65" s="63">
        <f>((GM65*GZ$6)+(GM65*$BA$6)+(GM65*$BB$6))*GU65</f>
        <v>0</v>
      </c>
      <c r="HA65" s="63"/>
      <c r="HB65" s="63"/>
      <c r="HC65" s="63">
        <f>((GM65*HC$6)+(GM65*$BA$6)+(GM65*$BB$6))*GX65</f>
        <v>0</v>
      </c>
      <c r="HD65" s="63"/>
      <c r="HE65" s="61">
        <f t="shared" si="1019"/>
        <v>0</v>
      </c>
      <c r="HF65" s="134">
        <v>0</v>
      </c>
      <c r="HG65" s="65">
        <f>IF(GK65=1,($C$1*$W$6),0)</f>
        <v>0</v>
      </c>
      <c r="HH65" s="212">
        <f>GT65+HE65+HF65+HG65</f>
        <v>0</v>
      </c>
      <c r="HI65" s="49">
        <v>0</v>
      </c>
      <c r="HJ65" s="59" t="s">
        <v>120</v>
      </c>
      <c r="HK65" s="28">
        <f>HL65/$AY$4</f>
        <v>0</v>
      </c>
      <c r="HL65" s="215">
        <v>0</v>
      </c>
      <c r="HM65" s="28">
        <f t="shared" si="1020"/>
        <v>0</v>
      </c>
      <c r="HN65" s="28">
        <f t="shared" si="1021"/>
        <v>0</v>
      </c>
      <c r="HO65" s="28">
        <f t="shared" si="1022"/>
        <v>0</v>
      </c>
      <c r="HP65" s="63">
        <f t="shared" si="1023"/>
        <v>0</v>
      </c>
      <c r="HQ65" s="63">
        <f t="shared" si="1024"/>
        <v>0</v>
      </c>
      <c r="HR65" s="61">
        <f t="shared" ref="HR65:HR66" si="1037">SUM(HL65:HQ65)</f>
        <v>0</v>
      </c>
      <c r="HS65" s="209">
        <v>0</v>
      </c>
      <c r="HT65" s="209"/>
      <c r="HU65" s="209"/>
      <c r="HV65" s="62">
        <v>0</v>
      </c>
      <c r="HW65" s="62"/>
      <c r="HX65" s="63">
        <f>((HK65*HX$6)+(HK65*$BA$6)+(HK65*$BB$6))*HS65</f>
        <v>0</v>
      </c>
      <c r="HY65" s="63"/>
      <c r="HZ65" s="63"/>
      <c r="IA65" s="63">
        <f>((HK65*IA$6)+(HK65*$BA$6)+(HK65*$BB$6))*HV65</f>
        <v>0</v>
      </c>
      <c r="IB65" s="63"/>
      <c r="IC65" s="61">
        <f t="shared" si="1025"/>
        <v>0</v>
      </c>
      <c r="ID65" s="134">
        <v>0</v>
      </c>
      <c r="IE65" s="65">
        <f>IF(HI65=1,($C$1*$W$6),0)</f>
        <v>0</v>
      </c>
      <c r="IF65" s="212">
        <f>HR65+IC65+ID65+IE65</f>
        <v>0</v>
      </c>
      <c r="IG65" s="49">
        <v>0</v>
      </c>
      <c r="IH65" s="59" t="s">
        <v>120</v>
      </c>
      <c r="II65" s="28">
        <f>IJ65/$AY$4</f>
        <v>0</v>
      </c>
      <c r="IJ65" s="215">
        <v>0</v>
      </c>
      <c r="IK65" s="28">
        <f>IJ65*IK$6</f>
        <v>0</v>
      </c>
      <c r="IL65" s="28">
        <f>IJ65*IL$6</f>
        <v>0</v>
      </c>
      <c r="IM65" s="28">
        <f>IJ65/IM$6</f>
        <v>0</v>
      </c>
      <c r="IN65" s="63">
        <f>IM65/IN$6</f>
        <v>0</v>
      </c>
      <c r="IO65" s="63">
        <f>IJ65/IO$6</f>
        <v>0</v>
      </c>
      <c r="IP65" s="61">
        <f t="shared" ref="IP65:IP66" si="1038">SUM(IJ65:IO65)</f>
        <v>0</v>
      </c>
      <c r="IQ65" s="209">
        <v>0</v>
      </c>
      <c r="IR65" s="209"/>
      <c r="IS65" s="209"/>
      <c r="IT65" s="62">
        <v>0</v>
      </c>
      <c r="IU65" s="62"/>
      <c r="IV65" s="63">
        <f>((II65*IV$6)+(II65*$BA$6)+(II65*$BB$6))*IQ65</f>
        <v>0</v>
      </c>
      <c r="IW65" s="63"/>
      <c r="IX65" s="63"/>
      <c r="IY65" s="63">
        <f>((II65*IY$6)+(II65*$BA$6)+(II65*$BB$6))*IT65</f>
        <v>0</v>
      </c>
      <c r="IZ65" s="63"/>
      <c r="JA65" s="61">
        <f t="shared" si="1026"/>
        <v>0</v>
      </c>
      <c r="JB65" s="134">
        <v>0</v>
      </c>
      <c r="JC65" s="65">
        <f>IF(IG65=1,($C$1*$W$6),0)</f>
        <v>0</v>
      </c>
      <c r="JD65" s="476">
        <f>IP65+JA65+JB65+JC65</f>
        <v>0</v>
      </c>
      <c r="JE65" s="49">
        <v>0</v>
      </c>
      <c r="JF65" s="59" t="s">
        <v>120</v>
      </c>
      <c r="JG65" s="28">
        <f>JH65/$AY$4</f>
        <v>0</v>
      </c>
      <c r="JH65" s="215">
        <v>0</v>
      </c>
      <c r="JI65" s="28">
        <f>JH65*JI$6</f>
        <v>0</v>
      </c>
      <c r="JJ65" s="28">
        <f>JH65*JJ$6</f>
        <v>0</v>
      </c>
      <c r="JK65" s="28">
        <f>JH65/JK$6</f>
        <v>0</v>
      </c>
      <c r="JL65" s="63">
        <f>JK65/JL$6</f>
        <v>0</v>
      </c>
      <c r="JM65" s="63">
        <f>JH65/JM$6</f>
        <v>0</v>
      </c>
      <c r="JN65" s="61">
        <f t="shared" ref="JN65:JN66" si="1039">SUM(JH65:JM65)</f>
        <v>0</v>
      </c>
      <c r="JO65" s="209">
        <v>0</v>
      </c>
      <c r="JP65" s="209"/>
      <c r="JQ65" s="209"/>
      <c r="JR65" s="62">
        <v>0</v>
      </c>
      <c r="JS65" s="62"/>
      <c r="JT65" s="63">
        <f>((JG65*JT$6)+(JG65*$BA$6)+(JG65*$BB$6))*JO65</f>
        <v>0</v>
      </c>
      <c r="JU65" s="63"/>
      <c r="JV65" s="63"/>
      <c r="JW65" s="63">
        <f>((JG65*JW$6)+(JG65*$BA$6)+(JG65*$BB$6))*JR65</f>
        <v>0</v>
      </c>
      <c r="JX65" s="63"/>
      <c r="JY65" s="61">
        <f t="shared" si="1027"/>
        <v>0</v>
      </c>
      <c r="JZ65" s="134">
        <v>0</v>
      </c>
      <c r="KA65" s="65">
        <f>IF(JE65=1,($C$1*$W$6),0)</f>
        <v>0</v>
      </c>
      <c r="KB65" s="476">
        <f>JN65+JY65+JZ65+KA65</f>
        <v>0</v>
      </c>
      <c r="KC65" s="37"/>
      <c r="KD65" s="37"/>
      <c r="KE65" s="37"/>
      <c r="KF65" s="37"/>
      <c r="KG65" s="37"/>
      <c r="KH65" s="37"/>
      <c r="KI65" s="37"/>
      <c r="KJ65" s="37"/>
    </row>
    <row r="66" spans="1:296" ht="14.4" hidden="1" customHeight="1" x14ac:dyDescent="0.3">
      <c r="A66" s="49">
        <v>0</v>
      </c>
      <c r="B66" s="59" t="s">
        <v>120</v>
      </c>
      <c r="C66" s="28">
        <f>D66/$AY$4</f>
        <v>0</v>
      </c>
      <c r="D66" s="215">
        <v>0</v>
      </c>
      <c r="E66" s="28">
        <f t="shared" si="966"/>
        <v>0</v>
      </c>
      <c r="F66" s="28">
        <f t="shared" si="967"/>
        <v>0</v>
      </c>
      <c r="G66" s="28">
        <f t="shared" si="968"/>
        <v>0</v>
      </c>
      <c r="H66" s="63">
        <f t="shared" si="969"/>
        <v>0</v>
      </c>
      <c r="I66" s="63">
        <f t="shared" si="970"/>
        <v>0</v>
      </c>
      <c r="J66" s="61">
        <f t="shared" si="1028"/>
        <v>0</v>
      </c>
      <c r="K66" s="209">
        <v>0</v>
      </c>
      <c r="L66" s="209"/>
      <c r="M66" s="209"/>
      <c r="N66" s="62">
        <v>0</v>
      </c>
      <c r="O66" s="62"/>
      <c r="P66" s="63">
        <f>((C66*P$6)+(C66*$BA$6)+(C66*$BB$6))*K66</f>
        <v>0</v>
      </c>
      <c r="Q66" s="63"/>
      <c r="R66" s="63"/>
      <c r="S66" s="63">
        <f>((C66*S$6)+(C66*$BA$6)+(C66*$BB$6))*N66</f>
        <v>0</v>
      </c>
      <c r="T66" s="63"/>
      <c r="U66" s="61">
        <f t="shared" si="971"/>
        <v>0</v>
      </c>
      <c r="V66" s="134">
        <v>0</v>
      </c>
      <c r="W66" s="65">
        <f>IF(A66=1,($C$1*$W$6),0)</f>
        <v>0</v>
      </c>
      <c r="X66" s="212">
        <f>J66+U66+V66+W66</f>
        <v>0</v>
      </c>
      <c r="Y66" s="49">
        <v>0</v>
      </c>
      <c r="Z66" s="59" t="s">
        <v>120</v>
      </c>
      <c r="AA66" s="28">
        <f>AB66/$AY$4</f>
        <v>0</v>
      </c>
      <c r="AB66" s="215">
        <v>0</v>
      </c>
      <c r="AC66" s="28">
        <f t="shared" si="972"/>
        <v>0</v>
      </c>
      <c r="AD66" s="28">
        <f t="shared" si="973"/>
        <v>0</v>
      </c>
      <c r="AE66" s="28">
        <f t="shared" si="974"/>
        <v>0</v>
      </c>
      <c r="AF66" s="63">
        <f t="shared" si="975"/>
        <v>0</v>
      </c>
      <c r="AG66" s="63">
        <f t="shared" si="976"/>
        <v>0</v>
      </c>
      <c r="AH66" s="61">
        <f t="shared" si="1029"/>
        <v>0</v>
      </c>
      <c r="AI66" s="209">
        <v>0</v>
      </c>
      <c r="AJ66" s="209"/>
      <c r="AK66" s="209"/>
      <c r="AL66" s="62">
        <v>0</v>
      </c>
      <c r="AM66" s="62"/>
      <c r="AN66" s="63">
        <f>((AA66*AN$6)+(AA66*$BA$6)+(AA66*$BB$6))*AI66</f>
        <v>0</v>
      </c>
      <c r="AO66" s="63"/>
      <c r="AP66" s="63"/>
      <c r="AQ66" s="63">
        <f>((AA66*AQ$6)+(AA66*$BA$6)+(AA66*$BB$6))*AL66</f>
        <v>0</v>
      </c>
      <c r="AR66" s="63"/>
      <c r="AS66" s="61">
        <f t="shared" si="977"/>
        <v>0</v>
      </c>
      <c r="AT66" s="134">
        <v>0</v>
      </c>
      <c r="AU66" s="65">
        <f>IF(Y66=1,($C$1*$W$6),0)</f>
        <v>0</v>
      </c>
      <c r="AV66" s="212">
        <f>AH66+AS66+AT66+AU66</f>
        <v>0</v>
      </c>
      <c r="AW66" s="49">
        <v>0</v>
      </c>
      <c r="AX66" s="59" t="s">
        <v>120</v>
      </c>
      <c r="AY66" s="28">
        <f>AZ66/$AY$4</f>
        <v>0</v>
      </c>
      <c r="AZ66" s="215">
        <v>0</v>
      </c>
      <c r="BA66" s="28">
        <f t="shared" si="978"/>
        <v>0</v>
      </c>
      <c r="BB66" s="28">
        <f t="shared" si="979"/>
        <v>0</v>
      </c>
      <c r="BC66" s="28">
        <f t="shared" si="980"/>
        <v>0</v>
      </c>
      <c r="BD66" s="63">
        <f t="shared" si="981"/>
        <v>0</v>
      </c>
      <c r="BE66" s="63">
        <f t="shared" si="982"/>
        <v>0</v>
      </c>
      <c r="BF66" s="61">
        <f t="shared" si="1030"/>
        <v>0</v>
      </c>
      <c r="BG66" s="209">
        <v>0</v>
      </c>
      <c r="BH66" s="209"/>
      <c r="BI66" s="209"/>
      <c r="BJ66" s="62">
        <v>0</v>
      </c>
      <c r="BK66" s="62"/>
      <c r="BL66" s="63">
        <f>((AY66*BL$6)+(AY66*$BA$6)+(AY66*$BB$6))*BG66</f>
        <v>0</v>
      </c>
      <c r="BM66" s="63"/>
      <c r="BN66" s="63"/>
      <c r="BO66" s="63">
        <f>((AY66*BO$6)+(AY66*$BA$6)+(AY66*$BB$6))*BJ66</f>
        <v>0</v>
      </c>
      <c r="BP66" s="63"/>
      <c r="BQ66" s="61">
        <f t="shared" si="983"/>
        <v>0</v>
      </c>
      <c r="BR66" s="134">
        <v>0</v>
      </c>
      <c r="BS66" s="65">
        <f>IF(AW66=1,($C$1*$W$6),0)</f>
        <v>0</v>
      </c>
      <c r="BT66" s="212">
        <f>BF66+BQ66+BR66+BS66</f>
        <v>0</v>
      </c>
      <c r="BU66" s="49">
        <v>0</v>
      </c>
      <c r="BV66" s="59" t="s">
        <v>120</v>
      </c>
      <c r="BW66" s="28">
        <f>BX66/$AY$4</f>
        <v>0</v>
      </c>
      <c r="BX66" s="215">
        <v>0</v>
      </c>
      <c r="BY66" s="28">
        <f t="shared" si="984"/>
        <v>0</v>
      </c>
      <c r="BZ66" s="28">
        <f t="shared" si="985"/>
        <v>0</v>
      </c>
      <c r="CA66" s="28">
        <f t="shared" si="986"/>
        <v>0</v>
      </c>
      <c r="CB66" s="63">
        <f t="shared" si="987"/>
        <v>0</v>
      </c>
      <c r="CC66" s="63">
        <f t="shared" si="988"/>
        <v>0</v>
      </c>
      <c r="CD66" s="61">
        <f t="shared" si="1031"/>
        <v>0</v>
      </c>
      <c r="CE66" s="209">
        <v>0</v>
      </c>
      <c r="CF66" s="209"/>
      <c r="CG66" s="209"/>
      <c r="CH66" s="62">
        <v>0</v>
      </c>
      <c r="CI66" s="62"/>
      <c r="CJ66" s="63">
        <f>((BW66*CJ$6)+(BW66*$BA$6)+(BW66*$BB$6))*CE66</f>
        <v>0</v>
      </c>
      <c r="CK66" s="63"/>
      <c r="CL66" s="63"/>
      <c r="CM66" s="63">
        <f>((BW66*CM$6)+(BW66*$BA$6)+(BW66*$BB$6))*CH66</f>
        <v>0</v>
      </c>
      <c r="CN66" s="63"/>
      <c r="CO66" s="61">
        <f t="shared" si="989"/>
        <v>0</v>
      </c>
      <c r="CP66" s="134">
        <v>0</v>
      </c>
      <c r="CQ66" s="65">
        <f>IF(BU66=1,($C$1*$W$6),0)</f>
        <v>0</v>
      </c>
      <c r="CR66" s="212">
        <f>CD66+CO66+CP66+CQ66</f>
        <v>0</v>
      </c>
      <c r="CS66" s="49">
        <v>0</v>
      </c>
      <c r="CT66" s="59" t="s">
        <v>120</v>
      </c>
      <c r="CU66" s="28">
        <f>CV66/$AY$4</f>
        <v>0</v>
      </c>
      <c r="CV66" s="215">
        <v>0</v>
      </c>
      <c r="CW66" s="28">
        <f t="shared" si="990"/>
        <v>0</v>
      </c>
      <c r="CX66" s="28">
        <f t="shared" si="991"/>
        <v>0</v>
      </c>
      <c r="CY66" s="28">
        <f t="shared" si="992"/>
        <v>0</v>
      </c>
      <c r="CZ66" s="63">
        <f t="shared" si="993"/>
        <v>0</v>
      </c>
      <c r="DA66" s="63">
        <f t="shared" si="994"/>
        <v>0</v>
      </c>
      <c r="DB66" s="61">
        <f t="shared" si="1032"/>
        <v>0</v>
      </c>
      <c r="DC66" s="209">
        <v>0</v>
      </c>
      <c r="DD66" s="209"/>
      <c r="DE66" s="209"/>
      <c r="DF66" s="62">
        <v>0</v>
      </c>
      <c r="DG66" s="62"/>
      <c r="DH66" s="63">
        <f>((CU66*DH$6)+(CU66*$BA$6)+(CU66*$BB$6))*DC66</f>
        <v>0</v>
      </c>
      <c r="DI66" s="63"/>
      <c r="DJ66" s="63"/>
      <c r="DK66" s="63">
        <f>((CU66*DK$6)+(CU66*$BA$6)+(CU66*$BB$6))*DF66</f>
        <v>0</v>
      </c>
      <c r="DL66" s="63"/>
      <c r="DM66" s="61">
        <f t="shared" si="995"/>
        <v>0</v>
      </c>
      <c r="DN66" s="134">
        <v>0</v>
      </c>
      <c r="DO66" s="65">
        <f>IF(CS66=1,($C$1*$W$6),0)</f>
        <v>0</v>
      </c>
      <c r="DP66" s="212">
        <f>DB66+DM66+DN66+DO66</f>
        <v>0</v>
      </c>
      <c r="DQ66" s="49">
        <v>0</v>
      </c>
      <c r="DR66" s="59" t="s">
        <v>120</v>
      </c>
      <c r="DS66" s="28">
        <f>DT66/$AY$4</f>
        <v>0</v>
      </c>
      <c r="DT66" s="215">
        <v>0</v>
      </c>
      <c r="DU66" s="28">
        <f t="shared" si="996"/>
        <v>0</v>
      </c>
      <c r="DV66" s="28">
        <f t="shared" si="997"/>
        <v>0</v>
      </c>
      <c r="DW66" s="28">
        <f t="shared" si="998"/>
        <v>0</v>
      </c>
      <c r="DX66" s="63">
        <f t="shared" si="999"/>
        <v>0</v>
      </c>
      <c r="DY66" s="63">
        <f t="shared" si="1000"/>
        <v>0</v>
      </c>
      <c r="DZ66" s="61">
        <f t="shared" si="1033"/>
        <v>0</v>
      </c>
      <c r="EA66" s="209">
        <v>0</v>
      </c>
      <c r="EB66" s="209"/>
      <c r="EC66" s="209"/>
      <c r="ED66" s="62">
        <v>0</v>
      </c>
      <c r="EE66" s="62"/>
      <c r="EF66" s="63">
        <f>((DS66*EF$6)+(DS66*$BA$6)+(DS66*$BB$6))*EA66</f>
        <v>0</v>
      </c>
      <c r="EG66" s="63"/>
      <c r="EH66" s="63"/>
      <c r="EI66" s="63">
        <f>((DS66*EI$6)+(DS66*$BA$6)+(DS66*$BB$6))*ED66</f>
        <v>0</v>
      </c>
      <c r="EJ66" s="63"/>
      <c r="EK66" s="61">
        <f t="shared" si="1001"/>
        <v>0</v>
      </c>
      <c r="EL66" s="134">
        <v>0</v>
      </c>
      <c r="EM66" s="65">
        <f>IF(DQ66=1,($C$1*$W$6),0)</f>
        <v>0</v>
      </c>
      <c r="EN66" s="212">
        <f>DZ66+EK66+EL66+EM66</f>
        <v>0</v>
      </c>
      <c r="EO66" s="49">
        <v>0</v>
      </c>
      <c r="EP66" s="59" t="s">
        <v>120</v>
      </c>
      <c r="EQ66" s="28">
        <f>ER66/$AY$4</f>
        <v>0</v>
      </c>
      <c r="ER66" s="215">
        <v>0</v>
      </c>
      <c r="ES66" s="28">
        <f t="shared" si="1002"/>
        <v>0</v>
      </c>
      <c r="ET66" s="28">
        <f t="shared" si="1003"/>
        <v>0</v>
      </c>
      <c r="EU66" s="28">
        <f t="shared" si="1004"/>
        <v>0</v>
      </c>
      <c r="EV66" s="63">
        <f t="shared" si="1005"/>
        <v>0</v>
      </c>
      <c r="EW66" s="63">
        <f t="shared" si="1006"/>
        <v>0</v>
      </c>
      <c r="EX66" s="61">
        <f t="shared" si="1034"/>
        <v>0</v>
      </c>
      <c r="EY66" s="209">
        <v>0</v>
      </c>
      <c r="EZ66" s="209"/>
      <c r="FA66" s="209"/>
      <c r="FB66" s="62">
        <v>0</v>
      </c>
      <c r="FC66" s="62"/>
      <c r="FD66" s="63">
        <f>((EQ66*FD$6)+(EQ66*$BA$6)+(EQ66*$BB$6))*EY66</f>
        <v>0</v>
      </c>
      <c r="FE66" s="63"/>
      <c r="FF66" s="63"/>
      <c r="FG66" s="63">
        <f>((EQ66*FG$6)+(EQ66*$BA$6)+(EQ66*$BB$6))*FB66</f>
        <v>0</v>
      </c>
      <c r="FH66" s="63"/>
      <c r="FI66" s="61">
        <f t="shared" si="1007"/>
        <v>0</v>
      </c>
      <c r="FJ66" s="134">
        <v>0</v>
      </c>
      <c r="FK66" s="65">
        <f>IF(EO66=1,($C$1*$W$6),0)</f>
        <v>0</v>
      </c>
      <c r="FL66" s="212">
        <f>EX66+FI66+FJ66+FK66</f>
        <v>0</v>
      </c>
      <c r="FM66" s="49">
        <v>0</v>
      </c>
      <c r="FN66" s="59" t="s">
        <v>120</v>
      </c>
      <c r="FO66" s="28">
        <f>FP66/$AY$4</f>
        <v>0</v>
      </c>
      <c r="FP66" s="215">
        <v>0</v>
      </c>
      <c r="FQ66" s="28">
        <f t="shared" si="1008"/>
        <v>0</v>
      </c>
      <c r="FR66" s="28">
        <f t="shared" si="1009"/>
        <v>0</v>
      </c>
      <c r="FS66" s="28">
        <f t="shared" si="1010"/>
        <v>0</v>
      </c>
      <c r="FT66" s="63">
        <f t="shared" si="1011"/>
        <v>0</v>
      </c>
      <c r="FU66" s="63">
        <f t="shared" si="1012"/>
        <v>0</v>
      </c>
      <c r="FV66" s="61">
        <f t="shared" si="1035"/>
        <v>0</v>
      </c>
      <c r="FW66" s="209">
        <v>0</v>
      </c>
      <c r="FX66" s="209"/>
      <c r="FY66" s="209"/>
      <c r="FZ66" s="62">
        <v>0</v>
      </c>
      <c r="GA66" s="62"/>
      <c r="GB66" s="63">
        <f>((FO66*GB$6)+(FO66*$BA$6)+(FO66*$BB$6))*FW66</f>
        <v>0</v>
      </c>
      <c r="GC66" s="63"/>
      <c r="GD66" s="63"/>
      <c r="GE66" s="63">
        <f>((FO66*GE$6)+(FO66*$BA$6)+(FO66*$BB$6))*FZ66</f>
        <v>0</v>
      </c>
      <c r="GF66" s="63"/>
      <c r="GG66" s="61">
        <f t="shared" si="1013"/>
        <v>0</v>
      </c>
      <c r="GH66" s="134">
        <v>0</v>
      </c>
      <c r="GI66" s="65">
        <f>IF(FM66=1,($C$1*$W$6),0)</f>
        <v>0</v>
      </c>
      <c r="GJ66" s="212">
        <f>FV66+GG66+GH66+GI66</f>
        <v>0</v>
      </c>
      <c r="GK66" s="49">
        <v>0</v>
      </c>
      <c r="GL66" s="59" t="s">
        <v>120</v>
      </c>
      <c r="GM66" s="28">
        <f>GN66/$AY$4</f>
        <v>0</v>
      </c>
      <c r="GN66" s="215">
        <v>0</v>
      </c>
      <c r="GO66" s="28">
        <f t="shared" si="1014"/>
        <v>0</v>
      </c>
      <c r="GP66" s="28">
        <f t="shared" si="1015"/>
        <v>0</v>
      </c>
      <c r="GQ66" s="28">
        <f t="shared" si="1016"/>
        <v>0</v>
      </c>
      <c r="GR66" s="63">
        <f t="shared" si="1017"/>
        <v>0</v>
      </c>
      <c r="GS66" s="63">
        <f t="shared" si="1018"/>
        <v>0</v>
      </c>
      <c r="GT66" s="61">
        <f t="shared" si="1036"/>
        <v>0</v>
      </c>
      <c r="GU66" s="209">
        <v>0</v>
      </c>
      <c r="GV66" s="209"/>
      <c r="GW66" s="209"/>
      <c r="GX66" s="62">
        <v>0</v>
      </c>
      <c r="GY66" s="62"/>
      <c r="GZ66" s="63">
        <f>((GM66*GZ$6)+(GM66*$BA$6)+(GM66*$BB$6))*GU66</f>
        <v>0</v>
      </c>
      <c r="HA66" s="63"/>
      <c r="HB66" s="63"/>
      <c r="HC66" s="63">
        <f>((GM66*HC$6)+(GM66*$BA$6)+(GM66*$BB$6))*GX66</f>
        <v>0</v>
      </c>
      <c r="HD66" s="63"/>
      <c r="HE66" s="61">
        <f t="shared" si="1019"/>
        <v>0</v>
      </c>
      <c r="HF66" s="134">
        <v>0</v>
      </c>
      <c r="HG66" s="65">
        <f>IF(GK66=1,($C$1*$W$6),0)</f>
        <v>0</v>
      </c>
      <c r="HH66" s="212">
        <f>GT66+HE66+HF66+HG66</f>
        <v>0</v>
      </c>
      <c r="HI66" s="49">
        <v>0</v>
      </c>
      <c r="HJ66" s="59" t="s">
        <v>120</v>
      </c>
      <c r="HK66" s="28">
        <f>HL66/$AY$4</f>
        <v>0</v>
      </c>
      <c r="HL66" s="215">
        <v>0</v>
      </c>
      <c r="HM66" s="28">
        <f t="shared" si="1020"/>
        <v>0</v>
      </c>
      <c r="HN66" s="28">
        <f t="shared" si="1021"/>
        <v>0</v>
      </c>
      <c r="HO66" s="28">
        <f t="shared" si="1022"/>
        <v>0</v>
      </c>
      <c r="HP66" s="63">
        <f t="shared" si="1023"/>
        <v>0</v>
      </c>
      <c r="HQ66" s="63">
        <f t="shared" si="1024"/>
        <v>0</v>
      </c>
      <c r="HR66" s="61">
        <f t="shared" si="1037"/>
        <v>0</v>
      </c>
      <c r="HS66" s="209">
        <v>0</v>
      </c>
      <c r="HT66" s="209"/>
      <c r="HU66" s="209"/>
      <c r="HV66" s="62">
        <v>0</v>
      </c>
      <c r="HW66" s="62"/>
      <c r="HX66" s="63">
        <f>((HK66*HX$6)+(HK66*$BA$6)+(HK66*$BB$6))*HS66</f>
        <v>0</v>
      </c>
      <c r="HY66" s="63"/>
      <c r="HZ66" s="63"/>
      <c r="IA66" s="63">
        <f>((HK66*IA$6)+(HK66*$BA$6)+(HK66*$BB$6))*HV66</f>
        <v>0</v>
      </c>
      <c r="IB66" s="63"/>
      <c r="IC66" s="61">
        <f t="shared" si="1025"/>
        <v>0</v>
      </c>
      <c r="ID66" s="134">
        <v>0</v>
      </c>
      <c r="IE66" s="65">
        <f>IF(HI66=1,($C$1*$W$6),0)</f>
        <v>0</v>
      </c>
      <c r="IF66" s="212">
        <f>HR66+IC66+ID66+IE66</f>
        <v>0</v>
      </c>
      <c r="IG66" s="49">
        <v>0</v>
      </c>
      <c r="IH66" s="59" t="s">
        <v>120</v>
      </c>
      <c r="II66" s="28">
        <f>IJ66/$AY$4</f>
        <v>0</v>
      </c>
      <c r="IJ66" s="215">
        <v>0</v>
      </c>
      <c r="IK66" s="28">
        <f>IJ66*IK$6</f>
        <v>0</v>
      </c>
      <c r="IL66" s="28">
        <f>IJ66*IL$6</f>
        <v>0</v>
      </c>
      <c r="IM66" s="28">
        <f>IJ66/IM$6</f>
        <v>0</v>
      </c>
      <c r="IN66" s="63">
        <f>IM66/IN$6</f>
        <v>0</v>
      </c>
      <c r="IO66" s="63">
        <f>IJ66/IO$6</f>
        <v>0</v>
      </c>
      <c r="IP66" s="61">
        <f t="shared" si="1038"/>
        <v>0</v>
      </c>
      <c r="IQ66" s="209">
        <v>0</v>
      </c>
      <c r="IR66" s="209"/>
      <c r="IS66" s="209"/>
      <c r="IT66" s="62">
        <v>0</v>
      </c>
      <c r="IU66" s="62"/>
      <c r="IV66" s="63">
        <f>((II66*IV$6)+(II66*$BA$6)+(II66*$BB$6))*IQ66</f>
        <v>0</v>
      </c>
      <c r="IW66" s="63"/>
      <c r="IX66" s="63"/>
      <c r="IY66" s="63">
        <f>((II66*IY$6)+(II66*$BA$6)+(II66*$BB$6))*IT66</f>
        <v>0</v>
      </c>
      <c r="IZ66" s="63"/>
      <c r="JA66" s="61">
        <f t="shared" si="1026"/>
        <v>0</v>
      </c>
      <c r="JB66" s="134">
        <v>0</v>
      </c>
      <c r="JC66" s="65">
        <f>IF(IG66=1,($C$1*$W$6),0)</f>
        <v>0</v>
      </c>
      <c r="JD66" s="476">
        <f>IP66+JA66+JB66+JC66</f>
        <v>0</v>
      </c>
      <c r="JE66" s="49">
        <v>0</v>
      </c>
      <c r="JF66" s="59" t="s">
        <v>120</v>
      </c>
      <c r="JG66" s="28">
        <f>JH66/$AY$4</f>
        <v>0</v>
      </c>
      <c r="JH66" s="215">
        <v>0</v>
      </c>
      <c r="JI66" s="28">
        <f>JH66*JI$6</f>
        <v>0</v>
      </c>
      <c r="JJ66" s="28">
        <f>JH66*JJ$6</f>
        <v>0</v>
      </c>
      <c r="JK66" s="28">
        <f>JH66/JK$6</f>
        <v>0</v>
      </c>
      <c r="JL66" s="63">
        <f>JK66/JL$6</f>
        <v>0</v>
      </c>
      <c r="JM66" s="63">
        <f>JH66/JM$6</f>
        <v>0</v>
      </c>
      <c r="JN66" s="61">
        <f t="shared" si="1039"/>
        <v>0</v>
      </c>
      <c r="JO66" s="209">
        <v>0</v>
      </c>
      <c r="JP66" s="209"/>
      <c r="JQ66" s="209"/>
      <c r="JR66" s="62">
        <v>0</v>
      </c>
      <c r="JS66" s="62"/>
      <c r="JT66" s="63">
        <f>((JG66*JT$6)+(JG66*$BA$6)+(JG66*$BB$6))*JO66</f>
        <v>0</v>
      </c>
      <c r="JU66" s="63"/>
      <c r="JV66" s="63"/>
      <c r="JW66" s="63">
        <f>((JG66*JW$6)+(JG66*$BA$6)+(JG66*$BB$6))*JR66</f>
        <v>0</v>
      </c>
      <c r="JX66" s="63"/>
      <c r="JY66" s="61">
        <f t="shared" si="1027"/>
        <v>0</v>
      </c>
      <c r="JZ66" s="134">
        <v>0</v>
      </c>
      <c r="KA66" s="65">
        <f>IF(JE66=1,($C$1*$W$6),0)</f>
        <v>0</v>
      </c>
      <c r="KB66" s="476">
        <f>JN66+JY66+JZ66+KA66</f>
        <v>0</v>
      </c>
      <c r="KC66" s="37"/>
      <c r="KD66" s="37"/>
      <c r="KE66" s="37"/>
      <c r="KF66" s="37"/>
      <c r="KG66" s="37"/>
      <c r="KH66" s="37"/>
      <c r="KI66" s="37"/>
      <c r="KJ66" s="37"/>
    </row>
    <row r="67" spans="1:296" ht="15.6" hidden="1" customHeight="1" x14ac:dyDescent="0.3">
      <c r="A67" s="385"/>
      <c r="B67" s="383"/>
      <c r="C67" s="383"/>
      <c r="D67" s="383"/>
      <c r="E67" s="383"/>
      <c r="F67" s="383"/>
      <c r="G67" s="383"/>
      <c r="H67" s="383"/>
      <c r="I67" s="383"/>
      <c r="J67" s="383"/>
      <c r="K67" s="383"/>
      <c r="L67" s="383"/>
      <c r="M67" s="383"/>
      <c r="N67" s="383"/>
      <c r="O67" s="383"/>
      <c r="P67" s="383"/>
      <c r="Q67" s="383"/>
      <c r="R67" s="383"/>
      <c r="S67" s="383"/>
      <c r="T67" s="383"/>
      <c r="U67" s="383"/>
      <c r="V67" s="384"/>
      <c r="W67" s="272" t="s">
        <v>7</v>
      </c>
      <c r="X67" s="213">
        <f>SUM(X64:X66)</f>
        <v>0</v>
      </c>
      <c r="Y67" s="385"/>
      <c r="Z67" s="383"/>
      <c r="AA67" s="383"/>
      <c r="AB67" s="383"/>
      <c r="AC67" s="383"/>
      <c r="AD67" s="383"/>
      <c r="AE67" s="383"/>
      <c r="AF67" s="383"/>
      <c r="AG67" s="383"/>
      <c r="AH67" s="383"/>
      <c r="AI67" s="383"/>
      <c r="AJ67" s="383"/>
      <c r="AK67" s="383"/>
      <c r="AL67" s="383"/>
      <c r="AM67" s="383"/>
      <c r="AN67" s="383"/>
      <c r="AO67" s="383"/>
      <c r="AP67" s="383"/>
      <c r="AQ67" s="383"/>
      <c r="AR67" s="383"/>
      <c r="AS67" s="383"/>
      <c r="AT67" s="384"/>
      <c r="AU67" s="272" t="s">
        <v>7</v>
      </c>
      <c r="AV67" s="213">
        <f>SUM(AV64:AV66)</f>
        <v>0</v>
      </c>
      <c r="AW67" s="385"/>
      <c r="AX67" s="383"/>
      <c r="AY67" s="383"/>
      <c r="AZ67" s="383"/>
      <c r="BA67" s="383"/>
      <c r="BB67" s="383"/>
      <c r="BC67" s="383"/>
      <c r="BD67" s="383"/>
      <c r="BE67" s="383"/>
      <c r="BF67" s="383"/>
      <c r="BG67" s="383"/>
      <c r="BH67" s="383"/>
      <c r="BI67" s="383"/>
      <c r="BJ67" s="383"/>
      <c r="BK67" s="383"/>
      <c r="BL67" s="383"/>
      <c r="BM67" s="383"/>
      <c r="BN67" s="383"/>
      <c r="BO67" s="383"/>
      <c r="BP67" s="383"/>
      <c r="BQ67" s="383"/>
      <c r="BR67" s="384"/>
      <c r="BS67" s="272" t="s">
        <v>7</v>
      </c>
      <c r="BT67" s="213">
        <f>SUM(BT64:BT66)</f>
        <v>0</v>
      </c>
      <c r="BU67" s="385"/>
      <c r="BV67" s="383"/>
      <c r="BW67" s="383"/>
      <c r="BX67" s="383"/>
      <c r="BY67" s="383"/>
      <c r="BZ67" s="383"/>
      <c r="CA67" s="383"/>
      <c r="CB67" s="383"/>
      <c r="CC67" s="383"/>
      <c r="CD67" s="383"/>
      <c r="CE67" s="383"/>
      <c r="CF67" s="383"/>
      <c r="CG67" s="383"/>
      <c r="CH67" s="383"/>
      <c r="CI67" s="383"/>
      <c r="CJ67" s="383"/>
      <c r="CK67" s="383"/>
      <c r="CL67" s="383"/>
      <c r="CM67" s="383"/>
      <c r="CN67" s="383"/>
      <c r="CO67" s="383"/>
      <c r="CP67" s="384"/>
      <c r="CQ67" s="272" t="s">
        <v>7</v>
      </c>
      <c r="CR67" s="213">
        <f>SUM(CR64:CR66)</f>
        <v>0</v>
      </c>
      <c r="CS67" s="385"/>
      <c r="CT67" s="383"/>
      <c r="CU67" s="383"/>
      <c r="CV67" s="383"/>
      <c r="CW67" s="383"/>
      <c r="CX67" s="383"/>
      <c r="CY67" s="383"/>
      <c r="CZ67" s="383"/>
      <c r="DA67" s="383"/>
      <c r="DB67" s="383"/>
      <c r="DC67" s="383"/>
      <c r="DD67" s="383"/>
      <c r="DE67" s="383"/>
      <c r="DF67" s="383"/>
      <c r="DG67" s="383"/>
      <c r="DH67" s="383"/>
      <c r="DI67" s="383"/>
      <c r="DJ67" s="383"/>
      <c r="DK67" s="383"/>
      <c r="DL67" s="383"/>
      <c r="DM67" s="383"/>
      <c r="DN67" s="384"/>
      <c r="DO67" s="272" t="s">
        <v>7</v>
      </c>
      <c r="DP67" s="213">
        <f>SUM(DP64:DP66)</f>
        <v>0</v>
      </c>
      <c r="DQ67" s="385"/>
      <c r="DR67" s="383"/>
      <c r="DS67" s="383"/>
      <c r="DT67" s="383"/>
      <c r="DU67" s="383"/>
      <c r="DV67" s="383"/>
      <c r="DW67" s="383"/>
      <c r="DX67" s="383"/>
      <c r="DY67" s="383"/>
      <c r="DZ67" s="383"/>
      <c r="EA67" s="383"/>
      <c r="EB67" s="383"/>
      <c r="EC67" s="383"/>
      <c r="ED67" s="383"/>
      <c r="EE67" s="383"/>
      <c r="EF67" s="383"/>
      <c r="EG67" s="383"/>
      <c r="EH67" s="383"/>
      <c r="EI67" s="383"/>
      <c r="EJ67" s="383"/>
      <c r="EK67" s="383"/>
      <c r="EL67" s="384"/>
      <c r="EM67" s="272" t="s">
        <v>7</v>
      </c>
      <c r="EN67" s="213">
        <f>SUM(EN64:EN66)</f>
        <v>0</v>
      </c>
      <c r="EO67" s="385"/>
      <c r="EP67" s="383"/>
      <c r="EQ67" s="383"/>
      <c r="ER67" s="383"/>
      <c r="ES67" s="383"/>
      <c r="ET67" s="383"/>
      <c r="EU67" s="383"/>
      <c r="EV67" s="383"/>
      <c r="EW67" s="383"/>
      <c r="EX67" s="383"/>
      <c r="EY67" s="383"/>
      <c r="EZ67" s="383"/>
      <c r="FA67" s="383"/>
      <c r="FB67" s="383"/>
      <c r="FC67" s="383"/>
      <c r="FD67" s="383"/>
      <c r="FE67" s="383"/>
      <c r="FF67" s="383"/>
      <c r="FG67" s="383"/>
      <c r="FH67" s="383"/>
      <c r="FI67" s="383"/>
      <c r="FJ67" s="384"/>
      <c r="FK67" s="272" t="s">
        <v>7</v>
      </c>
      <c r="FL67" s="213">
        <f>SUM(FL64:FL66)</f>
        <v>0</v>
      </c>
      <c r="FM67" s="385"/>
      <c r="FN67" s="383"/>
      <c r="FO67" s="383"/>
      <c r="FP67" s="383"/>
      <c r="FQ67" s="383"/>
      <c r="FR67" s="383"/>
      <c r="FS67" s="383"/>
      <c r="FT67" s="383"/>
      <c r="FU67" s="383"/>
      <c r="FV67" s="383"/>
      <c r="FW67" s="383"/>
      <c r="FX67" s="383"/>
      <c r="FY67" s="383"/>
      <c r="FZ67" s="383"/>
      <c r="GA67" s="383"/>
      <c r="GB67" s="383"/>
      <c r="GC67" s="383"/>
      <c r="GD67" s="383"/>
      <c r="GE67" s="383"/>
      <c r="GF67" s="383"/>
      <c r="GG67" s="383"/>
      <c r="GH67" s="384"/>
      <c r="GI67" s="272" t="s">
        <v>7</v>
      </c>
      <c r="GJ67" s="213">
        <f>SUM(GJ64:GJ66)</f>
        <v>0</v>
      </c>
      <c r="GK67" s="385"/>
      <c r="GL67" s="383"/>
      <c r="GM67" s="383"/>
      <c r="GN67" s="383"/>
      <c r="GO67" s="383"/>
      <c r="GP67" s="383"/>
      <c r="GQ67" s="383"/>
      <c r="GR67" s="383"/>
      <c r="GS67" s="383"/>
      <c r="GT67" s="383"/>
      <c r="GU67" s="383"/>
      <c r="GV67" s="383"/>
      <c r="GW67" s="383"/>
      <c r="GX67" s="383"/>
      <c r="GY67" s="383"/>
      <c r="GZ67" s="383"/>
      <c r="HA67" s="383"/>
      <c r="HB67" s="383"/>
      <c r="HC67" s="383"/>
      <c r="HD67" s="383"/>
      <c r="HE67" s="383"/>
      <c r="HF67" s="384"/>
      <c r="HG67" s="272" t="s">
        <v>7</v>
      </c>
      <c r="HH67" s="213">
        <f>SUM(HH64:HH66)</f>
        <v>0</v>
      </c>
      <c r="HI67" s="385"/>
      <c r="HJ67" s="383"/>
      <c r="HK67" s="383"/>
      <c r="HL67" s="383"/>
      <c r="HM67" s="383"/>
      <c r="HN67" s="383"/>
      <c r="HO67" s="383"/>
      <c r="HP67" s="383"/>
      <c r="HQ67" s="383"/>
      <c r="HR67" s="383"/>
      <c r="HS67" s="383"/>
      <c r="HT67" s="383"/>
      <c r="HU67" s="383"/>
      <c r="HV67" s="383"/>
      <c r="HW67" s="383"/>
      <c r="HX67" s="383"/>
      <c r="HY67" s="383"/>
      <c r="HZ67" s="383"/>
      <c r="IA67" s="383"/>
      <c r="IB67" s="383"/>
      <c r="IC67" s="383"/>
      <c r="ID67" s="384"/>
      <c r="IE67" s="272" t="s">
        <v>7</v>
      </c>
      <c r="IF67" s="213">
        <f>SUM(IF64:IF66)</f>
        <v>0</v>
      </c>
      <c r="IG67" s="385"/>
      <c r="IH67" s="383"/>
      <c r="II67" s="383"/>
      <c r="IJ67" s="383"/>
      <c r="IK67" s="383"/>
      <c r="IL67" s="383"/>
      <c r="IM67" s="383"/>
      <c r="IN67" s="383"/>
      <c r="IO67" s="383"/>
      <c r="IP67" s="383"/>
      <c r="IQ67" s="383"/>
      <c r="IR67" s="383"/>
      <c r="IS67" s="383"/>
      <c r="IT67" s="383"/>
      <c r="IU67" s="383"/>
      <c r="IV67" s="383"/>
      <c r="IW67" s="383"/>
      <c r="IX67" s="383"/>
      <c r="IY67" s="383"/>
      <c r="IZ67" s="383"/>
      <c r="JA67" s="383"/>
      <c r="JB67" s="384"/>
      <c r="JC67" s="272" t="s">
        <v>7</v>
      </c>
      <c r="JD67" s="470">
        <f>SUM(JD64:JD66)</f>
        <v>0</v>
      </c>
      <c r="JE67" s="385"/>
      <c r="JF67" s="383"/>
      <c r="JG67" s="383"/>
      <c r="JH67" s="383"/>
      <c r="JI67" s="383"/>
      <c r="JJ67" s="383"/>
      <c r="JK67" s="383"/>
      <c r="JL67" s="383"/>
      <c r="JM67" s="383"/>
      <c r="JN67" s="383"/>
      <c r="JO67" s="383"/>
      <c r="JP67" s="383"/>
      <c r="JQ67" s="383"/>
      <c r="JR67" s="383"/>
      <c r="JS67" s="383"/>
      <c r="JT67" s="383"/>
      <c r="JU67" s="383"/>
      <c r="JV67" s="383"/>
      <c r="JW67" s="383"/>
      <c r="JX67" s="383"/>
      <c r="JY67" s="383"/>
      <c r="JZ67" s="384"/>
      <c r="KA67" s="272" t="s">
        <v>7</v>
      </c>
      <c r="KB67" s="470">
        <f>SUM(KB64:KB66)</f>
        <v>0</v>
      </c>
      <c r="KC67" s="37"/>
      <c r="KD67" s="37"/>
      <c r="KE67" s="37"/>
      <c r="KF67" s="37"/>
      <c r="KG67" s="37"/>
      <c r="KH67" s="37"/>
      <c r="KI67" s="37"/>
      <c r="KJ67" s="37"/>
    </row>
    <row r="68" spans="1:296" ht="15.6" hidden="1" customHeight="1" x14ac:dyDescent="0.3">
      <c r="A68" s="386"/>
      <c r="B68" s="387"/>
      <c r="C68" s="387"/>
      <c r="D68" s="387"/>
      <c r="E68" s="598" t="s">
        <v>116</v>
      </c>
      <c r="F68" s="598"/>
      <c r="G68" s="598"/>
      <c r="H68" s="598"/>
      <c r="I68" s="598"/>
      <c r="J68" s="598"/>
      <c r="K68" s="598"/>
      <c r="L68" s="598"/>
      <c r="M68" s="598"/>
      <c r="N68" s="598"/>
      <c r="O68" s="598"/>
      <c r="P68" s="598"/>
      <c r="Q68" s="454"/>
      <c r="R68" s="454"/>
      <c r="S68" s="387"/>
      <c r="T68" s="387"/>
      <c r="U68" s="387"/>
      <c r="V68" s="387"/>
      <c r="W68" s="387"/>
      <c r="X68" s="388"/>
      <c r="Y68" s="386"/>
      <c r="Z68" s="387"/>
      <c r="AA68" s="387"/>
      <c r="AB68" s="387"/>
      <c r="AC68" s="598" t="s">
        <v>116</v>
      </c>
      <c r="AD68" s="598"/>
      <c r="AE68" s="598"/>
      <c r="AF68" s="598"/>
      <c r="AG68" s="598"/>
      <c r="AH68" s="598"/>
      <c r="AI68" s="598"/>
      <c r="AJ68" s="598"/>
      <c r="AK68" s="598"/>
      <c r="AL68" s="598"/>
      <c r="AM68" s="598"/>
      <c r="AN68" s="598"/>
      <c r="AO68" s="454"/>
      <c r="AP68" s="454"/>
      <c r="AQ68" s="387"/>
      <c r="AR68" s="387"/>
      <c r="AS68" s="387"/>
      <c r="AT68" s="387"/>
      <c r="AU68" s="387"/>
      <c r="AV68" s="388"/>
      <c r="AW68" s="386"/>
      <c r="AX68" s="387"/>
      <c r="AY68" s="387"/>
      <c r="AZ68" s="387"/>
      <c r="BA68" s="598" t="s">
        <v>116</v>
      </c>
      <c r="BB68" s="598"/>
      <c r="BC68" s="598"/>
      <c r="BD68" s="598"/>
      <c r="BE68" s="598"/>
      <c r="BF68" s="598"/>
      <c r="BG68" s="598"/>
      <c r="BH68" s="598"/>
      <c r="BI68" s="598"/>
      <c r="BJ68" s="598"/>
      <c r="BK68" s="598"/>
      <c r="BL68" s="598"/>
      <c r="BM68" s="454"/>
      <c r="BN68" s="454"/>
      <c r="BO68" s="387"/>
      <c r="BP68" s="387"/>
      <c r="BQ68" s="387"/>
      <c r="BR68" s="387"/>
      <c r="BS68" s="387"/>
      <c r="BT68" s="388"/>
      <c r="BU68" s="386"/>
      <c r="BV68" s="387"/>
      <c r="BW68" s="387"/>
      <c r="BX68" s="387"/>
      <c r="BY68" s="598" t="s">
        <v>116</v>
      </c>
      <c r="BZ68" s="598"/>
      <c r="CA68" s="598"/>
      <c r="CB68" s="598"/>
      <c r="CC68" s="598"/>
      <c r="CD68" s="598"/>
      <c r="CE68" s="598"/>
      <c r="CF68" s="598"/>
      <c r="CG68" s="598"/>
      <c r="CH68" s="598"/>
      <c r="CI68" s="598"/>
      <c r="CJ68" s="598"/>
      <c r="CK68" s="454"/>
      <c r="CL68" s="454"/>
      <c r="CM68" s="387"/>
      <c r="CN68" s="387"/>
      <c r="CO68" s="387"/>
      <c r="CP68" s="387"/>
      <c r="CQ68" s="387"/>
      <c r="CR68" s="388"/>
      <c r="CS68" s="386"/>
      <c r="CT68" s="387"/>
      <c r="CU68" s="387"/>
      <c r="CV68" s="387"/>
      <c r="CW68" s="598" t="s">
        <v>116</v>
      </c>
      <c r="CX68" s="598"/>
      <c r="CY68" s="598"/>
      <c r="CZ68" s="598"/>
      <c r="DA68" s="598"/>
      <c r="DB68" s="598"/>
      <c r="DC68" s="598"/>
      <c r="DD68" s="598"/>
      <c r="DE68" s="598"/>
      <c r="DF68" s="598"/>
      <c r="DG68" s="598"/>
      <c r="DH68" s="598"/>
      <c r="DI68" s="454"/>
      <c r="DJ68" s="454"/>
      <c r="DK68" s="387"/>
      <c r="DL68" s="387"/>
      <c r="DM68" s="387"/>
      <c r="DN68" s="387"/>
      <c r="DO68" s="387"/>
      <c r="DP68" s="388"/>
      <c r="DQ68" s="386"/>
      <c r="DR68" s="387"/>
      <c r="DS68" s="387"/>
      <c r="DT68" s="387"/>
      <c r="DU68" s="598" t="s">
        <v>116</v>
      </c>
      <c r="DV68" s="598"/>
      <c r="DW68" s="598"/>
      <c r="DX68" s="598"/>
      <c r="DY68" s="598"/>
      <c r="DZ68" s="598"/>
      <c r="EA68" s="598"/>
      <c r="EB68" s="598"/>
      <c r="EC68" s="598"/>
      <c r="ED68" s="598"/>
      <c r="EE68" s="598"/>
      <c r="EF68" s="598"/>
      <c r="EG68" s="454"/>
      <c r="EH68" s="454"/>
      <c r="EI68" s="387"/>
      <c r="EJ68" s="387"/>
      <c r="EK68" s="387"/>
      <c r="EL68" s="387"/>
      <c r="EM68" s="387"/>
      <c r="EN68" s="388"/>
      <c r="EO68" s="386"/>
      <c r="EP68" s="387"/>
      <c r="EQ68" s="387"/>
      <c r="ER68" s="387"/>
      <c r="ES68" s="598" t="s">
        <v>116</v>
      </c>
      <c r="ET68" s="598"/>
      <c r="EU68" s="598"/>
      <c r="EV68" s="598"/>
      <c r="EW68" s="598"/>
      <c r="EX68" s="598"/>
      <c r="EY68" s="598"/>
      <c r="EZ68" s="598"/>
      <c r="FA68" s="598"/>
      <c r="FB68" s="598"/>
      <c r="FC68" s="598"/>
      <c r="FD68" s="598"/>
      <c r="FE68" s="454"/>
      <c r="FF68" s="454"/>
      <c r="FG68" s="387"/>
      <c r="FH68" s="387"/>
      <c r="FI68" s="387"/>
      <c r="FJ68" s="387"/>
      <c r="FK68" s="387"/>
      <c r="FL68" s="388"/>
      <c r="FM68" s="386"/>
      <c r="FN68" s="387"/>
      <c r="FO68" s="387"/>
      <c r="FP68" s="387"/>
      <c r="FQ68" s="598" t="s">
        <v>116</v>
      </c>
      <c r="FR68" s="598"/>
      <c r="FS68" s="598"/>
      <c r="FT68" s="598"/>
      <c r="FU68" s="598"/>
      <c r="FV68" s="598"/>
      <c r="FW68" s="598"/>
      <c r="FX68" s="598"/>
      <c r="FY68" s="598"/>
      <c r="FZ68" s="598"/>
      <c r="GA68" s="598"/>
      <c r="GB68" s="598"/>
      <c r="GC68" s="454"/>
      <c r="GD68" s="454"/>
      <c r="GE68" s="387"/>
      <c r="GF68" s="387"/>
      <c r="GG68" s="387"/>
      <c r="GH68" s="387"/>
      <c r="GI68" s="387"/>
      <c r="GJ68" s="388"/>
      <c r="GK68" s="386"/>
      <c r="GL68" s="387"/>
      <c r="GM68" s="387"/>
      <c r="GN68" s="387"/>
      <c r="GO68" s="598" t="s">
        <v>116</v>
      </c>
      <c r="GP68" s="598"/>
      <c r="GQ68" s="598"/>
      <c r="GR68" s="598"/>
      <c r="GS68" s="598"/>
      <c r="GT68" s="598"/>
      <c r="GU68" s="598"/>
      <c r="GV68" s="598"/>
      <c r="GW68" s="598"/>
      <c r="GX68" s="598"/>
      <c r="GY68" s="598"/>
      <c r="GZ68" s="598"/>
      <c r="HA68" s="454"/>
      <c r="HB68" s="454"/>
      <c r="HC68" s="387"/>
      <c r="HD68" s="387"/>
      <c r="HE68" s="387"/>
      <c r="HF68" s="387"/>
      <c r="HG68" s="387"/>
      <c r="HH68" s="388"/>
      <c r="HI68" s="386"/>
      <c r="HJ68" s="387"/>
      <c r="HK68" s="387"/>
      <c r="HL68" s="387"/>
      <c r="HM68" s="598" t="s">
        <v>116</v>
      </c>
      <c r="HN68" s="598"/>
      <c r="HO68" s="598"/>
      <c r="HP68" s="598"/>
      <c r="HQ68" s="598"/>
      <c r="HR68" s="598"/>
      <c r="HS68" s="598"/>
      <c r="HT68" s="598"/>
      <c r="HU68" s="598"/>
      <c r="HV68" s="598"/>
      <c r="HW68" s="598"/>
      <c r="HX68" s="598"/>
      <c r="HY68" s="454"/>
      <c r="HZ68" s="454"/>
      <c r="IA68" s="387"/>
      <c r="IB68" s="387"/>
      <c r="IC68" s="387"/>
      <c r="ID68" s="387"/>
      <c r="IE68" s="387"/>
      <c r="IF68" s="388"/>
      <c r="IG68" s="386"/>
      <c r="IH68" s="387"/>
      <c r="II68" s="387"/>
      <c r="IJ68" s="387"/>
      <c r="IK68" s="598" t="s">
        <v>116</v>
      </c>
      <c r="IL68" s="598"/>
      <c r="IM68" s="598"/>
      <c r="IN68" s="598"/>
      <c r="IO68" s="598"/>
      <c r="IP68" s="598"/>
      <c r="IQ68" s="598"/>
      <c r="IR68" s="598"/>
      <c r="IS68" s="598"/>
      <c r="IT68" s="598"/>
      <c r="IU68" s="598"/>
      <c r="IV68" s="598"/>
      <c r="IW68" s="454"/>
      <c r="IX68" s="454"/>
      <c r="IY68" s="387"/>
      <c r="IZ68" s="387"/>
      <c r="JA68" s="387"/>
      <c r="JB68" s="387"/>
      <c r="JC68" s="387"/>
      <c r="JD68" s="471"/>
      <c r="JE68" s="386"/>
      <c r="JF68" s="387"/>
      <c r="JG68" s="387"/>
      <c r="JH68" s="387"/>
      <c r="JI68" s="598" t="s">
        <v>116</v>
      </c>
      <c r="JJ68" s="598"/>
      <c r="JK68" s="598"/>
      <c r="JL68" s="598"/>
      <c r="JM68" s="598"/>
      <c r="JN68" s="598"/>
      <c r="JO68" s="598"/>
      <c r="JP68" s="598"/>
      <c r="JQ68" s="598"/>
      <c r="JR68" s="598"/>
      <c r="JS68" s="598"/>
      <c r="JT68" s="598"/>
      <c r="JU68" s="454"/>
      <c r="JV68" s="454"/>
      <c r="JW68" s="387"/>
      <c r="JX68" s="387"/>
      <c r="JY68" s="387"/>
      <c r="JZ68" s="387"/>
      <c r="KA68" s="387"/>
      <c r="KB68" s="471"/>
      <c r="KC68" s="37"/>
      <c r="KD68" s="37"/>
      <c r="KE68" s="37"/>
      <c r="KF68" s="37"/>
      <c r="KG68" s="37"/>
      <c r="KH68" s="37"/>
      <c r="KI68" s="37"/>
      <c r="KJ68" s="37"/>
    </row>
    <row r="69" spans="1:296" ht="14.4" hidden="1" customHeight="1" x14ac:dyDescent="0.3">
      <c r="A69" s="49">
        <v>0</v>
      </c>
      <c r="B69" s="59" t="s">
        <v>120</v>
      </c>
      <c r="C69" s="28">
        <f>D69/$AY$4</f>
        <v>0</v>
      </c>
      <c r="D69" s="60">
        <v>0</v>
      </c>
      <c r="E69" s="28">
        <f>D69*E$6</f>
        <v>0</v>
      </c>
      <c r="F69" s="28">
        <f>D69*F$6</f>
        <v>0</v>
      </c>
      <c r="G69" s="28">
        <f>D69/G$6</f>
        <v>0</v>
      </c>
      <c r="H69" s="63">
        <f>G69/H$6</f>
        <v>0</v>
      </c>
      <c r="I69" s="61">
        <f>D69/I$6</f>
        <v>0</v>
      </c>
      <c r="J69" s="61">
        <f>SUM(D69:I69)</f>
        <v>0</v>
      </c>
      <c r="K69" s="62">
        <v>0</v>
      </c>
      <c r="L69" s="62"/>
      <c r="M69" s="62"/>
      <c r="N69" s="62">
        <v>0</v>
      </c>
      <c r="O69" s="62"/>
      <c r="P69" s="63">
        <f>((C69*P$6)+(C69*$BA$6)+(C69*$BB$6))*K69</f>
        <v>0</v>
      </c>
      <c r="Q69" s="63"/>
      <c r="R69" s="63"/>
      <c r="S69" s="63">
        <f>((C69*S$6)+(C69*$BA$6)+(C69*$BB$6))*N69</f>
        <v>0</v>
      </c>
      <c r="T69" s="63"/>
      <c r="U69" s="61">
        <f>SUM(P69:S69)</f>
        <v>0</v>
      </c>
      <c r="V69" s="64">
        <v>0</v>
      </c>
      <c r="W69" s="65">
        <f>IF(A69=1,($C$1*$W$6),0)</f>
        <v>0</v>
      </c>
      <c r="X69" s="212">
        <f>J69+U69+V69+W69</f>
        <v>0</v>
      </c>
      <c r="Y69" s="49">
        <v>0</v>
      </c>
      <c r="Z69" s="59" t="s">
        <v>120</v>
      </c>
      <c r="AA69" s="28">
        <f>AB69/$AY$4</f>
        <v>0</v>
      </c>
      <c r="AB69" s="60">
        <v>0</v>
      </c>
      <c r="AC69" s="28">
        <f>AB69*AC$6</f>
        <v>0</v>
      </c>
      <c r="AD69" s="28">
        <f>AB69*AD$6</f>
        <v>0</v>
      </c>
      <c r="AE69" s="28">
        <f>AB69/AE$6</f>
        <v>0</v>
      </c>
      <c r="AF69" s="63">
        <f>AE69/AF$6</f>
        <v>0</v>
      </c>
      <c r="AG69" s="61">
        <f>AB69/AG$6</f>
        <v>0</v>
      </c>
      <c r="AH69" s="61">
        <f>SUM(AB69:AG69)</f>
        <v>0</v>
      </c>
      <c r="AI69" s="62">
        <v>0</v>
      </c>
      <c r="AJ69" s="62"/>
      <c r="AK69" s="62"/>
      <c r="AL69" s="62">
        <v>0</v>
      </c>
      <c r="AM69" s="62"/>
      <c r="AN69" s="63">
        <f>((AA69*AN$6)+(AA69*$BA$6)+(AA69*$BB$6))*AI69</f>
        <v>0</v>
      </c>
      <c r="AO69" s="63"/>
      <c r="AP69" s="63"/>
      <c r="AQ69" s="63">
        <f>((AA69*AQ$6)+(AA69*$BA$6)+(AA69*$BB$6))*AL69</f>
        <v>0</v>
      </c>
      <c r="AR69" s="63"/>
      <c r="AS69" s="61">
        <f>SUM(AN69:AQ69)</f>
        <v>0</v>
      </c>
      <c r="AT69" s="64">
        <v>0</v>
      </c>
      <c r="AU69" s="65">
        <f>IF(Y69=1,($C$1*$W$6),0)</f>
        <v>0</v>
      </c>
      <c r="AV69" s="212">
        <f>AH69+AS69+AT69+AU69</f>
        <v>0</v>
      </c>
      <c r="AW69" s="49">
        <v>0</v>
      </c>
      <c r="AX69" s="59" t="s">
        <v>120</v>
      </c>
      <c r="AY69" s="28">
        <f>AZ69/$AY$4</f>
        <v>0</v>
      </c>
      <c r="AZ69" s="60">
        <v>0</v>
      </c>
      <c r="BA69" s="28">
        <f>AZ69*BA$6</f>
        <v>0</v>
      </c>
      <c r="BB69" s="28">
        <f>AZ69*BB$6</f>
        <v>0</v>
      </c>
      <c r="BC69" s="28">
        <f>AZ69/BC$6</f>
        <v>0</v>
      </c>
      <c r="BD69" s="63">
        <f>BC69/BD$6</f>
        <v>0</v>
      </c>
      <c r="BE69" s="61">
        <f>AZ69/BE$6</f>
        <v>0</v>
      </c>
      <c r="BF69" s="61">
        <f>SUM(AZ69:BE69)</f>
        <v>0</v>
      </c>
      <c r="BG69" s="62">
        <v>0</v>
      </c>
      <c r="BH69" s="62"/>
      <c r="BI69" s="62"/>
      <c r="BJ69" s="62">
        <v>0</v>
      </c>
      <c r="BK69" s="62"/>
      <c r="BL69" s="63">
        <f>((AY69*BL$6)+(AY69*$BA$6)+(AY69*$BB$6))*BG69</f>
        <v>0</v>
      </c>
      <c r="BM69" s="63"/>
      <c r="BN69" s="63"/>
      <c r="BO69" s="63">
        <f>((AY69*BO$6)+(AY69*$BA$6)+(AY69*$BB$6))*BJ69</f>
        <v>0</v>
      </c>
      <c r="BP69" s="63"/>
      <c r="BQ69" s="61">
        <f>SUM(BL69:BO69)</f>
        <v>0</v>
      </c>
      <c r="BR69" s="64">
        <v>0</v>
      </c>
      <c r="BS69" s="65">
        <f>IF(AW69=1,($C$1*$W$6),0)</f>
        <v>0</v>
      </c>
      <c r="BT69" s="212">
        <f>BF69+BQ69+BR69+BS69</f>
        <v>0</v>
      </c>
      <c r="BU69" s="49">
        <v>0</v>
      </c>
      <c r="BV69" s="59" t="s">
        <v>120</v>
      </c>
      <c r="BW69" s="28">
        <f>BX69/$AY$4</f>
        <v>0</v>
      </c>
      <c r="BX69" s="60">
        <v>0</v>
      </c>
      <c r="BY69" s="28">
        <f>BX69*BY$6</f>
        <v>0</v>
      </c>
      <c r="BZ69" s="28">
        <f>BX69*BZ$6</f>
        <v>0</v>
      </c>
      <c r="CA69" s="28">
        <f>BX69/CA$6</f>
        <v>0</v>
      </c>
      <c r="CB69" s="63">
        <f>CA69/CB$6</f>
        <v>0</v>
      </c>
      <c r="CC69" s="61">
        <f>BX69/CC$6</f>
        <v>0</v>
      </c>
      <c r="CD69" s="61">
        <f>SUM(BX69:CC69)</f>
        <v>0</v>
      </c>
      <c r="CE69" s="62">
        <v>0</v>
      </c>
      <c r="CF69" s="62"/>
      <c r="CG69" s="62"/>
      <c r="CH69" s="62">
        <v>0</v>
      </c>
      <c r="CI69" s="62"/>
      <c r="CJ69" s="63">
        <f>((BW69*CJ$6)+(BW69*$BA$6)+(BW69*$BB$6))*CE69</f>
        <v>0</v>
      </c>
      <c r="CK69" s="63"/>
      <c r="CL69" s="63"/>
      <c r="CM69" s="63">
        <f>((BW69*CM$6)+(BW69*$BA$6)+(BW69*$BB$6))*CH69</f>
        <v>0</v>
      </c>
      <c r="CN69" s="63"/>
      <c r="CO69" s="61">
        <f>SUM(CJ69:CM69)</f>
        <v>0</v>
      </c>
      <c r="CP69" s="64">
        <v>0</v>
      </c>
      <c r="CQ69" s="65">
        <f>IF(BU69=1,($C$1*$W$6),0)</f>
        <v>0</v>
      </c>
      <c r="CR69" s="212">
        <f>CD69+CO69+CP69+CQ69</f>
        <v>0</v>
      </c>
      <c r="CS69" s="49">
        <v>0</v>
      </c>
      <c r="CT69" s="59" t="s">
        <v>120</v>
      </c>
      <c r="CU69" s="28">
        <f>CV69/$AY$4</f>
        <v>0</v>
      </c>
      <c r="CV69" s="60">
        <v>0</v>
      </c>
      <c r="CW69" s="28">
        <f>CV69*CW$6</f>
        <v>0</v>
      </c>
      <c r="CX69" s="28">
        <f>CV69*CX$6</f>
        <v>0</v>
      </c>
      <c r="CY69" s="28">
        <f>CV69/CY$6</f>
        <v>0</v>
      </c>
      <c r="CZ69" s="63">
        <f>CY69/CZ$6</f>
        <v>0</v>
      </c>
      <c r="DA69" s="61">
        <f>CV69/DA$6</f>
        <v>0</v>
      </c>
      <c r="DB69" s="61">
        <f>SUM(CV69:DA69)</f>
        <v>0</v>
      </c>
      <c r="DC69" s="62">
        <v>0</v>
      </c>
      <c r="DD69" s="62"/>
      <c r="DE69" s="62"/>
      <c r="DF69" s="62">
        <v>0</v>
      </c>
      <c r="DG69" s="62"/>
      <c r="DH69" s="63">
        <f>((CU69*DH$6)+(CU69*$BA$6)+(CU69*$BB$6))*DC69</f>
        <v>0</v>
      </c>
      <c r="DI69" s="63"/>
      <c r="DJ69" s="63"/>
      <c r="DK69" s="63">
        <f>((CU69*DK$6)+(CU69*$BA$6)+(CU69*$BB$6))*DF69</f>
        <v>0</v>
      </c>
      <c r="DL69" s="63"/>
      <c r="DM69" s="61">
        <f>SUM(DH69:DK69)</f>
        <v>0</v>
      </c>
      <c r="DN69" s="64">
        <v>0</v>
      </c>
      <c r="DO69" s="65">
        <f>IF(CS69=1,($C$1*$W$6),0)</f>
        <v>0</v>
      </c>
      <c r="DP69" s="212">
        <f>DB69+DM69+DN69+DO69</f>
        <v>0</v>
      </c>
      <c r="DQ69" s="49">
        <v>0</v>
      </c>
      <c r="DR69" s="59" t="s">
        <v>120</v>
      </c>
      <c r="DS69" s="28">
        <f>DT69/$AY$4</f>
        <v>0</v>
      </c>
      <c r="DT69" s="60">
        <v>0</v>
      </c>
      <c r="DU69" s="28">
        <f>DT69*DU$6</f>
        <v>0</v>
      </c>
      <c r="DV69" s="28">
        <f>DT69*DV$6</f>
        <v>0</v>
      </c>
      <c r="DW69" s="28">
        <f>DT69/DW$6</f>
        <v>0</v>
      </c>
      <c r="DX69" s="63">
        <f>DW69/DX$6</f>
        <v>0</v>
      </c>
      <c r="DY69" s="61">
        <f>DT69/DY$6</f>
        <v>0</v>
      </c>
      <c r="DZ69" s="61">
        <f>SUM(DT69:DY69)</f>
        <v>0</v>
      </c>
      <c r="EA69" s="62">
        <v>0</v>
      </c>
      <c r="EB69" s="62"/>
      <c r="EC69" s="62"/>
      <c r="ED69" s="62">
        <v>0</v>
      </c>
      <c r="EE69" s="62"/>
      <c r="EF69" s="63">
        <f>((DS69*EF$6)+(DS69*$BA$6)+(DS69*$BB$6))*EA69</f>
        <v>0</v>
      </c>
      <c r="EG69" s="63"/>
      <c r="EH69" s="63"/>
      <c r="EI69" s="63">
        <f>((DS69*EI$6)+(DS69*$BA$6)+(DS69*$BB$6))*ED69</f>
        <v>0</v>
      </c>
      <c r="EJ69" s="63"/>
      <c r="EK69" s="61">
        <f>SUM(EF69:EI69)</f>
        <v>0</v>
      </c>
      <c r="EL69" s="64">
        <v>0</v>
      </c>
      <c r="EM69" s="65">
        <f>IF(DQ69=1,($C$1*$W$6),0)</f>
        <v>0</v>
      </c>
      <c r="EN69" s="212">
        <f>DZ69+EK69+EL69+EM69</f>
        <v>0</v>
      </c>
      <c r="EO69" s="49">
        <v>0</v>
      </c>
      <c r="EP69" s="59" t="s">
        <v>120</v>
      </c>
      <c r="EQ69" s="28">
        <f>ER69/$AY$4</f>
        <v>0</v>
      </c>
      <c r="ER69" s="60">
        <v>0</v>
      </c>
      <c r="ES69" s="28">
        <f>ER69*ES$6</f>
        <v>0</v>
      </c>
      <c r="ET69" s="28">
        <f>ER69*ET$6</f>
        <v>0</v>
      </c>
      <c r="EU69" s="28">
        <f>ER69/EU$6</f>
        <v>0</v>
      </c>
      <c r="EV69" s="63">
        <f>EU69/EV$6</f>
        <v>0</v>
      </c>
      <c r="EW69" s="61">
        <f>ER69/EW$6</f>
        <v>0</v>
      </c>
      <c r="EX69" s="61">
        <f>SUM(ER69:EW69)</f>
        <v>0</v>
      </c>
      <c r="EY69" s="62">
        <v>0</v>
      </c>
      <c r="EZ69" s="62"/>
      <c r="FA69" s="62"/>
      <c r="FB69" s="62">
        <v>0</v>
      </c>
      <c r="FC69" s="62"/>
      <c r="FD69" s="63">
        <f>((EQ69*FD$6)+(EQ69*$BA$6)+(EQ69*$BB$6))*EY69</f>
        <v>0</v>
      </c>
      <c r="FE69" s="63"/>
      <c r="FF69" s="63"/>
      <c r="FG69" s="63">
        <f>((EQ69*FG$6)+(EQ69*$BA$6)+(EQ69*$BB$6))*FB69</f>
        <v>0</v>
      </c>
      <c r="FH69" s="63"/>
      <c r="FI69" s="61">
        <f>SUM(FD69:FG69)</f>
        <v>0</v>
      </c>
      <c r="FJ69" s="64">
        <v>0</v>
      </c>
      <c r="FK69" s="65">
        <f>IF(EO69=1,($C$1*$W$6),0)</f>
        <v>0</v>
      </c>
      <c r="FL69" s="212">
        <f>EX69+FI69+FJ69+FK69</f>
        <v>0</v>
      </c>
      <c r="FM69" s="49">
        <v>0</v>
      </c>
      <c r="FN69" s="59" t="s">
        <v>120</v>
      </c>
      <c r="FO69" s="28">
        <f>FP69/$AY$4</f>
        <v>0</v>
      </c>
      <c r="FP69" s="60">
        <v>0</v>
      </c>
      <c r="FQ69" s="28">
        <f>FP69*FQ$6</f>
        <v>0</v>
      </c>
      <c r="FR69" s="28">
        <f>FP69*FR$6</f>
        <v>0</v>
      </c>
      <c r="FS69" s="28">
        <f>FP69/FS$6</f>
        <v>0</v>
      </c>
      <c r="FT69" s="63">
        <f>FS69/FT$6</f>
        <v>0</v>
      </c>
      <c r="FU69" s="61">
        <f>FP69/FU$6</f>
        <v>0</v>
      </c>
      <c r="FV69" s="61">
        <f>SUM(FP69:FU69)</f>
        <v>0</v>
      </c>
      <c r="FW69" s="62">
        <v>0</v>
      </c>
      <c r="FX69" s="62"/>
      <c r="FY69" s="62"/>
      <c r="FZ69" s="62">
        <v>0</v>
      </c>
      <c r="GA69" s="62"/>
      <c r="GB69" s="63">
        <f>((FO69*GB$6)+(FO69*$BA$6)+(FO69*$BB$6))*FW69</f>
        <v>0</v>
      </c>
      <c r="GC69" s="63"/>
      <c r="GD69" s="63"/>
      <c r="GE69" s="63">
        <f>((FO69*GE$6)+(FO69*$BA$6)+(FO69*$BB$6))*FZ69</f>
        <v>0</v>
      </c>
      <c r="GF69" s="63"/>
      <c r="GG69" s="61">
        <f>SUM(GB69:GE69)</f>
        <v>0</v>
      </c>
      <c r="GH69" s="64">
        <v>0</v>
      </c>
      <c r="GI69" s="65">
        <f>IF(FM69=1,($C$1*$W$6),0)</f>
        <v>0</v>
      </c>
      <c r="GJ69" s="212">
        <f>FV69+GG69+GH69+GI69</f>
        <v>0</v>
      </c>
      <c r="GK69" s="49">
        <v>0</v>
      </c>
      <c r="GL69" s="59" t="s">
        <v>120</v>
      </c>
      <c r="GM69" s="28">
        <f>GN69/$AY$4</f>
        <v>0</v>
      </c>
      <c r="GN69" s="60">
        <v>0</v>
      </c>
      <c r="GO69" s="28">
        <f>GN69*GO$6</f>
        <v>0</v>
      </c>
      <c r="GP69" s="28">
        <f>GN69*GP$6</f>
        <v>0</v>
      </c>
      <c r="GQ69" s="28">
        <f>GN69/GQ$6</f>
        <v>0</v>
      </c>
      <c r="GR69" s="63">
        <f>GQ69/GR$6</f>
        <v>0</v>
      </c>
      <c r="GS69" s="61">
        <f>GN69/GS$6</f>
        <v>0</v>
      </c>
      <c r="GT69" s="61">
        <f>SUM(GN69:GS69)</f>
        <v>0</v>
      </c>
      <c r="GU69" s="62">
        <v>0</v>
      </c>
      <c r="GV69" s="62"/>
      <c r="GW69" s="62"/>
      <c r="GX69" s="62">
        <v>0</v>
      </c>
      <c r="GY69" s="62"/>
      <c r="GZ69" s="63">
        <f>((GM69*GZ$6)+(GM69*$BA$6)+(GM69*$BB$6))*GU69</f>
        <v>0</v>
      </c>
      <c r="HA69" s="63"/>
      <c r="HB69" s="63"/>
      <c r="HC69" s="63">
        <f>((GM69*HC$6)+(GM69*$BA$6)+(GM69*$BB$6))*GX69</f>
        <v>0</v>
      </c>
      <c r="HD69" s="63"/>
      <c r="HE69" s="61">
        <f>SUM(GZ69:HC69)</f>
        <v>0</v>
      </c>
      <c r="HF69" s="64">
        <v>0</v>
      </c>
      <c r="HG69" s="65">
        <f>IF(GK69=1,($C$1*$W$6),0)</f>
        <v>0</v>
      </c>
      <c r="HH69" s="212">
        <f>GT69+HE69+HF69+HG69</f>
        <v>0</v>
      </c>
      <c r="HI69" s="49">
        <v>0</v>
      </c>
      <c r="HJ69" s="59" t="s">
        <v>120</v>
      </c>
      <c r="HK69" s="28">
        <f>HL69/$AY$4</f>
        <v>0</v>
      </c>
      <c r="HL69" s="60">
        <v>0</v>
      </c>
      <c r="HM69" s="28">
        <f>HL69*HM$6</f>
        <v>0</v>
      </c>
      <c r="HN69" s="28">
        <f>HL69*HN$6</f>
        <v>0</v>
      </c>
      <c r="HO69" s="28">
        <f>HL69/HO$6</f>
        <v>0</v>
      </c>
      <c r="HP69" s="63">
        <f>HO69/HP$6</f>
        <v>0</v>
      </c>
      <c r="HQ69" s="61">
        <f>HL69/HQ$6</f>
        <v>0</v>
      </c>
      <c r="HR69" s="61">
        <f>SUM(HL69:HQ69)</f>
        <v>0</v>
      </c>
      <c r="HS69" s="62">
        <v>0</v>
      </c>
      <c r="HT69" s="62"/>
      <c r="HU69" s="62"/>
      <c r="HV69" s="62">
        <v>0</v>
      </c>
      <c r="HW69" s="62"/>
      <c r="HX69" s="63">
        <f>((HK69*HX$6)+(HK69*$BA$6)+(HK69*$BB$6))*HS69</f>
        <v>0</v>
      </c>
      <c r="HY69" s="63"/>
      <c r="HZ69" s="63"/>
      <c r="IA69" s="63">
        <f>((HK69*IA$6)+(HK69*$BA$6)+(HK69*$BB$6))*HV69</f>
        <v>0</v>
      </c>
      <c r="IB69" s="63"/>
      <c r="IC69" s="61">
        <f>SUM(HX69:IA69)</f>
        <v>0</v>
      </c>
      <c r="ID69" s="64">
        <v>0</v>
      </c>
      <c r="IE69" s="65">
        <f>IF(HI69=1,($C$1*$W$6),0)</f>
        <v>0</v>
      </c>
      <c r="IF69" s="212">
        <f>HR69+IC69+ID69+IE69</f>
        <v>0</v>
      </c>
      <c r="IG69" s="49">
        <v>0</v>
      </c>
      <c r="IH69" s="59" t="s">
        <v>120</v>
      </c>
      <c r="II69" s="28">
        <f>IJ69/$AY$4</f>
        <v>0</v>
      </c>
      <c r="IJ69" s="60">
        <v>0</v>
      </c>
      <c r="IK69" s="28">
        <f>IJ69*IK$6</f>
        <v>0</v>
      </c>
      <c r="IL69" s="28">
        <f>IJ69*IL$6</f>
        <v>0</v>
      </c>
      <c r="IM69" s="28">
        <f>IJ69/IM$6</f>
        <v>0</v>
      </c>
      <c r="IN69" s="63">
        <f>IM69/IN$6</f>
        <v>0</v>
      </c>
      <c r="IO69" s="61">
        <f>IJ69/IO$6</f>
        <v>0</v>
      </c>
      <c r="IP69" s="61">
        <f>SUM(IJ69:IO69)</f>
        <v>0</v>
      </c>
      <c r="IQ69" s="62">
        <v>0</v>
      </c>
      <c r="IR69" s="62"/>
      <c r="IS69" s="62"/>
      <c r="IT69" s="62">
        <v>0</v>
      </c>
      <c r="IU69" s="62"/>
      <c r="IV69" s="63">
        <f>((II69*IV$6)+(II69*$BA$6)+(II69*$BB$6))*IQ69</f>
        <v>0</v>
      </c>
      <c r="IW69" s="63"/>
      <c r="IX69" s="63"/>
      <c r="IY69" s="63">
        <f>((II69*IY$6)+(II69*$BA$6)+(II69*$BB$6))*IT69</f>
        <v>0</v>
      </c>
      <c r="IZ69" s="63"/>
      <c r="JA69" s="61">
        <f>SUM(IV69:IY69)</f>
        <v>0</v>
      </c>
      <c r="JB69" s="64">
        <v>0</v>
      </c>
      <c r="JC69" s="65">
        <f>IF(IG69=1,($C$1*$W$6),0)</f>
        <v>0</v>
      </c>
      <c r="JD69" s="476">
        <f>IP69+JA69+JB69+JC69</f>
        <v>0</v>
      </c>
      <c r="JE69" s="49">
        <v>0</v>
      </c>
      <c r="JF69" s="59" t="s">
        <v>120</v>
      </c>
      <c r="JG69" s="28">
        <f>JH69/$AY$4</f>
        <v>0</v>
      </c>
      <c r="JH69" s="60">
        <v>0</v>
      </c>
      <c r="JI69" s="28">
        <f>JH69*JI$6</f>
        <v>0</v>
      </c>
      <c r="JJ69" s="28">
        <f>JH69*JJ$6</f>
        <v>0</v>
      </c>
      <c r="JK69" s="28">
        <f>JH69/JK$6</f>
        <v>0</v>
      </c>
      <c r="JL69" s="63">
        <f>JK69/JL$6</f>
        <v>0</v>
      </c>
      <c r="JM69" s="61">
        <f>JH69/JM$6</f>
        <v>0</v>
      </c>
      <c r="JN69" s="61">
        <f>SUM(JH69:JM69)</f>
        <v>0</v>
      </c>
      <c r="JO69" s="62">
        <v>0</v>
      </c>
      <c r="JP69" s="62"/>
      <c r="JQ69" s="62"/>
      <c r="JR69" s="62">
        <v>0</v>
      </c>
      <c r="JS69" s="62"/>
      <c r="JT69" s="63">
        <f>((JG69*JT$6)+(JG69*$BA$6)+(JG69*$BB$6))*JO69</f>
        <v>0</v>
      </c>
      <c r="JU69" s="63"/>
      <c r="JV69" s="63"/>
      <c r="JW69" s="63">
        <f>((JG69*JW$6)+(JG69*$BA$6)+(JG69*$BB$6))*JR69</f>
        <v>0</v>
      </c>
      <c r="JX69" s="63"/>
      <c r="JY69" s="61">
        <f>SUM(JT69:JW69)</f>
        <v>0</v>
      </c>
      <c r="JZ69" s="64">
        <v>0</v>
      </c>
      <c r="KA69" s="65">
        <f>IF(JE69=1,($C$1*$W$6),0)</f>
        <v>0</v>
      </c>
      <c r="KB69" s="476">
        <f>JN69+JY69+JZ69+KA69</f>
        <v>0</v>
      </c>
      <c r="KC69" s="37"/>
      <c r="KD69" s="37"/>
      <c r="KE69" s="37"/>
      <c r="KF69" s="37"/>
      <c r="KG69" s="37"/>
      <c r="KH69" s="37"/>
      <c r="KI69" s="37"/>
      <c r="KJ69" s="37"/>
    </row>
    <row r="70" spans="1:296" ht="14.4" hidden="1" customHeight="1" x14ac:dyDescent="0.3">
      <c r="A70" s="49">
        <v>0</v>
      </c>
      <c r="B70" s="59" t="s">
        <v>120</v>
      </c>
      <c r="C70" s="28">
        <f>D70/$AY$4</f>
        <v>0</v>
      </c>
      <c r="D70" s="60">
        <v>0</v>
      </c>
      <c r="E70" s="28">
        <f>D70*E$6</f>
        <v>0</v>
      </c>
      <c r="F70" s="28">
        <f>D70*F$6</f>
        <v>0</v>
      </c>
      <c r="G70" s="28">
        <f>D70/G$6</f>
        <v>0</v>
      </c>
      <c r="H70" s="63">
        <f>G70/H$6</f>
        <v>0</v>
      </c>
      <c r="I70" s="61">
        <f>D70/I$6</f>
        <v>0</v>
      </c>
      <c r="J70" s="61">
        <f>SUM(D70:I70)</f>
        <v>0</v>
      </c>
      <c r="K70" s="62">
        <v>0</v>
      </c>
      <c r="L70" s="62"/>
      <c r="M70" s="62"/>
      <c r="N70" s="62">
        <v>0</v>
      </c>
      <c r="O70" s="62"/>
      <c r="P70" s="63">
        <f>((C70*P$6)+(C70*$BA$6)+(C70*$BB$6))*K70</f>
        <v>0</v>
      </c>
      <c r="Q70" s="63"/>
      <c r="R70" s="63"/>
      <c r="S70" s="63">
        <f>((C70*S$6)+(C70*$BA$6)+(C70*$BB$6))*N70</f>
        <v>0</v>
      </c>
      <c r="T70" s="63"/>
      <c r="U70" s="61">
        <f>SUM(P70:S70)</f>
        <v>0</v>
      </c>
      <c r="V70" s="64">
        <v>0</v>
      </c>
      <c r="W70" s="65">
        <f>IF(A70=1,($C$1*$W$6),0)</f>
        <v>0</v>
      </c>
      <c r="X70" s="212">
        <f>J70+U70+V70+W70</f>
        <v>0</v>
      </c>
      <c r="Y70" s="49">
        <v>0</v>
      </c>
      <c r="Z70" s="59" t="s">
        <v>120</v>
      </c>
      <c r="AA70" s="28">
        <f>AB70/$AY$4</f>
        <v>0</v>
      </c>
      <c r="AB70" s="60">
        <v>0</v>
      </c>
      <c r="AC70" s="28">
        <f>AB70*AC$6</f>
        <v>0</v>
      </c>
      <c r="AD70" s="28">
        <f>AB70*AD$6</f>
        <v>0</v>
      </c>
      <c r="AE70" s="28">
        <f>AB70/AE$6</f>
        <v>0</v>
      </c>
      <c r="AF70" s="63">
        <f>AE70/AF$6</f>
        <v>0</v>
      </c>
      <c r="AG70" s="61">
        <f>AB70/AG$6</f>
        <v>0</v>
      </c>
      <c r="AH70" s="61">
        <f>SUM(AB70:AG70)</f>
        <v>0</v>
      </c>
      <c r="AI70" s="62">
        <v>0</v>
      </c>
      <c r="AJ70" s="62"/>
      <c r="AK70" s="62"/>
      <c r="AL70" s="62">
        <v>0</v>
      </c>
      <c r="AM70" s="62"/>
      <c r="AN70" s="63">
        <f>((AA70*AN$6)+(AA70*$BA$6)+(AA70*$BB$6))*AI70</f>
        <v>0</v>
      </c>
      <c r="AO70" s="63"/>
      <c r="AP70" s="63"/>
      <c r="AQ70" s="63">
        <f>((AA70*AQ$6)+(AA70*$BA$6)+(AA70*$BB$6))*AL70</f>
        <v>0</v>
      </c>
      <c r="AR70" s="63"/>
      <c r="AS70" s="61">
        <f>SUM(AN70:AQ70)</f>
        <v>0</v>
      </c>
      <c r="AT70" s="64">
        <v>0</v>
      </c>
      <c r="AU70" s="65">
        <f>IF(Y70=1,($C$1*$W$6),0)</f>
        <v>0</v>
      </c>
      <c r="AV70" s="212">
        <f>AH70+AS70+AT70+AU70</f>
        <v>0</v>
      </c>
      <c r="AW70" s="49">
        <v>0</v>
      </c>
      <c r="AX70" s="59" t="s">
        <v>120</v>
      </c>
      <c r="AY70" s="28">
        <f>AZ70/$AY$4</f>
        <v>0</v>
      </c>
      <c r="AZ70" s="60">
        <v>0</v>
      </c>
      <c r="BA70" s="28">
        <f>AZ70*BA$6</f>
        <v>0</v>
      </c>
      <c r="BB70" s="28">
        <f>AZ70*BB$6</f>
        <v>0</v>
      </c>
      <c r="BC70" s="28">
        <f>AZ70/BC$6</f>
        <v>0</v>
      </c>
      <c r="BD70" s="63">
        <f>BC70/BD$6</f>
        <v>0</v>
      </c>
      <c r="BE70" s="61">
        <f>AZ70/BE$6</f>
        <v>0</v>
      </c>
      <c r="BF70" s="61">
        <f>SUM(AZ70:BE70)</f>
        <v>0</v>
      </c>
      <c r="BG70" s="62">
        <v>0</v>
      </c>
      <c r="BH70" s="62"/>
      <c r="BI70" s="62"/>
      <c r="BJ70" s="62">
        <v>0</v>
      </c>
      <c r="BK70" s="62"/>
      <c r="BL70" s="63">
        <f>((AY70*BL$6)+(AY70*$BA$6)+(AY70*$BB$6))*BG70</f>
        <v>0</v>
      </c>
      <c r="BM70" s="63"/>
      <c r="BN70" s="63"/>
      <c r="BO70" s="63">
        <f>((AY70*BO$6)+(AY70*$BA$6)+(AY70*$BB$6))*BJ70</f>
        <v>0</v>
      </c>
      <c r="BP70" s="63"/>
      <c r="BQ70" s="61">
        <f>SUM(BL70:BO70)</f>
        <v>0</v>
      </c>
      <c r="BR70" s="64">
        <v>0</v>
      </c>
      <c r="BS70" s="65">
        <f>IF(AW70=1,($C$1*$W$6),0)</f>
        <v>0</v>
      </c>
      <c r="BT70" s="212">
        <f>BF70+BQ70+BR70+BS70</f>
        <v>0</v>
      </c>
      <c r="BU70" s="49">
        <v>0</v>
      </c>
      <c r="BV70" s="59" t="s">
        <v>120</v>
      </c>
      <c r="BW70" s="28">
        <f>BX70/$AY$4</f>
        <v>0</v>
      </c>
      <c r="BX70" s="60">
        <v>0</v>
      </c>
      <c r="BY70" s="28">
        <f>BX70*BY$6</f>
        <v>0</v>
      </c>
      <c r="BZ70" s="28">
        <f>BX70*BZ$6</f>
        <v>0</v>
      </c>
      <c r="CA70" s="28">
        <f>BX70/CA$6</f>
        <v>0</v>
      </c>
      <c r="CB70" s="63">
        <f>CA70/CB$6</f>
        <v>0</v>
      </c>
      <c r="CC70" s="61">
        <f>BX70/CC$6</f>
        <v>0</v>
      </c>
      <c r="CD70" s="61">
        <f>SUM(BX70:CC70)</f>
        <v>0</v>
      </c>
      <c r="CE70" s="62">
        <v>0</v>
      </c>
      <c r="CF70" s="62"/>
      <c r="CG70" s="62"/>
      <c r="CH70" s="62">
        <v>0</v>
      </c>
      <c r="CI70" s="62"/>
      <c r="CJ70" s="63">
        <f>((BW70*CJ$6)+(BW70*$BA$6)+(BW70*$BB$6))*CE70</f>
        <v>0</v>
      </c>
      <c r="CK70" s="63"/>
      <c r="CL70" s="63"/>
      <c r="CM70" s="63">
        <f>((BW70*CM$6)+(BW70*$BA$6)+(BW70*$BB$6))*CH70</f>
        <v>0</v>
      </c>
      <c r="CN70" s="63"/>
      <c r="CO70" s="61">
        <f>SUM(CJ70:CM70)</f>
        <v>0</v>
      </c>
      <c r="CP70" s="64">
        <v>0</v>
      </c>
      <c r="CQ70" s="65">
        <f>IF(BU70=1,($C$1*$W$6),0)</f>
        <v>0</v>
      </c>
      <c r="CR70" s="212">
        <f>CD70+CO70+CP70+CQ70</f>
        <v>0</v>
      </c>
      <c r="CS70" s="49">
        <v>0</v>
      </c>
      <c r="CT70" s="59" t="s">
        <v>120</v>
      </c>
      <c r="CU70" s="28">
        <f>CV70/$AY$4</f>
        <v>0</v>
      </c>
      <c r="CV70" s="60">
        <v>0</v>
      </c>
      <c r="CW70" s="28">
        <f>CV70*CW$6</f>
        <v>0</v>
      </c>
      <c r="CX70" s="28">
        <f>CV70*CX$6</f>
        <v>0</v>
      </c>
      <c r="CY70" s="28">
        <f>CV70/CY$6</f>
        <v>0</v>
      </c>
      <c r="CZ70" s="63">
        <f>CY70/CZ$6</f>
        <v>0</v>
      </c>
      <c r="DA70" s="61">
        <f>CV70/DA$6</f>
        <v>0</v>
      </c>
      <c r="DB70" s="61">
        <f>SUM(CV70:DA70)</f>
        <v>0</v>
      </c>
      <c r="DC70" s="62">
        <v>0</v>
      </c>
      <c r="DD70" s="62"/>
      <c r="DE70" s="62"/>
      <c r="DF70" s="62">
        <v>0</v>
      </c>
      <c r="DG70" s="62"/>
      <c r="DH70" s="63">
        <f>((CU70*DH$6)+(CU70*$BA$6)+(CU70*$BB$6))*DC70</f>
        <v>0</v>
      </c>
      <c r="DI70" s="63"/>
      <c r="DJ70" s="63"/>
      <c r="DK70" s="63">
        <f>((CU70*DK$6)+(CU70*$BA$6)+(CU70*$BB$6))*DF70</f>
        <v>0</v>
      </c>
      <c r="DL70" s="63"/>
      <c r="DM70" s="61">
        <f>SUM(DH70:DK70)</f>
        <v>0</v>
      </c>
      <c r="DN70" s="64">
        <v>0</v>
      </c>
      <c r="DO70" s="65">
        <f>IF(CS70=1,($C$1*$W$6),0)</f>
        <v>0</v>
      </c>
      <c r="DP70" s="212">
        <f>DB70+DM70+DN70+DO70</f>
        <v>0</v>
      </c>
      <c r="DQ70" s="49">
        <v>0</v>
      </c>
      <c r="DR70" s="59" t="s">
        <v>120</v>
      </c>
      <c r="DS70" s="28">
        <f>DT70/$AY$4</f>
        <v>0</v>
      </c>
      <c r="DT70" s="60">
        <v>0</v>
      </c>
      <c r="DU70" s="28">
        <f>DT70*DU$6</f>
        <v>0</v>
      </c>
      <c r="DV70" s="28">
        <f>DT70*DV$6</f>
        <v>0</v>
      </c>
      <c r="DW70" s="28">
        <f>DT70/DW$6</f>
        <v>0</v>
      </c>
      <c r="DX70" s="63">
        <f>DW70/DX$6</f>
        <v>0</v>
      </c>
      <c r="DY70" s="61">
        <f>DT70/DY$6</f>
        <v>0</v>
      </c>
      <c r="DZ70" s="61">
        <f>SUM(DT70:DY70)</f>
        <v>0</v>
      </c>
      <c r="EA70" s="62">
        <v>0</v>
      </c>
      <c r="EB70" s="62"/>
      <c r="EC70" s="62"/>
      <c r="ED70" s="62">
        <v>0</v>
      </c>
      <c r="EE70" s="62"/>
      <c r="EF70" s="63">
        <f>((DS70*EF$6)+(DS70*$BA$6)+(DS70*$BB$6))*EA70</f>
        <v>0</v>
      </c>
      <c r="EG70" s="63"/>
      <c r="EH70" s="63"/>
      <c r="EI70" s="63">
        <f>((DS70*EI$6)+(DS70*$BA$6)+(DS70*$BB$6))*ED70</f>
        <v>0</v>
      </c>
      <c r="EJ70" s="63"/>
      <c r="EK70" s="61">
        <f>SUM(EF70:EI70)</f>
        <v>0</v>
      </c>
      <c r="EL70" s="64">
        <v>0</v>
      </c>
      <c r="EM70" s="65">
        <f>IF(DQ70=1,($C$1*$W$6),0)</f>
        <v>0</v>
      </c>
      <c r="EN70" s="212">
        <f>DZ70+EK70+EL70+EM70</f>
        <v>0</v>
      </c>
      <c r="EO70" s="49">
        <v>0</v>
      </c>
      <c r="EP70" s="59" t="s">
        <v>120</v>
      </c>
      <c r="EQ70" s="28">
        <f>ER70/$AY$4</f>
        <v>0</v>
      </c>
      <c r="ER70" s="60">
        <v>0</v>
      </c>
      <c r="ES70" s="28">
        <f>ER70*ES$6</f>
        <v>0</v>
      </c>
      <c r="ET70" s="28">
        <f>ER70*ET$6</f>
        <v>0</v>
      </c>
      <c r="EU70" s="28">
        <f>ER70/EU$6</f>
        <v>0</v>
      </c>
      <c r="EV70" s="63">
        <f>EU70/EV$6</f>
        <v>0</v>
      </c>
      <c r="EW70" s="61">
        <f>ER70/EW$6</f>
        <v>0</v>
      </c>
      <c r="EX70" s="61">
        <f>SUM(ER70:EW70)</f>
        <v>0</v>
      </c>
      <c r="EY70" s="62">
        <v>0</v>
      </c>
      <c r="EZ70" s="62"/>
      <c r="FA70" s="62"/>
      <c r="FB70" s="62">
        <v>0</v>
      </c>
      <c r="FC70" s="62"/>
      <c r="FD70" s="63">
        <f>((EQ70*FD$6)+(EQ70*$BA$6)+(EQ70*$BB$6))*EY70</f>
        <v>0</v>
      </c>
      <c r="FE70" s="63"/>
      <c r="FF70" s="63"/>
      <c r="FG70" s="63">
        <f>((EQ70*FG$6)+(EQ70*$BA$6)+(EQ70*$BB$6))*FB70</f>
        <v>0</v>
      </c>
      <c r="FH70" s="63"/>
      <c r="FI70" s="61">
        <f>SUM(FD70:FG70)</f>
        <v>0</v>
      </c>
      <c r="FJ70" s="64">
        <v>0</v>
      </c>
      <c r="FK70" s="65">
        <f>IF(EO70=1,($C$1*$W$6),0)</f>
        <v>0</v>
      </c>
      <c r="FL70" s="212">
        <f>EX70+FI70+FJ70+FK70</f>
        <v>0</v>
      </c>
      <c r="FM70" s="49">
        <v>0</v>
      </c>
      <c r="FN70" s="59" t="s">
        <v>120</v>
      </c>
      <c r="FO70" s="28">
        <f>FP70/$AY$4</f>
        <v>0</v>
      </c>
      <c r="FP70" s="60">
        <v>0</v>
      </c>
      <c r="FQ70" s="28">
        <f>FP70*FQ$6</f>
        <v>0</v>
      </c>
      <c r="FR70" s="28">
        <f>FP70*FR$6</f>
        <v>0</v>
      </c>
      <c r="FS70" s="28">
        <f>FP70/FS$6</f>
        <v>0</v>
      </c>
      <c r="FT70" s="63">
        <f>FS70/FT$6</f>
        <v>0</v>
      </c>
      <c r="FU70" s="61">
        <f>FP70/FU$6</f>
        <v>0</v>
      </c>
      <c r="FV70" s="61">
        <f>SUM(FP70:FU70)</f>
        <v>0</v>
      </c>
      <c r="FW70" s="62">
        <v>0</v>
      </c>
      <c r="FX70" s="62"/>
      <c r="FY70" s="62"/>
      <c r="FZ70" s="62">
        <v>0</v>
      </c>
      <c r="GA70" s="62"/>
      <c r="GB70" s="63">
        <f>((FO70*GB$6)+(FO70*$BA$6)+(FO70*$BB$6))*FW70</f>
        <v>0</v>
      </c>
      <c r="GC70" s="63"/>
      <c r="GD70" s="63"/>
      <c r="GE70" s="63">
        <f>((FO70*GE$6)+(FO70*$BA$6)+(FO70*$BB$6))*FZ70</f>
        <v>0</v>
      </c>
      <c r="GF70" s="63"/>
      <c r="GG70" s="61">
        <f>SUM(GB70:GE70)</f>
        <v>0</v>
      </c>
      <c r="GH70" s="64">
        <v>0</v>
      </c>
      <c r="GI70" s="65">
        <f>IF(FM70=1,($C$1*$W$6),0)</f>
        <v>0</v>
      </c>
      <c r="GJ70" s="212">
        <f>FV70+GG70+GH70+GI70</f>
        <v>0</v>
      </c>
      <c r="GK70" s="49">
        <v>0</v>
      </c>
      <c r="GL70" s="59" t="s">
        <v>120</v>
      </c>
      <c r="GM70" s="28">
        <f>GN70/$AY$4</f>
        <v>0</v>
      </c>
      <c r="GN70" s="60">
        <v>0</v>
      </c>
      <c r="GO70" s="28">
        <f>GN70*GO$6</f>
        <v>0</v>
      </c>
      <c r="GP70" s="28">
        <f>GN70*GP$6</f>
        <v>0</v>
      </c>
      <c r="GQ70" s="28">
        <f>GN70/GQ$6</f>
        <v>0</v>
      </c>
      <c r="GR70" s="63">
        <f>GQ70/GR$6</f>
        <v>0</v>
      </c>
      <c r="GS70" s="61">
        <f>GN70/GS$6</f>
        <v>0</v>
      </c>
      <c r="GT70" s="61">
        <f>SUM(GN70:GS70)</f>
        <v>0</v>
      </c>
      <c r="GU70" s="62">
        <v>0</v>
      </c>
      <c r="GV70" s="62"/>
      <c r="GW70" s="62"/>
      <c r="GX70" s="62">
        <v>0</v>
      </c>
      <c r="GY70" s="62"/>
      <c r="GZ70" s="63">
        <f>((GM70*GZ$6)+(GM70*$BA$6)+(GM70*$BB$6))*GU70</f>
        <v>0</v>
      </c>
      <c r="HA70" s="63"/>
      <c r="HB70" s="63"/>
      <c r="HC70" s="63">
        <f>((GM70*HC$6)+(GM70*$BA$6)+(GM70*$BB$6))*GX70</f>
        <v>0</v>
      </c>
      <c r="HD70" s="63"/>
      <c r="HE70" s="61">
        <f>SUM(GZ70:HC70)</f>
        <v>0</v>
      </c>
      <c r="HF70" s="64">
        <v>0</v>
      </c>
      <c r="HG70" s="65">
        <f>IF(GK70=1,($C$1*$W$6),0)</f>
        <v>0</v>
      </c>
      <c r="HH70" s="212">
        <f>GT70+HE70+HF70+HG70</f>
        <v>0</v>
      </c>
      <c r="HI70" s="49">
        <v>0</v>
      </c>
      <c r="HJ70" s="59" t="s">
        <v>120</v>
      </c>
      <c r="HK70" s="28">
        <f>HL70/$AY$4</f>
        <v>0</v>
      </c>
      <c r="HL70" s="60">
        <v>0</v>
      </c>
      <c r="HM70" s="28">
        <f>HL70*HM$6</f>
        <v>0</v>
      </c>
      <c r="HN70" s="28">
        <f>HL70*HN$6</f>
        <v>0</v>
      </c>
      <c r="HO70" s="28">
        <f>HL70/HO$6</f>
        <v>0</v>
      </c>
      <c r="HP70" s="63">
        <f>HO70/HP$6</f>
        <v>0</v>
      </c>
      <c r="HQ70" s="61">
        <f>HL70/HQ$6</f>
        <v>0</v>
      </c>
      <c r="HR70" s="61">
        <f>SUM(HL70:HQ70)</f>
        <v>0</v>
      </c>
      <c r="HS70" s="62">
        <v>0</v>
      </c>
      <c r="HT70" s="62"/>
      <c r="HU70" s="62"/>
      <c r="HV70" s="62">
        <v>0</v>
      </c>
      <c r="HW70" s="62"/>
      <c r="HX70" s="63">
        <f>((HK70*HX$6)+(HK70*$BA$6)+(HK70*$BB$6))*HS70</f>
        <v>0</v>
      </c>
      <c r="HY70" s="63"/>
      <c r="HZ70" s="63"/>
      <c r="IA70" s="63">
        <f>((HK70*IA$6)+(HK70*$BA$6)+(HK70*$BB$6))*HV70</f>
        <v>0</v>
      </c>
      <c r="IB70" s="63"/>
      <c r="IC70" s="61">
        <f>SUM(HX70:IA70)</f>
        <v>0</v>
      </c>
      <c r="ID70" s="64">
        <v>0</v>
      </c>
      <c r="IE70" s="65">
        <f>IF(HI70=1,($C$1*$W$6),0)</f>
        <v>0</v>
      </c>
      <c r="IF70" s="212">
        <f>HR70+IC70+ID70+IE70</f>
        <v>0</v>
      </c>
      <c r="IG70" s="49">
        <v>0</v>
      </c>
      <c r="IH70" s="59" t="s">
        <v>120</v>
      </c>
      <c r="II70" s="28">
        <f>IJ70/$AY$4</f>
        <v>0</v>
      </c>
      <c r="IJ70" s="60">
        <v>0</v>
      </c>
      <c r="IK70" s="28">
        <f>IJ70*IK$6</f>
        <v>0</v>
      </c>
      <c r="IL70" s="28">
        <f>IJ70*IL$6</f>
        <v>0</v>
      </c>
      <c r="IM70" s="28">
        <f>IJ70/IM$6</f>
        <v>0</v>
      </c>
      <c r="IN70" s="63">
        <f>IM70/IN$6</f>
        <v>0</v>
      </c>
      <c r="IO70" s="61">
        <f>IJ70/IO$6</f>
        <v>0</v>
      </c>
      <c r="IP70" s="61">
        <f>SUM(IJ70:IO70)</f>
        <v>0</v>
      </c>
      <c r="IQ70" s="62">
        <v>0</v>
      </c>
      <c r="IR70" s="62"/>
      <c r="IS70" s="62"/>
      <c r="IT70" s="62">
        <v>0</v>
      </c>
      <c r="IU70" s="62"/>
      <c r="IV70" s="63">
        <f>((II70*IV$6)+(II70*$BA$6)+(II70*$BB$6))*IQ70</f>
        <v>0</v>
      </c>
      <c r="IW70" s="63"/>
      <c r="IX70" s="63"/>
      <c r="IY70" s="63">
        <f>((II70*IY$6)+(II70*$BA$6)+(II70*$BB$6))*IT70</f>
        <v>0</v>
      </c>
      <c r="IZ70" s="63"/>
      <c r="JA70" s="61">
        <f>SUM(IV70:IY70)</f>
        <v>0</v>
      </c>
      <c r="JB70" s="64">
        <v>0</v>
      </c>
      <c r="JC70" s="65">
        <f>IF(IG70=1,($C$1*$W$6),0)</f>
        <v>0</v>
      </c>
      <c r="JD70" s="476">
        <f>IP70+JA70+JB70+JC70</f>
        <v>0</v>
      </c>
      <c r="JE70" s="49">
        <v>0</v>
      </c>
      <c r="JF70" s="59" t="s">
        <v>120</v>
      </c>
      <c r="JG70" s="28">
        <f>JH70/$AY$4</f>
        <v>0</v>
      </c>
      <c r="JH70" s="60">
        <v>0</v>
      </c>
      <c r="JI70" s="28">
        <f>JH70*JI$6</f>
        <v>0</v>
      </c>
      <c r="JJ70" s="28">
        <f>JH70*JJ$6</f>
        <v>0</v>
      </c>
      <c r="JK70" s="28">
        <f>JH70/JK$6</f>
        <v>0</v>
      </c>
      <c r="JL70" s="63">
        <f>JK70/JL$6</f>
        <v>0</v>
      </c>
      <c r="JM70" s="61">
        <f>JH70/JM$6</f>
        <v>0</v>
      </c>
      <c r="JN70" s="61">
        <f>SUM(JH70:JM70)</f>
        <v>0</v>
      </c>
      <c r="JO70" s="62">
        <v>0</v>
      </c>
      <c r="JP70" s="62"/>
      <c r="JQ70" s="62"/>
      <c r="JR70" s="62">
        <v>0</v>
      </c>
      <c r="JS70" s="62"/>
      <c r="JT70" s="63">
        <f>((JG70*JT$6)+(JG70*$BA$6)+(JG70*$BB$6))*JO70</f>
        <v>0</v>
      </c>
      <c r="JU70" s="63"/>
      <c r="JV70" s="63"/>
      <c r="JW70" s="63">
        <f>((JG70*JW$6)+(JG70*$BA$6)+(JG70*$BB$6))*JR70</f>
        <v>0</v>
      </c>
      <c r="JX70" s="63"/>
      <c r="JY70" s="61">
        <f>SUM(JT70:JW70)</f>
        <v>0</v>
      </c>
      <c r="JZ70" s="64">
        <v>0</v>
      </c>
      <c r="KA70" s="65">
        <f>IF(JE70=1,($C$1*$W$6),0)</f>
        <v>0</v>
      </c>
      <c r="KB70" s="476">
        <f>JN70+JY70+JZ70+KA70</f>
        <v>0</v>
      </c>
      <c r="KC70" s="37"/>
      <c r="KD70" s="37"/>
      <c r="KE70" s="37"/>
      <c r="KF70" s="37"/>
      <c r="KG70" s="37"/>
      <c r="KH70" s="37"/>
      <c r="KI70" s="37"/>
      <c r="KJ70" s="37"/>
    </row>
    <row r="71" spans="1:296" ht="14.4" hidden="1" customHeight="1" x14ac:dyDescent="0.3">
      <c r="A71" s="49">
        <v>0</v>
      </c>
      <c r="B71" s="59" t="s">
        <v>120</v>
      </c>
      <c r="C71" s="28">
        <f>D71/$AY$4</f>
        <v>0</v>
      </c>
      <c r="D71" s="60">
        <v>0</v>
      </c>
      <c r="E71" s="28">
        <f t="shared" ref="E71" si="1040">D71*E$6</f>
        <v>0</v>
      </c>
      <c r="F71" s="28">
        <f t="shared" ref="F71" si="1041">D71*F$6</f>
        <v>0</v>
      </c>
      <c r="G71" s="28">
        <f t="shared" ref="G71" si="1042">D71/G$6</f>
        <v>0</v>
      </c>
      <c r="H71" s="63">
        <f t="shared" ref="H71" si="1043">G71/H$6</f>
        <v>0</v>
      </c>
      <c r="I71" s="61">
        <f t="shared" ref="I71" si="1044">D71/I$6</f>
        <v>0</v>
      </c>
      <c r="J71" s="61">
        <f t="shared" ref="J71" si="1045">SUM(D71:I71)</f>
        <v>0</v>
      </c>
      <c r="K71" s="62">
        <v>0</v>
      </c>
      <c r="L71" s="62"/>
      <c r="M71" s="62"/>
      <c r="N71" s="62">
        <v>0</v>
      </c>
      <c r="O71" s="62"/>
      <c r="P71" s="63">
        <f>((C71*P$6)+(C71*$BA$6)+(C71*$BB$6))*K71</f>
        <v>0</v>
      </c>
      <c r="Q71" s="63"/>
      <c r="R71" s="63"/>
      <c r="S71" s="63">
        <f>((C71*S$6)+(C71*$BA$6)+(C71*$BB$6))*N71</f>
        <v>0</v>
      </c>
      <c r="T71" s="63"/>
      <c r="U71" s="61">
        <f>SUM(P71:S71)</f>
        <v>0</v>
      </c>
      <c r="V71" s="64">
        <v>0</v>
      </c>
      <c r="W71" s="65">
        <f>IF(A71=1,($C$1*$W$6),0)</f>
        <v>0</v>
      </c>
      <c r="X71" s="212">
        <f>J71+U71+V71+W71</f>
        <v>0</v>
      </c>
      <c r="Y71" s="49">
        <v>0</v>
      </c>
      <c r="Z71" s="59" t="s">
        <v>120</v>
      </c>
      <c r="AA71" s="28">
        <f>AB71/$AY$4</f>
        <v>0</v>
      </c>
      <c r="AB71" s="60">
        <v>0</v>
      </c>
      <c r="AC71" s="28">
        <f t="shared" ref="AC71" si="1046">AB71*AC$6</f>
        <v>0</v>
      </c>
      <c r="AD71" s="28">
        <f t="shared" ref="AD71" si="1047">AB71*AD$6</f>
        <v>0</v>
      </c>
      <c r="AE71" s="28">
        <f t="shared" ref="AE71" si="1048">AB71/AE$6</f>
        <v>0</v>
      </c>
      <c r="AF71" s="63">
        <f t="shared" ref="AF71" si="1049">AE71/AF$6</f>
        <v>0</v>
      </c>
      <c r="AG71" s="61">
        <f t="shared" ref="AG71" si="1050">AB71/AG$6</f>
        <v>0</v>
      </c>
      <c r="AH71" s="61">
        <f t="shared" ref="AH71" si="1051">SUM(AB71:AG71)</f>
        <v>0</v>
      </c>
      <c r="AI71" s="62">
        <v>0</v>
      </c>
      <c r="AJ71" s="62"/>
      <c r="AK71" s="62"/>
      <c r="AL71" s="62">
        <v>0</v>
      </c>
      <c r="AM71" s="62"/>
      <c r="AN71" s="63">
        <f>((AA71*AN$6)+(AA71*$BA$6)+(AA71*$BB$6))*AI71</f>
        <v>0</v>
      </c>
      <c r="AO71" s="63"/>
      <c r="AP71" s="63"/>
      <c r="AQ71" s="63">
        <f>((AA71*AQ$6)+(AA71*$BA$6)+(AA71*$BB$6))*AL71</f>
        <v>0</v>
      </c>
      <c r="AR71" s="63"/>
      <c r="AS71" s="61">
        <f>SUM(AN71:AQ71)</f>
        <v>0</v>
      </c>
      <c r="AT71" s="64">
        <v>0</v>
      </c>
      <c r="AU71" s="65">
        <f>IF(Y71=1,($C$1*$W$6),0)</f>
        <v>0</v>
      </c>
      <c r="AV71" s="212">
        <f>AH71+AS71+AT71+AU71</f>
        <v>0</v>
      </c>
      <c r="AW71" s="49">
        <v>0</v>
      </c>
      <c r="AX71" s="59" t="s">
        <v>120</v>
      </c>
      <c r="AY71" s="28">
        <f>AZ71/$AY$4</f>
        <v>0</v>
      </c>
      <c r="AZ71" s="60">
        <v>0</v>
      </c>
      <c r="BA71" s="28">
        <f t="shared" ref="BA71" si="1052">AZ71*BA$6</f>
        <v>0</v>
      </c>
      <c r="BB71" s="28">
        <f t="shared" ref="BB71" si="1053">AZ71*BB$6</f>
        <v>0</v>
      </c>
      <c r="BC71" s="28">
        <f t="shared" ref="BC71" si="1054">AZ71/BC$6</f>
        <v>0</v>
      </c>
      <c r="BD71" s="63">
        <f t="shared" ref="BD71" si="1055">BC71/BD$6</f>
        <v>0</v>
      </c>
      <c r="BE71" s="61">
        <f t="shared" ref="BE71" si="1056">AZ71/BE$6</f>
        <v>0</v>
      </c>
      <c r="BF71" s="61">
        <f t="shared" ref="BF71" si="1057">SUM(AZ71:BE71)</f>
        <v>0</v>
      </c>
      <c r="BG71" s="62">
        <v>0</v>
      </c>
      <c r="BH71" s="62"/>
      <c r="BI71" s="62"/>
      <c r="BJ71" s="62">
        <v>0</v>
      </c>
      <c r="BK71" s="62"/>
      <c r="BL71" s="63">
        <f>((AY71*BL$6)+(AY71*$BA$6)+(AY71*$BB$6))*BG71</f>
        <v>0</v>
      </c>
      <c r="BM71" s="63"/>
      <c r="BN71" s="63"/>
      <c r="BO71" s="63">
        <f>((AY71*BO$6)+(AY71*$BA$6)+(AY71*$BB$6))*BJ71</f>
        <v>0</v>
      </c>
      <c r="BP71" s="63"/>
      <c r="BQ71" s="61">
        <f>SUM(BL71:BO71)</f>
        <v>0</v>
      </c>
      <c r="BR71" s="64">
        <v>0</v>
      </c>
      <c r="BS71" s="65">
        <f>IF(AW71=1,($C$1*$W$6),0)</f>
        <v>0</v>
      </c>
      <c r="BT71" s="212">
        <f>BF71+BQ71+BR71+BS71</f>
        <v>0</v>
      </c>
      <c r="BU71" s="49">
        <v>0</v>
      </c>
      <c r="BV71" s="59" t="s">
        <v>120</v>
      </c>
      <c r="BW71" s="28">
        <f>BX71/$AY$4</f>
        <v>0</v>
      </c>
      <c r="BX71" s="60">
        <v>0</v>
      </c>
      <c r="BY71" s="28">
        <f t="shared" ref="BY71" si="1058">BX71*BY$6</f>
        <v>0</v>
      </c>
      <c r="BZ71" s="28">
        <f t="shared" ref="BZ71" si="1059">BX71*BZ$6</f>
        <v>0</v>
      </c>
      <c r="CA71" s="28">
        <f t="shared" ref="CA71" si="1060">BX71/CA$6</f>
        <v>0</v>
      </c>
      <c r="CB71" s="63">
        <f t="shared" ref="CB71" si="1061">CA71/CB$6</f>
        <v>0</v>
      </c>
      <c r="CC71" s="61">
        <f t="shared" ref="CC71" si="1062">BX71/CC$6</f>
        <v>0</v>
      </c>
      <c r="CD71" s="61">
        <f t="shared" ref="CD71" si="1063">SUM(BX71:CC71)</f>
        <v>0</v>
      </c>
      <c r="CE71" s="62">
        <v>0</v>
      </c>
      <c r="CF71" s="62"/>
      <c r="CG71" s="62"/>
      <c r="CH71" s="62">
        <v>0</v>
      </c>
      <c r="CI71" s="62"/>
      <c r="CJ71" s="63">
        <f>((BW71*CJ$6)+(BW71*$BA$6)+(BW71*$BB$6))*CE71</f>
        <v>0</v>
      </c>
      <c r="CK71" s="63"/>
      <c r="CL71" s="63"/>
      <c r="CM71" s="63">
        <f>((BW71*CM$6)+(BW71*$BA$6)+(BW71*$BB$6))*CH71</f>
        <v>0</v>
      </c>
      <c r="CN71" s="63"/>
      <c r="CO71" s="61">
        <f>SUM(CJ71:CM71)</f>
        <v>0</v>
      </c>
      <c r="CP71" s="64">
        <v>0</v>
      </c>
      <c r="CQ71" s="65">
        <f>IF(BU71=1,($C$1*$W$6),0)</f>
        <v>0</v>
      </c>
      <c r="CR71" s="212">
        <f>CD71+CO71+CP71+CQ71</f>
        <v>0</v>
      </c>
      <c r="CS71" s="49">
        <v>0</v>
      </c>
      <c r="CT71" s="59" t="s">
        <v>120</v>
      </c>
      <c r="CU71" s="28">
        <f>CV71/$AY$4</f>
        <v>0</v>
      </c>
      <c r="CV71" s="60">
        <v>0</v>
      </c>
      <c r="CW71" s="28">
        <f t="shared" ref="CW71" si="1064">CV71*CW$6</f>
        <v>0</v>
      </c>
      <c r="CX71" s="28">
        <f t="shared" ref="CX71" si="1065">CV71*CX$6</f>
        <v>0</v>
      </c>
      <c r="CY71" s="28">
        <f t="shared" ref="CY71" si="1066">CV71/CY$6</f>
        <v>0</v>
      </c>
      <c r="CZ71" s="63">
        <f t="shared" ref="CZ71" si="1067">CY71/CZ$6</f>
        <v>0</v>
      </c>
      <c r="DA71" s="61">
        <f t="shared" ref="DA71" si="1068">CV71/DA$6</f>
        <v>0</v>
      </c>
      <c r="DB71" s="61">
        <f t="shared" ref="DB71" si="1069">SUM(CV71:DA71)</f>
        <v>0</v>
      </c>
      <c r="DC71" s="62">
        <v>0</v>
      </c>
      <c r="DD71" s="62"/>
      <c r="DE71" s="62"/>
      <c r="DF71" s="62">
        <v>0</v>
      </c>
      <c r="DG71" s="62"/>
      <c r="DH71" s="63">
        <f>((CU71*DH$6)+(CU71*$BA$6)+(CU71*$BB$6))*DC71</f>
        <v>0</v>
      </c>
      <c r="DI71" s="63"/>
      <c r="DJ71" s="63"/>
      <c r="DK71" s="63">
        <f>((CU71*DK$6)+(CU71*$BA$6)+(CU71*$BB$6))*DF71</f>
        <v>0</v>
      </c>
      <c r="DL71" s="63"/>
      <c r="DM71" s="61">
        <f>SUM(DH71:DK71)</f>
        <v>0</v>
      </c>
      <c r="DN71" s="64">
        <v>0</v>
      </c>
      <c r="DO71" s="65">
        <f>IF(CS71=1,($C$1*$W$6),0)</f>
        <v>0</v>
      </c>
      <c r="DP71" s="212">
        <f>DB71+DM71+DN71+DO71</f>
        <v>0</v>
      </c>
      <c r="DQ71" s="49">
        <v>0</v>
      </c>
      <c r="DR71" s="59" t="s">
        <v>120</v>
      </c>
      <c r="DS71" s="28">
        <f>DT71/$AY$4</f>
        <v>0</v>
      </c>
      <c r="DT71" s="60">
        <v>0</v>
      </c>
      <c r="DU71" s="28">
        <f t="shared" ref="DU71" si="1070">DT71*DU$6</f>
        <v>0</v>
      </c>
      <c r="DV71" s="28">
        <f t="shared" ref="DV71" si="1071">DT71*DV$6</f>
        <v>0</v>
      </c>
      <c r="DW71" s="28">
        <f t="shared" ref="DW71" si="1072">DT71/DW$6</f>
        <v>0</v>
      </c>
      <c r="DX71" s="63">
        <f t="shared" ref="DX71" si="1073">DW71/DX$6</f>
        <v>0</v>
      </c>
      <c r="DY71" s="61">
        <f t="shared" ref="DY71" si="1074">DT71/DY$6</f>
        <v>0</v>
      </c>
      <c r="DZ71" s="61">
        <f t="shared" ref="DZ71" si="1075">SUM(DT71:DY71)</f>
        <v>0</v>
      </c>
      <c r="EA71" s="62">
        <v>0</v>
      </c>
      <c r="EB71" s="62"/>
      <c r="EC71" s="62"/>
      <c r="ED71" s="62">
        <v>0</v>
      </c>
      <c r="EE71" s="62"/>
      <c r="EF71" s="63">
        <f>((DS71*EF$6)+(DS71*$BA$6)+(DS71*$BB$6))*EA71</f>
        <v>0</v>
      </c>
      <c r="EG71" s="63"/>
      <c r="EH71" s="63"/>
      <c r="EI71" s="63">
        <f>((DS71*EI$6)+(DS71*$BA$6)+(DS71*$BB$6))*ED71</f>
        <v>0</v>
      </c>
      <c r="EJ71" s="63"/>
      <c r="EK71" s="61">
        <f>SUM(EF71:EI71)</f>
        <v>0</v>
      </c>
      <c r="EL71" s="64">
        <v>0</v>
      </c>
      <c r="EM71" s="65">
        <f>IF(DQ71=1,($C$1*$W$6),0)</f>
        <v>0</v>
      </c>
      <c r="EN71" s="212">
        <f>DZ71+EK71+EL71+EM71</f>
        <v>0</v>
      </c>
      <c r="EO71" s="49">
        <v>0</v>
      </c>
      <c r="EP71" s="59" t="s">
        <v>120</v>
      </c>
      <c r="EQ71" s="28">
        <f>ER71/$AY$4</f>
        <v>0</v>
      </c>
      <c r="ER71" s="60">
        <v>0</v>
      </c>
      <c r="ES71" s="28">
        <f t="shared" ref="ES71" si="1076">ER71*ES$6</f>
        <v>0</v>
      </c>
      <c r="ET71" s="28">
        <f t="shared" ref="ET71" si="1077">ER71*ET$6</f>
        <v>0</v>
      </c>
      <c r="EU71" s="28">
        <f t="shared" ref="EU71" si="1078">ER71/EU$6</f>
        <v>0</v>
      </c>
      <c r="EV71" s="63">
        <f t="shared" ref="EV71" si="1079">EU71/EV$6</f>
        <v>0</v>
      </c>
      <c r="EW71" s="61">
        <f t="shared" ref="EW71" si="1080">ER71/EW$6</f>
        <v>0</v>
      </c>
      <c r="EX71" s="61">
        <f t="shared" ref="EX71" si="1081">SUM(ER71:EW71)</f>
        <v>0</v>
      </c>
      <c r="EY71" s="62">
        <v>0</v>
      </c>
      <c r="EZ71" s="62"/>
      <c r="FA71" s="62"/>
      <c r="FB71" s="62">
        <v>0</v>
      </c>
      <c r="FC71" s="62"/>
      <c r="FD71" s="63">
        <f>((EQ71*FD$6)+(EQ71*$BA$6)+(EQ71*$BB$6))*EY71</f>
        <v>0</v>
      </c>
      <c r="FE71" s="63"/>
      <c r="FF71" s="63"/>
      <c r="FG71" s="63">
        <f>((EQ71*FG$6)+(EQ71*$BA$6)+(EQ71*$BB$6))*FB71</f>
        <v>0</v>
      </c>
      <c r="FH71" s="63"/>
      <c r="FI71" s="61">
        <f>SUM(FD71:FG71)</f>
        <v>0</v>
      </c>
      <c r="FJ71" s="64">
        <v>0</v>
      </c>
      <c r="FK71" s="65">
        <f>IF(EO71=1,($C$1*$W$6),0)</f>
        <v>0</v>
      </c>
      <c r="FL71" s="212">
        <f>EX71+FI71+FJ71+FK71</f>
        <v>0</v>
      </c>
      <c r="FM71" s="49">
        <v>0</v>
      </c>
      <c r="FN71" s="59" t="s">
        <v>120</v>
      </c>
      <c r="FO71" s="28">
        <f>FP71/$AY$4</f>
        <v>0</v>
      </c>
      <c r="FP71" s="60">
        <v>0</v>
      </c>
      <c r="FQ71" s="28">
        <f t="shared" ref="FQ71" si="1082">FP71*FQ$6</f>
        <v>0</v>
      </c>
      <c r="FR71" s="28">
        <f t="shared" ref="FR71" si="1083">FP71*FR$6</f>
        <v>0</v>
      </c>
      <c r="FS71" s="28">
        <f t="shared" ref="FS71" si="1084">FP71/FS$6</f>
        <v>0</v>
      </c>
      <c r="FT71" s="63">
        <f t="shared" ref="FT71" si="1085">FS71/FT$6</f>
        <v>0</v>
      </c>
      <c r="FU71" s="61">
        <f t="shared" ref="FU71" si="1086">FP71/FU$6</f>
        <v>0</v>
      </c>
      <c r="FV71" s="61">
        <f t="shared" ref="FV71" si="1087">SUM(FP71:FU71)</f>
        <v>0</v>
      </c>
      <c r="FW71" s="62">
        <v>0</v>
      </c>
      <c r="FX71" s="62"/>
      <c r="FY71" s="62"/>
      <c r="FZ71" s="62">
        <v>0</v>
      </c>
      <c r="GA71" s="62"/>
      <c r="GB71" s="63">
        <f>((FO71*GB$6)+(FO71*$BA$6)+(FO71*$BB$6))*FW71</f>
        <v>0</v>
      </c>
      <c r="GC71" s="63"/>
      <c r="GD71" s="63"/>
      <c r="GE71" s="63">
        <f>((FO71*GE$6)+(FO71*$BA$6)+(FO71*$BB$6))*FZ71</f>
        <v>0</v>
      </c>
      <c r="GF71" s="63"/>
      <c r="GG71" s="61">
        <f>SUM(GB71:GE71)</f>
        <v>0</v>
      </c>
      <c r="GH71" s="64">
        <v>0</v>
      </c>
      <c r="GI71" s="65">
        <f>IF(FM71=1,($C$1*$W$6),0)</f>
        <v>0</v>
      </c>
      <c r="GJ71" s="212">
        <f>FV71+GG71+GH71+GI71</f>
        <v>0</v>
      </c>
      <c r="GK71" s="49">
        <v>0</v>
      </c>
      <c r="GL71" s="59" t="s">
        <v>120</v>
      </c>
      <c r="GM71" s="28">
        <f>GN71/$AY$4</f>
        <v>0</v>
      </c>
      <c r="GN71" s="60">
        <v>0</v>
      </c>
      <c r="GO71" s="28">
        <f t="shared" ref="GO71" si="1088">GN71*GO$6</f>
        <v>0</v>
      </c>
      <c r="GP71" s="28">
        <f t="shared" ref="GP71" si="1089">GN71*GP$6</f>
        <v>0</v>
      </c>
      <c r="GQ71" s="28">
        <f t="shared" ref="GQ71" si="1090">GN71/GQ$6</f>
        <v>0</v>
      </c>
      <c r="GR71" s="63">
        <f t="shared" ref="GR71" si="1091">GQ71/GR$6</f>
        <v>0</v>
      </c>
      <c r="GS71" s="61">
        <f t="shared" ref="GS71" si="1092">GN71/GS$6</f>
        <v>0</v>
      </c>
      <c r="GT71" s="61">
        <f t="shared" ref="GT71" si="1093">SUM(GN71:GS71)</f>
        <v>0</v>
      </c>
      <c r="GU71" s="62">
        <v>0</v>
      </c>
      <c r="GV71" s="62"/>
      <c r="GW71" s="62"/>
      <c r="GX71" s="62">
        <v>0</v>
      </c>
      <c r="GY71" s="62"/>
      <c r="GZ71" s="63">
        <f>((GM71*GZ$6)+(GM71*$BA$6)+(GM71*$BB$6))*GU71</f>
        <v>0</v>
      </c>
      <c r="HA71" s="63"/>
      <c r="HB71" s="63"/>
      <c r="HC71" s="63">
        <f>((GM71*HC$6)+(GM71*$BA$6)+(GM71*$BB$6))*GX71</f>
        <v>0</v>
      </c>
      <c r="HD71" s="63"/>
      <c r="HE71" s="61">
        <f>SUM(GZ71:HC71)</f>
        <v>0</v>
      </c>
      <c r="HF71" s="64">
        <v>0</v>
      </c>
      <c r="HG71" s="65">
        <f>IF(GK71=1,($C$1*$W$6),0)</f>
        <v>0</v>
      </c>
      <c r="HH71" s="212">
        <f>GT71+HE71+HF71+HG71</f>
        <v>0</v>
      </c>
      <c r="HI71" s="49">
        <v>0</v>
      </c>
      <c r="HJ71" s="59" t="s">
        <v>120</v>
      </c>
      <c r="HK71" s="28">
        <f>HL71/$AY$4</f>
        <v>0</v>
      </c>
      <c r="HL71" s="60">
        <v>0</v>
      </c>
      <c r="HM71" s="28">
        <f t="shared" ref="HM71" si="1094">HL71*HM$6</f>
        <v>0</v>
      </c>
      <c r="HN71" s="28">
        <f t="shared" ref="HN71" si="1095">HL71*HN$6</f>
        <v>0</v>
      </c>
      <c r="HO71" s="28">
        <f t="shared" ref="HO71" si="1096">HL71/HO$6</f>
        <v>0</v>
      </c>
      <c r="HP71" s="63">
        <f t="shared" ref="HP71" si="1097">HO71/HP$6</f>
        <v>0</v>
      </c>
      <c r="HQ71" s="61">
        <f t="shared" ref="HQ71" si="1098">HL71/HQ$6</f>
        <v>0</v>
      </c>
      <c r="HR71" s="61">
        <f t="shared" ref="HR71" si="1099">SUM(HL71:HQ71)</f>
        <v>0</v>
      </c>
      <c r="HS71" s="62">
        <v>0</v>
      </c>
      <c r="HT71" s="62"/>
      <c r="HU71" s="62"/>
      <c r="HV71" s="62">
        <v>0</v>
      </c>
      <c r="HW71" s="62"/>
      <c r="HX71" s="63">
        <f>((HK71*HX$6)+(HK71*$BA$6)+(HK71*$BB$6))*HS71</f>
        <v>0</v>
      </c>
      <c r="HY71" s="63"/>
      <c r="HZ71" s="63"/>
      <c r="IA71" s="63">
        <f>((HK71*IA$6)+(HK71*$BA$6)+(HK71*$BB$6))*HV71</f>
        <v>0</v>
      </c>
      <c r="IB71" s="63"/>
      <c r="IC71" s="61">
        <f>SUM(HX71:IA71)</f>
        <v>0</v>
      </c>
      <c r="ID71" s="64">
        <v>0</v>
      </c>
      <c r="IE71" s="65">
        <f>IF(HI71=1,($C$1*$W$6),0)</f>
        <v>0</v>
      </c>
      <c r="IF71" s="212">
        <f>HR71+IC71+ID71+IE71</f>
        <v>0</v>
      </c>
      <c r="IG71" s="49">
        <v>0</v>
      </c>
      <c r="IH71" s="59" t="s">
        <v>120</v>
      </c>
      <c r="II71" s="28">
        <f>IJ71/$AY$4</f>
        <v>0</v>
      </c>
      <c r="IJ71" s="60">
        <v>0</v>
      </c>
      <c r="IK71" s="28">
        <f>IJ71*IK$6</f>
        <v>0</v>
      </c>
      <c r="IL71" s="28">
        <f>IJ71*IL$6</f>
        <v>0</v>
      </c>
      <c r="IM71" s="28">
        <f>IJ71/IM$6</f>
        <v>0</v>
      </c>
      <c r="IN71" s="63">
        <f>IM71/IN$6</f>
        <v>0</v>
      </c>
      <c r="IO71" s="61">
        <f>IJ71/IO$6</f>
        <v>0</v>
      </c>
      <c r="IP71" s="61">
        <f t="shared" ref="IP71" si="1100">SUM(IJ71:IO71)</f>
        <v>0</v>
      </c>
      <c r="IQ71" s="62">
        <v>0</v>
      </c>
      <c r="IR71" s="62"/>
      <c r="IS71" s="62"/>
      <c r="IT71" s="62">
        <v>0</v>
      </c>
      <c r="IU71" s="62"/>
      <c r="IV71" s="63">
        <f>((II71*IV$6)+(II71*$BA$6)+(II71*$BB$6))*IQ71</f>
        <v>0</v>
      </c>
      <c r="IW71" s="63"/>
      <c r="IX71" s="63"/>
      <c r="IY71" s="63">
        <f>((II71*IY$6)+(II71*$BA$6)+(II71*$BB$6))*IT71</f>
        <v>0</v>
      </c>
      <c r="IZ71" s="63"/>
      <c r="JA71" s="61">
        <f>SUM(IV71:IY71)</f>
        <v>0</v>
      </c>
      <c r="JB71" s="64">
        <v>0</v>
      </c>
      <c r="JC71" s="65">
        <f>IF(IG71=1,($C$1*$W$6),0)</f>
        <v>0</v>
      </c>
      <c r="JD71" s="476">
        <f>IP71+JA71+JB71+JC71</f>
        <v>0</v>
      </c>
      <c r="JE71" s="49">
        <v>0</v>
      </c>
      <c r="JF71" s="59" t="s">
        <v>120</v>
      </c>
      <c r="JG71" s="28">
        <f>JH71/$AY$4</f>
        <v>0</v>
      </c>
      <c r="JH71" s="60">
        <v>0</v>
      </c>
      <c r="JI71" s="28">
        <f>JH71*JI$6</f>
        <v>0</v>
      </c>
      <c r="JJ71" s="28">
        <f>JH71*JJ$6</f>
        <v>0</v>
      </c>
      <c r="JK71" s="28">
        <f>JH71/JK$6</f>
        <v>0</v>
      </c>
      <c r="JL71" s="63">
        <f>JK71/JL$6</f>
        <v>0</v>
      </c>
      <c r="JM71" s="61">
        <f>JH71/JM$6</f>
        <v>0</v>
      </c>
      <c r="JN71" s="61">
        <f t="shared" ref="JN71" si="1101">SUM(JH71:JM71)</f>
        <v>0</v>
      </c>
      <c r="JO71" s="62">
        <v>0</v>
      </c>
      <c r="JP71" s="62"/>
      <c r="JQ71" s="62"/>
      <c r="JR71" s="62">
        <v>0</v>
      </c>
      <c r="JS71" s="62"/>
      <c r="JT71" s="63">
        <f>((JG71*JT$6)+(JG71*$BA$6)+(JG71*$BB$6))*JO71</f>
        <v>0</v>
      </c>
      <c r="JU71" s="63"/>
      <c r="JV71" s="63"/>
      <c r="JW71" s="63">
        <f>((JG71*JW$6)+(JG71*$BA$6)+(JG71*$BB$6))*JR71</f>
        <v>0</v>
      </c>
      <c r="JX71" s="63"/>
      <c r="JY71" s="61">
        <f>SUM(JT71:JW71)</f>
        <v>0</v>
      </c>
      <c r="JZ71" s="64">
        <v>0</v>
      </c>
      <c r="KA71" s="65">
        <f>IF(JE71=1,($C$1*$W$6),0)</f>
        <v>0</v>
      </c>
      <c r="KB71" s="476">
        <f>JN71+JY71+JZ71+KA71</f>
        <v>0</v>
      </c>
      <c r="KC71" s="37"/>
      <c r="KD71" s="37"/>
      <c r="KE71" s="37"/>
      <c r="KF71" s="37"/>
      <c r="KG71" s="37"/>
      <c r="KH71" s="37"/>
      <c r="KI71" s="37"/>
      <c r="KJ71" s="37"/>
    </row>
    <row r="72" spans="1:296" ht="15.6" hidden="1" customHeight="1" x14ac:dyDescent="0.3">
      <c r="A72" s="385"/>
      <c r="B72" s="383"/>
      <c r="C72" s="383"/>
      <c r="D72" s="383"/>
      <c r="E72" s="383"/>
      <c r="F72" s="383"/>
      <c r="G72" s="383"/>
      <c r="H72" s="383"/>
      <c r="I72" s="383"/>
      <c r="J72" s="383"/>
      <c r="K72" s="383"/>
      <c r="L72" s="383"/>
      <c r="M72" s="383"/>
      <c r="N72" s="383"/>
      <c r="O72" s="383"/>
      <c r="P72" s="383"/>
      <c r="Q72" s="383"/>
      <c r="R72" s="383"/>
      <c r="S72" s="383"/>
      <c r="T72" s="383"/>
      <c r="U72" s="383"/>
      <c r="V72" s="384"/>
      <c r="W72" s="214" t="s">
        <v>7</v>
      </c>
      <c r="X72" s="213">
        <f>SUM(X69:X71)</f>
        <v>0</v>
      </c>
      <c r="Y72" s="385"/>
      <c r="Z72" s="383"/>
      <c r="AA72" s="383"/>
      <c r="AB72" s="383"/>
      <c r="AC72" s="383"/>
      <c r="AD72" s="383"/>
      <c r="AE72" s="383"/>
      <c r="AF72" s="383"/>
      <c r="AG72" s="383"/>
      <c r="AH72" s="383"/>
      <c r="AI72" s="383"/>
      <c r="AJ72" s="383"/>
      <c r="AK72" s="383"/>
      <c r="AL72" s="383"/>
      <c r="AM72" s="383"/>
      <c r="AN72" s="383"/>
      <c r="AO72" s="383"/>
      <c r="AP72" s="383"/>
      <c r="AQ72" s="383"/>
      <c r="AR72" s="383"/>
      <c r="AS72" s="383"/>
      <c r="AT72" s="384"/>
      <c r="AU72" s="214" t="s">
        <v>7</v>
      </c>
      <c r="AV72" s="213">
        <f>SUM(AV69:AV71)</f>
        <v>0</v>
      </c>
      <c r="AW72" s="385"/>
      <c r="AX72" s="383"/>
      <c r="AY72" s="383"/>
      <c r="AZ72" s="383"/>
      <c r="BA72" s="383"/>
      <c r="BB72" s="383"/>
      <c r="BC72" s="383"/>
      <c r="BD72" s="383"/>
      <c r="BE72" s="383"/>
      <c r="BF72" s="383"/>
      <c r="BG72" s="383"/>
      <c r="BH72" s="383"/>
      <c r="BI72" s="383"/>
      <c r="BJ72" s="383"/>
      <c r="BK72" s="383"/>
      <c r="BL72" s="383"/>
      <c r="BM72" s="383"/>
      <c r="BN72" s="383"/>
      <c r="BO72" s="383"/>
      <c r="BP72" s="383"/>
      <c r="BQ72" s="383"/>
      <c r="BR72" s="384"/>
      <c r="BS72" s="214" t="s">
        <v>7</v>
      </c>
      <c r="BT72" s="213">
        <f>SUM(BT69:BT71)</f>
        <v>0</v>
      </c>
      <c r="BU72" s="385"/>
      <c r="BV72" s="383"/>
      <c r="BW72" s="383"/>
      <c r="BX72" s="383"/>
      <c r="BY72" s="383"/>
      <c r="BZ72" s="383"/>
      <c r="CA72" s="383"/>
      <c r="CB72" s="383"/>
      <c r="CC72" s="383"/>
      <c r="CD72" s="383"/>
      <c r="CE72" s="383"/>
      <c r="CF72" s="383"/>
      <c r="CG72" s="383"/>
      <c r="CH72" s="383"/>
      <c r="CI72" s="383"/>
      <c r="CJ72" s="383"/>
      <c r="CK72" s="383"/>
      <c r="CL72" s="383"/>
      <c r="CM72" s="383"/>
      <c r="CN72" s="383"/>
      <c r="CO72" s="383"/>
      <c r="CP72" s="384"/>
      <c r="CQ72" s="214" t="s">
        <v>7</v>
      </c>
      <c r="CR72" s="213">
        <f>SUM(CR69:CR71)</f>
        <v>0</v>
      </c>
      <c r="CS72" s="385"/>
      <c r="CT72" s="383"/>
      <c r="CU72" s="383"/>
      <c r="CV72" s="383"/>
      <c r="CW72" s="383"/>
      <c r="CX72" s="383"/>
      <c r="CY72" s="383"/>
      <c r="CZ72" s="383"/>
      <c r="DA72" s="383"/>
      <c r="DB72" s="383"/>
      <c r="DC72" s="383"/>
      <c r="DD72" s="383"/>
      <c r="DE72" s="383"/>
      <c r="DF72" s="383"/>
      <c r="DG72" s="383"/>
      <c r="DH72" s="383"/>
      <c r="DI72" s="383"/>
      <c r="DJ72" s="383"/>
      <c r="DK72" s="383"/>
      <c r="DL72" s="383"/>
      <c r="DM72" s="383"/>
      <c r="DN72" s="384"/>
      <c r="DO72" s="214" t="s">
        <v>7</v>
      </c>
      <c r="DP72" s="213">
        <f>SUM(DP69:DP71)</f>
        <v>0</v>
      </c>
      <c r="DQ72" s="385"/>
      <c r="DR72" s="383"/>
      <c r="DS72" s="383"/>
      <c r="DT72" s="383"/>
      <c r="DU72" s="383"/>
      <c r="DV72" s="383"/>
      <c r="DW72" s="383"/>
      <c r="DX72" s="383"/>
      <c r="DY72" s="383"/>
      <c r="DZ72" s="383"/>
      <c r="EA72" s="383"/>
      <c r="EB72" s="383"/>
      <c r="EC72" s="383"/>
      <c r="ED72" s="383"/>
      <c r="EE72" s="383"/>
      <c r="EF72" s="383"/>
      <c r="EG72" s="383"/>
      <c r="EH72" s="383"/>
      <c r="EI72" s="383"/>
      <c r="EJ72" s="383"/>
      <c r="EK72" s="383"/>
      <c r="EL72" s="384"/>
      <c r="EM72" s="214" t="s">
        <v>7</v>
      </c>
      <c r="EN72" s="213">
        <f>SUM(EN69:EN71)</f>
        <v>0</v>
      </c>
      <c r="EO72" s="385"/>
      <c r="EP72" s="383"/>
      <c r="EQ72" s="383"/>
      <c r="ER72" s="383"/>
      <c r="ES72" s="383"/>
      <c r="ET72" s="383"/>
      <c r="EU72" s="383"/>
      <c r="EV72" s="383"/>
      <c r="EW72" s="383"/>
      <c r="EX72" s="383"/>
      <c r="EY72" s="383"/>
      <c r="EZ72" s="383"/>
      <c r="FA72" s="383"/>
      <c r="FB72" s="383"/>
      <c r="FC72" s="383"/>
      <c r="FD72" s="383"/>
      <c r="FE72" s="383"/>
      <c r="FF72" s="383"/>
      <c r="FG72" s="383"/>
      <c r="FH72" s="383"/>
      <c r="FI72" s="383"/>
      <c r="FJ72" s="384"/>
      <c r="FK72" s="214" t="s">
        <v>7</v>
      </c>
      <c r="FL72" s="213">
        <f>SUM(FL69:FL71)</f>
        <v>0</v>
      </c>
      <c r="FM72" s="385"/>
      <c r="FN72" s="383"/>
      <c r="FO72" s="383"/>
      <c r="FP72" s="383"/>
      <c r="FQ72" s="383"/>
      <c r="FR72" s="383"/>
      <c r="FS72" s="383"/>
      <c r="FT72" s="383"/>
      <c r="FU72" s="383"/>
      <c r="FV72" s="383"/>
      <c r="FW72" s="383"/>
      <c r="FX72" s="383"/>
      <c r="FY72" s="383"/>
      <c r="FZ72" s="383"/>
      <c r="GA72" s="383"/>
      <c r="GB72" s="383"/>
      <c r="GC72" s="383"/>
      <c r="GD72" s="383"/>
      <c r="GE72" s="383"/>
      <c r="GF72" s="383"/>
      <c r="GG72" s="383"/>
      <c r="GH72" s="384"/>
      <c r="GI72" s="214" t="s">
        <v>7</v>
      </c>
      <c r="GJ72" s="213">
        <f>SUM(GJ69:GJ71)</f>
        <v>0</v>
      </c>
      <c r="GK72" s="385"/>
      <c r="GL72" s="383"/>
      <c r="GM72" s="383"/>
      <c r="GN72" s="383"/>
      <c r="GO72" s="383"/>
      <c r="GP72" s="383"/>
      <c r="GQ72" s="383"/>
      <c r="GR72" s="383"/>
      <c r="GS72" s="383"/>
      <c r="GT72" s="383"/>
      <c r="GU72" s="383"/>
      <c r="GV72" s="383"/>
      <c r="GW72" s="383"/>
      <c r="GX72" s="383"/>
      <c r="GY72" s="383"/>
      <c r="GZ72" s="383"/>
      <c r="HA72" s="383"/>
      <c r="HB72" s="383"/>
      <c r="HC72" s="383"/>
      <c r="HD72" s="383"/>
      <c r="HE72" s="383"/>
      <c r="HF72" s="384"/>
      <c r="HG72" s="214" t="s">
        <v>7</v>
      </c>
      <c r="HH72" s="213">
        <f>SUM(HH69:HH71)</f>
        <v>0</v>
      </c>
      <c r="HI72" s="385"/>
      <c r="HJ72" s="383"/>
      <c r="HK72" s="383"/>
      <c r="HL72" s="383"/>
      <c r="HM72" s="383"/>
      <c r="HN72" s="383"/>
      <c r="HO72" s="383"/>
      <c r="HP72" s="383"/>
      <c r="HQ72" s="383"/>
      <c r="HR72" s="383"/>
      <c r="HS72" s="383"/>
      <c r="HT72" s="383"/>
      <c r="HU72" s="383"/>
      <c r="HV72" s="383"/>
      <c r="HW72" s="383"/>
      <c r="HX72" s="383"/>
      <c r="HY72" s="383"/>
      <c r="HZ72" s="383"/>
      <c r="IA72" s="383"/>
      <c r="IB72" s="383"/>
      <c r="IC72" s="383"/>
      <c r="ID72" s="384"/>
      <c r="IE72" s="214" t="s">
        <v>7</v>
      </c>
      <c r="IF72" s="213">
        <f>SUM(IF69:IF71)</f>
        <v>0</v>
      </c>
      <c r="IG72" s="385"/>
      <c r="IH72" s="383"/>
      <c r="II72" s="383"/>
      <c r="IJ72" s="383"/>
      <c r="IK72" s="383"/>
      <c r="IL72" s="383"/>
      <c r="IM72" s="383"/>
      <c r="IN72" s="383"/>
      <c r="IO72" s="383"/>
      <c r="IP72" s="383"/>
      <c r="IQ72" s="383"/>
      <c r="IR72" s="383"/>
      <c r="IS72" s="383"/>
      <c r="IT72" s="383"/>
      <c r="IU72" s="383"/>
      <c r="IV72" s="383"/>
      <c r="IW72" s="383"/>
      <c r="IX72" s="383"/>
      <c r="IY72" s="383"/>
      <c r="IZ72" s="383"/>
      <c r="JA72" s="383"/>
      <c r="JB72" s="384"/>
      <c r="JC72" s="214" t="s">
        <v>7</v>
      </c>
      <c r="JD72" s="470">
        <f>SUM(JD69:JD71)</f>
        <v>0</v>
      </c>
      <c r="JE72" s="385"/>
      <c r="JF72" s="383"/>
      <c r="JG72" s="383"/>
      <c r="JH72" s="383"/>
      <c r="JI72" s="383"/>
      <c r="JJ72" s="383"/>
      <c r="JK72" s="383"/>
      <c r="JL72" s="383"/>
      <c r="JM72" s="383"/>
      <c r="JN72" s="383"/>
      <c r="JO72" s="383"/>
      <c r="JP72" s="383"/>
      <c r="JQ72" s="383"/>
      <c r="JR72" s="383"/>
      <c r="JS72" s="383"/>
      <c r="JT72" s="383"/>
      <c r="JU72" s="383"/>
      <c r="JV72" s="383"/>
      <c r="JW72" s="383"/>
      <c r="JX72" s="383"/>
      <c r="JY72" s="383"/>
      <c r="JZ72" s="384"/>
      <c r="KA72" s="214" t="s">
        <v>7</v>
      </c>
      <c r="KB72" s="470">
        <f>SUM(KB69:KB71)</f>
        <v>0</v>
      </c>
      <c r="KC72" s="37"/>
      <c r="KD72" s="37"/>
      <c r="KE72" s="37"/>
      <c r="KF72" s="37"/>
      <c r="KG72" s="37"/>
      <c r="KH72" s="37"/>
      <c r="KI72" s="37"/>
      <c r="KJ72" s="37"/>
    </row>
    <row r="73" spans="1:296" ht="15.6" hidden="1" customHeight="1" x14ac:dyDescent="0.3">
      <c r="A73" s="386"/>
      <c r="B73" s="387"/>
      <c r="C73" s="387"/>
      <c r="D73" s="387"/>
      <c r="E73" s="598" t="s">
        <v>121</v>
      </c>
      <c r="F73" s="598"/>
      <c r="G73" s="598"/>
      <c r="H73" s="598"/>
      <c r="I73" s="598"/>
      <c r="J73" s="598"/>
      <c r="K73" s="598"/>
      <c r="L73" s="598"/>
      <c r="M73" s="598"/>
      <c r="N73" s="598"/>
      <c r="O73" s="598"/>
      <c r="P73" s="598"/>
      <c r="Q73" s="454"/>
      <c r="R73" s="454"/>
      <c r="S73" s="387"/>
      <c r="T73" s="387"/>
      <c r="U73" s="387"/>
      <c r="V73" s="387"/>
      <c r="W73" s="387"/>
      <c r="X73" s="388"/>
      <c r="Y73" s="386"/>
      <c r="Z73" s="387"/>
      <c r="AA73" s="387"/>
      <c r="AB73" s="387"/>
      <c r="AC73" s="598" t="s">
        <v>121</v>
      </c>
      <c r="AD73" s="598"/>
      <c r="AE73" s="598"/>
      <c r="AF73" s="598"/>
      <c r="AG73" s="598"/>
      <c r="AH73" s="598"/>
      <c r="AI73" s="598"/>
      <c r="AJ73" s="598"/>
      <c r="AK73" s="598"/>
      <c r="AL73" s="598"/>
      <c r="AM73" s="598"/>
      <c r="AN73" s="598"/>
      <c r="AO73" s="454"/>
      <c r="AP73" s="454"/>
      <c r="AQ73" s="387"/>
      <c r="AR73" s="387"/>
      <c r="AS73" s="387"/>
      <c r="AT73" s="387"/>
      <c r="AU73" s="387"/>
      <c r="AV73" s="388"/>
      <c r="AW73" s="386"/>
      <c r="AX73" s="387"/>
      <c r="AY73" s="387"/>
      <c r="AZ73" s="387"/>
      <c r="BA73" s="598" t="s">
        <v>121</v>
      </c>
      <c r="BB73" s="598"/>
      <c r="BC73" s="598"/>
      <c r="BD73" s="598"/>
      <c r="BE73" s="598"/>
      <c r="BF73" s="598"/>
      <c r="BG73" s="598"/>
      <c r="BH73" s="598"/>
      <c r="BI73" s="598"/>
      <c r="BJ73" s="598"/>
      <c r="BK73" s="598"/>
      <c r="BL73" s="598"/>
      <c r="BM73" s="454"/>
      <c r="BN73" s="454"/>
      <c r="BO73" s="387"/>
      <c r="BP73" s="387"/>
      <c r="BQ73" s="387"/>
      <c r="BR73" s="387"/>
      <c r="BS73" s="387"/>
      <c r="BT73" s="388"/>
      <c r="BU73" s="386"/>
      <c r="BV73" s="387"/>
      <c r="BW73" s="387"/>
      <c r="BX73" s="387"/>
      <c r="BY73" s="598" t="s">
        <v>121</v>
      </c>
      <c r="BZ73" s="598"/>
      <c r="CA73" s="598"/>
      <c r="CB73" s="598"/>
      <c r="CC73" s="598"/>
      <c r="CD73" s="598"/>
      <c r="CE73" s="598"/>
      <c r="CF73" s="598"/>
      <c r="CG73" s="598"/>
      <c r="CH73" s="598"/>
      <c r="CI73" s="598"/>
      <c r="CJ73" s="598"/>
      <c r="CK73" s="454"/>
      <c r="CL73" s="454"/>
      <c r="CM73" s="387"/>
      <c r="CN73" s="387"/>
      <c r="CO73" s="387"/>
      <c r="CP73" s="387"/>
      <c r="CQ73" s="387"/>
      <c r="CR73" s="388"/>
      <c r="CS73" s="386"/>
      <c r="CT73" s="387"/>
      <c r="CU73" s="387"/>
      <c r="CV73" s="387"/>
      <c r="CW73" s="598" t="s">
        <v>121</v>
      </c>
      <c r="CX73" s="598"/>
      <c r="CY73" s="598"/>
      <c r="CZ73" s="598"/>
      <c r="DA73" s="598"/>
      <c r="DB73" s="598"/>
      <c r="DC73" s="598"/>
      <c r="DD73" s="598"/>
      <c r="DE73" s="598"/>
      <c r="DF73" s="598"/>
      <c r="DG73" s="598"/>
      <c r="DH73" s="598"/>
      <c r="DI73" s="454"/>
      <c r="DJ73" s="454"/>
      <c r="DK73" s="387"/>
      <c r="DL73" s="387"/>
      <c r="DM73" s="387"/>
      <c r="DN73" s="387"/>
      <c r="DO73" s="387"/>
      <c r="DP73" s="388"/>
      <c r="DQ73" s="386"/>
      <c r="DR73" s="387"/>
      <c r="DS73" s="387"/>
      <c r="DT73" s="387"/>
      <c r="DU73" s="598" t="s">
        <v>121</v>
      </c>
      <c r="DV73" s="598"/>
      <c r="DW73" s="598"/>
      <c r="DX73" s="598"/>
      <c r="DY73" s="598"/>
      <c r="DZ73" s="598"/>
      <c r="EA73" s="598"/>
      <c r="EB73" s="598"/>
      <c r="EC73" s="598"/>
      <c r="ED73" s="598"/>
      <c r="EE73" s="598"/>
      <c r="EF73" s="598"/>
      <c r="EG73" s="454"/>
      <c r="EH73" s="454"/>
      <c r="EI73" s="387"/>
      <c r="EJ73" s="387"/>
      <c r="EK73" s="387"/>
      <c r="EL73" s="387"/>
      <c r="EM73" s="387"/>
      <c r="EN73" s="388"/>
      <c r="EO73" s="386"/>
      <c r="EP73" s="387"/>
      <c r="EQ73" s="387"/>
      <c r="ER73" s="387"/>
      <c r="ES73" s="598" t="s">
        <v>121</v>
      </c>
      <c r="ET73" s="598"/>
      <c r="EU73" s="598"/>
      <c r="EV73" s="598"/>
      <c r="EW73" s="598"/>
      <c r="EX73" s="598"/>
      <c r="EY73" s="598"/>
      <c r="EZ73" s="598"/>
      <c r="FA73" s="598"/>
      <c r="FB73" s="598"/>
      <c r="FC73" s="598"/>
      <c r="FD73" s="598"/>
      <c r="FE73" s="454"/>
      <c r="FF73" s="454"/>
      <c r="FG73" s="387"/>
      <c r="FH73" s="387"/>
      <c r="FI73" s="387"/>
      <c r="FJ73" s="387"/>
      <c r="FK73" s="387"/>
      <c r="FL73" s="388"/>
      <c r="FM73" s="386"/>
      <c r="FN73" s="387"/>
      <c r="FO73" s="387"/>
      <c r="FP73" s="387"/>
      <c r="FQ73" s="598" t="s">
        <v>121</v>
      </c>
      <c r="FR73" s="598"/>
      <c r="FS73" s="598"/>
      <c r="FT73" s="598"/>
      <c r="FU73" s="598"/>
      <c r="FV73" s="598"/>
      <c r="FW73" s="598"/>
      <c r="FX73" s="598"/>
      <c r="FY73" s="598"/>
      <c r="FZ73" s="598"/>
      <c r="GA73" s="598"/>
      <c r="GB73" s="598"/>
      <c r="GC73" s="454"/>
      <c r="GD73" s="454"/>
      <c r="GE73" s="387"/>
      <c r="GF73" s="387"/>
      <c r="GG73" s="387"/>
      <c r="GH73" s="387"/>
      <c r="GI73" s="387"/>
      <c r="GJ73" s="388"/>
      <c r="GK73" s="386"/>
      <c r="GL73" s="387"/>
      <c r="GM73" s="387"/>
      <c r="GN73" s="387"/>
      <c r="GO73" s="598" t="s">
        <v>121</v>
      </c>
      <c r="GP73" s="598"/>
      <c r="GQ73" s="598"/>
      <c r="GR73" s="598"/>
      <c r="GS73" s="598"/>
      <c r="GT73" s="598"/>
      <c r="GU73" s="598"/>
      <c r="GV73" s="598"/>
      <c r="GW73" s="598"/>
      <c r="GX73" s="598"/>
      <c r="GY73" s="598"/>
      <c r="GZ73" s="598"/>
      <c r="HA73" s="454"/>
      <c r="HB73" s="454"/>
      <c r="HC73" s="387"/>
      <c r="HD73" s="387"/>
      <c r="HE73" s="387"/>
      <c r="HF73" s="387"/>
      <c r="HG73" s="387"/>
      <c r="HH73" s="388"/>
      <c r="HI73" s="386"/>
      <c r="HJ73" s="387"/>
      <c r="HK73" s="387"/>
      <c r="HL73" s="387"/>
      <c r="HM73" s="598" t="s">
        <v>121</v>
      </c>
      <c r="HN73" s="598"/>
      <c r="HO73" s="598"/>
      <c r="HP73" s="598"/>
      <c r="HQ73" s="598"/>
      <c r="HR73" s="598"/>
      <c r="HS73" s="598"/>
      <c r="HT73" s="598"/>
      <c r="HU73" s="598"/>
      <c r="HV73" s="598"/>
      <c r="HW73" s="598"/>
      <c r="HX73" s="598"/>
      <c r="HY73" s="454"/>
      <c r="HZ73" s="454"/>
      <c r="IA73" s="387"/>
      <c r="IB73" s="387"/>
      <c r="IC73" s="387"/>
      <c r="ID73" s="387"/>
      <c r="IE73" s="387"/>
      <c r="IF73" s="388"/>
      <c r="IG73" s="386"/>
      <c r="IH73" s="387"/>
      <c r="II73" s="387"/>
      <c r="IJ73" s="387"/>
      <c r="IK73" s="598" t="s">
        <v>121</v>
      </c>
      <c r="IL73" s="598"/>
      <c r="IM73" s="598"/>
      <c r="IN73" s="598"/>
      <c r="IO73" s="598"/>
      <c r="IP73" s="598"/>
      <c r="IQ73" s="598"/>
      <c r="IR73" s="598"/>
      <c r="IS73" s="598"/>
      <c r="IT73" s="598"/>
      <c r="IU73" s="598"/>
      <c r="IV73" s="598"/>
      <c r="IW73" s="454"/>
      <c r="IX73" s="454"/>
      <c r="IY73" s="387"/>
      <c r="IZ73" s="387"/>
      <c r="JA73" s="387"/>
      <c r="JB73" s="387"/>
      <c r="JC73" s="387"/>
      <c r="JD73" s="471"/>
      <c r="JE73" s="386"/>
      <c r="JF73" s="387"/>
      <c r="JG73" s="387"/>
      <c r="JH73" s="387"/>
      <c r="JI73" s="598" t="s">
        <v>121</v>
      </c>
      <c r="JJ73" s="598"/>
      <c r="JK73" s="598"/>
      <c r="JL73" s="598"/>
      <c r="JM73" s="598"/>
      <c r="JN73" s="598"/>
      <c r="JO73" s="598"/>
      <c r="JP73" s="598"/>
      <c r="JQ73" s="598"/>
      <c r="JR73" s="598"/>
      <c r="JS73" s="598"/>
      <c r="JT73" s="598"/>
      <c r="JU73" s="454"/>
      <c r="JV73" s="454"/>
      <c r="JW73" s="387"/>
      <c r="JX73" s="387"/>
      <c r="JY73" s="387"/>
      <c r="JZ73" s="387"/>
      <c r="KA73" s="387"/>
      <c r="KB73" s="471"/>
      <c r="KC73" s="37"/>
      <c r="KD73" s="37"/>
      <c r="KE73" s="37"/>
      <c r="KF73" s="37"/>
      <c r="KG73" s="37"/>
      <c r="KH73" s="37"/>
      <c r="KI73" s="37"/>
      <c r="KJ73" s="37"/>
    </row>
    <row r="74" spans="1:296" ht="14.4" hidden="1" customHeight="1" x14ac:dyDescent="0.3">
      <c r="A74" s="49">
        <v>0</v>
      </c>
      <c r="B74" s="59" t="s">
        <v>120</v>
      </c>
      <c r="C74" s="28">
        <f>D74/$AY$4</f>
        <v>0</v>
      </c>
      <c r="D74" s="60">
        <v>0</v>
      </c>
      <c r="E74" s="28">
        <f t="shared" ref="E74:E76" si="1102">D74*E$6</f>
        <v>0</v>
      </c>
      <c r="F74" s="28">
        <f t="shared" ref="F74:F76" si="1103">D74*F$6</f>
        <v>0</v>
      </c>
      <c r="G74" s="28">
        <f t="shared" ref="G74:G76" si="1104">D74/G$6</f>
        <v>0</v>
      </c>
      <c r="H74" s="63">
        <f t="shared" ref="H74:H76" si="1105">G74/H$6</f>
        <v>0</v>
      </c>
      <c r="I74" s="61">
        <f t="shared" ref="I74:I76" si="1106">D74/I$6</f>
        <v>0</v>
      </c>
      <c r="J74" s="61">
        <f t="shared" ref="J74:J76" si="1107">SUM(D74:I74)</f>
        <v>0</v>
      </c>
      <c r="K74" s="62">
        <v>0</v>
      </c>
      <c r="L74" s="62"/>
      <c r="M74" s="62"/>
      <c r="N74" s="62">
        <v>0</v>
      </c>
      <c r="O74" s="62"/>
      <c r="P74" s="63">
        <f>((C74*P$6)+(C74*$BA$6)+(C74*$BB$6))*K74</f>
        <v>0</v>
      </c>
      <c r="Q74" s="63"/>
      <c r="R74" s="63"/>
      <c r="S74" s="63">
        <f>((C74*S$6)+(C74*$BA$6)+(C74*$BB$6))*N74</f>
        <v>0</v>
      </c>
      <c r="T74" s="63"/>
      <c r="U74" s="61">
        <f t="shared" ref="U74:U76" si="1108">SUM(P74:S74)</f>
        <v>0</v>
      </c>
      <c r="V74" s="64">
        <v>0</v>
      </c>
      <c r="W74" s="65">
        <f>IF(A74=1,($C$1*$W$6),0)</f>
        <v>0</v>
      </c>
      <c r="X74" s="212">
        <f>J74+U74+V74+W74</f>
        <v>0</v>
      </c>
      <c r="Y74" s="49">
        <v>0</v>
      </c>
      <c r="Z74" s="59" t="s">
        <v>120</v>
      </c>
      <c r="AA74" s="28">
        <f>AB74/$AY$4</f>
        <v>0</v>
      </c>
      <c r="AB74" s="60">
        <v>0</v>
      </c>
      <c r="AC74" s="28">
        <f t="shared" ref="AC74:AC76" si="1109">AB74*AC$6</f>
        <v>0</v>
      </c>
      <c r="AD74" s="28">
        <f t="shared" ref="AD74:AD76" si="1110">AB74*AD$6</f>
        <v>0</v>
      </c>
      <c r="AE74" s="28">
        <f t="shared" ref="AE74:AE76" si="1111">AB74/AE$6</f>
        <v>0</v>
      </c>
      <c r="AF74" s="63">
        <f t="shared" ref="AF74:AF76" si="1112">AE74/AF$6</f>
        <v>0</v>
      </c>
      <c r="AG74" s="61">
        <f t="shared" ref="AG74:AG76" si="1113">AB74/AG$6</f>
        <v>0</v>
      </c>
      <c r="AH74" s="61">
        <f t="shared" ref="AH74:AH76" si="1114">SUM(AB74:AG74)</f>
        <v>0</v>
      </c>
      <c r="AI74" s="62">
        <v>0</v>
      </c>
      <c r="AJ74" s="62"/>
      <c r="AK74" s="62"/>
      <c r="AL74" s="62">
        <v>0</v>
      </c>
      <c r="AM74" s="62"/>
      <c r="AN74" s="63">
        <f>((AA74*AN$6)+(AA74*$BA$6)+(AA74*$BB$6))*AI74</f>
        <v>0</v>
      </c>
      <c r="AO74" s="63"/>
      <c r="AP74" s="63"/>
      <c r="AQ74" s="63">
        <f>((AA74*AQ$6)+(AA74*$BA$6)+(AA74*$BB$6))*AL74</f>
        <v>0</v>
      </c>
      <c r="AR74" s="63"/>
      <c r="AS74" s="61">
        <f t="shared" ref="AS74:AS76" si="1115">SUM(AN74:AQ74)</f>
        <v>0</v>
      </c>
      <c r="AT74" s="64">
        <v>0</v>
      </c>
      <c r="AU74" s="65">
        <f>IF(Y74=1,($C$1*$W$6),0)</f>
        <v>0</v>
      </c>
      <c r="AV74" s="212">
        <f>AH74+AS74+AT74+AU74</f>
        <v>0</v>
      </c>
      <c r="AW74" s="49">
        <v>0</v>
      </c>
      <c r="AX74" s="59" t="s">
        <v>120</v>
      </c>
      <c r="AY74" s="28">
        <f>AZ74/$AY$4</f>
        <v>0</v>
      </c>
      <c r="AZ74" s="60">
        <v>0</v>
      </c>
      <c r="BA74" s="28">
        <f t="shared" ref="BA74:BA76" si="1116">AZ74*BA$6</f>
        <v>0</v>
      </c>
      <c r="BB74" s="28">
        <f t="shared" ref="BB74:BB76" si="1117">AZ74*BB$6</f>
        <v>0</v>
      </c>
      <c r="BC74" s="28">
        <f t="shared" ref="BC74:BC76" si="1118">AZ74/BC$6</f>
        <v>0</v>
      </c>
      <c r="BD74" s="63">
        <f t="shared" ref="BD74:BD76" si="1119">BC74/BD$6</f>
        <v>0</v>
      </c>
      <c r="BE74" s="61">
        <f t="shared" ref="BE74:BE76" si="1120">AZ74/BE$6</f>
        <v>0</v>
      </c>
      <c r="BF74" s="61">
        <f t="shared" ref="BF74:BF76" si="1121">SUM(AZ74:BE74)</f>
        <v>0</v>
      </c>
      <c r="BG74" s="62">
        <v>0</v>
      </c>
      <c r="BH74" s="62"/>
      <c r="BI74" s="62"/>
      <c r="BJ74" s="62">
        <v>0</v>
      </c>
      <c r="BK74" s="62"/>
      <c r="BL74" s="63">
        <f>((AY74*BL$6)+(AY74*$BA$6)+(AY74*$BB$6))*BG74</f>
        <v>0</v>
      </c>
      <c r="BM74" s="63"/>
      <c r="BN74" s="63"/>
      <c r="BO74" s="63">
        <f>((AY74*BO$6)+(AY74*$BA$6)+(AY74*$BB$6))*BJ74</f>
        <v>0</v>
      </c>
      <c r="BP74" s="63"/>
      <c r="BQ74" s="61">
        <f t="shared" ref="BQ74:BQ76" si="1122">SUM(BL74:BO74)</f>
        <v>0</v>
      </c>
      <c r="BR74" s="64">
        <v>0</v>
      </c>
      <c r="BS74" s="65">
        <f>IF(AW74=1,($C$1*$W$6),0)</f>
        <v>0</v>
      </c>
      <c r="BT74" s="212">
        <f>BF74+BQ74+BR74+BS74</f>
        <v>0</v>
      </c>
      <c r="BU74" s="49">
        <v>0</v>
      </c>
      <c r="BV74" s="59" t="s">
        <v>120</v>
      </c>
      <c r="BW74" s="28">
        <f>BX74/$AY$4</f>
        <v>0</v>
      </c>
      <c r="BX74" s="60">
        <v>0</v>
      </c>
      <c r="BY74" s="28">
        <f t="shared" ref="BY74:BY76" si="1123">BX74*BY$6</f>
        <v>0</v>
      </c>
      <c r="BZ74" s="28">
        <f t="shared" ref="BZ74:BZ76" si="1124">BX74*BZ$6</f>
        <v>0</v>
      </c>
      <c r="CA74" s="28">
        <f t="shared" ref="CA74:CA76" si="1125">BX74/CA$6</f>
        <v>0</v>
      </c>
      <c r="CB74" s="63">
        <f t="shared" ref="CB74:CB76" si="1126">CA74/CB$6</f>
        <v>0</v>
      </c>
      <c r="CC74" s="61">
        <f t="shared" ref="CC74:CC76" si="1127">BX74/CC$6</f>
        <v>0</v>
      </c>
      <c r="CD74" s="61">
        <f t="shared" ref="CD74:CD76" si="1128">SUM(BX74:CC74)</f>
        <v>0</v>
      </c>
      <c r="CE74" s="62">
        <v>0</v>
      </c>
      <c r="CF74" s="62"/>
      <c r="CG74" s="62"/>
      <c r="CH74" s="62">
        <v>0</v>
      </c>
      <c r="CI74" s="62"/>
      <c r="CJ74" s="63">
        <f>((BW74*CJ$6)+(BW74*$BA$6)+(BW74*$BB$6))*CE74</f>
        <v>0</v>
      </c>
      <c r="CK74" s="63"/>
      <c r="CL74" s="63"/>
      <c r="CM74" s="63">
        <f>((BW74*CM$6)+(BW74*$BA$6)+(BW74*$BB$6))*CH74</f>
        <v>0</v>
      </c>
      <c r="CN74" s="63"/>
      <c r="CO74" s="61">
        <f t="shared" ref="CO74:CO76" si="1129">SUM(CJ74:CM74)</f>
        <v>0</v>
      </c>
      <c r="CP74" s="64">
        <v>0</v>
      </c>
      <c r="CQ74" s="65">
        <f>IF(BU74=1,($C$1*$W$6),0)</f>
        <v>0</v>
      </c>
      <c r="CR74" s="212">
        <f>CD74+CO74+CP74+CQ74</f>
        <v>0</v>
      </c>
      <c r="CS74" s="49">
        <v>0</v>
      </c>
      <c r="CT74" s="59" t="s">
        <v>120</v>
      </c>
      <c r="CU74" s="28">
        <f>CV74/$AY$4</f>
        <v>0</v>
      </c>
      <c r="CV74" s="60">
        <v>0</v>
      </c>
      <c r="CW74" s="28">
        <f t="shared" ref="CW74:CW76" si="1130">CV74*CW$6</f>
        <v>0</v>
      </c>
      <c r="CX74" s="28">
        <f t="shared" ref="CX74:CX76" si="1131">CV74*CX$6</f>
        <v>0</v>
      </c>
      <c r="CY74" s="28">
        <f t="shared" ref="CY74:CY76" si="1132">CV74/CY$6</f>
        <v>0</v>
      </c>
      <c r="CZ74" s="63">
        <f t="shared" ref="CZ74:CZ76" si="1133">CY74/CZ$6</f>
        <v>0</v>
      </c>
      <c r="DA74" s="61">
        <f t="shared" ref="DA74:DA76" si="1134">CV74/DA$6</f>
        <v>0</v>
      </c>
      <c r="DB74" s="61">
        <f t="shared" ref="DB74:DB76" si="1135">SUM(CV74:DA74)</f>
        <v>0</v>
      </c>
      <c r="DC74" s="62">
        <v>0</v>
      </c>
      <c r="DD74" s="62"/>
      <c r="DE74" s="62"/>
      <c r="DF74" s="62">
        <v>0</v>
      </c>
      <c r="DG74" s="62"/>
      <c r="DH74" s="63">
        <f>((CU74*DH$6)+(CU74*$BA$6)+(CU74*$BB$6))*DC74</f>
        <v>0</v>
      </c>
      <c r="DI74" s="63"/>
      <c r="DJ74" s="63"/>
      <c r="DK74" s="63">
        <f>((CU74*DK$6)+(CU74*$BA$6)+(CU74*$BB$6))*DF74</f>
        <v>0</v>
      </c>
      <c r="DL74" s="63"/>
      <c r="DM74" s="61">
        <f t="shared" ref="DM74:DM76" si="1136">SUM(DH74:DK74)</f>
        <v>0</v>
      </c>
      <c r="DN74" s="64">
        <v>0</v>
      </c>
      <c r="DO74" s="65">
        <f>IF(CS74=1,($C$1*$W$6),0)</f>
        <v>0</v>
      </c>
      <c r="DP74" s="212">
        <f>DB74+DM74+DN74+DO74</f>
        <v>0</v>
      </c>
      <c r="DQ74" s="49">
        <v>0</v>
      </c>
      <c r="DR74" s="59" t="s">
        <v>120</v>
      </c>
      <c r="DS74" s="28">
        <f>DT74/$AY$4</f>
        <v>0</v>
      </c>
      <c r="DT74" s="60">
        <v>0</v>
      </c>
      <c r="DU74" s="28">
        <f t="shared" ref="DU74:DU76" si="1137">DT74*DU$6</f>
        <v>0</v>
      </c>
      <c r="DV74" s="28">
        <f t="shared" ref="DV74:DV76" si="1138">DT74*DV$6</f>
        <v>0</v>
      </c>
      <c r="DW74" s="28">
        <f t="shared" ref="DW74:DW76" si="1139">DT74/DW$6</f>
        <v>0</v>
      </c>
      <c r="DX74" s="63">
        <f t="shared" ref="DX74:DX76" si="1140">DW74/DX$6</f>
        <v>0</v>
      </c>
      <c r="DY74" s="61">
        <f t="shared" ref="DY74:DY76" si="1141">DT74/DY$6</f>
        <v>0</v>
      </c>
      <c r="DZ74" s="61">
        <f t="shared" ref="DZ74:DZ76" si="1142">SUM(DT74:DY74)</f>
        <v>0</v>
      </c>
      <c r="EA74" s="62">
        <v>0</v>
      </c>
      <c r="EB74" s="62"/>
      <c r="EC74" s="62"/>
      <c r="ED74" s="62">
        <v>0</v>
      </c>
      <c r="EE74" s="62"/>
      <c r="EF74" s="63">
        <f>((DS74*EF$6)+(DS74*$BA$6)+(DS74*$BB$6))*EA74</f>
        <v>0</v>
      </c>
      <c r="EG74" s="63"/>
      <c r="EH74" s="63"/>
      <c r="EI74" s="63">
        <f>((DS74*EI$6)+(DS74*$BA$6)+(DS74*$BB$6))*ED74</f>
        <v>0</v>
      </c>
      <c r="EJ74" s="63"/>
      <c r="EK74" s="61">
        <f t="shared" ref="EK74:EK76" si="1143">SUM(EF74:EI74)</f>
        <v>0</v>
      </c>
      <c r="EL74" s="64">
        <v>0</v>
      </c>
      <c r="EM74" s="65">
        <f>IF(DQ74=1,($C$1*$W$6),0)</f>
        <v>0</v>
      </c>
      <c r="EN74" s="212">
        <f>DZ74+EK74+EL74+EM74</f>
        <v>0</v>
      </c>
      <c r="EO74" s="49">
        <v>0</v>
      </c>
      <c r="EP74" s="59" t="s">
        <v>120</v>
      </c>
      <c r="EQ74" s="28">
        <f>ER74/$AY$4</f>
        <v>0</v>
      </c>
      <c r="ER74" s="60">
        <v>0</v>
      </c>
      <c r="ES74" s="28">
        <f t="shared" ref="ES74:ES76" si="1144">ER74*ES$6</f>
        <v>0</v>
      </c>
      <c r="ET74" s="28">
        <f t="shared" ref="ET74:ET76" si="1145">ER74*ET$6</f>
        <v>0</v>
      </c>
      <c r="EU74" s="28">
        <f t="shared" ref="EU74:EU76" si="1146">ER74/EU$6</f>
        <v>0</v>
      </c>
      <c r="EV74" s="63">
        <f t="shared" ref="EV74:EV76" si="1147">EU74/EV$6</f>
        <v>0</v>
      </c>
      <c r="EW74" s="61">
        <f t="shared" ref="EW74:EW76" si="1148">ER74/EW$6</f>
        <v>0</v>
      </c>
      <c r="EX74" s="61">
        <f t="shared" ref="EX74:EX76" si="1149">SUM(ER74:EW74)</f>
        <v>0</v>
      </c>
      <c r="EY74" s="62">
        <v>0</v>
      </c>
      <c r="EZ74" s="62"/>
      <c r="FA74" s="62"/>
      <c r="FB74" s="62">
        <v>0</v>
      </c>
      <c r="FC74" s="62"/>
      <c r="FD74" s="63">
        <f>((EQ74*FD$6)+(EQ74*$BA$6)+(EQ74*$BB$6))*EY74</f>
        <v>0</v>
      </c>
      <c r="FE74" s="63"/>
      <c r="FF74" s="63"/>
      <c r="FG74" s="63">
        <f>((EQ74*FG$6)+(EQ74*$BA$6)+(EQ74*$BB$6))*FB74</f>
        <v>0</v>
      </c>
      <c r="FH74" s="63"/>
      <c r="FI74" s="61">
        <f t="shared" ref="FI74:FI76" si="1150">SUM(FD74:FG74)</f>
        <v>0</v>
      </c>
      <c r="FJ74" s="64">
        <v>0</v>
      </c>
      <c r="FK74" s="65">
        <f>IF(EO74=1,($C$1*$W$6),0)</f>
        <v>0</v>
      </c>
      <c r="FL74" s="212">
        <f>EX74+FI74+FJ74+FK74</f>
        <v>0</v>
      </c>
      <c r="FM74" s="49">
        <v>0</v>
      </c>
      <c r="FN74" s="59" t="s">
        <v>120</v>
      </c>
      <c r="FO74" s="28">
        <f>FP74/$AY$4</f>
        <v>0</v>
      </c>
      <c r="FP74" s="60">
        <v>0</v>
      </c>
      <c r="FQ74" s="28">
        <f t="shared" ref="FQ74:FQ76" si="1151">FP74*FQ$6</f>
        <v>0</v>
      </c>
      <c r="FR74" s="28">
        <f t="shared" ref="FR74:FR76" si="1152">FP74*FR$6</f>
        <v>0</v>
      </c>
      <c r="FS74" s="28">
        <f t="shared" ref="FS74:FS76" si="1153">FP74/FS$6</f>
        <v>0</v>
      </c>
      <c r="FT74" s="63">
        <f t="shared" ref="FT74:FT76" si="1154">FS74/FT$6</f>
        <v>0</v>
      </c>
      <c r="FU74" s="61">
        <f t="shared" ref="FU74:FU76" si="1155">FP74/FU$6</f>
        <v>0</v>
      </c>
      <c r="FV74" s="61">
        <f t="shared" ref="FV74:FV76" si="1156">SUM(FP74:FU74)</f>
        <v>0</v>
      </c>
      <c r="FW74" s="62">
        <v>0</v>
      </c>
      <c r="FX74" s="62"/>
      <c r="FY74" s="62"/>
      <c r="FZ74" s="62">
        <v>0</v>
      </c>
      <c r="GA74" s="62"/>
      <c r="GB74" s="63">
        <f>((FO74*GB$6)+(FO74*$BA$6)+(FO74*$BB$6))*FW74</f>
        <v>0</v>
      </c>
      <c r="GC74" s="63"/>
      <c r="GD74" s="63"/>
      <c r="GE74" s="63">
        <f>((FO74*GE$6)+(FO74*$BA$6)+(FO74*$BB$6))*FZ74</f>
        <v>0</v>
      </c>
      <c r="GF74" s="63"/>
      <c r="GG74" s="61">
        <f t="shared" ref="GG74:GG76" si="1157">SUM(GB74:GE74)</f>
        <v>0</v>
      </c>
      <c r="GH74" s="64">
        <v>0</v>
      </c>
      <c r="GI74" s="65">
        <f>IF(FM74=1,($C$1*$W$6),0)</f>
        <v>0</v>
      </c>
      <c r="GJ74" s="212">
        <f>FV74+GG74+GH74+GI74</f>
        <v>0</v>
      </c>
      <c r="GK74" s="49">
        <v>0</v>
      </c>
      <c r="GL74" s="59" t="s">
        <v>120</v>
      </c>
      <c r="GM74" s="28">
        <f>GN74/$AY$4</f>
        <v>0</v>
      </c>
      <c r="GN74" s="60">
        <v>0</v>
      </c>
      <c r="GO74" s="28">
        <f t="shared" ref="GO74:GO76" si="1158">GN74*GO$6</f>
        <v>0</v>
      </c>
      <c r="GP74" s="28">
        <f t="shared" ref="GP74:GP76" si="1159">GN74*GP$6</f>
        <v>0</v>
      </c>
      <c r="GQ74" s="28">
        <f t="shared" ref="GQ74:GQ76" si="1160">GN74/GQ$6</f>
        <v>0</v>
      </c>
      <c r="GR74" s="63">
        <f t="shared" ref="GR74:GR76" si="1161">GQ74/GR$6</f>
        <v>0</v>
      </c>
      <c r="GS74" s="61">
        <f t="shared" ref="GS74:GS76" si="1162">GN74/GS$6</f>
        <v>0</v>
      </c>
      <c r="GT74" s="61">
        <f t="shared" ref="GT74:GT76" si="1163">SUM(GN74:GS74)</f>
        <v>0</v>
      </c>
      <c r="GU74" s="62">
        <v>0</v>
      </c>
      <c r="GV74" s="62"/>
      <c r="GW74" s="62"/>
      <c r="GX74" s="62">
        <v>0</v>
      </c>
      <c r="GY74" s="62"/>
      <c r="GZ74" s="63">
        <f>((GM74*GZ$6)+(GM74*$BA$6)+(GM74*$BB$6))*GU74</f>
        <v>0</v>
      </c>
      <c r="HA74" s="63"/>
      <c r="HB74" s="63"/>
      <c r="HC74" s="63">
        <f>((GM74*HC$6)+(GM74*$BA$6)+(GM74*$BB$6))*GX74</f>
        <v>0</v>
      </c>
      <c r="HD74" s="63"/>
      <c r="HE74" s="61">
        <f t="shared" ref="HE74:HE76" si="1164">SUM(GZ74:HC74)</f>
        <v>0</v>
      </c>
      <c r="HF74" s="64">
        <v>0</v>
      </c>
      <c r="HG74" s="65">
        <f>IF(GK74=1,($C$1*$W$6),0)</f>
        <v>0</v>
      </c>
      <c r="HH74" s="212">
        <f>GT74+HE74+HF74+HG74</f>
        <v>0</v>
      </c>
      <c r="HI74" s="49">
        <v>0</v>
      </c>
      <c r="HJ74" s="59" t="s">
        <v>120</v>
      </c>
      <c r="HK74" s="28">
        <f>HL74/$AY$4</f>
        <v>0</v>
      </c>
      <c r="HL74" s="60">
        <v>0</v>
      </c>
      <c r="HM74" s="28">
        <f t="shared" ref="HM74:HM76" si="1165">HL74*HM$6</f>
        <v>0</v>
      </c>
      <c r="HN74" s="28">
        <f t="shared" ref="HN74:HN76" si="1166">HL74*HN$6</f>
        <v>0</v>
      </c>
      <c r="HO74" s="28">
        <f t="shared" ref="HO74:HO76" si="1167">HL74/HO$6</f>
        <v>0</v>
      </c>
      <c r="HP74" s="63">
        <f t="shared" ref="HP74:HP76" si="1168">HO74/HP$6</f>
        <v>0</v>
      </c>
      <c r="HQ74" s="61">
        <f t="shared" ref="HQ74:HQ76" si="1169">HL74/HQ$6</f>
        <v>0</v>
      </c>
      <c r="HR74" s="61">
        <f t="shared" ref="HR74:HR76" si="1170">SUM(HL74:HQ74)</f>
        <v>0</v>
      </c>
      <c r="HS74" s="62">
        <v>0</v>
      </c>
      <c r="HT74" s="62"/>
      <c r="HU74" s="62"/>
      <c r="HV74" s="62">
        <v>0</v>
      </c>
      <c r="HW74" s="62"/>
      <c r="HX74" s="63">
        <f>((HK74*HX$6)+(HK74*$BA$6)+(HK74*$BB$6))*HS74</f>
        <v>0</v>
      </c>
      <c r="HY74" s="63"/>
      <c r="HZ74" s="63"/>
      <c r="IA74" s="63">
        <f>((HK74*IA$6)+(HK74*$BA$6)+(HK74*$BB$6))*HV74</f>
        <v>0</v>
      </c>
      <c r="IB74" s="63"/>
      <c r="IC74" s="61">
        <f t="shared" ref="IC74:IC76" si="1171">SUM(HX74:IA74)</f>
        <v>0</v>
      </c>
      <c r="ID74" s="64">
        <v>0</v>
      </c>
      <c r="IE74" s="65">
        <f>IF(HI74=1,($C$1*$W$6),0)</f>
        <v>0</v>
      </c>
      <c r="IF74" s="212">
        <f>HR74+IC74+ID74+IE74</f>
        <v>0</v>
      </c>
      <c r="IG74" s="49">
        <v>0</v>
      </c>
      <c r="IH74" s="59" t="s">
        <v>120</v>
      </c>
      <c r="II74" s="28">
        <f>IJ74/$AY$4</f>
        <v>0</v>
      </c>
      <c r="IJ74" s="60">
        <v>0</v>
      </c>
      <c r="IK74" s="28">
        <f>IJ74*IK$6</f>
        <v>0</v>
      </c>
      <c r="IL74" s="28">
        <f>IJ74*IL$6</f>
        <v>0</v>
      </c>
      <c r="IM74" s="28">
        <f>IJ74/IM$6</f>
        <v>0</v>
      </c>
      <c r="IN74" s="63">
        <f>IM74/IN$6</f>
        <v>0</v>
      </c>
      <c r="IO74" s="61">
        <f>IJ74/IO$6</f>
        <v>0</v>
      </c>
      <c r="IP74" s="61">
        <f t="shared" ref="IP74:IP76" si="1172">SUM(IJ74:IO74)</f>
        <v>0</v>
      </c>
      <c r="IQ74" s="62">
        <v>0</v>
      </c>
      <c r="IR74" s="62"/>
      <c r="IS74" s="62"/>
      <c r="IT74" s="62">
        <v>0</v>
      </c>
      <c r="IU74" s="62"/>
      <c r="IV74" s="63">
        <f>((II74*IV$6)+(II74*$BA$6)+(II74*$BB$6))*IQ74</f>
        <v>0</v>
      </c>
      <c r="IW74" s="63"/>
      <c r="IX74" s="63"/>
      <c r="IY74" s="63">
        <f>((II74*IY$6)+(II74*$BA$6)+(II74*$BB$6))*IT74</f>
        <v>0</v>
      </c>
      <c r="IZ74" s="63"/>
      <c r="JA74" s="61">
        <f t="shared" ref="JA74:JA76" si="1173">SUM(IV74:IY74)</f>
        <v>0</v>
      </c>
      <c r="JB74" s="64">
        <v>0</v>
      </c>
      <c r="JC74" s="65">
        <f>IF(IG74=1,($C$1*$W$6),0)</f>
        <v>0</v>
      </c>
      <c r="JD74" s="476">
        <f>IP74+JA74+JB74+JC74</f>
        <v>0</v>
      </c>
      <c r="JE74" s="49">
        <v>0</v>
      </c>
      <c r="JF74" s="59" t="s">
        <v>120</v>
      </c>
      <c r="JG74" s="28">
        <f>JH74/$AY$4</f>
        <v>0</v>
      </c>
      <c r="JH74" s="60">
        <v>0</v>
      </c>
      <c r="JI74" s="28">
        <f>JH74*JI$6</f>
        <v>0</v>
      </c>
      <c r="JJ74" s="28">
        <f>JH74*JJ$6</f>
        <v>0</v>
      </c>
      <c r="JK74" s="28">
        <f>JH74/JK$6</f>
        <v>0</v>
      </c>
      <c r="JL74" s="63">
        <f>JK74/JL$6</f>
        <v>0</v>
      </c>
      <c r="JM74" s="61">
        <f>JH74/JM$6</f>
        <v>0</v>
      </c>
      <c r="JN74" s="61">
        <f t="shared" ref="JN74:JN76" si="1174">SUM(JH74:JM74)</f>
        <v>0</v>
      </c>
      <c r="JO74" s="62">
        <v>0</v>
      </c>
      <c r="JP74" s="62"/>
      <c r="JQ74" s="62"/>
      <c r="JR74" s="62">
        <v>0</v>
      </c>
      <c r="JS74" s="62"/>
      <c r="JT74" s="63">
        <f>((JG74*JT$6)+(JG74*$BA$6)+(JG74*$BB$6))*JO74</f>
        <v>0</v>
      </c>
      <c r="JU74" s="63"/>
      <c r="JV74" s="63"/>
      <c r="JW74" s="63">
        <f>((JG74*JW$6)+(JG74*$BA$6)+(JG74*$BB$6))*JR74</f>
        <v>0</v>
      </c>
      <c r="JX74" s="63"/>
      <c r="JY74" s="61">
        <f t="shared" ref="JY74:JY76" si="1175">SUM(JT74:JW74)</f>
        <v>0</v>
      </c>
      <c r="JZ74" s="64">
        <v>0</v>
      </c>
      <c r="KA74" s="65">
        <f>IF(JE74=1,($C$1*$W$6),0)</f>
        <v>0</v>
      </c>
      <c r="KB74" s="476">
        <f>JN74+JY74+JZ74+KA74</f>
        <v>0</v>
      </c>
      <c r="KC74" s="37"/>
      <c r="KD74" s="37"/>
      <c r="KE74" s="37"/>
      <c r="KF74" s="37"/>
      <c r="KG74" s="37"/>
      <c r="KH74" s="37"/>
      <c r="KI74" s="37"/>
      <c r="KJ74" s="37"/>
    </row>
    <row r="75" spans="1:296" ht="14.4" hidden="1" customHeight="1" x14ac:dyDescent="0.3">
      <c r="A75" s="49">
        <v>0</v>
      </c>
      <c r="B75" s="59" t="s">
        <v>120</v>
      </c>
      <c r="C75" s="28">
        <f>D75/$AY$4</f>
        <v>0</v>
      </c>
      <c r="D75" s="60">
        <v>0</v>
      </c>
      <c r="E75" s="28">
        <f t="shared" si="1102"/>
        <v>0</v>
      </c>
      <c r="F75" s="28">
        <f t="shared" si="1103"/>
        <v>0</v>
      </c>
      <c r="G75" s="28">
        <f t="shared" si="1104"/>
        <v>0</v>
      </c>
      <c r="H75" s="63">
        <f t="shared" si="1105"/>
        <v>0</v>
      </c>
      <c r="I75" s="61">
        <f t="shared" si="1106"/>
        <v>0</v>
      </c>
      <c r="J75" s="61">
        <f t="shared" si="1107"/>
        <v>0</v>
      </c>
      <c r="K75" s="62">
        <v>0</v>
      </c>
      <c r="L75" s="62"/>
      <c r="M75" s="62"/>
      <c r="N75" s="62">
        <v>0</v>
      </c>
      <c r="O75" s="62"/>
      <c r="P75" s="63">
        <f>((C75*P$6)+(C75*$BA$6)+(C75*$BB$6))*K75</f>
        <v>0</v>
      </c>
      <c r="Q75" s="63"/>
      <c r="R75" s="63"/>
      <c r="S75" s="63">
        <f>((C75*S$6)+(C75*$BA$6)+(C75*$BB$6))*N75</f>
        <v>0</v>
      </c>
      <c r="T75" s="63"/>
      <c r="U75" s="61">
        <f t="shared" si="1108"/>
        <v>0</v>
      </c>
      <c r="V75" s="64">
        <v>0</v>
      </c>
      <c r="W75" s="65">
        <f>IF(A75=1,($C$1*$W$6),0)</f>
        <v>0</v>
      </c>
      <c r="X75" s="212">
        <f>J75+U75+V75+W75</f>
        <v>0</v>
      </c>
      <c r="Y75" s="49">
        <v>0</v>
      </c>
      <c r="Z75" s="59" t="s">
        <v>120</v>
      </c>
      <c r="AA75" s="28">
        <f>AB75/$AY$4</f>
        <v>0</v>
      </c>
      <c r="AB75" s="60">
        <v>0</v>
      </c>
      <c r="AC75" s="28">
        <f t="shared" si="1109"/>
        <v>0</v>
      </c>
      <c r="AD75" s="28">
        <f t="shared" si="1110"/>
        <v>0</v>
      </c>
      <c r="AE75" s="28">
        <f t="shared" si="1111"/>
        <v>0</v>
      </c>
      <c r="AF75" s="63">
        <f t="shared" si="1112"/>
        <v>0</v>
      </c>
      <c r="AG75" s="61">
        <f t="shared" si="1113"/>
        <v>0</v>
      </c>
      <c r="AH75" s="61">
        <f t="shared" si="1114"/>
        <v>0</v>
      </c>
      <c r="AI75" s="62">
        <v>0</v>
      </c>
      <c r="AJ75" s="62"/>
      <c r="AK75" s="62"/>
      <c r="AL75" s="62">
        <v>0</v>
      </c>
      <c r="AM75" s="62"/>
      <c r="AN75" s="63">
        <f>((AA75*AN$6)+(AA75*$BA$6)+(AA75*$BB$6))*AI75</f>
        <v>0</v>
      </c>
      <c r="AO75" s="63"/>
      <c r="AP75" s="63"/>
      <c r="AQ75" s="63">
        <f>((AA75*AQ$6)+(AA75*$BA$6)+(AA75*$BB$6))*AL75</f>
        <v>0</v>
      </c>
      <c r="AR75" s="63"/>
      <c r="AS75" s="61">
        <f t="shared" si="1115"/>
        <v>0</v>
      </c>
      <c r="AT75" s="64">
        <v>0</v>
      </c>
      <c r="AU75" s="65">
        <f>IF(Y75=1,($C$1*$W$6),0)</f>
        <v>0</v>
      </c>
      <c r="AV75" s="212">
        <f>AH75+AS75+AT75+AU75</f>
        <v>0</v>
      </c>
      <c r="AW75" s="49">
        <v>0</v>
      </c>
      <c r="AX75" s="59" t="s">
        <v>120</v>
      </c>
      <c r="AY75" s="28">
        <f>AZ75/$AY$4</f>
        <v>0</v>
      </c>
      <c r="AZ75" s="60">
        <v>0</v>
      </c>
      <c r="BA75" s="28">
        <f t="shared" si="1116"/>
        <v>0</v>
      </c>
      <c r="BB75" s="28">
        <f t="shared" si="1117"/>
        <v>0</v>
      </c>
      <c r="BC75" s="28">
        <f t="shared" si="1118"/>
        <v>0</v>
      </c>
      <c r="BD75" s="63">
        <f t="shared" si="1119"/>
        <v>0</v>
      </c>
      <c r="BE75" s="61">
        <f t="shared" si="1120"/>
        <v>0</v>
      </c>
      <c r="BF75" s="61">
        <f t="shared" si="1121"/>
        <v>0</v>
      </c>
      <c r="BG75" s="62">
        <v>0</v>
      </c>
      <c r="BH75" s="62"/>
      <c r="BI75" s="62"/>
      <c r="BJ75" s="62">
        <v>0</v>
      </c>
      <c r="BK75" s="62"/>
      <c r="BL75" s="63">
        <f>((AY75*BL$6)+(AY75*$BA$6)+(AY75*$BB$6))*BG75</f>
        <v>0</v>
      </c>
      <c r="BM75" s="63"/>
      <c r="BN75" s="63"/>
      <c r="BO75" s="63">
        <f>((AY75*BO$6)+(AY75*$BA$6)+(AY75*$BB$6))*BJ75</f>
        <v>0</v>
      </c>
      <c r="BP75" s="63"/>
      <c r="BQ75" s="61">
        <f t="shared" si="1122"/>
        <v>0</v>
      </c>
      <c r="BR75" s="64">
        <v>0</v>
      </c>
      <c r="BS75" s="65">
        <f>IF(AW75=1,($C$1*$W$6),0)</f>
        <v>0</v>
      </c>
      <c r="BT75" s="212">
        <f>BF75+BQ75+BR75+BS75</f>
        <v>0</v>
      </c>
      <c r="BU75" s="49">
        <v>0</v>
      </c>
      <c r="BV75" s="59" t="s">
        <v>120</v>
      </c>
      <c r="BW75" s="28">
        <f>BX75/$AY$4</f>
        <v>0</v>
      </c>
      <c r="BX75" s="60">
        <v>0</v>
      </c>
      <c r="BY75" s="28">
        <f t="shared" si="1123"/>
        <v>0</v>
      </c>
      <c r="BZ75" s="28">
        <f t="shared" si="1124"/>
        <v>0</v>
      </c>
      <c r="CA75" s="28">
        <f t="shared" si="1125"/>
        <v>0</v>
      </c>
      <c r="CB75" s="63">
        <f t="shared" si="1126"/>
        <v>0</v>
      </c>
      <c r="CC75" s="61">
        <f t="shared" si="1127"/>
        <v>0</v>
      </c>
      <c r="CD75" s="61">
        <f t="shared" si="1128"/>
        <v>0</v>
      </c>
      <c r="CE75" s="62">
        <v>0</v>
      </c>
      <c r="CF75" s="62"/>
      <c r="CG75" s="62"/>
      <c r="CH75" s="62">
        <v>0</v>
      </c>
      <c r="CI75" s="62"/>
      <c r="CJ75" s="63">
        <f>((BW75*CJ$6)+(BW75*$BA$6)+(BW75*$BB$6))*CE75</f>
        <v>0</v>
      </c>
      <c r="CK75" s="63"/>
      <c r="CL75" s="63"/>
      <c r="CM75" s="63">
        <f>((BW75*CM$6)+(BW75*$BA$6)+(BW75*$BB$6))*CH75</f>
        <v>0</v>
      </c>
      <c r="CN75" s="63"/>
      <c r="CO75" s="61">
        <f t="shared" si="1129"/>
        <v>0</v>
      </c>
      <c r="CP75" s="64">
        <v>0</v>
      </c>
      <c r="CQ75" s="65">
        <f>IF(BU75=1,($C$1*$W$6),0)</f>
        <v>0</v>
      </c>
      <c r="CR75" s="212">
        <f>CD75+CO75+CP75+CQ75</f>
        <v>0</v>
      </c>
      <c r="CS75" s="49">
        <v>0</v>
      </c>
      <c r="CT75" s="59" t="s">
        <v>120</v>
      </c>
      <c r="CU75" s="28">
        <f>CV75/$AY$4</f>
        <v>0</v>
      </c>
      <c r="CV75" s="60">
        <v>0</v>
      </c>
      <c r="CW75" s="28">
        <f t="shared" si="1130"/>
        <v>0</v>
      </c>
      <c r="CX75" s="28">
        <f t="shared" si="1131"/>
        <v>0</v>
      </c>
      <c r="CY75" s="28">
        <f t="shared" si="1132"/>
        <v>0</v>
      </c>
      <c r="CZ75" s="63">
        <f t="shared" si="1133"/>
        <v>0</v>
      </c>
      <c r="DA75" s="61">
        <f t="shared" si="1134"/>
        <v>0</v>
      </c>
      <c r="DB75" s="61">
        <f t="shared" si="1135"/>
        <v>0</v>
      </c>
      <c r="DC75" s="62">
        <v>0</v>
      </c>
      <c r="DD75" s="62"/>
      <c r="DE75" s="62"/>
      <c r="DF75" s="62">
        <v>0</v>
      </c>
      <c r="DG75" s="62"/>
      <c r="DH75" s="63">
        <f>((CU75*DH$6)+(CU75*$BA$6)+(CU75*$BB$6))*DC75</f>
        <v>0</v>
      </c>
      <c r="DI75" s="63"/>
      <c r="DJ75" s="63"/>
      <c r="DK75" s="63">
        <f>((CU75*DK$6)+(CU75*$BA$6)+(CU75*$BB$6))*DF75</f>
        <v>0</v>
      </c>
      <c r="DL75" s="63"/>
      <c r="DM75" s="61">
        <f t="shared" si="1136"/>
        <v>0</v>
      </c>
      <c r="DN75" s="64">
        <v>0</v>
      </c>
      <c r="DO75" s="65">
        <f>IF(CS75=1,($C$1*$W$6),0)</f>
        <v>0</v>
      </c>
      <c r="DP75" s="212">
        <f>DB75+DM75+DN75+DO75</f>
        <v>0</v>
      </c>
      <c r="DQ75" s="49">
        <v>0</v>
      </c>
      <c r="DR75" s="59" t="s">
        <v>120</v>
      </c>
      <c r="DS75" s="28">
        <f>DT75/$AY$4</f>
        <v>0</v>
      </c>
      <c r="DT75" s="60">
        <v>0</v>
      </c>
      <c r="DU75" s="28">
        <f t="shared" si="1137"/>
        <v>0</v>
      </c>
      <c r="DV75" s="28">
        <f t="shared" si="1138"/>
        <v>0</v>
      </c>
      <c r="DW75" s="28">
        <f t="shared" si="1139"/>
        <v>0</v>
      </c>
      <c r="DX75" s="63">
        <f t="shared" si="1140"/>
        <v>0</v>
      </c>
      <c r="DY75" s="61">
        <f t="shared" si="1141"/>
        <v>0</v>
      </c>
      <c r="DZ75" s="61">
        <f t="shared" si="1142"/>
        <v>0</v>
      </c>
      <c r="EA75" s="62">
        <v>0</v>
      </c>
      <c r="EB75" s="62"/>
      <c r="EC75" s="62"/>
      <c r="ED75" s="62">
        <v>0</v>
      </c>
      <c r="EE75" s="62"/>
      <c r="EF75" s="63">
        <f>((DS75*EF$6)+(DS75*$BA$6)+(DS75*$BB$6))*EA75</f>
        <v>0</v>
      </c>
      <c r="EG75" s="63"/>
      <c r="EH75" s="63"/>
      <c r="EI75" s="63">
        <f>((DS75*EI$6)+(DS75*$BA$6)+(DS75*$BB$6))*ED75</f>
        <v>0</v>
      </c>
      <c r="EJ75" s="63"/>
      <c r="EK75" s="61">
        <f t="shared" si="1143"/>
        <v>0</v>
      </c>
      <c r="EL75" s="64">
        <v>0</v>
      </c>
      <c r="EM75" s="65">
        <f>IF(DQ75=1,($C$1*$W$6),0)</f>
        <v>0</v>
      </c>
      <c r="EN75" s="212">
        <f>DZ75+EK75+EL75+EM75</f>
        <v>0</v>
      </c>
      <c r="EO75" s="49">
        <v>0</v>
      </c>
      <c r="EP75" s="59" t="s">
        <v>120</v>
      </c>
      <c r="EQ75" s="28">
        <f>ER75/$AY$4</f>
        <v>0</v>
      </c>
      <c r="ER75" s="60">
        <v>0</v>
      </c>
      <c r="ES75" s="28">
        <f t="shared" si="1144"/>
        <v>0</v>
      </c>
      <c r="ET75" s="28">
        <f t="shared" si="1145"/>
        <v>0</v>
      </c>
      <c r="EU75" s="28">
        <f t="shared" si="1146"/>
        <v>0</v>
      </c>
      <c r="EV75" s="63">
        <f t="shared" si="1147"/>
        <v>0</v>
      </c>
      <c r="EW75" s="61">
        <f t="shared" si="1148"/>
        <v>0</v>
      </c>
      <c r="EX75" s="61">
        <f t="shared" si="1149"/>
        <v>0</v>
      </c>
      <c r="EY75" s="62">
        <v>0</v>
      </c>
      <c r="EZ75" s="62"/>
      <c r="FA75" s="62"/>
      <c r="FB75" s="62">
        <v>0</v>
      </c>
      <c r="FC75" s="62"/>
      <c r="FD75" s="63">
        <f>((EQ75*FD$6)+(EQ75*$BA$6)+(EQ75*$BB$6))*EY75</f>
        <v>0</v>
      </c>
      <c r="FE75" s="63"/>
      <c r="FF75" s="63"/>
      <c r="FG75" s="63">
        <f>((EQ75*FG$6)+(EQ75*$BA$6)+(EQ75*$BB$6))*FB75</f>
        <v>0</v>
      </c>
      <c r="FH75" s="63"/>
      <c r="FI75" s="61">
        <f t="shared" si="1150"/>
        <v>0</v>
      </c>
      <c r="FJ75" s="64">
        <v>0</v>
      </c>
      <c r="FK75" s="65">
        <f>IF(EO75=1,($C$1*$W$6),0)</f>
        <v>0</v>
      </c>
      <c r="FL75" s="212">
        <f>EX75+FI75+FJ75+FK75</f>
        <v>0</v>
      </c>
      <c r="FM75" s="49">
        <v>0</v>
      </c>
      <c r="FN75" s="59" t="s">
        <v>120</v>
      </c>
      <c r="FO75" s="28">
        <f>FP75/$AY$4</f>
        <v>0</v>
      </c>
      <c r="FP75" s="60">
        <v>0</v>
      </c>
      <c r="FQ75" s="28">
        <f t="shared" si="1151"/>
        <v>0</v>
      </c>
      <c r="FR75" s="28">
        <f t="shared" si="1152"/>
        <v>0</v>
      </c>
      <c r="FS75" s="28">
        <f t="shared" si="1153"/>
        <v>0</v>
      </c>
      <c r="FT75" s="63">
        <f t="shared" si="1154"/>
        <v>0</v>
      </c>
      <c r="FU75" s="61">
        <f t="shared" si="1155"/>
        <v>0</v>
      </c>
      <c r="FV75" s="61">
        <f t="shared" si="1156"/>
        <v>0</v>
      </c>
      <c r="FW75" s="62">
        <v>0</v>
      </c>
      <c r="FX75" s="62"/>
      <c r="FY75" s="62"/>
      <c r="FZ75" s="62">
        <v>0</v>
      </c>
      <c r="GA75" s="62"/>
      <c r="GB75" s="63">
        <f>((FO75*GB$6)+(FO75*$BA$6)+(FO75*$BB$6))*FW75</f>
        <v>0</v>
      </c>
      <c r="GC75" s="63"/>
      <c r="GD75" s="63"/>
      <c r="GE75" s="63">
        <f>((FO75*GE$6)+(FO75*$BA$6)+(FO75*$BB$6))*FZ75</f>
        <v>0</v>
      </c>
      <c r="GF75" s="63"/>
      <c r="GG75" s="61">
        <f t="shared" si="1157"/>
        <v>0</v>
      </c>
      <c r="GH75" s="64">
        <v>0</v>
      </c>
      <c r="GI75" s="65">
        <f>IF(FM75=1,($C$1*$W$6),0)</f>
        <v>0</v>
      </c>
      <c r="GJ75" s="212">
        <f>FV75+GG75+GH75+GI75</f>
        <v>0</v>
      </c>
      <c r="GK75" s="49">
        <v>0</v>
      </c>
      <c r="GL75" s="59" t="s">
        <v>120</v>
      </c>
      <c r="GM75" s="28">
        <f>GN75/$AY$4</f>
        <v>0</v>
      </c>
      <c r="GN75" s="60">
        <v>0</v>
      </c>
      <c r="GO75" s="28">
        <f t="shared" si="1158"/>
        <v>0</v>
      </c>
      <c r="GP75" s="28">
        <f t="shared" si="1159"/>
        <v>0</v>
      </c>
      <c r="GQ75" s="28">
        <f t="shared" si="1160"/>
        <v>0</v>
      </c>
      <c r="GR75" s="63">
        <f t="shared" si="1161"/>
        <v>0</v>
      </c>
      <c r="GS75" s="61">
        <f t="shared" si="1162"/>
        <v>0</v>
      </c>
      <c r="GT75" s="61">
        <f t="shared" si="1163"/>
        <v>0</v>
      </c>
      <c r="GU75" s="62">
        <v>0</v>
      </c>
      <c r="GV75" s="62"/>
      <c r="GW75" s="62"/>
      <c r="GX75" s="62">
        <v>0</v>
      </c>
      <c r="GY75" s="62"/>
      <c r="GZ75" s="63">
        <f>((GM75*GZ$6)+(GM75*$BA$6)+(GM75*$BB$6))*GU75</f>
        <v>0</v>
      </c>
      <c r="HA75" s="63"/>
      <c r="HB75" s="63"/>
      <c r="HC75" s="63">
        <f>((GM75*HC$6)+(GM75*$BA$6)+(GM75*$BB$6))*GX75</f>
        <v>0</v>
      </c>
      <c r="HD75" s="63"/>
      <c r="HE75" s="61">
        <f t="shared" si="1164"/>
        <v>0</v>
      </c>
      <c r="HF75" s="64">
        <v>0</v>
      </c>
      <c r="HG75" s="65">
        <f>IF(GK75=1,($C$1*$W$6),0)</f>
        <v>0</v>
      </c>
      <c r="HH75" s="212">
        <f>GT75+HE75+HF75+HG75</f>
        <v>0</v>
      </c>
      <c r="HI75" s="49">
        <v>0</v>
      </c>
      <c r="HJ75" s="59" t="s">
        <v>120</v>
      </c>
      <c r="HK75" s="28">
        <f>HL75/$AY$4</f>
        <v>0</v>
      </c>
      <c r="HL75" s="60">
        <v>0</v>
      </c>
      <c r="HM75" s="28">
        <f t="shared" si="1165"/>
        <v>0</v>
      </c>
      <c r="HN75" s="28">
        <f t="shared" si="1166"/>
        <v>0</v>
      </c>
      <c r="HO75" s="28">
        <f t="shared" si="1167"/>
        <v>0</v>
      </c>
      <c r="HP75" s="63">
        <f t="shared" si="1168"/>
        <v>0</v>
      </c>
      <c r="HQ75" s="61">
        <f t="shared" si="1169"/>
        <v>0</v>
      </c>
      <c r="HR75" s="61">
        <f t="shared" si="1170"/>
        <v>0</v>
      </c>
      <c r="HS75" s="62">
        <v>0</v>
      </c>
      <c r="HT75" s="62"/>
      <c r="HU75" s="62"/>
      <c r="HV75" s="62">
        <v>0</v>
      </c>
      <c r="HW75" s="62"/>
      <c r="HX75" s="63">
        <f>((HK75*HX$6)+(HK75*$BA$6)+(HK75*$BB$6))*HS75</f>
        <v>0</v>
      </c>
      <c r="HY75" s="63"/>
      <c r="HZ75" s="63"/>
      <c r="IA75" s="63">
        <f>((HK75*IA$6)+(HK75*$BA$6)+(HK75*$BB$6))*HV75</f>
        <v>0</v>
      </c>
      <c r="IB75" s="63"/>
      <c r="IC75" s="61">
        <f t="shared" si="1171"/>
        <v>0</v>
      </c>
      <c r="ID75" s="64">
        <v>0</v>
      </c>
      <c r="IE75" s="65">
        <f>IF(HI75=1,($C$1*$W$6),0)</f>
        <v>0</v>
      </c>
      <c r="IF75" s="212">
        <f>HR75+IC75+ID75+IE75</f>
        <v>0</v>
      </c>
      <c r="IG75" s="49">
        <v>0</v>
      </c>
      <c r="IH75" s="59" t="s">
        <v>120</v>
      </c>
      <c r="II75" s="28">
        <f>IJ75/$AY$4</f>
        <v>0</v>
      </c>
      <c r="IJ75" s="60">
        <v>0</v>
      </c>
      <c r="IK75" s="28">
        <f>IJ75*IK$6</f>
        <v>0</v>
      </c>
      <c r="IL75" s="28">
        <f>IJ75*IL$6</f>
        <v>0</v>
      </c>
      <c r="IM75" s="28">
        <f>IJ75/IM$6</f>
        <v>0</v>
      </c>
      <c r="IN75" s="63">
        <f>IM75/IN$6</f>
        <v>0</v>
      </c>
      <c r="IO75" s="61">
        <f>IJ75/IO$6</f>
        <v>0</v>
      </c>
      <c r="IP75" s="61">
        <f t="shared" si="1172"/>
        <v>0</v>
      </c>
      <c r="IQ75" s="62">
        <v>0</v>
      </c>
      <c r="IR75" s="62"/>
      <c r="IS75" s="62"/>
      <c r="IT75" s="62">
        <v>0</v>
      </c>
      <c r="IU75" s="62"/>
      <c r="IV75" s="63">
        <f>((II75*IV$6)+(II75*$BA$6)+(II75*$BB$6))*IQ75</f>
        <v>0</v>
      </c>
      <c r="IW75" s="63"/>
      <c r="IX75" s="63"/>
      <c r="IY75" s="63">
        <f>((II75*IY$6)+(II75*$BA$6)+(II75*$BB$6))*IT75</f>
        <v>0</v>
      </c>
      <c r="IZ75" s="63"/>
      <c r="JA75" s="61">
        <f t="shared" si="1173"/>
        <v>0</v>
      </c>
      <c r="JB75" s="64">
        <v>0</v>
      </c>
      <c r="JC75" s="65">
        <f>IF(IG75=1,($C$1*$W$6),0)</f>
        <v>0</v>
      </c>
      <c r="JD75" s="476">
        <f>IP75+JA75+JB75+JC75</f>
        <v>0</v>
      </c>
      <c r="JE75" s="49">
        <v>0</v>
      </c>
      <c r="JF75" s="59" t="s">
        <v>120</v>
      </c>
      <c r="JG75" s="28">
        <f>JH75/$AY$4</f>
        <v>0</v>
      </c>
      <c r="JH75" s="60">
        <v>0</v>
      </c>
      <c r="JI75" s="28">
        <f>JH75*JI$6</f>
        <v>0</v>
      </c>
      <c r="JJ75" s="28">
        <f>JH75*JJ$6</f>
        <v>0</v>
      </c>
      <c r="JK75" s="28">
        <f>JH75/JK$6</f>
        <v>0</v>
      </c>
      <c r="JL75" s="63">
        <f>JK75/JL$6</f>
        <v>0</v>
      </c>
      <c r="JM75" s="61">
        <f>JH75/JM$6</f>
        <v>0</v>
      </c>
      <c r="JN75" s="61">
        <f t="shared" si="1174"/>
        <v>0</v>
      </c>
      <c r="JO75" s="62">
        <v>0</v>
      </c>
      <c r="JP75" s="62"/>
      <c r="JQ75" s="62"/>
      <c r="JR75" s="62">
        <v>0</v>
      </c>
      <c r="JS75" s="62"/>
      <c r="JT75" s="63">
        <f>((JG75*JT$6)+(JG75*$BA$6)+(JG75*$BB$6))*JO75</f>
        <v>0</v>
      </c>
      <c r="JU75" s="63"/>
      <c r="JV75" s="63"/>
      <c r="JW75" s="63">
        <f>((JG75*JW$6)+(JG75*$BA$6)+(JG75*$BB$6))*JR75</f>
        <v>0</v>
      </c>
      <c r="JX75" s="63"/>
      <c r="JY75" s="61">
        <f t="shared" si="1175"/>
        <v>0</v>
      </c>
      <c r="JZ75" s="64">
        <v>0</v>
      </c>
      <c r="KA75" s="65">
        <f>IF(JE75=1,($C$1*$W$6),0)</f>
        <v>0</v>
      </c>
      <c r="KB75" s="476">
        <f>JN75+JY75+JZ75+KA75</f>
        <v>0</v>
      </c>
      <c r="KC75" s="37"/>
      <c r="KD75" s="37"/>
      <c r="KE75" s="37"/>
      <c r="KF75" s="37"/>
      <c r="KG75" s="37"/>
      <c r="KH75" s="37"/>
      <c r="KI75" s="37"/>
      <c r="KJ75" s="37"/>
    </row>
    <row r="76" spans="1:296" ht="14.4" hidden="1" customHeight="1" x14ac:dyDescent="0.3">
      <c r="A76" s="49">
        <v>0</v>
      </c>
      <c r="B76" s="59"/>
      <c r="C76" s="28">
        <f>D76/$AY$4</f>
        <v>0</v>
      </c>
      <c r="D76" s="28">
        <v>0</v>
      </c>
      <c r="E76" s="28">
        <f t="shared" si="1102"/>
        <v>0</v>
      </c>
      <c r="F76" s="28">
        <f t="shared" si="1103"/>
        <v>0</v>
      </c>
      <c r="G76" s="28">
        <f t="shared" si="1104"/>
        <v>0</v>
      </c>
      <c r="H76" s="63">
        <f t="shared" si="1105"/>
        <v>0</v>
      </c>
      <c r="I76" s="61">
        <f t="shared" si="1106"/>
        <v>0</v>
      </c>
      <c r="J76" s="61">
        <f t="shared" si="1107"/>
        <v>0</v>
      </c>
      <c r="K76" s="62">
        <v>0</v>
      </c>
      <c r="L76" s="62"/>
      <c r="M76" s="62"/>
      <c r="N76" s="62">
        <v>0</v>
      </c>
      <c r="O76" s="62"/>
      <c r="P76" s="63">
        <f>((C76*P$6)+(C76*$BA$6)+(C76*$BB$6))*K76</f>
        <v>0</v>
      </c>
      <c r="Q76" s="63"/>
      <c r="R76" s="63"/>
      <c r="S76" s="63">
        <f>((C76*S$6)+(C76*$BA$6)+(C76*$BB$6))*N76</f>
        <v>0</v>
      </c>
      <c r="T76" s="63"/>
      <c r="U76" s="61">
        <f t="shared" si="1108"/>
        <v>0</v>
      </c>
      <c r="V76" s="64">
        <v>0</v>
      </c>
      <c r="W76" s="65">
        <f>IF(A76=1,($C$1*$W$6),0)</f>
        <v>0</v>
      </c>
      <c r="X76" s="212">
        <f>J76+U76+V76+W76</f>
        <v>0</v>
      </c>
      <c r="Y76" s="49">
        <v>0</v>
      </c>
      <c r="Z76" s="59"/>
      <c r="AA76" s="28">
        <f>AB76/$AY$4</f>
        <v>0</v>
      </c>
      <c r="AB76" s="28">
        <v>0</v>
      </c>
      <c r="AC76" s="28">
        <f t="shared" si="1109"/>
        <v>0</v>
      </c>
      <c r="AD76" s="28">
        <f t="shared" si="1110"/>
        <v>0</v>
      </c>
      <c r="AE76" s="28">
        <f t="shared" si="1111"/>
        <v>0</v>
      </c>
      <c r="AF76" s="63">
        <f t="shared" si="1112"/>
        <v>0</v>
      </c>
      <c r="AG76" s="61">
        <f t="shared" si="1113"/>
        <v>0</v>
      </c>
      <c r="AH76" s="61">
        <f t="shared" si="1114"/>
        <v>0</v>
      </c>
      <c r="AI76" s="62">
        <v>0</v>
      </c>
      <c r="AJ76" s="62"/>
      <c r="AK76" s="62"/>
      <c r="AL76" s="62">
        <v>0</v>
      </c>
      <c r="AM76" s="62"/>
      <c r="AN76" s="63">
        <f>((AA76*AN$6)+(AA76*$BA$6)+(AA76*$BB$6))*AI76</f>
        <v>0</v>
      </c>
      <c r="AO76" s="63"/>
      <c r="AP76" s="63"/>
      <c r="AQ76" s="63">
        <f>((AA76*AQ$6)+(AA76*$BA$6)+(AA76*$BB$6))*AL76</f>
        <v>0</v>
      </c>
      <c r="AR76" s="63"/>
      <c r="AS76" s="61">
        <f t="shared" si="1115"/>
        <v>0</v>
      </c>
      <c r="AT76" s="64">
        <v>0</v>
      </c>
      <c r="AU76" s="65">
        <f>IF(Y76=1,($C$1*$W$6),0)</f>
        <v>0</v>
      </c>
      <c r="AV76" s="212">
        <f>AH76+AS76+AT76+AU76</f>
        <v>0</v>
      </c>
      <c r="AW76" s="49">
        <v>0</v>
      </c>
      <c r="AX76" s="59"/>
      <c r="AY76" s="28">
        <f>AZ76/$AY$4</f>
        <v>0</v>
      </c>
      <c r="AZ76" s="28">
        <v>0</v>
      </c>
      <c r="BA76" s="28">
        <f t="shared" si="1116"/>
        <v>0</v>
      </c>
      <c r="BB76" s="28">
        <f t="shared" si="1117"/>
        <v>0</v>
      </c>
      <c r="BC76" s="28">
        <f t="shared" si="1118"/>
        <v>0</v>
      </c>
      <c r="BD76" s="63">
        <f t="shared" si="1119"/>
        <v>0</v>
      </c>
      <c r="BE76" s="61">
        <f t="shared" si="1120"/>
        <v>0</v>
      </c>
      <c r="BF76" s="61">
        <f t="shared" si="1121"/>
        <v>0</v>
      </c>
      <c r="BG76" s="62">
        <v>0</v>
      </c>
      <c r="BH76" s="62"/>
      <c r="BI76" s="62"/>
      <c r="BJ76" s="62">
        <v>0</v>
      </c>
      <c r="BK76" s="62"/>
      <c r="BL76" s="63">
        <f>((AY76*BL$6)+(AY76*$BA$6)+(AY76*$BB$6))*BG76</f>
        <v>0</v>
      </c>
      <c r="BM76" s="63"/>
      <c r="BN76" s="63"/>
      <c r="BO76" s="63">
        <f>((AY76*BO$6)+(AY76*$BA$6)+(AY76*$BB$6))*BJ76</f>
        <v>0</v>
      </c>
      <c r="BP76" s="63"/>
      <c r="BQ76" s="61">
        <f t="shared" si="1122"/>
        <v>0</v>
      </c>
      <c r="BR76" s="64">
        <v>0</v>
      </c>
      <c r="BS76" s="65">
        <f>IF(AW76=1,($C$1*$W$6),0)</f>
        <v>0</v>
      </c>
      <c r="BT76" s="212">
        <f>BF76+BQ76+BR76+BS76</f>
        <v>0</v>
      </c>
      <c r="BU76" s="49">
        <v>0</v>
      </c>
      <c r="BV76" s="59"/>
      <c r="BW76" s="28">
        <f>BX76/$AY$4</f>
        <v>0</v>
      </c>
      <c r="BX76" s="28">
        <v>0</v>
      </c>
      <c r="BY76" s="28">
        <f t="shared" si="1123"/>
        <v>0</v>
      </c>
      <c r="BZ76" s="28">
        <f t="shared" si="1124"/>
        <v>0</v>
      </c>
      <c r="CA76" s="28">
        <f t="shared" si="1125"/>
        <v>0</v>
      </c>
      <c r="CB76" s="63">
        <f t="shared" si="1126"/>
        <v>0</v>
      </c>
      <c r="CC76" s="61">
        <f t="shared" si="1127"/>
        <v>0</v>
      </c>
      <c r="CD76" s="61">
        <f t="shared" si="1128"/>
        <v>0</v>
      </c>
      <c r="CE76" s="62">
        <v>0</v>
      </c>
      <c r="CF76" s="62"/>
      <c r="CG76" s="62"/>
      <c r="CH76" s="62">
        <v>0</v>
      </c>
      <c r="CI76" s="62"/>
      <c r="CJ76" s="63">
        <f>((BW76*CJ$6)+(BW76*$BA$6)+(BW76*$BB$6))*CE76</f>
        <v>0</v>
      </c>
      <c r="CK76" s="63"/>
      <c r="CL76" s="63"/>
      <c r="CM76" s="63">
        <f>((BW76*CM$6)+(BW76*$BA$6)+(BW76*$BB$6))*CH76</f>
        <v>0</v>
      </c>
      <c r="CN76" s="63"/>
      <c r="CO76" s="61">
        <f t="shared" si="1129"/>
        <v>0</v>
      </c>
      <c r="CP76" s="64">
        <v>0</v>
      </c>
      <c r="CQ76" s="65">
        <f>IF(BU76=1,($C$1*$W$6),0)</f>
        <v>0</v>
      </c>
      <c r="CR76" s="212">
        <f>CD76+CO76+CP76+CQ76</f>
        <v>0</v>
      </c>
      <c r="CS76" s="49">
        <v>0</v>
      </c>
      <c r="CT76" s="59"/>
      <c r="CU76" s="28">
        <f>CV76/$AY$4</f>
        <v>0</v>
      </c>
      <c r="CV76" s="28">
        <v>0</v>
      </c>
      <c r="CW76" s="28">
        <f t="shared" si="1130"/>
        <v>0</v>
      </c>
      <c r="CX76" s="28">
        <f t="shared" si="1131"/>
        <v>0</v>
      </c>
      <c r="CY76" s="28">
        <f t="shared" si="1132"/>
        <v>0</v>
      </c>
      <c r="CZ76" s="63">
        <f t="shared" si="1133"/>
        <v>0</v>
      </c>
      <c r="DA76" s="61">
        <f t="shared" si="1134"/>
        <v>0</v>
      </c>
      <c r="DB76" s="61">
        <f t="shared" si="1135"/>
        <v>0</v>
      </c>
      <c r="DC76" s="62">
        <v>0</v>
      </c>
      <c r="DD76" s="62"/>
      <c r="DE76" s="62"/>
      <c r="DF76" s="62">
        <v>0</v>
      </c>
      <c r="DG76" s="62"/>
      <c r="DH76" s="63">
        <f>((CU76*DH$6)+(CU76*$BA$6)+(CU76*$BB$6))*DC76</f>
        <v>0</v>
      </c>
      <c r="DI76" s="63"/>
      <c r="DJ76" s="63"/>
      <c r="DK76" s="63">
        <f>((CU76*DK$6)+(CU76*$BA$6)+(CU76*$BB$6))*DF76</f>
        <v>0</v>
      </c>
      <c r="DL76" s="63"/>
      <c r="DM76" s="61">
        <f t="shared" si="1136"/>
        <v>0</v>
      </c>
      <c r="DN76" s="64">
        <v>0</v>
      </c>
      <c r="DO76" s="65">
        <f>IF(CS76=1,($C$1*$W$6),0)</f>
        <v>0</v>
      </c>
      <c r="DP76" s="212">
        <f>DB76+DM76+DN76+DO76</f>
        <v>0</v>
      </c>
      <c r="DQ76" s="49">
        <v>0</v>
      </c>
      <c r="DR76" s="59"/>
      <c r="DS76" s="28">
        <f>DT76/$AY$4</f>
        <v>0</v>
      </c>
      <c r="DT76" s="28">
        <v>0</v>
      </c>
      <c r="DU76" s="28">
        <f t="shared" si="1137"/>
        <v>0</v>
      </c>
      <c r="DV76" s="28">
        <f t="shared" si="1138"/>
        <v>0</v>
      </c>
      <c r="DW76" s="28">
        <f t="shared" si="1139"/>
        <v>0</v>
      </c>
      <c r="DX76" s="63">
        <f t="shared" si="1140"/>
        <v>0</v>
      </c>
      <c r="DY76" s="61">
        <f t="shared" si="1141"/>
        <v>0</v>
      </c>
      <c r="DZ76" s="61">
        <f t="shared" si="1142"/>
        <v>0</v>
      </c>
      <c r="EA76" s="62">
        <v>0</v>
      </c>
      <c r="EB76" s="62"/>
      <c r="EC76" s="62"/>
      <c r="ED76" s="62">
        <v>0</v>
      </c>
      <c r="EE76" s="62"/>
      <c r="EF76" s="63">
        <f>((DS76*EF$6)+(DS76*$BA$6)+(DS76*$BB$6))*EA76</f>
        <v>0</v>
      </c>
      <c r="EG76" s="63"/>
      <c r="EH76" s="63"/>
      <c r="EI76" s="63">
        <f>((DS76*EI$6)+(DS76*$BA$6)+(DS76*$BB$6))*ED76</f>
        <v>0</v>
      </c>
      <c r="EJ76" s="63"/>
      <c r="EK76" s="61">
        <f t="shared" si="1143"/>
        <v>0</v>
      </c>
      <c r="EL76" s="64">
        <v>0</v>
      </c>
      <c r="EM76" s="65">
        <f>IF(DQ76=1,($C$1*$W$6),0)</f>
        <v>0</v>
      </c>
      <c r="EN76" s="212">
        <f>DZ76+EK76+EL76+EM76</f>
        <v>0</v>
      </c>
      <c r="EO76" s="49">
        <v>0</v>
      </c>
      <c r="EP76" s="59"/>
      <c r="EQ76" s="28">
        <f>ER76/$AY$4</f>
        <v>0</v>
      </c>
      <c r="ER76" s="28">
        <v>0</v>
      </c>
      <c r="ES76" s="28">
        <f t="shared" si="1144"/>
        <v>0</v>
      </c>
      <c r="ET76" s="28">
        <f t="shared" si="1145"/>
        <v>0</v>
      </c>
      <c r="EU76" s="28">
        <f t="shared" si="1146"/>
        <v>0</v>
      </c>
      <c r="EV76" s="63">
        <f t="shared" si="1147"/>
        <v>0</v>
      </c>
      <c r="EW76" s="61">
        <f t="shared" si="1148"/>
        <v>0</v>
      </c>
      <c r="EX76" s="61">
        <f t="shared" si="1149"/>
        <v>0</v>
      </c>
      <c r="EY76" s="62">
        <v>0</v>
      </c>
      <c r="EZ76" s="62"/>
      <c r="FA76" s="62"/>
      <c r="FB76" s="62">
        <v>0</v>
      </c>
      <c r="FC76" s="62"/>
      <c r="FD76" s="63">
        <f>((EQ76*FD$6)+(EQ76*$BA$6)+(EQ76*$BB$6))*EY76</f>
        <v>0</v>
      </c>
      <c r="FE76" s="63"/>
      <c r="FF76" s="63"/>
      <c r="FG76" s="63">
        <f>((EQ76*FG$6)+(EQ76*$BA$6)+(EQ76*$BB$6))*FB76</f>
        <v>0</v>
      </c>
      <c r="FH76" s="63"/>
      <c r="FI76" s="61">
        <f t="shared" si="1150"/>
        <v>0</v>
      </c>
      <c r="FJ76" s="64">
        <v>0</v>
      </c>
      <c r="FK76" s="65">
        <f>IF(EO76=1,($C$1*$W$6),0)</f>
        <v>0</v>
      </c>
      <c r="FL76" s="212">
        <f>EX76+FI76+FJ76+FK76</f>
        <v>0</v>
      </c>
      <c r="FM76" s="49">
        <v>0</v>
      </c>
      <c r="FN76" s="59"/>
      <c r="FO76" s="28">
        <f>FP76/$AY$4</f>
        <v>0</v>
      </c>
      <c r="FP76" s="28">
        <v>0</v>
      </c>
      <c r="FQ76" s="28">
        <f t="shared" si="1151"/>
        <v>0</v>
      </c>
      <c r="FR76" s="28">
        <f t="shared" si="1152"/>
        <v>0</v>
      </c>
      <c r="FS76" s="28">
        <f t="shared" si="1153"/>
        <v>0</v>
      </c>
      <c r="FT76" s="63">
        <f t="shared" si="1154"/>
        <v>0</v>
      </c>
      <c r="FU76" s="61">
        <f t="shared" si="1155"/>
        <v>0</v>
      </c>
      <c r="FV76" s="61">
        <f t="shared" si="1156"/>
        <v>0</v>
      </c>
      <c r="FW76" s="62">
        <v>0</v>
      </c>
      <c r="FX76" s="62"/>
      <c r="FY76" s="62"/>
      <c r="FZ76" s="62">
        <v>0</v>
      </c>
      <c r="GA76" s="62"/>
      <c r="GB76" s="63">
        <f>((FO76*GB$6)+(FO76*$BA$6)+(FO76*$BB$6))*FW76</f>
        <v>0</v>
      </c>
      <c r="GC76" s="63"/>
      <c r="GD76" s="63"/>
      <c r="GE76" s="63">
        <f>((FO76*GE$6)+(FO76*$BA$6)+(FO76*$BB$6))*FZ76</f>
        <v>0</v>
      </c>
      <c r="GF76" s="63"/>
      <c r="GG76" s="61">
        <f t="shared" si="1157"/>
        <v>0</v>
      </c>
      <c r="GH76" s="64">
        <v>0</v>
      </c>
      <c r="GI76" s="65">
        <f>IF(FM76=1,($C$1*$W$6),0)</f>
        <v>0</v>
      </c>
      <c r="GJ76" s="212">
        <f>FV76+GG76+GH76+GI76</f>
        <v>0</v>
      </c>
      <c r="GK76" s="49">
        <v>0</v>
      </c>
      <c r="GL76" s="59"/>
      <c r="GM76" s="28">
        <f>GN76/$AY$4</f>
        <v>0</v>
      </c>
      <c r="GN76" s="28">
        <v>0</v>
      </c>
      <c r="GO76" s="28">
        <f t="shared" si="1158"/>
        <v>0</v>
      </c>
      <c r="GP76" s="28">
        <f t="shared" si="1159"/>
        <v>0</v>
      </c>
      <c r="GQ76" s="28">
        <f t="shared" si="1160"/>
        <v>0</v>
      </c>
      <c r="GR76" s="63">
        <f t="shared" si="1161"/>
        <v>0</v>
      </c>
      <c r="GS76" s="61">
        <f t="shared" si="1162"/>
        <v>0</v>
      </c>
      <c r="GT76" s="61">
        <f t="shared" si="1163"/>
        <v>0</v>
      </c>
      <c r="GU76" s="62">
        <v>0</v>
      </c>
      <c r="GV76" s="62"/>
      <c r="GW76" s="62"/>
      <c r="GX76" s="62">
        <v>0</v>
      </c>
      <c r="GY76" s="62"/>
      <c r="GZ76" s="63">
        <f>((GM76*GZ$6)+(GM76*$BA$6)+(GM76*$BB$6))*GU76</f>
        <v>0</v>
      </c>
      <c r="HA76" s="63"/>
      <c r="HB76" s="63"/>
      <c r="HC76" s="63">
        <f>((GM76*HC$6)+(GM76*$BA$6)+(GM76*$BB$6))*GX76</f>
        <v>0</v>
      </c>
      <c r="HD76" s="63"/>
      <c r="HE76" s="61">
        <f t="shared" si="1164"/>
        <v>0</v>
      </c>
      <c r="HF76" s="64">
        <v>0</v>
      </c>
      <c r="HG76" s="65">
        <f>IF(GK76=1,($C$1*$W$6),0)</f>
        <v>0</v>
      </c>
      <c r="HH76" s="212">
        <f>GT76+HE76+HF76+HG76</f>
        <v>0</v>
      </c>
      <c r="HI76" s="49">
        <v>0</v>
      </c>
      <c r="HJ76" s="59"/>
      <c r="HK76" s="28">
        <f>HL76/$AY$4</f>
        <v>0</v>
      </c>
      <c r="HL76" s="28">
        <v>0</v>
      </c>
      <c r="HM76" s="28">
        <f t="shared" si="1165"/>
        <v>0</v>
      </c>
      <c r="HN76" s="28">
        <f t="shared" si="1166"/>
        <v>0</v>
      </c>
      <c r="HO76" s="28">
        <f t="shared" si="1167"/>
        <v>0</v>
      </c>
      <c r="HP76" s="63">
        <f t="shared" si="1168"/>
        <v>0</v>
      </c>
      <c r="HQ76" s="61">
        <f t="shared" si="1169"/>
        <v>0</v>
      </c>
      <c r="HR76" s="61">
        <f t="shared" si="1170"/>
        <v>0</v>
      </c>
      <c r="HS76" s="62">
        <v>0</v>
      </c>
      <c r="HT76" s="62"/>
      <c r="HU76" s="62"/>
      <c r="HV76" s="62">
        <v>0</v>
      </c>
      <c r="HW76" s="62"/>
      <c r="HX76" s="63">
        <f>((HK76*HX$6)+(HK76*$BA$6)+(HK76*$BB$6))*HS76</f>
        <v>0</v>
      </c>
      <c r="HY76" s="63"/>
      <c r="HZ76" s="63"/>
      <c r="IA76" s="63">
        <f>((HK76*IA$6)+(HK76*$BA$6)+(HK76*$BB$6))*HV76</f>
        <v>0</v>
      </c>
      <c r="IB76" s="63"/>
      <c r="IC76" s="61">
        <f t="shared" si="1171"/>
        <v>0</v>
      </c>
      <c r="ID76" s="64">
        <v>0</v>
      </c>
      <c r="IE76" s="65">
        <f>IF(HI76=1,($C$1*$W$6),0)</f>
        <v>0</v>
      </c>
      <c r="IF76" s="212">
        <f>HR76+IC76+ID76+IE76</f>
        <v>0</v>
      </c>
      <c r="IG76" s="49">
        <v>0</v>
      </c>
      <c r="IH76" s="59"/>
      <c r="II76" s="28">
        <f>IJ76/$AY$4</f>
        <v>0</v>
      </c>
      <c r="IJ76" s="28">
        <v>0</v>
      </c>
      <c r="IK76" s="28">
        <f>IJ76*IK$6</f>
        <v>0</v>
      </c>
      <c r="IL76" s="28">
        <f>IJ76*IL$6</f>
        <v>0</v>
      </c>
      <c r="IM76" s="28">
        <f>IJ76/IM$6</f>
        <v>0</v>
      </c>
      <c r="IN76" s="63">
        <f>IM76/IN$6</f>
        <v>0</v>
      </c>
      <c r="IO76" s="61">
        <f>IJ76/IO$6</f>
        <v>0</v>
      </c>
      <c r="IP76" s="61">
        <f t="shared" si="1172"/>
        <v>0</v>
      </c>
      <c r="IQ76" s="62">
        <v>0</v>
      </c>
      <c r="IR76" s="62"/>
      <c r="IS76" s="62"/>
      <c r="IT76" s="62">
        <v>0</v>
      </c>
      <c r="IU76" s="62"/>
      <c r="IV76" s="63">
        <f>((II76*IV$6)+(II76*$BA$6)+(II76*$BB$6))*IQ76</f>
        <v>0</v>
      </c>
      <c r="IW76" s="63"/>
      <c r="IX76" s="63"/>
      <c r="IY76" s="63">
        <f>((II76*IY$6)+(II76*$BA$6)+(II76*$BB$6))*IT76</f>
        <v>0</v>
      </c>
      <c r="IZ76" s="63"/>
      <c r="JA76" s="61">
        <f t="shared" si="1173"/>
        <v>0</v>
      </c>
      <c r="JB76" s="64">
        <v>0</v>
      </c>
      <c r="JC76" s="65">
        <f>IF(IG76=1,($C$1*$W$6),0)</f>
        <v>0</v>
      </c>
      <c r="JD76" s="476">
        <f>IP76+JA76+JB76+JC76</f>
        <v>0</v>
      </c>
      <c r="JE76" s="49">
        <v>0</v>
      </c>
      <c r="JF76" s="59"/>
      <c r="JG76" s="28">
        <f>JH76/$AY$4</f>
        <v>0</v>
      </c>
      <c r="JH76" s="28">
        <v>0</v>
      </c>
      <c r="JI76" s="28">
        <f>JH76*JI$6</f>
        <v>0</v>
      </c>
      <c r="JJ76" s="28">
        <f>JH76*JJ$6</f>
        <v>0</v>
      </c>
      <c r="JK76" s="28">
        <f>JH76/JK$6</f>
        <v>0</v>
      </c>
      <c r="JL76" s="63">
        <f>JK76/JL$6</f>
        <v>0</v>
      </c>
      <c r="JM76" s="61">
        <f>JH76/JM$6</f>
        <v>0</v>
      </c>
      <c r="JN76" s="61">
        <f t="shared" si="1174"/>
        <v>0</v>
      </c>
      <c r="JO76" s="62">
        <v>0</v>
      </c>
      <c r="JP76" s="62"/>
      <c r="JQ76" s="62"/>
      <c r="JR76" s="62">
        <v>0</v>
      </c>
      <c r="JS76" s="62"/>
      <c r="JT76" s="63">
        <f>((JG76*JT$6)+(JG76*$BA$6)+(JG76*$BB$6))*JO76</f>
        <v>0</v>
      </c>
      <c r="JU76" s="63"/>
      <c r="JV76" s="63"/>
      <c r="JW76" s="63">
        <f>((JG76*JW$6)+(JG76*$BA$6)+(JG76*$BB$6))*JR76</f>
        <v>0</v>
      </c>
      <c r="JX76" s="63"/>
      <c r="JY76" s="61">
        <f t="shared" si="1175"/>
        <v>0</v>
      </c>
      <c r="JZ76" s="64">
        <v>0</v>
      </c>
      <c r="KA76" s="65">
        <f>IF(JE76=1,($C$1*$W$6),0)</f>
        <v>0</v>
      </c>
      <c r="KB76" s="476">
        <f>JN76+JY76+JZ76+KA76</f>
        <v>0</v>
      </c>
      <c r="KC76" s="37"/>
      <c r="KD76" s="37"/>
      <c r="KE76" s="37"/>
      <c r="KF76" s="37"/>
      <c r="KG76" s="37"/>
      <c r="KH76" s="37"/>
      <c r="KI76" s="37"/>
      <c r="KJ76" s="37"/>
    </row>
    <row r="77" spans="1:296" ht="15.6" hidden="1" customHeight="1" x14ac:dyDescent="0.3">
      <c r="A77" s="385"/>
      <c r="B77" s="383"/>
      <c r="C77" s="383"/>
      <c r="D77" s="383"/>
      <c r="E77" s="383"/>
      <c r="F77" s="383"/>
      <c r="G77" s="383"/>
      <c r="H77" s="383"/>
      <c r="I77" s="383"/>
      <c r="J77" s="383"/>
      <c r="K77" s="383"/>
      <c r="L77" s="383"/>
      <c r="M77" s="383"/>
      <c r="N77" s="383"/>
      <c r="O77" s="383"/>
      <c r="P77" s="383"/>
      <c r="Q77" s="383"/>
      <c r="R77" s="383"/>
      <c r="S77" s="383"/>
      <c r="T77" s="383"/>
      <c r="U77" s="383"/>
      <c r="V77" s="384"/>
      <c r="W77" s="214" t="s">
        <v>7</v>
      </c>
      <c r="X77" s="213">
        <f>SUM(X74:X76)</f>
        <v>0</v>
      </c>
      <c r="Y77" s="385"/>
      <c r="Z77" s="383"/>
      <c r="AA77" s="383"/>
      <c r="AB77" s="383"/>
      <c r="AC77" s="383"/>
      <c r="AD77" s="383"/>
      <c r="AE77" s="383"/>
      <c r="AF77" s="383"/>
      <c r="AG77" s="383"/>
      <c r="AH77" s="383"/>
      <c r="AI77" s="383"/>
      <c r="AJ77" s="383"/>
      <c r="AK77" s="383"/>
      <c r="AL77" s="383"/>
      <c r="AM77" s="383"/>
      <c r="AN77" s="383"/>
      <c r="AO77" s="383"/>
      <c r="AP77" s="383"/>
      <c r="AQ77" s="383"/>
      <c r="AR77" s="383"/>
      <c r="AS77" s="383"/>
      <c r="AT77" s="384"/>
      <c r="AU77" s="214" t="s">
        <v>7</v>
      </c>
      <c r="AV77" s="213">
        <f>SUM(AV74:AV76)</f>
        <v>0</v>
      </c>
      <c r="AW77" s="385"/>
      <c r="AX77" s="383"/>
      <c r="AY77" s="383"/>
      <c r="AZ77" s="383"/>
      <c r="BA77" s="383"/>
      <c r="BB77" s="383"/>
      <c r="BC77" s="383"/>
      <c r="BD77" s="383"/>
      <c r="BE77" s="383"/>
      <c r="BF77" s="383"/>
      <c r="BG77" s="383"/>
      <c r="BH77" s="383"/>
      <c r="BI77" s="383"/>
      <c r="BJ77" s="383"/>
      <c r="BK77" s="383"/>
      <c r="BL77" s="383"/>
      <c r="BM77" s="383"/>
      <c r="BN77" s="383"/>
      <c r="BO77" s="383"/>
      <c r="BP77" s="383"/>
      <c r="BQ77" s="383"/>
      <c r="BR77" s="384"/>
      <c r="BS77" s="214" t="s">
        <v>7</v>
      </c>
      <c r="BT77" s="213">
        <f>SUM(BT74:BT76)</f>
        <v>0</v>
      </c>
      <c r="BU77" s="385"/>
      <c r="BV77" s="383"/>
      <c r="BW77" s="383"/>
      <c r="BX77" s="383"/>
      <c r="BY77" s="383"/>
      <c r="BZ77" s="383"/>
      <c r="CA77" s="383"/>
      <c r="CB77" s="383"/>
      <c r="CC77" s="383"/>
      <c r="CD77" s="383"/>
      <c r="CE77" s="383"/>
      <c r="CF77" s="383"/>
      <c r="CG77" s="383"/>
      <c r="CH77" s="383"/>
      <c r="CI77" s="383"/>
      <c r="CJ77" s="383"/>
      <c r="CK77" s="383"/>
      <c r="CL77" s="383"/>
      <c r="CM77" s="383"/>
      <c r="CN77" s="383"/>
      <c r="CO77" s="383"/>
      <c r="CP77" s="384"/>
      <c r="CQ77" s="214" t="s">
        <v>7</v>
      </c>
      <c r="CR77" s="213">
        <f>SUM(CR74:CR76)</f>
        <v>0</v>
      </c>
      <c r="CS77" s="385"/>
      <c r="CT77" s="383"/>
      <c r="CU77" s="383"/>
      <c r="CV77" s="383"/>
      <c r="CW77" s="383"/>
      <c r="CX77" s="383"/>
      <c r="CY77" s="383"/>
      <c r="CZ77" s="383"/>
      <c r="DA77" s="383"/>
      <c r="DB77" s="383"/>
      <c r="DC77" s="383"/>
      <c r="DD77" s="383"/>
      <c r="DE77" s="383"/>
      <c r="DF77" s="383"/>
      <c r="DG77" s="383"/>
      <c r="DH77" s="383"/>
      <c r="DI77" s="383"/>
      <c r="DJ77" s="383"/>
      <c r="DK77" s="383"/>
      <c r="DL77" s="383"/>
      <c r="DM77" s="383"/>
      <c r="DN77" s="384"/>
      <c r="DO77" s="214" t="s">
        <v>7</v>
      </c>
      <c r="DP77" s="213">
        <f>SUM(DP74:DP76)</f>
        <v>0</v>
      </c>
      <c r="DQ77" s="385"/>
      <c r="DR77" s="383"/>
      <c r="DS77" s="383"/>
      <c r="DT77" s="383"/>
      <c r="DU77" s="383"/>
      <c r="DV77" s="383"/>
      <c r="DW77" s="383"/>
      <c r="DX77" s="383"/>
      <c r="DY77" s="383"/>
      <c r="DZ77" s="383"/>
      <c r="EA77" s="383"/>
      <c r="EB77" s="383"/>
      <c r="EC77" s="383"/>
      <c r="ED77" s="383"/>
      <c r="EE77" s="383"/>
      <c r="EF77" s="383"/>
      <c r="EG77" s="383"/>
      <c r="EH77" s="383"/>
      <c r="EI77" s="383"/>
      <c r="EJ77" s="383"/>
      <c r="EK77" s="383"/>
      <c r="EL77" s="384"/>
      <c r="EM77" s="214" t="s">
        <v>7</v>
      </c>
      <c r="EN77" s="213">
        <f>SUM(EN74:EN76)</f>
        <v>0</v>
      </c>
      <c r="EO77" s="385"/>
      <c r="EP77" s="383"/>
      <c r="EQ77" s="383"/>
      <c r="ER77" s="383"/>
      <c r="ES77" s="383"/>
      <c r="ET77" s="383"/>
      <c r="EU77" s="383"/>
      <c r="EV77" s="383"/>
      <c r="EW77" s="383"/>
      <c r="EX77" s="383"/>
      <c r="EY77" s="383"/>
      <c r="EZ77" s="383"/>
      <c r="FA77" s="383"/>
      <c r="FB77" s="383"/>
      <c r="FC77" s="383"/>
      <c r="FD77" s="383"/>
      <c r="FE77" s="383"/>
      <c r="FF77" s="383"/>
      <c r="FG77" s="383"/>
      <c r="FH77" s="383"/>
      <c r="FI77" s="383"/>
      <c r="FJ77" s="384"/>
      <c r="FK77" s="214" t="s">
        <v>7</v>
      </c>
      <c r="FL77" s="213">
        <f>SUM(FL74:FL76)</f>
        <v>0</v>
      </c>
      <c r="FM77" s="385"/>
      <c r="FN77" s="383"/>
      <c r="FO77" s="383"/>
      <c r="FP77" s="383"/>
      <c r="FQ77" s="383"/>
      <c r="FR77" s="383"/>
      <c r="FS77" s="383"/>
      <c r="FT77" s="383"/>
      <c r="FU77" s="383"/>
      <c r="FV77" s="383"/>
      <c r="FW77" s="383"/>
      <c r="FX77" s="383"/>
      <c r="FY77" s="383"/>
      <c r="FZ77" s="383"/>
      <c r="GA77" s="383"/>
      <c r="GB77" s="383"/>
      <c r="GC77" s="383"/>
      <c r="GD77" s="383"/>
      <c r="GE77" s="383"/>
      <c r="GF77" s="383"/>
      <c r="GG77" s="383"/>
      <c r="GH77" s="384"/>
      <c r="GI77" s="214" t="s">
        <v>7</v>
      </c>
      <c r="GJ77" s="213">
        <f>SUM(GJ74:GJ76)</f>
        <v>0</v>
      </c>
      <c r="GK77" s="385"/>
      <c r="GL77" s="383"/>
      <c r="GM77" s="383"/>
      <c r="GN77" s="383"/>
      <c r="GO77" s="383"/>
      <c r="GP77" s="383"/>
      <c r="GQ77" s="383"/>
      <c r="GR77" s="383"/>
      <c r="GS77" s="383"/>
      <c r="GT77" s="383"/>
      <c r="GU77" s="383"/>
      <c r="GV77" s="383"/>
      <c r="GW77" s="383"/>
      <c r="GX77" s="383"/>
      <c r="GY77" s="383"/>
      <c r="GZ77" s="383"/>
      <c r="HA77" s="383"/>
      <c r="HB77" s="383"/>
      <c r="HC77" s="383"/>
      <c r="HD77" s="383"/>
      <c r="HE77" s="383"/>
      <c r="HF77" s="384"/>
      <c r="HG77" s="214" t="s">
        <v>7</v>
      </c>
      <c r="HH77" s="213">
        <f>SUM(HH74:HH76)</f>
        <v>0</v>
      </c>
      <c r="HI77" s="385"/>
      <c r="HJ77" s="383"/>
      <c r="HK77" s="383"/>
      <c r="HL77" s="383"/>
      <c r="HM77" s="383"/>
      <c r="HN77" s="383"/>
      <c r="HO77" s="383"/>
      <c r="HP77" s="383"/>
      <c r="HQ77" s="383"/>
      <c r="HR77" s="383"/>
      <c r="HS77" s="383"/>
      <c r="HT77" s="383"/>
      <c r="HU77" s="383"/>
      <c r="HV77" s="383"/>
      <c r="HW77" s="383"/>
      <c r="HX77" s="383"/>
      <c r="HY77" s="383"/>
      <c r="HZ77" s="383"/>
      <c r="IA77" s="383"/>
      <c r="IB77" s="383"/>
      <c r="IC77" s="383"/>
      <c r="ID77" s="384"/>
      <c r="IE77" s="214" t="s">
        <v>7</v>
      </c>
      <c r="IF77" s="213">
        <f>SUM(IF74:IF76)</f>
        <v>0</v>
      </c>
      <c r="IG77" s="385"/>
      <c r="IH77" s="383"/>
      <c r="II77" s="383"/>
      <c r="IJ77" s="383"/>
      <c r="IK77" s="383"/>
      <c r="IL77" s="383"/>
      <c r="IM77" s="383"/>
      <c r="IN77" s="383"/>
      <c r="IO77" s="383"/>
      <c r="IP77" s="383"/>
      <c r="IQ77" s="383"/>
      <c r="IR77" s="383"/>
      <c r="IS77" s="383"/>
      <c r="IT77" s="383"/>
      <c r="IU77" s="383"/>
      <c r="IV77" s="383"/>
      <c r="IW77" s="383"/>
      <c r="IX77" s="383"/>
      <c r="IY77" s="383"/>
      <c r="IZ77" s="383"/>
      <c r="JA77" s="383"/>
      <c r="JB77" s="384"/>
      <c r="JC77" s="214" t="s">
        <v>7</v>
      </c>
      <c r="JD77" s="470">
        <f>SUM(JD74:JD76)</f>
        <v>0</v>
      </c>
      <c r="JE77" s="385"/>
      <c r="JF77" s="383"/>
      <c r="JG77" s="383"/>
      <c r="JH77" s="383"/>
      <c r="JI77" s="383"/>
      <c r="JJ77" s="383"/>
      <c r="JK77" s="383"/>
      <c r="JL77" s="383"/>
      <c r="JM77" s="383"/>
      <c r="JN77" s="383"/>
      <c r="JO77" s="383"/>
      <c r="JP77" s="383"/>
      <c r="JQ77" s="383"/>
      <c r="JR77" s="383"/>
      <c r="JS77" s="383"/>
      <c r="JT77" s="383"/>
      <c r="JU77" s="383"/>
      <c r="JV77" s="383"/>
      <c r="JW77" s="383"/>
      <c r="JX77" s="383"/>
      <c r="JY77" s="383"/>
      <c r="JZ77" s="384"/>
      <c r="KA77" s="214" t="s">
        <v>7</v>
      </c>
      <c r="KB77" s="470">
        <f>SUM(KB74:KB76)</f>
        <v>0</v>
      </c>
      <c r="KC77" s="37"/>
      <c r="KD77" s="37"/>
      <c r="KE77" s="37"/>
      <c r="KF77" s="37"/>
      <c r="KG77" s="37"/>
      <c r="KH77" s="37"/>
      <c r="KI77" s="37"/>
      <c r="KJ77" s="37"/>
    </row>
    <row r="78" spans="1:296" ht="28.95" customHeight="1" x14ac:dyDescent="0.3">
      <c r="A78" s="39"/>
      <c r="B78" s="50" t="s">
        <v>34</v>
      </c>
      <c r="C78" s="51" t="s">
        <v>35</v>
      </c>
      <c r="D78" s="51" t="s">
        <v>36</v>
      </c>
      <c r="E78" s="52">
        <v>0.1</v>
      </c>
      <c r="F78" s="52">
        <v>0.08</v>
      </c>
      <c r="G78" s="53" t="s">
        <v>37</v>
      </c>
      <c r="H78" s="51">
        <v>3</v>
      </c>
      <c r="I78" s="54">
        <v>12</v>
      </c>
      <c r="J78" s="55" t="s">
        <v>38</v>
      </c>
      <c r="K78" s="55">
        <v>0.5</v>
      </c>
      <c r="L78" s="55">
        <v>0.6</v>
      </c>
      <c r="M78" s="55">
        <v>0.8</v>
      </c>
      <c r="N78" s="55">
        <v>1</v>
      </c>
      <c r="O78" s="55">
        <v>1.5</v>
      </c>
      <c r="P78" s="56">
        <v>1.5</v>
      </c>
      <c r="Q78" s="56">
        <v>1.6</v>
      </c>
      <c r="R78" s="56">
        <v>1.8</v>
      </c>
      <c r="S78" s="57">
        <v>2</v>
      </c>
      <c r="T78" s="57">
        <v>2.5</v>
      </c>
      <c r="U78" s="55" t="s">
        <v>38</v>
      </c>
      <c r="V78" s="55" t="s">
        <v>38</v>
      </c>
      <c r="W78" s="55">
        <v>0.2</v>
      </c>
      <c r="X78" s="211" t="s">
        <v>38</v>
      </c>
      <c r="Y78" s="39"/>
      <c r="Z78" s="50" t="s">
        <v>34</v>
      </c>
      <c r="AA78" s="51" t="s">
        <v>35</v>
      </c>
      <c r="AB78" s="51" t="s">
        <v>36</v>
      </c>
      <c r="AC78" s="52">
        <v>0.1</v>
      </c>
      <c r="AD78" s="52">
        <v>0.08</v>
      </c>
      <c r="AE78" s="53" t="s">
        <v>37</v>
      </c>
      <c r="AF78" s="51">
        <v>3</v>
      </c>
      <c r="AG78" s="54">
        <v>12</v>
      </c>
      <c r="AH78" s="55" t="s">
        <v>38</v>
      </c>
      <c r="AI78" s="55">
        <v>0.5</v>
      </c>
      <c r="AJ78" s="55">
        <v>0.6</v>
      </c>
      <c r="AK78" s="55">
        <v>0.8</v>
      </c>
      <c r="AL78" s="55">
        <v>1</v>
      </c>
      <c r="AM78" s="55">
        <v>1.5</v>
      </c>
      <c r="AN78" s="56">
        <v>1.5</v>
      </c>
      <c r="AO78" s="56">
        <v>1.6</v>
      </c>
      <c r="AP78" s="56">
        <v>1.8</v>
      </c>
      <c r="AQ78" s="57">
        <v>2</v>
      </c>
      <c r="AR78" s="57">
        <v>2.5</v>
      </c>
      <c r="AS78" s="55" t="s">
        <v>38</v>
      </c>
      <c r="AT78" s="55" t="s">
        <v>38</v>
      </c>
      <c r="AU78" s="55">
        <v>0.2</v>
      </c>
      <c r="AV78" s="211" t="s">
        <v>38</v>
      </c>
      <c r="AW78" s="39"/>
      <c r="AX78" s="50" t="s">
        <v>34</v>
      </c>
      <c r="AY78" s="51" t="s">
        <v>35</v>
      </c>
      <c r="AZ78" s="51" t="s">
        <v>36</v>
      </c>
      <c r="BA78" s="52">
        <v>0.1</v>
      </c>
      <c r="BB78" s="52">
        <v>0.08</v>
      </c>
      <c r="BC78" s="53" t="s">
        <v>37</v>
      </c>
      <c r="BD78" s="51">
        <v>3</v>
      </c>
      <c r="BE78" s="54">
        <v>12</v>
      </c>
      <c r="BF78" s="55" t="s">
        <v>38</v>
      </c>
      <c r="BG78" s="55">
        <v>0.5</v>
      </c>
      <c r="BH78" s="55">
        <v>0.6</v>
      </c>
      <c r="BI78" s="55">
        <v>0.8</v>
      </c>
      <c r="BJ78" s="55">
        <v>1</v>
      </c>
      <c r="BK78" s="55">
        <v>1.5</v>
      </c>
      <c r="BL78" s="56">
        <v>1.5</v>
      </c>
      <c r="BM78" s="56">
        <v>1.6</v>
      </c>
      <c r="BN78" s="56">
        <v>1.8</v>
      </c>
      <c r="BO78" s="57">
        <v>2</v>
      </c>
      <c r="BP78" s="57">
        <v>2.5</v>
      </c>
      <c r="BQ78" s="55" t="s">
        <v>38</v>
      </c>
      <c r="BR78" s="55" t="s">
        <v>38</v>
      </c>
      <c r="BS78" s="55">
        <v>0.2</v>
      </c>
      <c r="BT78" s="211" t="s">
        <v>38</v>
      </c>
      <c r="BV78" s="50" t="s">
        <v>34</v>
      </c>
      <c r="BW78" s="51" t="s">
        <v>35</v>
      </c>
      <c r="BX78" s="51" t="s">
        <v>36</v>
      </c>
      <c r="BY78" s="52">
        <v>0.1</v>
      </c>
      <c r="BZ78" s="52">
        <v>0.08</v>
      </c>
      <c r="CA78" s="53" t="s">
        <v>37</v>
      </c>
      <c r="CB78" s="51">
        <v>3</v>
      </c>
      <c r="CC78" s="54">
        <v>12</v>
      </c>
      <c r="CD78" s="55" t="s">
        <v>38</v>
      </c>
      <c r="CE78" s="55">
        <v>0.5</v>
      </c>
      <c r="CF78" s="55">
        <v>0.6</v>
      </c>
      <c r="CG78" s="55">
        <v>0.8</v>
      </c>
      <c r="CH78" s="55">
        <v>1</v>
      </c>
      <c r="CI78" s="55">
        <v>1.5</v>
      </c>
      <c r="CJ78" s="56">
        <v>1.5</v>
      </c>
      <c r="CK78" s="56">
        <v>1.6</v>
      </c>
      <c r="CL78" s="56">
        <v>1.8</v>
      </c>
      <c r="CM78" s="57">
        <v>2</v>
      </c>
      <c r="CN78" s="57">
        <v>2.5</v>
      </c>
      <c r="CO78" s="55" t="s">
        <v>38</v>
      </c>
      <c r="CP78" s="55" t="s">
        <v>38</v>
      </c>
      <c r="CQ78" s="55">
        <v>0.2</v>
      </c>
      <c r="CR78" s="211" t="s">
        <v>38</v>
      </c>
      <c r="CT78" s="50" t="s">
        <v>34</v>
      </c>
      <c r="CU78" s="51" t="s">
        <v>35</v>
      </c>
      <c r="CV78" s="51" t="s">
        <v>36</v>
      </c>
      <c r="CW78" s="52">
        <v>0.1</v>
      </c>
      <c r="CX78" s="52">
        <v>0.08</v>
      </c>
      <c r="CY78" s="53" t="s">
        <v>37</v>
      </c>
      <c r="CZ78" s="51">
        <v>3</v>
      </c>
      <c r="DA78" s="54">
        <v>12</v>
      </c>
      <c r="DB78" s="55" t="s">
        <v>38</v>
      </c>
      <c r="DC78" s="55">
        <v>0.5</v>
      </c>
      <c r="DD78" s="55">
        <v>0.6</v>
      </c>
      <c r="DE78" s="55">
        <v>0.8</v>
      </c>
      <c r="DF78" s="55">
        <v>1</v>
      </c>
      <c r="DG78" s="55">
        <v>1.5</v>
      </c>
      <c r="DH78" s="56">
        <v>1.5</v>
      </c>
      <c r="DI78" s="56">
        <v>1.6</v>
      </c>
      <c r="DJ78" s="56">
        <v>1.8</v>
      </c>
      <c r="DK78" s="57">
        <v>2</v>
      </c>
      <c r="DL78" s="57">
        <v>2.5</v>
      </c>
      <c r="DM78" s="55" t="s">
        <v>38</v>
      </c>
      <c r="DN78" s="55" t="s">
        <v>38</v>
      </c>
      <c r="DO78" s="55">
        <v>0.2</v>
      </c>
      <c r="DP78" s="211" t="s">
        <v>38</v>
      </c>
      <c r="DR78" s="50" t="s">
        <v>34</v>
      </c>
      <c r="DS78" s="51" t="s">
        <v>35</v>
      </c>
      <c r="DT78" s="51" t="s">
        <v>36</v>
      </c>
      <c r="DU78" s="52">
        <v>0.1</v>
      </c>
      <c r="DV78" s="52">
        <v>0.08</v>
      </c>
      <c r="DW78" s="53" t="s">
        <v>37</v>
      </c>
      <c r="DX78" s="51">
        <v>3</v>
      </c>
      <c r="DY78" s="54">
        <v>12</v>
      </c>
      <c r="DZ78" s="55" t="s">
        <v>38</v>
      </c>
      <c r="EA78" s="55">
        <v>0.5</v>
      </c>
      <c r="EB78" s="55">
        <v>0.6</v>
      </c>
      <c r="EC78" s="55">
        <v>0.8</v>
      </c>
      <c r="ED78" s="55">
        <v>1</v>
      </c>
      <c r="EE78" s="55">
        <v>1.5</v>
      </c>
      <c r="EF78" s="56">
        <v>1.5</v>
      </c>
      <c r="EG78" s="56">
        <v>1.6</v>
      </c>
      <c r="EH78" s="56">
        <v>1.8</v>
      </c>
      <c r="EI78" s="57">
        <v>2</v>
      </c>
      <c r="EJ78" s="57">
        <v>2.5</v>
      </c>
      <c r="EK78" s="55" t="s">
        <v>38</v>
      </c>
      <c r="EL78" s="55" t="s">
        <v>38</v>
      </c>
      <c r="EM78" s="55">
        <v>0.2</v>
      </c>
      <c r="EN78" s="211" t="s">
        <v>38</v>
      </c>
      <c r="EP78" s="50" t="s">
        <v>34</v>
      </c>
      <c r="EQ78" s="51" t="s">
        <v>35</v>
      </c>
      <c r="ER78" s="51" t="s">
        <v>36</v>
      </c>
      <c r="ES78" s="52">
        <v>0.1</v>
      </c>
      <c r="ET78" s="52">
        <v>0.08</v>
      </c>
      <c r="EU78" s="53" t="s">
        <v>37</v>
      </c>
      <c r="EV78" s="51">
        <v>3</v>
      </c>
      <c r="EW78" s="54">
        <v>12</v>
      </c>
      <c r="EX78" s="55" t="s">
        <v>38</v>
      </c>
      <c r="EY78" s="55">
        <v>0.5</v>
      </c>
      <c r="EZ78" s="55">
        <v>0.6</v>
      </c>
      <c r="FA78" s="55">
        <v>0.8</v>
      </c>
      <c r="FB78" s="55">
        <v>1</v>
      </c>
      <c r="FC78" s="55">
        <v>1.5</v>
      </c>
      <c r="FD78" s="56">
        <v>1.5</v>
      </c>
      <c r="FE78" s="56">
        <v>1.6</v>
      </c>
      <c r="FF78" s="56">
        <v>1.8</v>
      </c>
      <c r="FG78" s="57">
        <v>2</v>
      </c>
      <c r="FH78" s="57">
        <v>2.5</v>
      </c>
      <c r="FI78" s="55" t="s">
        <v>38</v>
      </c>
      <c r="FJ78" s="55" t="s">
        <v>38</v>
      </c>
      <c r="FK78" s="55">
        <v>0.2</v>
      </c>
      <c r="FL78" s="211" t="s">
        <v>38</v>
      </c>
      <c r="FN78" s="50" t="s">
        <v>34</v>
      </c>
      <c r="FO78" s="51" t="s">
        <v>35</v>
      </c>
      <c r="FP78" s="51" t="s">
        <v>36</v>
      </c>
      <c r="FQ78" s="52">
        <v>0.1</v>
      </c>
      <c r="FR78" s="52">
        <v>0.08</v>
      </c>
      <c r="FS78" s="53" t="s">
        <v>37</v>
      </c>
      <c r="FT78" s="51">
        <v>3</v>
      </c>
      <c r="FU78" s="54">
        <v>12</v>
      </c>
      <c r="FV78" s="55" t="s">
        <v>38</v>
      </c>
      <c r="FW78" s="55">
        <v>0.5</v>
      </c>
      <c r="FX78" s="55">
        <v>0.6</v>
      </c>
      <c r="FY78" s="55">
        <v>0.8</v>
      </c>
      <c r="FZ78" s="55">
        <v>1</v>
      </c>
      <c r="GA78" s="55">
        <v>1.5</v>
      </c>
      <c r="GB78" s="56">
        <v>1.5</v>
      </c>
      <c r="GC78" s="56">
        <v>1.6</v>
      </c>
      <c r="GD78" s="56">
        <v>1.8</v>
      </c>
      <c r="GE78" s="57">
        <v>2</v>
      </c>
      <c r="GF78" s="57">
        <v>2.5</v>
      </c>
      <c r="GG78" s="55" t="s">
        <v>38</v>
      </c>
      <c r="GH78" s="55" t="s">
        <v>38</v>
      </c>
      <c r="GI78" s="55">
        <v>0.2</v>
      </c>
      <c r="GJ78" s="211" t="s">
        <v>38</v>
      </c>
      <c r="GL78" s="50" t="s">
        <v>34</v>
      </c>
      <c r="GM78" s="51" t="s">
        <v>35</v>
      </c>
      <c r="GN78" s="51" t="s">
        <v>36</v>
      </c>
      <c r="GO78" s="52">
        <v>0.1</v>
      </c>
      <c r="GP78" s="52">
        <v>0.08</v>
      </c>
      <c r="GQ78" s="53" t="s">
        <v>37</v>
      </c>
      <c r="GR78" s="51">
        <v>3</v>
      </c>
      <c r="GS78" s="54">
        <v>12</v>
      </c>
      <c r="GT78" s="55" t="s">
        <v>38</v>
      </c>
      <c r="GU78" s="55">
        <v>0.5</v>
      </c>
      <c r="GV78" s="55">
        <v>0.6</v>
      </c>
      <c r="GW78" s="55">
        <v>0.8</v>
      </c>
      <c r="GX78" s="55">
        <v>1</v>
      </c>
      <c r="GY78" s="55">
        <v>1.5</v>
      </c>
      <c r="GZ78" s="56">
        <v>1.5</v>
      </c>
      <c r="HA78" s="56">
        <v>1.6</v>
      </c>
      <c r="HB78" s="56">
        <v>1.8</v>
      </c>
      <c r="HC78" s="57">
        <v>2</v>
      </c>
      <c r="HD78" s="57">
        <v>2.5</v>
      </c>
      <c r="HE78" s="55" t="s">
        <v>38</v>
      </c>
      <c r="HF78" s="55" t="s">
        <v>38</v>
      </c>
      <c r="HG78" s="55">
        <v>0.2</v>
      </c>
      <c r="HH78" s="211" t="s">
        <v>38</v>
      </c>
      <c r="HJ78" s="50" t="s">
        <v>34</v>
      </c>
      <c r="HK78" s="51" t="s">
        <v>35</v>
      </c>
      <c r="HL78" s="51" t="s">
        <v>36</v>
      </c>
      <c r="HM78" s="52">
        <v>0.1</v>
      </c>
      <c r="HN78" s="52">
        <v>0.08</v>
      </c>
      <c r="HO78" s="53" t="s">
        <v>37</v>
      </c>
      <c r="HP78" s="51">
        <v>3</v>
      </c>
      <c r="HQ78" s="54">
        <v>12</v>
      </c>
      <c r="HR78" s="55" t="s">
        <v>38</v>
      </c>
      <c r="HS78" s="55">
        <v>0.5</v>
      </c>
      <c r="HT78" s="55">
        <v>0.6</v>
      </c>
      <c r="HU78" s="55">
        <v>0.8</v>
      </c>
      <c r="HV78" s="55">
        <v>1</v>
      </c>
      <c r="HW78" s="55">
        <v>1.5</v>
      </c>
      <c r="HX78" s="56">
        <v>1.5</v>
      </c>
      <c r="HY78" s="56">
        <v>1.6</v>
      </c>
      <c r="HZ78" s="56">
        <v>1.8</v>
      </c>
      <c r="IA78" s="57">
        <v>2</v>
      </c>
      <c r="IB78" s="57">
        <v>2.5</v>
      </c>
      <c r="IC78" s="55" t="s">
        <v>38</v>
      </c>
      <c r="ID78" s="55" t="s">
        <v>38</v>
      </c>
      <c r="IE78" s="55">
        <v>0.2</v>
      </c>
      <c r="IF78" s="211" t="s">
        <v>38</v>
      </c>
      <c r="IH78" s="50" t="s">
        <v>34</v>
      </c>
      <c r="II78" s="51" t="s">
        <v>35</v>
      </c>
      <c r="IJ78" s="51" t="s">
        <v>36</v>
      </c>
      <c r="IK78" s="52">
        <v>0.1</v>
      </c>
      <c r="IL78" s="52">
        <v>0.08</v>
      </c>
      <c r="IM78" s="53" t="s">
        <v>37</v>
      </c>
      <c r="IN78" s="51">
        <v>3</v>
      </c>
      <c r="IO78" s="54">
        <v>12</v>
      </c>
      <c r="IP78" s="55" t="s">
        <v>38</v>
      </c>
      <c r="IQ78" s="55">
        <v>0.5</v>
      </c>
      <c r="IR78" s="55">
        <v>0.6</v>
      </c>
      <c r="IS78" s="55">
        <v>0.8</v>
      </c>
      <c r="IT78" s="55">
        <v>1</v>
      </c>
      <c r="IU78" s="55">
        <v>1.5</v>
      </c>
      <c r="IV78" s="56">
        <v>1.5</v>
      </c>
      <c r="IW78" s="56">
        <v>1.6</v>
      </c>
      <c r="IX78" s="56">
        <v>1.8</v>
      </c>
      <c r="IY78" s="57">
        <v>2</v>
      </c>
      <c r="IZ78" s="57">
        <v>2.5</v>
      </c>
      <c r="JA78" s="55" t="s">
        <v>38</v>
      </c>
      <c r="JB78" s="55" t="s">
        <v>38</v>
      </c>
      <c r="JC78" s="55">
        <v>0.2</v>
      </c>
      <c r="JD78" s="475" t="s">
        <v>38</v>
      </c>
      <c r="JF78" s="50" t="s">
        <v>34</v>
      </c>
      <c r="JG78" s="51" t="s">
        <v>35</v>
      </c>
      <c r="JH78" s="51" t="s">
        <v>36</v>
      </c>
      <c r="JI78" s="52">
        <v>0.1</v>
      </c>
      <c r="JJ78" s="52">
        <v>0.08</v>
      </c>
      <c r="JK78" s="53" t="s">
        <v>37</v>
      </c>
      <c r="JL78" s="51">
        <v>3</v>
      </c>
      <c r="JM78" s="54">
        <v>12</v>
      </c>
      <c r="JN78" s="55" t="s">
        <v>38</v>
      </c>
      <c r="JO78" s="55">
        <v>0.5</v>
      </c>
      <c r="JP78" s="55">
        <v>0.6</v>
      </c>
      <c r="JQ78" s="55">
        <v>0.8</v>
      </c>
      <c r="JR78" s="55">
        <v>1</v>
      </c>
      <c r="JS78" s="55">
        <v>1.5</v>
      </c>
      <c r="JT78" s="56">
        <v>1.5</v>
      </c>
      <c r="JU78" s="56">
        <v>1.6</v>
      </c>
      <c r="JV78" s="56">
        <v>1.8</v>
      </c>
      <c r="JW78" s="57">
        <v>2</v>
      </c>
      <c r="JX78" s="57">
        <v>2.5</v>
      </c>
      <c r="JY78" s="55" t="s">
        <v>38</v>
      </c>
      <c r="JZ78" s="55" t="s">
        <v>38</v>
      </c>
      <c r="KA78" s="55">
        <v>0.2</v>
      </c>
      <c r="KB78" s="475" t="s">
        <v>38</v>
      </c>
      <c r="KC78" s="37"/>
      <c r="KD78" s="37"/>
      <c r="KE78" s="37"/>
      <c r="KF78" s="37"/>
      <c r="KG78" s="37"/>
      <c r="KH78" s="37"/>
      <c r="KI78" s="37"/>
      <c r="KJ78" s="37"/>
    </row>
    <row r="79" spans="1:296" ht="15.6" x14ac:dyDescent="0.3">
      <c r="A79" s="386"/>
      <c r="B79" s="387"/>
      <c r="C79" s="387"/>
      <c r="D79" s="387"/>
      <c r="E79" s="387" t="s">
        <v>209</v>
      </c>
      <c r="F79" s="387"/>
      <c r="G79" s="387"/>
      <c r="H79" s="387"/>
      <c r="I79" s="387"/>
      <c r="J79" s="387"/>
      <c r="K79" s="387"/>
      <c r="L79" s="387"/>
      <c r="M79" s="387"/>
      <c r="N79" s="387"/>
      <c r="O79" s="387"/>
      <c r="P79" s="387"/>
      <c r="Q79" s="455"/>
      <c r="R79" s="455"/>
      <c r="S79" s="387"/>
      <c r="T79" s="387"/>
      <c r="U79" s="387"/>
      <c r="V79" s="387"/>
      <c r="W79" s="387"/>
      <c r="X79" s="388"/>
      <c r="Y79" s="386"/>
      <c r="Z79" s="387"/>
      <c r="AA79" s="387"/>
      <c r="AB79" s="387"/>
      <c r="AC79" s="387" t="s">
        <v>209</v>
      </c>
      <c r="AD79" s="387"/>
      <c r="AE79" s="387"/>
      <c r="AF79" s="387"/>
      <c r="AG79" s="387"/>
      <c r="AH79" s="387"/>
      <c r="AI79" s="387"/>
      <c r="AJ79" s="387"/>
      <c r="AK79" s="387"/>
      <c r="AL79" s="387"/>
      <c r="AM79" s="387"/>
      <c r="AN79" s="387"/>
      <c r="AO79" s="455"/>
      <c r="AP79" s="455"/>
      <c r="AQ79" s="387"/>
      <c r="AR79" s="387"/>
      <c r="AS79" s="387"/>
      <c r="AT79" s="387"/>
      <c r="AU79" s="387"/>
      <c r="AV79" s="388"/>
      <c r="AW79" s="386"/>
      <c r="AX79" s="387"/>
      <c r="AY79" s="387"/>
      <c r="AZ79" s="387"/>
      <c r="BA79" s="387" t="s">
        <v>209</v>
      </c>
      <c r="BB79" s="387"/>
      <c r="BC79" s="387"/>
      <c r="BD79" s="387"/>
      <c r="BE79" s="387"/>
      <c r="BF79" s="387"/>
      <c r="BG79" s="387"/>
      <c r="BH79" s="387"/>
      <c r="BI79" s="387"/>
      <c r="BJ79" s="387"/>
      <c r="BK79" s="387"/>
      <c r="BL79" s="387"/>
      <c r="BM79" s="455"/>
      <c r="BN79" s="455"/>
      <c r="BO79" s="387"/>
      <c r="BP79" s="387"/>
      <c r="BQ79" s="387"/>
      <c r="BR79" s="387"/>
      <c r="BS79" s="387"/>
      <c r="BT79" s="388"/>
      <c r="BU79" s="386"/>
      <c r="BV79" s="387"/>
      <c r="BW79" s="387"/>
      <c r="BX79" s="387"/>
      <c r="BY79" s="387" t="s">
        <v>209</v>
      </c>
      <c r="BZ79" s="387"/>
      <c r="CA79" s="387"/>
      <c r="CB79" s="387"/>
      <c r="CC79" s="387"/>
      <c r="CD79" s="387"/>
      <c r="CE79" s="387"/>
      <c r="CF79" s="387"/>
      <c r="CG79" s="387"/>
      <c r="CH79" s="387"/>
      <c r="CI79" s="387"/>
      <c r="CJ79" s="387"/>
      <c r="CK79" s="455"/>
      <c r="CL79" s="455"/>
      <c r="CM79" s="387"/>
      <c r="CN79" s="387"/>
      <c r="CO79" s="387"/>
      <c r="CP79" s="387"/>
      <c r="CQ79" s="387"/>
      <c r="CR79" s="388"/>
      <c r="CS79" s="386"/>
      <c r="CT79" s="387"/>
      <c r="CU79" s="387"/>
      <c r="CV79" s="387"/>
      <c r="CW79" s="387" t="s">
        <v>209</v>
      </c>
      <c r="CX79" s="387"/>
      <c r="CY79" s="387"/>
      <c r="CZ79" s="387"/>
      <c r="DA79" s="387"/>
      <c r="DB79" s="387"/>
      <c r="DC79" s="387"/>
      <c r="DD79" s="387"/>
      <c r="DE79" s="387"/>
      <c r="DF79" s="387"/>
      <c r="DG79" s="387"/>
      <c r="DH79" s="387"/>
      <c r="DI79" s="455"/>
      <c r="DJ79" s="455"/>
      <c r="DK79" s="387"/>
      <c r="DL79" s="387"/>
      <c r="DM79" s="387"/>
      <c r="DN79" s="387"/>
      <c r="DO79" s="387"/>
      <c r="DP79" s="388"/>
      <c r="DQ79" s="386"/>
      <c r="DR79" s="387"/>
      <c r="DS79" s="387"/>
      <c r="DT79" s="387"/>
      <c r="DU79" s="387" t="s">
        <v>209</v>
      </c>
      <c r="DV79" s="387"/>
      <c r="DW79" s="387"/>
      <c r="DX79" s="387"/>
      <c r="DY79" s="387"/>
      <c r="DZ79" s="387"/>
      <c r="EA79" s="387"/>
      <c r="EB79" s="387"/>
      <c r="EC79" s="387"/>
      <c r="ED79" s="387"/>
      <c r="EE79" s="387"/>
      <c r="EF79" s="387"/>
      <c r="EG79" s="455"/>
      <c r="EH79" s="455"/>
      <c r="EI79" s="387"/>
      <c r="EJ79" s="387"/>
      <c r="EK79" s="387"/>
      <c r="EL79" s="387"/>
      <c r="EM79" s="387"/>
      <c r="EN79" s="388"/>
      <c r="EO79" s="386"/>
      <c r="EP79" s="387"/>
      <c r="EQ79" s="387"/>
      <c r="ER79" s="387"/>
      <c r="ES79" s="387" t="s">
        <v>209</v>
      </c>
      <c r="ET79" s="387"/>
      <c r="EU79" s="387"/>
      <c r="EV79" s="387"/>
      <c r="EW79" s="387"/>
      <c r="EX79" s="387"/>
      <c r="EY79" s="387"/>
      <c r="EZ79" s="387"/>
      <c r="FA79" s="387"/>
      <c r="FB79" s="387"/>
      <c r="FC79" s="387"/>
      <c r="FD79" s="387"/>
      <c r="FE79" s="455"/>
      <c r="FF79" s="455"/>
      <c r="FG79" s="387"/>
      <c r="FH79" s="387"/>
      <c r="FI79" s="387"/>
      <c r="FJ79" s="387"/>
      <c r="FK79" s="387"/>
      <c r="FL79" s="388"/>
      <c r="FM79" s="386"/>
      <c r="FN79" s="387"/>
      <c r="FO79" s="387"/>
      <c r="FP79" s="387"/>
      <c r="FQ79" s="387" t="s">
        <v>209</v>
      </c>
      <c r="FR79" s="387"/>
      <c r="FS79" s="387"/>
      <c r="FT79" s="387"/>
      <c r="FU79" s="387"/>
      <c r="FV79" s="387"/>
      <c r="FW79" s="387"/>
      <c r="FX79" s="387"/>
      <c r="FY79" s="387"/>
      <c r="FZ79" s="387"/>
      <c r="GA79" s="387"/>
      <c r="GB79" s="387"/>
      <c r="GC79" s="455"/>
      <c r="GD79" s="455"/>
      <c r="GE79" s="387"/>
      <c r="GF79" s="387"/>
      <c r="GG79" s="387"/>
      <c r="GH79" s="387"/>
      <c r="GI79" s="387"/>
      <c r="GJ79" s="388"/>
      <c r="GK79" s="386"/>
      <c r="GL79" s="387"/>
      <c r="GM79" s="387"/>
      <c r="GN79" s="387"/>
      <c r="GO79" s="387" t="s">
        <v>209</v>
      </c>
      <c r="GP79" s="387"/>
      <c r="GQ79" s="387"/>
      <c r="GR79" s="387"/>
      <c r="GS79" s="387"/>
      <c r="GT79" s="387"/>
      <c r="GU79" s="387"/>
      <c r="GV79" s="387"/>
      <c r="GW79" s="387"/>
      <c r="GX79" s="387"/>
      <c r="GY79" s="387"/>
      <c r="GZ79" s="387"/>
      <c r="HA79" s="455"/>
      <c r="HB79" s="455"/>
      <c r="HC79" s="387"/>
      <c r="HD79" s="387"/>
      <c r="HE79" s="387"/>
      <c r="HF79" s="387"/>
      <c r="HG79" s="387"/>
      <c r="HH79" s="388"/>
      <c r="HI79" s="386"/>
      <c r="HJ79" s="387"/>
      <c r="HK79" s="387"/>
      <c r="HL79" s="387"/>
      <c r="HM79" s="387" t="s">
        <v>209</v>
      </c>
      <c r="HN79" s="387"/>
      <c r="HO79" s="387"/>
      <c r="HP79" s="387"/>
      <c r="HQ79" s="387"/>
      <c r="HR79" s="387"/>
      <c r="HS79" s="387"/>
      <c r="HT79" s="387"/>
      <c r="HU79" s="387"/>
      <c r="HV79" s="387"/>
      <c r="HW79" s="387"/>
      <c r="HX79" s="387"/>
      <c r="HY79" s="455"/>
      <c r="HZ79" s="455"/>
      <c r="IA79" s="387"/>
      <c r="IB79" s="387"/>
      <c r="IC79" s="387"/>
      <c r="ID79" s="387"/>
      <c r="IE79" s="387"/>
      <c r="IF79" s="388"/>
      <c r="IG79" s="386"/>
      <c r="IH79" s="387"/>
      <c r="II79" s="387"/>
      <c r="IJ79" s="387"/>
      <c r="IK79" s="387" t="s">
        <v>209</v>
      </c>
      <c r="IL79" s="387"/>
      <c r="IM79" s="387"/>
      <c r="IN79" s="387"/>
      <c r="IO79" s="387"/>
      <c r="IP79" s="387"/>
      <c r="IQ79" s="387"/>
      <c r="IR79" s="387"/>
      <c r="IS79" s="387"/>
      <c r="IT79" s="387"/>
      <c r="IU79" s="387"/>
      <c r="IV79" s="387"/>
      <c r="IW79" s="455"/>
      <c r="IX79" s="455"/>
      <c r="IY79" s="387"/>
      <c r="IZ79" s="387"/>
      <c r="JA79" s="387"/>
      <c r="JB79" s="387"/>
      <c r="JC79" s="387"/>
      <c r="JD79" s="471"/>
      <c r="JE79" s="386"/>
      <c r="JF79" s="387"/>
      <c r="JG79" s="387"/>
      <c r="JH79" s="387"/>
      <c r="JI79" s="387" t="s">
        <v>209</v>
      </c>
      <c r="JJ79" s="387"/>
      <c r="JK79" s="387"/>
      <c r="JL79" s="387"/>
      <c r="JM79" s="387"/>
      <c r="JN79" s="387"/>
      <c r="JO79" s="387"/>
      <c r="JP79" s="387"/>
      <c r="JQ79" s="387"/>
      <c r="JR79" s="387"/>
      <c r="JS79" s="387"/>
      <c r="JT79" s="387"/>
      <c r="JU79" s="455"/>
      <c r="JV79" s="455"/>
      <c r="JW79" s="387"/>
      <c r="JX79" s="387"/>
      <c r="JY79" s="387"/>
      <c r="JZ79" s="387"/>
      <c r="KA79" s="387"/>
      <c r="KB79" s="471"/>
      <c r="KC79" s="37"/>
      <c r="KD79" s="37"/>
      <c r="KE79" s="37"/>
      <c r="KF79" s="37"/>
      <c r="KG79" s="37"/>
      <c r="KH79" s="37"/>
      <c r="KI79" s="37"/>
      <c r="KJ79" s="37"/>
    </row>
    <row r="80" spans="1:296" x14ac:dyDescent="0.3">
      <c r="A80" s="49">
        <v>0</v>
      </c>
      <c r="B80" s="59" t="s">
        <v>200</v>
      </c>
      <c r="C80" s="28">
        <f t="shared" ref="C80:C88" si="1176">D80/$AY$4</f>
        <v>11.674772727272726</v>
      </c>
      <c r="D80" s="60">
        <v>2568.4499999999998</v>
      </c>
      <c r="E80" s="28">
        <f>D80*E$78</f>
        <v>256.84499999999997</v>
      </c>
      <c r="F80" s="28">
        <f>D80*F$78</f>
        <v>205.476</v>
      </c>
      <c r="G80" s="28">
        <f>D80/G$78</f>
        <v>214.03749999999999</v>
      </c>
      <c r="H80" s="63">
        <f>G80/H$78</f>
        <v>71.345833333333331</v>
      </c>
      <c r="I80" s="63">
        <f>D80/I$78</f>
        <v>214.03749999999999</v>
      </c>
      <c r="J80" s="61">
        <f t="shared" ref="J80:J88" si="1177">SUM(D80:I80)</f>
        <v>3530.1918333333329</v>
      </c>
      <c r="K80" s="62"/>
      <c r="L80" s="62"/>
      <c r="M80" s="62"/>
      <c r="N80" s="62"/>
      <c r="O80" s="62"/>
      <c r="P80" s="63">
        <f>((C80*P$78)+(C80*E$78)+(C80*F$78))*K80</f>
        <v>0</v>
      </c>
      <c r="Q80" s="63">
        <f>((C80*Q$78)+(C80*E$78)+(C80*F$78))*L80</f>
        <v>0</v>
      </c>
      <c r="R80" s="63">
        <f>((C80*R$78)+(C80*E$78)+(C80*F$78))*M80</f>
        <v>0</v>
      </c>
      <c r="S80" s="63">
        <f>((C80*S$78)+(C80*E$78)+(C80*F$78))*N80</f>
        <v>0</v>
      </c>
      <c r="T80" s="63">
        <f>((C80*T$78)+(C80*E$78)+(C80*F$78))*O80</f>
        <v>0</v>
      </c>
      <c r="U80" s="61">
        <f>SUM(P80:T80)</f>
        <v>0</v>
      </c>
      <c r="V80" s="64">
        <v>600</v>
      </c>
      <c r="W80" s="65">
        <f t="shared" ref="W80:W88" si="1178">IF(A80=1,($C$1*$W$6),0)</f>
        <v>0</v>
      </c>
      <c r="X80" s="212">
        <f t="shared" ref="X80:X88" si="1179">J80+U80+V80+W80</f>
        <v>4130.1918333333324</v>
      </c>
      <c r="Y80" s="49">
        <v>0</v>
      </c>
      <c r="Z80" s="59" t="s">
        <v>200</v>
      </c>
      <c r="AA80" s="28">
        <f t="shared" ref="AA80:AA88" si="1180">AB80/$AY$4</f>
        <v>11.674772727272726</v>
      </c>
      <c r="AB80" s="60">
        <v>2568.4499999999998</v>
      </c>
      <c r="AC80" s="28">
        <f>AB80*AC$78</f>
        <v>256.84499999999997</v>
      </c>
      <c r="AD80" s="28">
        <f>AB80*AD$78</f>
        <v>205.476</v>
      </c>
      <c r="AE80" s="28">
        <f>AB80/AE$78</f>
        <v>214.03749999999999</v>
      </c>
      <c r="AF80" s="63">
        <f>AE80/AF$78</f>
        <v>71.345833333333331</v>
      </c>
      <c r="AG80" s="63">
        <f>AB80/AG$78</f>
        <v>214.03749999999999</v>
      </c>
      <c r="AH80" s="61">
        <f t="shared" ref="AH80" si="1181">SUM(AB80:AG80)</f>
        <v>3530.1918333333329</v>
      </c>
      <c r="AI80" s="62"/>
      <c r="AJ80" s="62"/>
      <c r="AK80" s="62"/>
      <c r="AL80" s="62"/>
      <c r="AM80" s="62"/>
      <c r="AN80" s="63">
        <f>((AA80*AN$78)+(AA80*AC$78)+(AA80*AD$78))*AI80</f>
        <v>0</v>
      </c>
      <c r="AO80" s="63">
        <f>((AA80*AO$78)+(AA80*AC$78)+(AA80*AD$78))*AJ80</f>
        <v>0</v>
      </c>
      <c r="AP80" s="63">
        <f>((AA80*AP$78)+(AA80*AC$78)+(AA80*AD$78))*AK80</f>
        <v>0</v>
      </c>
      <c r="AQ80" s="63">
        <f>((AA80*AQ$78)+(AA80*AC$78)+(AA80*AD$78))*AL80</f>
        <v>0</v>
      </c>
      <c r="AR80" s="63">
        <f>((AA80*AR$78)+(AA80*AC$78)+(AA80*AD$78))*AM80</f>
        <v>0</v>
      </c>
      <c r="AS80" s="61">
        <f>SUM(AN80:AR80)</f>
        <v>0</v>
      </c>
      <c r="AT80" s="64">
        <v>600</v>
      </c>
      <c r="AU80" s="65">
        <f t="shared" ref="AU80:AU88" si="1182">IF(Y80=1,($C$1*$W$6),0)</f>
        <v>0</v>
      </c>
      <c r="AV80" s="212">
        <f t="shared" ref="AV80:AV88" si="1183">AH80+AS80+AT80+AU80</f>
        <v>4130.1918333333324</v>
      </c>
      <c r="AW80" s="49">
        <v>0</v>
      </c>
      <c r="AX80" s="59" t="s">
        <v>200</v>
      </c>
      <c r="AY80" s="28">
        <f t="shared" ref="AY80:AY88" si="1184">AZ80/$AY$4</f>
        <v>11.674772727272726</v>
      </c>
      <c r="AZ80" s="60">
        <v>2568.4499999999998</v>
      </c>
      <c r="BA80" s="28">
        <f>AZ80*BA$78</f>
        <v>256.84499999999997</v>
      </c>
      <c r="BB80" s="28">
        <f>AZ80*BB$78</f>
        <v>205.476</v>
      </c>
      <c r="BC80" s="28">
        <f>AZ80/BC$78</f>
        <v>214.03749999999999</v>
      </c>
      <c r="BD80" s="63">
        <f>BC80/BD$78</f>
        <v>71.345833333333331</v>
      </c>
      <c r="BE80" s="63">
        <f>AZ80/BE$78</f>
        <v>214.03749999999999</v>
      </c>
      <c r="BF80" s="61">
        <f t="shared" ref="BF80" si="1185">SUM(AZ80:BE80)</f>
        <v>3530.1918333333329</v>
      </c>
      <c r="BG80" s="62"/>
      <c r="BH80" s="62"/>
      <c r="BI80" s="62"/>
      <c r="BJ80" s="62"/>
      <c r="BK80" s="62"/>
      <c r="BL80" s="63">
        <f>((AY80*BL$78)+(AY80*BA$78)+(AY80*BB$78))*BG80</f>
        <v>0</v>
      </c>
      <c r="BM80" s="63">
        <f>((AY80*BM$78)+(AY80*BA$78)+(AY80*BB$78))*BH80</f>
        <v>0</v>
      </c>
      <c r="BN80" s="63">
        <f>((AY80*BN$78)+(AY80*BA$78)+(AY80*BB$78))*BI80</f>
        <v>0</v>
      </c>
      <c r="BO80" s="63">
        <f>((AY80*BO$78)+(AY80*BA$78)+(AY80*BB$78))*BJ80</f>
        <v>0</v>
      </c>
      <c r="BP80" s="63">
        <f>((AY80*BP$78)+(AY80*BA$78)+(AY80*BB$78))*BK80</f>
        <v>0</v>
      </c>
      <c r="BQ80" s="61">
        <f>SUM(BL80:BP80)</f>
        <v>0</v>
      </c>
      <c r="BR80" s="64">
        <v>600</v>
      </c>
      <c r="BS80" s="65">
        <f t="shared" ref="BS80:BS88" si="1186">IF(AW80=1,($C$1*$W$6),0)</f>
        <v>0</v>
      </c>
      <c r="BT80" s="212">
        <f t="shared" ref="BT80:BT88" si="1187">BF80+BQ80+BR80+BS80</f>
        <v>4130.1918333333324</v>
      </c>
      <c r="BU80" s="49">
        <v>0</v>
      </c>
      <c r="BV80" s="59" t="s">
        <v>200</v>
      </c>
      <c r="BW80" s="28">
        <f t="shared" ref="BW80:BW88" si="1188">BX80/$AY$4</f>
        <v>11.674772727272726</v>
      </c>
      <c r="BX80" s="60">
        <v>2568.4499999999998</v>
      </c>
      <c r="BY80" s="28">
        <f>BX80*BY$78</f>
        <v>256.84499999999997</v>
      </c>
      <c r="BZ80" s="28">
        <f>BX80*BZ$78</f>
        <v>205.476</v>
      </c>
      <c r="CA80" s="28">
        <f>BX80/CA$78</f>
        <v>214.03749999999999</v>
      </c>
      <c r="CB80" s="63">
        <f>CA80/CB$78</f>
        <v>71.345833333333331</v>
      </c>
      <c r="CC80" s="63">
        <f>BX80/CC$78</f>
        <v>214.03749999999999</v>
      </c>
      <c r="CD80" s="61">
        <f t="shared" ref="CD80" si="1189">SUM(BX80:CC80)</f>
        <v>3530.1918333333329</v>
      </c>
      <c r="CE80" s="62"/>
      <c r="CF80" s="62"/>
      <c r="CG80" s="62"/>
      <c r="CH80" s="62"/>
      <c r="CI80" s="62"/>
      <c r="CJ80" s="63">
        <f>((BW80*CJ$78)+(BW80*BY$78)+(BW80*BZ$78))*CE80</f>
        <v>0</v>
      </c>
      <c r="CK80" s="63">
        <f>((BW80*CK$78)+(BW80*BY$78)+(BW80*BZ$78))*CF80</f>
        <v>0</v>
      </c>
      <c r="CL80" s="63">
        <f>((BW80*CL$78)+(BW80*BY$78)+(BW80*BZ$78))*CG80</f>
        <v>0</v>
      </c>
      <c r="CM80" s="63">
        <f>((BW80*CM$78)+(BW80*BY$78)+(BW80*BZ$78))*CH80</f>
        <v>0</v>
      </c>
      <c r="CN80" s="63">
        <f>((BW80*CN$78)+(BW80*BY$78)+(BW80*BZ$78))*CI80</f>
        <v>0</v>
      </c>
      <c r="CO80" s="61">
        <f>SUM(CJ80:CN80)</f>
        <v>0</v>
      </c>
      <c r="CP80" s="64">
        <v>600</v>
      </c>
      <c r="CQ80" s="65">
        <f t="shared" ref="CQ80:CQ88" si="1190">IF(BU80=1,($C$1*$W$6),0)</f>
        <v>0</v>
      </c>
      <c r="CR80" s="212">
        <f t="shared" ref="CR80:CR88" si="1191">CD80+CO80+CP80+CQ80</f>
        <v>4130.1918333333324</v>
      </c>
      <c r="CS80" s="49">
        <v>0</v>
      </c>
      <c r="CT80" s="59" t="s">
        <v>200</v>
      </c>
      <c r="CU80" s="28">
        <f t="shared" ref="CU80:CU88" si="1192">CV80/$AY$4</f>
        <v>11.674772727272726</v>
      </c>
      <c r="CV80" s="60">
        <v>2568.4499999999998</v>
      </c>
      <c r="CW80" s="28">
        <f>CV80*CW$78</f>
        <v>256.84499999999997</v>
      </c>
      <c r="CX80" s="28">
        <f>CV80*CX$78</f>
        <v>205.476</v>
      </c>
      <c r="CY80" s="28">
        <f>CV80/CY$78</f>
        <v>214.03749999999999</v>
      </c>
      <c r="CZ80" s="63">
        <f>CY80/CZ$78</f>
        <v>71.345833333333331</v>
      </c>
      <c r="DA80" s="63">
        <f>CV80/DA$78</f>
        <v>214.03749999999999</v>
      </c>
      <c r="DB80" s="61">
        <f t="shared" ref="DB80" si="1193">SUM(CV80:DA80)</f>
        <v>3530.1918333333329</v>
      </c>
      <c r="DC80" s="62"/>
      <c r="DD80" s="62"/>
      <c r="DE80" s="62"/>
      <c r="DF80" s="62"/>
      <c r="DG80" s="62"/>
      <c r="DH80" s="63">
        <f>((CU80*DH$78)+(CU80*CW$78)+(CU80*CX$78))*DC80</f>
        <v>0</v>
      </c>
      <c r="DI80" s="63">
        <f>((CU80*DI$78)+(CU80*CW$78)+(CU80*CX$78))*DD80</f>
        <v>0</v>
      </c>
      <c r="DJ80" s="63">
        <f>((CU80*DJ$78)+(CU80*CW$78)+(CU80*CX$78))*DE80</f>
        <v>0</v>
      </c>
      <c r="DK80" s="63">
        <f>((CU80*DK$78)+(CU80*CW$78)+(CU80*CX$78))*DF80</f>
        <v>0</v>
      </c>
      <c r="DL80" s="63">
        <f>((CU80*DL$78)+(CU80*CW$78)+(CU80*CX$78))*DG80</f>
        <v>0</v>
      </c>
      <c r="DM80" s="61">
        <f>SUM(DH80:DL80)</f>
        <v>0</v>
      </c>
      <c r="DN80" s="64">
        <v>600</v>
      </c>
      <c r="DO80" s="65">
        <f t="shared" ref="DO80:DO88" si="1194">IF(CS80=1,($C$1*$W$6),0)</f>
        <v>0</v>
      </c>
      <c r="DP80" s="212">
        <f t="shared" ref="DP80:DP88" si="1195">DB80+DM80+DN80+DO80</f>
        <v>4130.1918333333324</v>
      </c>
      <c r="DQ80" s="49">
        <v>0</v>
      </c>
      <c r="DR80" s="59" t="s">
        <v>200</v>
      </c>
      <c r="DS80" s="28">
        <f t="shared" ref="DS80:DS88" si="1196">DT80/$AY$4</f>
        <v>11.674772727272726</v>
      </c>
      <c r="DT80" s="60">
        <v>2568.4499999999998</v>
      </c>
      <c r="DU80" s="28">
        <f>DT80*DU$78</f>
        <v>256.84499999999997</v>
      </c>
      <c r="DV80" s="28">
        <f>DT80*DV$78</f>
        <v>205.476</v>
      </c>
      <c r="DW80" s="28">
        <f>DT80/DW$78</f>
        <v>214.03749999999999</v>
      </c>
      <c r="DX80" s="63">
        <f>DW80/DX$78</f>
        <v>71.345833333333331</v>
      </c>
      <c r="DY80" s="63">
        <f>DT80/DY$78</f>
        <v>214.03749999999999</v>
      </c>
      <c r="DZ80" s="61">
        <f t="shared" ref="DZ80" si="1197">SUM(DT80:DY80)</f>
        <v>3530.1918333333329</v>
      </c>
      <c r="EA80" s="62"/>
      <c r="EB80" s="62"/>
      <c r="EC80" s="62"/>
      <c r="ED80" s="62"/>
      <c r="EE80" s="62"/>
      <c r="EF80" s="63">
        <f>((DS80*EF$78)+(DS80*DU$78)+(DS80*DV$78))*EA80</f>
        <v>0</v>
      </c>
      <c r="EG80" s="63">
        <f>((DS80*EG$78)+(DS80*DU$78)+(DS80*DV$78))*EB80</f>
        <v>0</v>
      </c>
      <c r="EH80" s="63">
        <f>((DS80*EH$78)+(DS80*DU$78)+(DS80*DV$78))*EC80</f>
        <v>0</v>
      </c>
      <c r="EI80" s="63">
        <f>((DS80*EI$78)+(DS80*DU$78)+(DS80*DV$78))*ED80</f>
        <v>0</v>
      </c>
      <c r="EJ80" s="63">
        <f>((DS80*EJ$78)+(DS80*DU$78)+(DS80*DV$78))*EE80</f>
        <v>0</v>
      </c>
      <c r="EK80" s="61">
        <f>SUM(EF80:EJ80)</f>
        <v>0</v>
      </c>
      <c r="EL80" s="64">
        <v>600</v>
      </c>
      <c r="EM80" s="65">
        <f t="shared" ref="EM80:EM88" si="1198">IF(DQ80=1,($C$1*$W$6),0)</f>
        <v>0</v>
      </c>
      <c r="EN80" s="212">
        <f t="shared" ref="EN80:EN88" si="1199">DZ80+EK80+EL80+EM80</f>
        <v>4130.1918333333324</v>
      </c>
      <c r="EO80" s="49">
        <v>0</v>
      </c>
      <c r="EP80" s="59" t="s">
        <v>200</v>
      </c>
      <c r="EQ80" s="28">
        <f t="shared" ref="EQ80:EQ88" si="1200">ER80/$AY$4</f>
        <v>11.674772727272726</v>
      </c>
      <c r="ER80" s="60">
        <v>2568.4499999999998</v>
      </c>
      <c r="ES80" s="28">
        <f>ER80*ES$78</f>
        <v>256.84499999999997</v>
      </c>
      <c r="ET80" s="28">
        <f>ER80*ET$78</f>
        <v>205.476</v>
      </c>
      <c r="EU80" s="28">
        <f>ER80/EU$78</f>
        <v>214.03749999999999</v>
      </c>
      <c r="EV80" s="63">
        <f>EU80/EV$78</f>
        <v>71.345833333333331</v>
      </c>
      <c r="EW80" s="63">
        <f>ER80/EW$78</f>
        <v>214.03749999999999</v>
      </c>
      <c r="EX80" s="61">
        <f t="shared" ref="EX80" si="1201">SUM(ER80:EW80)</f>
        <v>3530.1918333333329</v>
      </c>
      <c r="EY80" s="62"/>
      <c r="EZ80" s="62"/>
      <c r="FA80" s="62"/>
      <c r="FB80" s="62"/>
      <c r="FC80" s="62"/>
      <c r="FD80" s="63">
        <f>((EQ80*FD$78)+(EQ80*ES$78)+(EQ80*ET$78))*EY80</f>
        <v>0</v>
      </c>
      <c r="FE80" s="63">
        <f>((EQ80*FE$78)+(EQ80*ES$78)+(EQ80*ET$78))*EZ80</f>
        <v>0</v>
      </c>
      <c r="FF80" s="63">
        <f>((EQ80*FF$78)+(EQ80*ES$78)+(EQ80*ET$78))*FA80</f>
        <v>0</v>
      </c>
      <c r="FG80" s="63">
        <f>((EQ80*FG$78)+(EQ80*ES$78)+(EQ80*ET$78))*FB80</f>
        <v>0</v>
      </c>
      <c r="FH80" s="63">
        <f>((EQ80*FH$78)+(EQ80*ES$78)+(EQ80*ET$78))*FC80</f>
        <v>0</v>
      </c>
      <c r="FI80" s="61">
        <f>SUM(FD80:FH80)</f>
        <v>0</v>
      </c>
      <c r="FJ80" s="64">
        <v>600</v>
      </c>
      <c r="FK80" s="65">
        <f t="shared" ref="FK80:FK88" si="1202">IF(EO80=1,($C$1*$W$6),0)</f>
        <v>0</v>
      </c>
      <c r="FL80" s="212">
        <f t="shared" ref="FL80:FL88" si="1203">EX80+FI80+FJ80+FK80</f>
        <v>4130.1918333333324</v>
      </c>
      <c r="FM80" s="49">
        <v>0</v>
      </c>
      <c r="FN80" s="59" t="s">
        <v>200</v>
      </c>
      <c r="FO80" s="28">
        <f t="shared" ref="FO80:FO88" si="1204">FP80/$AY$4</f>
        <v>11.674772727272726</v>
      </c>
      <c r="FP80" s="60">
        <v>2568.4499999999998</v>
      </c>
      <c r="FQ80" s="28">
        <f>FP80*FQ$78</f>
        <v>256.84499999999997</v>
      </c>
      <c r="FR80" s="28">
        <f>FP80*FR$78</f>
        <v>205.476</v>
      </c>
      <c r="FS80" s="28">
        <f>FP80/FS$78</f>
        <v>214.03749999999999</v>
      </c>
      <c r="FT80" s="63">
        <f>FS80/FT$78</f>
        <v>71.345833333333331</v>
      </c>
      <c r="FU80" s="63">
        <f>FP80/FU$78</f>
        <v>214.03749999999999</v>
      </c>
      <c r="FV80" s="61">
        <f t="shared" ref="FV80" si="1205">SUM(FP80:FU80)</f>
        <v>3530.1918333333329</v>
      </c>
      <c r="FW80" s="62"/>
      <c r="FX80" s="62"/>
      <c r="FY80" s="62"/>
      <c r="FZ80" s="62"/>
      <c r="GA80" s="62"/>
      <c r="GB80" s="63">
        <f>((FO80*GB$78)+(FO80*FQ$78)+(FO80*FR$78))*FW80</f>
        <v>0</v>
      </c>
      <c r="GC80" s="63">
        <f>((FO80*GC$78)+(FO80*FQ$78)+(FO80*FR$78))*FX80</f>
        <v>0</v>
      </c>
      <c r="GD80" s="63">
        <f>((FO80*GD$78)+(FO80*FQ$78)+(FO80*FR$78))*FY80</f>
        <v>0</v>
      </c>
      <c r="GE80" s="63">
        <f>((FO80*GE$78)+(FO80*FQ$78)+(FO80*FR$78))*FZ80</f>
        <v>0</v>
      </c>
      <c r="GF80" s="63">
        <f>((FO80*GF$78)+(FO80*FQ$78)+(FO80*FR$78))*GA80</f>
        <v>0</v>
      </c>
      <c r="GG80" s="61">
        <f>SUM(GB80:GF80)</f>
        <v>0</v>
      </c>
      <c r="GH80" s="64">
        <v>600</v>
      </c>
      <c r="GI80" s="65">
        <f t="shared" ref="GI80:GI88" si="1206">IF(FM80=1,($C$1*$W$6),0)</f>
        <v>0</v>
      </c>
      <c r="GJ80" s="212">
        <f t="shared" ref="GJ80:GJ88" si="1207">FV80+GG80+GH80+GI80</f>
        <v>4130.1918333333324</v>
      </c>
      <c r="GK80" s="49">
        <v>0</v>
      </c>
      <c r="GL80" s="59" t="s">
        <v>200</v>
      </c>
      <c r="GM80" s="28">
        <f t="shared" ref="GM80:GM88" si="1208">GN80/$AY$4</f>
        <v>11.674772727272726</v>
      </c>
      <c r="GN80" s="60">
        <v>2568.4499999999998</v>
      </c>
      <c r="GO80" s="28">
        <f>GN80*GO$78</f>
        <v>256.84499999999997</v>
      </c>
      <c r="GP80" s="28">
        <f>GN80*GP$78</f>
        <v>205.476</v>
      </c>
      <c r="GQ80" s="28">
        <f>GN80/GQ$78</f>
        <v>214.03749999999999</v>
      </c>
      <c r="GR80" s="63">
        <f>GQ80/GR$78</f>
        <v>71.345833333333331</v>
      </c>
      <c r="GS80" s="63">
        <f>GN80/GS$78</f>
        <v>214.03749999999999</v>
      </c>
      <c r="GT80" s="61">
        <f t="shared" ref="GT80" si="1209">SUM(GN80:GS80)</f>
        <v>3530.1918333333329</v>
      </c>
      <c r="GU80" s="62"/>
      <c r="GV80" s="62"/>
      <c r="GW80" s="62"/>
      <c r="GX80" s="62"/>
      <c r="GY80" s="62"/>
      <c r="GZ80" s="63">
        <f>((GM80*GZ$78)+(GM80*GO$78)+(GM80*GP$78))*GU80</f>
        <v>0</v>
      </c>
      <c r="HA80" s="63">
        <f>((GM80*HA$78)+(GM80*GO$78)+(GM80*GP$78))*GV80</f>
        <v>0</v>
      </c>
      <c r="HB80" s="63">
        <f>((GM80*HB$78)+(GM80*GO$78)+(GM80*GP$78))*GW80</f>
        <v>0</v>
      </c>
      <c r="HC80" s="63">
        <f>((GM80*HC$78)+(GM80*GO$78)+(GM80*GP$78))*GX80</f>
        <v>0</v>
      </c>
      <c r="HD80" s="63">
        <f>((GM80*HD$78)+(GM80*GO$78)+(GM80*GP$78))*GY80</f>
        <v>0</v>
      </c>
      <c r="HE80" s="61">
        <f>SUM(GZ80:HD80)</f>
        <v>0</v>
      </c>
      <c r="HF80" s="64">
        <v>600</v>
      </c>
      <c r="HG80" s="65">
        <f t="shared" ref="HG80:HG88" si="1210">IF(GK80=1,($C$1*$W$6),0)</f>
        <v>0</v>
      </c>
      <c r="HH80" s="212">
        <f t="shared" ref="HH80:HH88" si="1211">GT80+HE80+HF80+HG80</f>
        <v>4130.1918333333324</v>
      </c>
      <c r="HI80" s="49">
        <v>0</v>
      </c>
      <c r="HJ80" s="59" t="s">
        <v>200</v>
      </c>
      <c r="HK80" s="28">
        <f t="shared" ref="HK80:HK88" si="1212">HL80/$AY$4</f>
        <v>11.674772727272726</v>
      </c>
      <c r="HL80" s="60">
        <v>2568.4499999999998</v>
      </c>
      <c r="HM80" s="28">
        <f>HL80*HM$78</f>
        <v>256.84499999999997</v>
      </c>
      <c r="HN80" s="28">
        <f>HL80*HN$78</f>
        <v>205.476</v>
      </c>
      <c r="HO80" s="28">
        <f>HL80/HO$78</f>
        <v>214.03749999999999</v>
      </c>
      <c r="HP80" s="63">
        <f>HO80/HP$78</f>
        <v>71.345833333333331</v>
      </c>
      <c r="HQ80" s="63">
        <f>HL80/HQ$78</f>
        <v>214.03749999999999</v>
      </c>
      <c r="HR80" s="61">
        <f t="shared" ref="HR80" si="1213">SUM(HL80:HQ80)</f>
        <v>3530.1918333333329</v>
      </c>
      <c r="HS80" s="62"/>
      <c r="HT80" s="62"/>
      <c r="HU80" s="62"/>
      <c r="HV80" s="62"/>
      <c r="HW80" s="62"/>
      <c r="HX80" s="63">
        <f>((HK80*HX$78)+(HK80*HM$78)+(HK80*HN$78))*HS80</f>
        <v>0</v>
      </c>
      <c r="HY80" s="63">
        <f>((HK80*HY$78)+(HK80*HM$78)+(HK80*HN$78))*HT80</f>
        <v>0</v>
      </c>
      <c r="HZ80" s="63">
        <f>((HK80*HZ$78)+(HK80*HM$78)+(HK80*HN$78))*HU80</f>
        <v>0</v>
      </c>
      <c r="IA80" s="63">
        <f>((HK80*IA$78)+(HK80*HM$78)+(HK80*HN$78))*HV80</f>
        <v>0</v>
      </c>
      <c r="IB80" s="63">
        <f>((HK80*IB$78)+(HK80*HM$78)+(HK80*HN$78))*HW80</f>
        <v>0</v>
      </c>
      <c r="IC80" s="61">
        <f>SUM(HX80:IB80)</f>
        <v>0</v>
      </c>
      <c r="ID80" s="64">
        <v>600</v>
      </c>
      <c r="IE80" s="65">
        <f t="shared" ref="IE80:IE88" si="1214">IF(HI80=1,($C$1*$W$6),0)</f>
        <v>0</v>
      </c>
      <c r="IF80" s="212">
        <f t="shared" ref="IF80:IF88" si="1215">HR80+IC80+ID80+IE80</f>
        <v>4130.1918333333324</v>
      </c>
      <c r="IG80" s="49">
        <v>0</v>
      </c>
      <c r="IH80" s="59" t="s">
        <v>200</v>
      </c>
      <c r="II80" s="28">
        <f t="shared" ref="II80:II88" si="1216">IJ80/$AY$4</f>
        <v>11.674772727272726</v>
      </c>
      <c r="IJ80" s="60">
        <v>2568.4499999999998</v>
      </c>
      <c r="IK80" s="28">
        <f t="shared" ref="IK80:IK86" si="1217">IJ80*IK$78</f>
        <v>256.84499999999997</v>
      </c>
      <c r="IL80" s="28">
        <f t="shared" ref="IL80:IL86" si="1218">IJ80*IL$78</f>
        <v>205.476</v>
      </c>
      <c r="IM80" s="28">
        <f t="shared" ref="IM80:IM86" si="1219">IJ80/IM$78</f>
        <v>214.03749999999999</v>
      </c>
      <c r="IN80" s="63">
        <f t="shared" ref="IN80:IN86" si="1220">IM80/IN$78</f>
        <v>71.345833333333331</v>
      </c>
      <c r="IO80" s="63">
        <f t="shared" ref="IO80:IO86" si="1221">IJ80/IO$78</f>
        <v>214.03749999999999</v>
      </c>
      <c r="IP80" s="61">
        <f t="shared" ref="IP80" si="1222">SUM(IJ80:IO80)</f>
        <v>3530.1918333333329</v>
      </c>
      <c r="IQ80" s="62"/>
      <c r="IR80" s="62"/>
      <c r="IS80" s="62"/>
      <c r="IT80" s="62"/>
      <c r="IU80" s="62"/>
      <c r="IV80" s="63">
        <f t="shared" ref="IV80:IV86" si="1223">((II80*IV$78)+(II80*IK$78)+(II80*IL$78))*IQ80</f>
        <v>0</v>
      </c>
      <c r="IW80" s="63">
        <f t="shared" ref="IW80:IW86" si="1224">((II80*IW$78)+(II80*IK$78)+(II80*IL$78))*IR80</f>
        <v>0</v>
      </c>
      <c r="IX80" s="63">
        <f t="shared" ref="IX80:IX86" si="1225">((II80*IX$78)+(II80*IK$78)+(II80*IL$78))*IS80</f>
        <v>0</v>
      </c>
      <c r="IY80" s="63">
        <f t="shared" ref="IY80:IY86" si="1226">((II80*IY$78)+(II80*IK$78)+(II80*IL$78))*IT80</f>
        <v>0</v>
      </c>
      <c r="IZ80" s="63">
        <f t="shared" ref="IZ80:IZ88" si="1227">((II80*IZ$78)+(II80*IK$78)+(II80*IL$78))*IU80</f>
        <v>0</v>
      </c>
      <c r="JA80" s="61">
        <f>SUM(IV80:IZ80)</f>
        <v>0</v>
      </c>
      <c r="JB80" s="64">
        <v>600</v>
      </c>
      <c r="JC80" s="65">
        <f t="shared" ref="JC80:JC88" si="1228">IF(IG80=1,($C$1*$W$6),0)</f>
        <v>0</v>
      </c>
      <c r="JD80" s="476">
        <f t="shared" ref="JD80:JD88" si="1229">IP80+JA80+JB80+JC80</f>
        <v>4130.1918333333324</v>
      </c>
      <c r="JE80" s="49">
        <v>0</v>
      </c>
      <c r="JF80" s="59" t="s">
        <v>200</v>
      </c>
      <c r="JG80" s="28">
        <f t="shared" ref="JG80:JG88" si="1230">JH80/$AY$4</f>
        <v>11.674772727272726</v>
      </c>
      <c r="JH80" s="60">
        <v>2568.4499999999998</v>
      </c>
      <c r="JI80" s="28">
        <f t="shared" ref="JI80:JI86" si="1231">JH80*JI$78</f>
        <v>256.84499999999997</v>
      </c>
      <c r="JJ80" s="28">
        <f t="shared" ref="JJ80:JJ86" si="1232">JH80*JJ$78</f>
        <v>205.476</v>
      </c>
      <c r="JK80" s="28">
        <f t="shared" ref="JK80:JK86" si="1233">JH80/JK$78</f>
        <v>214.03749999999999</v>
      </c>
      <c r="JL80" s="63">
        <f t="shared" ref="JL80:JL86" si="1234">JK80/JL$78</f>
        <v>71.345833333333331</v>
      </c>
      <c r="JM80" s="63">
        <f t="shared" ref="JM80:JM86" si="1235">JH80/JM$78</f>
        <v>214.03749999999999</v>
      </c>
      <c r="JN80" s="61">
        <f t="shared" ref="JN80" si="1236">SUM(JH80:JM80)</f>
        <v>3530.1918333333329</v>
      </c>
      <c r="JO80" s="62"/>
      <c r="JP80" s="62"/>
      <c r="JQ80" s="62"/>
      <c r="JR80" s="62"/>
      <c r="JS80" s="62"/>
      <c r="JT80" s="63">
        <f t="shared" ref="JT80:JT86" si="1237">((JG80*JT$78)+(JG80*JI$78)+(JG80*JJ$78))*JO80</f>
        <v>0</v>
      </c>
      <c r="JU80" s="63">
        <f t="shared" ref="JU80:JU86" si="1238">((JG80*JU$78)+(JG80*JI$78)+(JG80*JJ$78))*JP80</f>
        <v>0</v>
      </c>
      <c r="JV80" s="63">
        <f t="shared" ref="JV80:JV86" si="1239">((JG80*JV$78)+(JG80*JI$78)+(JG80*JJ$78))*JQ80</f>
        <v>0</v>
      </c>
      <c r="JW80" s="63">
        <f t="shared" ref="JW80:JW86" si="1240">((JG80*JW$78)+(JG80*JI$78)+(JG80*JJ$78))*JR80</f>
        <v>0</v>
      </c>
      <c r="JX80" s="63">
        <f t="shared" ref="JX80:JX88" si="1241">((JG80*JX$78)+(JG80*JI$78)+(JG80*JJ$78))*JS80</f>
        <v>0</v>
      </c>
      <c r="JY80" s="61">
        <f>SUM(JT80:JX80)</f>
        <v>0</v>
      </c>
      <c r="JZ80" s="64">
        <v>600</v>
      </c>
      <c r="KA80" s="65">
        <f t="shared" ref="KA80:KA88" si="1242">IF(JE80=1,($C$1*$W$6),0)</f>
        <v>0</v>
      </c>
      <c r="KB80" s="476">
        <f t="shared" ref="KB80:KB88" si="1243">JN80+JY80+JZ80+KA80</f>
        <v>4130.1918333333324</v>
      </c>
      <c r="KC80" s="37"/>
      <c r="KD80" s="37"/>
      <c r="KE80" s="37"/>
      <c r="KF80" s="37"/>
      <c r="KG80" s="37"/>
      <c r="KH80" s="37"/>
      <c r="KI80" s="37"/>
      <c r="KJ80" s="37"/>
    </row>
    <row r="81" spans="1:296" x14ac:dyDescent="0.3">
      <c r="A81" s="49">
        <v>0</v>
      </c>
      <c r="B81" s="59" t="s">
        <v>201</v>
      </c>
      <c r="C81" s="28">
        <f t="shared" si="1176"/>
        <v>10</v>
      </c>
      <c r="D81" s="60">
        <v>2200</v>
      </c>
      <c r="E81" s="28">
        <f t="shared" ref="E81:E86" si="1244">D81*E$78</f>
        <v>220</v>
      </c>
      <c r="F81" s="28">
        <f t="shared" ref="F81:F86" si="1245">D81*F$78</f>
        <v>176</v>
      </c>
      <c r="G81" s="28">
        <f t="shared" ref="G81:G86" si="1246">D81/G$78</f>
        <v>183.33333333333334</v>
      </c>
      <c r="H81" s="63">
        <f t="shared" ref="H81:H86" si="1247">G81/H$78</f>
        <v>61.111111111111114</v>
      </c>
      <c r="I81" s="63">
        <f t="shared" ref="I81:I86" si="1248">D81/I$78</f>
        <v>183.33333333333334</v>
      </c>
      <c r="J81" s="61">
        <f>SUM(D81:I81)</f>
        <v>3023.7777777777783</v>
      </c>
      <c r="K81" s="62"/>
      <c r="L81" s="62"/>
      <c r="M81" s="62"/>
      <c r="N81" s="62"/>
      <c r="O81" s="62"/>
      <c r="P81" s="63">
        <f t="shared" ref="P81:P86" si="1249">((C81*P$78)+(C81*E$78)+(C81*F$78))*K81</f>
        <v>0</v>
      </c>
      <c r="Q81" s="63">
        <f t="shared" ref="Q81:Q86" si="1250">((C81*Q$78)+(C81*E$78)+(C81*F$78))*L81</f>
        <v>0</v>
      </c>
      <c r="R81" s="63">
        <f t="shared" ref="R81:R86" si="1251">((C81*R$78)+(C81*E$78)+(C81*F$78))*M81</f>
        <v>0</v>
      </c>
      <c r="S81" s="63">
        <f t="shared" ref="S81:S86" si="1252">((C81*S$78)+(C81*E$78)+(C81*F$78))*N81</f>
        <v>0</v>
      </c>
      <c r="T81" s="63">
        <f t="shared" ref="T81:T88" si="1253">((C81*T$78)+(C81*E$78)+(C81*F$78))*O81</f>
        <v>0</v>
      </c>
      <c r="U81" s="61">
        <f t="shared" ref="U81:U86" si="1254">SUM(P81:T81)</f>
        <v>0</v>
      </c>
      <c r="V81" s="64">
        <v>0</v>
      </c>
      <c r="W81" s="65">
        <f t="shared" si="1178"/>
        <v>0</v>
      </c>
      <c r="X81" s="212">
        <f t="shared" si="1179"/>
        <v>3023.7777777777783</v>
      </c>
      <c r="Y81" s="49">
        <v>0</v>
      </c>
      <c r="Z81" s="59" t="s">
        <v>201</v>
      </c>
      <c r="AA81" s="28">
        <f t="shared" si="1180"/>
        <v>10</v>
      </c>
      <c r="AB81" s="60">
        <v>2200</v>
      </c>
      <c r="AC81" s="28">
        <f t="shared" ref="AC81:AC86" si="1255">AB81*AC$78</f>
        <v>220</v>
      </c>
      <c r="AD81" s="28">
        <f t="shared" ref="AD81:AD86" si="1256">AB81*AD$78</f>
        <v>176</v>
      </c>
      <c r="AE81" s="28">
        <f t="shared" ref="AE81:AE86" si="1257">AB81/AE$78</f>
        <v>183.33333333333334</v>
      </c>
      <c r="AF81" s="63">
        <f t="shared" ref="AF81:AF86" si="1258">AE81/AF$78</f>
        <v>61.111111111111114</v>
      </c>
      <c r="AG81" s="63">
        <f t="shared" ref="AG81:AG86" si="1259">AB81/AG$78</f>
        <v>183.33333333333334</v>
      </c>
      <c r="AH81" s="61">
        <f>SUM(AB81:AG81)</f>
        <v>3023.7777777777783</v>
      </c>
      <c r="AI81" s="62"/>
      <c r="AJ81" s="62"/>
      <c r="AK81" s="62"/>
      <c r="AL81" s="62"/>
      <c r="AM81" s="62"/>
      <c r="AN81" s="63">
        <f t="shared" ref="AN81:AN86" si="1260">((AA81*AN$78)+(AA81*AC$78)+(AA81*AD$78))*AI81</f>
        <v>0</v>
      </c>
      <c r="AO81" s="63">
        <f t="shared" ref="AO81:AO86" si="1261">((AA81*AO$78)+(AA81*AC$78)+(AA81*AD$78))*AJ81</f>
        <v>0</v>
      </c>
      <c r="AP81" s="63">
        <f t="shared" ref="AP81:AP86" si="1262">((AA81*AP$78)+(AA81*AC$78)+(AA81*AD$78))*AK81</f>
        <v>0</v>
      </c>
      <c r="AQ81" s="63">
        <f t="shared" ref="AQ81:AQ86" si="1263">((AA81*AQ$78)+(AA81*AC$78)+(AA81*AD$78))*AL81</f>
        <v>0</v>
      </c>
      <c r="AR81" s="63">
        <f t="shared" ref="AR81:AR88" si="1264">((AA81*AR$78)+(AA81*AC$78)+(AA81*AD$78))*AM81</f>
        <v>0</v>
      </c>
      <c r="AS81" s="61">
        <f t="shared" ref="AS81:AS86" si="1265">SUM(AN81:AR81)</f>
        <v>0</v>
      </c>
      <c r="AT81" s="64">
        <v>0</v>
      </c>
      <c r="AU81" s="65">
        <f t="shared" si="1182"/>
        <v>0</v>
      </c>
      <c r="AV81" s="212">
        <f t="shared" si="1183"/>
        <v>3023.7777777777783</v>
      </c>
      <c r="AW81" s="49">
        <v>0</v>
      </c>
      <c r="AX81" s="59" t="s">
        <v>201</v>
      </c>
      <c r="AY81" s="28">
        <f t="shared" si="1184"/>
        <v>10</v>
      </c>
      <c r="AZ81" s="60">
        <v>2200</v>
      </c>
      <c r="BA81" s="28">
        <f t="shared" ref="BA81:BA86" si="1266">AZ81*BA$78</f>
        <v>220</v>
      </c>
      <c r="BB81" s="28">
        <f t="shared" ref="BB81:BB86" si="1267">AZ81*BB$78</f>
        <v>176</v>
      </c>
      <c r="BC81" s="28">
        <f t="shared" ref="BC81:BC86" si="1268">AZ81/BC$78</f>
        <v>183.33333333333334</v>
      </c>
      <c r="BD81" s="63">
        <f t="shared" ref="BD81:BD86" si="1269">BC81/BD$78</f>
        <v>61.111111111111114</v>
      </c>
      <c r="BE81" s="63">
        <f t="shared" ref="BE81:BE86" si="1270">AZ81/BE$78</f>
        <v>183.33333333333334</v>
      </c>
      <c r="BF81" s="61">
        <f>SUM(AZ81:BE81)</f>
        <v>3023.7777777777783</v>
      </c>
      <c r="BG81" s="62"/>
      <c r="BH81" s="62"/>
      <c r="BI81" s="62"/>
      <c r="BJ81" s="62"/>
      <c r="BK81" s="62"/>
      <c r="BL81" s="63">
        <f t="shared" ref="BL81:BL86" si="1271">((AY81*BL$78)+(AY81*BA$78)+(AY81*BB$78))*BG81</f>
        <v>0</v>
      </c>
      <c r="BM81" s="63">
        <f t="shared" ref="BM81:BM86" si="1272">((AY81*BM$78)+(AY81*BA$78)+(AY81*BB$78))*BH81</f>
        <v>0</v>
      </c>
      <c r="BN81" s="63">
        <f t="shared" ref="BN81:BN86" si="1273">((AY81*BN$78)+(AY81*BA$78)+(AY81*BB$78))*BI81</f>
        <v>0</v>
      </c>
      <c r="BO81" s="63">
        <f t="shared" ref="BO81:BO86" si="1274">((AY81*BO$78)+(AY81*BA$78)+(AY81*BB$78))*BJ81</f>
        <v>0</v>
      </c>
      <c r="BP81" s="63">
        <f t="shared" ref="BP81:BP88" si="1275">((AY81*BP$78)+(AY81*BA$78)+(AY81*BB$78))*BK81</f>
        <v>0</v>
      </c>
      <c r="BQ81" s="61">
        <f t="shared" ref="BQ81:BQ86" si="1276">SUM(BL81:BP81)</f>
        <v>0</v>
      </c>
      <c r="BR81" s="64">
        <v>0</v>
      </c>
      <c r="BS81" s="65">
        <f t="shared" si="1186"/>
        <v>0</v>
      </c>
      <c r="BT81" s="212">
        <f t="shared" si="1187"/>
        <v>3023.7777777777783</v>
      </c>
      <c r="BU81" s="49">
        <v>0</v>
      </c>
      <c r="BV81" s="59" t="s">
        <v>201</v>
      </c>
      <c r="BW81" s="28">
        <f t="shared" si="1188"/>
        <v>10</v>
      </c>
      <c r="BX81" s="60">
        <v>2200</v>
      </c>
      <c r="BY81" s="28">
        <f t="shared" ref="BY81:BY86" si="1277">BX81*BY$78</f>
        <v>220</v>
      </c>
      <c r="BZ81" s="28">
        <f t="shared" ref="BZ81:BZ86" si="1278">BX81*BZ$78</f>
        <v>176</v>
      </c>
      <c r="CA81" s="28">
        <f t="shared" ref="CA81:CA86" si="1279">BX81/CA$78</f>
        <v>183.33333333333334</v>
      </c>
      <c r="CB81" s="63">
        <f t="shared" ref="CB81:CB86" si="1280">CA81/CB$78</f>
        <v>61.111111111111114</v>
      </c>
      <c r="CC81" s="63">
        <f t="shared" ref="CC81:CC86" si="1281">BX81/CC$78</f>
        <v>183.33333333333334</v>
      </c>
      <c r="CD81" s="61">
        <f>SUM(BX81:CC81)</f>
        <v>3023.7777777777783</v>
      </c>
      <c r="CE81" s="62"/>
      <c r="CF81" s="62"/>
      <c r="CG81" s="62"/>
      <c r="CH81" s="62"/>
      <c r="CI81" s="62"/>
      <c r="CJ81" s="63">
        <f t="shared" ref="CJ81:CJ86" si="1282">((BW81*CJ$78)+(BW81*BY$78)+(BW81*BZ$78))*CE81</f>
        <v>0</v>
      </c>
      <c r="CK81" s="63">
        <f t="shared" ref="CK81:CK86" si="1283">((BW81*CK$78)+(BW81*BY$78)+(BW81*BZ$78))*CF81</f>
        <v>0</v>
      </c>
      <c r="CL81" s="63">
        <f t="shared" ref="CL81:CL86" si="1284">((BW81*CL$78)+(BW81*BY$78)+(BW81*BZ$78))*CG81</f>
        <v>0</v>
      </c>
      <c r="CM81" s="63">
        <f t="shared" ref="CM81:CM86" si="1285">((BW81*CM$78)+(BW81*BY$78)+(BW81*BZ$78))*CH81</f>
        <v>0</v>
      </c>
      <c r="CN81" s="63">
        <f t="shared" ref="CN81:CN88" si="1286">((BW81*CN$78)+(BW81*BY$78)+(BW81*BZ$78))*CI81</f>
        <v>0</v>
      </c>
      <c r="CO81" s="61">
        <f t="shared" ref="CO81:CO86" si="1287">SUM(CJ81:CN81)</f>
        <v>0</v>
      </c>
      <c r="CP81" s="64">
        <v>0</v>
      </c>
      <c r="CQ81" s="65">
        <f t="shared" si="1190"/>
        <v>0</v>
      </c>
      <c r="CR81" s="212">
        <f t="shared" si="1191"/>
        <v>3023.7777777777783</v>
      </c>
      <c r="CS81" s="49">
        <v>0</v>
      </c>
      <c r="CT81" s="59" t="s">
        <v>201</v>
      </c>
      <c r="CU81" s="28">
        <f t="shared" si="1192"/>
        <v>10</v>
      </c>
      <c r="CV81" s="60">
        <v>2200</v>
      </c>
      <c r="CW81" s="28">
        <f t="shared" ref="CW81:CW86" si="1288">CV81*CW$78</f>
        <v>220</v>
      </c>
      <c r="CX81" s="28">
        <f t="shared" ref="CX81:CX86" si="1289">CV81*CX$78</f>
        <v>176</v>
      </c>
      <c r="CY81" s="28">
        <f t="shared" ref="CY81:CY86" si="1290">CV81/CY$78</f>
        <v>183.33333333333334</v>
      </c>
      <c r="CZ81" s="63">
        <f t="shared" ref="CZ81:CZ86" si="1291">CY81/CZ$78</f>
        <v>61.111111111111114</v>
      </c>
      <c r="DA81" s="63">
        <f t="shared" ref="DA81:DA86" si="1292">CV81/DA$78</f>
        <v>183.33333333333334</v>
      </c>
      <c r="DB81" s="61">
        <f>SUM(CV81:DA81)</f>
        <v>3023.7777777777783</v>
      </c>
      <c r="DC81" s="62"/>
      <c r="DD81" s="62"/>
      <c r="DE81" s="62"/>
      <c r="DF81" s="62"/>
      <c r="DG81" s="62"/>
      <c r="DH81" s="63">
        <f t="shared" ref="DH81:DH86" si="1293">((CU81*DH$78)+(CU81*CW$78)+(CU81*CX$78))*DC81</f>
        <v>0</v>
      </c>
      <c r="DI81" s="63">
        <f t="shared" ref="DI81:DI86" si="1294">((CU81*DI$78)+(CU81*CW$78)+(CU81*CX$78))*DD81</f>
        <v>0</v>
      </c>
      <c r="DJ81" s="63">
        <f t="shared" ref="DJ81:DJ86" si="1295">((CU81*DJ$78)+(CU81*CW$78)+(CU81*CX$78))*DE81</f>
        <v>0</v>
      </c>
      <c r="DK81" s="63">
        <f t="shared" ref="DK81:DK86" si="1296">((CU81*DK$78)+(CU81*CW$78)+(CU81*CX$78))*DF81</f>
        <v>0</v>
      </c>
      <c r="DL81" s="63">
        <f t="shared" ref="DL81:DL88" si="1297">((CU81*DL$78)+(CU81*CW$78)+(CU81*CX$78))*DG81</f>
        <v>0</v>
      </c>
      <c r="DM81" s="61">
        <f t="shared" ref="DM81:DM86" si="1298">SUM(DH81:DL81)</f>
        <v>0</v>
      </c>
      <c r="DN81" s="64">
        <v>0</v>
      </c>
      <c r="DO81" s="65">
        <f t="shared" si="1194"/>
        <v>0</v>
      </c>
      <c r="DP81" s="212">
        <f t="shared" si="1195"/>
        <v>3023.7777777777783</v>
      </c>
      <c r="DQ81" s="49">
        <v>0</v>
      </c>
      <c r="DR81" s="59" t="s">
        <v>201</v>
      </c>
      <c r="DS81" s="28">
        <f t="shared" si="1196"/>
        <v>10</v>
      </c>
      <c r="DT81" s="60">
        <v>2200</v>
      </c>
      <c r="DU81" s="28">
        <f t="shared" ref="DU81:DU86" si="1299">DT81*DU$78</f>
        <v>220</v>
      </c>
      <c r="DV81" s="28">
        <f t="shared" ref="DV81:DV86" si="1300">DT81*DV$78</f>
        <v>176</v>
      </c>
      <c r="DW81" s="28">
        <f t="shared" ref="DW81:DW86" si="1301">DT81/DW$78</f>
        <v>183.33333333333334</v>
      </c>
      <c r="DX81" s="63">
        <f t="shared" ref="DX81:DX86" si="1302">DW81/DX$78</f>
        <v>61.111111111111114</v>
      </c>
      <c r="DY81" s="63">
        <f t="shared" ref="DY81:DY86" si="1303">DT81/DY$78</f>
        <v>183.33333333333334</v>
      </c>
      <c r="DZ81" s="61">
        <f>SUM(DT81:DY81)</f>
        <v>3023.7777777777783</v>
      </c>
      <c r="EA81" s="62"/>
      <c r="EB81" s="62"/>
      <c r="EC81" s="62"/>
      <c r="ED81" s="62"/>
      <c r="EE81" s="62"/>
      <c r="EF81" s="63">
        <f t="shared" ref="EF81:EF86" si="1304">((DS81*EF$78)+(DS81*DU$78)+(DS81*DV$78))*EA81</f>
        <v>0</v>
      </c>
      <c r="EG81" s="63">
        <f t="shared" ref="EG81:EG86" si="1305">((DS81*EG$78)+(DS81*DU$78)+(DS81*DV$78))*EB81</f>
        <v>0</v>
      </c>
      <c r="EH81" s="63">
        <f t="shared" ref="EH81:EH86" si="1306">((DS81*EH$78)+(DS81*DU$78)+(DS81*DV$78))*EC81</f>
        <v>0</v>
      </c>
      <c r="EI81" s="63">
        <f t="shared" ref="EI81:EI86" si="1307">((DS81*EI$78)+(DS81*DU$78)+(DS81*DV$78))*ED81</f>
        <v>0</v>
      </c>
      <c r="EJ81" s="63">
        <f t="shared" ref="EJ81:EJ88" si="1308">((DS81*EJ$78)+(DS81*DU$78)+(DS81*DV$78))*EE81</f>
        <v>0</v>
      </c>
      <c r="EK81" s="61">
        <f t="shared" ref="EK81:EK86" si="1309">SUM(EF81:EJ81)</f>
        <v>0</v>
      </c>
      <c r="EL81" s="64">
        <v>0</v>
      </c>
      <c r="EM81" s="65">
        <f t="shared" si="1198"/>
        <v>0</v>
      </c>
      <c r="EN81" s="212">
        <f t="shared" si="1199"/>
        <v>3023.7777777777783</v>
      </c>
      <c r="EO81" s="49">
        <v>0</v>
      </c>
      <c r="EP81" s="59" t="s">
        <v>201</v>
      </c>
      <c r="EQ81" s="28">
        <f t="shared" si="1200"/>
        <v>10</v>
      </c>
      <c r="ER81" s="60">
        <v>2200</v>
      </c>
      <c r="ES81" s="28">
        <f t="shared" ref="ES81:ES86" si="1310">ER81*ES$78</f>
        <v>220</v>
      </c>
      <c r="ET81" s="28">
        <f t="shared" ref="ET81:ET86" si="1311">ER81*ET$78</f>
        <v>176</v>
      </c>
      <c r="EU81" s="28">
        <f t="shared" ref="EU81:EU86" si="1312">ER81/EU$78</f>
        <v>183.33333333333334</v>
      </c>
      <c r="EV81" s="63">
        <f t="shared" ref="EV81:EV86" si="1313">EU81/EV$78</f>
        <v>61.111111111111114</v>
      </c>
      <c r="EW81" s="63">
        <f t="shared" ref="EW81:EW86" si="1314">ER81/EW$78</f>
        <v>183.33333333333334</v>
      </c>
      <c r="EX81" s="61">
        <f>SUM(ER81:EW81)</f>
        <v>3023.7777777777783</v>
      </c>
      <c r="EY81" s="62"/>
      <c r="EZ81" s="62"/>
      <c r="FA81" s="62"/>
      <c r="FB81" s="62"/>
      <c r="FC81" s="62"/>
      <c r="FD81" s="63">
        <f t="shared" ref="FD81:FD86" si="1315">((EQ81*FD$78)+(EQ81*ES$78)+(EQ81*ET$78))*EY81</f>
        <v>0</v>
      </c>
      <c r="FE81" s="63">
        <f t="shared" ref="FE81:FE86" si="1316">((EQ81*FE$78)+(EQ81*ES$78)+(EQ81*ET$78))*EZ81</f>
        <v>0</v>
      </c>
      <c r="FF81" s="63">
        <f t="shared" ref="FF81:FF86" si="1317">((EQ81*FF$78)+(EQ81*ES$78)+(EQ81*ET$78))*FA81</f>
        <v>0</v>
      </c>
      <c r="FG81" s="63">
        <f t="shared" ref="FG81:FG86" si="1318">((EQ81*FG$78)+(EQ81*ES$78)+(EQ81*ET$78))*FB81</f>
        <v>0</v>
      </c>
      <c r="FH81" s="63">
        <f t="shared" ref="FH81:FH88" si="1319">((EQ81*FH$78)+(EQ81*ES$78)+(EQ81*ET$78))*FC81</f>
        <v>0</v>
      </c>
      <c r="FI81" s="61">
        <f t="shared" ref="FI81:FI86" si="1320">SUM(FD81:FH81)</f>
        <v>0</v>
      </c>
      <c r="FJ81" s="64">
        <v>0</v>
      </c>
      <c r="FK81" s="65">
        <f t="shared" si="1202"/>
        <v>0</v>
      </c>
      <c r="FL81" s="212">
        <f t="shared" si="1203"/>
        <v>3023.7777777777783</v>
      </c>
      <c r="FM81" s="49">
        <v>0</v>
      </c>
      <c r="FN81" s="59" t="s">
        <v>201</v>
      </c>
      <c r="FO81" s="28">
        <f t="shared" si="1204"/>
        <v>10</v>
      </c>
      <c r="FP81" s="60">
        <v>2200</v>
      </c>
      <c r="FQ81" s="28">
        <f t="shared" ref="FQ81:FQ86" si="1321">FP81*FQ$78</f>
        <v>220</v>
      </c>
      <c r="FR81" s="28">
        <f t="shared" ref="FR81:FR86" si="1322">FP81*FR$78</f>
        <v>176</v>
      </c>
      <c r="FS81" s="28">
        <f t="shared" ref="FS81:FS86" si="1323">FP81/FS$78</f>
        <v>183.33333333333334</v>
      </c>
      <c r="FT81" s="63">
        <f t="shared" ref="FT81:FT86" si="1324">FS81/FT$78</f>
        <v>61.111111111111114</v>
      </c>
      <c r="FU81" s="63">
        <f t="shared" ref="FU81:FU86" si="1325">FP81/FU$78</f>
        <v>183.33333333333334</v>
      </c>
      <c r="FV81" s="61">
        <f>SUM(FP81:FU81)</f>
        <v>3023.7777777777783</v>
      </c>
      <c r="FW81" s="62"/>
      <c r="FX81" s="62"/>
      <c r="FY81" s="62"/>
      <c r="FZ81" s="62"/>
      <c r="GA81" s="62"/>
      <c r="GB81" s="63">
        <f t="shared" ref="GB81:GB86" si="1326">((FO81*GB$78)+(FO81*FQ$78)+(FO81*FR$78))*FW81</f>
        <v>0</v>
      </c>
      <c r="GC81" s="63">
        <f t="shared" ref="GC81:GC86" si="1327">((FO81*GC$78)+(FO81*FQ$78)+(FO81*FR$78))*FX81</f>
        <v>0</v>
      </c>
      <c r="GD81" s="63">
        <f t="shared" ref="GD81:GD86" si="1328">((FO81*GD$78)+(FO81*FQ$78)+(FO81*FR$78))*FY81</f>
        <v>0</v>
      </c>
      <c r="GE81" s="63">
        <f t="shared" ref="GE81:GE86" si="1329">((FO81*GE$78)+(FO81*FQ$78)+(FO81*FR$78))*FZ81</f>
        <v>0</v>
      </c>
      <c r="GF81" s="63">
        <f t="shared" ref="GF81:GF88" si="1330">((FO81*GF$78)+(FO81*FQ$78)+(FO81*FR$78))*GA81</f>
        <v>0</v>
      </c>
      <c r="GG81" s="61">
        <f t="shared" ref="GG81:GG86" si="1331">SUM(GB81:GF81)</f>
        <v>0</v>
      </c>
      <c r="GH81" s="64">
        <v>0</v>
      </c>
      <c r="GI81" s="65">
        <f t="shared" si="1206"/>
        <v>0</v>
      </c>
      <c r="GJ81" s="212">
        <f t="shared" si="1207"/>
        <v>3023.7777777777783</v>
      </c>
      <c r="GK81" s="49">
        <v>0</v>
      </c>
      <c r="GL81" s="59" t="s">
        <v>201</v>
      </c>
      <c r="GM81" s="28">
        <f t="shared" si="1208"/>
        <v>10</v>
      </c>
      <c r="GN81" s="60">
        <v>2200</v>
      </c>
      <c r="GO81" s="28">
        <f t="shared" ref="GO81:GO86" si="1332">GN81*GO$78</f>
        <v>220</v>
      </c>
      <c r="GP81" s="28">
        <f t="shared" ref="GP81:GP86" si="1333">GN81*GP$78</f>
        <v>176</v>
      </c>
      <c r="GQ81" s="28">
        <f t="shared" ref="GQ81:GQ86" si="1334">GN81/GQ$78</f>
        <v>183.33333333333334</v>
      </c>
      <c r="GR81" s="63">
        <f t="shared" ref="GR81:GR86" si="1335">GQ81/GR$78</f>
        <v>61.111111111111114</v>
      </c>
      <c r="GS81" s="63">
        <f t="shared" ref="GS81:GS86" si="1336">GN81/GS$78</f>
        <v>183.33333333333334</v>
      </c>
      <c r="GT81" s="61">
        <f>SUM(GN81:GS81)</f>
        <v>3023.7777777777783</v>
      </c>
      <c r="GU81" s="62"/>
      <c r="GV81" s="62"/>
      <c r="GW81" s="62"/>
      <c r="GX81" s="62"/>
      <c r="GY81" s="62"/>
      <c r="GZ81" s="63">
        <f t="shared" ref="GZ81:GZ86" si="1337">((GM81*GZ$78)+(GM81*GO$78)+(GM81*GP$78))*GU81</f>
        <v>0</v>
      </c>
      <c r="HA81" s="63">
        <f t="shared" ref="HA81:HA86" si="1338">((GM81*HA$78)+(GM81*GO$78)+(GM81*GP$78))*GV81</f>
        <v>0</v>
      </c>
      <c r="HB81" s="63">
        <f t="shared" ref="HB81:HB86" si="1339">((GM81*HB$78)+(GM81*GO$78)+(GM81*GP$78))*GW81</f>
        <v>0</v>
      </c>
      <c r="HC81" s="63">
        <f t="shared" ref="HC81:HC86" si="1340">((GM81*HC$78)+(GM81*GO$78)+(GM81*GP$78))*GX81</f>
        <v>0</v>
      </c>
      <c r="HD81" s="63">
        <f t="shared" ref="HD81:HD88" si="1341">((GM81*HD$78)+(GM81*GO$78)+(GM81*GP$78))*GY81</f>
        <v>0</v>
      </c>
      <c r="HE81" s="61">
        <f t="shared" ref="HE81:HE86" si="1342">SUM(GZ81:HD81)</f>
        <v>0</v>
      </c>
      <c r="HF81" s="64">
        <v>0</v>
      </c>
      <c r="HG81" s="65">
        <f t="shared" si="1210"/>
        <v>0</v>
      </c>
      <c r="HH81" s="212">
        <f t="shared" si="1211"/>
        <v>3023.7777777777783</v>
      </c>
      <c r="HI81" s="49">
        <v>0</v>
      </c>
      <c r="HJ81" s="59" t="s">
        <v>201</v>
      </c>
      <c r="HK81" s="28">
        <f t="shared" si="1212"/>
        <v>10</v>
      </c>
      <c r="HL81" s="60">
        <v>2200</v>
      </c>
      <c r="HM81" s="28">
        <f t="shared" ref="HM81:HM86" si="1343">HL81*HM$78</f>
        <v>220</v>
      </c>
      <c r="HN81" s="28">
        <f t="shared" ref="HN81:HN86" si="1344">HL81*HN$78</f>
        <v>176</v>
      </c>
      <c r="HO81" s="28">
        <f t="shared" ref="HO81:HO86" si="1345">HL81/HO$78</f>
        <v>183.33333333333334</v>
      </c>
      <c r="HP81" s="63">
        <f t="shared" ref="HP81:HP86" si="1346">HO81/HP$78</f>
        <v>61.111111111111114</v>
      </c>
      <c r="HQ81" s="63">
        <f t="shared" ref="HQ81:HQ86" si="1347">HL81/HQ$78</f>
        <v>183.33333333333334</v>
      </c>
      <c r="HR81" s="61">
        <f>SUM(HL81:HQ81)</f>
        <v>3023.7777777777783</v>
      </c>
      <c r="HS81" s="62"/>
      <c r="HT81" s="62"/>
      <c r="HU81" s="62"/>
      <c r="HV81" s="62"/>
      <c r="HW81" s="62"/>
      <c r="HX81" s="63">
        <f t="shared" ref="HX81:HX86" si="1348">((HK81*HX$78)+(HK81*HM$78)+(HK81*HN$78))*HS81</f>
        <v>0</v>
      </c>
      <c r="HY81" s="63">
        <f t="shared" ref="HY81:HY86" si="1349">((HK81*HY$78)+(HK81*HM$78)+(HK81*HN$78))*HT81</f>
        <v>0</v>
      </c>
      <c r="HZ81" s="63">
        <f t="shared" ref="HZ81:HZ86" si="1350">((HK81*HZ$78)+(HK81*HM$78)+(HK81*HN$78))*HU81</f>
        <v>0</v>
      </c>
      <c r="IA81" s="63">
        <f t="shared" ref="IA81:IA86" si="1351">((HK81*IA$78)+(HK81*HM$78)+(HK81*HN$78))*HV81</f>
        <v>0</v>
      </c>
      <c r="IB81" s="63">
        <f t="shared" ref="IB81:IB88" si="1352">((HK81*IB$78)+(HK81*HM$78)+(HK81*HN$78))*HW81</f>
        <v>0</v>
      </c>
      <c r="IC81" s="61">
        <f t="shared" ref="IC81:IC86" si="1353">SUM(HX81:IB81)</f>
        <v>0</v>
      </c>
      <c r="ID81" s="64">
        <v>0</v>
      </c>
      <c r="IE81" s="65">
        <f t="shared" si="1214"/>
        <v>0</v>
      </c>
      <c r="IF81" s="212">
        <f t="shared" si="1215"/>
        <v>3023.7777777777783</v>
      </c>
      <c r="IG81" s="49">
        <v>0</v>
      </c>
      <c r="IH81" s="59" t="s">
        <v>201</v>
      </c>
      <c r="II81" s="28">
        <f t="shared" si="1216"/>
        <v>10</v>
      </c>
      <c r="IJ81" s="60">
        <v>2200</v>
      </c>
      <c r="IK81" s="28">
        <f t="shared" si="1217"/>
        <v>220</v>
      </c>
      <c r="IL81" s="28">
        <f t="shared" si="1218"/>
        <v>176</v>
      </c>
      <c r="IM81" s="28">
        <f t="shared" si="1219"/>
        <v>183.33333333333334</v>
      </c>
      <c r="IN81" s="63">
        <f t="shared" si="1220"/>
        <v>61.111111111111114</v>
      </c>
      <c r="IO81" s="63">
        <f t="shared" si="1221"/>
        <v>183.33333333333334</v>
      </c>
      <c r="IP81" s="61">
        <f>SUM(IJ81:IO81)</f>
        <v>3023.7777777777783</v>
      </c>
      <c r="IQ81" s="62"/>
      <c r="IR81" s="62"/>
      <c r="IS81" s="62"/>
      <c r="IT81" s="62"/>
      <c r="IU81" s="62"/>
      <c r="IV81" s="63">
        <f t="shared" si="1223"/>
        <v>0</v>
      </c>
      <c r="IW81" s="63">
        <f t="shared" si="1224"/>
        <v>0</v>
      </c>
      <c r="IX81" s="63">
        <f t="shared" si="1225"/>
        <v>0</v>
      </c>
      <c r="IY81" s="63">
        <f t="shared" si="1226"/>
        <v>0</v>
      </c>
      <c r="IZ81" s="63">
        <f t="shared" si="1227"/>
        <v>0</v>
      </c>
      <c r="JA81" s="61">
        <f t="shared" ref="JA81:JA86" si="1354">SUM(IV81:IZ81)</f>
        <v>0</v>
      </c>
      <c r="JB81" s="64">
        <v>0</v>
      </c>
      <c r="JC81" s="65">
        <f t="shared" si="1228"/>
        <v>0</v>
      </c>
      <c r="JD81" s="476">
        <f t="shared" si="1229"/>
        <v>3023.7777777777783</v>
      </c>
      <c r="JE81" s="49">
        <v>0</v>
      </c>
      <c r="JF81" s="59" t="s">
        <v>201</v>
      </c>
      <c r="JG81" s="28">
        <f t="shared" si="1230"/>
        <v>10</v>
      </c>
      <c r="JH81" s="60">
        <v>2200</v>
      </c>
      <c r="JI81" s="28">
        <f t="shared" si="1231"/>
        <v>220</v>
      </c>
      <c r="JJ81" s="28">
        <f t="shared" si="1232"/>
        <v>176</v>
      </c>
      <c r="JK81" s="28">
        <f t="shared" si="1233"/>
        <v>183.33333333333334</v>
      </c>
      <c r="JL81" s="63">
        <f t="shared" si="1234"/>
        <v>61.111111111111114</v>
      </c>
      <c r="JM81" s="63">
        <f t="shared" si="1235"/>
        <v>183.33333333333334</v>
      </c>
      <c r="JN81" s="61">
        <f>SUM(JH81:JM81)</f>
        <v>3023.7777777777783</v>
      </c>
      <c r="JO81" s="62"/>
      <c r="JP81" s="62"/>
      <c r="JQ81" s="62"/>
      <c r="JR81" s="62"/>
      <c r="JS81" s="62"/>
      <c r="JT81" s="63">
        <f t="shared" si="1237"/>
        <v>0</v>
      </c>
      <c r="JU81" s="63">
        <f t="shared" si="1238"/>
        <v>0</v>
      </c>
      <c r="JV81" s="63">
        <f t="shared" si="1239"/>
        <v>0</v>
      </c>
      <c r="JW81" s="63">
        <f t="shared" si="1240"/>
        <v>0</v>
      </c>
      <c r="JX81" s="63">
        <f t="shared" si="1241"/>
        <v>0</v>
      </c>
      <c r="JY81" s="61">
        <f t="shared" ref="JY81:JY86" si="1355">SUM(JT81:JX81)</f>
        <v>0</v>
      </c>
      <c r="JZ81" s="64">
        <v>0</v>
      </c>
      <c r="KA81" s="65">
        <f t="shared" si="1242"/>
        <v>0</v>
      </c>
      <c r="KB81" s="476">
        <f t="shared" si="1243"/>
        <v>3023.7777777777783</v>
      </c>
      <c r="KC81" s="37"/>
      <c r="KD81" s="37"/>
      <c r="KE81" s="37"/>
      <c r="KF81" s="37"/>
      <c r="KG81" s="37"/>
      <c r="KH81" s="37"/>
      <c r="KI81" s="37"/>
      <c r="KJ81" s="37"/>
    </row>
    <row r="82" spans="1:296" x14ac:dyDescent="0.3">
      <c r="A82" s="49">
        <v>0</v>
      </c>
      <c r="B82" s="59" t="s">
        <v>202</v>
      </c>
      <c r="C82" s="28">
        <f t="shared" si="1176"/>
        <v>10</v>
      </c>
      <c r="D82" s="60">
        <v>2200</v>
      </c>
      <c r="E82" s="28">
        <f t="shared" si="1244"/>
        <v>220</v>
      </c>
      <c r="F82" s="28">
        <f t="shared" si="1245"/>
        <v>176</v>
      </c>
      <c r="G82" s="28">
        <f t="shared" si="1246"/>
        <v>183.33333333333334</v>
      </c>
      <c r="H82" s="63">
        <f t="shared" si="1247"/>
        <v>61.111111111111114</v>
      </c>
      <c r="I82" s="63">
        <f t="shared" si="1248"/>
        <v>183.33333333333334</v>
      </c>
      <c r="J82" s="61">
        <f t="shared" ref="J82:J87" si="1356">SUM(D82:I82)</f>
        <v>3023.7777777777783</v>
      </c>
      <c r="K82" s="62"/>
      <c r="L82" s="62"/>
      <c r="M82" s="62"/>
      <c r="N82" s="62"/>
      <c r="O82" s="62"/>
      <c r="P82" s="63">
        <f t="shared" si="1249"/>
        <v>0</v>
      </c>
      <c r="Q82" s="63">
        <f t="shared" si="1250"/>
        <v>0</v>
      </c>
      <c r="R82" s="63">
        <f t="shared" si="1251"/>
        <v>0</v>
      </c>
      <c r="S82" s="63">
        <f t="shared" si="1252"/>
        <v>0</v>
      </c>
      <c r="T82" s="63">
        <f t="shared" si="1253"/>
        <v>0</v>
      </c>
      <c r="U82" s="61">
        <f t="shared" si="1254"/>
        <v>0</v>
      </c>
      <c r="V82" s="64">
        <v>0</v>
      </c>
      <c r="W82" s="65">
        <f t="shared" si="1178"/>
        <v>0</v>
      </c>
      <c r="X82" s="212">
        <f t="shared" si="1179"/>
        <v>3023.7777777777783</v>
      </c>
      <c r="Y82" s="49">
        <v>0</v>
      </c>
      <c r="Z82" s="59" t="s">
        <v>202</v>
      </c>
      <c r="AA82" s="28">
        <f t="shared" si="1180"/>
        <v>10</v>
      </c>
      <c r="AB82" s="60">
        <v>2200</v>
      </c>
      <c r="AC82" s="28">
        <f t="shared" si="1255"/>
        <v>220</v>
      </c>
      <c r="AD82" s="28">
        <f t="shared" si="1256"/>
        <v>176</v>
      </c>
      <c r="AE82" s="28">
        <f t="shared" si="1257"/>
        <v>183.33333333333334</v>
      </c>
      <c r="AF82" s="63">
        <f t="shared" si="1258"/>
        <v>61.111111111111114</v>
      </c>
      <c r="AG82" s="63">
        <f t="shared" si="1259"/>
        <v>183.33333333333334</v>
      </c>
      <c r="AH82" s="61">
        <f t="shared" ref="AH82:AH88" si="1357">SUM(AB82:AG82)</f>
        <v>3023.7777777777783</v>
      </c>
      <c r="AI82" s="62"/>
      <c r="AJ82" s="62"/>
      <c r="AK82" s="62"/>
      <c r="AL82" s="62"/>
      <c r="AM82" s="62"/>
      <c r="AN82" s="63">
        <f t="shared" si="1260"/>
        <v>0</v>
      </c>
      <c r="AO82" s="63">
        <f t="shared" si="1261"/>
        <v>0</v>
      </c>
      <c r="AP82" s="63">
        <f t="shared" si="1262"/>
        <v>0</v>
      </c>
      <c r="AQ82" s="63">
        <f t="shared" si="1263"/>
        <v>0</v>
      </c>
      <c r="AR82" s="63">
        <f t="shared" si="1264"/>
        <v>0</v>
      </c>
      <c r="AS82" s="61">
        <f t="shared" si="1265"/>
        <v>0</v>
      </c>
      <c r="AT82" s="64">
        <v>0</v>
      </c>
      <c r="AU82" s="65">
        <f t="shared" si="1182"/>
        <v>0</v>
      </c>
      <c r="AV82" s="212">
        <f t="shared" si="1183"/>
        <v>3023.7777777777783</v>
      </c>
      <c r="AW82" s="49">
        <v>0</v>
      </c>
      <c r="AX82" s="59" t="s">
        <v>202</v>
      </c>
      <c r="AY82" s="28">
        <f t="shared" si="1184"/>
        <v>10</v>
      </c>
      <c r="AZ82" s="60">
        <v>2200</v>
      </c>
      <c r="BA82" s="28">
        <f t="shared" si="1266"/>
        <v>220</v>
      </c>
      <c r="BB82" s="28">
        <f t="shared" si="1267"/>
        <v>176</v>
      </c>
      <c r="BC82" s="28">
        <f t="shared" si="1268"/>
        <v>183.33333333333334</v>
      </c>
      <c r="BD82" s="63">
        <f t="shared" si="1269"/>
        <v>61.111111111111114</v>
      </c>
      <c r="BE82" s="63">
        <f t="shared" si="1270"/>
        <v>183.33333333333334</v>
      </c>
      <c r="BF82" s="61">
        <f t="shared" ref="BF82:BF88" si="1358">SUM(AZ82:BE82)</f>
        <v>3023.7777777777783</v>
      </c>
      <c r="BG82" s="62"/>
      <c r="BH82" s="62"/>
      <c r="BI82" s="62"/>
      <c r="BJ82" s="62"/>
      <c r="BK82" s="62"/>
      <c r="BL82" s="63">
        <f t="shared" si="1271"/>
        <v>0</v>
      </c>
      <c r="BM82" s="63">
        <f t="shared" si="1272"/>
        <v>0</v>
      </c>
      <c r="BN82" s="63">
        <f t="shared" si="1273"/>
        <v>0</v>
      </c>
      <c r="BO82" s="63">
        <f t="shared" si="1274"/>
        <v>0</v>
      </c>
      <c r="BP82" s="63">
        <f t="shared" si="1275"/>
        <v>0</v>
      </c>
      <c r="BQ82" s="61">
        <f t="shared" si="1276"/>
        <v>0</v>
      </c>
      <c r="BR82" s="64">
        <v>0</v>
      </c>
      <c r="BS82" s="65">
        <f t="shared" si="1186"/>
        <v>0</v>
      </c>
      <c r="BT82" s="212">
        <f t="shared" si="1187"/>
        <v>3023.7777777777783</v>
      </c>
      <c r="BU82" s="49">
        <v>0</v>
      </c>
      <c r="BV82" s="59" t="s">
        <v>202</v>
      </c>
      <c r="BW82" s="28">
        <f t="shared" si="1188"/>
        <v>10</v>
      </c>
      <c r="BX82" s="60">
        <v>2200</v>
      </c>
      <c r="BY82" s="28">
        <f t="shared" si="1277"/>
        <v>220</v>
      </c>
      <c r="BZ82" s="28">
        <f t="shared" si="1278"/>
        <v>176</v>
      </c>
      <c r="CA82" s="28">
        <f t="shared" si="1279"/>
        <v>183.33333333333334</v>
      </c>
      <c r="CB82" s="63">
        <f t="shared" si="1280"/>
        <v>61.111111111111114</v>
      </c>
      <c r="CC82" s="63">
        <f t="shared" si="1281"/>
        <v>183.33333333333334</v>
      </c>
      <c r="CD82" s="61">
        <f t="shared" ref="CD82:CD88" si="1359">SUM(BX82:CC82)</f>
        <v>3023.7777777777783</v>
      </c>
      <c r="CE82" s="62"/>
      <c r="CF82" s="62"/>
      <c r="CG82" s="62"/>
      <c r="CH82" s="62"/>
      <c r="CI82" s="62"/>
      <c r="CJ82" s="63">
        <f t="shared" si="1282"/>
        <v>0</v>
      </c>
      <c r="CK82" s="63">
        <f t="shared" si="1283"/>
        <v>0</v>
      </c>
      <c r="CL82" s="63">
        <f t="shared" si="1284"/>
        <v>0</v>
      </c>
      <c r="CM82" s="63">
        <f t="shared" si="1285"/>
        <v>0</v>
      </c>
      <c r="CN82" s="63">
        <f t="shared" si="1286"/>
        <v>0</v>
      </c>
      <c r="CO82" s="61">
        <f t="shared" si="1287"/>
        <v>0</v>
      </c>
      <c r="CP82" s="64">
        <v>0</v>
      </c>
      <c r="CQ82" s="65">
        <f t="shared" si="1190"/>
        <v>0</v>
      </c>
      <c r="CR82" s="212">
        <f t="shared" si="1191"/>
        <v>3023.7777777777783</v>
      </c>
      <c r="CS82" s="49">
        <v>0</v>
      </c>
      <c r="CT82" s="59" t="s">
        <v>202</v>
      </c>
      <c r="CU82" s="28">
        <f t="shared" si="1192"/>
        <v>10</v>
      </c>
      <c r="CV82" s="60">
        <v>2200</v>
      </c>
      <c r="CW82" s="28">
        <f t="shared" si="1288"/>
        <v>220</v>
      </c>
      <c r="CX82" s="28">
        <f t="shared" si="1289"/>
        <v>176</v>
      </c>
      <c r="CY82" s="28">
        <f t="shared" si="1290"/>
        <v>183.33333333333334</v>
      </c>
      <c r="CZ82" s="63">
        <f t="shared" si="1291"/>
        <v>61.111111111111114</v>
      </c>
      <c r="DA82" s="63">
        <f t="shared" si="1292"/>
        <v>183.33333333333334</v>
      </c>
      <c r="DB82" s="61">
        <f t="shared" ref="DB82:DB88" si="1360">SUM(CV82:DA82)</f>
        <v>3023.7777777777783</v>
      </c>
      <c r="DC82" s="62"/>
      <c r="DD82" s="62"/>
      <c r="DE82" s="62"/>
      <c r="DF82" s="62"/>
      <c r="DG82" s="62"/>
      <c r="DH82" s="63">
        <f t="shared" si="1293"/>
        <v>0</v>
      </c>
      <c r="DI82" s="63">
        <f t="shared" si="1294"/>
        <v>0</v>
      </c>
      <c r="DJ82" s="63">
        <f t="shared" si="1295"/>
        <v>0</v>
      </c>
      <c r="DK82" s="63">
        <f t="shared" si="1296"/>
        <v>0</v>
      </c>
      <c r="DL82" s="63">
        <f t="shared" si="1297"/>
        <v>0</v>
      </c>
      <c r="DM82" s="61">
        <f t="shared" si="1298"/>
        <v>0</v>
      </c>
      <c r="DN82" s="64">
        <v>0</v>
      </c>
      <c r="DO82" s="65">
        <f t="shared" si="1194"/>
        <v>0</v>
      </c>
      <c r="DP82" s="212">
        <f t="shared" si="1195"/>
        <v>3023.7777777777783</v>
      </c>
      <c r="DQ82" s="49">
        <v>0</v>
      </c>
      <c r="DR82" s="59" t="s">
        <v>202</v>
      </c>
      <c r="DS82" s="28">
        <f t="shared" si="1196"/>
        <v>10</v>
      </c>
      <c r="DT82" s="60">
        <v>2200</v>
      </c>
      <c r="DU82" s="28">
        <f t="shared" si="1299"/>
        <v>220</v>
      </c>
      <c r="DV82" s="28">
        <f t="shared" si="1300"/>
        <v>176</v>
      </c>
      <c r="DW82" s="28">
        <f t="shared" si="1301"/>
        <v>183.33333333333334</v>
      </c>
      <c r="DX82" s="63">
        <f t="shared" si="1302"/>
        <v>61.111111111111114</v>
      </c>
      <c r="DY82" s="63">
        <f t="shared" si="1303"/>
        <v>183.33333333333334</v>
      </c>
      <c r="DZ82" s="61">
        <f t="shared" ref="DZ82:DZ88" si="1361">SUM(DT82:DY82)</f>
        <v>3023.7777777777783</v>
      </c>
      <c r="EA82" s="62"/>
      <c r="EB82" s="62"/>
      <c r="EC82" s="62"/>
      <c r="ED82" s="62"/>
      <c r="EE82" s="62"/>
      <c r="EF82" s="63">
        <f t="shared" si="1304"/>
        <v>0</v>
      </c>
      <c r="EG82" s="63">
        <f t="shared" si="1305"/>
        <v>0</v>
      </c>
      <c r="EH82" s="63">
        <f t="shared" si="1306"/>
        <v>0</v>
      </c>
      <c r="EI82" s="63">
        <f t="shared" si="1307"/>
        <v>0</v>
      </c>
      <c r="EJ82" s="63">
        <f t="shared" si="1308"/>
        <v>0</v>
      </c>
      <c r="EK82" s="61">
        <f t="shared" si="1309"/>
        <v>0</v>
      </c>
      <c r="EL82" s="64">
        <v>0</v>
      </c>
      <c r="EM82" s="65">
        <f t="shared" si="1198"/>
        <v>0</v>
      </c>
      <c r="EN82" s="212">
        <f t="shared" si="1199"/>
        <v>3023.7777777777783</v>
      </c>
      <c r="EO82" s="49">
        <v>0</v>
      </c>
      <c r="EP82" s="59" t="s">
        <v>202</v>
      </c>
      <c r="EQ82" s="28">
        <f t="shared" si="1200"/>
        <v>10</v>
      </c>
      <c r="ER82" s="60">
        <v>2200</v>
      </c>
      <c r="ES82" s="28">
        <f t="shared" si="1310"/>
        <v>220</v>
      </c>
      <c r="ET82" s="28">
        <f t="shared" si="1311"/>
        <v>176</v>
      </c>
      <c r="EU82" s="28">
        <f t="shared" si="1312"/>
        <v>183.33333333333334</v>
      </c>
      <c r="EV82" s="63">
        <f t="shared" si="1313"/>
        <v>61.111111111111114</v>
      </c>
      <c r="EW82" s="63">
        <f t="shared" si="1314"/>
        <v>183.33333333333334</v>
      </c>
      <c r="EX82" s="61">
        <f t="shared" ref="EX82:EX88" si="1362">SUM(ER82:EW82)</f>
        <v>3023.7777777777783</v>
      </c>
      <c r="EY82" s="62"/>
      <c r="EZ82" s="62"/>
      <c r="FA82" s="62"/>
      <c r="FB82" s="62"/>
      <c r="FC82" s="62"/>
      <c r="FD82" s="63">
        <f t="shared" si="1315"/>
        <v>0</v>
      </c>
      <c r="FE82" s="63">
        <f t="shared" si="1316"/>
        <v>0</v>
      </c>
      <c r="FF82" s="63">
        <f t="shared" si="1317"/>
        <v>0</v>
      </c>
      <c r="FG82" s="63">
        <f t="shared" si="1318"/>
        <v>0</v>
      </c>
      <c r="FH82" s="63">
        <f t="shared" si="1319"/>
        <v>0</v>
      </c>
      <c r="FI82" s="61">
        <f t="shared" si="1320"/>
        <v>0</v>
      </c>
      <c r="FJ82" s="64">
        <v>0</v>
      </c>
      <c r="FK82" s="65">
        <f t="shared" si="1202"/>
        <v>0</v>
      </c>
      <c r="FL82" s="212">
        <f t="shared" si="1203"/>
        <v>3023.7777777777783</v>
      </c>
      <c r="FM82" s="49">
        <v>0</v>
      </c>
      <c r="FN82" s="59" t="s">
        <v>202</v>
      </c>
      <c r="FO82" s="28">
        <f t="shared" si="1204"/>
        <v>10</v>
      </c>
      <c r="FP82" s="60">
        <v>2200</v>
      </c>
      <c r="FQ82" s="28">
        <f t="shared" si="1321"/>
        <v>220</v>
      </c>
      <c r="FR82" s="28">
        <f t="shared" si="1322"/>
        <v>176</v>
      </c>
      <c r="FS82" s="28">
        <f t="shared" si="1323"/>
        <v>183.33333333333334</v>
      </c>
      <c r="FT82" s="63">
        <f t="shared" si="1324"/>
        <v>61.111111111111114</v>
      </c>
      <c r="FU82" s="63">
        <f t="shared" si="1325"/>
        <v>183.33333333333334</v>
      </c>
      <c r="FV82" s="61">
        <f t="shared" ref="FV82:FV88" si="1363">SUM(FP82:FU82)</f>
        <v>3023.7777777777783</v>
      </c>
      <c r="FW82" s="62"/>
      <c r="FX82" s="62"/>
      <c r="FY82" s="62"/>
      <c r="FZ82" s="62"/>
      <c r="GA82" s="62"/>
      <c r="GB82" s="63">
        <f t="shared" si="1326"/>
        <v>0</v>
      </c>
      <c r="GC82" s="63">
        <f t="shared" si="1327"/>
        <v>0</v>
      </c>
      <c r="GD82" s="63">
        <f t="shared" si="1328"/>
        <v>0</v>
      </c>
      <c r="GE82" s="63">
        <f t="shared" si="1329"/>
        <v>0</v>
      </c>
      <c r="GF82" s="63">
        <f t="shared" si="1330"/>
        <v>0</v>
      </c>
      <c r="GG82" s="61">
        <f t="shared" si="1331"/>
        <v>0</v>
      </c>
      <c r="GH82" s="64">
        <v>0</v>
      </c>
      <c r="GI82" s="65">
        <f t="shared" si="1206"/>
        <v>0</v>
      </c>
      <c r="GJ82" s="212">
        <f t="shared" si="1207"/>
        <v>3023.7777777777783</v>
      </c>
      <c r="GK82" s="49">
        <v>0</v>
      </c>
      <c r="GL82" s="59" t="s">
        <v>202</v>
      </c>
      <c r="GM82" s="28">
        <f t="shared" si="1208"/>
        <v>10</v>
      </c>
      <c r="GN82" s="60">
        <v>2200</v>
      </c>
      <c r="GO82" s="28">
        <f t="shared" si="1332"/>
        <v>220</v>
      </c>
      <c r="GP82" s="28">
        <f t="shared" si="1333"/>
        <v>176</v>
      </c>
      <c r="GQ82" s="28">
        <f t="shared" si="1334"/>
        <v>183.33333333333334</v>
      </c>
      <c r="GR82" s="63">
        <f t="shared" si="1335"/>
        <v>61.111111111111114</v>
      </c>
      <c r="GS82" s="63">
        <f t="shared" si="1336"/>
        <v>183.33333333333334</v>
      </c>
      <c r="GT82" s="61">
        <f t="shared" ref="GT82:GT88" si="1364">SUM(GN82:GS82)</f>
        <v>3023.7777777777783</v>
      </c>
      <c r="GU82" s="62"/>
      <c r="GV82" s="62"/>
      <c r="GW82" s="62"/>
      <c r="GX82" s="62"/>
      <c r="GY82" s="62"/>
      <c r="GZ82" s="63">
        <f t="shared" si="1337"/>
        <v>0</v>
      </c>
      <c r="HA82" s="63">
        <f t="shared" si="1338"/>
        <v>0</v>
      </c>
      <c r="HB82" s="63">
        <f t="shared" si="1339"/>
        <v>0</v>
      </c>
      <c r="HC82" s="63">
        <f t="shared" si="1340"/>
        <v>0</v>
      </c>
      <c r="HD82" s="63">
        <f t="shared" si="1341"/>
        <v>0</v>
      </c>
      <c r="HE82" s="61">
        <f t="shared" si="1342"/>
        <v>0</v>
      </c>
      <c r="HF82" s="64">
        <v>0</v>
      </c>
      <c r="HG82" s="65">
        <f t="shared" si="1210"/>
        <v>0</v>
      </c>
      <c r="HH82" s="212">
        <f t="shared" si="1211"/>
        <v>3023.7777777777783</v>
      </c>
      <c r="HI82" s="49">
        <v>0</v>
      </c>
      <c r="HJ82" s="59" t="s">
        <v>202</v>
      </c>
      <c r="HK82" s="28">
        <f t="shared" si="1212"/>
        <v>10</v>
      </c>
      <c r="HL82" s="60">
        <v>2200</v>
      </c>
      <c r="HM82" s="28">
        <f t="shared" si="1343"/>
        <v>220</v>
      </c>
      <c r="HN82" s="28">
        <f t="shared" si="1344"/>
        <v>176</v>
      </c>
      <c r="HO82" s="28">
        <f t="shared" si="1345"/>
        <v>183.33333333333334</v>
      </c>
      <c r="HP82" s="63">
        <f t="shared" si="1346"/>
        <v>61.111111111111114</v>
      </c>
      <c r="HQ82" s="63">
        <f t="shared" si="1347"/>
        <v>183.33333333333334</v>
      </c>
      <c r="HR82" s="61">
        <f t="shared" ref="HR82:HR88" si="1365">SUM(HL82:HQ82)</f>
        <v>3023.7777777777783</v>
      </c>
      <c r="HS82" s="62"/>
      <c r="HT82" s="62"/>
      <c r="HU82" s="62"/>
      <c r="HV82" s="62"/>
      <c r="HW82" s="62"/>
      <c r="HX82" s="63">
        <f t="shared" si="1348"/>
        <v>0</v>
      </c>
      <c r="HY82" s="63">
        <f t="shared" si="1349"/>
        <v>0</v>
      </c>
      <c r="HZ82" s="63">
        <f t="shared" si="1350"/>
        <v>0</v>
      </c>
      <c r="IA82" s="63">
        <f t="shared" si="1351"/>
        <v>0</v>
      </c>
      <c r="IB82" s="63">
        <f t="shared" si="1352"/>
        <v>0</v>
      </c>
      <c r="IC82" s="61">
        <f t="shared" si="1353"/>
        <v>0</v>
      </c>
      <c r="ID82" s="64">
        <v>0</v>
      </c>
      <c r="IE82" s="65">
        <f t="shared" si="1214"/>
        <v>0</v>
      </c>
      <c r="IF82" s="212">
        <f t="shared" si="1215"/>
        <v>3023.7777777777783</v>
      </c>
      <c r="IG82" s="49">
        <v>0</v>
      </c>
      <c r="IH82" s="59" t="s">
        <v>202</v>
      </c>
      <c r="II82" s="28">
        <f t="shared" si="1216"/>
        <v>10</v>
      </c>
      <c r="IJ82" s="60">
        <v>2200</v>
      </c>
      <c r="IK82" s="28">
        <f t="shared" si="1217"/>
        <v>220</v>
      </c>
      <c r="IL82" s="28">
        <f t="shared" si="1218"/>
        <v>176</v>
      </c>
      <c r="IM82" s="28">
        <f t="shared" si="1219"/>
        <v>183.33333333333334</v>
      </c>
      <c r="IN82" s="63">
        <f t="shared" si="1220"/>
        <v>61.111111111111114</v>
      </c>
      <c r="IO82" s="63">
        <f t="shared" si="1221"/>
        <v>183.33333333333334</v>
      </c>
      <c r="IP82" s="61">
        <f t="shared" ref="IP82:IP88" si="1366">SUM(IJ82:IO82)</f>
        <v>3023.7777777777783</v>
      </c>
      <c r="IQ82" s="62"/>
      <c r="IR82" s="62"/>
      <c r="IS82" s="62"/>
      <c r="IT82" s="62"/>
      <c r="IU82" s="62"/>
      <c r="IV82" s="63">
        <f t="shared" si="1223"/>
        <v>0</v>
      </c>
      <c r="IW82" s="63">
        <f t="shared" si="1224"/>
        <v>0</v>
      </c>
      <c r="IX82" s="63">
        <f t="shared" si="1225"/>
        <v>0</v>
      </c>
      <c r="IY82" s="63">
        <f t="shared" si="1226"/>
        <v>0</v>
      </c>
      <c r="IZ82" s="63">
        <f t="shared" si="1227"/>
        <v>0</v>
      </c>
      <c r="JA82" s="61">
        <f t="shared" si="1354"/>
        <v>0</v>
      </c>
      <c r="JB82" s="64">
        <v>0</v>
      </c>
      <c r="JC82" s="65">
        <f t="shared" si="1228"/>
        <v>0</v>
      </c>
      <c r="JD82" s="476">
        <f t="shared" si="1229"/>
        <v>3023.7777777777783</v>
      </c>
      <c r="JE82" s="49">
        <v>0</v>
      </c>
      <c r="JF82" s="59" t="s">
        <v>202</v>
      </c>
      <c r="JG82" s="28">
        <f t="shared" si="1230"/>
        <v>10</v>
      </c>
      <c r="JH82" s="60">
        <v>2200</v>
      </c>
      <c r="JI82" s="28">
        <f t="shared" si="1231"/>
        <v>220</v>
      </c>
      <c r="JJ82" s="28">
        <f t="shared" si="1232"/>
        <v>176</v>
      </c>
      <c r="JK82" s="28">
        <f t="shared" si="1233"/>
        <v>183.33333333333334</v>
      </c>
      <c r="JL82" s="63">
        <f t="shared" si="1234"/>
        <v>61.111111111111114</v>
      </c>
      <c r="JM82" s="63">
        <f t="shared" si="1235"/>
        <v>183.33333333333334</v>
      </c>
      <c r="JN82" s="61">
        <f t="shared" ref="JN82:JN88" si="1367">SUM(JH82:JM82)</f>
        <v>3023.7777777777783</v>
      </c>
      <c r="JO82" s="62"/>
      <c r="JP82" s="62"/>
      <c r="JQ82" s="62"/>
      <c r="JR82" s="62"/>
      <c r="JS82" s="62"/>
      <c r="JT82" s="63">
        <f t="shared" si="1237"/>
        <v>0</v>
      </c>
      <c r="JU82" s="63">
        <f t="shared" si="1238"/>
        <v>0</v>
      </c>
      <c r="JV82" s="63">
        <f t="shared" si="1239"/>
        <v>0</v>
      </c>
      <c r="JW82" s="63">
        <f t="shared" si="1240"/>
        <v>0</v>
      </c>
      <c r="JX82" s="63">
        <f t="shared" si="1241"/>
        <v>0</v>
      </c>
      <c r="JY82" s="61">
        <f t="shared" si="1355"/>
        <v>0</v>
      </c>
      <c r="JZ82" s="64">
        <v>0</v>
      </c>
      <c r="KA82" s="65">
        <f t="shared" si="1242"/>
        <v>0</v>
      </c>
      <c r="KB82" s="476">
        <f t="shared" si="1243"/>
        <v>3023.7777777777783</v>
      </c>
      <c r="KC82" s="37"/>
      <c r="KD82" s="37"/>
      <c r="KE82" s="37"/>
      <c r="KF82" s="37"/>
      <c r="KG82" s="37"/>
      <c r="KH82" s="37"/>
      <c r="KI82" s="37"/>
      <c r="KJ82" s="37"/>
    </row>
    <row r="83" spans="1:296" x14ac:dyDescent="0.3">
      <c r="A83" s="49">
        <v>0</v>
      </c>
      <c r="B83" s="59" t="s">
        <v>203</v>
      </c>
      <c r="C83" s="28">
        <f t="shared" si="1176"/>
        <v>10.909090909090908</v>
      </c>
      <c r="D83" s="60">
        <v>2400</v>
      </c>
      <c r="E83" s="28">
        <f t="shared" si="1244"/>
        <v>240</v>
      </c>
      <c r="F83" s="28">
        <f t="shared" si="1245"/>
        <v>192</v>
      </c>
      <c r="G83" s="28">
        <f t="shared" si="1246"/>
        <v>200</v>
      </c>
      <c r="H83" s="63">
        <f t="shared" si="1247"/>
        <v>66.666666666666671</v>
      </c>
      <c r="I83" s="63">
        <f t="shared" si="1248"/>
        <v>200</v>
      </c>
      <c r="J83" s="61">
        <f t="shared" si="1356"/>
        <v>3298.6666666666665</v>
      </c>
      <c r="K83" s="62"/>
      <c r="L83" s="62"/>
      <c r="M83" s="62"/>
      <c r="N83" s="62"/>
      <c r="O83" s="62"/>
      <c r="P83" s="63">
        <f t="shared" si="1249"/>
        <v>0</v>
      </c>
      <c r="Q83" s="63">
        <f t="shared" si="1250"/>
        <v>0</v>
      </c>
      <c r="R83" s="63">
        <f t="shared" si="1251"/>
        <v>0</v>
      </c>
      <c r="S83" s="63">
        <f t="shared" si="1252"/>
        <v>0</v>
      </c>
      <c r="T83" s="63">
        <f t="shared" si="1253"/>
        <v>0</v>
      </c>
      <c r="U83" s="61">
        <f t="shared" si="1254"/>
        <v>0</v>
      </c>
      <c r="V83" s="64">
        <v>0</v>
      </c>
      <c r="W83" s="65">
        <f t="shared" si="1178"/>
        <v>0</v>
      </c>
      <c r="X83" s="212">
        <f t="shared" si="1179"/>
        <v>3298.6666666666665</v>
      </c>
      <c r="Y83" s="49">
        <v>0</v>
      </c>
      <c r="Z83" s="59" t="s">
        <v>203</v>
      </c>
      <c r="AA83" s="28">
        <f t="shared" si="1180"/>
        <v>10.909090909090908</v>
      </c>
      <c r="AB83" s="60">
        <v>2400</v>
      </c>
      <c r="AC83" s="28">
        <f t="shared" si="1255"/>
        <v>240</v>
      </c>
      <c r="AD83" s="28">
        <f t="shared" si="1256"/>
        <v>192</v>
      </c>
      <c r="AE83" s="28">
        <f t="shared" si="1257"/>
        <v>200</v>
      </c>
      <c r="AF83" s="63">
        <f t="shared" si="1258"/>
        <v>66.666666666666671</v>
      </c>
      <c r="AG83" s="63">
        <f t="shared" si="1259"/>
        <v>200</v>
      </c>
      <c r="AH83" s="61">
        <f t="shared" si="1357"/>
        <v>3298.6666666666665</v>
      </c>
      <c r="AI83" s="62"/>
      <c r="AJ83" s="62"/>
      <c r="AK83" s="62"/>
      <c r="AL83" s="62"/>
      <c r="AM83" s="62"/>
      <c r="AN83" s="63">
        <f t="shared" si="1260"/>
        <v>0</v>
      </c>
      <c r="AO83" s="63">
        <f t="shared" si="1261"/>
        <v>0</v>
      </c>
      <c r="AP83" s="63">
        <f t="shared" si="1262"/>
        <v>0</v>
      </c>
      <c r="AQ83" s="63">
        <f t="shared" si="1263"/>
        <v>0</v>
      </c>
      <c r="AR83" s="63">
        <f t="shared" si="1264"/>
        <v>0</v>
      </c>
      <c r="AS83" s="61">
        <f t="shared" si="1265"/>
        <v>0</v>
      </c>
      <c r="AT83" s="64">
        <v>0</v>
      </c>
      <c r="AU83" s="65">
        <f t="shared" si="1182"/>
        <v>0</v>
      </c>
      <c r="AV83" s="212">
        <f t="shared" si="1183"/>
        <v>3298.6666666666665</v>
      </c>
      <c r="AW83" s="49">
        <v>0</v>
      </c>
      <c r="AX83" s="59" t="s">
        <v>203</v>
      </c>
      <c r="AY83" s="28">
        <f t="shared" si="1184"/>
        <v>10.909090909090908</v>
      </c>
      <c r="AZ83" s="60">
        <v>2400</v>
      </c>
      <c r="BA83" s="28">
        <f t="shared" si="1266"/>
        <v>240</v>
      </c>
      <c r="BB83" s="28">
        <f t="shared" si="1267"/>
        <v>192</v>
      </c>
      <c r="BC83" s="28">
        <f t="shared" si="1268"/>
        <v>200</v>
      </c>
      <c r="BD83" s="63">
        <f t="shared" si="1269"/>
        <v>66.666666666666671</v>
      </c>
      <c r="BE83" s="63">
        <f t="shared" si="1270"/>
        <v>200</v>
      </c>
      <c r="BF83" s="61">
        <f t="shared" si="1358"/>
        <v>3298.6666666666665</v>
      </c>
      <c r="BG83" s="62"/>
      <c r="BH83" s="62"/>
      <c r="BI83" s="62"/>
      <c r="BJ83" s="62"/>
      <c r="BK83" s="62"/>
      <c r="BL83" s="63">
        <f t="shared" si="1271"/>
        <v>0</v>
      </c>
      <c r="BM83" s="63">
        <f t="shared" si="1272"/>
        <v>0</v>
      </c>
      <c r="BN83" s="63">
        <f t="shared" si="1273"/>
        <v>0</v>
      </c>
      <c r="BO83" s="63">
        <f t="shared" si="1274"/>
        <v>0</v>
      </c>
      <c r="BP83" s="63">
        <f t="shared" si="1275"/>
        <v>0</v>
      </c>
      <c r="BQ83" s="61">
        <f t="shared" si="1276"/>
        <v>0</v>
      </c>
      <c r="BR83" s="64">
        <v>0</v>
      </c>
      <c r="BS83" s="65">
        <f t="shared" si="1186"/>
        <v>0</v>
      </c>
      <c r="BT83" s="212">
        <f t="shared" si="1187"/>
        <v>3298.6666666666665</v>
      </c>
      <c r="BU83" s="49">
        <v>0</v>
      </c>
      <c r="BV83" s="59" t="s">
        <v>203</v>
      </c>
      <c r="BW83" s="28">
        <f t="shared" si="1188"/>
        <v>10.909090909090908</v>
      </c>
      <c r="BX83" s="60">
        <v>2400</v>
      </c>
      <c r="BY83" s="28">
        <f t="shared" si="1277"/>
        <v>240</v>
      </c>
      <c r="BZ83" s="28">
        <f t="shared" si="1278"/>
        <v>192</v>
      </c>
      <c r="CA83" s="28">
        <f t="shared" si="1279"/>
        <v>200</v>
      </c>
      <c r="CB83" s="63">
        <f t="shared" si="1280"/>
        <v>66.666666666666671</v>
      </c>
      <c r="CC83" s="63">
        <f t="shared" si="1281"/>
        <v>200</v>
      </c>
      <c r="CD83" s="61">
        <f t="shared" si="1359"/>
        <v>3298.6666666666665</v>
      </c>
      <c r="CE83" s="62"/>
      <c r="CF83" s="62"/>
      <c r="CG83" s="62"/>
      <c r="CH83" s="62"/>
      <c r="CI83" s="62"/>
      <c r="CJ83" s="63">
        <f t="shared" si="1282"/>
        <v>0</v>
      </c>
      <c r="CK83" s="63">
        <f t="shared" si="1283"/>
        <v>0</v>
      </c>
      <c r="CL83" s="63">
        <f t="shared" si="1284"/>
        <v>0</v>
      </c>
      <c r="CM83" s="63">
        <f t="shared" si="1285"/>
        <v>0</v>
      </c>
      <c r="CN83" s="63">
        <f t="shared" si="1286"/>
        <v>0</v>
      </c>
      <c r="CO83" s="61">
        <f t="shared" si="1287"/>
        <v>0</v>
      </c>
      <c r="CP83" s="64">
        <v>0</v>
      </c>
      <c r="CQ83" s="65">
        <f t="shared" si="1190"/>
        <v>0</v>
      </c>
      <c r="CR83" s="212">
        <f t="shared" si="1191"/>
        <v>3298.6666666666665</v>
      </c>
      <c r="CS83" s="49">
        <v>0</v>
      </c>
      <c r="CT83" s="59" t="s">
        <v>203</v>
      </c>
      <c r="CU83" s="28">
        <f t="shared" si="1192"/>
        <v>10.909090909090908</v>
      </c>
      <c r="CV83" s="60">
        <v>2400</v>
      </c>
      <c r="CW83" s="28">
        <f t="shared" si="1288"/>
        <v>240</v>
      </c>
      <c r="CX83" s="28">
        <f t="shared" si="1289"/>
        <v>192</v>
      </c>
      <c r="CY83" s="28">
        <f t="shared" si="1290"/>
        <v>200</v>
      </c>
      <c r="CZ83" s="63">
        <f t="shared" si="1291"/>
        <v>66.666666666666671</v>
      </c>
      <c r="DA83" s="63">
        <f t="shared" si="1292"/>
        <v>200</v>
      </c>
      <c r="DB83" s="61">
        <f t="shared" si="1360"/>
        <v>3298.6666666666665</v>
      </c>
      <c r="DC83" s="62"/>
      <c r="DD83" s="62"/>
      <c r="DE83" s="62"/>
      <c r="DF83" s="62"/>
      <c r="DG83" s="62"/>
      <c r="DH83" s="63">
        <f t="shared" si="1293"/>
        <v>0</v>
      </c>
      <c r="DI83" s="63">
        <f t="shared" si="1294"/>
        <v>0</v>
      </c>
      <c r="DJ83" s="63">
        <f t="shared" si="1295"/>
        <v>0</v>
      </c>
      <c r="DK83" s="63">
        <f t="shared" si="1296"/>
        <v>0</v>
      </c>
      <c r="DL83" s="63">
        <f t="shared" si="1297"/>
        <v>0</v>
      </c>
      <c r="DM83" s="61">
        <f t="shared" si="1298"/>
        <v>0</v>
      </c>
      <c r="DN83" s="64">
        <v>0</v>
      </c>
      <c r="DO83" s="65">
        <f t="shared" si="1194"/>
        <v>0</v>
      </c>
      <c r="DP83" s="212">
        <f t="shared" si="1195"/>
        <v>3298.6666666666665</v>
      </c>
      <c r="DQ83" s="49">
        <v>0</v>
      </c>
      <c r="DR83" s="59" t="s">
        <v>203</v>
      </c>
      <c r="DS83" s="28">
        <f t="shared" si="1196"/>
        <v>10.909090909090908</v>
      </c>
      <c r="DT83" s="60">
        <v>2400</v>
      </c>
      <c r="DU83" s="28">
        <f t="shared" si="1299"/>
        <v>240</v>
      </c>
      <c r="DV83" s="28">
        <f t="shared" si="1300"/>
        <v>192</v>
      </c>
      <c r="DW83" s="28">
        <f t="shared" si="1301"/>
        <v>200</v>
      </c>
      <c r="DX83" s="63">
        <f t="shared" si="1302"/>
        <v>66.666666666666671</v>
      </c>
      <c r="DY83" s="63">
        <f t="shared" si="1303"/>
        <v>200</v>
      </c>
      <c r="DZ83" s="61">
        <f t="shared" si="1361"/>
        <v>3298.6666666666665</v>
      </c>
      <c r="EA83" s="62"/>
      <c r="EB83" s="62"/>
      <c r="EC83" s="62"/>
      <c r="ED83" s="62"/>
      <c r="EE83" s="62"/>
      <c r="EF83" s="63">
        <f t="shared" si="1304"/>
        <v>0</v>
      </c>
      <c r="EG83" s="63">
        <f t="shared" si="1305"/>
        <v>0</v>
      </c>
      <c r="EH83" s="63">
        <f t="shared" si="1306"/>
        <v>0</v>
      </c>
      <c r="EI83" s="63">
        <f t="shared" si="1307"/>
        <v>0</v>
      </c>
      <c r="EJ83" s="63">
        <f t="shared" si="1308"/>
        <v>0</v>
      </c>
      <c r="EK83" s="61">
        <f t="shared" si="1309"/>
        <v>0</v>
      </c>
      <c r="EL83" s="64">
        <v>0</v>
      </c>
      <c r="EM83" s="65">
        <f t="shared" si="1198"/>
        <v>0</v>
      </c>
      <c r="EN83" s="212">
        <f t="shared" si="1199"/>
        <v>3298.6666666666665</v>
      </c>
      <c r="EO83" s="49">
        <v>0</v>
      </c>
      <c r="EP83" s="59" t="s">
        <v>203</v>
      </c>
      <c r="EQ83" s="28">
        <f t="shared" si="1200"/>
        <v>10.909090909090908</v>
      </c>
      <c r="ER83" s="60">
        <v>2400</v>
      </c>
      <c r="ES83" s="28">
        <f t="shared" si="1310"/>
        <v>240</v>
      </c>
      <c r="ET83" s="28">
        <f t="shared" si="1311"/>
        <v>192</v>
      </c>
      <c r="EU83" s="28">
        <f t="shared" si="1312"/>
        <v>200</v>
      </c>
      <c r="EV83" s="63">
        <f t="shared" si="1313"/>
        <v>66.666666666666671</v>
      </c>
      <c r="EW83" s="63">
        <f t="shared" si="1314"/>
        <v>200</v>
      </c>
      <c r="EX83" s="61">
        <f t="shared" si="1362"/>
        <v>3298.6666666666665</v>
      </c>
      <c r="EY83" s="62"/>
      <c r="EZ83" s="62"/>
      <c r="FA83" s="62"/>
      <c r="FB83" s="62"/>
      <c r="FC83" s="62"/>
      <c r="FD83" s="63">
        <f t="shared" si="1315"/>
        <v>0</v>
      </c>
      <c r="FE83" s="63">
        <f t="shared" si="1316"/>
        <v>0</v>
      </c>
      <c r="FF83" s="63">
        <f t="shared" si="1317"/>
        <v>0</v>
      </c>
      <c r="FG83" s="63">
        <f t="shared" si="1318"/>
        <v>0</v>
      </c>
      <c r="FH83" s="63">
        <f t="shared" si="1319"/>
        <v>0</v>
      </c>
      <c r="FI83" s="61">
        <f t="shared" si="1320"/>
        <v>0</v>
      </c>
      <c r="FJ83" s="64">
        <v>0</v>
      </c>
      <c r="FK83" s="65">
        <f t="shared" si="1202"/>
        <v>0</v>
      </c>
      <c r="FL83" s="212">
        <f t="shared" si="1203"/>
        <v>3298.6666666666665</v>
      </c>
      <c r="FM83" s="49">
        <v>0</v>
      </c>
      <c r="FN83" s="59" t="s">
        <v>203</v>
      </c>
      <c r="FO83" s="28">
        <f t="shared" si="1204"/>
        <v>10.909090909090908</v>
      </c>
      <c r="FP83" s="60">
        <v>2400</v>
      </c>
      <c r="FQ83" s="28">
        <f t="shared" si="1321"/>
        <v>240</v>
      </c>
      <c r="FR83" s="28">
        <f t="shared" si="1322"/>
        <v>192</v>
      </c>
      <c r="FS83" s="28">
        <f t="shared" si="1323"/>
        <v>200</v>
      </c>
      <c r="FT83" s="63">
        <f t="shared" si="1324"/>
        <v>66.666666666666671</v>
      </c>
      <c r="FU83" s="63">
        <f t="shared" si="1325"/>
        <v>200</v>
      </c>
      <c r="FV83" s="61">
        <f t="shared" si="1363"/>
        <v>3298.6666666666665</v>
      </c>
      <c r="FW83" s="62"/>
      <c r="FX83" s="62"/>
      <c r="FY83" s="62"/>
      <c r="FZ83" s="62"/>
      <c r="GA83" s="62"/>
      <c r="GB83" s="63">
        <f t="shared" si="1326"/>
        <v>0</v>
      </c>
      <c r="GC83" s="63">
        <f t="shared" si="1327"/>
        <v>0</v>
      </c>
      <c r="GD83" s="63">
        <f t="shared" si="1328"/>
        <v>0</v>
      </c>
      <c r="GE83" s="63">
        <f t="shared" si="1329"/>
        <v>0</v>
      </c>
      <c r="GF83" s="63">
        <f t="shared" si="1330"/>
        <v>0</v>
      </c>
      <c r="GG83" s="61">
        <f t="shared" si="1331"/>
        <v>0</v>
      </c>
      <c r="GH83" s="64">
        <v>0</v>
      </c>
      <c r="GI83" s="65">
        <f t="shared" si="1206"/>
        <v>0</v>
      </c>
      <c r="GJ83" s="212">
        <f t="shared" si="1207"/>
        <v>3298.6666666666665</v>
      </c>
      <c r="GK83" s="49">
        <v>0</v>
      </c>
      <c r="GL83" s="59" t="s">
        <v>203</v>
      </c>
      <c r="GM83" s="28">
        <f t="shared" si="1208"/>
        <v>10.909090909090908</v>
      </c>
      <c r="GN83" s="60">
        <v>2400</v>
      </c>
      <c r="GO83" s="28">
        <f t="shared" si="1332"/>
        <v>240</v>
      </c>
      <c r="GP83" s="28">
        <f t="shared" si="1333"/>
        <v>192</v>
      </c>
      <c r="GQ83" s="28">
        <f t="shared" si="1334"/>
        <v>200</v>
      </c>
      <c r="GR83" s="63">
        <f t="shared" si="1335"/>
        <v>66.666666666666671</v>
      </c>
      <c r="GS83" s="63">
        <f t="shared" si="1336"/>
        <v>200</v>
      </c>
      <c r="GT83" s="61">
        <f t="shared" si="1364"/>
        <v>3298.6666666666665</v>
      </c>
      <c r="GU83" s="62"/>
      <c r="GV83" s="62"/>
      <c r="GW83" s="62"/>
      <c r="GX83" s="62"/>
      <c r="GY83" s="62"/>
      <c r="GZ83" s="63">
        <f t="shared" si="1337"/>
        <v>0</v>
      </c>
      <c r="HA83" s="63">
        <f t="shared" si="1338"/>
        <v>0</v>
      </c>
      <c r="HB83" s="63">
        <f t="shared" si="1339"/>
        <v>0</v>
      </c>
      <c r="HC83" s="63">
        <f t="shared" si="1340"/>
        <v>0</v>
      </c>
      <c r="HD83" s="63">
        <f t="shared" si="1341"/>
        <v>0</v>
      </c>
      <c r="HE83" s="61">
        <f t="shared" si="1342"/>
        <v>0</v>
      </c>
      <c r="HF83" s="64">
        <v>0</v>
      </c>
      <c r="HG83" s="65">
        <f t="shared" si="1210"/>
        <v>0</v>
      </c>
      <c r="HH83" s="212">
        <f t="shared" si="1211"/>
        <v>3298.6666666666665</v>
      </c>
      <c r="HI83" s="49">
        <v>0</v>
      </c>
      <c r="HJ83" s="59" t="s">
        <v>203</v>
      </c>
      <c r="HK83" s="28">
        <f t="shared" si="1212"/>
        <v>10.909090909090908</v>
      </c>
      <c r="HL83" s="60">
        <v>2400</v>
      </c>
      <c r="HM83" s="28">
        <f t="shared" si="1343"/>
        <v>240</v>
      </c>
      <c r="HN83" s="28">
        <f t="shared" si="1344"/>
        <v>192</v>
      </c>
      <c r="HO83" s="28">
        <f t="shared" si="1345"/>
        <v>200</v>
      </c>
      <c r="HP83" s="63">
        <f t="shared" si="1346"/>
        <v>66.666666666666671</v>
      </c>
      <c r="HQ83" s="63">
        <f t="shared" si="1347"/>
        <v>200</v>
      </c>
      <c r="HR83" s="61">
        <f t="shared" si="1365"/>
        <v>3298.6666666666665</v>
      </c>
      <c r="HS83" s="62"/>
      <c r="HT83" s="62"/>
      <c r="HU83" s="62"/>
      <c r="HV83" s="62"/>
      <c r="HW83" s="62"/>
      <c r="HX83" s="63">
        <f t="shared" si="1348"/>
        <v>0</v>
      </c>
      <c r="HY83" s="63">
        <f t="shared" si="1349"/>
        <v>0</v>
      </c>
      <c r="HZ83" s="63">
        <f t="shared" si="1350"/>
        <v>0</v>
      </c>
      <c r="IA83" s="63">
        <f t="shared" si="1351"/>
        <v>0</v>
      </c>
      <c r="IB83" s="63">
        <f t="shared" si="1352"/>
        <v>0</v>
      </c>
      <c r="IC83" s="61">
        <f t="shared" si="1353"/>
        <v>0</v>
      </c>
      <c r="ID83" s="64">
        <v>0</v>
      </c>
      <c r="IE83" s="65">
        <f t="shared" si="1214"/>
        <v>0</v>
      </c>
      <c r="IF83" s="212">
        <f t="shared" si="1215"/>
        <v>3298.6666666666665</v>
      </c>
      <c r="IG83" s="49">
        <v>0</v>
      </c>
      <c r="IH83" s="59" t="s">
        <v>203</v>
      </c>
      <c r="II83" s="28">
        <f t="shared" si="1216"/>
        <v>10.909090909090908</v>
      </c>
      <c r="IJ83" s="60">
        <v>2400</v>
      </c>
      <c r="IK83" s="28">
        <f t="shared" si="1217"/>
        <v>240</v>
      </c>
      <c r="IL83" s="28">
        <f t="shared" si="1218"/>
        <v>192</v>
      </c>
      <c r="IM83" s="28">
        <f t="shared" si="1219"/>
        <v>200</v>
      </c>
      <c r="IN83" s="63">
        <f t="shared" si="1220"/>
        <v>66.666666666666671</v>
      </c>
      <c r="IO83" s="63">
        <f t="shared" si="1221"/>
        <v>200</v>
      </c>
      <c r="IP83" s="61">
        <f t="shared" si="1366"/>
        <v>3298.6666666666665</v>
      </c>
      <c r="IQ83" s="62"/>
      <c r="IR83" s="62"/>
      <c r="IS83" s="62"/>
      <c r="IT83" s="62"/>
      <c r="IU83" s="62"/>
      <c r="IV83" s="63">
        <f t="shared" si="1223"/>
        <v>0</v>
      </c>
      <c r="IW83" s="63">
        <f t="shared" si="1224"/>
        <v>0</v>
      </c>
      <c r="IX83" s="63">
        <f t="shared" si="1225"/>
        <v>0</v>
      </c>
      <c r="IY83" s="63">
        <f t="shared" si="1226"/>
        <v>0</v>
      </c>
      <c r="IZ83" s="63">
        <f t="shared" si="1227"/>
        <v>0</v>
      </c>
      <c r="JA83" s="61">
        <f t="shared" si="1354"/>
        <v>0</v>
      </c>
      <c r="JB83" s="64">
        <v>0</v>
      </c>
      <c r="JC83" s="65">
        <f t="shared" si="1228"/>
        <v>0</v>
      </c>
      <c r="JD83" s="476">
        <f t="shared" si="1229"/>
        <v>3298.6666666666665</v>
      </c>
      <c r="JE83" s="49">
        <v>0</v>
      </c>
      <c r="JF83" s="59" t="s">
        <v>203</v>
      </c>
      <c r="JG83" s="28">
        <f t="shared" si="1230"/>
        <v>10.909090909090908</v>
      </c>
      <c r="JH83" s="60">
        <v>2400</v>
      </c>
      <c r="JI83" s="28">
        <f t="shared" si="1231"/>
        <v>240</v>
      </c>
      <c r="JJ83" s="28">
        <f t="shared" si="1232"/>
        <v>192</v>
      </c>
      <c r="JK83" s="28">
        <f t="shared" si="1233"/>
        <v>200</v>
      </c>
      <c r="JL83" s="63">
        <f t="shared" si="1234"/>
        <v>66.666666666666671</v>
      </c>
      <c r="JM83" s="63">
        <f t="shared" si="1235"/>
        <v>200</v>
      </c>
      <c r="JN83" s="61">
        <f t="shared" si="1367"/>
        <v>3298.6666666666665</v>
      </c>
      <c r="JO83" s="62"/>
      <c r="JP83" s="62"/>
      <c r="JQ83" s="62"/>
      <c r="JR83" s="62"/>
      <c r="JS83" s="62"/>
      <c r="JT83" s="63">
        <f t="shared" si="1237"/>
        <v>0</v>
      </c>
      <c r="JU83" s="63">
        <f t="shared" si="1238"/>
        <v>0</v>
      </c>
      <c r="JV83" s="63">
        <f t="shared" si="1239"/>
        <v>0</v>
      </c>
      <c r="JW83" s="63">
        <f t="shared" si="1240"/>
        <v>0</v>
      </c>
      <c r="JX83" s="63">
        <f t="shared" si="1241"/>
        <v>0</v>
      </c>
      <c r="JY83" s="61">
        <f t="shared" si="1355"/>
        <v>0</v>
      </c>
      <c r="JZ83" s="64">
        <v>0</v>
      </c>
      <c r="KA83" s="65">
        <f t="shared" si="1242"/>
        <v>0</v>
      </c>
      <c r="KB83" s="476">
        <f t="shared" si="1243"/>
        <v>3298.6666666666665</v>
      </c>
      <c r="KC83" s="37"/>
      <c r="KD83" s="37"/>
      <c r="KE83" s="37"/>
      <c r="KF83" s="37"/>
      <c r="KG83" s="37"/>
      <c r="KH83" s="37"/>
      <c r="KI83" s="37"/>
      <c r="KJ83" s="37"/>
    </row>
    <row r="84" spans="1:296" x14ac:dyDescent="0.3">
      <c r="A84" s="49">
        <v>0</v>
      </c>
      <c r="B84" s="59" t="s">
        <v>204</v>
      </c>
      <c r="C84" s="28">
        <f t="shared" si="1176"/>
        <v>25</v>
      </c>
      <c r="D84" s="60">
        <v>5500</v>
      </c>
      <c r="E84" s="28">
        <f t="shared" si="1244"/>
        <v>550</v>
      </c>
      <c r="F84" s="28">
        <f t="shared" si="1245"/>
        <v>440</v>
      </c>
      <c r="G84" s="28">
        <f t="shared" si="1246"/>
        <v>458.33333333333331</v>
      </c>
      <c r="H84" s="63">
        <f t="shared" si="1247"/>
        <v>152.77777777777777</v>
      </c>
      <c r="I84" s="63">
        <f t="shared" si="1248"/>
        <v>458.33333333333331</v>
      </c>
      <c r="J84" s="61">
        <f t="shared" si="1356"/>
        <v>7559.4444444444434</v>
      </c>
      <c r="K84" s="62"/>
      <c r="L84" s="62"/>
      <c r="M84" s="62"/>
      <c r="N84" s="62"/>
      <c r="O84" s="62"/>
      <c r="P84" s="63">
        <f t="shared" si="1249"/>
        <v>0</v>
      </c>
      <c r="Q84" s="63">
        <f t="shared" si="1250"/>
        <v>0</v>
      </c>
      <c r="R84" s="63">
        <f t="shared" si="1251"/>
        <v>0</v>
      </c>
      <c r="S84" s="63">
        <f t="shared" si="1252"/>
        <v>0</v>
      </c>
      <c r="T84" s="63">
        <f t="shared" si="1253"/>
        <v>0</v>
      </c>
      <c r="U84" s="61">
        <f t="shared" si="1254"/>
        <v>0</v>
      </c>
      <c r="V84" s="64">
        <v>0</v>
      </c>
      <c r="W84" s="65">
        <f t="shared" si="1178"/>
        <v>0</v>
      </c>
      <c r="X84" s="212">
        <f t="shared" si="1179"/>
        <v>7559.4444444444434</v>
      </c>
      <c r="Y84" s="49">
        <v>0</v>
      </c>
      <c r="Z84" s="59" t="s">
        <v>204</v>
      </c>
      <c r="AA84" s="28">
        <f t="shared" si="1180"/>
        <v>25</v>
      </c>
      <c r="AB84" s="60">
        <v>5500</v>
      </c>
      <c r="AC84" s="28">
        <f t="shared" si="1255"/>
        <v>550</v>
      </c>
      <c r="AD84" s="28">
        <f t="shared" si="1256"/>
        <v>440</v>
      </c>
      <c r="AE84" s="28">
        <f t="shared" si="1257"/>
        <v>458.33333333333331</v>
      </c>
      <c r="AF84" s="63">
        <f t="shared" si="1258"/>
        <v>152.77777777777777</v>
      </c>
      <c r="AG84" s="63">
        <f t="shared" si="1259"/>
        <v>458.33333333333331</v>
      </c>
      <c r="AH84" s="61">
        <f t="shared" si="1357"/>
        <v>7559.4444444444434</v>
      </c>
      <c r="AI84" s="62"/>
      <c r="AJ84" s="62"/>
      <c r="AK84" s="62"/>
      <c r="AL84" s="62"/>
      <c r="AM84" s="62"/>
      <c r="AN84" s="63">
        <f t="shared" si="1260"/>
        <v>0</v>
      </c>
      <c r="AO84" s="63">
        <f t="shared" si="1261"/>
        <v>0</v>
      </c>
      <c r="AP84" s="63">
        <f t="shared" si="1262"/>
        <v>0</v>
      </c>
      <c r="AQ84" s="63">
        <f t="shared" si="1263"/>
        <v>0</v>
      </c>
      <c r="AR84" s="63">
        <f t="shared" si="1264"/>
        <v>0</v>
      </c>
      <c r="AS84" s="61">
        <f t="shared" si="1265"/>
        <v>0</v>
      </c>
      <c r="AT84" s="64">
        <v>0</v>
      </c>
      <c r="AU84" s="65">
        <f t="shared" si="1182"/>
        <v>0</v>
      </c>
      <c r="AV84" s="212">
        <f t="shared" si="1183"/>
        <v>7559.4444444444434</v>
      </c>
      <c r="AW84" s="49">
        <v>0</v>
      </c>
      <c r="AX84" s="59" t="s">
        <v>204</v>
      </c>
      <c r="AY84" s="28">
        <f t="shared" si="1184"/>
        <v>25</v>
      </c>
      <c r="AZ84" s="60">
        <v>5500</v>
      </c>
      <c r="BA84" s="28">
        <f t="shared" si="1266"/>
        <v>550</v>
      </c>
      <c r="BB84" s="28">
        <f t="shared" si="1267"/>
        <v>440</v>
      </c>
      <c r="BC84" s="28">
        <f t="shared" si="1268"/>
        <v>458.33333333333331</v>
      </c>
      <c r="BD84" s="63">
        <f t="shared" si="1269"/>
        <v>152.77777777777777</v>
      </c>
      <c r="BE84" s="63">
        <f t="shared" si="1270"/>
        <v>458.33333333333331</v>
      </c>
      <c r="BF84" s="61">
        <f t="shared" si="1358"/>
        <v>7559.4444444444434</v>
      </c>
      <c r="BG84" s="62"/>
      <c r="BH84" s="62"/>
      <c r="BI84" s="62"/>
      <c r="BJ84" s="62"/>
      <c r="BK84" s="62"/>
      <c r="BL84" s="63">
        <f t="shared" si="1271"/>
        <v>0</v>
      </c>
      <c r="BM84" s="63">
        <f t="shared" si="1272"/>
        <v>0</v>
      </c>
      <c r="BN84" s="63">
        <f t="shared" si="1273"/>
        <v>0</v>
      </c>
      <c r="BO84" s="63">
        <f t="shared" si="1274"/>
        <v>0</v>
      </c>
      <c r="BP84" s="63">
        <f t="shared" si="1275"/>
        <v>0</v>
      </c>
      <c r="BQ84" s="61">
        <f t="shared" si="1276"/>
        <v>0</v>
      </c>
      <c r="BR84" s="64">
        <v>0</v>
      </c>
      <c r="BS84" s="65">
        <f t="shared" si="1186"/>
        <v>0</v>
      </c>
      <c r="BT84" s="212">
        <f t="shared" si="1187"/>
        <v>7559.4444444444434</v>
      </c>
      <c r="BU84" s="49">
        <v>0</v>
      </c>
      <c r="BV84" s="59" t="s">
        <v>204</v>
      </c>
      <c r="BW84" s="28">
        <f t="shared" si="1188"/>
        <v>25</v>
      </c>
      <c r="BX84" s="60">
        <v>5500</v>
      </c>
      <c r="BY84" s="28">
        <f t="shared" si="1277"/>
        <v>550</v>
      </c>
      <c r="BZ84" s="28">
        <f t="shared" si="1278"/>
        <v>440</v>
      </c>
      <c r="CA84" s="28">
        <f t="shared" si="1279"/>
        <v>458.33333333333331</v>
      </c>
      <c r="CB84" s="63">
        <f t="shared" si="1280"/>
        <v>152.77777777777777</v>
      </c>
      <c r="CC84" s="63">
        <f t="shared" si="1281"/>
        <v>458.33333333333331</v>
      </c>
      <c r="CD84" s="61">
        <f t="shared" si="1359"/>
        <v>7559.4444444444434</v>
      </c>
      <c r="CE84" s="62"/>
      <c r="CF84" s="62"/>
      <c r="CG84" s="62"/>
      <c r="CH84" s="62"/>
      <c r="CI84" s="62"/>
      <c r="CJ84" s="63">
        <f t="shared" si="1282"/>
        <v>0</v>
      </c>
      <c r="CK84" s="63">
        <f t="shared" si="1283"/>
        <v>0</v>
      </c>
      <c r="CL84" s="63">
        <f t="shared" si="1284"/>
        <v>0</v>
      </c>
      <c r="CM84" s="63">
        <f t="shared" si="1285"/>
        <v>0</v>
      </c>
      <c r="CN84" s="63">
        <f t="shared" si="1286"/>
        <v>0</v>
      </c>
      <c r="CO84" s="61">
        <f t="shared" si="1287"/>
        <v>0</v>
      </c>
      <c r="CP84" s="64">
        <v>0</v>
      </c>
      <c r="CQ84" s="65">
        <f t="shared" si="1190"/>
        <v>0</v>
      </c>
      <c r="CR84" s="212">
        <f t="shared" si="1191"/>
        <v>7559.4444444444434</v>
      </c>
      <c r="CS84" s="49">
        <v>0</v>
      </c>
      <c r="CT84" s="59" t="s">
        <v>204</v>
      </c>
      <c r="CU84" s="28">
        <f t="shared" si="1192"/>
        <v>25</v>
      </c>
      <c r="CV84" s="60">
        <v>5500</v>
      </c>
      <c r="CW84" s="28">
        <f t="shared" si="1288"/>
        <v>550</v>
      </c>
      <c r="CX84" s="28">
        <f t="shared" si="1289"/>
        <v>440</v>
      </c>
      <c r="CY84" s="28">
        <f t="shared" si="1290"/>
        <v>458.33333333333331</v>
      </c>
      <c r="CZ84" s="63">
        <f t="shared" si="1291"/>
        <v>152.77777777777777</v>
      </c>
      <c r="DA84" s="63">
        <f t="shared" si="1292"/>
        <v>458.33333333333331</v>
      </c>
      <c r="DB84" s="61">
        <f t="shared" si="1360"/>
        <v>7559.4444444444434</v>
      </c>
      <c r="DC84" s="62"/>
      <c r="DD84" s="62"/>
      <c r="DE84" s="62"/>
      <c r="DF84" s="62"/>
      <c r="DG84" s="62"/>
      <c r="DH84" s="63">
        <f t="shared" si="1293"/>
        <v>0</v>
      </c>
      <c r="DI84" s="63">
        <f t="shared" si="1294"/>
        <v>0</v>
      </c>
      <c r="DJ84" s="63">
        <f t="shared" si="1295"/>
        <v>0</v>
      </c>
      <c r="DK84" s="63">
        <f t="shared" si="1296"/>
        <v>0</v>
      </c>
      <c r="DL84" s="63">
        <f t="shared" si="1297"/>
        <v>0</v>
      </c>
      <c r="DM84" s="61">
        <f t="shared" si="1298"/>
        <v>0</v>
      </c>
      <c r="DN84" s="64">
        <v>0</v>
      </c>
      <c r="DO84" s="65">
        <f t="shared" si="1194"/>
        <v>0</v>
      </c>
      <c r="DP84" s="212">
        <f t="shared" si="1195"/>
        <v>7559.4444444444434</v>
      </c>
      <c r="DQ84" s="49">
        <v>0</v>
      </c>
      <c r="DR84" s="59" t="s">
        <v>204</v>
      </c>
      <c r="DS84" s="28">
        <f t="shared" si="1196"/>
        <v>25</v>
      </c>
      <c r="DT84" s="60">
        <v>5500</v>
      </c>
      <c r="DU84" s="28">
        <f t="shared" si="1299"/>
        <v>550</v>
      </c>
      <c r="DV84" s="28">
        <f t="shared" si="1300"/>
        <v>440</v>
      </c>
      <c r="DW84" s="28">
        <f t="shared" si="1301"/>
        <v>458.33333333333331</v>
      </c>
      <c r="DX84" s="63">
        <f t="shared" si="1302"/>
        <v>152.77777777777777</v>
      </c>
      <c r="DY84" s="63">
        <f t="shared" si="1303"/>
        <v>458.33333333333331</v>
      </c>
      <c r="DZ84" s="61">
        <f t="shared" si="1361"/>
        <v>7559.4444444444434</v>
      </c>
      <c r="EA84" s="62"/>
      <c r="EB84" s="62"/>
      <c r="EC84" s="62"/>
      <c r="ED84" s="62"/>
      <c r="EE84" s="62"/>
      <c r="EF84" s="63">
        <f t="shared" si="1304"/>
        <v>0</v>
      </c>
      <c r="EG84" s="63">
        <f t="shared" si="1305"/>
        <v>0</v>
      </c>
      <c r="EH84" s="63">
        <f t="shared" si="1306"/>
        <v>0</v>
      </c>
      <c r="EI84" s="63">
        <f t="shared" si="1307"/>
        <v>0</v>
      </c>
      <c r="EJ84" s="63">
        <f t="shared" si="1308"/>
        <v>0</v>
      </c>
      <c r="EK84" s="61">
        <f t="shared" si="1309"/>
        <v>0</v>
      </c>
      <c r="EL84" s="64">
        <v>0</v>
      </c>
      <c r="EM84" s="65">
        <f t="shared" si="1198"/>
        <v>0</v>
      </c>
      <c r="EN84" s="212">
        <f t="shared" si="1199"/>
        <v>7559.4444444444434</v>
      </c>
      <c r="EO84" s="49">
        <v>0</v>
      </c>
      <c r="EP84" s="59" t="s">
        <v>204</v>
      </c>
      <c r="EQ84" s="28">
        <f t="shared" si="1200"/>
        <v>25</v>
      </c>
      <c r="ER84" s="60">
        <v>5500</v>
      </c>
      <c r="ES84" s="28">
        <f t="shared" si="1310"/>
        <v>550</v>
      </c>
      <c r="ET84" s="28">
        <f t="shared" si="1311"/>
        <v>440</v>
      </c>
      <c r="EU84" s="28">
        <f t="shared" si="1312"/>
        <v>458.33333333333331</v>
      </c>
      <c r="EV84" s="63">
        <f t="shared" si="1313"/>
        <v>152.77777777777777</v>
      </c>
      <c r="EW84" s="63">
        <f t="shared" si="1314"/>
        <v>458.33333333333331</v>
      </c>
      <c r="EX84" s="61">
        <f t="shared" si="1362"/>
        <v>7559.4444444444434</v>
      </c>
      <c r="EY84" s="62"/>
      <c r="EZ84" s="62"/>
      <c r="FA84" s="62"/>
      <c r="FB84" s="62"/>
      <c r="FC84" s="62"/>
      <c r="FD84" s="63">
        <f t="shared" si="1315"/>
        <v>0</v>
      </c>
      <c r="FE84" s="63">
        <f t="shared" si="1316"/>
        <v>0</v>
      </c>
      <c r="FF84" s="63">
        <f t="shared" si="1317"/>
        <v>0</v>
      </c>
      <c r="FG84" s="63">
        <f t="shared" si="1318"/>
        <v>0</v>
      </c>
      <c r="FH84" s="63">
        <f t="shared" si="1319"/>
        <v>0</v>
      </c>
      <c r="FI84" s="61">
        <f t="shared" si="1320"/>
        <v>0</v>
      </c>
      <c r="FJ84" s="64">
        <v>0</v>
      </c>
      <c r="FK84" s="65">
        <f t="shared" si="1202"/>
        <v>0</v>
      </c>
      <c r="FL84" s="212">
        <f t="shared" si="1203"/>
        <v>7559.4444444444434</v>
      </c>
      <c r="FM84" s="49">
        <v>0</v>
      </c>
      <c r="FN84" s="59" t="s">
        <v>204</v>
      </c>
      <c r="FO84" s="28">
        <f t="shared" si="1204"/>
        <v>25</v>
      </c>
      <c r="FP84" s="60">
        <v>5500</v>
      </c>
      <c r="FQ84" s="28">
        <f t="shared" si="1321"/>
        <v>550</v>
      </c>
      <c r="FR84" s="28">
        <f t="shared" si="1322"/>
        <v>440</v>
      </c>
      <c r="FS84" s="28">
        <f t="shared" si="1323"/>
        <v>458.33333333333331</v>
      </c>
      <c r="FT84" s="63">
        <f t="shared" si="1324"/>
        <v>152.77777777777777</v>
      </c>
      <c r="FU84" s="63">
        <f t="shared" si="1325"/>
        <v>458.33333333333331</v>
      </c>
      <c r="FV84" s="61">
        <f t="shared" si="1363"/>
        <v>7559.4444444444434</v>
      </c>
      <c r="FW84" s="62"/>
      <c r="FX84" s="62"/>
      <c r="FY84" s="62"/>
      <c r="FZ84" s="62"/>
      <c r="GA84" s="62"/>
      <c r="GB84" s="63">
        <f t="shared" si="1326"/>
        <v>0</v>
      </c>
      <c r="GC84" s="63">
        <f t="shared" si="1327"/>
        <v>0</v>
      </c>
      <c r="GD84" s="63">
        <f t="shared" si="1328"/>
        <v>0</v>
      </c>
      <c r="GE84" s="63">
        <f t="shared" si="1329"/>
        <v>0</v>
      </c>
      <c r="GF84" s="63">
        <f t="shared" si="1330"/>
        <v>0</v>
      </c>
      <c r="GG84" s="61">
        <f t="shared" si="1331"/>
        <v>0</v>
      </c>
      <c r="GH84" s="64">
        <v>0</v>
      </c>
      <c r="GI84" s="65">
        <f t="shared" si="1206"/>
        <v>0</v>
      </c>
      <c r="GJ84" s="212">
        <f t="shared" si="1207"/>
        <v>7559.4444444444434</v>
      </c>
      <c r="GK84" s="49">
        <v>0</v>
      </c>
      <c r="GL84" s="59" t="s">
        <v>204</v>
      </c>
      <c r="GM84" s="28">
        <f t="shared" si="1208"/>
        <v>25</v>
      </c>
      <c r="GN84" s="60">
        <v>5500</v>
      </c>
      <c r="GO84" s="28">
        <f t="shared" si="1332"/>
        <v>550</v>
      </c>
      <c r="GP84" s="28">
        <f t="shared" si="1333"/>
        <v>440</v>
      </c>
      <c r="GQ84" s="28">
        <f t="shared" si="1334"/>
        <v>458.33333333333331</v>
      </c>
      <c r="GR84" s="63">
        <f t="shared" si="1335"/>
        <v>152.77777777777777</v>
      </c>
      <c r="GS84" s="63">
        <f t="shared" si="1336"/>
        <v>458.33333333333331</v>
      </c>
      <c r="GT84" s="61">
        <f t="shared" si="1364"/>
        <v>7559.4444444444434</v>
      </c>
      <c r="GU84" s="62"/>
      <c r="GV84" s="62"/>
      <c r="GW84" s="62"/>
      <c r="GX84" s="62"/>
      <c r="GY84" s="62"/>
      <c r="GZ84" s="63">
        <f t="shared" si="1337"/>
        <v>0</v>
      </c>
      <c r="HA84" s="63">
        <f t="shared" si="1338"/>
        <v>0</v>
      </c>
      <c r="HB84" s="63">
        <f t="shared" si="1339"/>
        <v>0</v>
      </c>
      <c r="HC84" s="63">
        <f t="shared" si="1340"/>
        <v>0</v>
      </c>
      <c r="HD84" s="63">
        <f t="shared" si="1341"/>
        <v>0</v>
      </c>
      <c r="HE84" s="61">
        <f t="shared" si="1342"/>
        <v>0</v>
      </c>
      <c r="HF84" s="64">
        <v>0</v>
      </c>
      <c r="HG84" s="65">
        <f t="shared" si="1210"/>
        <v>0</v>
      </c>
      <c r="HH84" s="212">
        <f t="shared" si="1211"/>
        <v>7559.4444444444434</v>
      </c>
      <c r="HI84" s="49">
        <v>0</v>
      </c>
      <c r="HJ84" s="59" t="s">
        <v>204</v>
      </c>
      <c r="HK84" s="28">
        <f t="shared" si="1212"/>
        <v>25</v>
      </c>
      <c r="HL84" s="60">
        <v>5500</v>
      </c>
      <c r="HM84" s="28">
        <f t="shared" si="1343"/>
        <v>550</v>
      </c>
      <c r="HN84" s="28">
        <f t="shared" si="1344"/>
        <v>440</v>
      </c>
      <c r="HO84" s="28">
        <f t="shared" si="1345"/>
        <v>458.33333333333331</v>
      </c>
      <c r="HP84" s="63">
        <f t="shared" si="1346"/>
        <v>152.77777777777777</v>
      </c>
      <c r="HQ84" s="63">
        <f t="shared" si="1347"/>
        <v>458.33333333333331</v>
      </c>
      <c r="HR84" s="61">
        <f t="shared" si="1365"/>
        <v>7559.4444444444434</v>
      </c>
      <c r="HS84" s="62"/>
      <c r="HT84" s="62"/>
      <c r="HU84" s="62"/>
      <c r="HV84" s="62"/>
      <c r="HW84" s="62"/>
      <c r="HX84" s="63">
        <f t="shared" si="1348"/>
        <v>0</v>
      </c>
      <c r="HY84" s="63">
        <f t="shared" si="1349"/>
        <v>0</v>
      </c>
      <c r="HZ84" s="63">
        <f t="shared" si="1350"/>
        <v>0</v>
      </c>
      <c r="IA84" s="63">
        <f t="shared" si="1351"/>
        <v>0</v>
      </c>
      <c r="IB84" s="63">
        <f t="shared" si="1352"/>
        <v>0</v>
      </c>
      <c r="IC84" s="61">
        <f t="shared" si="1353"/>
        <v>0</v>
      </c>
      <c r="ID84" s="64">
        <v>0</v>
      </c>
      <c r="IE84" s="65">
        <f t="shared" si="1214"/>
        <v>0</v>
      </c>
      <c r="IF84" s="212">
        <f t="shared" si="1215"/>
        <v>7559.4444444444434</v>
      </c>
      <c r="IG84" s="49">
        <v>0</v>
      </c>
      <c r="IH84" s="59" t="s">
        <v>204</v>
      </c>
      <c r="II84" s="28">
        <f t="shared" si="1216"/>
        <v>25</v>
      </c>
      <c r="IJ84" s="60">
        <v>5500</v>
      </c>
      <c r="IK84" s="28">
        <f t="shared" si="1217"/>
        <v>550</v>
      </c>
      <c r="IL84" s="28">
        <f t="shared" si="1218"/>
        <v>440</v>
      </c>
      <c r="IM84" s="28">
        <f t="shared" si="1219"/>
        <v>458.33333333333331</v>
      </c>
      <c r="IN84" s="63">
        <f t="shared" si="1220"/>
        <v>152.77777777777777</v>
      </c>
      <c r="IO84" s="63">
        <f t="shared" si="1221"/>
        <v>458.33333333333331</v>
      </c>
      <c r="IP84" s="61">
        <f t="shared" si="1366"/>
        <v>7559.4444444444434</v>
      </c>
      <c r="IQ84" s="62"/>
      <c r="IR84" s="62"/>
      <c r="IS84" s="62"/>
      <c r="IT84" s="62"/>
      <c r="IU84" s="62"/>
      <c r="IV84" s="63">
        <f t="shared" si="1223"/>
        <v>0</v>
      </c>
      <c r="IW84" s="63">
        <f t="shared" si="1224"/>
        <v>0</v>
      </c>
      <c r="IX84" s="63">
        <f t="shared" si="1225"/>
        <v>0</v>
      </c>
      <c r="IY84" s="63">
        <f t="shared" si="1226"/>
        <v>0</v>
      </c>
      <c r="IZ84" s="63">
        <f t="shared" si="1227"/>
        <v>0</v>
      </c>
      <c r="JA84" s="61">
        <f t="shared" si="1354"/>
        <v>0</v>
      </c>
      <c r="JB84" s="64">
        <v>0</v>
      </c>
      <c r="JC84" s="65">
        <f t="shared" si="1228"/>
        <v>0</v>
      </c>
      <c r="JD84" s="476">
        <f t="shared" si="1229"/>
        <v>7559.4444444444434</v>
      </c>
      <c r="JE84" s="49">
        <v>0</v>
      </c>
      <c r="JF84" s="59" t="s">
        <v>204</v>
      </c>
      <c r="JG84" s="28">
        <f t="shared" si="1230"/>
        <v>25</v>
      </c>
      <c r="JH84" s="60">
        <v>5500</v>
      </c>
      <c r="JI84" s="28">
        <f t="shared" si="1231"/>
        <v>550</v>
      </c>
      <c r="JJ84" s="28">
        <f t="shared" si="1232"/>
        <v>440</v>
      </c>
      <c r="JK84" s="28">
        <f t="shared" si="1233"/>
        <v>458.33333333333331</v>
      </c>
      <c r="JL84" s="63">
        <f t="shared" si="1234"/>
        <v>152.77777777777777</v>
      </c>
      <c r="JM84" s="63">
        <f t="shared" si="1235"/>
        <v>458.33333333333331</v>
      </c>
      <c r="JN84" s="61">
        <f t="shared" si="1367"/>
        <v>7559.4444444444434</v>
      </c>
      <c r="JO84" s="62"/>
      <c r="JP84" s="62"/>
      <c r="JQ84" s="62"/>
      <c r="JR84" s="62"/>
      <c r="JS84" s="62"/>
      <c r="JT84" s="63">
        <f t="shared" si="1237"/>
        <v>0</v>
      </c>
      <c r="JU84" s="63">
        <f t="shared" si="1238"/>
        <v>0</v>
      </c>
      <c r="JV84" s="63">
        <f t="shared" si="1239"/>
        <v>0</v>
      </c>
      <c r="JW84" s="63">
        <f t="shared" si="1240"/>
        <v>0</v>
      </c>
      <c r="JX84" s="63">
        <f t="shared" si="1241"/>
        <v>0</v>
      </c>
      <c r="JY84" s="61">
        <f t="shared" si="1355"/>
        <v>0</v>
      </c>
      <c r="JZ84" s="64">
        <v>0</v>
      </c>
      <c r="KA84" s="65">
        <f t="shared" si="1242"/>
        <v>0</v>
      </c>
      <c r="KB84" s="476">
        <f t="shared" si="1243"/>
        <v>7559.4444444444434</v>
      </c>
      <c r="KC84" s="37"/>
      <c r="KD84" s="37"/>
      <c r="KE84" s="37"/>
      <c r="KF84" s="37"/>
      <c r="KG84" s="37"/>
      <c r="KH84" s="37"/>
      <c r="KI84" s="37"/>
      <c r="KJ84" s="37"/>
    </row>
    <row r="85" spans="1:296" x14ac:dyDescent="0.3">
      <c r="A85" s="49">
        <v>0</v>
      </c>
      <c r="B85" s="59" t="s">
        <v>205</v>
      </c>
      <c r="C85" s="28">
        <f t="shared" si="1176"/>
        <v>8.1818181818181817</v>
      </c>
      <c r="D85" s="60">
        <v>1800</v>
      </c>
      <c r="E85" s="28">
        <f t="shared" si="1244"/>
        <v>180</v>
      </c>
      <c r="F85" s="28">
        <f t="shared" si="1245"/>
        <v>144</v>
      </c>
      <c r="G85" s="28">
        <f t="shared" si="1246"/>
        <v>150</v>
      </c>
      <c r="H85" s="63">
        <f t="shared" si="1247"/>
        <v>50</v>
      </c>
      <c r="I85" s="63">
        <f t="shared" si="1248"/>
        <v>150</v>
      </c>
      <c r="J85" s="61">
        <f t="shared" si="1356"/>
        <v>2474</v>
      </c>
      <c r="K85" s="62"/>
      <c r="L85" s="62"/>
      <c r="M85" s="62"/>
      <c r="N85" s="62"/>
      <c r="O85" s="62"/>
      <c r="P85" s="63">
        <f t="shared" si="1249"/>
        <v>0</v>
      </c>
      <c r="Q85" s="63">
        <f t="shared" si="1250"/>
        <v>0</v>
      </c>
      <c r="R85" s="63">
        <f t="shared" si="1251"/>
        <v>0</v>
      </c>
      <c r="S85" s="63">
        <f t="shared" si="1252"/>
        <v>0</v>
      </c>
      <c r="T85" s="63">
        <f t="shared" si="1253"/>
        <v>0</v>
      </c>
      <c r="U85" s="61">
        <f t="shared" si="1254"/>
        <v>0</v>
      </c>
      <c r="V85" s="64">
        <v>0</v>
      </c>
      <c r="W85" s="65">
        <f t="shared" si="1178"/>
        <v>0</v>
      </c>
      <c r="X85" s="212">
        <f t="shared" si="1179"/>
        <v>2474</v>
      </c>
      <c r="Y85" s="49">
        <v>0</v>
      </c>
      <c r="Z85" s="59" t="s">
        <v>205</v>
      </c>
      <c r="AA85" s="28">
        <f t="shared" si="1180"/>
        <v>8.1818181818181817</v>
      </c>
      <c r="AB85" s="60">
        <v>1800</v>
      </c>
      <c r="AC85" s="28">
        <f t="shared" si="1255"/>
        <v>180</v>
      </c>
      <c r="AD85" s="28">
        <f t="shared" si="1256"/>
        <v>144</v>
      </c>
      <c r="AE85" s="28">
        <f t="shared" si="1257"/>
        <v>150</v>
      </c>
      <c r="AF85" s="63">
        <f t="shared" si="1258"/>
        <v>50</v>
      </c>
      <c r="AG85" s="63">
        <f t="shared" si="1259"/>
        <v>150</v>
      </c>
      <c r="AH85" s="61">
        <f t="shared" si="1357"/>
        <v>2474</v>
      </c>
      <c r="AI85" s="62"/>
      <c r="AJ85" s="62"/>
      <c r="AK85" s="62"/>
      <c r="AL85" s="62"/>
      <c r="AM85" s="62"/>
      <c r="AN85" s="63">
        <f t="shared" si="1260"/>
        <v>0</v>
      </c>
      <c r="AO85" s="63">
        <f t="shared" si="1261"/>
        <v>0</v>
      </c>
      <c r="AP85" s="63">
        <f t="shared" si="1262"/>
        <v>0</v>
      </c>
      <c r="AQ85" s="63">
        <f t="shared" si="1263"/>
        <v>0</v>
      </c>
      <c r="AR85" s="63">
        <f t="shared" si="1264"/>
        <v>0</v>
      </c>
      <c r="AS85" s="61">
        <f t="shared" si="1265"/>
        <v>0</v>
      </c>
      <c r="AT85" s="64">
        <v>0</v>
      </c>
      <c r="AU85" s="65">
        <f t="shared" si="1182"/>
        <v>0</v>
      </c>
      <c r="AV85" s="212">
        <f t="shared" si="1183"/>
        <v>2474</v>
      </c>
      <c r="AW85" s="49">
        <v>0</v>
      </c>
      <c r="AX85" s="59" t="s">
        <v>205</v>
      </c>
      <c r="AY85" s="28">
        <f t="shared" si="1184"/>
        <v>8.1818181818181817</v>
      </c>
      <c r="AZ85" s="60">
        <v>1800</v>
      </c>
      <c r="BA85" s="28">
        <f t="shared" si="1266"/>
        <v>180</v>
      </c>
      <c r="BB85" s="28">
        <f t="shared" si="1267"/>
        <v>144</v>
      </c>
      <c r="BC85" s="28">
        <f t="shared" si="1268"/>
        <v>150</v>
      </c>
      <c r="BD85" s="63">
        <f t="shared" si="1269"/>
        <v>50</v>
      </c>
      <c r="BE85" s="63">
        <f t="shared" si="1270"/>
        <v>150</v>
      </c>
      <c r="BF85" s="61">
        <f t="shared" si="1358"/>
        <v>2474</v>
      </c>
      <c r="BG85" s="62"/>
      <c r="BH85" s="62"/>
      <c r="BI85" s="62"/>
      <c r="BJ85" s="62"/>
      <c r="BK85" s="62"/>
      <c r="BL85" s="63">
        <f t="shared" si="1271"/>
        <v>0</v>
      </c>
      <c r="BM85" s="63">
        <f t="shared" si="1272"/>
        <v>0</v>
      </c>
      <c r="BN85" s="63">
        <f t="shared" si="1273"/>
        <v>0</v>
      </c>
      <c r="BO85" s="63">
        <f t="shared" si="1274"/>
        <v>0</v>
      </c>
      <c r="BP85" s="63">
        <f t="shared" si="1275"/>
        <v>0</v>
      </c>
      <c r="BQ85" s="61">
        <f t="shared" si="1276"/>
        <v>0</v>
      </c>
      <c r="BR85" s="64">
        <v>0</v>
      </c>
      <c r="BS85" s="65">
        <f t="shared" si="1186"/>
        <v>0</v>
      </c>
      <c r="BT85" s="212">
        <f t="shared" si="1187"/>
        <v>2474</v>
      </c>
      <c r="BU85" s="49">
        <v>0</v>
      </c>
      <c r="BV85" s="59" t="s">
        <v>205</v>
      </c>
      <c r="BW85" s="28">
        <f t="shared" si="1188"/>
        <v>8.1818181818181817</v>
      </c>
      <c r="BX85" s="60">
        <v>1800</v>
      </c>
      <c r="BY85" s="28">
        <f t="shared" si="1277"/>
        <v>180</v>
      </c>
      <c r="BZ85" s="28">
        <f t="shared" si="1278"/>
        <v>144</v>
      </c>
      <c r="CA85" s="28">
        <f t="shared" si="1279"/>
        <v>150</v>
      </c>
      <c r="CB85" s="63">
        <f t="shared" si="1280"/>
        <v>50</v>
      </c>
      <c r="CC85" s="63">
        <f t="shared" si="1281"/>
        <v>150</v>
      </c>
      <c r="CD85" s="61">
        <f t="shared" si="1359"/>
        <v>2474</v>
      </c>
      <c r="CE85" s="62"/>
      <c r="CF85" s="62"/>
      <c r="CG85" s="62"/>
      <c r="CH85" s="62"/>
      <c r="CI85" s="62"/>
      <c r="CJ85" s="63">
        <f t="shared" si="1282"/>
        <v>0</v>
      </c>
      <c r="CK85" s="63">
        <f t="shared" si="1283"/>
        <v>0</v>
      </c>
      <c r="CL85" s="63">
        <f t="shared" si="1284"/>
        <v>0</v>
      </c>
      <c r="CM85" s="63">
        <f t="shared" si="1285"/>
        <v>0</v>
      </c>
      <c r="CN85" s="63">
        <f t="shared" si="1286"/>
        <v>0</v>
      </c>
      <c r="CO85" s="61">
        <f t="shared" si="1287"/>
        <v>0</v>
      </c>
      <c r="CP85" s="64">
        <v>0</v>
      </c>
      <c r="CQ85" s="65">
        <f t="shared" si="1190"/>
        <v>0</v>
      </c>
      <c r="CR85" s="212">
        <f t="shared" si="1191"/>
        <v>2474</v>
      </c>
      <c r="CS85" s="49">
        <v>0</v>
      </c>
      <c r="CT85" s="59" t="s">
        <v>205</v>
      </c>
      <c r="CU85" s="28">
        <f t="shared" si="1192"/>
        <v>8.1818181818181817</v>
      </c>
      <c r="CV85" s="60">
        <v>1800</v>
      </c>
      <c r="CW85" s="28">
        <f t="shared" si="1288"/>
        <v>180</v>
      </c>
      <c r="CX85" s="28">
        <f t="shared" si="1289"/>
        <v>144</v>
      </c>
      <c r="CY85" s="28">
        <f t="shared" si="1290"/>
        <v>150</v>
      </c>
      <c r="CZ85" s="63">
        <f t="shared" si="1291"/>
        <v>50</v>
      </c>
      <c r="DA85" s="63">
        <f t="shared" si="1292"/>
        <v>150</v>
      </c>
      <c r="DB85" s="61">
        <f t="shared" si="1360"/>
        <v>2474</v>
      </c>
      <c r="DC85" s="62"/>
      <c r="DD85" s="62"/>
      <c r="DE85" s="62"/>
      <c r="DF85" s="62"/>
      <c r="DG85" s="62"/>
      <c r="DH85" s="63">
        <f t="shared" si="1293"/>
        <v>0</v>
      </c>
      <c r="DI85" s="63">
        <f t="shared" si="1294"/>
        <v>0</v>
      </c>
      <c r="DJ85" s="63">
        <f t="shared" si="1295"/>
        <v>0</v>
      </c>
      <c r="DK85" s="63">
        <f t="shared" si="1296"/>
        <v>0</v>
      </c>
      <c r="DL85" s="63">
        <f t="shared" si="1297"/>
        <v>0</v>
      </c>
      <c r="DM85" s="61">
        <f t="shared" si="1298"/>
        <v>0</v>
      </c>
      <c r="DN85" s="64">
        <v>0</v>
      </c>
      <c r="DO85" s="65">
        <f t="shared" si="1194"/>
        <v>0</v>
      </c>
      <c r="DP85" s="212">
        <f t="shared" si="1195"/>
        <v>2474</v>
      </c>
      <c r="DQ85" s="49">
        <v>0</v>
      </c>
      <c r="DR85" s="59" t="s">
        <v>205</v>
      </c>
      <c r="DS85" s="28">
        <f t="shared" si="1196"/>
        <v>8.1818181818181817</v>
      </c>
      <c r="DT85" s="60">
        <v>1800</v>
      </c>
      <c r="DU85" s="28">
        <f t="shared" si="1299"/>
        <v>180</v>
      </c>
      <c r="DV85" s="28">
        <f t="shared" si="1300"/>
        <v>144</v>
      </c>
      <c r="DW85" s="28">
        <f t="shared" si="1301"/>
        <v>150</v>
      </c>
      <c r="DX85" s="63">
        <f t="shared" si="1302"/>
        <v>50</v>
      </c>
      <c r="DY85" s="63">
        <f t="shared" si="1303"/>
        <v>150</v>
      </c>
      <c r="DZ85" s="61">
        <f t="shared" si="1361"/>
        <v>2474</v>
      </c>
      <c r="EA85" s="62"/>
      <c r="EB85" s="62"/>
      <c r="EC85" s="62"/>
      <c r="ED85" s="62"/>
      <c r="EE85" s="62"/>
      <c r="EF85" s="63">
        <f t="shared" si="1304"/>
        <v>0</v>
      </c>
      <c r="EG85" s="63">
        <f t="shared" si="1305"/>
        <v>0</v>
      </c>
      <c r="EH85" s="63">
        <f t="shared" si="1306"/>
        <v>0</v>
      </c>
      <c r="EI85" s="63">
        <f t="shared" si="1307"/>
        <v>0</v>
      </c>
      <c r="EJ85" s="63">
        <f t="shared" si="1308"/>
        <v>0</v>
      </c>
      <c r="EK85" s="61">
        <f t="shared" si="1309"/>
        <v>0</v>
      </c>
      <c r="EL85" s="64">
        <v>0</v>
      </c>
      <c r="EM85" s="65">
        <f t="shared" si="1198"/>
        <v>0</v>
      </c>
      <c r="EN85" s="212">
        <f t="shared" si="1199"/>
        <v>2474</v>
      </c>
      <c r="EO85" s="49">
        <v>0</v>
      </c>
      <c r="EP85" s="59" t="s">
        <v>205</v>
      </c>
      <c r="EQ85" s="28">
        <f t="shared" si="1200"/>
        <v>8.1818181818181817</v>
      </c>
      <c r="ER85" s="60">
        <v>1800</v>
      </c>
      <c r="ES85" s="28">
        <f t="shared" si="1310"/>
        <v>180</v>
      </c>
      <c r="ET85" s="28">
        <f t="shared" si="1311"/>
        <v>144</v>
      </c>
      <c r="EU85" s="28">
        <f t="shared" si="1312"/>
        <v>150</v>
      </c>
      <c r="EV85" s="63">
        <f t="shared" si="1313"/>
        <v>50</v>
      </c>
      <c r="EW85" s="63">
        <f t="shared" si="1314"/>
        <v>150</v>
      </c>
      <c r="EX85" s="61">
        <f t="shared" si="1362"/>
        <v>2474</v>
      </c>
      <c r="EY85" s="62"/>
      <c r="EZ85" s="62"/>
      <c r="FA85" s="62"/>
      <c r="FB85" s="62"/>
      <c r="FC85" s="62"/>
      <c r="FD85" s="63">
        <f t="shared" si="1315"/>
        <v>0</v>
      </c>
      <c r="FE85" s="63">
        <f t="shared" si="1316"/>
        <v>0</v>
      </c>
      <c r="FF85" s="63">
        <f t="shared" si="1317"/>
        <v>0</v>
      </c>
      <c r="FG85" s="63">
        <f t="shared" si="1318"/>
        <v>0</v>
      </c>
      <c r="FH85" s="63">
        <f t="shared" si="1319"/>
        <v>0</v>
      </c>
      <c r="FI85" s="61">
        <f t="shared" si="1320"/>
        <v>0</v>
      </c>
      <c r="FJ85" s="64">
        <v>0</v>
      </c>
      <c r="FK85" s="65">
        <f t="shared" si="1202"/>
        <v>0</v>
      </c>
      <c r="FL85" s="212">
        <f t="shared" si="1203"/>
        <v>2474</v>
      </c>
      <c r="FM85" s="49">
        <v>0</v>
      </c>
      <c r="FN85" s="59" t="s">
        <v>205</v>
      </c>
      <c r="FO85" s="28">
        <f t="shared" si="1204"/>
        <v>8.1818181818181817</v>
      </c>
      <c r="FP85" s="60">
        <v>1800</v>
      </c>
      <c r="FQ85" s="28">
        <f t="shared" si="1321"/>
        <v>180</v>
      </c>
      <c r="FR85" s="28">
        <f t="shared" si="1322"/>
        <v>144</v>
      </c>
      <c r="FS85" s="28">
        <f t="shared" si="1323"/>
        <v>150</v>
      </c>
      <c r="FT85" s="63">
        <f t="shared" si="1324"/>
        <v>50</v>
      </c>
      <c r="FU85" s="63">
        <f t="shared" si="1325"/>
        <v>150</v>
      </c>
      <c r="FV85" s="61">
        <f t="shared" si="1363"/>
        <v>2474</v>
      </c>
      <c r="FW85" s="62"/>
      <c r="FX85" s="62"/>
      <c r="FY85" s="62"/>
      <c r="FZ85" s="62"/>
      <c r="GA85" s="62"/>
      <c r="GB85" s="63">
        <f t="shared" si="1326"/>
        <v>0</v>
      </c>
      <c r="GC85" s="63">
        <f t="shared" si="1327"/>
        <v>0</v>
      </c>
      <c r="GD85" s="63">
        <f t="shared" si="1328"/>
        <v>0</v>
      </c>
      <c r="GE85" s="63">
        <f t="shared" si="1329"/>
        <v>0</v>
      </c>
      <c r="GF85" s="63">
        <f t="shared" si="1330"/>
        <v>0</v>
      </c>
      <c r="GG85" s="61">
        <f t="shared" si="1331"/>
        <v>0</v>
      </c>
      <c r="GH85" s="64">
        <v>0</v>
      </c>
      <c r="GI85" s="65">
        <f t="shared" si="1206"/>
        <v>0</v>
      </c>
      <c r="GJ85" s="212">
        <f t="shared" si="1207"/>
        <v>2474</v>
      </c>
      <c r="GK85" s="49">
        <v>0</v>
      </c>
      <c r="GL85" s="59" t="s">
        <v>205</v>
      </c>
      <c r="GM85" s="28">
        <f t="shared" si="1208"/>
        <v>8.1818181818181817</v>
      </c>
      <c r="GN85" s="60">
        <v>1800</v>
      </c>
      <c r="GO85" s="28">
        <f t="shared" si="1332"/>
        <v>180</v>
      </c>
      <c r="GP85" s="28">
        <f t="shared" si="1333"/>
        <v>144</v>
      </c>
      <c r="GQ85" s="28">
        <f t="shared" si="1334"/>
        <v>150</v>
      </c>
      <c r="GR85" s="63">
        <f t="shared" si="1335"/>
        <v>50</v>
      </c>
      <c r="GS85" s="63">
        <f t="shared" si="1336"/>
        <v>150</v>
      </c>
      <c r="GT85" s="61">
        <f t="shared" si="1364"/>
        <v>2474</v>
      </c>
      <c r="GU85" s="62"/>
      <c r="GV85" s="62"/>
      <c r="GW85" s="62"/>
      <c r="GX85" s="62"/>
      <c r="GY85" s="62"/>
      <c r="GZ85" s="63">
        <f t="shared" si="1337"/>
        <v>0</v>
      </c>
      <c r="HA85" s="63">
        <f t="shared" si="1338"/>
        <v>0</v>
      </c>
      <c r="HB85" s="63">
        <f t="shared" si="1339"/>
        <v>0</v>
      </c>
      <c r="HC85" s="63">
        <f t="shared" si="1340"/>
        <v>0</v>
      </c>
      <c r="HD85" s="63">
        <f t="shared" si="1341"/>
        <v>0</v>
      </c>
      <c r="HE85" s="61">
        <f t="shared" si="1342"/>
        <v>0</v>
      </c>
      <c r="HF85" s="64">
        <v>0</v>
      </c>
      <c r="HG85" s="65">
        <f t="shared" si="1210"/>
        <v>0</v>
      </c>
      <c r="HH85" s="212">
        <f t="shared" si="1211"/>
        <v>2474</v>
      </c>
      <c r="HI85" s="49">
        <v>0</v>
      </c>
      <c r="HJ85" s="59" t="s">
        <v>205</v>
      </c>
      <c r="HK85" s="28">
        <f t="shared" si="1212"/>
        <v>8.1818181818181817</v>
      </c>
      <c r="HL85" s="60">
        <v>1800</v>
      </c>
      <c r="HM85" s="28">
        <f t="shared" si="1343"/>
        <v>180</v>
      </c>
      <c r="HN85" s="28">
        <f t="shared" si="1344"/>
        <v>144</v>
      </c>
      <c r="HO85" s="28">
        <f t="shared" si="1345"/>
        <v>150</v>
      </c>
      <c r="HP85" s="63">
        <f t="shared" si="1346"/>
        <v>50</v>
      </c>
      <c r="HQ85" s="63">
        <f t="shared" si="1347"/>
        <v>150</v>
      </c>
      <c r="HR85" s="61">
        <f t="shared" si="1365"/>
        <v>2474</v>
      </c>
      <c r="HS85" s="62"/>
      <c r="HT85" s="62"/>
      <c r="HU85" s="62"/>
      <c r="HV85" s="62"/>
      <c r="HW85" s="62"/>
      <c r="HX85" s="63">
        <f t="shared" si="1348"/>
        <v>0</v>
      </c>
      <c r="HY85" s="63">
        <f t="shared" si="1349"/>
        <v>0</v>
      </c>
      <c r="HZ85" s="63">
        <f t="shared" si="1350"/>
        <v>0</v>
      </c>
      <c r="IA85" s="63">
        <f t="shared" si="1351"/>
        <v>0</v>
      </c>
      <c r="IB85" s="63">
        <f t="shared" si="1352"/>
        <v>0</v>
      </c>
      <c r="IC85" s="61">
        <f t="shared" si="1353"/>
        <v>0</v>
      </c>
      <c r="ID85" s="64">
        <v>0</v>
      </c>
      <c r="IE85" s="65">
        <f t="shared" si="1214"/>
        <v>0</v>
      </c>
      <c r="IF85" s="212">
        <f t="shared" si="1215"/>
        <v>2474</v>
      </c>
      <c r="IG85" s="49">
        <v>0</v>
      </c>
      <c r="IH85" s="59" t="s">
        <v>205</v>
      </c>
      <c r="II85" s="28">
        <f t="shared" si="1216"/>
        <v>8.1818181818181817</v>
      </c>
      <c r="IJ85" s="60">
        <v>1800</v>
      </c>
      <c r="IK85" s="28">
        <f t="shared" si="1217"/>
        <v>180</v>
      </c>
      <c r="IL85" s="28">
        <f t="shared" si="1218"/>
        <v>144</v>
      </c>
      <c r="IM85" s="28">
        <f t="shared" si="1219"/>
        <v>150</v>
      </c>
      <c r="IN85" s="63">
        <f t="shared" si="1220"/>
        <v>50</v>
      </c>
      <c r="IO85" s="63">
        <f t="shared" si="1221"/>
        <v>150</v>
      </c>
      <c r="IP85" s="61">
        <f t="shared" si="1366"/>
        <v>2474</v>
      </c>
      <c r="IQ85" s="62"/>
      <c r="IR85" s="62"/>
      <c r="IS85" s="62"/>
      <c r="IT85" s="62"/>
      <c r="IU85" s="62"/>
      <c r="IV85" s="63">
        <f t="shared" si="1223"/>
        <v>0</v>
      </c>
      <c r="IW85" s="63">
        <f t="shared" si="1224"/>
        <v>0</v>
      </c>
      <c r="IX85" s="63">
        <f t="shared" si="1225"/>
        <v>0</v>
      </c>
      <c r="IY85" s="63">
        <f t="shared" si="1226"/>
        <v>0</v>
      </c>
      <c r="IZ85" s="63">
        <f t="shared" si="1227"/>
        <v>0</v>
      </c>
      <c r="JA85" s="61">
        <f t="shared" si="1354"/>
        <v>0</v>
      </c>
      <c r="JB85" s="64">
        <v>0</v>
      </c>
      <c r="JC85" s="65">
        <f t="shared" si="1228"/>
        <v>0</v>
      </c>
      <c r="JD85" s="476">
        <f t="shared" si="1229"/>
        <v>2474</v>
      </c>
      <c r="JE85" s="49">
        <v>0</v>
      </c>
      <c r="JF85" s="59" t="s">
        <v>205</v>
      </c>
      <c r="JG85" s="28">
        <f t="shared" si="1230"/>
        <v>8.1818181818181817</v>
      </c>
      <c r="JH85" s="60">
        <v>1800</v>
      </c>
      <c r="JI85" s="28">
        <f t="shared" si="1231"/>
        <v>180</v>
      </c>
      <c r="JJ85" s="28">
        <f t="shared" si="1232"/>
        <v>144</v>
      </c>
      <c r="JK85" s="28">
        <f t="shared" si="1233"/>
        <v>150</v>
      </c>
      <c r="JL85" s="63">
        <f t="shared" si="1234"/>
        <v>50</v>
      </c>
      <c r="JM85" s="63">
        <f t="shared" si="1235"/>
        <v>150</v>
      </c>
      <c r="JN85" s="61">
        <f t="shared" si="1367"/>
        <v>2474</v>
      </c>
      <c r="JO85" s="62"/>
      <c r="JP85" s="62"/>
      <c r="JQ85" s="62"/>
      <c r="JR85" s="62"/>
      <c r="JS85" s="62"/>
      <c r="JT85" s="63">
        <f t="shared" si="1237"/>
        <v>0</v>
      </c>
      <c r="JU85" s="63">
        <f t="shared" si="1238"/>
        <v>0</v>
      </c>
      <c r="JV85" s="63">
        <f t="shared" si="1239"/>
        <v>0</v>
      </c>
      <c r="JW85" s="63">
        <f t="shared" si="1240"/>
        <v>0</v>
      </c>
      <c r="JX85" s="63">
        <f t="shared" si="1241"/>
        <v>0</v>
      </c>
      <c r="JY85" s="61">
        <f t="shared" si="1355"/>
        <v>0</v>
      </c>
      <c r="JZ85" s="64">
        <v>0</v>
      </c>
      <c r="KA85" s="65">
        <f t="shared" si="1242"/>
        <v>0</v>
      </c>
      <c r="KB85" s="476">
        <f t="shared" si="1243"/>
        <v>2474</v>
      </c>
      <c r="KC85" s="37"/>
      <c r="KD85" s="37"/>
      <c r="KE85" s="37"/>
      <c r="KF85" s="37"/>
      <c r="KG85" s="37"/>
      <c r="KH85" s="37"/>
      <c r="KI85" s="37"/>
      <c r="KJ85" s="37"/>
    </row>
    <row r="86" spans="1:296" x14ac:dyDescent="0.3">
      <c r="A86" s="49">
        <v>0</v>
      </c>
      <c r="B86" s="59" t="s">
        <v>206</v>
      </c>
      <c r="C86" s="28">
        <f t="shared" si="1176"/>
        <v>54.545454545454547</v>
      </c>
      <c r="D86" s="60">
        <v>12000</v>
      </c>
      <c r="E86" s="28">
        <f t="shared" si="1244"/>
        <v>1200</v>
      </c>
      <c r="F86" s="28">
        <f t="shared" si="1245"/>
        <v>960</v>
      </c>
      <c r="G86" s="28">
        <f t="shared" si="1246"/>
        <v>1000</v>
      </c>
      <c r="H86" s="63">
        <f t="shared" si="1247"/>
        <v>333.33333333333331</v>
      </c>
      <c r="I86" s="63">
        <f t="shared" si="1248"/>
        <v>1000</v>
      </c>
      <c r="J86" s="61">
        <f t="shared" si="1356"/>
        <v>16493.333333333336</v>
      </c>
      <c r="K86" s="62"/>
      <c r="L86" s="62"/>
      <c r="M86" s="62"/>
      <c r="N86" s="62"/>
      <c r="O86" s="62"/>
      <c r="P86" s="63">
        <f t="shared" si="1249"/>
        <v>0</v>
      </c>
      <c r="Q86" s="63">
        <f t="shared" si="1250"/>
        <v>0</v>
      </c>
      <c r="R86" s="63">
        <f t="shared" si="1251"/>
        <v>0</v>
      </c>
      <c r="S86" s="63">
        <f t="shared" si="1252"/>
        <v>0</v>
      </c>
      <c r="T86" s="63">
        <f t="shared" si="1253"/>
        <v>0</v>
      </c>
      <c r="U86" s="61">
        <f t="shared" si="1254"/>
        <v>0</v>
      </c>
      <c r="V86" s="64">
        <v>0</v>
      </c>
      <c r="W86" s="65">
        <f t="shared" si="1178"/>
        <v>0</v>
      </c>
      <c r="X86" s="212">
        <f t="shared" si="1179"/>
        <v>16493.333333333336</v>
      </c>
      <c r="Y86" s="49">
        <v>0</v>
      </c>
      <c r="Z86" s="59" t="s">
        <v>206</v>
      </c>
      <c r="AA86" s="28">
        <f t="shared" si="1180"/>
        <v>54.545454545454547</v>
      </c>
      <c r="AB86" s="60">
        <v>12000</v>
      </c>
      <c r="AC86" s="28">
        <f t="shared" si="1255"/>
        <v>1200</v>
      </c>
      <c r="AD86" s="28">
        <f t="shared" si="1256"/>
        <v>960</v>
      </c>
      <c r="AE86" s="28">
        <f t="shared" si="1257"/>
        <v>1000</v>
      </c>
      <c r="AF86" s="63">
        <f t="shared" si="1258"/>
        <v>333.33333333333331</v>
      </c>
      <c r="AG86" s="63">
        <f t="shared" si="1259"/>
        <v>1000</v>
      </c>
      <c r="AH86" s="61">
        <f t="shared" si="1357"/>
        <v>16493.333333333336</v>
      </c>
      <c r="AI86" s="62"/>
      <c r="AJ86" s="62"/>
      <c r="AK86" s="62"/>
      <c r="AL86" s="62"/>
      <c r="AM86" s="62"/>
      <c r="AN86" s="63">
        <f t="shared" si="1260"/>
        <v>0</v>
      </c>
      <c r="AO86" s="63">
        <f t="shared" si="1261"/>
        <v>0</v>
      </c>
      <c r="AP86" s="63">
        <f t="shared" si="1262"/>
        <v>0</v>
      </c>
      <c r="AQ86" s="63">
        <f t="shared" si="1263"/>
        <v>0</v>
      </c>
      <c r="AR86" s="63">
        <f t="shared" si="1264"/>
        <v>0</v>
      </c>
      <c r="AS86" s="61">
        <f t="shared" si="1265"/>
        <v>0</v>
      </c>
      <c r="AT86" s="64">
        <v>0</v>
      </c>
      <c r="AU86" s="65">
        <f t="shared" si="1182"/>
        <v>0</v>
      </c>
      <c r="AV86" s="212">
        <f t="shared" si="1183"/>
        <v>16493.333333333336</v>
      </c>
      <c r="AW86" s="49">
        <v>0</v>
      </c>
      <c r="AX86" s="59" t="s">
        <v>206</v>
      </c>
      <c r="AY86" s="28">
        <f t="shared" si="1184"/>
        <v>54.545454545454547</v>
      </c>
      <c r="AZ86" s="60">
        <v>12000</v>
      </c>
      <c r="BA86" s="28">
        <f t="shared" si="1266"/>
        <v>1200</v>
      </c>
      <c r="BB86" s="28">
        <f t="shared" si="1267"/>
        <v>960</v>
      </c>
      <c r="BC86" s="28">
        <f t="shared" si="1268"/>
        <v>1000</v>
      </c>
      <c r="BD86" s="63">
        <f t="shared" si="1269"/>
        <v>333.33333333333331</v>
      </c>
      <c r="BE86" s="63">
        <f t="shared" si="1270"/>
        <v>1000</v>
      </c>
      <c r="BF86" s="61">
        <f t="shared" si="1358"/>
        <v>16493.333333333336</v>
      </c>
      <c r="BG86" s="62"/>
      <c r="BH86" s="62"/>
      <c r="BI86" s="62"/>
      <c r="BJ86" s="62"/>
      <c r="BK86" s="62"/>
      <c r="BL86" s="63">
        <f t="shared" si="1271"/>
        <v>0</v>
      </c>
      <c r="BM86" s="63">
        <f t="shared" si="1272"/>
        <v>0</v>
      </c>
      <c r="BN86" s="63">
        <f t="shared" si="1273"/>
        <v>0</v>
      </c>
      <c r="BO86" s="63">
        <f t="shared" si="1274"/>
        <v>0</v>
      </c>
      <c r="BP86" s="63">
        <f t="shared" si="1275"/>
        <v>0</v>
      </c>
      <c r="BQ86" s="61">
        <f t="shared" si="1276"/>
        <v>0</v>
      </c>
      <c r="BR86" s="64">
        <v>0</v>
      </c>
      <c r="BS86" s="65">
        <f t="shared" si="1186"/>
        <v>0</v>
      </c>
      <c r="BT86" s="212">
        <f t="shared" si="1187"/>
        <v>16493.333333333336</v>
      </c>
      <c r="BU86" s="49">
        <v>0</v>
      </c>
      <c r="BV86" s="59" t="s">
        <v>206</v>
      </c>
      <c r="BW86" s="28">
        <f t="shared" si="1188"/>
        <v>54.545454545454547</v>
      </c>
      <c r="BX86" s="60">
        <v>12000</v>
      </c>
      <c r="BY86" s="28">
        <f t="shared" si="1277"/>
        <v>1200</v>
      </c>
      <c r="BZ86" s="28">
        <f t="shared" si="1278"/>
        <v>960</v>
      </c>
      <c r="CA86" s="28">
        <f t="shared" si="1279"/>
        <v>1000</v>
      </c>
      <c r="CB86" s="63">
        <f t="shared" si="1280"/>
        <v>333.33333333333331</v>
      </c>
      <c r="CC86" s="63">
        <f t="shared" si="1281"/>
        <v>1000</v>
      </c>
      <c r="CD86" s="61">
        <f t="shared" si="1359"/>
        <v>16493.333333333336</v>
      </c>
      <c r="CE86" s="62"/>
      <c r="CF86" s="62"/>
      <c r="CG86" s="62"/>
      <c r="CH86" s="62"/>
      <c r="CI86" s="62"/>
      <c r="CJ86" s="63">
        <f t="shared" si="1282"/>
        <v>0</v>
      </c>
      <c r="CK86" s="63">
        <f t="shared" si="1283"/>
        <v>0</v>
      </c>
      <c r="CL86" s="63">
        <f t="shared" si="1284"/>
        <v>0</v>
      </c>
      <c r="CM86" s="63">
        <f t="shared" si="1285"/>
        <v>0</v>
      </c>
      <c r="CN86" s="63">
        <f t="shared" si="1286"/>
        <v>0</v>
      </c>
      <c r="CO86" s="61">
        <f t="shared" si="1287"/>
        <v>0</v>
      </c>
      <c r="CP86" s="64">
        <v>0</v>
      </c>
      <c r="CQ86" s="65">
        <f t="shared" si="1190"/>
        <v>0</v>
      </c>
      <c r="CR86" s="212">
        <f t="shared" si="1191"/>
        <v>16493.333333333336</v>
      </c>
      <c r="CS86" s="49">
        <v>0</v>
      </c>
      <c r="CT86" s="59" t="s">
        <v>206</v>
      </c>
      <c r="CU86" s="28">
        <f t="shared" si="1192"/>
        <v>54.545454545454547</v>
      </c>
      <c r="CV86" s="60">
        <v>12000</v>
      </c>
      <c r="CW86" s="28">
        <f t="shared" si="1288"/>
        <v>1200</v>
      </c>
      <c r="CX86" s="28">
        <f t="shared" si="1289"/>
        <v>960</v>
      </c>
      <c r="CY86" s="28">
        <f t="shared" si="1290"/>
        <v>1000</v>
      </c>
      <c r="CZ86" s="63">
        <f t="shared" si="1291"/>
        <v>333.33333333333331</v>
      </c>
      <c r="DA86" s="63">
        <f t="shared" si="1292"/>
        <v>1000</v>
      </c>
      <c r="DB86" s="61">
        <f t="shared" si="1360"/>
        <v>16493.333333333336</v>
      </c>
      <c r="DC86" s="62"/>
      <c r="DD86" s="62"/>
      <c r="DE86" s="62"/>
      <c r="DF86" s="62"/>
      <c r="DG86" s="62"/>
      <c r="DH86" s="63">
        <f t="shared" si="1293"/>
        <v>0</v>
      </c>
      <c r="DI86" s="63">
        <f t="shared" si="1294"/>
        <v>0</v>
      </c>
      <c r="DJ86" s="63">
        <f t="shared" si="1295"/>
        <v>0</v>
      </c>
      <c r="DK86" s="63">
        <f t="shared" si="1296"/>
        <v>0</v>
      </c>
      <c r="DL86" s="63">
        <f t="shared" si="1297"/>
        <v>0</v>
      </c>
      <c r="DM86" s="61">
        <f t="shared" si="1298"/>
        <v>0</v>
      </c>
      <c r="DN86" s="64">
        <v>0</v>
      </c>
      <c r="DO86" s="65">
        <f t="shared" si="1194"/>
        <v>0</v>
      </c>
      <c r="DP86" s="212">
        <f t="shared" si="1195"/>
        <v>16493.333333333336</v>
      </c>
      <c r="DQ86" s="49">
        <v>0</v>
      </c>
      <c r="DR86" s="59" t="s">
        <v>206</v>
      </c>
      <c r="DS86" s="28">
        <f t="shared" si="1196"/>
        <v>54.545454545454547</v>
      </c>
      <c r="DT86" s="60">
        <v>12000</v>
      </c>
      <c r="DU86" s="28">
        <f t="shared" si="1299"/>
        <v>1200</v>
      </c>
      <c r="DV86" s="28">
        <f t="shared" si="1300"/>
        <v>960</v>
      </c>
      <c r="DW86" s="28">
        <f t="shared" si="1301"/>
        <v>1000</v>
      </c>
      <c r="DX86" s="63">
        <f t="shared" si="1302"/>
        <v>333.33333333333331</v>
      </c>
      <c r="DY86" s="63">
        <f t="shared" si="1303"/>
        <v>1000</v>
      </c>
      <c r="DZ86" s="61">
        <f t="shared" si="1361"/>
        <v>16493.333333333336</v>
      </c>
      <c r="EA86" s="62"/>
      <c r="EB86" s="62"/>
      <c r="EC86" s="62"/>
      <c r="ED86" s="62"/>
      <c r="EE86" s="62"/>
      <c r="EF86" s="63">
        <f t="shared" si="1304"/>
        <v>0</v>
      </c>
      <c r="EG86" s="63">
        <f t="shared" si="1305"/>
        <v>0</v>
      </c>
      <c r="EH86" s="63">
        <f t="shared" si="1306"/>
        <v>0</v>
      </c>
      <c r="EI86" s="63">
        <f t="shared" si="1307"/>
        <v>0</v>
      </c>
      <c r="EJ86" s="63">
        <f t="shared" si="1308"/>
        <v>0</v>
      </c>
      <c r="EK86" s="61">
        <f t="shared" si="1309"/>
        <v>0</v>
      </c>
      <c r="EL86" s="64">
        <v>0</v>
      </c>
      <c r="EM86" s="65">
        <f t="shared" si="1198"/>
        <v>0</v>
      </c>
      <c r="EN86" s="212">
        <f t="shared" si="1199"/>
        <v>16493.333333333336</v>
      </c>
      <c r="EO86" s="49">
        <v>0</v>
      </c>
      <c r="EP86" s="59" t="s">
        <v>206</v>
      </c>
      <c r="EQ86" s="28">
        <f t="shared" si="1200"/>
        <v>54.545454545454547</v>
      </c>
      <c r="ER86" s="60">
        <v>12000</v>
      </c>
      <c r="ES86" s="28">
        <f t="shared" si="1310"/>
        <v>1200</v>
      </c>
      <c r="ET86" s="28">
        <f t="shared" si="1311"/>
        <v>960</v>
      </c>
      <c r="EU86" s="28">
        <f t="shared" si="1312"/>
        <v>1000</v>
      </c>
      <c r="EV86" s="63">
        <f t="shared" si="1313"/>
        <v>333.33333333333331</v>
      </c>
      <c r="EW86" s="63">
        <f t="shared" si="1314"/>
        <v>1000</v>
      </c>
      <c r="EX86" s="61">
        <f t="shared" si="1362"/>
        <v>16493.333333333336</v>
      </c>
      <c r="EY86" s="62"/>
      <c r="EZ86" s="62"/>
      <c r="FA86" s="62"/>
      <c r="FB86" s="62"/>
      <c r="FC86" s="62"/>
      <c r="FD86" s="63">
        <f t="shared" si="1315"/>
        <v>0</v>
      </c>
      <c r="FE86" s="63">
        <f t="shared" si="1316"/>
        <v>0</v>
      </c>
      <c r="FF86" s="63">
        <f t="shared" si="1317"/>
        <v>0</v>
      </c>
      <c r="FG86" s="63">
        <f t="shared" si="1318"/>
        <v>0</v>
      </c>
      <c r="FH86" s="63">
        <f t="shared" si="1319"/>
        <v>0</v>
      </c>
      <c r="FI86" s="61">
        <f t="shared" si="1320"/>
        <v>0</v>
      </c>
      <c r="FJ86" s="64">
        <v>0</v>
      </c>
      <c r="FK86" s="65">
        <f t="shared" si="1202"/>
        <v>0</v>
      </c>
      <c r="FL86" s="212">
        <f t="shared" si="1203"/>
        <v>16493.333333333336</v>
      </c>
      <c r="FM86" s="49">
        <v>0</v>
      </c>
      <c r="FN86" s="59" t="s">
        <v>206</v>
      </c>
      <c r="FO86" s="28">
        <f t="shared" si="1204"/>
        <v>54.545454545454547</v>
      </c>
      <c r="FP86" s="60">
        <v>12000</v>
      </c>
      <c r="FQ86" s="28">
        <f t="shared" si="1321"/>
        <v>1200</v>
      </c>
      <c r="FR86" s="28">
        <f t="shared" si="1322"/>
        <v>960</v>
      </c>
      <c r="FS86" s="28">
        <f t="shared" si="1323"/>
        <v>1000</v>
      </c>
      <c r="FT86" s="63">
        <f t="shared" si="1324"/>
        <v>333.33333333333331</v>
      </c>
      <c r="FU86" s="63">
        <f t="shared" si="1325"/>
        <v>1000</v>
      </c>
      <c r="FV86" s="61">
        <f t="shared" si="1363"/>
        <v>16493.333333333336</v>
      </c>
      <c r="FW86" s="62"/>
      <c r="FX86" s="62"/>
      <c r="FY86" s="62"/>
      <c r="FZ86" s="62"/>
      <c r="GA86" s="62"/>
      <c r="GB86" s="63">
        <f t="shared" si="1326"/>
        <v>0</v>
      </c>
      <c r="GC86" s="63">
        <f t="shared" si="1327"/>
        <v>0</v>
      </c>
      <c r="GD86" s="63">
        <f t="shared" si="1328"/>
        <v>0</v>
      </c>
      <c r="GE86" s="63">
        <f t="shared" si="1329"/>
        <v>0</v>
      </c>
      <c r="GF86" s="63">
        <f t="shared" si="1330"/>
        <v>0</v>
      </c>
      <c r="GG86" s="61">
        <f t="shared" si="1331"/>
        <v>0</v>
      </c>
      <c r="GH86" s="64">
        <v>0</v>
      </c>
      <c r="GI86" s="65">
        <f t="shared" si="1206"/>
        <v>0</v>
      </c>
      <c r="GJ86" s="212">
        <f t="shared" si="1207"/>
        <v>16493.333333333336</v>
      </c>
      <c r="GK86" s="49">
        <v>0</v>
      </c>
      <c r="GL86" s="59" t="s">
        <v>206</v>
      </c>
      <c r="GM86" s="28">
        <f t="shared" si="1208"/>
        <v>54.545454545454547</v>
      </c>
      <c r="GN86" s="60">
        <v>12000</v>
      </c>
      <c r="GO86" s="28">
        <f t="shared" si="1332"/>
        <v>1200</v>
      </c>
      <c r="GP86" s="28">
        <f t="shared" si="1333"/>
        <v>960</v>
      </c>
      <c r="GQ86" s="28">
        <f t="shared" si="1334"/>
        <v>1000</v>
      </c>
      <c r="GR86" s="63">
        <f t="shared" si="1335"/>
        <v>333.33333333333331</v>
      </c>
      <c r="GS86" s="63">
        <f t="shared" si="1336"/>
        <v>1000</v>
      </c>
      <c r="GT86" s="61">
        <f t="shared" si="1364"/>
        <v>16493.333333333336</v>
      </c>
      <c r="GU86" s="62"/>
      <c r="GV86" s="62"/>
      <c r="GW86" s="62"/>
      <c r="GX86" s="62"/>
      <c r="GY86" s="62"/>
      <c r="GZ86" s="63">
        <f t="shared" si="1337"/>
        <v>0</v>
      </c>
      <c r="HA86" s="63">
        <f t="shared" si="1338"/>
        <v>0</v>
      </c>
      <c r="HB86" s="63">
        <f t="shared" si="1339"/>
        <v>0</v>
      </c>
      <c r="HC86" s="63">
        <f t="shared" si="1340"/>
        <v>0</v>
      </c>
      <c r="HD86" s="63">
        <f t="shared" si="1341"/>
        <v>0</v>
      </c>
      <c r="HE86" s="61">
        <f t="shared" si="1342"/>
        <v>0</v>
      </c>
      <c r="HF86" s="64">
        <v>0</v>
      </c>
      <c r="HG86" s="65">
        <f t="shared" si="1210"/>
        <v>0</v>
      </c>
      <c r="HH86" s="212">
        <f t="shared" si="1211"/>
        <v>16493.333333333336</v>
      </c>
      <c r="HI86" s="49">
        <v>0</v>
      </c>
      <c r="HJ86" s="59" t="s">
        <v>206</v>
      </c>
      <c r="HK86" s="28">
        <f t="shared" si="1212"/>
        <v>54.545454545454547</v>
      </c>
      <c r="HL86" s="60">
        <v>12000</v>
      </c>
      <c r="HM86" s="28">
        <f t="shared" si="1343"/>
        <v>1200</v>
      </c>
      <c r="HN86" s="28">
        <f t="shared" si="1344"/>
        <v>960</v>
      </c>
      <c r="HO86" s="28">
        <f t="shared" si="1345"/>
        <v>1000</v>
      </c>
      <c r="HP86" s="63">
        <f t="shared" si="1346"/>
        <v>333.33333333333331</v>
      </c>
      <c r="HQ86" s="63">
        <f t="shared" si="1347"/>
        <v>1000</v>
      </c>
      <c r="HR86" s="61">
        <f t="shared" si="1365"/>
        <v>16493.333333333336</v>
      </c>
      <c r="HS86" s="62"/>
      <c r="HT86" s="62"/>
      <c r="HU86" s="62"/>
      <c r="HV86" s="62"/>
      <c r="HW86" s="62"/>
      <c r="HX86" s="63">
        <f t="shared" si="1348"/>
        <v>0</v>
      </c>
      <c r="HY86" s="63">
        <f t="shared" si="1349"/>
        <v>0</v>
      </c>
      <c r="HZ86" s="63">
        <f t="shared" si="1350"/>
        <v>0</v>
      </c>
      <c r="IA86" s="63">
        <f t="shared" si="1351"/>
        <v>0</v>
      </c>
      <c r="IB86" s="63">
        <f t="shared" si="1352"/>
        <v>0</v>
      </c>
      <c r="IC86" s="61">
        <f t="shared" si="1353"/>
        <v>0</v>
      </c>
      <c r="ID86" s="64">
        <v>0</v>
      </c>
      <c r="IE86" s="65">
        <f t="shared" si="1214"/>
        <v>0</v>
      </c>
      <c r="IF86" s="212">
        <f t="shared" si="1215"/>
        <v>16493.333333333336</v>
      </c>
      <c r="IG86" s="49">
        <v>0</v>
      </c>
      <c r="IH86" s="59" t="s">
        <v>206</v>
      </c>
      <c r="II86" s="28">
        <f t="shared" si="1216"/>
        <v>54.545454545454547</v>
      </c>
      <c r="IJ86" s="60">
        <v>12000</v>
      </c>
      <c r="IK86" s="28">
        <f t="shared" si="1217"/>
        <v>1200</v>
      </c>
      <c r="IL86" s="28">
        <f t="shared" si="1218"/>
        <v>960</v>
      </c>
      <c r="IM86" s="28">
        <f t="shared" si="1219"/>
        <v>1000</v>
      </c>
      <c r="IN86" s="63">
        <f t="shared" si="1220"/>
        <v>333.33333333333331</v>
      </c>
      <c r="IO86" s="63">
        <f t="shared" si="1221"/>
        <v>1000</v>
      </c>
      <c r="IP86" s="61">
        <f t="shared" si="1366"/>
        <v>16493.333333333336</v>
      </c>
      <c r="IQ86" s="62"/>
      <c r="IR86" s="62"/>
      <c r="IS86" s="62"/>
      <c r="IT86" s="62"/>
      <c r="IU86" s="62"/>
      <c r="IV86" s="63">
        <f t="shared" si="1223"/>
        <v>0</v>
      </c>
      <c r="IW86" s="63">
        <f t="shared" si="1224"/>
        <v>0</v>
      </c>
      <c r="IX86" s="63">
        <f t="shared" si="1225"/>
        <v>0</v>
      </c>
      <c r="IY86" s="63">
        <f t="shared" si="1226"/>
        <v>0</v>
      </c>
      <c r="IZ86" s="63">
        <f t="shared" si="1227"/>
        <v>0</v>
      </c>
      <c r="JA86" s="61">
        <f t="shared" si="1354"/>
        <v>0</v>
      </c>
      <c r="JB86" s="64">
        <v>0</v>
      </c>
      <c r="JC86" s="65">
        <f t="shared" si="1228"/>
        <v>0</v>
      </c>
      <c r="JD86" s="476">
        <f t="shared" si="1229"/>
        <v>16493.333333333336</v>
      </c>
      <c r="JE86" s="49">
        <v>0</v>
      </c>
      <c r="JF86" s="59" t="s">
        <v>206</v>
      </c>
      <c r="JG86" s="28">
        <f t="shared" si="1230"/>
        <v>54.545454545454547</v>
      </c>
      <c r="JH86" s="60">
        <v>12000</v>
      </c>
      <c r="JI86" s="28">
        <f t="shared" si="1231"/>
        <v>1200</v>
      </c>
      <c r="JJ86" s="28">
        <f t="shared" si="1232"/>
        <v>960</v>
      </c>
      <c r="JK86" s="28">
        <f t="shared" si="1233"/>
        <v>1000</v>
      </c>
      <c r="JL86" s="63">
        <f t="shared" si="1234"/>
        <v>333.33333333333331</v>
      </c>
      <c r="JM86" s="63">
        <f t="shared" si="1235"/>
        <v>1000</v>
      </c>
      <c r="JN86" s="61">
        <f t="shared" si="1367"/>
        <v>16493.333333333336</v>
      </c>
      <c r="JO86" s="62"/>
      <c r="JP86" s="62"/>
      <c r="JQ86" s="62"/>
      <c r="JR86" s="62"/>
      <c r="JS86" s="62"/>
      <c r="JT86" s="63">
        <f t="shared" si="1237"/>
        <v>0</v>
      </c>
      <c r="JU86" s="63">
        <f t="shared" si="1238"/>
        <v>0</v>
      </c>
      <c r="JV86" s="63">
        <f t="shared" si="1239"/>
        <v>0</v>
      </c>
      <c r="JW86" s="63">
        <f t="shared" si="1240"/>
        <v>0</v>
      </c>
      <c r="JX86" s="63">
        <f t="shared" si="1241"/>
        <v>0</v>
      </c>
      <c r="JY86" s="61">
        <f t="shared" si="1355"/>
        <v>0</v>
      </c>
      <c r="JZ86" s="64">
        <v>0</v>
      </c>
      <c r="KA86" s="65">
        <f t="shared" si="1242"/>
        <v>0</v>
      </c>
      <c r="KB86" s="476">
        <f t="shared" si="1243"/>
        <v>16493.333333333336</v>
      </c>
      <c r="KC86" s="37"/>
      <c r="KD86" s="37"/>
      <c r="KE86" s="37"/>
      <c r="KF86" s="37"/>
      <c r="KG86" s="37"/>
      <c r="KH86" s="37"/>
      <c r="KI86" s="37"/>
      <c r="KJ86" s="37"/>
    </row>
    <row r="87" spans="1:296" x14ac:dyDescent="0.3">
      <c r="A87" s="49">
        <v>0</v>
      </c>
      <c r="B87" s="59" t="s">
        <v>207</v>
      </c>
      <c r="C87" s="28">
        <f t="shared" si="1176"/>
        <v>54.545454545454547</v>
      </c>
      <c r="D87" s="60">
        <v>12000</v>
      </c>
      <c r="E87" s="28">
        <v>0</v>
      </c>
      <c r="F87" s="28">
        <v>0</v>
      </c>
      <c r="G87" s="28">
        <v>0</v>
      </c>
      <c r="H87" s="63">
        <f t="shared" ref="H87:H88" si="1368">G87/H$6</f>
        <v>0</v>
      </c>
      <c r="I87" s="63">
        <v>0</v>
      </c>
      <c r="J87" s="61">
        <f t="shared" si="1356"/>
        <v>12000</v>
      </c>
      <c r="K87" s="62"/>
      <c r="L87" s="62"/>
      <c r="M87" s="62"/>
      <c r="N87" s="62"/>
      <c r="O87" s="62"/>
      <c r="P87" s="63">
        <v>0</v>
      </c>
      <c r="Q87" s="63">
        <f t="shared" ref="Q87:Q88" si="1369">((C87*Q$6)+(C87*E$6)+(C87*F$6))*L87</f>
        <v>0</v>
      </c>
      <c r="R87" s="63">
        <f t="shared" ref="R87:R88" si="1370">((C87*R$6)+(C87*F$6)+(C87*E$6))*M87</f>
        <v>0</v>
      </c>
      <c r="S87" s="63">
        <f t="shared" ref="S87:S88" si="1371">((C87*S$6)+(C87*E$6)+(C87*F$6))*N87</f>
        <v>0</v>
      </c>
      <c r="T87" s="63">
        <f t="shared" si="1253"/>
        <v>0</v>
      </c>
      <c r="U87" s="61">
        <f t="shared" ref="U87:U88" si="1372">SUM(P87:S87)</f>
        <v>0</v>
      </c>
      <c r="V87" s="64">
        <v>0</v>
      </c>
      <c r="W87" s="65">
        <f t="shared" si="1178"/>
        <v>0</v>
      </c>
      <c r="X87" s="212">
        <f t="shared" si="1179"/>
        <v>12000</v>
      </c>
      <c r="Y87" s="49">
        <v>0</v>
      </c>
      <c r="Z87" s="59" t="s">
        <v>207</v>
      </c>
      <c r="AA87" s="28">
        <f t="shared" si="1180"/>
        <v>54.545454545454547</v>
      </c>
      <c r="AB87" s="60">
        <v>12000</v>
      </c>
      <c r="AC87" s="28">
        <v>0</v>
      </c>
      <c r="AD87" s="28">
        <v>0</v>
      </c>
      <c r="AE87" s="28">
        <v>0</v>
      </c>
      <c r="AF87" s="63">
        <f t="shared" ref="AF87:AF88" si="1373">AE87/AF$6</f>
        <v>0</v>
      </c>
      <c r="AG87" s="63">
        <v>0</v>
      </c>
      <c r="AH87" s="61">
        <f t="shared" si="1357"/>
        <v>12000</v>
      </c>
      <c r="AI87" s="62"/>
      <c r="AJ87" s="62"/>
      <c r="AK87" s="62"/>
      <c r="AL87" s="62"/>
      <c r="AM87" s="62"/>
      <c r="AN87" s="63">
        <v>0</v>
      </c>
      <c r="AO87" s="63">
        <f t="shared" ref="AO87:AO88" si="1374">((AA87*AO$6)+(AA87*AC$6)+(AA87*AD$6))*AJ87</f>
        <v>0</v>
      </c>
      <c r="AP87" s="63">
        <f t="shared" ref="AP87:AP88" si="1375">((AA87*AP$6)+(AA87*AD$6)+(AA87*AC$6))*AK87</f>
        <v>0</v>
      </c>
      <c r="AQ87" s="63">
        <f t="shared" ref="AQ87:AQ88" si="1376">((AA87*AQ$6)+(AA87*AC$6)+(AA87*AD$6))*AL87</f>
        <v>0</v>
      </c>
      <c r="AR87" s="63">
        <f t="shared" si="1264"/>
        <v>0</v>
      </c>
      <c r="AS87" s="61">
        <f t="shared" ref="AS87:AS88" si="1377">SUM(AN87:AQ87)</f>
        <v>0</v>
      </c>
      <c r="AT87" s="64">
        <v>0</v>
      </c>
      <c r="AU87" s="65">
        <f t="shared" si="1182"/>
        <v>0</v>
      </c>
      <c r="AV87" s="212">
        <f t="shared" si="1183"/>
        <v>12000</v>
      </c>
      <c r="AW87" s="49">
        <v>0</v>
      </c>
      <c r="AX87" s="59" t="s">
        <v>207</v>
      </c>
      <c r="AY87" s="28">
        <f t="shared" si="1184"/>
        <v>54.545454545454547</v>
      </c>
      <c r="AZ87" s="60">
        <v>12000</v>
      </c>
      <c r="BA87" s="28">
        <v>0</v>
      </c>
      <c r="BB87" s="28">
        <v>0</v>
      </c>
      <c r="BC87" s="28">
        <v>0</v>
      </c>
      <c r="BD87" s="63">
        <f t="shared" ref="BD87:BD88" si="1378">BC87/BD$6</f>
        <v>0</v>
      </c>
      <c r="BE87" s="63">
        <v>0</v>
      </c>
      <c r="BF87" s="61">
        <f t="shared" si="1358"/>
        <v>12000</v>
      </c>
      <c r="BG87" s="62"/>
      <c r="BH87" s="62"/>
      <c r="BI87" s="62"/>
      <c r="BJ87" s="62"/>
      <c r="BK87" s="62"/>
      <c r="BL87" s="63">
        <v>0</v>
      </c>
      <c r="BM87" s="63">
        <f t="shared" ref="BM87:BM88" si="1379">((AY87*BM$6)+(AY87*BA$6)+(AY87*BB$6))*BH87</f>
        <v>0</v>
      </c>
      <c r="BN87" s="63">
        <f t="shared" ref="BN87:BN88" si="1380">((AY87*BN$6)+(AY87*BB$6)+(AY87*BA$6))*BI87</f>
        <v>0</v>
      </c>
      <c r="BO87" s="63">
        <f t="shared" ref="BO87:BO88" si="1381">((AY87*BO$6)+(AY87*BA$6)+(AY87*BB$6))*BJ87</f>
        <v>0</v>
      </c>
      <c r="BP87" s="63">
        <f t="shared" si="1275"/>
        <v>0</v>
      </c>
      <c r="BQ87" s="61">
        <f t="shared" ref="BQ87:BQ88" si="1382">SUM(BL87:BO87)</f>
        <v>0</v>
      </c>
      <c r="BR87" s="64">
        <v>0</v>
      </c>
      <c r="BS87" s="65">
        <f t="shared" si="1186"/>
        <v>0</v>
      </c>
      <c r="BT87" s="212">
        <f t="shared" si="1187"/>
        <v>12000</v>
      </c>
      <c r="BU87" s="49">
        <v>0</v>
      </c>
      <c r="BV87" s="59" t="s">
        <v>207</v>
      </c>
      <c r="BW87" s="28">
        <f t="shared" si="1188"/>
        <v>54.545454545454547</v>
      </c>
      <c r="BX87" s="60">
        <v>12000</v>
      </c>
      <c r="BY87" s="28">
        <v>0</v>
      </c>
      <c r="BZ87" s="28">
        <v>0</v>
      </c>
      <c r="CA87" s="28">
        <v>0</v>
      </c>
      <c r="CB87" s="63">
        <f t="shared" ref="CB87:CB88" si="1383">CA87/CB$6</f>
        <v>0</v>
      </c>
      <c r="CC87" s="63">
        <v>0</v>
      </c>
      <c r="CD87" s="61">
        <f t="shared" si="1359"/>
        <v>12000</v>
      </c>
      <c r="CE87" s="62"/>
      <c r="CF87" s="62"/>
      <c r="CG87" s="62"/>
      <c r="CH87" s="62"/>
      <c r="CI87" s="62"/>
      <c r="CJ87" s="63">
        <v>0</v>
      </c>
      <c r="CK87" s="63">
        <f t="shared" ref="CK87:CK88" si="1384">((BW87*CK$6)+(BW87*BY$6)+(BW87*BZ$6))*CF87</f>
        <v>0</v>
      </c>
      <c r="CL87" s="63">
        <f t="shared" ref="CL87:CL88" si="1385">((BW87*CL$6)+(BW87*BZ$6)+(BW87*BY$6))*CG87</f>
        <v>0</v>
      </c>
      <c r="CM87" s="63">
        <f t="shared" ref="CM87:CM88" si="1386">((BW87*CM$6)+(BW87*BY$6)+(BW87*BZ$6))*CH87</f>
        <v>0</v>
      </c>
      <c r="CN87" s="63">
        <f t="shared" si="1286"/>
        <v>0</v>
      </c>
      <c r="CO87" s="61">
        <f t="shared" ref="CO87:CO88" si="1387">SUM(CJ87:CM87)</f>
        <v>0</v>
      </c>
      <c r="CP87" s="64">
        <v>0</v>
      </c>
      <c r="CQ87" s="65">
        <f t="shared" si="1190"/>
        <v>0</v>
      </c>
      <c r="CR87" s="212">
        <f t="shared" si="1191"/>
        <v>12000</v>
      </c>
      <c r="CS87" s="49">
        <v>0</v>
      </c>
      <c r="CT87" s="59" t="s">
        <v>207</v>
      </c>
      <c r="CU87" s="28">
        <f t="shared" si="1192"/>
        <v>54.545454545454547</v>
      </c>
      <c r="CV87" s="60">
        <v>12000</v>
      </c>
      <c r="CW87" s="28">
        <v>0</v>
      </c>
      <c r="CX87" s="28">
        <v>0</v>
      </c>
      <c r="CY87" s="28">
        <v>0</v>
      </c>
      <c r="CZ87" s="63">
        <f t="shared" ref="CZ87:CZ88" si="1388">CY87/CZ$6</f>
        <v>0</v>
      </c>
      <c r="DA87" s="63">
        <v>0</v>
      </c>
      <c r="DB87" s="61">
        <f t="shared" si="1360"/>
        <v>12000</v>
      </c>
      <c r="DC87" s="62"/>
      <c r="DD87" s="62"/>
      <c r="DE87" s="62"/>
      <c r="DF87" s="62"/>
      <c r="DG87" s="62"/>
      <c r="DH87" s="63">
        <v>0</v>
      </c>
      <c r="DI87" s="63">
        <f t="shared" ref="DI87:DI88" si="1389">((CU87*DI$6)+(CU87*CW$6)+(CU87*CX$6))*DD87</f>
        <v>0</v>
      </c>
      <c r="DJ87" s="63">
        <f t="shared" ref="DJ87:DJ88" si="1390">((CU87*DJ$6)+(CU87*CX$6)+(CU87*CW$6))*DE87</f>
        <v>0</v>
      </c>
      <c r="DK87" s="63">
        <f t="shared" ref="DK87:DK88" si="1391">((CU87*DK$6)+(CU87*CW$6)+(CU87*CX$6))*DF87</f>
        <v>0</v>
      </c>
      <c r="DL87" s="63">
        <f t="shared" si="1297"/>
        <v>0</v>
      </c>
      <c r="DM87" s="61">
        <f t="shared" ref="DM87:DM88" si="1392">SUM(DH87:DK87)</f>
        <v>0</v>
      </c>
      <c r="DN87" s="64">
        <v>0</v>
      </c>
      <c r="DO87" s="65">
        <f t="shared" si="1194"/>
        <v>0</v>
      </c>
      <c r="DP87" s="212">
        <f t="shared" si="1195"/>
        <v>12000</v>
      </c>
      <c r="DQ87" s="49">
        <v>0</v>
      </c>
      <c r="DR87" s="59" t="s">
        <v>207</v>
      </c>
      <c r="DS87" s="28">
        <f t="shared" si="1196"/>
        <v>54.545454545454547</v>
      </c>
      <c r="DT87" s="60">
        <v>12000</v>
      </c>
      <c r="DU87" s="28">
        <v>0</v>
      </c>
      <c r="DV87" s="28">
        <v>0</v>
      </c>
      <c r="DW87" s="28">
        <v>0</v>
      </c>
      <c r="DX87" s="63">
        <f t="shared" ref="DX87:DX88" si="1393">DW87/DX$6</f>
        <v>0</v>
      </c>
      <c r="DY87" s="63">
        <v>0</v>
      </c>
      <c r="DZ87" s="61">
        <f t="shared" si="1361"/>
        <v>12000</v>
      </c>
      <c r="EA87" s="62"/>
      <c r="EB87" s="62"/>
      <c r="EC87" s="62"/>
      <c r="ED87" s="62"/>
      <c r="EE87" s="62"/>
      <c r="EF87" s="63">
        <v>0</v>
      </c>
      <c r="EG87" s="63">
        <f t="shared" ref="EG87:EG88" si="1394">((DS87*EG$6)+(DS87*DU$6)+(DS87*DV$6))*EB87</f>
        <v>0</v>
      </c>
      <c r="EH87" s="63">
        <f t="shared" ref="EH87:EH88" si="1395">((DS87*EH$6)+(DS87*DV$6)+(DS87*DU$6))*EC87</f>
        <v>0</v>
      </c>
      <c r="EI87" s="63">
        <f t="shared" ref="EI87:EI88" si="1396">((DS87*EI$6)+(DS87*DU$6)+(DS87*DV$6))*ED87</f>
        <v>0</v>
      </c>
      <c r="EJ87" s="63">
        <f t="shared" si="1308"/>
        <v>0</v>
      </c>
      <c r="EK87" s="61">
        <f t="shared" ref="EK87:EK88" si="1397">SUM(EF87:EI87)</f>
        <v>0</v>
      </c>
      <c r="EL87" s="64">
        <v>0</v>
      </c>
      <c r="EM87" s="65">
        <f t="shared" si="1198"/>
        <v>0</v>
      </c>
      <c r="EN87" s="212">
        <f t="shared" si="1199"/>
        <v>12000</v>
      </c>
      <c r="EO87" s="49">
        <v>0</v>
      </c>
      <c r="EP87" s="59" t="s">
        <v>207</v>
      </c>
      <c r="EQ87" s="28">
        <f t="shared" si="1200"/>
        <v>54.545454545454547</v>
      </c>
      <c r="ER87" s="60">
        <v>12000</v>
      </c>
      <c r="ES87" s="28">
        <v>0</v>
      </c>
      <c r="ET87" s="28">
        <v>0</v>
      </c>
      <c r="EU87" s="28">
        <v>0</v>
      </c>
      <c r="EV87" s="63">
        <f t="shared" ref="EV87:EV88" si="1398">EU87/EV$6</f>
        <v>0</v>
      </c>
      <c r="EW87" s="63">
        <v>0</v>
      </c>
      <c r="EX87" s="61">
        <f t="shared" si="1362"/>
        <v>12000</v>
      </c>
      <c r="EY87" s="62"/>
      <c r="EZ87" s="62"/>
      <c r="FA87" s="62"/>
      <c r="FB87" s="62"/>
      <c r="FC87" s="62"/>
      <c r="FD87" s="63">
        <v>0</v>
      </c>
      <c r="FE87" s="63">
        <f t="shared" ref="FE87:FE88" si="1399">((EQ87*FE$6)+(EQ87*ES$6)+(EQ87*ET$6))*EZ87</f>
        <v>0</v>
      </c>
      <c r="FF87" s="63">
        <f t="shared" ref="FF87:FF88" si="1400">((EQ87*FF$6)+(EQ87*ET$6)+(EQ87*ES$6))*FA87</f>
        <v>0</v>
      </c>
      <c r="FG87" s="63">
        <f t="shared" ref="FG87:FG88" si="1401">((EQ87*FG$6)+(EQ87*ES$6)+(EQ87*ET$6))*FB87</f>
        <v>0</v>
      </c>
      <c r="FH87" s="63">
        <f t="shared" si="1319"/>
        <v>0</v>
      </c>
      <c r="FI87" s="61">
        <f t="shared" ref="FI87:FI88" si="1402">SUM(FD87:FG87)</f>
        <v>0</v>
      </c>
      <c r="FJ87" s="64">
        <v>0</v>
      </c>
      <c r="FK87" s="65">
        <f t="shared" si="1202"/>
        <v>0</v>
      </c>
      <c r="FL87" s="212">
        <f t="shared" si="1203"/>
        <v>12000</v>
      </c>
      <c r="FM87" s="49">
        <v>0</v>
      </c>
      <c r="FN87" s="59" t="s">
        <v>207</v>
      </c>
      <c r="FO87" s="28">
        <f t="shared" si="1204"/>
        <v>54.545454545454547</v>
      </c>
      <c r="FP87" s="60">
        <v>12000</v>
      </c>
      <c r="FQ87" s="28">
        <v>0</v>
      </c>
      <c r="FR87" s="28">
        <v>0</v>
      </c>
      <c r="FS87" s="28">
        <v>0</v>
      </c>
      <c r="FT87" s="63">
        <f t="shared" ref="FT87:FT88" si="1403">FS87/FT$6</f>
        <v>0</v>
      </c>
      <c r="FU87" s="63">
        <v>0</v>
      </c>
      <c r="FV87" s="61">
        <f t="shared" si="1363"/>
        <v>12000</v>
      </c>
      <c r="FW87" s="62"/>
      <c r="FX87" s="62"/>
      <c r="FY87" s="62"/>
      <c r="FZ87" s="62"/>
      <c r="GA87" s="62"/>
      <c r="GB87" s="63">
        <v>0</v>
      </c>
      <c r="GC87" s="63">
        <f t="shared" ref="GC87:GC88" si="1404">((FO87*GC$6)+(FO87*FQ$6)+(FO87*FR$6))*FX87</f>
        <v>0</v>
      </c>
      <c r="GD87" s="63">
        <f t="shared" ref="GD87:GD88" si="1405">((FO87*GD$6)+(FO87*FR$6)+(FO87*FQ$6))*FY87</f>
        <v>0</v>
      </c>
      <c r="GE87" s="63">
        <f t="shared" ref="GE87:GE88" si="1406">((FO87*GE$6)+(FO87*FQ$6)+(FO87*FR$6))*FZ87</f>
        <v>0</v>
      </c>
      <c r="GF87" s="63">
        <f t="shared" si="1330"/>
        <v>0</v>
      </c>
      <c r="GG87" s="61">
        <f t="shared" ref="GG87:GG88" si="1407">SUM(GB87:GE87)</f>
        <v>0</v>
      </c>
      <c r="GH87" s="64">
        <v>0</v>
      </c>
      <c r="GI87" s="65">
        <f t="shared" si="1206"/>
        <v>0</v>
      </c>
      <c r="GJ87" s="212">
        <f t="shared" si="1207"/>
        <v>12000</v>
      </c>
      <c r="GK87" s="49">
        <v>0</v>
      </c>
      <c r="GL87" s="59" t="s">
        <v>207</v>
      </c>
      <c r="GM87" s="28">
        <f t="shared" si="1208"/>
        <v>54.545454545454547</v>
      </c>
      <c r="GN87" s="60">
        <v>12000</v>
      </c>
      <c r="GO87" s="28">
        <v>0</v>
      </c>
      <c r="GP87" s="28">
        <v>0</v>
      </c>
      <c r="GQ87" s="28">
        <v>0</v>
      </c>
      <c r="GR87" s="63">
        <f t="shared" ref="GR87:GR88" si="1408">GQ87/GR$6</f>
        <v>0</v>
      </c>
      <c r="GS87" s="63">
        <v>0</v>
      </c>
      <c r="GT87" s="61">
        <f t="shared" si="1364"/>
        <v>12000</v>
      </c>
      <c r="GU87" s="62"/>
      <c r="GV87" s="62"/>
      <c r="GW87" s="62"/>
      <c r="GX87" s="62"/>
      <c r="GY87" s="62"/>
      <c r="GZ87" s="63">
        <v>0</v>
      </c>
      <c r="HA87" s="63">
        <f t="shared" ref="HA87:HA88" si="1409">((GM87*HA$6)+(GM87*GO$6)+(GM87*GP$6))*GV87</f>
        <v>0</v>
      </c>
      <c r="HB87" s="63">
        <f t="shared" ref="HB87:HB88" si="1410">((GM87*HB$6)+(GM87*GP$6)+(GM87*GO$6))*GW87</f>
        <v>0</v>
      </c>
      <c r="HC87" s="63">
        <f t="shared" ref="HC87:HC88" si="1411">((GM87*HC$6)+(GM87*GO$6)+(GM87*GP$6))*GX87</f>
        <v>0</v>
      </c>
      <c r="HD87" s="63">
        <f t="shared" si="1341"/>
        <v>0</v>
      </c>
      <c r="HE87" s="61">
        <f t="shared" ref="HE87:HE88" si="1412">SUM(GZ87:HC87)</f>
        <v>0</v>
      </c>
      <c r="HF87" s="64">
        <v>0</v>
      </c>
      <c r="HG87" s="65">
        <f t="shared" si="1210"/>
        <v>0</v>
      </c>
      <c r="HH87" s="212">
        <f t="shared" si="1211"/>
        <v>12000</v>
      </c>
      <c r="HI87" s="49">
        <v>0</v>
      </c>
      <c r="HJ87" s="59" t="s">
        <v>207</v>
      </c>
      <c r="HK87" s="28">
        <f t="shared" si="1212"/>
        <v>54.545454545454547</v>
      </c>
      <c r="HL87" s="60">
        <v>12000</v>
      </c>
      <c r="HM87" s="28">
        <v>0</v>
      </c>
      <c r="HN87" s="28">
        <v>0</v>
      </c>
      <c r="HO87" s="28">
        <v>0</v>
      </c>
      <c r="HP87" s="63">
        <f t="shared" ref="HP87:HP88" si="1413">HO87/HP$6</f>
        <v>0</v>
      </c>
      <c r="HQ87" s="63">
        <v>0</v>
      </c>
      <c r="HR87" s="61">
        <f t="shared" si="1365"/>
        <v>12000</v>
      </c>
      <c r="HS87" s="62"/>
      <c r="HT87" s="62"/>
      <c r="HU87" s="62"/>
      <c r="HV87" s="62"/>
      <c r="HW87" s="62"/>
      <c r="HX87" s="63">
        <v>0</v>
      </c>
      <c r="HY87" s="63">
        <f t="shared" ref="HY87:HY88" si="1414">((HK87*HY$6)+(HK87*HM$6)+(HK87*HN$6))*HT87</f>
        <v>0</v>
      </c>
      <c r="HZ87" s="63">
        <f t="shared" ref="HZ87:HZ88" si="1415">((HK87*HZ$6)+(HK87*HN$6)+(HK87*HM$6))*HU87</f>
        <v>0</v>
      </c>
      <c r="IA87" s="63">
        <f t="shared" ref="IA87:IA88" si="1416">((HK87*IA$6)+(HK87*HM$6)+(HK87*HN$6))*HV87</f>
        <v>0</v>
      </c>
      <c r="IB87" s="63">
        <f t="shared" si="1352"/>
        <v>0</v>
      </c>
      <c r="IC87" s="61">
        <f t="shared" ref="IC87:IC88" si="1417">SUM(HX87:IA87)</f>
        <v>0</v>
      </c>
      <c r="ID87" s="64">
        <v>0</v>
      </c>
      <c r="IE87" s="65">
        <f t="shared" si="1214"/>
        <v>0</v>
      </c>
      <c r="IF87" s="212">
        <f t="shared" si="1215"/>
        <v>12000</v>
      </c>
      <c r="IG87" s="49">
        <v>0</v>
      </c>
      <c r="IH87" s="59" t="s">
        <v>207</v>
      </c>
      <c r="II87" s="28">
        <f t="shared" si="1216"/>
        <v>54.545454545454547</v>
      </c>
      <c r="IJ87" s="60">
        <v>12000</v>
      </c>
      <c r="IK87" s="28">
        <v>0</v>
      </c>
      <c r="IL87" s="28">
        <v>0</v>
      </c>
      <c r="IM87" s="28">
        <v>0</v>
      </c>
      <c r="IN87" s="63">
        <f>IM87/IN$6</f>
        <v>0</v>
      </c>
      <c r="IO87" s="63">
        <v>0</v>
      </c>
      <c r="IP87" s="61">
        <f t="shared" si="1366"/>
        <v>12000</v>
      </c>
      <c r="IQ87" s="62"/>
      <c r="IR87" s="62"/>
      <c r="IS87" s="62"/>
      <c r="IT87" s="62"/>
      <c r="IU87" s="62"/>
      <c r="IV87" s="63">
        <v>0</v>
      </c>
      <c r="IW87" s="63">
        <f>((II87*IW$6)+(II87*IK$6)+(II87*IL$6))*IR87</f>
        <v>0</v>
      </c>
      <c r="IX87" s="63">
        <f>((II87*IX$6)+(II87*IL$6)+(II87*IK$6))*IS87</f>
        <v>0</v>
      </c>
      <c r="IY87" s="63">
        <f>((II87*IY$6)+(II87*IK$6)+(II87*IL$6))*IT87</f>
        <v>0</v>
      </c>
      <c r="IZ87" s="63">
        <f t="shared" si="1227"/>
        <v>0</v>
      </c>
      <c r="JA87" s="61">
        <f t="shared" ref="JA87:JA88" si="1418">SUM(IV87:IY87)</f>
        <v>0</v>
      </c>
      <c r="JB87" s="64">
        <v>0</v>
      </c>
      <c r="JC87" s="65">
        <f t="shared" si="1228"/>
        <v>0</v>
      </c>
      <c r="JD87" s="476">
        <f t="shared" si="1229"/>
        <v>12000</v>
      </c>
      <c r="JE87" s="49">
        <v>0</v>
      </c>
      <c r="JF87" s="59" t="s">
        <v>207</v>
      </c>
      <c r="JG87" s="28">
        <f t="shared" si="1230"/>
        <v>54.545454545454547</v>
      </c>
      <c r="JH87" s="60">
        <v>12000</v>
      </c>
      <c r="JI87" s="28">
        <v>0</v>
      </c>
      <c r="JJ87" s="28">
        <v>0</v>
      </c>
      <c r="JK87" s="28">
        <v>0</v>
      </c>
      <c r="JL87" s="63">
        <f>JK87/JL$6</f>
        <v>0</v>
      </c>
      <c r="JM87" s="63">
        <v>0</v>
      </c>
      <c r="JN87" s="61">
        <f t="shared" si="1367"/>
        <v>12000</v>
      </c>
      <c r="JO87" s="62"/>
      <c r="JP87" s="62"/>
      <c r="JQ87" s="62"/>
      <c r="JR87" s="62"/>
      <c r="JS87" s="62"/>
      <c r="JT87" s="63">
        <v>0</v>
      </c>
      <c r="JU87" s="63">
        <f>((JG87*JU$6)+(JG87*JI$6)+(JG87*JJ$6))*JP87</f>
        <v>0</v>
      </c>
      <c r="JV87" s="63">
        <f>((JG87*JV$6)+(JG87*JJ$6)+(JG87*JI$6))*JQ87</f>
        <v>0</v>
      </c>
      <c r="JW87" s="63">
        <f>((JG87*JW$6)+(JG87*JI$6)+(JG87*JJ$6))*JR87</f>
        <v>0</v>
      </c>
      <c r="JX87" s="63">
        <f t="shared" si="1241"/>
        <v>0</v>
      </c>
      <c r="JY87" s="61">
        <f t="shared" ref="JY87:JY88" si="1419">SUM(JT87:JW87)</f>
        <v>0</v>
      </c>
      <c r="JZ87" s="64">
        <v>0</v>
      </c>
      <c r="KA87" s="65">
        <f t="shared" si="1242"/>
        <v>0</v>
      </c>
      <c r="KB87" s="476">
        <f t="shared" si="1243"/>
        <v>12000</v>
      </c>
      <c r="KC87" s="37"/>
      <c r="KD87" s="37"/>
      <c r="KE87" s="37"/>
      <c r="KF87" s="37"/>
      <c r="KG87" s="37"/>
      <c r="KH87" s="37"/>
      <c r="KI87" s="37"/>
      <c r="KJ87" s="37"/>
    </row>
    <row r="88" spans="1:296" x14ac:dyDescent="0.3">
      <c r="A88" s="49">
        <v>0</v>
      </c>
      <c r="B88" s="59" t="s">
        <v>208</v>
      </c>
      <c r="C88" s="28">
        <f t="shared" si="1176"/>
        <v>54.545454545454547</v>
      </c>
      <c r="D88" s="60">
        <v>12000</v>
      </c>
      <c r="E88" s="28">
        <v>0</v>
      </c>
      <c r="F88" s="28">
        <v>0</v>
      </c>
      <c r="G88" s="28">
        <v>0</v>
      </c>
      <c r="H88" s="63">
        <f t="shared" si="1368"/>
        <v>0</v>
      </c>
      <c r="I88" s="63">
        <v>0</v>
      </c>
      <c r="J88" s="61">
        <f t="shared" si="1177"/>
        <v>12000</v>
      </c>
      <c r="K88" s="62"/>
      <c r="L88" s="62"/>
      <c r="M88" s="62"/>
      <c r="N88" s="62"/>
      <c r="O88" s="62"/>
      <c r="P88" s="63">
        <v>0</v>
      </c>
      <c r="Q88" s="63">
        <f t="shared" si="1369"/>
        <v>0</v>
      </c>
      <c r="R88" s="63">
        <f t="shared" si="1370"/>
        <v>0</v>
      </c>
      <c r="S88" s="63">
        <f t="shared" si="1371"/>
        <v>0</v>
      </c>
      <c r="T88" s="63">
        <f t="shared" si="1253"/>
        <v>0</v>
      </c>
      <c r="U88" s="61">
        <f t="shared" si="1372"/>
        <v>0</v>
      </c>
      <c r="V88" s="64">
        <v>0</v>
      </c>
      <c r="W88" s="65">
        <f t="shared" si="1178"/>
        <v>0</v>
      </c>
      <c r="X88" s="212">
        <f t="shared" si="1179"/>
        <v>12000</v>
      </c>
      <c r="Y88" s="49">
        <v>0</v>
      </c>
      <c r="Z88" s="59" t="s">
        <v>208</v>
      </c>
      <c r="AA88" s="28">
        <f t="shared" si="1180"/>
        <v>54.545454545454547</v>
      </c>
      <c r="AB88" s="60">
        <v>12000</v>
      </c>
      <c r="AC88" s="28">
        <v>0</v>
      </c>
      <c r="AD88" s="28">
        <v>0</v>
      </c>
      <c r="AE88" s="28">
        <v>0</v>
      </c>
      <c r="AF88" s="63">
        <f t="shared" si="1373"/>
        <v>0</v>
      </c>
      <c r="AG88" s="63">
        <v>0</v>
      </c>
      <c r="AH88" s="61">
        <f t="shared" si="1357"/>
        <v>12000</v>
      </c>
      <c r="AI88" s="62"/>
      <c r="AJ88" s="62"/>
      <c r="AK88" s="62"/>
      <c r="AL88" s="62"/>
      <c r="AM88" s="62"/>
      <c r="AN88" s="63">
        <v>0</v>
      </c>
      <c r="AO88" s="63">
        <f t="shared" si="1374"/>
        <v>0</v>
      </c>
      <c r="AP88" s="63">
        <f t="shared" si="1375"/>
        <v>0</v>
      </c>
      <c r="AQ88" s="63">
        <f t="shared" si="1376"/>
        <v>0</v>
      </c>
      <c r="AR88" s="63">
        <f t="shared" si="1264"/>
        <v>0</v>
      </c>
      <c r="AS88" s="61">
        <f t="shared" si="1377"/>
        <v>0</v>
      </c>
      <c r="AT88" s="64">
        <v>0</v>
      </c>
      <c r="AU88" s="65">
        <f t="shared" si="1182"/>
        <v>0</v>
      </c>
      <c r="AV88" s="212">
        <f t="shared" si="1183"/>
        <v>12000</v>
      </c>
      <c r="AW88" s="49">
        <v>0</v>
      </c>
      <c r="AX88" s="59" t="s">
        <v>208</v>
      </c>
      <c r="AY88" s="28">
        <f t="shared" si="1184"/>
        <v>54.545454545454547</v>
      </c>
      <c r="AZ88" s="60">
        <v>12000</v>
      </c>
      <c r="BA88" s="28">
        <v>0</v>
      </c>
      <c r="BB88" s="28">
        <v>0</v>
      </c>
      <c r="BC88" s="28">
        <v>0</v>
      </c>
      <c r="BD88" s="63">
        <f t="shared" si="1378"/>
        <v>0</v>
      </c>
      <c r="BE88" s="63">
        <v>0</v>
      </c>
      <c r="BF88" s="61">
        <f t="shared" si="1358"/>
        <v>12000</v>
      </c>
      <c r="BG88" s="62"/>
      <c r="BH88" s="62"/>
      <c r="BI88" s="62"/>
      <c r="BJ88" s="62"/>
      <c r="BK88" s="62"/>
      <c r="BL88" s="63">
        <v>0</v>
      </c>
      <c r="BM88" s="63">
        <f t="shared" si="1379"/>
        <v>0</v>
      </c>
      <c r="BN88" s="63">
        <f t="shared" si="1380"/>
        <v>0</v>
      </c>
      <c r="BO88" s="63">
        <f t="shared" si="1381"/>
        <v>0</v>
      </c>
      <c r="BP88" s="63">
        <f t="shared" si="1275"/>
        <v>0</v>
      </c>
      <c r="BQ88" s="61">
        <f t="shared" si="1382"/>
        <v>0</v>
      </c>
      <c r="BR88" s="64">
        <v>0</v>
      </c>
      <c r="BS88" s="65">
        <f t="shared" si="1186"/>
        <v>0</v>
      </c>
      <c r="BT88" s="212">
        <f t="shared" si="1187"/>
        <v>12000</v>
      </c>
      <c r="BU88" s="49">
        <v>0</v>
      </c>
      <c r="BV88" s="59" t="s">
        <v>208</v>
      </c>
      <c r="BW88" s="28">
        <f t="shared" si="1188"/>
        <v>54.545454545454547</v>
      </c>
      <c r="BX88" s="60">
        <v>12000</v>
      </c>
      <c r="BY88" s="28">
        <v>0</v>
      </c>
      <c r="BZ88" s="28">
        <v>0</v>
      </c>
      <c r="CA88" s="28">
        <v>0</v>
      </c>
      <c r="CB88" s="63">
        <f t="shared" si="1383"/>
        <v>0</v>
      </c>
      <c r="CC88" s="63">
        <v>0</v>
      </c>
      <c r="CD88" s="61">
        <f t="shared" si="1359"/>
        <v>12000</v>
      </c>
      <c r="CE88" s="62"/>
      <c r="CF88" s="62"/>
      <c r="CG88" s="62"/>
      <c r="CH88" s="62"/>
      <c r="CI88" s="62"/>
      <c r="CJ88" s="63">
        <v>0</v>
      </c>
      <c r="CK88" s="63">
        <f t="shared" si="1384"/>
        <v>0</v>
      </c>
      <c r="CL88" s="63">
        <f t="shared" si="1385"/>
        <v>0</v>
      </c>
      <c r="CM88" s="63">
        <f t="shared" si="1386"/>
        <v>0</v>
      </c>
      <c r="CN88" s="63">
        <f t="shared" si="1286"/>
        <v>0</v>
      </c>
      <c r="CO88" s="61">
        <f t="shared" si="1387"/>
        <v>0</v>
      </c>
      <c r="CP88" s="64">
        <v>0</v>
      </c>
      <c r="CQ88" s="65">
        <f t="shared" si="1190"/>
        <v>0</v>
      </c>
      <c r="CR88" s="212">
        <f t="shared" si="1191"/>
        <v>12000</v>
      </c>
      <c r="CS88" s="49">
        <v>0</v>
      </c>
      <c r="CT88" s="59" t="s">
        <v>208</v>
      </c>
      <c r="CU88" s="28">
        <f t="shared" si="1192"/>
        <v>54.545454545454547</v>
      </c>
      <c r="CV88" s="60">
        <v>12000</v>
      </c>
      <c r="CW88" s="28">
        <v>0</v>
      </c>
      <c r="CX88" s="28">
        <v>0</v>
      </c>
      <c r="CY88" s="28">
        <v>0</v>
      </c>
      <c r="CZ88" s="63">
        <f t="shared" si="1388"/>
        <v>0</v>
      </c>
      <c r="DA88" s="63">
        <v>0</v>
      </c>
      <c r="DB88" s="61">
        <f t="shared" si="1360"/>
        <v>12000</v>
      </c>
      <c r="DC88" s="62"/>
      <c r="DD88" s="62"/>
      <c r="DE88" s="62"/>
      <c r="DF88" s="62"/>
      <c r="DG88" s="62"/>
      <c r="DH88" s="63">
        <v>0</v>
      </c>
      <c r="DI88" s="63">
        <f t="shared" si="1389"/>
        <v>0</v>
      </c>
      <c r="DJ88" s="63">
        <f t="shared" si="1390"/>
        <v>0</v>
      </c>
      <c r="DK88" s="63">
        <f t="shared" si="1391"/>
        <v>0</v>
      </c>
      <c r="DL88" s="63">
        <f t="shared" si="1297"/>
        <v>0</v>
      </c>
      <c r="DM88" s="61">
        <f t="shared" si="1392"/>
        <v>0</v>
      </c>
      <c r="DN88" s="64">
        <v>0</v>
      </c>
      <c r="DO88" s="65">
        <f t="shared" si="1194"/>
        <v>0</v>
      </c>
      <c r="DP88" s="212">
        <f t="shared" si="1195"/>
        <v>12000</v>
      </c>
      <c r="DQ88" s="49">
        <v>0</v>
      </c>
      <c r="DR88" s="59" t="s">
        <v>208</v>
      </c>
      <c r="DS88" s="28">
        <f t="shared" si="1196"/>
        <v>54.545454545454547</v>
      </c>
      <c r="DT88" s="60">
        <v>12000</v>
      </c>
      <c r="DU88" s="28">
        <v>0</v>
      </c>
      <c r="DV88" s="28">
        <v>0</v>
      </c>
      <c r="DW88" s="28">
        <v>0</v>
      </c>
      <c r="DX88" s="63">
        <f t="shared" si="1393"/>
        <v>0</v>
      </c>
      <c r="DY88" s="63">
        <v>0</v>
      </c>
      <c r="DZ88" s="61">
        <f t="shared" si="1361"/>
        <v>12000</v>
      </c>
      <c r="EA88" s="62"/>
      <c r="EB88" s="62"/>
      <c r="EC88" s="62"/>
      <c r="ED88" s="62"/>
      <c r="EE88" s="62"/>
      <c r="EF88" s="63">
        <v>0</v>
      </c>
      <c r="EG88" s="63">
        <f t="shared" si="1394"/>
        <v>0</v>
      </c>
      <c r="EH88" s="63">
        <f t="shared" si="1395"/>
        <v>0</v>
      </c>
      <c r="EI88" s="63">
        <f t="shared" si="1396"/>
        <v>0</v>
      </c>
      <c r="EJ88" s="63">
        <f t="shared" si="1308"/>
        <v>0</v>
      </c>
      <c r="EK88" s="61">
        <f t="shared" si="1397"/>
        <v>0</v>
      </c>
      <c r="EL88" s="64">
        <v>0</v>
      </c>
      <c r="EM88" s="65">
        <f t="shared" si="1198"/>
        <v>0</v>
      </c>
      <c r="EN88" s="212">
        <f t="shared" si="1199"/>
        <v>12000</v>
      </c>
      <c r="EO88" s="49">
        <v>0</v>
      </c>
      <c r="EP88" s="59" t="s">
        <v>208</v>
      </c>
      <c r="EQ88" s="28">
        <f t="shared" si="1200"/>
        <v>54.545454545454547</v>
      </c>
      <c r="ER88" s="60">
        <v>12000</v>
      </c>
      <c r="ES88" s="28">
        <v>0</v>
      </c>
      <c r="ET88" s="28">
        <v>0</v>
      </c>
      <c r="EU88" s="28">
        <v>0</v>
      </c>
      <c r="EV88" s="63">
        <f t="shared" si="1398"/>
        <v>0</v>
      </c>
      <c r="EW88" s="63">
        <v>0</v>
      </c>
      <c r="EX88" s="61">
        <f t="shared" si="1362"/>
        <v>12000</v>
      </c>
      <c r="EY88" s="62"/>
      <c r="EZ88" s="62"/>
      <c r="FA88" s="62"/>
      <c r="FB88" s="62"/>
      <c r="FC88" s="62"/>
      <c r="FD88" s="63">
        <v>0</v>
      </c>
      <c r="FE88" s="63">
        <f t="shared" si="1399"/>
        <v>0</v>
      </c>
      <c r="FF88" s="63">
        <f t="shared" si="1400"/>
        <v>0</v>
      </c>
      <c r="FG88" s="63">
        <f t="shared" si="1401"/>
        <v>0</v>
      </c>
      <c r="FH88" s="63">
        <f t="shared" si="1319"/>
        <v>0</v>
      </c>
      <c r="FI88" s="61">
        <f t="shared" si="1402"/>
        <v>0</v>
      </c>
      <c r="FJ88" s="64">
        <v>0</v>
      </c>
      <c r="FK88" s="65">
        <f t="shared" si="1202"/>
        <v>0</v>
      </c>
      <c r="FL88" s="212">
        <f t="shared" si="1203"/>
        <v>12000</v>
      </c>
      <c r="FM88" s="49">
        <v>0</v>
      </c>
      <c r="FN88" s="59" t="s">
        <v>208</v>
      </c>
      <c r="FO88" s="28">
        <f t="shared" si="1204"/>
        <v>54.545454545454547</v>
      </c>
      <c r="FP88" s="60">
        <v>12000</v>
      </c>
      <c r="FQ88" s="28">
        <v>0</v>
      </c>
      <c r="FR88" s="28">
        <v>0</v>
      </c>
      <c r="FS88" s="28">
        <v>0</v>
      </c>
      <c r="FT88" s="63">
        <f t="shared" si="1403"/>
        <v>0</v>
      </c>
      <c r="FU88" s="63">
        <v>0</v>
      </c>
      <c r="FV88" s="61">
        <f t="shared" si="1363"/>
        <v>12000</v>
      </c>
      <c r="FW88" s="62"/>
      <c r="FX88" s="62"/>
      <c r="FY88" s="62"/>
      <c r="FZ88" s="62"/>
      <c r="GA88" s="62"/>
      <c r="GB88" s="63">
        <v>0</v>
      </c>
      <c r="GC88" s="63">
        <f t="shared" si="1404"/>
        <v>0</v>
      </c>
      <c r="GD88" s="63">
        <f t="shared" si="1405"/>
        <v>0</v>
      </c>
      <c r="GE88" s="63">
        <f t="shared" si="1406"/>
        <v>0</v>
      </c>
      <c r="GF88" s="63">
        <f t="shared" si="1330"/>
        <v>0</v>
      </c>
      <c r="GG88" s="61">
        <f t="shared" si="1407"/>
        <v>0</v>
      </c>
      <c r="GH88" s="64">
        <v>0</v>
      </c>
      <c r="GI88" s="65">
        <f t="shared" si="1206"/>
        <v>0</v>
      </c>
      <c r="GJ88" s="212">
        <f t="shared" si="1207"/>
        <v>12000</v>
      </c>
      <c r="GK88" s="49">
        <v>0</v>
      </c>
      <c r="GL88" s="59" t="s">
        <v>208</v>
      </c>
      <c r="GM88" s="28">
        <f t="shared" si="1208"/>
        <v>54.545454545454547</v>
      </c>
      <c r="GN88" s="60">
        <v>12000</v>
      </c>
      <c r="GO88" s="28">
        <v>0</v>
      </c>
      <c r="GP88" s="28">
        <v>0</v>
      </c>
      <c r="GQ88" s="28">
        <v>0</v>
      </c>
      <c r="GR88" s="63">
        <f t="shared" si="1408"/>
        <v>0</v>
      </c>
      <c r="GS88" s="63">
        <v>0</v>
      </c>
      <c r="GT88" s="61">
        <f t="shared" si="1364"/>
        <v>12000</v>
      </c>
      <c r="GU88" s="62"/>
      <c r="GV88" s="62"/>
      <c r="GW88" s="62"/>
      <c r="GX88" s="62"/>
      <c r="GY88" s="62"/>
      <c r="GZ88" s="63">
        <v>0</v>
      </c>
      <c r="HA88" s="63">
        <f t="shared" si="1409"/>
        <v>0</v>
      </c>
      <c r="HB88" s="63">
        <f t="shared" si="1410"/>
        <v>0</v>
      </c>
      <c r="HC88" s="63">
        <f t="shared" si="1411"/>
        <v>0</v>
      </c>
      <c r="HD88" s="63">
        <f t="shared" si="1341"/>
        <v>0</v>
      </c>
      <c r="HE88" s="61">
        <f t="shared" si="1412"/>
        <v>0</v>
      </c>
      <c r="HF88" s="64">
        <v>0</v>
      </c>
      <c r="HG88" s="65">
        <f t="shared" si="1210"/>
        <v>0</v>
      </c>
      <c r="HH88" s="212">
        <f t="shared" si="1211"/>
        <v>12000</v>
      </c>
      <c r="HI88" s="49">
        <v>0</v>
      </c>
      <c r="HJ88" s="59" t="s">
        <v>208</v>
      </c>
      <c r="HK88" s="28">
        <f t="shared" si="1212"/>
        <v>54.545454545454547</v>
      </c>
      <c r="HL88" s="60">
        <v>12000</v>
      </c>
      <c r="HM88" s="28">
        <v>0</v>
      </c>
      <c r="HN88" s="28">
        <v>0</v>
      </c>
      <c r="HO88" s="28">
        <v>0</v>
      </c>
      <c r="HP88" s="63">
        <f t="shared" si="1413"/>
        <v>0</v>
      </c>
      <c r="HQ88" s="63">
        <v>0</v>
      </c>
      <c r="HR88" s="61">
        <f t="shared" si="1365"/>
        <v>12000</v>
      </c>
      <c r="HS88" s="62"/>
      <c r="HT88" s="62"/>
      <c r="HU88" s="62"/>
      <c r="HV88" s="62"/>
      <c r="HW88" s="62"/>
      <c r="HX88" s="63">
        <v>0</v>
      </c>
      <c r="HY88" s="63">
        <f t="shared" si="1414"/>
        <v>0</v>
      </c>
      <c r="HZ88" s="63">
        <f t="shared" si="1415"/>
        <v>0</v>
      </c>
      <c r="IA88" s="63">
        <f t="shared" si="1416"/>
        <v>0</v>
      </c>
      <c r="IB88" s="63">
        <f t="shared" si="1352"/>
        <v>0</v>
      </c>
      <c r="IC88" s="61">
        <f t="shared" si="1417"/>
        <v>0</v>
      </c>
      <c r="ID88" s="64">
        <v>0</v>
      </c>
      <c r="IE88" s="65">
        <f t="shared" si="1214"/>
        <v>0</v>
      </c>
      <c r="IF88" s="212">
        <f t="shared" si="1215"/>
        <v>12000</v>
      </c>
      <c r="IG88" s="49">
        <v>0</v>
      </c>
      <c r="IH88" s="59" t="s">
        <v>208</v>
      </c>
      <c r="II88" s="28">
        <f t="shared" si="1216"/>
        <v>54.545454545454547</v>
      </c>
      <c r="IJ88" s="60">
        <v>12000</v>
      </c>
      <c r="IK88" s="28">
        <v>0</v>
      </c>
      <c r="IL88" s="28">
        <v>0</v>
      </c>
      <c r="IM88" s="28">
        <v>0</v>
      </c>
      <c r="IN88" s="63">
        <f>IM88/IN$6</f>
        <v>0</v>
      </c>
      <c r="IO88" s="63">
        <v>0</v>
      </c>
      <c r="IP88" s="61">
        <f t="shared" si="1366"/>
        <v>12000</v>
      </c>
      <c r="IQ88" s="62"/>
      <c r="IR88" s="62"/>
      <c r="IS88" s="62"/>
      <c r="IT88" s="62"/>
      <c r="IU88" s="62"/>
      <c r="IV88" s="63">
        <v>0</v>
      </c>
      <c r="IW88" s="63">
        <f>((II88*IW$6)+(II88*IK$6)+(II88*IL$6))*IR88</f>
        <v>0</v>
      </c>
      <c r="IX88" s="63">
        <f>((II88*IX$6)+(II88*IL$6)+(II88*IK$6))*IS88</f>
        <v>0</v>
      </c>
      <c r="IY88" s="63">
        <f>((II88*IY$6)+(II88*IK$6)+(II88*IL$6))*IT88</f>
        <v>0</v>
      </c>
      <c r="IZ88" s="63">
        <f t="shared" si="1227"/>
        <v>0</v>
      </c>
      <c r="JA88" s="61">
        <f t="shared" si="1418"/>
        <v>0</v>
      </c>
      <c r="JB88" s="64">
        <v>0</v>
      </c>
      <c r="JC88" s="65">
        <f t="shared" si="1228"/>
        <v>0</v>
      </c>
      <c r="JD88" s="476">
        <f t="shared" si="1229"/>
        <v>12000</v>
      </c>
      <c r="JE88" s="49">
        <v>0</v>
      </c>
      <c r="JF88" s="59" t="s">
        <v>208</v>
      </c>
      <c r="JG88" s="28">
        <f t="shared" si="1230"/>
        <v>54.545454545454547</v>
      </c>
      <c r="JH88" s="60">
        <v>12000</v>
      </c>
      <c r="JI88" s="28">
        <v>0</v>
      </c>
      <c r="JJ88" s="28">
        <v>0</v>
      </c>
      <c r="JK88" s="28">
        <v>0</v>
      </c>
      <c r="JL88" s="63">
        <f>JK88/JL$6</f>
        <v>0</v>
      </c>
      <c r="JM88" s="63">
        <v>0</v>
      </c>
      <c r="JN88" s="61">
        <f t="shared" si="1367"/>
        <v>12000</v>
      </c>
      <c r="JO88" s="62"/>
      <c r="JP88" s="62"/>
      <c r="JQ88" s="62"/>
      <c r="JR88" s="62"/>
      <c r="JS88" s="62"/>
      <c r="JT88" s="63">
        <v>0</v>
      </c>
      <c r="JU88" s="63">
        <f>((JG88*JU$6)+(JG88*JI$6)+(JG88*JJ$6))*JP88</f>
        <v>0</v>
      </c>
      <c r="JV88" s="63">
        <f>((JG88*JV$6)+(JG88*JJ$6)+(JG88*JI$6))*JQ88</f>
        <v>0</v>
      </c>
      <c r="JW88" s="63">
        <f>((JG88*JW$6)+(JG88*JI$6)+(JG88*JJ$6))*JR88</f>
        <v>0</v>
      </c>
      <c r="JX88" s="63">
        <f t="shared" si="1241"/>
        <v>0</v>
      </c>
      <c r="JY88" s="61">
        <f t="shared" si="1419"/>
        <v>0</v>
      </c>
      <c r="JZ88" s="64">
        <v>0</v>
      </c>
      <c r="KA88" s="65">
        <f t="shared" si="1242"/>
        <v>0</v>
      </c>
      <c r="KB88" s="476">
        <f t="shared" si="1243"/>
        <v>12000</v>
      </c>
      <c r="KC88" s="37"/>
      <c r="KD88" s="37"/>
      <c r="KE88" s="37"/>
      <c r="KF88" s="37"/>
      <c r="KG88" s="37"/>
      <c r="KH88" s="37"/>
      <c r="KI88" s="37"/>
      <c r="KJ88" s="37"/>
    </row>
    <row r="89" spans="1:296" ht="15.6" x14ac:dyDescent="0.3">
      <c r="A89" s="385"/>
      <c r="B89" s="383"/>
      <c r="C89" s="383"/>
      <c r="D89" s="383"/>
      <c r="E89" s="383"/>
      <c r="F89" s="383"/>
      <c r="G89" s="383"/>
      <c r="H89" s="383"/>
      <c r="I89" s="383"/>
      <c r="J89" s="383"/>
      <c r="K89" s="383"/>
      <c r="L89" s="383"/>
      <c r="M89" s="383"/>
      <c r="N89" s="383"/>
      <c r="O89" s="383"/>
      <c r="P89" s="383"/>
      <c r="Q89" s="383"/>
      <c r="R89" s="383"/>
      <c r="S89" s="383"/>
      <c r="T89" s="383"/>
      <c r="U89" s="383"/>
      <c r="V89" s="384"/>
      <c r="W89" s="214" t="s">
        <v>7</v>
      </c>
      <c r="X89" s="213">
        <f>SUM(X80:X88)</f>
        <v>64003.191833333331</v>
      </c>
      <c r="Y89" s="385"/>
      <c r="Z89" s="383"/>
      <c r="AA89" s="383"/>
      <c r="AB89" s="383"/>
      <c r="AC89" s="383"/>
      <c r="AD89" s="383"/>
      <c r="AE89" s="383"/>
      <c r="AF89" s="383"/>
      <c r="AG89" s="383"/>
      <c r="AH89" s="383"/>
      <c r="AI89" s="383"/>
      <c r="AJ89" s="383"/>
      <c r="AK89" s="383"/>
      <c r="AL89" s="383"/>
      <c r="AM89" s="383"/>
      <c r="AN89" s="383"/>
      <c r="AO89" s="383"/>
      <c r="AP89" s="383"/>
      <c r="AQ89" s="383"/>
      <c r="AR89" s="383"/>
      <c r="AS89" s="383"/>
      <c r="AT89" s="384"/>
      <c r="AU89" s="214" t="s">
        <v>7</v>
      </c>
      <c r="AV89" s="213">
        <f>SUM(AV80:AV88)</f>
        <v>64003.191833333331</v>
      </c>
      <c r="AW89" s="385"/>
      <c r="AX89" s="383"/>
      <c r="AY89" s="383"/>
      <c r="AZ89" s="383"/>
      <c r="BA89" s="383"/>
      <c r="BB89" s="383"/>
      <c r="BC89" s="383"/>
      <c r="BD89" s="383"/>
      <c r="BE89" s="383"/>
      <c r="BF89" s="383"/>
      <c r="BG89" s="383"/>
      <c r="BH89" s="383"/>
      <c r="BI89" s="383"/>
      <c r="BJ89" s="383"/>
      <c r="BK89" s="383"/>
      <c r="BL89" s="383"/>
      <c r="BM89" s="383"/>
      <c r="BN89" s="383"/>
      <c r="BO89" s="383"/>
      <c r="BP89" s="383"/>
      <c r="BQ89" s="383"/>
      <c r="BR89" s="384"/>
      <c r="BS89" s="214" t="s">
        <v>7</v>
      </c>
      <c r="BT89" s="213">
        <f>SUM(BT80:BT88)</f>
        <v>64003.191833333331</v>
      </c>
      <c r="BU89" s="385"/>
      <c r="BV89" s="383"/>
      <c r="BW89" s="383"/>
      <c r="BX89" s="383"/>
      <c r="BY89" s="383"/>
      <c r="BZ89" s="383"/>
      <c r="CA89" s="383"/>
      <c r="CB89" s="383"/>
      <c r="CC89" s="383"/>
      <c r="CD89" s="383"/>
      <c r="CE89" s="383"/>
      <c r="CF89" s="383"/>
      <c r="CG89" s="383"/>
      <c r="CH89" s="383"/>
      <c r="CI89" s="383"/>
      <c r="CJ89" s="383"/>
      <c r="CK89" s="383"/>
      <c r="CL89" s="383"/>
      <c r="CM89" s="383"/>
      <c r="CN89" s="383"/>
      <c r="CO89" s="383"/>
      <c r="CP89" s="384"/>
      <c r="CQ89" s="214" t="s">
        <v>7</v>
      </c>
      <c r="CR89" s="213">
        <f>SUM(CR80:CR88)</f>
        <v>64003.191833333331</v>
      </c>
      <c r="CS89" s="385"/>
      <c r="CT89" s="383"/>
      <c r="CU89" s="383"/>
      <c r="CV89" s="383"/>
      <c r="CW89" s="383"/>
      <c r="CX89" s="383"/>
      <c r="CY89" s="383"/>
      <c r="CZ89" s="383"/>
      <c r="DA89" s="383"/>
      <c r="DB89" s="383"/>
      <c r="DC89" s="383"/>
      <c r="DD89" s="383"/>
      <c r="DE89" s="383"/>
      <c r="DF89" s="383"/>
      <c r="DG89" s="383"/>
      <c r="DH89" s="383"/>
      <c r="DI89" s="383"/>
      <c r="DJ89" s="383"/>
      <c r="DK89" s="383"/>
      <c r="DL89" s="383"/>
      <c r="DM89" s="383"/>
      <c r="DN89" s="384"/>
      <c r="DO89" s="214" t="s">
        <v>7</v>
      </c>
      <c r="DP89" s="213">
        <f>SUM(DP80:DP88)</f>
        <v>64003.191833333331</v>
      </c>
      <c r="DQ89" s="385"/>
      <c r="DR89" s="383"/>
      <c r="DS89" s="383"/>
      <c r="DT89" s="383"/>
      <c r="DU89" s="383"/>
      <c r="DV89" s="383"/>
      <c r="DW89" s="383"/>
      <c r="DX89" s="383"/>
      <c r="DY89" s="383"/>
      <c r="DZ89" s="383"/>
      <c r="EA89" s="383"/>
      <c r="EB89" s="383"/>
      <c r="EC89" s="383"/>
      <c r="ED89" s="383"/>
      <c r="EE89" s="383"/>
      <c r="EF89" s="383"/>
      <c r="EG89" s="383"/>
      <c r="EH89" s="383"/>
      <c r="EI89" s="383"/>
      <c r="EJ89" s="383"/>
      <c r="EK89" s="383"/>
      <c r="EL89" s="384"/>
      <c r="EM89" s="214" t="s">
        <v>7</v>
      </c>
      <c r="EN89" s="213">
        <f>SUM(EN80:EN88)</f>
        <v>64003.191833333331</v>
      </c>
      <c r="EO89" s="385"/>
      <c r="EP89" s="383"/>
      <c r="EQ89" s="383"/>
      <c r="ER89" s="383"/>
      <c r="ES89" s="383"/>
      <c r="ET89" s="383"/>
      <c r="EU89" s="383"/>
      <c r="EV89" s="383"/>
      <c r="EW89" s="383"/>
      <c r="EX89" s="383"/>
      <c r="EY89" s="383"/>
      <c r="EZ89" s="383"/>
      <c r="FA89" s="383"/>
      <c r="FB89" s="383"/>
      <c r="FC89" s="383"/>
      <c r="FD89" s="383"/>
      <c r="FE89" s="383"/>
      <c r="FF89" s="383"/>
      <c r="FG89" s="383"/>
      <c r="FH89" s="383"/>
      <c r="FI89" s="383"/>
      <c r="FJ89" s="384"/>
      <c r="FK89" s="214" t="s">
        <v>7</v>
      </c>
      <c r="FL89" s="213">
        <f>SUM(FL80:FL88)</f>
        <v>64003.191833333331</v>
      </c>
      <c r="FM89" s="385"/>
      <c r="FN89" s="383"/>
      <c r="FO89" s="383"/>
      <c r="FP89" s="383"/>
      <c r="FQ89" s="383"/>
      <c r="FR89" s="383"/>
      <c r="FS89" s="383"/>
      <c r="FT89" s="383"/>
      <c r="FU89" s="383"/>
      <c r="FV89" s="383"/>
      <c r="FW89" s="383"/>
      <c r="FX89" s="383"/>
      <c r="FY89" s="383"/>
      <c r="FZ89" s="383"/>
      <c r="GA89" s="383"/>
      <c r="GB89" s="383"/>
      <c r="GC89" s="383"/>
      <c r="GD89" s="383"/>
      <c r="GE89" s="383"/>
      <c r="GF89" s="383"/>
      <c r="GG89" s="383"/>
      <c r="GH89" s="384"/>
      <c r="GI89" s="214" t="s">
        <v>7</v>
      </c>
      <c r="GJ89" s="213">
        <f>SUM(GJ80:GJ88)</f>
        <v>64003.191833333331</v>
      </c>
      <c r="GK89" s="385"/>
      <c r="GL89" s="383"/>
      <c r="GM89" s="383"/>
      <c r="GN89" s="383"/>
      <c r="GO89" s="383"/>
      <c r="GP89" s="383"/>
      <c r="GQ89" s="383"/>
      <c r="GR89" s="383"/>
      <c r="GS89" s="383"/>
      <c r="GT89" s="383"/>
      <c r="GU89" s="383"/>
      <c r="GV89" s="383"/>
      <c r="GW89" s="383"/>
      <c r="GX89" s="383"/>
      <c r="GY89" s="383"/>
      <c r="GZ89" s="383"/>
      <c r="HA89" s="383"/>
      <c r="HB89" s="383"/>
      <c r="HC89" s="383"/>
      <c r="HD89" s="383"/>
      <c r="HE89" s="383"/>
      <c r="HF89" s="384"/>
      <c r="HG89" s="478" t="s">
        <v>7</v>
      </c>
      <c r="HH89" s="213">
        <f>SUM(HH80:HH88)</f>
        <v>64003.191833333331</v>
      </c>
      <c r="HI89" s="385"/>
      <c r="HJ89" s="383"/>
      <c r="HK89" s="383"/>
      <c r="HL89" s="383"/>
      <c r="HM89" s="383"/>
      <c r="HN89" s="383"/>
      <c r="HO89" s="383"/>
      <c r="HP89" s="383"/>
      <c r="HQ89" s="383"/>
      <c r="HR89" s="383"/>
      <c r="HS89" s="383"/>
      <c r="HT89" s="383"/>
      <c r="HU89" s="383"/>
      <c r="HV89" s="383"/>
      <c r="HW89" s="383"/>
      <c r="HX89" s="383"/>
      <c r="HY89" s="383"/>
      <c r="HZ89" s="383"/>
      <c r="IA89" s="383"/>
      <c r="IB89" s="383"/>
      <c r="IC89" s="383"/>
      <c r="ID89" s="384"/>
      <c r="IE89" s="214" t="s">
        <v>7</v>
      </c>
      <c r="IF89" s="213">
        <f>SUM(IF80:IF88)</f>
        <v>64003.191833333331</v>
      </c>
      <c r="IG89" s="385"/>
      <c r="IH89" s="383"/>
      <c r="II89" s="383"/>
      <c r="IJ89" s="383"/>
      <c r="IK89" s="383"/>
      <c r="IL89" s="383"/>
      <c r="IM89" s="383"/>
      <c r="IN89" s="383"/>
      <c r="IO89" s="383"/>
      <c r="IP89" s="383"/>
      <c r="IQ89" s="383"/>
      <c r="IR89" s="383"/>
      <c r="IS89" s="383"/>
      <c r="IT89" s="383"/>
      <c r="IU89" s="383"/>
      <c r="IV89" s="383"/>
      <c r="IW89" s="383"/>
      <c r="IX89" s="383"/>
      <c r="IY89" s="383"/>
      <c r="IZ89" s="383"/>
      <c r="JA89" s="383"/>
      <c r="JB89" s="384"/>
      <c r="JC89" s="214" t="s">
        <v>7</v>
      </c>
      <c r="JD89" s="470">
        <f>SUM(JD80:JD88)</f>
        <v>64003.191833333331</v>
      </c>
      <c r="JE89" s="385"/>
      <c r="JF89" s="383"/>
      <c r="JG89" s="383"/>
      <c r="JH89" s="383"/>
      <c r="JI89" s="383"/>
      <c r="JJ89" s="383"/>
      <c r="JK89" s="383"/>
      <c r="JL89" s="383"/>
      <c r="JM89" s="383"/>
      <c r="JN89" s="383"/>
      <c r="JO89" s="383"/>
      <c r="JP89" s="383"/>
      <c r="JQ89" s="383"/>
      <c r="JR89" s="383"/>
      <c r="JS89" s="383"/>
      <c r="JT89" s="383"/>
      <c r="JU89" s="383"/>
      <c r="JV89" s="383"/>
      <c r="JW89" s="383"/>
      <c r="JX89" s="383"/>
      <c r="JY89" s="383"/>
      <c r="JZ89" s="384"/>
      <c r="KA89" s="214" t="s">
        <v>7</v>
      </c>
      <c r="KB89" s="470">
        <f>SUM(KB80:KB88)</f>
        <v>64003.191833333331</v>
      </c>
      <c r="KC89" s="37"/>
      <c r="KD89" s="37"/>
      <c r="KE89" s="37"/>
      <c r="KF89" s="37"/>
      <c r="KG89" s="37"/>
      <c r="KH89" s="37"/>
      <c r="KI89" s="37"/>
      <c r="KJ89" s="37"/>
    </row>
    <row r="90" spans="1:296" s="36" customFormat="1" x14ac:dyDescent="0.3">
      <c r="HG90" s="37"/>
      <c r="HZ90" s="37"/>
      <c r="IA90" s="37"/>
      <c r="IB90" s="37"/>
      <c r="IC90" s="37"/>
      <c r="ID90" s="37"/>
      <c r="IE90" s="37"/>
      <c r="IF90" s="37"/>
      <c r="IG90" s="37"/>
      <c r="IH90" s="37"/>
      <c r="II90" s="37"/>
      <c r="IJ90" s="37"/>
      <c r="IK90" s="37"/>
      <c r="IL90" s="37"/>
      <c r="IM90" s="37"/>
      <c r="IN90" s="37"/>
      <c r="IO90" s="37"/>
      <c r="IP90" s="37"/>
      <c r="IQ90" s="37"/>
      <c r="IR90" s="37"/>
      <c r="IS90" s="37"/>
      <c r="IT90" s="37"/>
      <c r="IU90" s="37"/>
      <c r="IV90" s="37"/>
      <c r="IW90" s="37"/>
      <c r="IX90" s="37"/>
      <c r="IY90" s="37"/>
      <c r="IZ90" s="37"/>
      <c r="JA90" s="37"/>
      <c r="JB90" s="37"/>
      <c r="JC90" s="37"/>
      <c r="JD90" s="37"/>
      <c r="JE90" s="37"/>
      <c r="JF90" s="37"/>
      <c r="JG90" s="37"/>
      <c r="JH90" s="37"/>
      <c r="JI90" s="37"/>
      <c r="JJ90" s="37"/>
      <c r="JK90" s="37"/>
      <c r="JL90" s="37"/>
      <c r="JM90" s="37"/>
      <c r="JN90" s="37"/>
      <c r="JO90" s="37"/>
      <c r="JP90" s="37"/>
      <c r="JQ90" s="37"/>
      <c r="JR90" s="37"/>
      <c r="JS90" s="37"/>
      <c r="JT90" s="37"/>
      <c r="JU90" s="37"/>
      <c r="JV90" s="37"/>
      <c r="JW90" s="37"/>
      <c r="JX90" s="37"/>
      <c r="JY90" s="37"/>
      <c r="JZ90" s="37"/>
      <c r="KA90" s="37"/>
      <c r="KB90" s="37"/>
      <c r="KC90" s="37"/>
      <c r="KD90" s="37"/>
      <c r="KE90" s="37"/>
      <c r="KF90" s="37"/>
      <c r="KG90" s="37"/>
      <c r="KH90" s="37"/>
      <c r="KI90" s="37"/>
      <c r="KJ90" s="37"/>
    </row>
    <row r="91" spans="1:296" s="37" customFormat="1" x14ac:dyDescent="0.3">
      <c r="B91" s="43"/>
      <c r="C91" s="461"/>
      <c r="D91" s="461"/>
      <c r="E91" s="461"/>
      <c r="F91" s="461"/>
      <c r="G91" s="461"/>
      <c r="H91" s="462"/>
      <c r="I91" s="462"/>
      <c r="J91" s="463"/>
      <c r="K91" s="361"/>
      <c r="L91" s="361"/>
      <c r="M91" s="361"/>
      <c r="N91" s="361"/>
      <c r="O91" s="361"/>
      <c r="P91" s="462"/>
      <c r="Q91" s="462"/>
      <c r="R91" s="462"/>
      <c r="S91" s="462"/>
      <c r="T91" s="462"/>
      <c r="U91" s="463"/>
      <c r="V91" s="42"/>
      <c r="W91" s="42"/>
      <c r="X91" s="467"/>
      <c r="Z91" s="43"/>
      <c r="AA91" s="461"/>
      <c r="AB91" s="461"/>
      <c r="AC91" s="461"/>
      <c r="AD91" s="461"/>
      <c r="AE91" s="461"/>
      <c r="AF91" s="462"/>
      <c r="AG91" s="462"/>
      <c r="AH91" s="463"/>
      <c r="AI91" s="361"/>
      <c r="AJ91" s="361"/>
      <c r="AK91" s="361"/>
      <c r="AL91" s="361"/>
      <c r="AM91" s="462"/>
      <c r="AN91" s="462"/>
      <c r="AO91" s="462"/>
      <c r="AP91" s="462"/>
      <c r="AQ91" s="462"/>
      <c r="AR91" s="463"/>
      <c r="AS91" s="42"/>
      <c r="AT91" s="42"/>
      <c r="AU91" s="467"/>
      <c r="AX91" s="43"/>
      <c r="AY91" s="461"/>
      <c r="AZ91" s="461"/>
      <c r="BA91" s="461"/>
      <c r="BB91" s="461"/>
      <c r="BC91" s="461"/>
      <c r="BD91" s="462"/>
      <c r="BE91" s="462"/>
      <c r="BF91" s="463"/>
      <c r="BG91" s="361"/>
      <c r="BH91" s="361"/>
      <c r="BI91" s="361"/>
      <c r="BJ91" s="361"/>
      <c r="BK91" s="462"/>
      <c r="BL91" s="462"/>
      <c r="BM91" s="462"/>
      <c r="BN91" s="462"/>
      <c r="BO91" s="462"/>
      <c r="BP91" s="463"/>
      <c r="BQ91" s="42"/>
      <c r="BR91" s="42"/>
      <c r="BS91" s="42"/>
      <c r="BU91" s="43"/>
      <c r="BV91" s="461"/>
      <c r="BW91" s="461"/>
      <c r="BX91" s="461"/>
      <c r="BY91" s="461"/>
      <c r="BZ91" s="461"/>
      <c r="CA91" s="462"/>
      <c r="CB91" s="462"/>
      <c r="CC91" s="463"/>
      <c r="CD91" s="361"/>
      <c r="CE91" s="361"/>
      <c r="CF91" s="462"/>
      <c r="CG91" s="462"/>
      <c r="CH91" s="463"/>
      <c r="CI91" s="42"/>
      <c r="CJ91" s="42"/>
      <c r="CK91" s="42"/>
      <c r="CM91" s="43"/>
      <c r="CN91" s="461"/>
      <c r="CO91" s="461"/>
      <c r="CP91" s="461"/>
      <c r="CQ91" s="461"/>
      <c r="CR91" s="461"/>
      <c r="CS91" s="462"/>
      <c r="CT91" s="462"/>
      <c r="CU91" s="463"/>
      <c r="CV91" s="361"/>
      <c r="CW91" s="361"/>
      <c r="CX91" s="462"/>
      <c r="CY91" s="462"/>
      <c r="CZ91" s="463"/>
      <c r="DA91" s="42"/>
      <c r="DB91" s="42"/>
      <c r="DC91" s="42"/>
      <c r="DE91" s="43"/>
      <c r="DF91" s="461"/>
      <c r="DG91" s="461"/>
      <c r="DH91" s="461"/>
      <c r="DI91" s="461"/>
      <c r="DJ91" s="461"/>
      <c r="DK91" s="462"/>
      <c r="DL91" s="462"/>
      <c r="DM91" s="463"/>
      <c r="DN91" s="361"/>
      <c r="DO91" s="361"/>
      <c r="DP91" s="462"/>
      <c r="DQ91" s="462"/>
      <c r="DR91" s="463"/>
      <c r="DS91" s="42"/>
      <c r="DT91" s="42"/>
      <c r="DU91" s="42"/>
      <c r="DW91" s="43"/>
      <c r="DX91" s="461"/>
      <c r="DY91" s="461"/>
      <c r="DZ91" s="461"/>
      <c r="EA91" s="461"/>
      <c r="EB91" s="461"/>
      <c r="EC91" s="462"/>
      <c r="ED91" s="462"/>
      <c r="EE91" s="463"/>
      <c r="EF91" s="361"/>
      <c r="EG91" s="361"/>
      <c r="EH91" s="462"/>
      <c r="EI91" s="462"/>
      <c r="EJ91" s="463"/>
      <c r="EK91" s="42"/>
      <c r="EL91" s="42"/>
      <c r="EM91" s="42"/>
      <c r="EO91" s="43"/>
      <c r="EP91" s="461"/>
      <c r="EQ91" s="461"/>
      <c r="ER91" s="461"/>
      <c r="ES91" s="461"/>
      <c r="ET91" s="461"/>
      <c r="EU91" s="462"/>
      <c r="EV91" s="462"/>
      <c r="EW91" s="463"/>
      <c r="EX91" s="361"/>
      <c r="EY91" s="361"/>
      <c r="EZ91" s="462"/>
      <c r="FA91" s="462"/>
      <c r="FB91" s="463"/>
      <c r="FC91" s="42"/>
      <c r="FD91" s="42"/>
      <c r="FE91" s="42"/>
      <c r="FG91" s="43"/>
      <c r="FH91" s="461"/>
      <c r="FI91" s="461"/>
      <c r="FJ91" s="461"/>
      <c r="FK91" s="461"/>
      <c r="FL91" s="461"/>
      <c r="FM91" s="462"/>
      <c r="FN91" s="462"/>
      <c r="FO91" s="463"/>
      <c r="FP91" s="361"/>
      <c r="FQ91" s="361"/>
      <c r="FR91" s="462"/>
      <c r="FS91" s="462"/>
      <c r="FT91" s="463"/>
      <c r="FU91" s="42"/>
      <c r="FV91" s="42"/>
      <c r="FW91" s="42"/>
      <c r="FY91" s="43"/>
      <c r="FZ91" s="461"/>
      <c r="GA91" s="461"/>
      <c r="GB91" s="461"/>
      <c r="GC91" s="461"/>
      <c r="GD91" s="461"/>
      <c r="GE91" s="462"/>
      <c r="GF91" s="462"/>
      <c r="GG91" s="463"/>
      <c r="GH91" s="361"/>
      <c r="GI91" s="361"/>
      <c r="GJ91" s="462"/>
      <c r="GK91" s="462"/>
      <c r="GL91" s="463"/>
      <c r="GM91" s="42"/>
      <c r="GN91" s="42"/>
      <c r="GO91" s="42"/>
      <c r="GQ91" s="43"/>
      <c r="GR91" s="461"/>
      <c r="GS91" s="461"/>
      <c r="GT91" s="461"/>
      <c r="GU91" s="461"/>
      <c r="GV91" s="461"/>
      <c r="GW91" s="462"/>
      <c r="GX91" s="462"/>
      <c r="GY91" s="463"/>
      <c r="GZ91" s="361"/>
      <c r="HA91" s="361"/>
      <c r="HB91" s="462"/>
      <c r="HC91" s="462"/>
      <c r="HD91" s="463"/>
      <c r="HE91" s="42"/>
      <c r="HF91" s="42"/>
      <c r="HG91" s="42"/>
      <c r="HI91" s="43"/>
      <c r="HJ91" s="461"/>
      <c r="HK91" s="461"/>
      <c r="HL91" s="461"/>
      <c r="HM91" s="461"/>
      <c r="HN91" s="461"/>
      <c r="HO91" s="462"/>
      <c r="HP91" s="462"/>
      <c r="HQ91" s="463"/>
      <c r="HR91" s="361"/>
      <c r="HS91" s="361"/>
      <c r="HT91" s="462"/>
      <c r="HU91" s="462"/>
      <c r="HV91" s="463"/>
      <c r="HW91" s="42"/>
      <c r="HX91" s="42"/>
      <c r="HY91" s="42"/>
    </row>
    <row r="92" spans="1:296" s="37" customFormat="1" x14ac:dyDescent="0.3">
      <c r="B92" s="43"/>
      <c r="C92" s="461"/>
      <c r="D92" s="461"/>
      <c r="E92" s="461"/>
      <c r="F92" s="461"/>
      <c r="G92" s="461"/>
      <c r="H92" s="462"/>
      <c r="I92" s="462"/>
      <c r="J92" s="463"/>
      <c r="K92" s="361"/>
      <c r="L92" s="361"/>
      <c r="M92" s="361"/>
      <c r="N92" s="361"/>
      <c r="O92" s="361"/>
      <c r="P92" s="462"/>
      <c r="Q92" s="462"/>
      <c r="R92" s="462"/>
      <c r="S92" s="462"/>
      <c r="T92" s="462"/>
      <c r="U92" s="463"/>
      <c r="V92" s="42"/>
      <c r="W92" s="42"/>
      <c r="X92" s="467"/>
      <c r="Z92" s="43"/>
      <c r="AA92" s="461"/>
      <c r="AB92" s="461"/>
      <c r="AC92" s="461"/>
      <c r="AD92" s="461"/>
      <c r="AE92" s="461"/>
      <c r="AF92" s="462"/>
      <c r="AG92" s="462"/>
      <c r="AH92" s="463"/>
      <c r="AI92" s="361"/>
      <c r="AJ92" s="361"/>
      <c r="AK92" s="361"/>
      <c r="AL92" s="361"/>
      <c r="AM92" s="462"/>
      <c r="AN92" s="462"/>
      <c r="AO92" s="462"/>
      <c r="AP92" s="462"/>
      <c r="AQ92" s="462"/>
      <c r="AR92" s="463"/>
      <c r="AS92" s="42"/>
      <c r="AT92" s="42"/>
      <c r="AU92" s="467"/>
      <c r="AX92" s="43"/>
      <c r="AY92" s="461"/>
      <c r="AZ92" s="461"/>
      <c r="BA92" s="461"/>
      <c r="BB92" s="461"/>
      <c r="BC92" s="461"/>
      <c r="BD92" s="462"/>
      <c r="BE92" s="462"/>
      <c r="BF92" s="463"/>
      <c r="BG92" s="361"/>
      <c r="BH92" s="361"/>
      <c r="BI92" s="361"/>
      <c r="BJ92" s="361"/>
      <c r="BK92" s="462"/>
      <c r="BL92" s="462"/>
      <c r="BM92" s="462"/>
      <c r="BN92" s="462"/>
      <c r="BO92" s="462"/>
      <c r="BP92" s="463"/>
      <c r="BQ92" s="42"/>
      <c r="BR92" s="42"/>
      <c r="BS92" s="42"/>
      <c r="BU92" s="43"/>
      <c r="BV92" s="461"/>
      <c r="BW92" s="461"/>
      <c r="BX92" s="461"/>
      <c r="BY92" s="461"/>
      <c r="BZ92" s="461"/>
      <c r="CA92" s="462"/>
      <c r="CB92" s="462"/>
      <c r="CC92" s="463"/>
      <c r="CD92" s="361"/>
      <c r="CE92" s="361"/>
      <c r="CF92" s="462"/>
      <c r="CG92" s="462"/>
      <c r="CH92" s="463"/>
      <c r="CI92" s="42"/>
      <c r="CJ92" s="42"/>
      <c r="CK92" s="42"/>
      <c r="CM92" s="43"/>
      <c r="CN92" s="461"/>
      <c r="CO92" s="461"/>
      <c r="CP92" s="461"/>
      <c r="CQ92" s="461"/>
      <c r="CR92" s="461"/>
      <c r="CS92" s="462"/>
      <c r="CT92" s="462"/>
      <c r="CU92" s="463"/>
      <c r="CV92" s="361"/>
      <c r="CW92" s="361"/>
      <c r="CX92" s="462"/>
      <c r="CY92" s="462"/>
      <c r="CZ92" s="463"/>
      <c r="DA92" s="42"/>
      <c r="DB92" s="42"/>
      <c r="DC92" s="42"/>
      <c r="DE92" s="43"/>
      <c r="DF92" s="461"/>
      <c r="DG92" s="461"/>
      <c r="DH92" s="461"/>
      <c r="DI92" s="461"/>
      <c r="DJ92" s="461"/>
      <c r="DK92" s="462"/>
      <c r="DL92" s="462"/>
      <c r="DM92" s="463"/>
      <c r="DN92" s="361"/>
      <c r="DO92" s="361"/>
      <c r="DP92" s="462"/>
      <c r="DQ92" s="462"/>
      <c r="DR92" s="463"/>
      <c r="DS92" s="42"/>
      <c r="DT92" s="42"/>
      <c r="DU92" s="42"/>
      <c r="DW92" s="43"/>
      <c r="DX92" s="461"/>
      <c r="DY92" s="461"/>
      <c r="DZ92" s="461"/>
      <c r="EA92" s="461"/>
      <c r="EB92" s="461"/>
      <c r="EC92" s="462"/>
      <c r="ED92" s="462"/>
      <c r="EE92" s="463"/>
      <c r="EF92" s="361"/>
      <c r="EG92" s="361"/>
      <c r="EH92" s="462"/>
      <c r="EI92" s="462"/>
      <c r="EJ92" s="463"/>
      <c r="EK92" s="42"/>
      <c r="EL92" s="42"/>
      <c r="EM92" s="42"/>
      <c r="EO92" s="43"/>
      <c r="EP92" s="461"/>
      <c r="EQ92" s="461"/>
      <c r="ER92" s="461"/>
      <c r="ES92" s="461"/>
      <c r="ET92" s="461"/>
      <c r="EU92" s="462"/>
      <c r="EV92" s="462"/>
      <c r="EW92" s="463"/>
      <c r="EX92" s="361"/>
      <c r="EY92" s="361"/>
      <c r="EZ92" s="462"/>
      <c r="FA92" s="462"/>
      <c r="FB92" s="463"/>
      <c r="FC92" s="42"/>
      <c r="FD92" s="42"/>
      <c r="FE92" s="42"/>
      <c r="FG92" s="43"/>
      <c r="FH92" s="461"/>
      <c r="FI92" s="461"/>
      <c r="FJ92" s="461"/>
      <c r="FK92" s="461"/>
      <c r="FL92" s="461"/>
      <c r="FM92" s="462"/>
      <c r="FN92" s="462"/>
      <c r="FO92" s="463"/>
      <c r="FP92" s="361"/>
      <c r="FQ92" s="361"/>
      <c r="FR92" s="462"/>
      <c r="FS92" s="462"/>
      <c r="FT92" s="463"/>
      <c r="FU92" s="42"/>
      <c r="FV92" s="42"/>
      <c r="FW92" s="42"/>
      <c r="FY92" s="43"/>
      <c r="FZ92" s="461"/>
      <c r="GA92" s="461"/>
      <c r="GB92" s="461"/>
      <c r="GC92" s="461"/>
      <c r="GD92" s="461"/>
      <c r="GE92" s="462"/>
      <c r="GF92" s="462"/>
      <c r="GG92" s="463"/>
      <c r="GH92" s="361"/>
      <c r="GI92" s="361"/>
      <c r="GJ92" s="462"/>
      <c r="GK92" s="462"/>
      <c r="GL92" s="463"/>
      <c r="GM92" s="42"/>
      <c r="GN92" s="42"/>
      <c r="GO92" s="42"/>
      <c r="GQ92" s="43"/>
      <c r="GR92" s="461"/>
      <c r="GS92" s="461"/>
      <c r="GT92" s="461"/>
      <c r="GU92" s="461"/>
      <c r="GV92" s="461"/>
      <c r="GW92" s="462"/>
      <c r="GX92" s="462"/>
      <c r="GY92" s="463"/>
      <c r="GZ92" s="361"/>
      <c r="HA92" s="361"/>
      <c r="HB92" s="462"/>
      <c r="HC92" s="462"/>
      <c r="HD92" s="463"/>
      <c r="HE92" s="42"/>
      <c r="HF92" s="42"/>
      <c r="HG92" s="42"/>
      <c r="HI92" s="43"/>
      <c r="HJ92" s="461"/>
      <c r="HK92" s="461"/>
      <c r="HL92" s="461"/>
      <c r="HM92" s="461"/>
      <c r="HN92" s="461"/>
      <c r="HO92" s="462"/>
      <c r="HP92" s="462"/>
      <c r="HQ92" s="463"/>
      <c r="HR92" s="361"/>
      <c r="HS92" s="361"/>
      <c r="HT92" s="462"/>
      <c r="HU92" s="462"/>
      <c r="HV92" s="463"/>
      <c r="HW92" s="42"/>
      <c r="HX92" s="42"/>
      <c r="HY92" s="42"/>
    </row>
    <row r="93" spans="1:296" s="37" customFormat="1" ht="15.6" x14ac:dyDescent="0.3">
      <c r="B93" s="464"/>
      <c r="C93" s="461"/>
      <c r="D93" s="461"/>
      <c r="E93" s="461"/>
      <c r="F93" s="461"/>
      <c r="G93" s="461"/>
      <c r="H93" s="462"/>
      <c r="I93" s="462"/>
      <c r="J93" s="463"/>
      <c r="K93" s="361"/>
      <c r="L93" s="361"/>
      <c r="M93" s="361"/>
      <c r="N93" s="361"/>
      <c r="O93" s="361"/>
      <c r="P93" s="462"/>
      <c r="Q93" s="462"/>
      <c r="R93" s="462"/>
      <c r="S93" s="462"/>
      <c r="T93" s="462"/>
      <c r="U93" s="463"/>
      <c r="V93" s="42"/>
      <c r="W93" s="42"/>
      <c r="X93" s="467"/>
      <c r="Z93" s="464"/>
      <c r="AA93" s="461"/>
      <c r="AB93" s="461"/>
      <c r="AC93" s="461"/>
      <c r="AD93" s="461"/>
      <c r="AE93" s="461"/>
      <c r="AF93" s="462"/>
      <c r="AG93" s="462"/>
      <c r="AH93" s="463"/>
      <c r="AI93" s="361"/>
      <c r="AJ93" s="361"/>
      <c r="AK93" s="361"/>
      <c r="AL93" s="361"/>
      <c r="AM93" s="462"/>
      <c r="AN93" s="462"/>
      <c r="AO93" s="462"/>
      <c r="AP93" s="462"/>
      <c r="AQ93" s="462"/>
      <c r="AR93" s="463"/>
      <c r="AS93" s="42"/>
      <c r="AT93" s="42"/>
      <c r="AU93" s="467"/>
      <c r="AX93" s="464"/>
      <c r="AY93" s="461"/>
      <c r="AZ93" s="461"/>
      <c r="BA93" s="461"/>
      <c r="BB93" s="461"/>
      <c r="BC93" s="461"/>
      <c r="BD93" s="462"/>
      <c r="BE93" s="462"/>
      <c r="BF93" s="463"/>
      <c r="BG93" s="361"/>
      <c r="BH93" s="361"/>
      <c r="BI93" s="361"/>
      <c r="BJ93" s="361"/>
      <c r="BK93" s="462"/>
      <c r="BL93" s="462"/>
      <c r="BM93" s="462"/>
      <c r="BN93" s="462"/>
      <c r="BO93" s="462"/>
      <c r="BP93" s="463"/>
      <c r="BQ93" s="42"/>
      <c r="BR93" s="42"/>
      <c r="BS93" s="42"/>
      <c r="BU93" s="464"/>
      <c r="BV93" s="461"/>
      <c r="BW93" s="461"/>
      <c r="BX93" s="461"/>
      <c r="BY93" s="461"/>
      <c r="BZ93" s="461"/>
      <c r="CA93" s="462"/>
      <c r="CB93" s="462"/>
      <c r="CC93" s="463"/>
      <c r="CD93" s="361"/>
      <c r="CE93" s="361"/>
      <c r="CF93" s="462"/>
      <c r="CG93" s="462"/>
      <c r="CH93" s="463"/>
      <c r="CI93" s="42"/>
      <c r="CJ93" s="42"/>
      <c r="CK93" s="42"/>
      <c r="CM93" s="464"/>
      <c r="CN93" s="461"/>
      <c r="CO93" s="461"/>
      <c r="CP93" s="461"/>
      <c r="CQ93" s="461"/>
      <c r="CR93" s="461"/>
      <c r="CS93" s="462"/>
      <c r="CT93" s="462"/>
      <c r="CU93" s="463"/>
      <c r="CV93" s="361"/>
      <c r="CW93" s="361"/>
      <c r="CX93" s="462"/>
      <c r="CY93" s="462"/>
      <c r="CZ93" s="463"/>
      <c r="DA93" s="42"/>
      <c r="DB93" s="42"/>
      <c r="DC93" s="42"/>
      <c r="DE93" s="464"/>
      <c r="DF93" s="461"/>
      <c r="DG93" s="461"/>
      <c r="DH93" s="461"/>
      <c r="DI93" s="461"/>
      <c r="DJ93" s="461"/>
      <c r="DK93" s="462"/>
      <c r="DL93" s="462"/>
      <c r="DM93" s="463"/>
      <c r="DN93" s="361"/>
      <c r="DO93" s="361"/>
      <c r="DP93" s="462"/>
      <c r="DQ93" s="462"/>
      <c r="DR93" s="463"/>
      <c r="DS93" s="42"/>
      <c r="DT93" s="42"/>
      <c r="DU93" s="42"/>
      <c r="DW93" s="464"/>
      <c r="DX93" s="461"/>
      <c r="DY93" s="461"/>
      <c r="DZ93" s="461"/>
      <c r="EA93" s="461"/>
      <c r="EB93" s="461"/>
      <c r="EC93" s="462"/>
      <c r="ED93" s="462"/>
      <c r="EE93" s="463"/>
      <c r="EF93" s="361"/>
      <c r="EG93" s="361"/>
      <c r="EH93" s="462"/>
      <c r="EI93" s="462"/>
      <c r="EJ93" s="463"/>
      <c r="EK93" s="42"/>
      <c r="EL93" s="42"/>
      <c r="EM93" s="42"/>
      <c r="EO93" s="464"/>
      <c r="EP93" s="461"/>
      <c r="EQ93" s="461"/>
      <c r="ER93" s="461"/>
      <c r="ES93" s="461"/>
      <c r="ET93" s="461"/>
      <c r="EU93" s="462"/>
      <c r="EV93" s="462"/>
      <c r="EW93" s="463"/>
      <c r="EX93" s="361"/>
      <c r="EY93" s="361"/>
      <c r="EZ93" s="462"/>
      <c r="FA93" s="462"/>
      <c r="FB93" s="463"/>
      <c r="FC93" s="42"/>
      <c r="FD93" s="42"/>
      <c r="FE93" s="42"/>
      <c r="FG93" s="464"/>
      <c r="FH93" s="461"/>
      <c r="FI93" s="461"/>
      <c r="FJ93" s="461"/>
      <c r="FK93" s="461"/>
      <c r="FL93" s="461"/>
      <c r="FM93" s="462"/>
      <c r="FN93" s="462"/>
      <c r="FO93" s="463"/>
      <c r="FP93" s="361"/>
      <c r="FQ93" s="361"/>
      <c r="FR93" s="462"/>
      <c r="FS93" s="462"/>
      <c r="FT93" s="463"/>
      <c r="FU93" s="42"/>
      <c r="FV93" s="42"/>
      <c r="FW93" s="42"/>
      <c r="FY93" s="464"/>
      <c r="FZ93" s="461"/>
      <c r="GA93" s="461"/>
      <c r="GB93" s="461"/>
      <c r="GC93" s="461"/>
      <c r="GD93" s="461"/>
      <c r="GE93" s="462"/>
      <c r="GF93" s="462"/>
      <c r="GG93" s="463"/>
      <c r="GH93" s="361"/>
      <c r="GI93" s="361"/>
      <c r="GJ93" s="462"/>
      <c r="GK93" s="462"/>
      <c r="GL93" s="463"/>
      <c r="GM93" s="42"/>
      <c r="GN93" s="42"/>
      <c r="GO93" s="42"/>
      <c r="GQ93" s="464"/>
      <c r="GR93" s="461"/>
      <c r="GS93" s="461"/>
      <c r="GT93" s="461"/>
      <c r="GU93" s="461"/>
      <c r="GV93" s="461"/>
      <c r="GW93" s="462"/>
      <c r="GX93" s="462"/>
      <c r="GY93" s="463"/>
      <c r="GZ93" s="361"/>
      <c r="HA93" s="361"/>
      <c r="HB93" s="462"/>
      <c r="HC93" s="462"/>
      <c r="HD93" s="463"/>
      <c r="HE93" s="42"/>
      <c r="HF93" s="42"/>
      <c r="HG93" s="42"/>
      <c r="HI93" s="464"/>
      <c r="HJ93" s="461"/>
      <c r="HK93" s="461"/>
      <c r="HL93" s="461"/>
      <c r="HM93" s="461"/>
      <c r="HN93" s="461"/>
      <c r="HO93" s="462"/>
      <c r="HP93" s="462"/>
      <c r="HQ93" s="463"/>
      <c r="HR93" s="361"/>
      <c r="HS93" s="361"/>
      <c r="HT93" s="462"/>
      <c r="HU93" s="462"/>
      <c r="HV93" s="463"/>
      <c r="HW93" s="42"/>
      <c r="HX93" s="42"/>
      <c r="HY93" s="42"/>
    </row>
    <row r="94" spans="1:296" s="37" customFormat="1" ht="15.6" x14ac:dyDescent="0.3">
      <c r="B94" s="464"/>
      <c r="C94" s="461"/>
      <c r="D94" s="461"/>
      <c r="E94" s="461"/>
      <c r="F94" s="461"/>
      <c r="G94" s="461"/>
      <c r="H94" s="462"/>
      <c r="I94" s="462"/>
      <c r="J94" s="463"/>
      <c r="K94" s="361"/>
      <c r="L94" s="361"/>
      <c r="M94" s="361"/>
      <c r="N94" s="361"/>
      <c r="O94" s="361"/>
      <c r="P94" s="462"/>
      <c r="Q94" s="462"/>
      <c r="R94" s="462"/>
      <c r="S94" s="462"/>
      <c r="T94" s="462"/>
      <c r="U94" s="463"/>
      <c r="V94" s="42"/>
      <c r="W94" s="42"/>
      <c r="X94" s="467"/>
      <c r="Z94" s="464"/>
      <c r="AA94" s="461"/>
      <c r="AB94" s="461"/>
      <c r="AC94" s="461"/>
      <c r="AD94" s="461"/>
      <c r="AE94" s="461"/>
      <c r="AF94" s="462"/>
      <c r="AG94" s="462"/>
      <c r="AH94" s="463"/>
      <c r="AI94" s="361"/>
      <c r="AJ94" s="361"/>
      <c r="AK94" s="361"/>
      <c r="AL94" s="361"/>
      <c r="AM94" s="462"/>
      <c r="AN94" s="462"/>
      <c r="AO94" s="462"/>
      <c r="AP94" s="462"/>
      <c r="AQ94" s="462"/>
      <c r="AR94" s="463"/>
      <c r="AS94" s="42"/>
      <c r="AT94" s="42"/>
      <c r="AU94" s="467"/>
      <c r="AX94" s="464"/>
      <c r="AY94" s="461"/>
      <c r="AZ94" s="461"/>
      <c r="BA94" s="461"/>
      <c r="BB94" s="461"/>
      <c r="BC94" s="461"/>
      <c r="BD94" s="462"/>
      <c r="BE94" s="462"/>
      <c r="BF94" s="463"/>
      <c r="BG94" s="361"/>
      <c r="BH94" s="361"/>
      <c r="BI94" s="361"/>
      <c r="BJ94" s="361"/>
      <c r="BK94" s="462"/>
      <c r="BL94" s="462"/>
      <c r="BM94" s="462"/>
      <c r="BN94" s="462"/>
      <c r="BO94" s="462"/>
      <c r="BP94" s="463"/>
      <c r="BQ94" s="42"/>
      <c r="BR94" s="42"/>
      <c r="BS94" s="42"/>
      <c r="BU94" s="464"/>
      <c r="BV94" s="461"/>
      <c r="BW94" s="461"/>
      <c r="BX94" s="461"/>
      <c r="BY94" s="461"/>
      <c r="BZ94" s="461"/>
      <c r="CA94" s="462"/>
      <c r="CB94" s="462"/>
      <c r="CC94" s="463"/>
      <c r="CD94" s="361"/>
      <c r="CE94" s="361"/>
      <c r="CF94" s="462"/>
      <c r="CG94" s="462"/>
      <c r="CH94" s="463"/>
      <c r="CI94" s="42"/>
      <c r="CJ94" s="42"/>
      <c r="CK94" s="42"/>
      <c r="CM94" s="464"/>
      <c r="CN94" s="461"/>
      <c r="CO94" s="461"/>
      <c r="CP94" s="461"/>
      <c r="CQ94" s="461"/>
      <c r="CR94" s="461"/>
      <c r="CS94" s="462"/>
      <c r="CT94" s="462"/>
      <c r="CU94" s="463"/>
      <c r="CV94" s="361"/>
      <c r="CW94" s="361"/>
      <c r="CX94" s="462"/>
      <c r="CY94" s="462"/>
      <c r="CZ94" s="463"/>
      <c r="DA94" s="42"/>
      <c r="DB94" s="42"/>
      <c r="DC94" s="42"/>
      <c r="DE94" s="464"/>
      <c r="DF94" s="461"/>
      <c r="DG94" s="461"/>
      <c r="DH94" s="461"/>
      <c r="DI94" s="461"/>
      <c r="DJ94" s="461"/>
      <c r="DK94" s="462"/>
      <c r="DL94" s="462"/>
      <c r="DM94" s="463"/>
      <c r="DN94" s="361"/>
      <c r="DO94" s="361"/>
      <c r="DP94" s="462"/>
      <c r="DQ94" s="462"/>
      <c r="DR94" s="463"/>
      <c r="DS94" s="42"/>
      <c r="DT94" s="42"/>
      <c r="DU94" s="42"/>
      <c r="DW94" s="464"/>
      <c r="DX94" s="461"/>
      <c r="DY94" s="461"/>
      <c r="DZ94" s="461"/>
      <c r="EA94" s="461"/>
      <c r="EB94" s="461"/>
      <c r="EC94" s="462"/>
      <c r="ED94" s="462"/>
      <c r="EE94" s="463"/>
      <c r="EF94" s="361"/>
      <c r="EG94" s="361"/>
      <c r="EH94" s="462"/>
      <c r="EI94" s="462"/>
      <c r="EJ94" s="463"/>
      <c r="EK94" s="42"/>
      <c r="EL94" s="42"/>
      <c r="EM94" s="42"/>
      <c r="EO94" s="464"/>
      <c r="EP94" s="461"/>
      <c r="EQ94" s="461"/>
      <c r="ER94" s="461"/>
      <c r="ES94" s="461"/>
      <c r="ET94" s="461"/>
      <c r="EU94" s="462"/>
      <c r="EV94" s="462"/>
      <c r="EW94" s="463"/>
      <c r="EX94" s="361"/>
      <c r="EY94" s="361"/>
      <c r="EZ94" s="462"/>
      <c r="FA94" s="462"/>
      <c r="FB94" s="463"/>
      <c r="FC94" s="42"/>
      <c r="FD94" s="42"/>
      <c r="FE94" s="42"/>
      <c r="FG94" s="464"/>
      <c r="FH94" s="461"/>
      <c r="FI94" s="461"/>
      <c r="FJ94" s="461"/>
      <c r="FK94" s="461"/>
      <c r="FL94" s="461"/>
      <c r="FM94" s="462"/>
      <c r="FN94" s="462"/>
      <c r="FO94" s="463"/>
      <c r="FP94" s="361"/>
      <c r="FQ94" s="361"/>
      <c r="FR94" s="462"/>
      <c r="FS94" s="462"/>
      <c r="FT94" s="463"/>
      <c r="FU94" s="42"/>
      <c r="FV94" s="42"/>
      <c r="FW94" s="42"/>
      <c r="FY94" s="464"/>
      <c r="FZ94" s="461"/>
      <c r="GA94" s="461"/>
      <c r="GB94" s="461"/>
      <c r="GC94" s="461"/>
      <c r="GD94" s="461"/>
      <c r="GE94" s="462"/>
      <c r="GF94" s="462"/>
      <c r="GG94" s="463"/>
      <c r="GH94" s="361"/>
      <c r="GI94" s="361"/>
      <c r="GJ94" s="462"/>
      <c r="GK94" s="462"/>
      <c r="GL94" s="463"/>
      <c r="GM94" s="42"/>
      <c r="GN94" s="42"/>
      <c r="GO94" s="42"/>
      <c r="GQ94" s="464"/>
      <c r="GR94" s="461"/>
      <c r="GS94" s="461"/>
      <c r="GT94" s="461"/>
      <c r="GU94" s="461"/>
      <c r="GV94" s="461"/>
      <c r="GW94" s="462"/>
      <c r="GX94" s="462"/>
      <c r="GY94" s="463"/>
      <c r="GZ94" s="361"/>
      <c r="HA94" s="361"/>
      <c r="HB94" s="462"/>
      <c r="HC94" s="462"/>
      <c r="HD94" s="463"/>
      <c r="HE94" s="42"/>
      <c r="HF94" s="42"/>
      <c r="HG94" s="42"/>
      <c r="HI94" s="464"/>
      <c r="HJ94" s="461"/>
      <c r="HK94" s="461"/>
      <c r="HL94" s="461"/>
      <c r="HM94" s="461"/>
      <c r="HN94" s="461"/>
      <c r="HO94" s="462"/>
      <c r="HP94" s="462"/>
      <c r="HQ94" s="463"/>
      <c r="HR94" s="361"/>
      <c r="HS94" s="361"/>
      <c r="HT94" s="462"/>
      <c r="HU94" s="462"/>
      <c r="HV94" s="463"/>
      <c r="HW94" s="42"/>
      <c r="HX94" s="42"/>
      <c r="HY94" s="42"/>
    </row>
    <row r="95" spans="1:296" s="37" customFormat="1" ht="15.6" x14ac:dyDescent="0.3">
      <c r="B95" s="464"/>
      <c r="C95" s="461"/>
      <c r="D95" s="461"/>
      <c r="E95" s="461"/>
      <c r="F95" s="461"/>
      <c r="G95" s="461"/>
      <c r="H95" s="462"/>
      <c r="I95" s="462"/>
      <c r="J95" s="463"/>
      <c r="K95" s="361"/>
      <c r="L95" s="361"/>
      <c r="M95" s="361"/>
      <c r="N95" s="361"/>
      <c r="O95" s="361"/>
      <c r="P95" s="462"/>
      <c r="Q95" s="462"/>
      <c r="R95" s="462"/>
      <c r="S95" s="462"/>
      <c r="T95" s="462"/>
      <c r="U95" s="463"/>
      <c r="V95" s="42"/>
      <c r="W95" s="42"/>
      <c r="X95" s="467"/>
      <c r="Z95" s="464"/>
      <c r="AA95" s="461"/>
      <c r="AB95" s="461"/>
      <c r="AC95" s="461"/>
      <c r="AD95" s="461"/>
      <c r="AE95" s="461"/>
      <c r="AF95" s="462"/>
      <c r="AG95" s="462"/>
      <c r="AH95" s="463"/>
      <c r="AI95" s="361"/>
      <c r="AJ95" s="361"/>
      <c r="AK95" s="361"/>
      <c r="AL95" s="361"/>
      <c r="AM95" s="462"/>
      <c r="AN95" s="462"/>
      <c r="AO95" s="462"/>
      <c r="AP95" s="462"/>
      <c r="AQ95" s="462"/>
      <c r="AR95" s="463"/>
      <c r="AS95" s="42"/>
      <c r="AT95" s="42"/>
      <c r="AU95" s="467"/>
      <c r="AX95" s="464"/>
      <c r="AY95" s="461"/>
      <c r="AZ95" s="461"/>
      <c r="BA95" s="461"/>
      <c r="BB95" s="461"/>
      <c r="BC95" s="461"/>
      <c r="BD95" s="462"/>
      <c r="BE95" s="462"/>
      <c r="BF95" s="463"/>
      <c r="BG95" s="361"/>
      <c r="BH95" s="361"/>
      <c r="BI95" s="361"/>
      <c r="BJ95" s="361"/>
      <c r="BK95" s="462"/>
      <c r="BL95" s="462"/>
      <c r="BM95" s="462"/>
      <c r="BN95" s="462"/>
      <c r="BO95" s="462"/>
      <c r="BP95" s="463"/>
      <c r="BQ95" s="42"/>
      <c r="BR95" s="42"/>
      <c r="BS95" s="42"/>
      <c r="BU95" s="464"/>
      <c r="BV95" s="461"/>
      <c r="BW95" s="461"/>
      <c r="BX95" s="461"/>
      <c r="BY95" s="461"/>
      <c r="BZ95" s="461"/>
      <c r="CA95" s="462"/>
      <c r="CB95" s="462"/>
      <c r="CC95" s="463"/>
      <c r="CD95" s="361"/>
      <c r="CE95" s="361"/>
      <c r="CF95" s="462"/>
      <c r="CG95" s="462"/>
      <c r="CH95" s="463"/>
      <c r="CI95" s="42"/>
      <c r="CJ95" s="42"/>
      <c r="CK95" s="42"/>
      <c r="CM95" s="464"/>
      <c r="CN95" s="461"/>
      <c r="CO95" s="461"/>
      <c r="CP95" s="461"/>
      <c r="CQ95" s="461"/>
      <c r="CR95" s="461"/>
      <c r="CS95" s="462"/>
      <c r="CT95" s="462"/>
      <c r="CU95" s="463"/>
      <c r="CV95" s="361"/>
      <c r="CW95" s="361"/>
      <c r="CX95" s="462"/>
      <c r="CY95" s="462"/>
      <c r="CZ95" s="463"/>
      <c r="DA95" s="42"/>
      <c r="DB95" s="42"/>
      <c r="DC95" s="42"/>
      <c r="DE95" s="464"/>
      <c r="DF95" s="461"/>
      <c r="DG95" s="461"/>
      <c r="DH95" s="461"/>
      <c r="DI95" s="461"/>
      <c r="DJ95" s="461"/>
      <c r="DK95" s="462"/>
      <c r="DL95" s="462"/>
      <c r="DM95" s="463"/>
      <c r="DN95" s="361"/>
      <c r="DO95" s="361"/>
      <c r="DP95" s="462"/>
      <c r="DQ95" s="462"/>
      <c r="DR95" s="463"/>
      <c r="DS95" s="42"/>
      <c r="DT95" s="42"/>
      <c r="DU95" s="42"/>
      <c r="DW95" s="464"/>
      <c r="DX95" s="461"/>
      <c r="DY95" s="461"/>
      <c r="DZ95" s="461"/>
      <c r="EA95" s="461"/>
      <c r="EB95" s="461"/>
      <c r="EC95" s="462"/>
      <c r="ED95" s="462"/>
      <c r="EE95" s="463"/>
      <c r="EF95" s="361"/>
      <c r="EG95" s="361"/>
      <c r="EH95" s="462"/>
      <c r="EI95" s="462"/>
      <c r="EJ95" s="463"/>
      <c r="EK95" s="42"/>
      <c r="EL95" s="42"/>
      <c r="EM95" s="42"/>
      <c r="EO95" s="464"/>
      <c r="EP95" s="461"/>
      <c r="EQ95" s="461"/>
      <c r="ER95" s="461"/>
      <c r="ES95" s="461"/>
      <c r="ET95" s="461"/>
      <c r="EU95" s="462"/>
      <c r="EV95" s="462"/>
      <c r="EW95" s="463"/>
      <c r="EX95" s="361"/>
      <c r="EY95" s="361"/>
      <c r="EZ95" s="462"/>
      <c r="FA95" s="462"/>
      <c r="FB95" s="463"/>
      <c r="FC95" s="42"/>
      <c r="FD95" s="42"/>
      <c r="FE95" s="42"/>
      <c r="FG95" s="464"/>
      <c r="FH95" s="461"/>
      <c r="FI95" s="461"/>
      <c r="FJ95" s="461"/>
      <c r="FK95" s="461"/>
      <c r="FL95" s="461"/>
      <c r="FM95" s="462"/>
      <c r="FN95" s="462"/>
      <c r="FO95" s="463"/>
      <c r="FP95" s="361"/>
      <c r="FQ95" s="361"/>
      <c r="FR95" s="462"/>
      <c r="FS95" s="462"/>
      <c r="FT95" s="463"/>
      <c r="FU95" s="42"/>
      <c r="FV95" s="42"/>
      <c r="FW95" s="42"/>
      <c r="FY95" s="464"/>
      <c r="FZ95" s="461"/>
      <c r="GA95" s="461"/>
      <c r="GB95" s="461"/>
      <c r="GC95" s="461"/>
      <c r="GD95" s="461"/>
      <c r="GE95" s="462"/>
      <c r="GF95" s="462"/>
      <c r="GG95" s="463"/>
      <c r="GH95" s="361"/>
      <c r="GI95" s="361"/>
      <c r="GJ95" s="462"/>
      <c r="GK95" s="462"/>
      <c r="GL95" s="463"/>
      <c r="GM95" s="42"/>
      <c r="GN95" s="42"/>
      <c r="GO95" s="42"/>
      <c r="GQ95" s="464"/>
      <c r="GR95" s="461"/>
      <c r="GS95" s="461"/>
      <c r="GT95" s="461"/>
      <c r="GU95" s="461"/>
      <c r="GV95" s="461"/>
      <c r="GW95" s="462"/>
      <c r="GX95" s="462"/>
      <c r="GY95" s="463"/>
      <c r="GZ95" s="361"/>
      <c r="HA95" s="361"/>
      <c r="HB95" s="462"/>
      <c r="HC95" s="462"/>
      <c r="HD95" s="463"/>
      <c r="HE95" s="42"/>
      <c r="HF95" s="42"/>
      <c r="HG95" s="42"/>
      <c r="HI95" s="464"/>
      <c r="HJ95" s="461"/>
      <c r="HK95" s="461"/>
      <c r="HL95" s="461"/>
      <c r="HM95" s="461"/>
      <c r="HN95" s="461"/>
      <c r="HO95" s="462"/>
      <c r="HP95" s="462"/>
      <c r="HQ95" s="463"/>
      <c r="HR95" s="361"/>
      <c r="HS95" s="361"/>
      <c r="HT95" s="462"/>
      <c r="HU95" s="462"/>
      <c r="HV95" s="463"/>
      <c r="HW95" s="42"/>
      <c r="HX95" s="42"/>
      <c r="HY95" s="42"/>
    </row>
    <row r="96" spans="1:296" s="37" customFormat="1" ht="15.6" x14ac:dyDescent="0.3">
      <c r="B96" s="464"/>
      <c r="C96" s="461"/>
      <c r="D96" s="461"/>
      <c r="E96" s="461"/>
      <c r="F96" s="461"/>
      <c r="G96" s="461"/>
      <c r="H96" s="462"/>
      <c r="I96" s="462"/>
      <c r="J96" s="463"/>
      <c r="K96" s="361"/>
      <c r="L96" s="361"/>
      <c r="M96" s="361"/>
      <c r="N96" s="361"/>
      <c r="O96" s="361"/>
      <c r="P96" s="462"/>
      <c r="Q96" s="462"/>
      <c r="R96" s="462"/>
      <c r="S96" s="462"/>
      <c r="T96" s="462"/>
      <c r="U96" s="463"/>
      <c r="V96" s="42"/>
      <c r="W96" s="42"/>
      <c r="X96" s="467"/>
      <c r="Z96" s="464"/>
      <c r="AA96" s="461"/>
      <c r="AB96" s="461"/>
      <c r="AC96" s="461"/>
      <c r="AD96" s="461"/>
      <c r="AE96" s="461"/>
      <c r="AF96" s="462"/>
      <c r="AG96" s="462"/>
      <c r="AH96" s="463"/>
      <c r="AI96" s="361"/>
      <c r="AJ96" s="361"/>
      <c r="AK96" s="361"/>
      <c r="AL96" s="361"/>
      <c r="AM96" s="462"/>
      <c r="AN96" s="462"/>
      <c r="AO96" s="462"/>
      <c r="AP96" s="462"/>
      <c r="AQ96" s="462"/>
      <c r="AR96" s="463"/>
      <c r="AS96" s="42"/>
      <c r="AT96" s="42"/>
      <c r="AU96" s="467"/>
      <c r="AX96" s="464"/>
      <c r="AY96" s="461"/>
      <c r="AZ96" s="461"/>
      <c r="BA96" s="461"/>
      <c r="BB96" s="461"/>
      <c r="BC96" s="461"/>
      <c r="BD96" s="462"/>
      <c r="BE96" s="462"/>
      <c r="BF96" s="463"/>
      <c r="BG96" s="361"/>
      <c r="BH96" s="361"/>
      <c r="BI96" s="361"/>
      <c r="BJ96" s="361"/>
      <c r="BK96" s="462"/>
      <c r="BL96" s="462"/>
      <c r="BM96" s="462"/>
      <c r="BN96" s="462"/>
      <c r="BO96" s="462"/>
      <c r="BP96" s="463"/>
      <c r="BQ96" s="42"/>
      <c r="BR96" s="42"/>
      <c r="BS96" s="42"/>
      <c r="BU96" s="464"/>
      <c r="BV96" s="461"/>
      <c r="BW96" s="461"/>
      <c r="BX96" s="461"/>
      <c r="BY96" s="461"/>
      <c r="BZ96" s="461"/>
      <c r="CA96" s="462"/>
      <c r="CB96" s="462"/>
      <c r="CC96" s="463"/>
      <c r="CD96" s="361"/>
      <c r="CE96" s="361"/>
      <c r="CF96" s="462"/>
      <c r="CG96" s="462"/>
      <c r="CH96" s="463"/>
      <c r="CI96" s="42"/>
      <c r="CJ96" s="42"/>
      <c r="CK96" s="42"/>
      <c r="CM96" s="464"/>
      <c r="CN96" s="461"/>
      <c r="CO96" s="461"/>
      <c r="CP96" s="461"/>
      <c r="CQ96" s="461"/>
      <c r="CR96" s="461"/>
      <c r="CS96" s="462"/>
      <c r="CT96" s="462"/>
      <c r="CU96" s="463"/>
      <c r="CV96" s="361"/>
      <c r="CW96" s="361"/>
      <c r="CX96" s="462"/>
      <c r="CY96" s="462"/>
      <c r="CZ96" s="463"/>
      <c r="DA96" s="42"/>
      <c r="DB96" s="42"/>
      <c r="DC96" s="42"/>
      <c r="DE96" s="464"/>
      <c r="DF96" s="461"/>
      <c r="DG96" s="461"/>
      <c r="DH96" s="461"/>
      <c r="DI96" s="461"/>
      <c r="DJ96" s="461"/>
      <c r="DK96" s="462"/>
      <c r="DL96" s="462"/>
      <c r="DM96" s="463"/>
      <c r="DN96" s="361"/>
      <c r="DO96" s="361"/>
      <c r="DP96" s="462"/>
      <c r="DQ96" s="462"/>
      <c r="DR96" s="463"/>
      <c r="DS96" s="42"/>
      <c r="DT96" s="42"/>
      <c r="DU96" s="42"/>
      <c r="DW96" s="464"/>
      <c r="DX96" s="461"/>
      <c r="DY96" s="461"/>
      <c r="DZ96" s="461"/>
      <c r="EA96" s="461"/>
      <c r="EB96" s="461"/>
      <c r="EC96" s="462"/>
      <c r="ED96" s="462"/>
      <c r="EE96" s="463"/>
      <c r="EF96" s="361"/>
      <c r="EG96" s="361"/>
      <c r="EH96" s="462"/>
      <c r="EI96" s="462"/>
      <c r="EJ96" s="463"/>
      <c r="EK96" s="42"/>
      <c r="EL96" s="42"/>
      <c r="EM96" s="42"/>
      <c r="EO96" s="464"/>
      <c r="EP96" s="461"/>
      <c r="EQ96" s="461"/>
      <c r="ER96" s="461"/>
      <c r="ES96" s="461"/>
      <c r="ET96" s="461"/>
      <c r="EU96" s="462"/>
      <c r="EV96" s="462"/>
      <c r="EW96" s="463"/>
      <c r="EX96" s="361"/>
      <c r="EY96" s="361"/>
      <c r="EZ96" s="462"/>
      <c r="FA96" s="462"/>
      <c r="FB96" s="463"/>
      <c r="FC96" s="42"/>
      <c r="FD96" s="42"/>
      <c r="FE96" s="42"/>
      <c r="FG96" s="464"/>
      <c r="FH96" s="461"/>
      <c r="FI96" s="461"/>
      <c r="FJ96" s="461"/>
      <c r="FK96" s="461"/>
      <c r="FL96" s="461"/>
      <c r="FM96" s="462"/>
      <c r="FN96" s="462"/>
      <c r="FO96" s="463"/>
      <c r="FP96" s="361"/>
      <c r="FQ96" s="361"/>
      <c r="FR96" s="462"/>
      <c r="FS96" s="462"/>
      <c r="FT96" s="463"/>
      <c r="FU96" s="42"/>
      <c r="FV96" s="42"/>
      <c r="FW96" s="42"/>
      <c r="FY96" s="464"/>
      <c r="FZ96" s="461"/>
      <c r="GA96" s="461"/>
      <c r="GB96" s="461"/>
      <c r="GC96" s="461"/>
      <c r="GD96" s="461"/>
      <c r="GE96" s="462"/>
      <c r="GF96" s="462"/>
      <c r="GG96" s="463"/>
      <c r="GH96" s="361"/>
      <c r="GI96" s="361"/>
      <c r="GJ96" s="462"/>
      <c r="GK96" s="462"/>
      <c r="GL96" s="463"/>
      <c r="GM96" s="42"/>
      <c r="GN96" s="42"/>
      <c r="GO96" s="42"/>
      <c r="GQ96" s="464"/>
      <c r="GR96" s="461"/>
      <c r="GS96" s="461"/>
      <c r="GT96" s="461"/>
      <c r="GU96" s="461"/>
      <c r="GV96" s="461"/>
      <c r="GW96" s="462"/>
      <c r="GX96" s="462"/>
      <c r="GY96" s="463"/>
      <c r="GZ96" s="361"/>
      <c r="HA96" s="361"/>
      <c r="HB96" s="462"/>
      <c r="HC96" s="462"/>
      <c r="HD96" s="463"/>
      <c r="HE96" s="42"/>
      <c r="HF96" s="42"/>
      <c r="HG96" s="42"/>
      <c r="HI96" s="464"/>
      <c r="HJ96" s="461"/>
      <c r="HK96" s="461"/>
      <c r="HL96" s="461"/>
      <c r="HM96" s="461"/>
      <c r="HN96" s="461"/>
      <c r="HO96" s="462"/>
      <c r="HP96" s="462"/>
      <c r="HQ96" s="463"/>
      <c r="HR96" s="361"/>
      <c r="HS96" s="361"/>
      <c r="HT96" s="462"/>
      <c r="HU96" s="462"/>
      <c r="HV96" s="463"/>
      <c r="HW96" s="42"/>
      <c r="HX96" s="42"/>
      <c r="HY96" s="42"/>
    </row>
    <row r="97" spans="2:233" s="37" customFormat="1" x14ac:dyDescent="0.3">
      <c r="B97" s="43"/>
      <c r="C97" s="461"/>
      <c r="D97" s="461"/>
      <c r="E97" s="461"/>
      <c r="F97" s="461"/>
      <c r="G97" s="461"/>
      <c r="H97" s="462"/>
      <c r="I97" s="462"/>
      <c r="J97" s="463"/>
      <c r="K97" s="361"/>
      <c r="L97" s="361"/>
      <c r="M97" s="361"/>
      <c r="N97" s="361"/>
      <c r="O97" s="361"/>
      <c r="P97" s="462"/>
      <c r="Q97" s="462"/>
      <c r="R97" s="462"/>
      <c r="S97" s="462"/>
      <c r="T97" s="462"/>
      <c r="U97" s="463"/>
      <c r="V97" s="42"/>
      <c r="W97" s="42"/>
      <c r="X97" s="467"/>
      <c r="Z97" s="43"/>
      <c r="AA97" s="461"/>
      <c r="AB97" s="461"/>
      <c r="AC97" s="461"/>
      <c r="AD97" s="461"/>
      <c r="AE97" s="461"/>
      <c r="AF97" s="462"/>
      <c r="AG97" s="462"/>
      <c r="AH97" s="463"/>
      <c r="AI97" s="361"/>
      <c r="AJ97" s="361"/>
      <c r="AK97" s="361"/>
      <c r="AL97" s="361"/>
      <c r="AM97" s="462"/>
      <c r="AN97" s="462"/>
      <c r="AO97" s="462"/>
      <c r="AP97" s="462"/>
      <c r="AQ97" s="462"/>
      <c r="AR97" s="463"/>
      <c r="AS97" s="42"/>
      <c r="AT97" s="42"/>
      <c r="AU97" s="467"/>
      <c r="AX97" s="43"/>
      <c r="AY97" s="461"/>
      <c r="AZ97" s="461"/>
      <c r="BA97" s="461"/>
      <c r="BB97" s="461"/>
      <c r="BC97" s="461"/>
      <c r="BD97" s="462"/>
      <c r="BE97" s="462"/>
      <c r="BF97" s="463"/>
      <c r="BG97" s="361"/>
      <c r="BH97" s="361"/>
      <c r="BI97" s="361"/>
      <c r="BJ97" s="361"/>
      <c r="BK97" s="462"/>
      <c r="BL97" s="462"/>
      <c r="BM97" s="462"/>
      <c r="BN97" s="462"/>
      <c r="BO97" s="462"/>
      <c r="BP97" s="463"/>
      <c r="BQ97" s="42"/>
      <c r="BR97" s="42"/>
      <c r="BS97" s="42"/>
      <c r="BU97" s="43"/>
      <c r="BV97" s="461"/>
      <c r="BW97" s="461"/>
      <c r="BX97" s="461"/>
      <c r="BY97" s="461"/>
      <c r="BZ97" s="461"/>
      <c r="CA97" s="462"/>
      <c r="CB97" s="462"/>
      <c r="CC97" s="463"/>
      <c r="CD97" s="361"/>
      <c r="CE97" s="361"/>
      <c r="CF97" s="462"/>
      <c r="CG97" s="462"/>
      <c r="CH97" s="463"/>
      <c r="CI97" s="42"/>
      <c r="CJ97" s="42"/>
      <c r="CK97" s="42"/>
      <c r="CM97" s="43"/>
      <c r="CN97" s="461"/>
      <c r="CO97" s="461"/>
      <c r="CP97" s="461"/>
      <c r="CQ97" s="461"/>
      <c r="CR97" s="461"/>
      <c r="CS97" s="462"/>
      <c r="CT97" s="462"/>
      <c r="CU97" s="463"/>
      <c r="CV97" s="361"/>
      <c r="CW97" s="361"/>
      <c r="CX97" s="462"/>
      <c r="CY97" s="462"/>
      <c r="CZ97" s="463"/>
      <c r="DA97" s="42"/>
      <c r="DB97" s="42"/>
      <c r="DC97" s="42"/>
      <c r="DE97" s="43"/>
      <c r="DF97" s="461"/>
      <c r="DG97" s="461"/>
      <c r="DH97" s="461"/>
      <c r="DI97" s="461"/>
      <c r="DJ97" s="461"/>
      <c r="DK97" s="462"/>
      <c r="DL97" s="462"/>
      <c r="DM97" s="463"/>
      <c r="DN97" s="361"/>
      <c r="DO97" s="361"/>
      <c r="DP97" s="462"/>
      <c r="DQ97" s="462"/>
      <c r="DR97" s="463"/>
      <c r="DS97" s="42"/>
      <c r="DT97" s="42"/>
      <c r="DU97" s="42"/>
      <c r="DW97" s="43"/>
      <c r="DX97" s="461"/>
      <c r="DY97" s="461"/>
      <c r="DZ97" s="461"/>
      <c r="EA97" s="461"/>
      <c r="EB97" s="461"/>
      <c r="EC97" s="462"/>
      <c r="ED97" s="462"/>
      <c r="EE97" s="463"/>
      <c r="EF97" s="361"/>
      <c r="EG97" s="361"/>
      <c r="EH97" s="462"/>
      <c r="EI97" s="462"/>
      <c r="EJ97" s="463"/>
      <c r="EK97" s="42"/>
      <c r="EL97" s="42"/>
      <c r="EM97" s="42"/>
      <c r="EO97" s="43"/>
      <c r="EP97" s="461"/>
      <c r="EQ97" s="461"/>
      <c r="ER97" s="461"/>
      <c r="ES97" s="461"/>
      <c r="ET97" s="461"/>
      <c r="EU97" s="462"/>
      <c r="EV97" s="462"/>
      <c r="EW97" s="463"/>
      <c r="EX97" s="361"/>
      <c r="EY97" s="361"/>
      <c r="EZ97" s="462"/>
      <c r="FA97" s="462"/>
      <c r="FB97" s="463"/>
      <c r="FC97" s="42"/>
      <c r="FD97" s="42"/>
      <c r="FE97" s="42"/>
      <c r="FG97" s="43"/>
      <c r="FH97" s="461"/>
      <c r="FI97" s="461"/>
      <c r="FJ97" s="461"/>
      <c r="FK97" s="461"/>
      <c r="FL97" s="461"/>
      <c r="FM97" s="462"/>
      <c r="FN97" s="462"/>
      <c r="FO97" s="463"/>
      <c r="FP97" s="361"/>
      <c r="FQ97" s="361"/>
      <c r="FR97" s="462"/>
      <c r="FS97" s="462"/>
      <c r="FT97" s="463"/>
      <c r="FU97" s="42"/>
      <c r="FV97" s="42"/>
      <c r="FW97" s="42"/>
      <c r="FY97" s="43"/>
      <c r="FZ97" s="461"/>
      <c r="GA97" s="461"/>
      <c r="GB97" s="461"/>
      <c r="GC97" s="461"/>
      <c r="GD97" s="461"/>
      <c r="GE97" s="462"/>
      <c r="GF97" s="462"/>
      <c r="GG97" s="463"/>
      <c r="GH97" s="361"/>
      <c r="GI97" s="361"/>
      <c r="GJ97" s="462"/>
      <c r="GK97" s="462"/>
      <c r="GL97" s="463"/>
      <c r="GM97" s="42"/>
      <c r="GN97" s="42"/>
      <c r="GO97" s="42"/>
      <c r="GQ97" s="43"/>
      <c r="GR97" s="461"/>
      <c r="GS97" s="461"/>
      <c r="GT97" s="461"/>
      <c r="GU97" s="461"/>
      <c r="GV97" s="461"/>
      <c r="GW97" s="462"/>
      <c r="GX97" s="462"/>
      <c r="GY97" s="463"/>
      <c r="GZ97" s="361"/>
      <c r="HA97" s="361"/>
      <c r="HB97" s="462"/>
      <c r="HC97" s="462"/>
      <c r="HD97" s="463"/>
      <c r="HE97" s="42"/>
      <c r="HF97" s="42"/>
      <c r="HG97" s="42"/>
      <c r="HI97" s="43"/>
      <c r="HJ97" s="461"/>
      <c r="HK97" s="461"/>
      <c r="HL97" s="461"/>
      <c r="HM97" s="461"/>
      <c r="HN97" s="461"/>
      <c r="HO97" s="462"/>
      <c r="HP97" s="462"/>
      <c r="HQ97" s="463"/>
      <c r="HR97" s="361"/>
      <c r="HS97" s="361"/>
      <c r="HT97" s="462"/>
      <c r="HU97" s="462"/>
      <c r="HV97" s="463"/>
      <c r="HW97" s="42"/>
      <c r="HX97" s="42"/>
      <c r="HY97" s="42"/>
    </row>
    <row r="98" spans="2:233" s="37" customFormat="1" x14ac:dyDescent="0.3">
      <c r="B98" s="43"/>
      <c r="C98" s="461"/>
      <c r="D98" s="461"/>
      <c r="E98" s="461"/>
      <c r="F98" s="461"/>
      <c r="G98" s="461"/>
      <c r="H98" s="462"/>
      <c r="I98" s="462"/>
      <c r="J98" s="463"/>
      <c r="K98" s="361"/>
      <c r="L98" s="361"/>
      <c r="M98" s="361"/>
      <c r="N98" s="361"/>
      <c r="O98" s="361"/>
      <c r="P98" s="462"/>
      <c r="Q98" s="462"/>
      <c r="R98" s="462"/>
      <c r="S98" s="462"/>
      <c r="T98" s="462"/>
      <c r="U98" s="463"/>
      <c r="V98" s="42"/>
      <c r="W98" s="42"/>
      <c r="X98" s="467"/>
      <c r="Z98" s="43"/>
      <c r="AA98" s="461"/>
      <c r="AB98" s="461"/>
      <c r="AC98" s="461"/>
      <c r="AD98" s="461"/>
      <c r="AE98" s="461"/>
      <c r="AF98" s="462"/>
      <c r="AG98" s="462"/>
      <c r="AH98" s="463"/>
      <c r="AI98" s="361"/>
      <c r="AJ98" s="361"/>
      <c r="AK98" s="361"/>
      <c r="AL98" s="361"/>
      <c r="AM98" s="462"/>
      <c r="AN98" s="462"/>
      <c r="AO98" s="462"/>
      <c r="AP98" s="462"/>
      <c r="AQ98" s="462"/>
      <c r="AR98" s="463"/>
      <c r="AS98" s="42"/>
      <c r="AT98" s="42"/>
      <c r="AU98" s="467"/>
      <c r="AX98" s="43"/>
      <c r="AY98" s="461"/>
      <c r="AZ98" s="461"/>
      <c r="BA98" s="461"/>
      <c r="BB98" s="461"/>
      <c r="BC98" s="461"/>
      <c r="BD98" s="462"/>
      <c r="BE98" s="462"/>
      <c r="BF98" s="463"/>
      <c r="BG98" s="361"/>
      <c r="BH98" s="361"/>
      <c r="BI98" s="361"/>
      <c r="BJ98" s="361"/>
      <c r="BK98" s="462"/>
      <c r="BL98" s="462"/>
      <c r="BM98" s="462"/>
      <c r="BN98" s="462"/>
      <c r="BO98" s="462"/>
      <c r="BP98" s="463"/>
      <c r="BQ98" s="42"/>
      <c r="BR98" s="42"/>
      <c r="BS98" s="42"/>
      <c r="BU98" s="43"/>
      <c r="BV98" s="461"/>
      <c r="BW98" s="461"/>
      <c r="BX98" s="461"/>
      <c r="BY98" s="461"/>
      <c r="BZ98" s="461"/>
      <c r="CA98" s="462"/>
      <c r="CB98" s="462"/>
      <c r="CC98" s="463"/>
      <c r="CD98" s="361"/>
      <c r="CE98" s="361"/>
      <c r="CF98" s="462"/>
      <c r="CG98" s="462"/>
      <c r="CH98" s="463"/>
      <c r="CI98" s="42"/>
      <c r="CJ98" s="42"/>
      <c r="CK98" s="42"/>
      <c r="CM98" s="43"/>
      <c r="CN98" s="461"/>
      <c r="CO98" s="461"/>
      <c r="CP98" s="461"/>
      <c r="CQ98" s="461"/>
      <c r="CR98" s="461"/>
      <c r="CS98" s="462"/>
      <c r="CT98" s="462"/>
      <c r="CU98" s="463"/>
      <c r="CV98" s="361"/>
      <c r="CW98" s="361"/>
      <c r="CX98" s="462"/>
      <c r="CY98" s="462"/>
      <c r="CZ98" s="463"/>
      <c r="DA98" s="42"/>
      <c r="DB98" s="42"/>
      <c r="DC98" s="42"/>
      <c r="DE98" s="43"/>
      <c r="DF98" s="461"/>
      <c r="DG98" s="461"/>
      <c r="DH98" s="461"/>
      <c r="DI98" s="461"/>
      <c r="DJ98" s="461"/>
      <c r="DK98" s="462"/>
      <c r="DL98" s="462"/>
      <c r="DM98" s="463"/>
      <c r="DN98" s="361"/>
      <c r="DO98" s="361"/>
      <c r="DP98" s="462"/>
      <c r="DQ98" s="462"/>
      <c r="DR98" s="463"/>
      <c r="DS98" s="42"/>
      <c r="DT98" s="42"/>
      <c r="DU98" s="42"/>
      <c r="DW98" s="43"/>
      <c r="DX98" s="461"/>
      <c r="DY98" s="461"/>
      <c r="DZ98" s="461"/>
      <c r="EA98" s="461"/>
      <c r="EB98" s="461"/>
      <c r="EC98" s="462"/>
      <c r="ED98" s="462"/>
      <c r="EE98" s="463"/>
      <c r="EF98" s="361"/>
      <c r="EG98" s="361"/>
      <c r="EH98" s="462"/>
      <c r="EI98" s="462"/>
      <c r="EJ98" s="463"/>
      <c r="EK98" s="42"/>
      <c r="EL98" s="42"/>
      <c r="EM98" s="42"/>
      <c r="EO98" s="43"/>
      <c r="EP98" s="461"/>
      <c r="EQ98" s="461"/>
      <c r="ER98" s="461"/>
      <c r="ES98" s="461"/>
      <c r="ET98" s="461"/>
      <c r="EU98" s="462"/>
      <c r="EV98" s="462"/>
      <c r="EW98" s="463"/>
      <c r="EX98" s="361"/>
      <c r="EY98" s="361"/>
      <c r="EZ98" s="462"/>
      <c r="FA98" s="462"/>
      <c r="FB98" s="463"/>
      <c r="FC98" s="42"/>
      <c r="FD98" s="42"/>
      <c r="FE98" s="42"/>
      <c r="FG98" s="43"/>
      <c r="FH98" s="461"/>
      <c r="FI98" s="461"/>
      <c r="FJ98" s="461"/>
      <c r="FK98" s="461"/>
      <c r="FL98" s="461"/>
      <c r="FM98" s="462"/>
      <c r="FN98" s="462"/>
      <c r="FO98" s="463"/>
      <c r="FP98" s="361"/>
      <c r="FQ98" s="361"/>
      <c r="FR98" s="462"/>
      <c r="FS98" s="462"/>
      <c r="FT98" s="463"/>
      <c r="FU98" s="42"/>
      <c r="FV98" s="42"/>
      <c r="FW98" s="42"/>
      <c r="FY98" s="43"/>
      <c r="FZ98" s="461"/>
      <c r="GA98" s="461"/>
      <c r="GB98" s="461"/>
      <c r="GC98" s="461"/>
      <c r="GD98" s="461"/>
      <c r="GE98" s="462"/>
      <c r="GF98" s="462"/>
      <c r="GG98" s="463"/>
      <c r="GH98" s="361"/>
      <c r="GI98" s="361"/>
      <c r="GJ98" s="462"/>
      <c r="GK98" s="462"/>
      <c r="GL98" s="463"/>
      <c r="GM98" s="42"/>
      <c r="GN98" s="42"/>
      <c r="GO98" s="42"/>
      <c r="GQ98" s="43"/>
      <c r="GR98" s="461"/>
      <c r="GS98" s="461"/>
      <c r="GT98" s="461"/>
      <c r="GU98" s="461"/>
      <c r="GV98" s="461"/>
      <c r="GW98" s="462"/>
      <c r="GX98" s="462"/>
      <c r="GY98" s="463"/>
      <c r="GZ98" s="361"/>
      <c r="HA98" s="361"/>
      <c r="HB98" s="462"/>
      <c r="HC98" s="462"/>
      <c r="HD98" s="463"/>
      <c r="HE98" s="42"/>
      <c r="HF98" s="42"/>
      <c r="HG98" s="42"/>
      <c r="HI98" s="43"/>
      <c r="HJ98" s="461"/>
      <c r="HK98" s="461"/>
      <c r="HL98" s="461"/>
      <c r="HM98" s="461"/>
      <c r="HN98" s="461"/>
      <c r="HO98" s="462"/>
      <c r="HP98" s="462"/>
      <c r="HQ98" s="463"/>
      <c r="HR98" s="361"/>
      <c r="HS98" s="361"/>
      <c r="HT98" s="462"/>
      <c r="HU98" s="462"/>
      <c r="HV98" s="463"/>
      <c r="HW98" s="42"/>
      <c r="HX98" s="42"/>
      <c r="HY98" s="42"/>
    </row>
    <row r="99" spans="2:233" s="37" customFormat="1" x14ac:dyDescent="0.3">
      <c r="B99" s="43"/>
      <c r="C99" s="461"/>
      <c r="D99" s="461"/>
      <c r="E99" s="461"/>
      <c r="F99" s="461"/>
      <c r="G99" s="461"/>
      <c r="H99" s="462"/>
      <c r="I99" s="462"/>
      <c r="J99" s="463"/>
      <c r="K99" s="361"/>
      <c r="L99" s="361"/>
      <c r="M99" s="361"/>
      <c r="N99" s="361"/>
      <c r="O99" s="361"/>
      <c r="P99" s="462"/>
      <c r="Q99" s="462"/>
      <c r="R99" s="462"/>
      <c r="S99" s="462"/>
      <c r="T99" s="462"/>
      <c r="U99" s="463"/>
      <c r="V99" s="42"/>
      <c r="W99" s="42"/>
      <c r="X99" s="467"/>
      <c r="Z99" s="43"/>
      <c r="AA99" s="461"/>
      <c r="AB99" s="461"/>
      <c r="AC99" s="461"/>
      <c r="AD99" s="461"/>
      <c r="AE99" s="461"/>
      <c r="AF99" s="462"/>
      <c r="AG99" s="462"/>
      <c r="AH99" s="463"/>
      <c r="AI99" s="361"/>
      <c r="AJ99" s="361"/>
      <c r="AK99" s="361"/>
      <c r="AL99" s="361"/>
      <c r="AM99" s="462"/>
      <c r="AN99" s="462"/>
      <c r="AO99" s="462"/>
      <c r="AP99" s="462"/>
      <c r="AQ99" s="462"/>
      <c r="AR99" s="463"/>
      <c r="AS99" s="42"/>
      <c r="AT99" s="42"/>
      <c r="AU99" s="467"/>
      <c r="AX99" s="43"/>
      <c r="AY99" s="461"/>
      <c r="AZ99" s="461"/>
      <c r="BA99" s="461"/>
      <c r="BB99" s="461"/>
      <c r="BC99" s="461"/>
      <c r="BD99" s="462"/>
      <c r="BE99" s="462"/>
      <c r="BF99" s="463"/>
      <c r="BG99" s="361"/>
      <c r="BH99" s="361"/>
      <c r="BI99" s="361"/>
      <c r="BJ99" s="361"/>
      <c r="BK99" s="462"/>
      <c r="BL99" s="462"/>
      <c r="BM99" s="462"/>
      <c r="BN99" s="462"/>
      <c r="BO99" s="462"/>
      <c r="BP99" s="463"/>
      <c r="BQ99" s="42"/>
      <c r="BR99" s="42"/>
      <c r="BS99" s="42"/>
      <c r="BU99" s="43"/>
      <c r="BV99" s="461"/>
      <c r="BW99" s="461"/>
      <c r="BX99" s="461"/>
      <c r="BY99" s="461"/>
      <c r="BZ99" s="461"/>
      <c r="CA99" s="462"/>
      <c r="CB99" s="462"/>
      <c r="CC99" s="463"/>
      <c r="CD99" s="361"/>
      <c r="CE99" s="361"/>
      <c r="CF99" s="462"/>
      <c r="CG99" s="462"/>
      <c r="CH99" s="463"/>
      <c r="CI99" s="42"/>
      <c r="CJ99" s="42"/>
      <c r="CK99" s="42"/>
      <c r="CM99" s="43"/>
      <c r="CN99" s="461"/>
      <c r="CO99" s="461"/>
      <c r="CP99" s="461"/>
      <c r="CQ99" s="461"/>
      <c r="CR99" s="461"/>
      <c r="CS99" s="462"/>
      <c r="CT99" s="462"/>
      <c r="CU99" s="463"/>
      <c r="CV99" s="361"/>
      <c r="CW99" s="361"/>
      <c r="CX99" s="462"/>
      <c r="CY99" s="462"/>
      <c r="CZ99" s="463"/>
      <c r="DA99" s="42"/>
      <c r="DB99" s="42"/>
      <c r="DC99" s="42"/>
      <c r="DE99" s="43"/>
      <c r="DF99" s="461"/>
      <c r="DG99" s="461"/>
      <c r="DH99" s="461"/>
      <c r="DI99" s="461"/>
      <c r="DJ99" s="461"/>
      <c r="DK99" s="462"/>
      <c r="DL99" s="462"/>
      <c r="DM99" s="463"/>
      <c r="DN99" s="361"/>
      <c r="DO99" s="361"/>
      <c r="DP99" s="462"/>
      <c r="DQ99" s="462"/>
      <c r="DR99" s="463"/>
      <c r="DS99" s="42"/>
      <c r="DT99" s="42"/>
      <c r="DU99" s="42"/>
      <c r="DW99" s="43"/>
      <c r="DX99" s="461"/>
      <c r="DY99" s="461"/>
      <c r="DZ99" s="461"/>
      <c r="EA99" s="461"/>
      <c r="EB99" s="461"/>
      <c r="EC99" s="462"/>
      <c r="ED99" s="462"/>
      <c r="EE99" s="463"/>
      <c r="EF99" s="361"/>
      <c r="EG99" s="361"/>
      <c r="EH99" s="462"/>
      <c r="EI99" s="462"/>
      <c r="EJ99" s="463"/>
      <c r="EK99" s="42"/>
      <c r="EL99" s="42"/>
      <c r="EM99" s="42"/>
      <c r="EO99" s="43"/>
      <c r="EP99" s="461"/>
      <c r="EQ99" s="461"/>
      <c r="ER99" s="461"/>
      <c r="ES99" s="461"/>
      <c r="ET99" s="461"/>
      <c r="EU99" s="462"/>
      <c r="EV99" s="462"/>
      <c r="EW99" s="463"/>
      <c r="EX99" s="361"/>
      <c r="EY99" s="361"/>
      <c r="EZ99" s="462"/>
      <c r="FA99" s="462"/>
      <c r="FB99" s="463"/>
      <c r="FC99" s="42"/>
      <c r="FD99" s="42"/>
      <c r="FE99" s="42"/>
      <c r="FG99" s="43"/>
      <c r="FH99" s="461"/>
      <c r="FI99" s="461"/>
      <c r="FJ99" s="461"/>
      <c r="FK99" s="461"/>
      <c r="FL99" s="461"/>
      <c r="FM99" s="462"/>
      <c r="FN99" s="462"/>
      <c r="FO99" s="463"/>
      <c r="FP99" s="361"/>
      <c r="FQ99" s="361"/>
      <c r="FR99" s="462"/>
      <c r="FS99" s="462"/>
      <c r="FT99" s="463"/>
      <c r="FU99" s="42"/>
      <c r="FV99" s="42"/>
      <c r="FW99" s="42"/>
      <c r="FY99" s="43"/>
      <c r="FZ99" s="461"/>
      <c r="GA99" s="461"/>
      <c r="GB99" s="461"/>
      <c r="GC99" s="461"/>
      <c r="GD99" s="461"/>
      <c r="GE99" s="462"/>
      <c r="GF99" s="462"/>
      <c r="GG99" s="463"/>
      <c r="GH99" s="361"/>
      <c r="GI99" s="361"/>
      <c r="GJ99" s="462"/>
      <c r="GK99" s="462"/>
      <c r="GL99" s="463"/>
      <c r="GM99" s="42"/>
      <c r="GN99" s="42"/>
      <c r="GO99" s="42"/>
      <c r="GQ99" s="43"/>
      <c r="GR99" s="461"/>
      <c r="GS99" s="461"/>
      <c r="GT99" s="461"/>
      <c r="GU99" s="461"/>
      <c r="GV99" s="461"/>
      <c r="GW99" s="462"/>
      <c r="GX99" s="462"/>
      <c r="GY99" s="463"/>
      <c r="GZ99" s="361"/>
      <c r="HA99" s="361"/>
      <c r="HB99" s="462"/>
      <c r="HC99" s="462"/>
      <c r="HD99" s="463"/>
      <c r="HE99" s="42"/>
      <c r="HF99" s="42"/>
      <c r="HG99" s="42"/>
      <c r="HI99" s="43"/>
      <c r="HJ99" s="461"/>
      <c r="HK99" s="461"/>
      <c r="HL99" s="461"/>
      <c r="HM99" s="461"/>
      <c r="HN99" s="461"/>
      <c r="HO99" s="462"/>
      <c r="HP99" s="462"/>
      <c r="HQ99" s="463"/>
      <c r="HR99" s="361"/>
      <c r="HS99" s="361"/>
      <c r="HT99" s="462"/>
      <c r="HU99" s="462"/>
      <c r="HV99" s="463"/>
      <c r="HW99" s="42"/>
      <c r="HX99" s="42"/>
      <c r="HY99" s="42"/>
    </row>
    <row r="100" spans="2:233" s="37" customFormat="1" x14ac:dyDescent="0.3">
      <c r="B100" s="43"/>
      <c r="C100" s="461"/>
      <c r="D100" s="461"/>
      <c r="E100" s="461"/>
      <c r="F100" s="461"/>
      <c r="G100" s="461"/>
      <c r="H100" s="462"/>
      <c r="I100" s="462"/>
      <c r="J100" s="463"/>
      <c r="K100" s="361"/>
      <c r="L100" s="361"/>
      <c r="M100" s="361"/>
      <c r="N100" s="361"/>
      <c r="O100" s="361"/>
      <c r="P100" s="462"/>
      <c r="Q100" s="462"/>
      <c r="R100" s="462"/>
      <c r="S100" s="462"/>
      <c r="T100" s="462"/>
      <c r="U100" s="463"/>
      <c r="V100" s="42"/>
      <c r="W100" s="42"/>
      <c r="X100" s="467"/>
      <c r="Z100" s="43"/>
      <c r="AA100" s="461"/>
      <c r="AB100" s="461"/>
      <c r="AC100" s="461"/>
      <c r="AD100" s="461"/>
      <c r="AE100" s="461"/>
      <c r="AF100" s="462"/>
      <c r="AG100" s="462"/>
      <c r="AH100" s="463"/>
      <c r="AI100" s="361"/>
      <c r="AJ100" s="361"/>
      <c r="AK100" s="361"/>
      <c r="AL100" s="361"/>
      <c r="AM100" s="462"/>
      <c r="AN100" s="462"/>
      <c r="AO100" s="462"/>
      <c r="AP100" s="462"/>
      <c r="AQ100" s="462"/>
      <c r="AR100" s="463"/>
      <c r="AS100" s="42"/>
      <c r="AT100" s="42"/>
      <c r="AU100" s="467"/>
      <c r="AX100" s="43"/>
      <c r="AY100" s="461"/>
      <c r="AZ100" s="461"/>
      <c r="BA100" s="461"/>
      <c r="BB100" s="461"/>
      <c r="BC100" s="461"/>
      <c r="BD100" s="462"/>
      <c r="BE100" s="462"/>
      <c r="BF100" s="463"/>
      <c r="BG100" s="361"/>
      <c r="BH100" s="361"/>
      <c r="BI100" s="361"/>
      <c r="BJ100" s="361"/>
      <c r="BK100" s="462"/>
      <c r="BL100" s="462"/>
      <c r="BM100" s="462"/>
      <c r="BN100" s="462"/>
      <c r="BO100" s="462"/>
      <c r="BP100" s="463"/>
      <c r="BQ100" s="42"/>
      <c r="BR100" s="42"/>
      <c r="BS100" s="42"/>
      <c r="BU100" s="43"/>
      <c r="BV100" s="461"/>
      <c r="BW100" s="461"/>
      <c r="BX100" s="461"/>
      <c r="BY100" s="461"/>
      <c r="BZ100" s="461"/>
      <c r="CA100" s="462"/>
      <c r="CB100" s="462"/>
      <c r="CC100" s="463"/>
      <c r="CD100" s="361"/>
      <c r="CE100" s="361"/>
      <c r="CF100" s="462"/>
      <c r="CG100" s="462"/>
      <c r="CH100" s="463"/>
      <c r="CI100" s="42"/>
      <c r="CJ100" s="42"/>
      <c r="CK100" s="42"/>
      <c r="CM100" s="43"/>
      <c r="CN100" s="461"/>
      <c r="CO100" s="461"/>
      <c r="CP100" s="461"/>
      <c r="CQ100" s="461"/>
      <c r="CR100" s="461"/>
      <c r="CS100" s="462"/>
      <c r="CT100" s="462"/>
      <c r="CU100" s="463"/>
      <c r="CV100" s="361"/>
      <c r="CW100" s="361"/>
      <c r="CX100" s="462"/>
      <c r="CY100" s="462"/>
      <c r="CZ100" s="463"/>
      <c r="DA100" s="42"/>
      <c r="DB100" s="42"/>
      <c r="DC100" s="42"/>
      <c r="DE100" s="43"/>
      <c r="DF100" s="461"/>
      <c r="DG100" s="461"/>
      <c r="DH100" s="461"/>
      <c r="DI100" s="461"/>
      <c r="DJ100" s="461"/>
      <c r="DK100" s="462"/>
      <c r="DL100" s="462"/>
      <c r="DM100" s="463"/>
      <c r="DN100" s="361"/>
      <c r="DO100" s="361"/>
      <c r="DP100" s="462"/>
      <c r="DQ100" s="462"/>
      <c r="DR100" s="463"/>
      <c r="DS100" s="42"/>
      <c r="DT100" s="42"/>
      <c r="DU100" s="42"/>
      <c r="DW100" s="43"/>
      <c r="DX100" s="461"/>
      <c r="DY100" s="461"/>
      <c r="DZ100" s="461"/>
      <c r="EA100" s="461"/>
      <c r="EB100" s="461"/>
      <c r="EC100" s="462"/>
      <c r="ED100" s="462"/>
      <c r="EE100" s="463"/>
      <c r="EF100" s="361"/>
      <c r="EG100" s="361"/>
      <c r="EH100" s="462"/>
      <c r="EI100" s="462"/>
      <c r="EJ100" s="463"/>
      <c r="EK100" s="42"/>
      <c r="EL100" s="42"/>
      <c r="EM100" s="42"/>
      <c r="EO100" s="43"/>
      <c r="EP100" s="461"/>
      <c r="EQ100" s="461"/>
      <c r="ER100" s="461"/>
      <c r="ES100" s="461"/>
      <c r="ET100" s="461"/>
      <c r="EU100" s="462"/>
      <c r="EV100" s="462"/>
      <c r="EW100" s="463"/>
      <c r="EX100" s="361"/>
      <c r="EY100" s="361"/>
      <c r="EZ100" s="462"/>
      <c r="FA100" s="462"/>
      <c r="FB100" s="463"/>
      <c r="FC100" s="42"/>
      <c r="FD100" s="42"/>
      <c r="FE100" s="42"/>
      <c r="FG100" s="43"/>
      <c r="FH100" s="461"/>
      <c r="FI100" s="461"/>
      <c r="FJ100" s="461"/>
      <c r="FK100" s="461"/>
      <c r="FL100" s="461"/>
      <c r="FM100" s="462"/>
      <c r="FN100" s="462"/>
      <c r="FO100" s="463"/>
      <c r="FP100" s="361"/>
      <c r="FQ100" s="361"/>
      <c r="FR100" s="462"/>
      <c r="FS100" s="462"/>
      <c r="FT100" s="463"/>
      <c r="FU100" s="42"/>
      <c r="FV100" s="42"/>
      <c r="FW100" s="42"/>
      <c r="FY100" s="43"/>
      <c r="FZ100" s="461"/>
      <c r="GA100" s="461"/>
      <c r="GB100" s="461"/>
      <c r="GC100" s="461"/>
      <c r="GD100" s="461"/>
      <c r="GE100" s="462"/>
      <c r="GF100" s="462"/>
      <c r="GG100" s="463"/>
      <c r="GH100" s="361"/>
      <c r="GI100" s="361"/>
      <c r="GJ100" s="462"/>
      <c r="GK100" s="462"/>
      <c r="GL100" s="463"/>
      <c r="GM100" s="42"/>
      <c r="GN100" s="42"/>
      <c r="GO100" s="42"/>
      <c r="GQ100" s="43"/>
      <c r="GR100" s="461"/>
      <c r="GS100" s="461"/>
      <c r="GT100" s="461"/>
      <c r="GU100" s="461"/>
      <c r="GV100" s="461"/>
      <c r="GW100" s="462"/>
      <c r="GX100" s="462"/>
      <c r="GY100" s="463"/>
      <c r="GZ100" s="361"/>
      <c r="HA100" s="361"/>
      <c r="HB100" s="462"/>
      <c r="HC100" s="462"/>
      <c r="HD100" s="463"/>
      <c r="HE100" s="42"/>
      <c r="HF100" s="42"/>
      <c r="HG100" s="42"/>
      <c r="HI100" s="43"/>
      <c r="HJ100" s="461"/>
      <c r="HK100" s="461"/>
      <c r="HL100" s="461"/>
      <c r="HM100" s="461"/>
      <c r="HN100" s="461"/>
      <c r="HO100" s="462"/>
      <c r="HP100" s="462"/>
      <c r="HQ100" s="463"/>
      <c r="HR100" s="361"/>
      <c r="HS100" s="361"/>
      <c r="HT100" s="462"/>
      <c r="HU100" s="462"/>
      <c r="HV100" s="463"/>
      <c r="HW100" s="42"/>
      <c r="HX100" s="42"/>
      <c r="HY100" s="42"/>
    </row>
    <row r="101" spans="2:233" s="37" customFormat="1" x14ac:dyDescent="0.3"/>
    <row r="102" spans="2:233" s="37" customFormat="1" x14ac:dyDescent="0.3">
      <c r="X102" s="466"/>
      <c r="AU102" s="466"/>
      <c r="BS102" s="466"/>
      <c r="CK102" s="466"/>
      <c r="DC102" s="466"/>
      <c r="DU102" s="466"/>
      <c r="EM102" s="466"/>
      <c r="FE102" s="466"/>
      <c r="FW102" s="466"/>
      <c r="GO102" s="466"/>
      <c r="HG102" s="466"/>
      <c r="HY102" s="466"/>
    </row>
    <row r="103" spans="2:233" s="37" customFormat="1" x14ac:dyDescent="0.3">
      <c r="P103" s="465"/>
      <c r="Q103" s="465"/>
      <c r="R103" s="465"/>
      <c r="AM103" s="465"/>
      <c r="AN103" s="465"/>
      <c r="AO103" s="465"/>
      <c r="BK103" s="465"/>
      <c r="BL103" s="465"/>
      <c r="BM103" s="465"/>
      <c r="BR103" s="42"/>
      <c r="CF103" s="465"/>
      <c r="CJ103" s="42"/>
      <c r="CX103" s="465"/>
      <c r="DP103" s="465"/>
      <c r="DT103" s="42"/>
      <c r="EH103" s="465"/>
      <c r="EL103" s="42"/>
      <c r="EZ103" s="465"/>
      <c r="FR103" s="465"/>
      <c r="FV103" s="42"/>
      <c r="GJ103" s="465"/>
      <c r="GN103" s="42"/>
      <c r="HB103" s="465"/>
      <c r="HF103" s="42"/>
      <c r="HT103" s="465"/>
      <c r="HX103" s="42"/>
    </row>
    <row r="104" spans="2:233" s="37" customFormat="1" x14ac:dyDescent="0.3">
      <c r="X104" s="465"/>
      <c r="AU104" s="465" t="e">
        <f>#REF!*AU102</f>
        <v>#REF!</v>
      </c>
      <c r="BR104" s="42"/>
      <c r="BS104" s="465"/>
      <c r="CJ104" s="42"/>
      <c r="CK104" s="465" t="e">
        <f>#REF!*CK102</f>
        <v>#REF!</v>
      </c>
      <c r="DC104" s="465"/>
      <c r="DT104" s="42"/>
      <c r="DU104" s="465"/>
      <c r="EL104" s="42"/>
      <c r="EM104" s="465"/>
      <c r="FE104" s="465"/>
      <c r="FV104" s="42"/>
      <c r="FW104" s="465"/>
      <c r="GN104" s="42"/>
      <c r="GO104" s="465" t="e">
        <f>#REF!*GO102</f>
        <v>#REF!</v>
      </c>
      <c r="HG104" s="465" t="e">
        <f>#REF!*HG102</f>
        <v>#REF!</v>
      </c>
      <c r="HX104" s="42"/>
      <c r="HY104" s="465" t="e">
        <f>#REF!*HY102</f>
        <v>#REF!</v>
      </c>
    </row>
    <row r="105" spans="2:233" s="37" customFormat="1" x14ac:dyDescent="0.3">
      <c r="BR105" s="42"/>
      <c r="CJ105" s="42"/>
      <c r="DT105" s="42"/>
      <c r="EL105" s="42"/>
      <c r="FV105" s="42"/>
      <c r="GN105" s="42"/>
      <c r="HX105" s="42"/>
    </row>
    <row r="106" spans="2:233" s="37" customFormat="1" x14ac:dyDescent="0.3">
      <c r="BR106" s="42"/>
      <c r="CJ106" s="42"/>
      <c r="DT106" s="42"/>
      <c r="EL106" s="42"/>
      <c r="FV106" s="42"/>
      <c r="GN106" s="42"/>
      <c r="HX106" s="42"/>
    </row>
    <row r="107" spans="2:233" s="37" customFormat="1" x14ac:dyDescent="0.3">
      <c r="BR107" s="42"/>
      <c r="CJ107" s="42"/>
      <c r="DT107" s="42"/>
      <c r="DV107" s="41"/>
      <c r="EL107" s="42"/>
      <c r="EN107" s="41"/>
      <c r="FF107" s="41"/>
      <c r="FV107" s="42"/>
      <c r="FX107" s="41"/>
      <c r="GN107" s="42"/>
      <c r="GP107" s="41"/>
      <c r="HH107" s="41"/>
      <c r="HX107" s="42"/>
    </row>
    <row r="108" spans="2:233" s="37" customFormat="1" x14ac:dyDescent="0.3">
      <c r="BR108" s="42"/>
      <c r="CJ108" s="42"/>
      <c r="DT108" s="42"/>
      <c r="DV108" s="41"/>
      <c r="EL108" s="42"/>
      <c r="EN108" s="41"/>
      <c r="FF108" s="41"/>
      <c r="FV108" s="42"/>
      <c r="FX108" s="41"/>
      <c r="GN108" s="42"/>
      <c r="GP108" s="41"/>
      <c r="HH108" s="41"/>
      <c r="HX108" s="42"/>
    </row>
    <row r="109" spans="2:233" s="37" customFormat="1" x14ac:dyDescent="0.3">
      <c r="BR109" s="42"/>
      <c r="CJ109" s="42"/>
      <c r="DT109" s="42"/>
      <c r="DV109" s="41"/>
      <c r="EL109" s="42"/>
      <c r="EN109" s="41"/>
      <c r="FF109" s="41"/>
      <c r="FV109" s="42"/>
      <c r="FX109" s="41"/>
      <c r="GN109" s="42"/>
      <c r="GP109" s="41"/>
      <c r="HH109" s="41"/>
      <c r="HX109" s="42"/>
    </row>
    <row r="110" spans="2:233" s="37" customFormat="1" x14ac:dyDescent="0.3">
      <c r="BR110" s="42"/>
      <c r="CJ110" s="42"/>
      <c r="DT110" s="42"/>
      <c r="DV110" s="41"/>
      <c r="EL110" s="42"/>
      <c r="EN110" s="41"/>
      <c r="FF110" s="41"/>
      <c r="FV110" s="42"/>
      <c r="FX110" s="41"/>
      <c r="GN110" s="42"/>
      <c r="GP110" s="41"/>
      <c r="HH110" s="41"/>
      <c r="HX110" s="42"/>
    </row>
    <row r="111" spans="2:233" s="37" customFormat="1" x14ac:dyDescent="0.3">
      <c r="BR111" s="42"/>
      <c r="CJ111" s="42"/>
      <c r="DT111" s="42"/>
      <c r="DV111" s="41"/>
      <c r="EL111" s="42"/>
      <c r="EN111" s="41"/>
      <c r="FF111" s="41"/>
      <c r="FV111" s="42"/>
      <c r="FX111" s="41"/>
      <c r="GN111" s="42"/>
      <c r="GP111" s="41"/>
      <c r="HH111" s="41"/>
      <c r="HX111" s="42"/>
    </row>
    <row r="112" spans="2:233" s="37" customFormat="1" x14ac:dyDescent="0.3">
      <c r="BR112" s="42"/>
      <c r="CJ112" s="42"/>
      <c r="DT112" s="42"/>
      <c r="DV112" s="41"/>
      <c r="EL112" s="42"/>
      <c r="EN112" s="41"/>
      <c r="FF112" s="41"/>
      <c r="FV112" s="42"/>
      <c r="FX112" s="41"/>
      <c r="GN112" s="42"/>
      <c r="GP112" s="41"/>
      <c r="HH112" s="41"/>
      <c r="HX112" s="42"/>
    </row>
    <row r="113" spans="126:216" s="37" customFormat="1" x14ac:dyDescent="0.3">
      <c r="DV113" s="41"/>
      <c r="EN113" s="41"/>
      <c r="FF113" s="41"/>
      <c r="FX113" s="41"/>
      <c r="GP113" s="41"/>
      <c r="HH113" s="41"/>
    </row>
    <row r="114" spans="126:216" s="37" customFormat="1" x14ac:dyDescent="0.3">
      <c r="DV114" s="41"/>
      <c r="EN114" s="41"/>
      <c r="FF114" s="41"/>
      <c r="FX114" s="41"/>
      <c r="GP114" s="41"/>
      <c r="HH114" s="41"/>
    </row>
    <row r="115" spans="126:216" s="37" customFormat="1" x14ac:dyDescent="0.3">
      <c r="DV115" s="41"/>
      <c r="EN115" s="41"/>
      <c r="FF115" s="41"/>
      <c r="FX115" s="41"/>
      <c r="GP115" s="41"/>
      <c r="HH115" s="41"/>
    </row>
    <row r="116" spans="126:216" s="37" customFormat="1" x14ac:dyDescent="0.3">
      <c r="DV116" s="41"/>
      <c r="EN116" s="41"/>
      <c r="FF116" s="41"/>
      <c r="FX116" s="41"/>
      <c r="GP116" s="41"/>
      <c r="HH116" s="41"/>
    </row>
    <row r="117" spans="126:216" s="37" customFormat="1" x14ac:dyDescent="0.3">
      <c r="DV117" s="41"/>
      <c r="EN117" s="41"/>
      <c r="FF117" s="41"/>
      <c r="FX117" s="41"/>
      <c r="GP117" s="41"/>
      <c r="HH117" s="41"/>
    </row>
    <row r="118" spans="126:216" s="37" customFormat="1" x14ac:dyDescent="0.3">
      <c r="DV118" s="41"/>
      <c r="EN118" s="41"/>
      <c r="FF118" s="41"/>
      <c r="FX118" s="41"/>
      <c r="GP118" s="41"/>
      <c r="HH118" s="41"/>
    </row>
    <row r="119" spans="126:216" s="37" customFormat="1" x14ac:dyDescent="0.3">
      <c r="DV119" s="41"/>
      <c r="EN119" s="41"/>
      <c r="FF119" s="41"/>
      <c r="FX119" s="41"/>
      <c r="GP119" s="41"/>
      <c r="HH119" s="41"/>
    </row>
    <row r="120" spans="126:216" s="37" customFormat="1" x14ac:dyDescent="0.3">
      <c r="DV120" s="41"/>
      <c r="EN120" s="41"/>
      <c r="FF120" s="41"/>
      <c r="FX120" s="41"/>
      <c r="GP120" s="41"/>
      <c r="HH120" s="41"/>
    </row>
    <row r="121" spans="126:216" s="37" customFormat="1" x14ac:dyDescent="0.3">
      <c r="DV121" s="41"/>
      <c r="EN121" s="41"/>
      <c r="FF121" s="41"/>
      <c r="FX121" s="41"/>
      <c r="GP121" s="41"/>
      <c r="HH121" s="41"/>
    </row>
    <row r="122" spans="126:216" s="37" customFormat="1" x14ac:dyDescent="0.3">
      <c r="DV122" s="41"/>
      <c r="EN122" s="41"/>
      <c r="FF122" s="41"/>
      <c r="FX122" s="41"/>
      <c r="GP122" s="41"/>
      <c r="HH122" s="41"/>
    </row>
    <row r="123" spans="126:216" s="37" customFormat="1" x14ac:dyDescent="0.3">
      <c r="DV123" s="41"/>
      <c r="EN123" s="41"/>
      <c r="FF123" s="41"/>
      <c r="FX123" s="41"/>
      <c r="GP123" s="41"/>
      <c r="HH123" s="41"/>
    </row>
    <row r="124" spans="126:216" s="37" customFormat="1" x14ac:dyDescent="0.3">
      <c r="DV124" s="41"/>
      <c r="EN124" s="41"/>
      <c r="FF124" s="41"/>
      <c r="FX124" s="41"/>
      <c r="GP124" s="41"/>
      <c r="HH124" s="41"/>
    </row>
    <row r="125" spans="126:216" s="37" customFormat="1" x14ac:dyDescent="0.3">
      <c r="DV125" s="41"/>
      <c r="EN125" s="41"/>
      <c r="FF125" s="41"/>
      <c r="FX125" s="41"/>
      <c r="GP125" s="41"/>
      <c r="HH125" s="41"/>
    </row>
    <row r="126" spans="126:216" s="37" customFormat="1" x14ac:dyDescent="0.3">
      <c r="DV126" s="41"/>
      <c r="EN126" s="41"/>
      <c r="FF126" s="41"/>
      <c r="FX126" s="41"/>
      <c r="GP126" s="41"/>
      <c r="HH126" s="41"/>
    </row>
    <row r="127" spans="126:216" s="37" customFormat="1" x14ac:dyDescent="0.3">
      <c r="DV127" s="41"/>
      <c r="EN127" s="41"/>
      <c r="FF127" s="41"/>
      <c r="FX127" s="41"/>
      <c r="GP127" s="41"/>
      <c r="HH127" s="41"/>
    </row>
    <row r="128" spans="126:216" s="37" customFormat="1" x14ac:dyDescent="0.3">
      <c r="DV128" s="41"/>
      <c r="EN128" s="41"/>
      <c r="FF128" s="41"/>
      <c r="FX128" s="41"/>
      <c r="GP128" s="41"/>
      <c r="HH128" s="41"/>
    </row>
    <row r="129" spans="126:216" s="37" customFormat="1" x14ac:dyDescent="0.3">
      <c r="DV129" s="41"/>
      <c r="EN129" s="41"/>
      <c r="FF129" s="41"/>
      <c r="FX129" s="41"/>
      <c r="GP129" s="41"/>
      <c r="HH129" s="41"/>
    </row>
    <row r="130" spans="126:216" s="37" customFormat="1" x14ac:dyDescent="0.3">
      <c r="DV130" s="41"/>
      <c r="EN130" s="41"/>
      <c r="FF130" s="41"/>
      <c r="FX130" s="41"/>
      <c r="GP130" s="41"/>
      <c r="HH130" s="41"/>
    </row>
    <row r="131" spans="126:216" s="37" customFormat="1" x14ac:dyDescent="0.3">
      <c r="DV131" s="41"/>
      <c r="EN131" s="41"/>
      <c r="FF131" s="41"/>
      <c r="FX131" s="41"/>
      <c r="GP131" s="41"/>
      <c r="HH131" s="41"/>
    </row>
    <row r="132" spans="126:216" s="37" customFormat="1" x14ac:dyDescent="0.3">
      <c r="DV132" s="41"/>
      <c r="EN132" s="41"/>
      <c r="FF132" s="41"/>
      <c r="FX132" s="41"/>
      <c r="GP132" s="41"/>
      <c r="HH132" s="41"/>
    </row>
    <row r="133" spans="126:216" s="37" customFormat="1" x14ac:dyDescent="0.3">
      <c r="DV133" s="41"/>
      <c r="EN133" s="41"/>
      <c r="FF133" s="41"/>
      <c r="FX133" s="41"/>
      <c r="GP133" s="41"/>
      <c r="HH133" s="41"/>
    </row>
    <row r="134" spans="126:216" s="37" customFormat="1" x14ac:dyDescent="0.3">
      <c r="DV134" s="41"/>
      <c r="EN134" s="41"/>
      <c r="FF134" s="41"/>
      <c r="FX134" s="41"/>
      <c r="GP134" s="41"/>
      <c r="HH134" s="41"/>
    </row>
    <row r="135" spans="126:216" s="37" customFormat="1" x14ac:dyDescent="0.3">
      <c r="DV135" s="41"/>
      <c r="EN135" s="41"/>
      <c r="FF135" s="41"/>
      <c r="FX135" s="41"/>
      <c r="GP135" s="41"/>
      <c r="HH135" s="41"/>
    </row>
    <row r="136" spans="126:216" s="37" customFormat="1" x14ac:dyDescent="0.3">
      <c r="DV136" s="41"/>
      <c r="EN136" s="41"/>
      <c r="FF136" s="41"/>
      <c r="FX136" s="41"/>
      <c r="GP136" s="41"/>
      <c r="HH136" s="41"/>
    </row>
    <row r="137" spans="126:216" s="37" customFormat="1" x14ac:dyDescent="0.3">
      <c r="DV137" s="41"/>
      <c r="EN137" s="41"/>
      <c r="FF137" s="41"/>
      <c r="FX137" s="41"/>
      <c r="GP137" s="41"/>
      <c r="HH137" s="41"/>
    </row>
    <row r="138" spans="126:216" s="37" customFormat="1" x14ac:dyDescent="0.3">
      <c r="DV138" s="41"/>
      <c r="EN138" s="41"/>
      <c r="FF138" s="41"/>
      <c r="FX138" s="41"/>
      <c r="GP138" s="41"/>
      <c r="HH138" s="41"/>
    </row>
    <row r="139" spans="126:216" s="37" customFormat="1" x14ac:dyDescent="0.3">
      <c r="DV139" s="41"/>
      <c r="EN139" s="41"/>
      <c r="FF139" s="41"/>
      <c r="FX139" s="41"/>
      <c r="GP139" s="41"/>
      <c r="HH139" s="41"/>
    </row>
    <row r="140" spans="126:216" s="37" customFormat="1" x14ac:dyDescent="0.3">
      <c r="DV140" s="41"/>
      <c r="EN140" s="41"/>
      <c r="FF140" s="41"/>
      <c r="FX140" s="41"/>
      <c r="GP140" s="41"/>
      <c r="HH140" s="41"/>
    </row>
    <row r="141" spans="126:216" s="37" customFormat="1" x14ac:dyDescent="0.3">
      <c r="DV141" s="41"/>
      <c r="EN141" s="41"/>
      <c r="FF141" s="41"/>
      <c r="FX141" s="41"/>
      <c r="GP141" s="41"/>
      <c r="HH141" s="41"/>
    </row>
    <row r="142" spans="126:216" s="37" customFormat="1" x14ac:dyDescent="0.3">
      <c r="DV142" s="41"/>
      <c r="EN142" s="41"/>
      <c r="FF142" s="41"/>
      <c r="FX142" s="41"/>
      <c r="GP142" s="41"/>
      <c r="HH142" s="41"/>
    </row>
    <row r="143" spans="126:216" s="37" customFormat="1" x14ac:dyDescent="0.3">
      <c r="DV143" s="41"/>
      <c r="EN143" s="41"/>
      <c r="FF143" s="41"/>
      <c r="FX143" s="41"/>
      <c r="GP143" s="41"/>
      <c r="HH143" s="41"/>
    </row>
    <row r="144" spans="126:216" s="37" customFormat="1" x14ac:dyDescent="0.3">
      <c r="DV144" s="41"/>
      <c r="EN144" s="41"/>
      <c r="FF144" s="41"/>
      <c r="FX144" s="41"/>
      <c r="GP144" s="41"/>
      <c r="HH144" s="41"/>
    </row>
    <row r="145" spans="126:216" s="37" customFormat="1" x14ac:dyDescent="0.3">
      <c r="DV145" s="41"/>
      <c r="EN145" s="41"/>
      <c r="FF145" s="41"/>
      <c r="FX145" s="41"/>
      <c r="GP145" s="41"/>
      <c r="HH145" s="41"/>
    </row>
    <row r="146" spans="126:216" s="37" customFormat="1" x14ac:dyDescent="0.3">
      <c r="DV146" s="41"/>
      <c r="EN146" s="41"/>
      <c r="FF146" s="41"/>
      <c r="FX146" s="41"/>
      <c r="GP146" s="41"/>
      <c r="HH146" s="41"/>
    </row>
    <row r="147" spans="126:216" s="37" customFormat="1" x14ac:dyDescent="0.3">
      <c r="DV147" s="41"/>
      <c r="EN147" s="41"/>
      <c r="FF147" s="41"/>
      <c r="FX147" s="41"/>
      <c r="GP147" s="41"/>
      <c r="HH147" s="41"/>
    </row>
    <row r="148" spans="126:216" s="37" customFormat="1" x14ac:dyDescent="0.3">
      <c r="DV148" s="41"/>
      <c r="EN148" s="41"/>
      <c r="FF148" s="41"/>
      <c r="FX148" s="41"/>
      <c r="GP148" s="41"/>
      <c r="HH148" s="41"/>
    </row>
    <row r="149" spans="126:216" s="37" customFormat="1" x14ac:dyDescent="0.3">
      <c r="DV149" s="41"/>
      <c r="EN149" s="41"/>
      <c r="FF149" s="41"/>
      <c r="FX149" s="41"/>
      <c r="GP149" s="41"/>
      <c r="HH149" s="41"/>
    </row>
    <row r="150" spans="126:216" s="37" customFormat="1" x14ac:dyDescent="0.3">
      <c r="DV150" s="41"/>
      <c r="EN150" s="41"/>
      <c r="FF150" s="41"/>
      <c r="FX150" s="41"/>
      <c r="GP150" s="41"/>
      <c r="HH150" s="41"/>
    </row>
    <row r="151" spans="126:216" s="37" customFormat="1" x14ac:dyDescent="0.3">
      <c r="DV151" s="41"/>
      <c r="EN151" s="41"/>
      <c r="FF151" s="41"/>
      <c r="FX151" s="41"/>
      <c r="GP151" s="41"/>
      <c r="HH151" s="41"/>
    </row>
    <row r="152" spans="126:216" s="37" customFormat="1" x14ac:dyDescent="0.3">
      <c r="DV152" s="41"/>
      <c r="EN152" s="41"/>
      <c r="FF152" s="41"/>
      <c r="FX152" s="41"/>
      <c r="GP152" s="41"/>
      <c r="HH152" s="41"/>
    </row>
    <row r="153" spans="126:216" s="37" customFormat="1" x14ac:dyDescent="0.3">
      <c r="DV153" s="41"/>
      <c r="EN153" s="41"/>
      <c r="FF153" s="41"/>
      <c r="FX153" s="41"/>
      <c r="GP153" s="41"/>
      <c r="HH153" s="41"/>
    </row>
    <row r="154" spans="126:216" s="37" customFormat="1" x14ac:dyDescent="0.3">
      <c r="DV154" s="41"/>
      <c r="EN154" s="41"/>
      <c r="FF154" s="41"/>
      <c r="FX154" s="41"/>
      <c r="GP154" s="41"/>
      <c r="HH154" s="41"/>
    </row>
    <row r="155" spans="126:216" s="37" customFormat="1" x14ac:dyDescent="0.3">
      <c r="DV155" s="41"/>
      <c r="EN155" s="41"/>
      <c r="FF155" s="41"/>
      <c r="FX155" s="41"/>
      <c r="GP155" s="41"/>
      <c r="HH155" s="41"/>
    </row>
    <row r="156" spans="126:216" s="37" customFormat="1" x14ac:dyDescent="0.3">
      <c r="DV156" s="41"/>
      <c r="EN156" s="41"/>
      <c r="FF156" s="41"/>
      <c r="FX156" s="41"/>
      <c r="GP156" s="41"/>
      <c r="HH156" s="41"/>
    </row>
    <row r="157" spans="126:216" s="37" customFormat="1" x14ac:dyDescent="0.3">
      <c r="DV157" s="41"/>
      <c r="EN157" s="41"/>
      <c r="FF157" s="41"/>
      <c r="FX157" s="41"/>
      <c r="GP157" s="41"/>
      <c r="HH157" s="41"/>
    </row>
    <row r="158" spans="126:216" s="37" customFormat="1" x14ac:dyDescent="0.3">
      <c r="DV158" s="41"/>
      <c r="EN158" s="41"/>
      <c r="FF158" s="41"/>
      <c r="FX158" s="41"/>
      <c r="GP158" s="41"/>
      <c r="HH158" s="41"/>
    </row>
    <row r="159" spans="126:216" s="37" customFormat="1" x14ac:dyDescent="0.3">
      <c r="DV159" s="41"/>
      <c r="EN159" s="41"/>
      <c r="FF159" s="41"/>
      <c r="FX159" s="41"/>
      <c r="GP159" s="41"/>
      <c r="HH159" s="41"/>
    </row>
    <row r="160" spans="126:216" s="37" customFormat="1" x14ac:dyDescent="0.3">
      <c r="DV160" s="41"/>
      <c r="EN160" s="41"/>
      <c r="FF160" s="41"/>
      <c r="FX160" s="41"/>
      <c r="GP160" s="41"/>
      <c r="HH160" s="41"/>
    </row>
    <row r="161" spans="126:216" s="37" customFormat="1" x14ac:dyDescent="0.3">
      <c r="DV161" s="41"/>
      <c r="EN161" s="41"/>
      <c r="FF161" s="41"/>
      <c r="FX161" s="41"/>
      <c r="GP161" s="41"/>
      <c r="HH161" s="41"/>
    </row>
    <row r="162" spans="126:216" s="37" customFormat="1" x14ac:dyDescent="0.3">
      <c r="DV162" s="41"/>
      <c r="EN162" s="41"/>
      <c r="FF162" s="41"/>
      <c r="FX162" s="41"/>
      <c r="GP162" s="41"/>
      <c r="HH162" s="41"/>
    </row>
    <row r="163" spans="126:216" s="37" customFormat="1" x14ac:dyDescent="0.3">
      <c r="DV163" s="41"/>
      <c r="EN163" s="41"/>
      <c r="FF163" s="41"/>
      <c r="FX163" s="41"/>
      <c r="GP163" s="41"/>
      <c r="HH163" s="41"/>
    </row>
    <row r="164" spans="126:216" s="37" customFormat="1" x14ac:dyDescent="0.3">
      <c r="DV164" s="41"/>
      <c r="EN164" s="41"/>
      <c r="FF164" s="41"/>
      <c r="FX164" s="41"/>
      <c r="GP164" s="41"/>
      <c r="HH164" s="41"/>
    </row>
    <row r="165" spans="126:216" s="37" customFormat="1" x14ac:dyDescent="0.3">
      <c r="DV165" s="41"/>
      <c r="EN165" s="41"/>
      <c r="FF165" s="41"/>
      <c r="FX165" s="41"/>
      <c r="GP165" s="41"/>
      <c r="HH165" s="41"/>
    </row>
    <row r="166" spans="126:216" s="37" customFormat="1" x14ac:dyDescent="0.3">
      <c r="DV166" s="41"/>
      <c r="EN166" s="41"/>
      <c r="FF166" s="41"/>
      <c r="FX166" s="41"/>
      <c r="GP166" s="41"/>
      <c r="HH166" s="41"/>
    </row>
    <row r="167" spans="126:216" s="37" customFormat="1" x14ac:dyDescent="0.3">
      <c r="DV167" s="41"/>
      <c r="EN167" s="41"/>
      <c r="FF167" s="41"/>
      <c r="FX167" s="41"/>
      <c r="GP167" s="41"/>
      <c r="HH167" s="41"/>
    </row>
    <row r="168" spans="126:216" s="37" customFormat="1" x14ac:dyDescent="0.3">
      <c r="DV168" s="41"/>
      <c r="EN168" s="41"/>
      <c r="FF168" s="41"/>
      <c r="FX168" s="41"/>
      <c r="GP168" s="41"/>
      <c r="HH168" s="41"/>
    </row>
    <row r="169" spans="126:216" s="37" customFormat="1" x14ac:dyDescent="0.3">
      <c r="DV169" s="41"/>
      <c r="EN169" s="41"/>
      <c r="FF169" s="41"/>
      <c r="FX169" s="41"/>
      <c r="GP169" s="41"/>
      <c r="HH169" s="41"/>
    </row>
    <row r="170" spans="126:216" s="37" customFormat="1" x14ac:dyDescent="0.3">
      <c r="DV170" s="41"/>
      <c r="EN170" s="41"/>
      <c r="FF170" s="41"/>
      <c r="FX170" s="41"/>
      <c r="GP170" s="41"/>
      <c r="HH170" s="41"/>
    </row>
    <row r="171" spans="126:216" s="37" customFormat="1" x14ac:dyDescent="0.3">
      <c r="DV171" s="41"/>
      <c r="EN171" s="41"/>
      <c r="FF171" s="41"/>
      <c r="FX171" s="41"/>
      <c r="GP171" s="41"/>
      <c r="HH171" s="41"/>
    </row>
    <row r="172" spans="126:216" s="37" customFormat="1" x14ac:dyDescent="0.3">
      <c r="DV172" s="41"/>
      <c r="EN172" s="41"/>
      <c r="FF172" s="41"/>
      <c r="FX172" s="41"/>
      <c r="GP172" s="41"/>
      <c r="HH172" s="41"/>
    </row>
    <row r="173" spans="126:216" s="37" customFormat="1" x14ac:dyDescent="0.3">
      <c r="DV173" s="41"/>
      <c r="EN173" s="41"/>
      <c r="FF173" s="41"/>
      <c r="FX173" s="41"/>
      <c r="GP173" s="41"/>
      <c r="HH173" s="41"/>
    </row>
    <row r="174" spans="126:216" s="37" customFormat="1" x14ac:dyDescent="0.3">
      <c r="DV174" s="41"/>
      <c r="EN174" s="41"/>
      <c r="FF174" s="41"/>
      <c r="FX174" s="41"/>
      <c r="GP174" s="41"/>
      <c r="HH174" s="41"/>
    </row>
    <row r="175" spans="126:216" s="37" customFormat="1" x14ac:dyDescent="0.3">
      <c r="DV175" s="41"/>
      <c r="EN175" s="41"/>
      <c r="FF175" s="41"/>
      <c r="FX175" s="41"/>
      <c r="GP175" s="41"/>
      <c r="HH175" s="41"/>
    </row>
    <row r="176" spans="126:216" s="37" customFormat="1" x14ac:dyDescent="0.3">
      <c r="DV176" s="41"/>
      <c r="EN176" s="41"/>
      <c r="FF176" s="41"/>
      <c r="FX176" s="41"/>
      <c r="GP176" s="41"/>
      <c r="HH176" s="41"/>
    </row>
    <row r="177" spans="126:216" s="37" customFormat="1" x14ac:dyDescent="0.3">
      <c r="DV177" s="41"/>
      <c r="EN177" s="41"/>
      <c r="FF177" s="41"/>
      <c r="FX177" s="41"/>
      <c r="GP177" s="41"/>
      <c r="HH177" s="41"/>
    </row>
    <row r="178" spans="126:216" s="37" customFormat="1" x14ac:dyDescent="0.3">
      <c r="DV178" s="41"/>
      <c r="EN178" s="41"/>
      <c r="FF178" s="41"/>
      <c r="FX178" s="41"/>
      <c r="GP178" s="41"/>
      <c r="HH178" s="41"/>
    </row>
    <row r="179" spans="126:216" s="37" customFormat="1" x14ac:dyDescent="0.3">
      <c r="DV179" s="41"/>
      <c r="EN179" s="41"/>
      <c r="FF179" s="41"/>
      <c r="FX179" s="41"/>
      <c r="GP179" s="41"/>
      <c r="HH179" s="41"/>
    </row>
    <row r="180" spans="126:216" s="37" customFormat="1" x14ac:dyDescent="0.3">
      <c r="DV180" s="41"/>
      <c r="EN180" s="41"/>
      <c r="FF180" s="41"/>
      <c r="FX180" s="41"/>
      <c r="GP180" s="41"/>
      <c r="HH180" s="41"/>
    </row>
    <row r="181" spans="126:216" s="37" customFormat="1" x14ac:dyDescent="0.3">
      <c r="DV181" s="41"/>
      <c r="EN181" s="41"/>
      <c r="FF181" s="41"/>
      <c r="FX181" s="41"/>
      <c r="GP181" s="41"/>
      <c r="HH181" s="41"/>
    </row>
    <row r="182" spans="126:216" s="37" customFormat="1" x14ac:dyDescent="0.3">
      <c r="DV182" s="41"/>
      <c r="EN182" s="41"/>
      <c r="FF182" s="41"/>
      <c r="FX182" s="41"/>
      <c r="GP182" s="41"/>
      <c r="HH182" s="41"/>
    </row>
    <row r="183" spans="126:216" s="37" customFormat="1" x14ac:dyDescent="0.3">
      <c r="DV183" s="41"/>
      <c r="EN183" s="41"/>
      <c r="FF183" s="41"/>
      <c r="FX183" s="41"/>
      <c r="GP183" s="41"/>
      <c r="HH183" s="41"/>
    </row>
    <row r="184" spans="126:216" s="37" customFormat="1" x14ac:dyDescent="0.3">
      <c r="DV184" s="41"/>
      <c r="EN184" s="41"/>
      <c r="FF184" s="41"/>
      <c r="FX184" s="41"/>
      <c r="GP184" s="41"/>
      <c r="HH184" s="41"/>
    </row>
    <row r="185" spans="126:216" s="37" customFormat="1" x14ac:dyDescent="0.3">
      <c r="DV185" s="41"/>
      <c r="EN185" s="41"/>
      <c r="FF185" s="41"/>
      <c r="FX185" s="41"/>
      <c r="GP185" s="41"/>
      <c r="HH185" s="41"/>
    </row>
    <row r="186" spans="126:216" s="37" customFormat="1" x14ac:dyDescent="0.3">
      <c r="DV186" s="41"/>
      <c r="EN186" s="41"/>
      <c r="FF186" s="41"/>
      <c r="FX186" s="41"/>
      <c r="GP186" s="41"/>
      <c r="HH186" s="41"/>
    </row>
    <row r="187" spans="126:216" s="37" customFormat="1" x14ac:dyDescent="0.3">
      <c r="DV187" s="41"/>
      <c r="EN187" s="41"/>
      <c r="FF187" s="41"/>
      <c r="FX187" s="41"/>
      <c r="GP187" s="41"/>
      <c r="HH187" s="41"/>
    </row>
    <row r="188" spans="126:216" s="37" customFormat="1" x14ac:dyDescent="0.3">
      <c r="DV188" s="41"/>
      <c r="EN188" s="41"/>
      <c r="FF188" s="41"/>
      <c r="FX188" s="41"/>
      <c r="GP188" s="41"/>
      <c r="HH188" s="41"/>
    </row>
    <row r="189" spans="126:216" s="37" customFormat="1" x14ac:dyDescent="0.3">
      <c r="DV189" s="41"/>
      <c r="EN189" s="41"/>
      <c r="FF189" s="41"/>
      <c r="FX189" s="41"/>
      <c r="GP189" s="41"/>
      <c r="HH189" s="41"/>
    </row>
    <row r="190" spans="126:216" s="37" customFormat="1" x14ac:dyDescent="0.3">
      <c r="DV190" s="41"/>
      <c r="EN190" s="41"/>
      <c r="FF190" s="41"/>
      <c r="FX190" s="41"/>
      <c r="GP190" s="41"/>
      <c r="HH190" s="41"/>
    </row>
    <row r="191" spans="126:216" s="37" customFormat="1" x14ac:dyDescent="0.3">
      <c r="DV191" s="41"/>
      <c r="EN191" s="41"/>
      <c r="FF191" s="41"/>
      <c r="FX191" s="41"/>
      <c r="GP191" s="41"/>
      <c r="HH191" s="41"/>
    </row>
    <row r="192" spans="126:216" s="37" customFormat="1" x14ac:dyDescent="0.3">
      <c r="DV192" s="41"/>
      <c r="EN192" s="41"/>
      <c r="FF192" s="41"/>
      <c r="FX192" s="41"/>
      <c r="GP192" s="41"/>
      <c r="HH192" s="41"/>
    </row>
    <row r="193" spans="126:216" s="37" customFormat="1" x14ac:dyDescent="0.3">
      <c r="DV193" s="41"/>
      <c r="EN193" s="41"/>
      <c r="FF193" s="41"/>
      <c r="FX193" s="41"/>
      <c r="GP193" s="41"/>
      <c r="HH193" s="41"/>
    </row>
    <row r="194" spans="126:216" s="37" customFormat="1" x14ac:dyDescent="0.3">
      <c r="DV194" s="41"/>
      <c r="EN194" s="41"/>
      <c r="FF194" s="41"/>
      <c r="FX194" s="41"/>
      <c r="GP194" s="41"/>
      <c r="HH194" s="41"/>
    </row>
    <row r="195" spans="126:216" s="37" customFormat="1" x14ac:dyDescent="0.3">
      <c r="DV195" s="41"/>
      <c r="EN195" s="41"/>
      <c r="FF195" s="41"/>
      <c r="FX195" s="41"/>
      <c r="GP195" s="41"/>
      <c r="HH195" s="41"/>
    </row>
    <row r="196" spans="126:216" s="37" customFormat="1" x14ac:dyDescent="0.3">
      <c r="DV196" s="41"/>
      <c r="EN196" s="41"/>
      <c r="FF196" s="41"/>
      <c r="FX196" s="41"/>
      <c r="GP196" s="41"/>
      <c r="HH196" s="41"/>
    </row>
    <row r="197" spans="126:216" s="37" customFormat="1" x14ac:dyDescent="0.3">
      <c r="DV197" s="41"/>
      <c r="EN197" s="41"/>
      <c r="FF197" s="41"/>
      <c r="FX197" s="41"/>
      <c r="GP197" s="41"/>
      <c r="HH197" s="41"/>
    </row>
    <row r="198" spans="126:216" s="37" customFormat="1" x14ac:dyDescent="0.3">
      <c r="DV198" s="41"/>
      <c r="EN198" s="41"/>
      <c r="FF198" s="41"/>
      <c r="FX198" s="41"/>
      <c r="GP198" s="41"/>
      <c r="HH198" s="41"/>
    </row>
    <row r="199" spans="126:216" s="37" customFormat="1" x14ac:dyDescent="0.3">
      <c r="DV199" s="41"/>
      <c r="EN199" s="41"/>
      <c r="FF199" s="41"/>
      <c r="FX199" s="41"/>
      <c r="GP199" s="41"/>
      <c r="HH199" s="41"/>
    </row>
    <row r="200" spans="126:216" s="37" customFormat="1" x14ac:dyDescent="0.3">
      <c r="DV200" s="41"/>
      <c r="EN200" s="41"/>
      <c r="FF200" s="41"/>
      <c r="FX200" s="41"/>
      <c r="GP200" s="41"/>
      <c r="HH200" s="41"/>
    </row>
    <row r="201" spans="126:216" s="37" customFormat="1" x14ac:dyDescent="0.3">
      <c r="DV201" s="41"/>
      <c r="EN201" s="41"/>
      <c r="FF201" s="41"/>
      <c r="FX201" s="41"/>
      <c r="GP201" s="41"/>
      <c r="HH201" s="41"/>
    </row>
    <row r="202" spans="126:216" s="37" customFormat="1" x14ac:dyDescent="0.3">
      <c r="DV202" s="41"/>
      <c r="EN202" s="41"/>
      <c r="FF202" s="41"/>
      <c r="FX202" s="41"/>
      <c r="GP202" s="41"/>
      <c r="HH202" s="41"/>
    </row>
    <row r="203" spans="126:216" s="37" customFormat="1" x14ac:dyDescent="0.3">
      <c r="DV203" s="41"/>
      <c r="EN203" s="41"/>
      <c r="FF203" s="41"/>
      <c r="FX203" s="41"/>
      <c r="GP203" s="41"/>
      <c r="HH203" s="41"/>
    </row>
    <row r="204" spans="126:216" s="37" customFormat="1" x14ac:dyDescent="0.3">
      <c r="DV204" s="41"/>
      <c r="EN204" s="41"/>
      <c r="FF204" s="41"/>
      <c r="FX204" s="41"/>
      <c r="GP204" s="41"/>
      <c r="HH204" s="41"/>
    </row>
    <row r="205" spans="126:216" s="37" customFormat="1" x14ac:dyDescent="0.3">
      <c r="DV205" s="41"/>
      <c r="EN205" s="41"/>
      <c r="FF205" s="41"/>
      <c r="FX205" s="41"/>
      <c r="GP205" s="41"/>
      <c r="HH205" s="41"/>
    </row>
    <row r="206" spans="126:216" s="37" customFormat="1" x14ac:dyDescent="0.3">
      <c r="DV206" s="41"/>
      <c r="EN206" s="41"/>
      <c r="FF206" s="41"/>
      <c r="FX206" s="41"/>
      <c r="GP206" s="41"/>
      <c r="HH206" s="41"/>
    </row>
    <row r="207" spans="126:216" s="37" customFormat="1" x14ac:dyDescent="0.3">
      <c r="DV207" s="41"/>
      <c r="EN207" s="41"/>
      <c r="FF207" s="41"/>
      <c r="FX207" s="41"/>
      <c r="GP207" s="41"/>
      <c r="HH207" s="41"/>
    </row>
    <row r="208" spans="126:216" s="37" customFormat="1" x14ac:dyDescent="0.3">
      <c r="DV208" s="41"/>
      <c r="EN208" s="41"/>
      <c r="FF208" s="41"/>
      <c r="FX208" s="41"/>
      <c r="GP208" s="41"/>
      <c r="HH208" s="41"/>
    </row>
    <row r="209" spans="126:216" s="37" customFormat="1" x14ac:dyDescent="0.3">
      <c r="DV209" s="41"/>
      <c r="EN209" s="41"/>
      <c r="FF209" s="41"/>
      <c r="FX209" s="41"/>
      <c r="GP209" s="41"/>
      <c r="HH209" s="41"/>
    </row>
    <row r="210" spans="126:216" s="37" customFormat="1" x14ac:dyDescent="0.3">
      <c r="DV210" s="41"/>
      <c r="EN210" s="41"/>
      <c r="FF210" s="41"/>
      <c r="FX210" s="41"/>
      <c r="GP210" s="41"/>
      <c r="HH210" s="41"/>
    </row>
    <row r="211" spans="126:216" s="37" customFormat="1" x14ac:dyDescent="0.3">
      <c r="DV211" s="41"/>
      <c r="EN211" s="41"/>
      <c r="FF211" s="41"/>
      <c r="FX211" s="41"/>
      <c r="GP211" s="41"/>
      <c r="HH211" s="41"/>
    </row>
    <row r="212" spans="126:216" s="37" customFormat="1" x14ac:dyDescent="0.3">
      <c r="DV212" s="41"/>
      <c r="EN212" s="41"/>
      <c r="FF212" s="41"/>
      <c r="FX212" s="41"/>
      <c r="GP212" s="41"/>
      <c r="HH212" s="41"/>
    </row>
    <row r="213" spans="126:216" s="37" customFormat="1" x14ac:dyDescent="0.3">
      <c r="DV213" s="41"/>
      <c r="EN213" s="41"/>
      <c r="FF213" s="41"/>
      <c r="FX213" s="41"/>
      <c r="GP213" s="41"/>
      <c r="HH213" s="41"/>
    </row>
    <row r="214" spans="126:216" s="37" customFormat="1" x14ac:dyDescent="0.3">
      <c r="DV214" s="41"/>
      <c r="EN214" s="41"/>
      <c r="FF214" s="41"/>
      <c r="FX214" s="41"/>
      <c r="GP214" s="41"/>
      <c r="HH214" s="41"/>
    </row>
    <row r="215" spans="126:216" s="37" customFormat="1" x14ac:dyDescent="0.3">
      <c r="DV215" s="41"/>
      <c r="EN215" s="41"/>
      <c r="FF215" s="41"/>
      <c r="FX215" s="41"/>
      <c r="GP215" s="41"/>
      <c r="HH215" s="41"/>
    </row>
    <row r="216" spans="126:216" s="37" customFormat="1" x14ac:dyDescent="0.3">
      <c r="DV216" s="41"/>
      <c r="EN216" s="41"/>
      <c r="FF216" s="41"/>
      <c r="FX216" s="41"/>
      <c r="GP216" s="41"/>
      <c r="HH216" s="41"/>
    </row>
    <row r="217" spans="126:216" s="37" customFormat="1" x14ac:dyDescent="0.3">
      <c r="DV217" s="41"/>
      <c r="EN217" s="41"/>
      <c r="FF217" s="41"/>
      <c r="FX217" s="41"/>
      <c r="GP217" s="41"/>
      <c r="HH217" s="41"/>
    </row>
    <row r="218" spans="126:216" s="37" customFormat="1" x14ac:dyDescent="0.3">
      <c r="DV218" s="41"/>
      <c r="EN218" s="41"/>
      <c r="FF218" s="41"/>
      <c r="FX218" s="41"/>
      <c r="GP218" s="41"/>
      <c r="HH218" s="41"/>
    </row>
    <row r="219" spans="126:216" s="37" customFormat="1" x14ac:dyDescent="0.3">
      <c r="DV219" s="41"/>
      <c r="EN219" s="41"/>
      <c r="FF219" s="41"/>
      <c r="FX219" s="41"/>
      <c r="GP219" s="41"/>
      <c r="HH219" s="41"/>
    </row>
    <row r="220" spans="126:216" s="37" customFormat="1" x14ac:dyDescent="0.3">
      <c r="DV220" s="41"/>
      <c r="EN220" s="41"/>
      <c r="FF220" s="41"/>
      <c r="FX220" s="41"/>
      <c r="GP220" s="41"/>
      <c r="HH220" s="41"/>
    </row>
    <row r="221" spans="126:216" s="37" customFormat="1" x14ac:dyDescent="0.3">
      <c r="DV221" s="41"/>
      <c r="EN221" s="41"/>
      <c r="FF221" s="41"/>
      <c r="FX221" s="41"/>
      <c r="GP221" s="41"/>
      <c r="HH221" s="41"/>
    </row>
    <row r="222" spans="126:216" s="37" customFormat="1" x14ac:dyDescent="0.3">
      <c r="DV222" s="41"/>
      <c r="EN222" s="41"/>
      <c r="FF222" s="41"/>
      <c r="FX222" s="41"/>
      <c r="GP222" s="41"/>
      <c r="HH222" s="41"/>
    </row>
    <row r="223" spans="126:216" s="37" customFormat="1" x14ac:dyDescent="0.3">
      <c r="DV223" s="41"/>
      <c r="EN223" s="41"/>
      <c r="FF223" s="41"/>
      <c r="FX223" s="41"/>
      <c r="GP223" s="41"/>
      <c r="HH223" s="41"/>
    </row>
    <row r="224" spans="126:216" s="37" customFormat="1" x14ac:dyDescent="0.3">
      <c r="DV224" s="41"/>
      <c r="EN224" s="41"/>
      <c r="FF224" s="41"/>
      <c r="FX224" s="41"/>
      <c r="GP224" s="41"/>
      <c r="HH224" s="41"/>
    </row>
    <row r="225" spans="126:216" s="37" customFormat="1" x14ac:dyDescent="0.3">
      <c r="DV225" s="41"/>
      <c r="EN225" s="41"/>
      <c r="FF225" s="41"/>
      <c r="FX225" s="41"/>
      <c r="GP225" s="41"/>
      <c r="HH225" s="41"/>
    </row>
    <row r="226" spans="126:216" s="37" customFormat="1" x14ac:dyDescent="0.3">
      <c r="DV226" s="41"/>
      <c r="EN226" s="41"/>
      <c r="FF226" s="41"/>
      <c r="FX226" s="41"/>
      <c r="GP226" s="41"/>
      <c r="HH226" s="41"/>
    </row>
    <row r="227" spans="126:216" s="37" customFormat="1" x14ac:dyDescent="0.3">
      <c r="DV227" s="41"/>
      <c r="EN227" s="41"/>
      <c r="FF227" s="41"/>
      <c r="FX227" s="41"/>
      <c r="GP227" s="41"/>
      <c r="HH227" s="41"/>
    </row>
    <row r="228" spans="126:216" s="37" customFormat="1" x14ac:dyDescent="0.3">
      <c r="DV228" s="41"/>
      <c r="EN228" s="41"/>
      <c r="FF228" s="41"/>
      <c r="FX228" s="41"/>
      <c r="GP228" s="41"/>
      <c r="HH228" s="41"/>
    </row>
    <row r="229" spans="126:216" s="37" customFormat="1" x14ac:dyDescent="0.3">
      <c r="DV229" s="41"/>
      <c r="EN229" s="41"/>
      <c r="FF229" s="41"/>
      <c r="FX229" s="41"/>
      <c r="GP229" s="41"/>
      <c r="HH229" s="41"/>
    </row>
    <row r="230" spans="126:216" s="37" customFormat="1" x14ac:dyDescent="0.3">
      <c r="DV230" s="41"/>
      <c r="EN230" s="41"/>
      <c r="FF230" s="41"/>
      <c r="FX230" s="41"/>
      <c r="GP230" s="41"/>
      <c r="HH230" s="41"/>
    </row>
    <row r="231" spans="126:216" s="37" customFormat="1" x14ac:dyDescent="0.3">
      <c r="DV231" s="41"/>
      <c r="EN231" s="41"/>
      <c r="FF231" s="41"/>
      <c r="FX231" s="41"/>
      <c r="GP231" s="41"/>
      <c r="HH231" s="41"/>
    </row>
    <row r="232" spans="126:216" s="37" customFormat="1" x14ac:dyDescent="0.3">
      <c r="DV232" s="41"/>
      <c r="EN232" s="41"/>
      <c r="FF232" s="41"/>
      <c r="FX232" s="41"/>
      <c r="GP232" s="41"/>
      <c r="HH232" s="41"/>
    </row>
    <row r="233" spans="126:216" s="37" customFormat="1" x14ac:dyDescent="0.3">
      <c r="DV233" s="41"/>
      <c r="EN233" s="41"/>
      <c r="FF233" s="41"/>
      <c r="FX233" s="41"/>
      <c r="GP233" s="41"/>
      <c r="HH233" s="41"/>
    </row>
    <row r="234" spans="126:216" s="37" customFormat="1" x14ac:dyDescent="0.3">
      <c r="DV234" s="41"/>
      <c r="EN234" s="41"/>
      <c r="FF234" s="41"/>
      <c r="FX234" s="41"/>
      <c r="GP234" s="41"/>
      <c r="HH234" s="41"/>
    </row>
    <row r="235" spans="126:216" s="37" customFormat="1" x14ac:dyDescent="0.3">
      <c r="DV235" s="41"/>
      <c r="EN235" s="41"/>
      <c r="FF235" s="41"/>
      <c r="FX235" s="41"/>
      <c r="GP235" s="41"/>
      <c r="HH235" s="41"/>
    </row>
    <row r="236" spans="126:216" s="37" customFormat="1" x14ac:dyDescent="0.3">
      <c r="DV236" s="41"/>
      <c r="EN236" s="41"/>
      <c r="FF236" s="41"/>
      <c r="FX236" s="41"/>
      <c r="GP236" s="41"/>
      <c r="HH236" s="41"/>
    </row>
    <row r="237" spans="126:216" s="37" customFormat="1" x14ac:dyDescent="0.3">
      <c r="DV237" s="41"/>
      <c r="EN237" s="41"/>
      <c r="FF237" s="41"/>
      <c r="FX237" s="41"/>
      <c r="GP237" s="41"/>
      <c r="HH237" s="41"/>
    </row>
    <row r="238" spans="126:216" s="37" customFormat="1" x14ac:dyDescent="0.3">
      <c r="DV238" s="41"/>
      <c r="EN238" s="41"/>
      <c r="FF238" s="41"/>
      <c r="FX238" s="41"/>
      <c r="GP238" s="41"/>
      <c r="HH238" s="41"/>
    </row>
    <row r="239" spans="126:216" s="37" customFormat="1" x14ac:dyDescent="0.3">
      <c r="DV239" s="41"/>
      <c r="EN239" s="41"/>
      <c r="FF239" s="41"/>
      <c r="FX239" s="41"/>
      <c r="GP239" s="41"/>
      <c r="HH239" s="41"/>
    </row>
    <row r="240" spans="126:216" s="37" customFormat="1" x14ac:dyDescent="0.3">
      <c r="DV240" s="41"/>
      <c r="EN240" s="41"/>
      <c r="FF240" s="41"/>
      <c r="FX240" s="41"/>
      <c r="GP240" s="41"/>
      <c r="HH240" s="41"/>
    </row>
    <row r="241" spans="126:216" s="37" customFormat="1" x14ac:dyDescent="0.3">
      <c r="DV241" s="41"/>
      <c r="EN241" s="41"/>
      <c r="FF241" s="41"/>
      <c r="FX241" s="41"/>
      <c r="GP241" s="41"/>
      <c r="HH241" s="41"/>
    </row>
    <row r="242" spans="126:216" s="37" customFormat="1" x14ac:dyDescent="0.3">
      <c r="DV242" s="41"/>
      <c r="EN242" s="41"/>
      <c r="FF242" s="41"/>
      <c r="FX242" s="41"/>
      <c r="GP242" s="41"/>
      <c r="HH242" s="41"/>
    </row>
    <row r="243" spans="126:216" s="37" customFormat="1" x14ac:dyDescent="0.3">
      <c r="DV243" s="41"/>
      <c r="EN243" s="41"/>
      <c r="FF243" s="41"/>
      <c r="FX243" s="41"/>
      <c r="GP243" s="41"/>
      <c r="HH243" s="41"/>
    </row>
    <row r="244" spans="126:216" s="37" customFormat="1" x14ac:dyDescent="0.3">
      <c r="DV244" s="41"/>
      <c r="EN244" s="41"/>
      <c r="FF244" s="41"/>
      <c r="FX244" s="41"/>
      <c r="GP244" s="41"/>
      <c r="HH244" s="41"/>
    </row>
    <row r="245" spans="126:216" s="37" customFormat="1" x14ac:dyDescent="0.3">
      <c r="DV245" s="41"/>
      <c r="EN245" s="41"/>
      <c r="FF245" s="41"/>
      <c r="FX245" s="41"/>
      <c r="GP245" s="41"/>
      <c r="HH245" s="41"/>
    </row>
    <row r="246" spans="126:216" s="37" customFormat="1" x14ac:dyDescent="0.3">
      <c r="DV246" s="41"/>
      <c r="EN246" s="41"/>
      <c r="FF246" s="41"/>
      <c r="FX246" s="41"/>
      <c r="GP246" s="41"/>
      <c r="HH246" s="41"/>
    </row>
    <row r="247" spans="126:216" s="37" customFormat="1" x14ac:dyDescent="0.3">
      <c r="DV247" s="41"/>
      <c r="EN247" s="41"/>
      <c r="FF247" s="41"/>
      <c r="FX247" s="41"/>
      <c r="GP247" s="41"/>
      <c r="HH247" s="41"/>
    </row>
    <row r="248" spans="126:216" s="37" customFormat="1" x14ac:dyDescent="0.3">
      <c r="DV248" s="41"/>
      <c r="EN248" s="41"/>
      <c r="FF248" s="41"/>
      <c r="FX248" s="41"/>
      <c r="GP248" s="41"/>
      <c r="HH248" s="41"/>
    </row>
    <row r="249" spans="126:216" s="37" customFormat="1" x14ac:dyDescent="0.3">
      <c r="DV249" s="41"/>
      <c r="EN249" s="41"/>
      <c r="FF249" s="41"/>
      <c r="FX249" s="41"/>
      <c r="GP249" s="41"/>
      <c r="HH249" s="41"/>
    </row>
    <row r="250" spans="126:216" s="37" customFormat="1" x14ac:dyDescent="0.3">
      <c r="DV250" s="41"/>
      <c r="EN250" s="41"/>
      <c r="FF250" s="41"/>
      <c r="FX250" s="41"/>
      <c r="GP250" s="41"/>
      <c r="HH250" s="41"/>
    </row>
    <row r="251" spans="126:216" s="37" customFormat="1" x14ac:dyDescent="0.3">
      <c r="DV251" s="41"/>
      <c r="EN251" s="41"/>
      <c r="FF251" s="41"/>
      <c r="FX251" s="41"/>
      <c r="GP251" s="41"/>
      <c r="HH251" s="41"/>
    </row>
    <row r="252" spans="126:216" s="37" customFormat="1" x14ac:dyDescent="0.3">
      <c r="DV252" s="41"/>
      <c r="EN252" s="41"/>
      <c r="FF252" s="41"/>
      <c r="FX252" s="41"/>
      <c r="GP252" s="41"/>
      <c r="HH252" s="41"/>
    </row>
    <row r="253" spans="126:216" s="37" customFormat="1" x14ac:dyDescent="0.3">
      <c r="DV253" s="41"/>
      <c r="EN253" s="41"/>
      <c r="FF253" s="41"/>
      <c r="FX253" s="41"/>
      <c r="GP253" s="41"/>
      <c r="HH253" s="41"/>
    </row>
    <row r="254" spans="126:216" s="37" customFormat="1" x14ac:dyDescent="0.3">
      <c r="DV254" s="41"/>
      <c r="EN254" s="41"/>
      <c r="FF254" s="41"/>
      <c r="FX254" s="41"/>
      <c r="GP254" s="41"/>
      <c r="HH254" s="41"/>
    </row>
    <row r="255" spans="126:216" s="37" customFormat="1" x14ac:dyDescent="0.3">
      <c r="DV255" s="41"/>
      <c r="EN255" s="41"/>
      <c r="FF255" s="41"/>
      <c r="FX255" s="41"/>
      <c r="GP255" s="41"/>
      <c r="HH255" s="41"/>
    </row>
    <row r="256" spans="126:216" s="37" customFormat="1" x14ac:dyDescent="0.3">
      <c r="DV256" s="41"/>
      <c r="EN256" s="41"/>
      <c r="FF256" s="41"/>
      <c r="FX256" s="41"/>
      <c r="GP256" s="41"/>
      <c r="HH256" s="41"/>
    </row>
    <row r="257" spans="48:216" s="37" customFormat="1" x14ac:dyDescent="0.3">
      <c r="DV257" s="41"/>
      <c r="EN257" s="41"/>
      <c r="FF257" s="41"/>
      <c r="FX257" s="41"/>
      <c r="GP257" s="41"/>
      <c r="HH257" s="41"/>
    </row>
    <row r="258" spans="48:216" s="37" customFormat="1" x14ac:dyDescent="0.3">
      <c r="DV258" s="41"/>
      <c r="EN258" s="41"/>
      <c r="FF258" s="41"/>
      <c r="FX258" s="41"/>
      <c r="GP258" s="41"/>
      <c r="HH258" s="41"/>
    </row>
    <row r="259" spans="48:216" s="37" customFormat="1" x14ac:dyDescent="0.3">
      <c r="DV259" s="41"/>
      <c r="EN259" s="41"/>
      <c r="FF259" s="41"/>
      <c r="FX259" s="41"/>
      <c r="GP259" s="41"/>
      <c r="HH259" s="41"/>
    </row>
    <row r="260" spans="48:216" s="37" customFormat="1" x14ac:dyDescent="0.3">
      <c r="DV260" s="41"/>
      <c r="EN260" s="41"/>
      <c r="FF260" s="41"/>
      <c r="FX260" s="41"/>
      <c r="GP260" s="41"/>
      <c r="HH260" s="41"/>
    </row>
    <row r="261" spans="48:216" s="37" customFormat="1" x14ac:dyDescent="0.3">
      <c r="DV261" s="41"/>
      <c r="EN261" s="41"/>
      <c r="FF261" s="41"/>
      <c r="FX261" s="41"/>
      <c r="GP261" s="41"/>
      <c r="HH261" s="41"/>
    </row>
    <row r="262" spans="48:216" s="37" customFormat="1" x14ac:dyDescent="0.3">
      <c r="DV262" s="41"/>
      <c r="EN262" s="41"/>
      <c r="FF262" s="41"/>
      <c r="FX262" s="41"/>
      <c r="GP262" s="41"/>
      <c r="HH262" s="41"/>
    </row>
    <row r="263" spans="48:216" s="37" customFormat="1" x14ac:dyDescent="0.3">
      <c r="DV263" s="41"/>
      <c r="EN263" s="41"/>
      <c r="FF263" s="41"/>
      <c r="FX263" s="41"/>
      <c r="GP263" s="41"/>
      <c r="HH263" s="41"/>
    </row>
    <row r="264" spans="48:216" s="37" customFormat="1" x14ac:dyDescent="0.3">
      <c r="DV264" s="41"/>
      <c r="EN264" s="41"/>
      <c r="FF264" s="41"/>
      <c r="FX264" s="41"/>
      <c r="GP264" s="41"/>
      <c r="HH264" s="41"/>
    </row>
    <row r="265" spans="48:216" s="37" customFormat="1" x14ac:dyDescent="0.3">
      <c r="AV265" s="469"/>
      <c r="AW265" s="469"/>
      <c r="DV265" s="41"/>
      <c r="EN265" s="41"/>
      <c r="FF265" s="41"/>
      <c r="FX265" s="41"/>
      <c r="GP265" s="41"/>
      <c r="HH265" s="41"/>
    </row>
    <row r="266" spans="48:216" s="37" customFormat="1" x14ac:dyDescent="0.3">
      <c r="AV266" s="469"/>
      <c r="AW266" s="469"/>
      <c r="DV266" s="41"/>
      <c r="EN266" s="41"/>
      <c r="FF266" s="41"/>
      <c r="FX266" s="41"/>
      <c r="GP266" s="41"/>
      <c r="HH266" s="41"/>
    </row>
    <row r="267" spans="48:216" s="37" customFormat="1" x14ac:dyDescent="0.3">
      <c r="AV267" s="469"/>
      <c r="AW267" s="469"/>
      <c r="DV267" s="41"/>
      <c r="EN267" s="41"/>
      <c r="FF267" s="41"/>
      <c r="FX267" s="41"/>
      <c r="GP267" s="41"/>
      <c r="HH267" s="41"/>
    </row>
    <row r="268" spans="48:216" s="37" customFormat="1" x14ac:dyDescent="0.3">
      <c r="AV268" s="469"/>
      <c r="AW268" s="469"/>
      <c r="DV268" s="41"/>
      <c r="EN268" s="41"/>
      <c r="FF268" s="41"/>
      <c r="FX268" s="41"/>
      <c r="GP268" s="41"/>
      <c r="HH268" s="41"/>
    </row>
    <row r="269" spans="48:216" s="37" customFormat="1" x14ac:dyDescent="0.3">
      <c r="AV269" s="469"/>
      <c r="AW269" s="469"/>
      <c r="DV269" s="41"/>
      <c r="EN269" s="41"/>
      <c r="FF269" s="41"/>
      <c r="FX269" s="41"/>
      <c r="GP269" s="41"/>
      <c r="HH269" s="41"/>
    </row>
    <row r="270" spans="48:216" s="37" customFormat="1" x14ac:dyDescent="0.3">
      <c r="AV270" s="469"/>
      <c r="AW270" s="469"/>
      <c r="DV270" s="41"/>
      <c r="EN270" s="41"/>
      <c r="FF270" s="41"/>
      <c r="FX270" s="41"/>
      <c r="GP270" s="41"/>
      <c r="HH270" s="41"/>
    </row>
    <row r="271" spans="48:216" s="37" customFormat="1" x14ac:dyDescent="0.3">
      <c r="AV271" s="469"/>
      <c r="AW271" s="469"/>
      <c r="DV271" s="41"/>
      <c r="EN271" s="41"/>
      <c r="FF271" s="41"/>
      <c r="FX271" s="41"/>
      <c r="GP271" s="41"/>
      <c r="HH271" s="41"/>
    </row>
    <row r="272" spans="48:216" s="37" customFormat="1" x14ac:dyDescent="0.3">
      <c r="AV272" s="469"/>
      <c r="AW272" s="469"/>
      <c r="DV272" s="41"/>
      <c r="EN272" s="41"/>
      <c r="FF272" s="41"/>
      <c r="FX272" s="41"/>
      <c r="GP272" s="41"/>
      <c r="HH272" s="41"/>
    </row>
    <row r="273" spans="48:216" s="37" customFormat="1" x14ac:dyDescent="0.3">
      <c r="AV273" s="469"/>
      <c r="AW273" s="469"/>
      <c r="DV273" s="41"/>
      <c r="EN273" s="41"/>
      <c r="FF273" s="41"/>
      <c r="FX273" s="41"/>
      <c r="GP273" s="41"/>
      <c r="HH273" s="41"/>
    </row>
    <row r="274" spans="48:216" s="37" customFormat="1" x14ac:dyDescent="0.3">
      <c r="AV274" s="469"/>
      <c r="AW274" s="469"/>
      <c r="DV274" s="41"/>
      <c r="EN274" s="41"/>
      <c r="FF274" s="41"/>
      <c r="FX274" s="41"/>
      <c r="GP274" s="41"/>
      <c r="HH274" s="41"/>
    </row>
    <row r="275" spans="48:216" s="37" customFormat="1" x14ac:dyDescent="0.3">
      <c r="AV275" s="469"/>
      <c r="AW275" s="469"/>
      <c r="DV275" s="41"/>
      <c r="EN275" s="41"/>
      <c r="FF275" s="41"/>
      <c r="FX275" s="41"/>
      <c r="GP275" s="41"/>
      <c r="HH275" s="41"/>
    </row>
    <row r="276" spans="48:216" s="37" customFormat="1" x14ac:dyDescent="0.3">
      <c r="AV276" s="469"/>
      <c r="AW276" s="469"/>
      <c r="DV276" s="41"/>
      <c r="EN276" s="41"/>
      <c r="FF276" s="41"/>
      <c r="FX276" s="41"/>
      <c r="GP276" s="41"/>
      <c r="HH276" s="41"/>
    </row>
    <row r="277" spans="48:216" s="37" customFormat="1" x14ac:dyDescent="0.3">
      <c r="AV277" s="469"/>
      <c r="AW277" s="469"/>
      <c r="DV277" s="41"/>
      <c r="EN277" s="41"/>
      <c r="FF277" s="41"/>
      <c r="FX277" s="41"/>
      <c r="GP277" s="41"/>
      <c r="HH277" s="41"/>
    </row>
    <row r="278" spans="48:216" s="37" customFormat="1" x14ac:dyDescent="0.3">
      <c r="AV278" s="469"/>
      <c r="AW278" s="469"/>
      <c r="DV278" s="41"/>
      <c r="EN278" s="41"/>
      <c r="FF278" s="41"/>
      <c r="FX278" s="41"/>
      <c r="GP278" s="41"/>
      <c r="HH278" s="41"/>
    </row>
    <row r="279" spans="48:216" s="37" customFormat="1" x14ac:dyDescent="0.3">
      <c r="AV279" s="469"/>
      <c r="AW279" s="469"/>
      <c r="DV279" s="41"/>
      <c r="EN279" s="41"/>
      <c r="FF279" s="41"/>
      <c r="FX279" s="41"/>
      <c r="GP279" s="41"/>
      <c r="HH279" s="41"/>
    </row>
    <row r="280" spans="48:216" s="37" customFormat="1" x14ac:dyDescent="0.3">
      <c r="AV280" s="469"/>
      <c r="AW280" s="469"/>
      <c r="DV280" s="41"/>
      <c r="EN280" s="41"/>
      <c r="FF280" s="41"/>
      <c r="FX280" s="41"/>
      <c r="GP280" s="41"/>
      <c r="HH280" s="41"/>
    </row>
    <row r="281" spans="48:216" s="37" customFormat="1" x14ac:dyDescent="0.3">
      <c r="AV281" s="469"/>
      <c r="AW281" s="469"/>
      <c r="DV281" s="41"/>
      <c r="EN281" s="41"/>
      <c r="FF281" s="41"/>
      <c r="FX281" s="41"/>
      <c r="GP281" s="41"/>
      <c r="HH281" s="41"/>
    </row>
    <row r="282" spans="48:216" s="37" customFormat="1" x14ac:dyDescent="0.3">
      <c r="AV282" s="469"/>
      <c r="AW282" s="469"/>
      <c r="DV282" s="41"/>
      <c r="EN282" s="41"/>
      <c r="FF282" s="41"/>
      <c r="FX282" s="41"/>
      <c r="GP282" s="41"/>
      <c r="HH282" s="41"/>
    </row>
    <row r="283" spans="48:216" s="37" customFormat="1" x14ac:dyDescent="0.3">
      <c r="AV283" s="469"/>
      <c r="AW283" s="469"/>
      <c r="DV283" s="41"/>
      <c r="EN283" s="41"/>
      <c r="FF283" s="41"/>
      <c r="FX283" s="41"/>
      <c r="GP283" s="41"/>
      <c r="HH283" s="41"/>
    </row>
    <row r="284" spans="48:216" s="37" customFormat="1" x14ac:dyDescent="0.3">
      <c r="AV284" s="469"/>
      <c r="AW284" s="469"/>
      <c r="DV284" s="41"/>
      <c r="EN284" s="41"/>
      <c r="FF284" s="41"/>
      <c r="FX284" s="41"/>
      <c r="GP284" s="41"/>
      <c r="HH284" s="41"/>
    </row>
    <row r="285" spans="48:216" s="37" customFormat="1" x14ac:dyDescent="0.3">
      <c r="AV285" s="469"/>
      <c r="AW285" s="469"/>
      <c r="DV285" s="41"/>
      <c r="EN285" s="41"/>
      <c r="FF285" s="41"/>
      <c r="FX285" s="41"/>
      <c r="GP285" s="41"/>
      <c r="HH285" s="41"/>
    </row>
    <row r="286" spans="48:216" s="37" customFormat="1" x14ac:dyDescent="0.3">
      <c r="AV286" s="469"/>
      <c r="AW286" s="469"/>
      <c r="DV286" s="41"/>
      <c r="EN286" s="41"/>
      <c r="FF286" s="41"/>
      <c r="FX286" s="41"/>
      <c r="GP286" s="41"/>
      <c r="HH286" s="41"/>
    </row>
    <row r="287" spans="48:216" s="37" customFormat="1" x14ac:dyDescent="0.3">
      <c r="AV287" s="469"/>
      <c r="AW287" s="469"/>
      <c r="DV287" s="41"/>
      <c r="EN287" s="41"/>
      <c r="FF287" s="41"/>
      <c r="FX287" s="41"/>
      <c r="GP287" s="41"/>
      <c r="HH287" s="41"/>
    </row>
    <row r="288" spans="48:216" s="37" customFormat="1" x14ac:dyDescent="0.3">
      <c r="AV288" s="469"/>
      <c r="AW288" s="469"/>
      <c r="DV288" s="41"/>
      <c r="EN288" s="41"/>
      <c r="FF288" s="41"/>
      <c r="FX288" s="41"/>
      <c r="GP288" s="41"/>
      <c r="HH288" s="41"/>
    </row>
    <row r="289" spans="48:216" s="37" customFormat="1" x14ac:dyDescent="0.3">
      <c r="AV289" s="469"/>
      <c r="AW289" s="469"/>
      <c r="DV289" s="41"/>
      <c r="EN289" s="41"/>
      <c r="FF289" s="41"/>
      <c r="FX289" s="41"/>
      <c r="GP289" s="41"/>
      <c r="HH289" s="41"/>
    </row>
    <row r="290" spans="48:216" s="37" customFormat="1" x14ac:dyDescent="0.3">
      <c r="AV290" s="469"/>
      <c r="AW290" s="469"/>
      <c r="DV290" s="41"/>
      <c r="EN290" s="41"/>
      <c r="FF290" s="41"/>
      <c r="FX290" s="41"/>
      <c r="GP290" s="41"/>
      <c r="HH290" s="41"/>
    </row>
    <row r="291" spans="48:216" s="37" customFormat="1" x14ac:dyDescent="0.3">
      <c r="AV291" s="469"/>
      <c r="AW291" s="469"/>
      <c r="DV291" s="41"/>
      <c r="EN291" s="41"/>
      <c r="FF291" s="41"/>
      <c r="FX291" s="41"/>
      <c r="GP291" s="41"/>
      <c r="HH291" s="41"/>
    </row>
    <row r="292" spans="48:216" s="37" customFormat="1" x14ac:dyDescent="0.3">
      <c r="AV292" s="469"/>
      <c r="AW292" s="469"/>
      <c r="DV292" s="41"/>
      <c r="EN292" s="41"/>
      <c r="FF292" s="41"/>
      <c r="FX292" s="41"/>
      <c r="GP292" s="41"/>
      <c r="HH292" s="41"/>
    </row>
    <row r="293" spans="48:216" s="37" customFormat="1" x14ac:dyDescent="0.3">
      <c r="AV293" s="469"/>
      <c r="AW293" s="469"/>
      <c r="DV293" s="41"/>
      <c r="EN293" s="41"/>
      <c r="FF293" s="41"/>
      <c r="FX293" s="41"/>
      <c r="GP293" s="41"/>
      <c r="HH293" s="41"/>
    </row>
    <row r="294" spans="48:216" s="37" customFormat="1" x14ac:dyDescent="0.3">
      <c r="AV294" s="469"/>
      <c r="AW294" s="469"/>
      <c r="DV294" s="41"/>
      <c r="EN294" s="41"/>
      <c r="FF294" s="41"/>
      <c r="FX294" s="41"/>
      <c r="GP294" s="41"/>
      <c r="HH294" s="41"/>
    </row>
    <row r="295" spans="48:216" s="37" customFormat="1" x14ac:dyDescent="0.3">
      <c r="AV295" s="469"/>
      <c r="AW295" s="469"/>
      <c r="DV295" s="41"/>
      <c r="EN295" s="41"/>
      <c r="FF295" s="41"/>
      <c r="FX295" s="41"/>
      <c r="GP295" s="41"/>
      <c r="HH295" s="41"/>
    </row>
    <row r="296" spans="48:216" s="37" customFormat="1" x14ac:dyDescent="0.3">
      <c r="AV296" s="469"/>
      <c r="AW296" s="469"/>
      <c r="DV296" s="41"/>
      <c r="EN296" s="41"/>
      <c r="FF296" s="41"/>
      <c r="FX296" s="41"/>
      <c r="GP296" s="41"/>
      <c r="HH296" s="41"/>
    </row>
    <row r="297" spans="48:216" s="37" customFormat="1" x14ac:dyDescent="0.3">
      <c r="AV297" s="469"/>
      <c r="AW297" s="469"/>
      <c r="DV297" s="41"/>
      <c r="EN297" s="41"/>
      <c r="FF297" s="41"/>
      <c r="FX297" s="41"/>
      <c r="GP297" s="41"/>
      <c r="HH297" s="41"/>
    </row>
    <row r="298" spans="48:216" s="37" customFormat="1" x14ac:dyDescent="0.3">
      <c r="AV298" s="469"/>
      <c r="AW298" s="469"/>
      <c r="DV298" s="41"/>
      <c r="EN298" s="41"/>
      <c r="FF298" s="41"/>
      <c r="FX298" s="41"/>
      <c r="GP298" s="41"/>
      <c r="HH298" s="41"/>
    </row>
    <row r="299" spans="48:216" s="37" customFormat="1" x14ac:dyDescent="0.3">
      <c r="AV299" s="469"/>
      <c r="AW299" s="469"/>
      <c r="DV299" s="41"/>
      <c r="EN299" s="41"/>
      <c r="FF299" s="41"/>
      <c r="FX299" s="41"/>
      <c r="GP299" s="41"/>
      <c r="HH299" s="41"/>
    </row>
    <row r="300" spans="48:216" s="37" customFormat="1" x14ac:dyDescent="0.3">
      <c r="AV300" s="469"/>
      <c r="AW300" s="469"/>
      <c r="DV300" s="41"/>
      <c r="EN300" s="41"/>
      <c r="FF300" s="41"/>
      <c r="FX300" s="41"/>
      <c r="GP300" s="41"/>
      <c r="HH300" s="41"/>
    </row>
    <row r="301" spans="48:216" s="37" customFormat="1" x14ac:dyDescent="0.3">
      <c r="AV301" s="469"/>
      <c r="AW301" s="469"/>
      <c r="DV301" s="41"/>
      <c r="EN301" s="41"/>
      <c r="FF301" s="41"/>
      <c r="FX301" s="41"/>
      <c r="GP301" s="41"/>
      <c r="HH301" s="41"/>
    </row>
    <row r="302" spans="48:216" s="37" customFormat="1" x14ac:dyDescent="0.3">
      <c r="AV302" s="469"/>
      <c r="AW302" s="469"/>
      <c r="DV302" s="41"/>
      <c r="EN302" s="41"/>
      <c r="FF302" s="41"/>
      <c r="FX302" s="41"/>
      <c r="GP302" s="41"/>
      <c r="HH302" s="41"/>
    </row>
    <row r="303" spans="48:216" s="37" customFormat="1" x14ac:dyDescent="0.3">
      <c r="AV303" s="469"/>
      <c r="AW303" s="469"/>
      <c r="DV303" s="41"/>
      <c r="EN303" s="41"/>
      <c r="FF303" s="41"/>
      <c r="FX303" s="41"/>
      <c r="GP303" s="41"/>
      <c r="HH303" s="41"/>
    </row>
    <row r="304" spans="48:216" s="37" customFormat="1" x14ac:dyDescent="0.3">
      <c r="AV304" s="469"/>
      <c r="AW304" s="469"/>
      <c r="DV304" s="41"/>
      <c r="EN304" s="41"/>
      <c r="FF304" s="41"/>
      <c r="FX304" s="41"/>
      <c r="GP304" s="41"/>
      <c r="HH304" s="41"/>
    </row>
    <row r="305" spans="48:216" s="37" customFormat="1" x14ac:dyDescent="0.3">
      <c r="AV305" s="469"/>
      <c r="AW305" s="469"/>
      <c r="DV305" s="41"/>
      <c r="EN305" s="41"/>
      <c r="FF305" s="41"/>
      <c r="FX305" s="41"/>
      <c r="GP305" s="41"/>
      <c r="HH305" s="41"/>
    </row>
    <row r="306" spans="48:216" s="37" customFormat="1" x14ac:dyDescent="0.3">
      <c r="AV306" s="469"/>
      <c r="AW306" s="469"/>
      <c r="DV306" s="41"/>
      <c r="EN306" s="41"/>
      <c r="FF306" s="41"/>
      <c r="FX306" s="41"/>
      <c r="GP306" s="41"/>
      <c r="HH306" s="41"/>
    </row>
    <row r="307" spans="48:216" s="37" customFormat="1" x14ac:dyDescent="0.3">
      <c r="AV307" s="469"/>
      <c r="AW307" s="469"/>
      <c r="DV307" s="41"/>
      <c r="EN307" s="41"/>
      <c r="FF307" s="41"/>
      <c r="FX307" s="41"/>
      <c r="GP307" s="41"/>
      <c r="HH307" s="41"/>
    </row>
    <row r="308" spans="48:216" s="37" customFormat="1" x14ac:dyDescent="0.3">
      <c r="AV308" s="469"/>
      <c r="AW308" s="469"/>
      <c r="DV308" s="41"/>
      <c r="EN308" s="41"/>
      <c r="FF308" s="41"/>
      <c r="FX308" s="41"/>
      <c r="GP308" s="41"/>
      <c r="HH308" s="41"/>
    </row>
    <row r="309" spans="48:216" s="37" customFormat="1" x14ac:dyDescent="0.3">
      <c r="AV309" s="469"/>
      <c r="AW309" s="469"/>
      <c r="DV309" s="41"/>
      <c r="EN309" s="41"/>
      <c r="FF309" s="41"/>
      <c r="FX309" s="41"/>
      <c r="GP309" s="41"/>
      <c r="HH309" s="41"/>
    </row>
    <row r="310" spans="48:216" s="37" customFormat="1" x14ac:dyDescent="0.3">
      <c r="AV310" s="469"/>
      <c r="AW310" s="469"/>
      <c r="DV310" s="41"/>
      <c r="EN310" s="41"/>
      <c r="FF310" s="41"/>
      <c r="FX310" s="41"/>
      <c r="GP310" s="41"/>
      <c r="HH310" s="41"/>
    </row>
    <row r="311" spans="48:216" s="37" customFormat="1" x14ac:dyDescent="0.3">
      <c r="AV311" s="469"/>
      <c r="AW311" s="469"/>
      <c r="DV311" s="41"/>
      <c r="EN311" s="41"/>
      <c r="FF311" s="41"/>
      <c r="FX311" s="41"/>
      <c r="GP311" s="41"/>
      <c r="HH311" s="41"/>
    </row>
    <row r="312" spans="48:216" s="37" customFormat="1" x14ac:dyDescent="0.3">
      <c r="AV312" s="469"/>
      <c r="AW312" s="469"/>
      <c r="DV312" s="41"/>
      <c r="EN312" s="41"/>
      <c r="FF312" s="41"/>
      <c r="FX312" s="41"/>
      <c r="GP312" s="41"/>
      <c r="HH312" s="41"/>
    </row>
    <row r="313" spans="48:216" s="37" customFormat="1" x14ac:dyDescent="0.3">
      <c r="AV313" s="469"/>
      <c r="AW313" s="469"/>
      <c r="DV313" s="41"/>
      <c r="EN313" s="41"/>
      <c r="FF313" s="41"/>
      <c r="FX313" s="41"/>
      <c r="GP313" s="41"/>
      <c r="HH313" s="41"/>
    </row>
    <row r="314" spans="48:216" s="37" customFormat="1" x14ac:dyDescent="0.3">
      <c r="AV314" s="469"/>
      <c r="AW314" s="469"/>
      <c r="DV314" s="41"/>
      <c r="EN314" s="41"/>
      <c r="FF314" s="41"/>
      <c r="FX314" s="41"/>
      <c r="GP314" s="41"/>
      <c r="HH314" s="41"/>
    </row>
    <row r="315" spans="48:216" s="37" customFormat="1" x14ac:dyDescent="0.3">
      <c r="AV315" s="469"/>
      <c r="AW315" s="469"/>
      <c r="DV315" s="41"/>
      <c r="EN315" s="41"/>
      <c r="FF315" s="41"/>
      <c r="FX315" s="41"/>
      <c r="GP315" s="41"/>
      <c r="HH315" s="41"/>
    </row>
    <row r="316" spans="48:216" s="37" customFormat="1" x14ac:dyDescent="0.3">
      <c r="AV316" s="469"/>
      <c r="AW316" s="469"/>
      <c r="DV316" s="41"/>
      <c r="EN316" s="41"/>
      <c r="FF316" s="41"/>
      <c r="FX316" s="41"/>
      <c r="GP316" s="41"/>
      <c r="HH316" s="41"/>
    </row>
    <row r="317" spans="48:216" s="37" customFormat="1" x14ac:dyDescent="0.3">
      <c r="AV317" s="469"/>
      <c r="AW317" s="469"/>
      <c r="DV317" s="41"/>
      <c r="EN317" s="41"/>
      <c r="FF317" s="41"/>
      <c r="FX317" s="41"/>
      <c r="GP317" s="41"/>
      <c r="HH317" s="41"/>
    </row>
    <row r="318" spans="48:216" s="37" customFormat="1" x14ac:dyDescent="0.3">
      <c r="AV318" s="469"/>
      <c r="AW318" s="469"/>
      <c r="DV318" s="41"/>
      <c r="EN318" s="41"/>
      <c r="FF318" s="41"/>
      <c r="FX318" s="41"/>
      <c r="GP318" s="41"/>
      <c r="HH318" s="41"/>
    </row>
    <row r="319" spans="48:216" s="37" customFormat="1" x14ac:dyDescent="0.3">
      <c r="AV319" s="469"/>
      <c r="AW319" s="469"/>
      <c r="DV319" s="41"/>
      <c r="EN319" s="41"/>
      <c r="FF319" s="41"/>
      <c r="FX319" s="41"/>
      <c r="GP319" s="41"/>
      <c r="HH319" s="41"/>
    </row>
    <row r="320" spans="48:216" s="37" customFormat="1" x14ac:dyDescent="0.3">
      <c r="AV320" s="469"/>
      <c r="AW320" s="469"/>
      <c r="DV320" s="41"/>
      <c r="EN320" s="41"/>
      <c r="FF320" s="41"/>
      <c r="FX320" s="41"/>
      <c r="GP320" s="41"/>
      <c r="HH320" s="41"/>
    </row>
    <row r="321" spans="48:216" s="37" customFormat="1" x14ac:dyDescent="0.3">
      <c r="AV321" s="469"/>
      <c r="AW321" s="469"/>
      <c r="DV321" s="41"/>
      <c r="EN321" s="41"/>
      <c r="FF321" s="41"/>
      <c r="FX321" s="41"/>
      <c r="GP321" s="41"/>
      <c r="HH321" s="41"/>
    </row>
    <row r="322" spans="48:216" s="37" customFormat="1" x14ac:dyDescent="0.3">
      <c r="AV322" s="469"/>
      <c r="AW322" s="469"/>
      <c r="DV322" s="41"/>
      <c r="EN322" s="41"/>
      <c r="FF322" s="41"/>
      <c r="FX322" s="41"/>
      <c r="GP322" s="41"/>
      <c r="HH322" s="41"/>
    </row>
    <row r="323" spans="48:216" s="37" customFormat="1" x14ac:dyDescent="0.3">
      <c r="AV323" s="469"/>
      <c r="AW323" s="469"/>
      <c r="DV323" s="41"/>
      <c r="EN323" s="41"/>
      <c r="FF323" s="41"/>
      <c r="FX323" s="41"/>
      <c r="GP323" s="41"/>
      <c r="HH323" s="41"/>
    </row>
    <row r="324" spans="48:216" s="37" customFormat="1" x14ac:dyDescent="0.3">
      <c r="AV324" s="469"/>
      <c r="AW324" s="469"/>
      <c r="DV324" s="41"/>
      <c r="EN324" s="41"/>
      <c r="FF324" s="41"/>
      <c r="FX324" s="41"/>
      <c r="GP324" s="41"/>
      <c r="HH324" s="41"/>
    </row>
    <row r="325" spans="48:216" s="37" customFormat="1" x14ac:dyDescent="0.3">
      <c r="AV325" s="469"/>
      <c r="AW325" s="469"/>
      <c r="DV325" s="41"/>
      <c r="EN325" s="41"/>
      <c r="FF325" s="41"/>
      <c r="FX325" s="41"/>
      <c r="GP325" s="41"/>
      <c r="HH325" s="41"/>
    </row>
    <row r="326" spans="48:216" s="37" customFormat="1" x14ac:dyDescent="0.3">
      <c r="AV326" s="469"/>
      <c r="AW326" s="469"/>
      <c r="DV326" s="41"/>
      <c r="EN326" s="41"/>
      <c r="FF326" s="41"/>
      <c r="FX326" s="41"/>
      <c r="GP326" s="41"/>
      <c r="HH326" s="41"/>
    </row>
    <row r="327" spans="48:216" s="37" customFormat="1" x14ac:dyDescent="0.3">
      <c r="AV327" s="469"/>
      <c r="AW327" s="469"/>
      <c r="DV327" s="41"/>
      <c r="EN327" s="41"/>
      <c r="FF327" s="41"/>
      <c r="FX327" s="41"/>
      <c r="GP327" s="41"/>
      <c r="HH327" s="41"/>
    </row>
    <row r="328" spans="48:216" s="37" customFormat="1" x14ac:dyDescent="0.3">
      <c r="AV328" s="469"/>
      <c r="AW328" s="469"/>
      <c r="DV328" s="41"/>
      <c r="EN328" s="41"/>
      <c r="FF328" s="41"/>
      <c r="FX328" s="41"/>
      <c r="GP328" s="41"/>
      <c r="HH328" s="41"/>
    </row>
    <row r="329" spans="48:216" s="37" customFormat="1" x14ac:dyDescent="0.3">
      <c r="AV329" s="469"/>
      <c r="AW329" s="469"/>
      <c r="DV329" s="41"/>
      <c r="EN329" s="41"/>
      <c r="FF329" s="41"/>
      <c r="FX329" s="41"/>
      <c r="GP329" s="41"/>
      <c r="HH329" s="41"/>
    </row>
    <row r="330" spans="48:216" s="37" customFormat="1" x14ac:dyDescent="0.3">
      <c r="AV330" s="469"/>
      <c r="AW330" s="469"/>
      <c r="DV330" s="41"/>
      <c r="EN330" s="41"/>
      <c r="FF330" s="41"/>
      <c r="FX330" s="41"/>
      <c r="GP330" s="41"/>
      <c r="HH330" s="41"/>
    </row>
    <row r="331" spans="48:216" s="37" customFormat="1" x14ac:dyDescent="0.3">
      <c r="AV331" s="469"/>
      <c r="AW331" s="469"/>
      <c r="DV331" s="41"/>
      <c r="EN331" s="41"/>
      <c r="FF331" s="41"/>
      <c r="FX331" s="41"/>
      <c r="GP331" s="41"/>
      <c r="HH331" s="41"/>
    </row>
    <row r="332" spans="48:216" s="37" customFormat="1" x14ac:dyDescent="0.3">
      <c r="AV332" s="469"/>
      <c r="AW332" s="469"/>
      <c r="DV332" s="41"/>
      <c r="EN332" s="41"/>
      <c r="FF332" s="41"/>
      <c r="FX332" s="41"/>
      <c r="GP332" s="41"/>
      <c r="HH332" s="41"/>
    </row>
    <row r="333" spans="48:216" s="37" customFormat="1" x14ac:dyDescent="0.3">
      <c r="AV333" s="469"/>
      <c r="AW333" s="469"/>
      <c r="DV333" s="41"/>
      <c r="EN333" s="41"/>
      <c r="FF333" s="41"/>
      <c r="FX333" s="41"/>
      <c r="GP333" s="41"/>
      <c r="HH333" s="41"/>
    </row>
  </sheetData>
  <protectedRanges>
    <protectedRange sqref="CL90:CM100 DD90:DE100 DV90:DW100 EN90:EO100 FF90:FG100 FX90:FY100 GP90:GQ100 HH90:HI100 BW90:BW100 CO90:CO100 DG90:DG100 DY90:DY100 EQ90:EQ100 FI90:FI100 GA90:GA100 GS90:GS100 HK90:HK100 A8:B11 D8:D11 A13:B20 D13:D20 A22:B27 D22:D27 A29:B37 D29:D37 D39:D44 D46:D53 A55:B77 D55:D77 A79:B100 D79:D100 AV90:AX100 BT90:BU100 Y8:Z11 AB8:AB11 Y13:Z20 AB13:AB20 Y22:Z27 AB22:AB27 Y29:Z37 AB29:AB37 Y39:Z44 AB39:AB44 Y46:Z53 AB46:AB53 Y55:Z77 AB55:AB77 Y79:Z100 AB79:AB100 AW8:AX11 AZ8:AZ11 AW13:AX20 AZ13:AZ20 AW22:AX27 AZ22:AZ27 AW29:AX37 AZ29:AZ37 AW39:AX44 AZ39:AZ44 AW46:AX53 AZ46:AZ53 AW55:AX77 AZ55:AZ77 AW79:AX89 AZ79:AZ100 BU8:BV11 BX8:BX11 BU13:BV20 BX13:BX20 BU22:BV27 BX22:BX27 BU29:BV37 BX29:BX37 BU39:BV44 BX39:BX44 BU46:BV53 BX46:BX53 BU55:BV77 BX55:BX77 BU79:BV89 BX79:BX89 CS8:CT11 CV8:CV11 CS13:CT20 CV13:CV20 CS22:CT27 CV22:CV27 CS29:CT37 CV29:CV37 CS39:CT44 CV39:CV44 CS46:CT53 CV46:CV53 CS55:CT77 CV55:CV77 CS79:CT89 CV79:CV89 DQ8:DR11 DT8:DT11 DQ13:DR20 DT13:DT20 DQ22:DR27 DT22:DT27 DQ29:DR37 DT29:DT37 DQ39:DR44 DT39:DT44 DQ46:DR53 DT46:DT53 DQ55:DR77 DT55:DT77 DQ79:DR89 DT79:DT89 EO8:EP11 ER8:ER11 EO13:EP20 ER13:ER20 EO22:EP27 ER22:ER27 EO29:EP37 ER29:ER37 EO39:EP44 ER39:ER44 EO46:EP53 ER46:ER53 EO55:EP77 ER55:ER77 EO79:EP89 ER79:ER89 FM8:FN11 FP8:FP11 FM13:FN20 FP13:FP20 FM22:FN27 FP22:FP27 FM29:FN37 FP29:FP37 FM39:FN44 FP39:FP44 FM46:FN53 FP46:FP53 FM55:FN77 FP55:FP77 FM79:FN89 FP79:FP89 GK8:GL11 GN8:GN11 GK13:GL20 GN13:GN20 GK22:GL27 GN22:GN27 GK29:GL37 GN29:GN37 GK39:GL44 GN39:GN44 GK46:GL53 GN46:GN53 GK55:GL77 GN55:GN77 GK79:GL89 GN79:GN89 HI8:HJ11 HL8:HL11 HI13:HJ20 HL13:HL20 HI22:HJ27 HL22:HL27 HI29:HJ37 HL29:HL37 HI39:HJ44 HL39:HL44 HI46:HJ53 HL46:HL53 HI55:HJ77 HL55:HL77 HI79:HJ89 HL79:HL89 IG8:IH11 IJ8:IJ11 IG13:IH20 IJ13:IJ20 IG22:IH27 IJ22:IJ27 IG29:IH37 IJ29:IJ37 IG39:IH44 IJ39:IJ44 IG46:IH53 IJ46:IJ53 IG55:IH77 IJ55:IJ77 IG79:IH89 IJ79:IJ89 JE8:JF11 JH8:JH11 JE13:JF20 JH13:JH20 JE22:JF27 JH22:JH27 JE29:JF37 JH29:JH37 JE39:JF44 JH39:JH44 JE46:JF53 JH46:JH53 JE55:JF77 JH55:JH77 JE79:JF89 JH79:JH89 A39:B44 A46:B53" name="Intervalo1"/>
  </protectedRanges>
  <mergeCells count="37">
    <mergeCell ref="IK63:IV63"/>
    <mergeCell ref="IK68:IV68"/>
    <mergeCell ref="IK73:IV73"/>
    <mergeCell ref="JI63:JT63"/>
    <mergeCell ref="JI68:JT68"/>
    <mergeCell ref="JI73:JT73"/>
    <mergeCell ref="HM63:HX63"/>
    <mergeCell ref="HM68:HX68"/>
    <mergeCell ref="HM73:HX73"/>
    <mergeCell ref="ES68:FD68"/>
    <mergeCell ref="ES73:FD73"/>
    <mergeCell ref="FQ63:GB63"/>
    <mergeCell ref="FQ68:GB68"/>
    <mergeCell ref="FQ73:GB73"/>
    <mergeCell ref="BA73:BL73"/>
    <mergeCell ref="BY63:CJ63"/>
    <mergeCell ref="BY68:CJ68"/>
    <mergeCell ref="BY73:CJ73"/>
    <mergeCell ref="GO63:GZ63"/>
    <mergeCell ref="GO68:GZ68"/>
    <mergeCell ref="GO73:GZ73"/>
    <mergeCell ref="E2:K2"/>
    <mergeCell ref="ES63:FD63"/>
    <mergeCell ref="BA63:BL63"/>
    <mergeCell ref="E68:P68"/>
    <mergeCell ref="E73:P73"/>
    <mergeCell ref="E63:P63"/>
    <mergeCell ref="AC63:AN63"/>
    <mergeCell ref="AC68:AN68"/>
    <mergeCell ref="AC73:AN73"/>
    <mergeCell ref="CW63:DH63"/>
    <mergeCell ref="CW68:DH68"/>
    <mergeCell ref="CW73:DH73"/>
    <mergeCell ref="DU63:EF63"/>
    <mergeCell ref="DU68:EF68"/>
    <mergeCell ref="DU73:EF73"/>
    <mergeCell ref="BA68:BL68"/>
  </mergeCells>
  <hyperlinks>
    <hyperlink ref="A2" location="Menu!A1" display="Menu" xr:uid="{00000000-0004-0000-1C00-000000000000}"/>
  </hyperlinks>
  <pageMargins left="0.511811024" right="0.511811024" top="0.78740157499999996" bottom="0.78740157499999996" header="0.31496062000000002" footer="0.31496062000000002"/>
  <pageSetup paperSize="9"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Plan16"/>
  <dimension ref="A1:N13"/>
  <sheetViews>
    <sheetView topLeftCell="B1" workbookViewId="0">
      <pane ySplit="1" topLeftCell="A2" activePane="bottomLeft" state="frozen"/>
      <selection activeCell="B1" sqref="B1"/>
      <selection pane="bottomLeft" activeCell="C12" sqref="C12"/>
    </sheetView>
  </sheetViews>
  <sheetFormatPr defaultColWidth="9.109375" defaultRowHeight="14.4" x14ac:dyDescent="0.3"/>
  <cols>
    <col min="1" max="1" width="11.88671875" style="70" bestFit="1" customWidth="1"/>
    <col min="2" max="2" width="35" style="70" bestFit="1" customWidth="1"/>
    <col min="3" max="4" width="12.109375" style="70" bestFit="1" customWidth="1"/>
    <col min="5" max="10" width="11.6640625" style="70" bestFit="1" customWidth="1"/>
    <col min="11" max="11" width="12.33203125" style="70" customWidth="1"/>
    <col min="12" max="13" width="11.6640625" style="70" bestFit="1" customWidth="1"/>
    <col min="14" max="14" width="12.109375" style="70" customWidth="1"/>
    <col min="15" max="15" width="9.109375" style="70"/>
    <col min="16" max="17" width="10.6640625" style="70" bestFit="1" customWidth="1"/>
    <col min="18" max="16384" width="9.109375" style="70"/>
  </cols>
  <sheetData>
    <row r="1" spans="1:14" ht="29.4" thickBot="1" x14ac:dyDescent="0.35">
      <c r="A1" s="480" t="s">
        <v>96</v>
      </c>
      <c r="B1" s="482" t="s">
        <v>34</v>
      </c>
      <c r="C1" s="483" t="s">
        <v>12</v>
      </c>
      <c r="D1" s="483" t="s">
        <v>24</v>
      </c>
      <c r="E1" s="483" t="s">
        <v>25</v>
      </c>
      <c r="F1" s="483" t="s">
        <v>26</v>
      </c>
      <c r="G1" s="483" t="s">
        <v>27</v>
      </c>
      <c r="H1" s="483" t="s">
        <v>28</v>
      </c>
      <c r="I1" s="483" t="s">
        <v>60</v>
      </c>
      <c r="J1" s="483" t="s">
        <v>29</v>
      </c>
      <c r="K1" s="483" t="s">
        <v>30</v>
      </c>
      <c r="L1" s="483" t="s">
        <v>31</v>
      </c>
      <c r="M1" s="483" t="s">
        <v>32</v>
      </c>
      <c r="N1" s="484" t="s">
        <v>33</v>
      </c>
    </row>
    <row r="2" spans="1:14" ht="16.5" customHeight="1" x14ac:dyDescent="0.3">
      <c r="A2" s="481"/>
      <c r="B2" s="201" t="s">
        <v>178</v>
      </c>
      <c r="C2" s="485">
        <f>M.O!X11</f>
        <v>5410.4180888888895</v>
      </c>
      <c r="D2" s="485">
        <f>M.O!AV11</f>
        <v>5410.4180888888895</v>
      </c>
      <c r="E2" s="485">
        <f>M.O!BT11</f>
        <v>5410.4180888888895</v>
      </c>
      <c r="F2" s="485">
        <f>M.O!CR11</f>
        <v>5410.4180888888895</v>
      </c>
      <c r="G2" s="485">
        <f>M.O!DP11</f>
        <v>5410.4180888888895</v>
      </c>
      <c r="H2" s="485">
        <f>M.O!EN11</f>
        <v>5410.4180888888895</v>
      </c>
      <c r="I2" s="485">
        <f>M.O!FL11</f>
        <v>5410.4180888888895</v>
      </c>
      <c r="J2" s="485">
        <f>M.O!GJ11</f>
        <v>5410.4180888888895</v>
      </c>
      <c r="K2" s="485">
        <f>M.O!HH11</f>
        <v>5410.4180888888895</v>
      </c>
      <c r="L2" s="485">
        <f>M.O!IF11</f>
        <v>5410.4180888888895</v>
      </c>
      <c r="M2" s="485">
        <f>M.O!JD11</f>
        <v>5410.4180888888895</v>
      </c>
      <c r="N2" s="486">
        <f>M.O!KB11</f>
        <v>5410.4180888888895</v>
      </c>
    </row>
    <row r="3" spans="1:14" ht="16.5" customHeight="1" x14ac:dyDescent="0.3">
      <c r="B3" s="201" t="s">
        <v>179</v>
      </c>
      <c r="C3" s="487">
        <f>M.O!X20</f>
        <v>5410.4043444444451</v>
      </c>
      <c r="D3" s="487">
        <f>M.O!AV20</f>
        <v>5410.4043444444451</v>
      </c>
      <c r="E3" s="487">
        <f>M.O!BT20</f>
        <v>5410.4043444444451</v>
      </c>
      <c r="F3" s="487">
        <f>M.O!CR20</f>
        <v>5410.4043444444451</v>
      </c>
      <c r="G3" s="487">
        <f>M.O!DP20</f>
        <v>5410.4043444444451</v>
      </c>
      <c r="H3" s="487">
        <f>M.O!EN20</f>
        <v>5410.4043444444451</v>
      </c>
      <c r="I3" s="487">
        <f>M.O!FL20</f>
        <v>5410.4043444444451</v>
      </c>
      <c r="J3" s="487">
        <f>M.O!GJ20</f>
        <v>5410.4043444444451</v>
      </c>
      <c r="K3" s="487">
        <f>M.O!HH20</f>
        <v>5410.4043444444451</v>
      </c>
      <c r="L3" s="487">
        <f>M.O!IF20</f>
        <v>5410.4043444444451</v>
      </c>
      <c r="M3" s="487">
        <f>M.O!JD20</f>
        <v>5410.4043444444451</v>
      </c>
      <c r="N3" s="488">
        <f>M.O!KB20</f>
        <v>5410.4043444444451</v>
      </c>
    </row>
    <row r="4" spans="1:14" x14ac:dyDescent="0.3">
      <c r="B4" s="201" t="s">
        <v>180</v>
      </c>
      <c r="C4" s="487">
        <f>M.O!X27</f>
        <v>4028.0980777777777</v>
      </c>
      <c r="D4" s="487">
        <f>M.O!AV27</f>
        <v>4028.0980777777777</v>
      </c>
      <c r="E4" s="487">
        <f>M.O!BT27</f>
        <v>4028.0980777777777</v>
      </c>
      <c r="F4" s="487">
        <f>M.O!CR27</f>
        <v>4028.0980777777777</v>
      </c>
      <c r="G4" s="487">
        <f>M.O!DP27</f>
        <v>4028.0980777777777</v>
      </c>
      <c r="H4" s="487">
        <f>M.O!EN27</f>
        <v>4028.0980777777777</v>
      </c>
      <c r="I4" s="487">
        <f>M.O!FL27</f>
        <v>4028.0980777777777</v>
      </c>
      <c r="J4" s="487">
        <f>M.O!GJ27</f>
        <v>4028.0980777777777</v>
      </c>
      <c r="K4" s="487">
        <f>M.O!HH27</f>
        <v>4028.0980777777777</v>
      </c>
      <c r="L4" s="487">
        <f>M.O!IF27</f>
        <v>4028.0980777777777</v>
      </c>
      <c r="M4" s="487">
        <f>M.O!JD27</f>
        <v>4028.0980777777777</v>
      </c>
      <c r="N4" s="488">
        <f>M.O!KB27</f>
        <v>4028.0980777777777</v>
      </c>
    </row>
    <row r="5" spans="1:14" x14ac:dyDescent="0.3">
      <c r="B5" s="201" t="s">
        <v>181</v>
      </c>
      <c r="C5" s="487">
        <f>M.O!X37</f>
        <v>3961.4924999999998</v>
      </c>
      <c r="D5" s="487">
        <f>M.O!AV37</f>
        <v>3961.4924999999998</v>
      </c>
      <c r="E5" s="487">
        <f>M.O!BT37</f>
        <v>3961.4924999999998</v>
      </c>
      <c r="F5" s="487">
        <f>M.O!CR37</f>
        <v>3961.4924999999998</v>
      </c>
      <c r="G5" s="487">
        <f>M.O!DP37</f>
        <v>3961.4924999999998</v>
      </c>
      <c r="H5" s="487">
        <f>M.O!EN37</f>
        <v>3961.4924999999998</v>
      </c>
      <c r="I5" s="487">
        <f>M.O!FL37</f>
        <v>3961.4924999999998</v>
      </c>
      <c r="J5" s="487">
        <f>M.O!GJ37</f>
        <v>3961.4924999999998</v>
      </c>
      <c r="K5" s="487">
        <f>M.O!HH37</f>
        <v>3961.4924999999998</v>
      </c>
      <c r="L5" s="487">
        <f>M.O!IF37</f>
        <v>3961.4924999999998</v>
      </c>
      <c r="M5" s="487">
        <f>M.O!JD37</f>
        <v>3961.4924999999998</v>
      </c>
      <c r="N5" s="488">
        <f>M.O!KB37</f>
        <v>3961.4924999999998</v>
      </c>
    </row>
    <row r="6" spans="1:14" x14ac:dyDescent="0.3">
      <c r="B6" s="201" t="s">
        <v>182</v>
      </c>
      <c r="C6" s="487">
        <f>M.O!X44</f>
        <v>7491.4369333333334</v>
      </c>
      <c r="D6" s="487">
        <f>M.O!AV44</f>
        <v>7491.4369333333334</v>
      </c>
      <c r="E6" s="487">
        <f>M.O!BT44</f>
        <v>7491.4369333333334</v>
      </c>
      <c r="F6" s="487">
        <f>M.O!CR44</f>
        <v>7491.4369333333334</v>
      </c>
      <c r="G6" s="487">
        <f>M.O!DP44</f>
        <v>7491.4369333333334</v>
      </c>
      <c r="H6" s="487">
        <f>M.O!EN44</f>
        <v>7491.4369333333334</v>
      </c>
      <c r="I6" s="487">
        <f>M.O!FL44</f>
        <v>7491.4369333333334</v>
      </c>
      <c r="J6" s="487">
        <f>M.O!GJ44</f>
        <v>7491.4369333333334</v>
      </c>
      <c r="K6" s="487">
        <f>M.O!HH44</f>
        <v>3126.8886000000002</v>
      </c>
      <c r="L6" s="487">
        <f>M.O!IF44</f>
        <v>3126.8886000000002</v>
      </c>
      <c r="M6" s="487">
        <f>M.O!JD44</f>
        <v>3126.8886000000002</v>
      </c>
      <c r="N6" s="488">
        <f>M.O!KB44</f>
        <v>3126.8886000000002</v>
      </c>
    </row>
    <row r="7" spans="1:14" x14ac:dyDescent="0.3">
      <c r="B7" s="201" t="s">
        <v>183</v>
      </c>
      <c r="C7" s="487">
        <f>M.O!X53</f>
        <v>6872.2222222222226</v>
      </c>
      <c r="D7" s="487">
        <f>M.O!AV53</f>
        <v>6872.2222222222226</v>
      </c>
      <c r="E7" s="487">
        <f>M.O!BT53</f>
        <v>6872.2222222222226</v>
      </c>
      <c r="F7" s="487">
        <f>M.O!CR53</f>
        <v>6872.2222222222226</v>
      </c>
      <c r="G7" s="487">
        <f>M.O!DP53</f>
        <v>6872.2222222222226</v>
      </c>
      <c r="H7" s="487">
        <f>M.O!EN53</f>
        <v>6872.2222222222226</v>
      </c>
      <c r="I7" s="487">
        <f>M.O!FL53</f>
        <v>6872.2222222222226</v>
      </c>
      <c r="J7" s="487">
        <f>M.O!GJ53</f>
        <v>6872.2222222222226</v>
      </c>
      <c r="K7" s="487">
        <f>M.O!HH53</f>
        <v>6047.5555555555566</v>
      </c>
      <c r="L7" s="487">
        <f>M.O!IF53</f>
        <v>6047.5555555555566</v>
      </c>
      <c r="M7" s="487">
        <f>M.O!JD53</f>
        <v>6047.5555555555566</v>
      </c>
      <c r="N7" s="488">
        <f>M.O!KB53</f>
        <v>6047.5555555555566</v>
      </c>
    </row>
    <row r="8" spans="1:14" ht="15.6" x14ac:dyDescent="0.3">
      <c r="B8" s="498" t="s">
        <v>189</v>
      </c>
      <c r="C8" s="487">
        <f>M.O!X62</f>
        <v>3023.7777777777783</v>
      </c>
      <c r="D8" s="487">
        <f>M.O!AV62</f>
        <v>3023.7777777777783</v>
      </c>
      <c r="E8" s="487">
        <f>M.O!BT62</f>
        <v>3023.7777777777783</v>
      </c>
      <c r="F8" s="487">
        <f>M.O!CR62</f>
        <v>3023.7777777777783</v>
      </c>
      <c r="G8" s="487">
        <f>M.O!DP62</f>
        <v>3023.7777777777783</v>
      </c>
      <c r="H8" s="487">
        <f>M.O!EN62</f>
        <v>3023.7777777777783</v>
      </c>
      <c r="I8" s="487">
        <f>M.O!FL62</f>
        <v>3023.7777777777783</v>
      </c>
      <c r="J8" s="487">
        <f>M.O!GJ62</f>
        <v>3023.7777777777783</v>
      </c>
      <c r="K8" s="487">
        <f>M.O!HH62</f>
        <v>3023.7777777777783</v>
      </c>
      <c r="L8" s="487">
        <f>M.O!IF62</f>
        <v>3023.7777777777783</v>
      </c>
      <c r="M8" s="487">
        <f>M.O!JD62</f>
        <v>3023.7777777777783</v>
      </c>
      <c r="N8" s="488">
        <f>M.O!KB62</f>
        <v>3023.7777777777783</v>
      </c>
    </row>
    <row r="9" spans="1:14" x14ac:dyDescent="0.3">
      <c r="B9" s="266" t="s">
        <v>40</v>
      </c>
      <c r="C9" s="487">
        <v>0</v>
      </c>
      <c r="D9" s="487">
        <v>0</v>
      </c>
      <c r="E9" s="487">
        <v>0</v>
      </c>
      <c r="F9" s="487">
        <v>0</v>
      </c>
      <c r="G9" s="487">
        <v>0</v>
      </c>
      <c r="H9" s="487">
        <v>0</v>
      </c>
      <c r="I9" s="487">
        <v>0</v>
      </c>
      <c r="J9" s="487">
        <v>0</v>
      </c>
      <c r="K9" s="487">
        <v>0</v>
      </c>
      <c r="L9" s="487">
        <v>0</v>
      </c>
      <c r="M9" s="487">
        <v>0</v>
      </c>
      <c r="N9" s="488">
        <v>0</v>
      </c>
    </row>
    <row r="10" spans="1:14" x14ac:dyDescent="0.3">
      <c r="B10" s="499" t="s">
        <v>213</v>
      </c>
      <c r="C10" s="500">
        <f t="shared" ref="C10:N10" si="0">SUM(C2:C9)</f>
        <v>36197.849944444446</v>
      </c>
      <c r="D10" s="500">
        <f t="shared" si="0"/>
        <v>36197.849944444446</v>
      </c>
      <c r="E10" s="500">
        <f t="shared" si="0"/>
        <v>36197.849944444446</v>
      </c>
      <c r="F10" s="500">
        <f t="shared" si="0"/>
        <v>36197.849944444446</v>
      </c>
      <c r="G10" s="500">
        <f t="shared" si="0"/>
        <v>36197.849944444446</v>
      </c>
      <c r="H10" s="500">
        <f t="shared" si="0"/>
        <v>36197.849944444446</v>
      </c>
      <c r="I10" s="500">
        <f t="shared" si="0"/>
        <v>36197.849944444446</v>
      </c>
      <c r="J10" s="500">
        <f t="shared" si="0"/>
        <v>36197.849944444446</v>
      </c>
      <c r="K10" s="500">
        <f t="shared" si="0"/>
        <v>31008.634944444446</v>
      </c>
      <c r="L10" s="500">
        <f t="shared" si="0"/>
        <v>31008.634944444446</v>
      </c>
      <c r="M10" s="500">
        <f t="shared" si="0"/>
        <v>31008.634944444446</v>
      </c>
      <c r="N10" s="500">
        <f t="shared" si="0"/>
        <v>31008.634944444446</v>
      </c>
    </row>
    <row r="11" spans="1:14" ht="15.6" x14ac:dyDescent="0.3">
      <c r="B11" s="489" t="s">
        <v>211</v>
      </c>
      <c r="C11" s="490">
        <f t="shared" ref="C11:N11" si="1">SUM(C2:C9)/7</f>
        <v>5171.1214206349205</v>
      </c>
      <c r="D11" s="490">
        <f t="shared" si="1"/>
        <v>5171.1214206349205</v>
      </c>
      <c r="E11" s="490">
        <f t="shared" si="1"/>
        <v>5171.1214206349205</v>
      </c>
      <c r="F11" s="490">
        <f t="shared" si="1"/>
        <v>5171.1214206349205</v>
      </c>
      <c r="G11" s="490">
        <f t="shared" si="1"/>
        <v>5171.1214206349205</v>
      </c>
      <c r="H11" s="490">
        <f t="shared" si="1"/>
        <v>5171.1214206349205</v>
      </c>
      <c r="I11" s="490">
        <f t="shared" si="1"/>
        <v>5171.1214206349205</v>
      </c>
      <c r="J11" s="490">
        <f t="shared" si="1"/>
        <v>5171.1214206349205</v>
      </c>
      <c r="K11" s="490">
        <f t="shared" si="1"/>
        <v>4429.8049920634921</v>
      </c>
      <c r="L11" s="490">
        <f t="shared" si="1"/>
        <v>4429.8049920634921</v>
      </c>
      <c r="M11" s="490">
        <f t="shared" si="1"/>
        <v>4429.8049920634921</v>
      </c>
      <c r="N11" s="491">
        <f t="shared" si="1"/>
        <v>4429.8049920634921</v>
      </c>
    </row>
    <row r="12" spans="1:14" ht="15.6" x14ac:dyDescent="0.3">
      <c r="B12" s="194" t="s">
        <v>102</v>
      </c>
      <c r="C12" s="492">
        <f>M.O!X89</f>
        <v>64003.191833333331</v>
      </c>
      <c r="D12" s="492">
        <f>M.O!AV89</f>
        <v>64003.191833333331</v>
      </c>
      <c r="E12" s="492">
        <f>M.O!BT89</f>
        <v>64003.191833333331</v>
      </c>
      <c r="F12" s="492">
        <f>M.O!CR89</f>
        <v>64003.191833333331</v>
      </c>
      <c r="G12" s="492">
        <f>M.O!DP89</f>
        <v>64003.191833333331</v>
      </c>
      <c r="H12" s="492">
        <f>M.O!EN89</f>
        <v>64003.191833333331</v>
      </c>
      <c r="I12" s="492">
        <f>M.O!FL89</f>
        <v>64003.191833333331</v>
      </c>
      <c r="J12" s="492">
        <f>M.O!GJ89</f>
        <v>64003.191833333331</v>
      </c>
      <c r="K12" s="492">
        <f>M.O!HH89</f>
        <v>64003.191833333331</v>
      </c>
      <c r="L12" s="492">
        <f>M.O!IF89</f>
        <v>64003.191833333331</v>
      </c>
      <c r="M12" s="492">
        <f>M.O!JD89</f>
        <v>64003.191833333331</v>
      </c>
      <c r="N12" s="493">
        <f>M.O!KB89</f>
        <v>64003.191833333331</v>
      </c>
    </row>
    <row r="13" spans="1:14" x14ac:dyDescent="0.3">
      <c r="B13" s="494" t="s">
        <v>212</v>
      </c>
      <c r="C13" s="495">
        <f t="shared" ref="C13:N13" si="2">C12/7</f>
        <v>9143.3131190476179</v>
      </c>
      <c r="D13" s="496">
        <f t="shared" si="2"/>
        <v>9143.3131190476179</v>
      </c>
      <c r="E13" s="496">
        <f t="shared" si="2"/>
        <v>9143.3131190476179</v>
      </c>
      <c r="F13" s="496">
        <f t="shared" si="2"/>
        <v>9143.3131190476179</v>
      </c>
      <c r="G13" s="496">
        <f t="shared" si="2"/>
        <v>9143.3131190476179</v>
      </c>
      <c r="H13" s="496">
        <f t="shared" si="2"/>
        <v>9143.3131190476179</v>
      </c>
      <c r="I13" s="496">
        <f t="shared" si="2"/>
        <v>9143.3131190476179</v>
      </c>
      <c r="J13" s="496">
        <f t="shared" si="2"/>
        <v>9143.3131190476179</v>
      </c>
      <c r="K13" s="496">
        <f t="shared" si="2"/>
        <v>9143.3131190476179</v>
      </c>
      <c r="L13" s="496">
        <f t="shared" si="2"/>
        <v>9143.3131190476179</v>
      </c>
      <c r="M13" s="496">
        <f t="shared" si="2"/>
        <v>9143.3131190476179</v>
      </c>
      <c r="N13" s="497">
        <f t="shared" si="2"/>
        <v>9143.3131190476179</v>
      </c>
    </row>
  </sheetData>
  <hyperlinks>
    <hyperlink ref="A1" location="Menu!A1" display="Menu" xr:uid="{00000000-0004-0000-1D00-000000000000}"/>
    <hyperlink ref="B9" location="'Desplacante de Gancheira 1'!A1" display="Desplacante de Gancheira 1" xr:uid="{51677E5A-8820-4F91-8F3B-4B1396CA83AE}"/>
  </hyperlink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Plan30"/>
  <dimension ref="A1:EC40"/>
  <sheetViews>
    <sheetView workbookViewId="0"/>
  </sheetViews>
  <sheetFormatPr defaultColWidth="9.109375" defaultRowHeight="14.4" x14ac:dyDescent="0.3"/>
  <cols>
    <col min="1" max="1" width="11.88671875" style="70" bestFit="1" customWidth="1"/>
    <col min="2" max="2" width="9.109375" style="70"/>
    <col min="3" max="6" width="12.33203125" style="70" bestFit="1" customWidth="1"/>
    <col min="7" max="7" width="13.5546875" style="70" bestFit="1" customWidth="1"/>
    <col min="8" max="8" width="12.33203125" style="70" customWidth="1"/>
    <col min="9" max="9" width="13.5546875" style="70" bestFit="1" customWidth="1"/>
    <col min="10" max="10" width="13.5546875" style="70" customWidth="1"/>
    <col min="11" max="11" width="12.33203125" style="70" customWidth="1"/>
    <col min="12" max="12" width="13.5546875" style="70" bestFit="1" customWidth="1"/>
    <col min="13" max="13" width="9.109375" style="70"/>
    <col min="14" max="17" width="12.33203125" style="70" bestFit="1" customWidth="1"/>
    <col min="18" max="18" width="13.5546875" style="70" bestFit="1" customWidth="1"/>
    <col min="19" max="19" width="9.109375" style="70"/>
    <col min="20" max="20" width="13.5546875" style="70" bestFit="1" customWidth="1"/>
    <col min="21" max="21" width="13.5546875" style="70" customWidth="1"/>
    <col min="22" max="23" width="12.33203125" style="70" bestFit="1" customWidth="1"/>
    <col min="24" max="24" width="9.109375" style="70"/>
    <col min="25" max="25" width="13.5546875" style="70" bestFit="1" customWidth="1"/>
    <col min="26" max="27" width="12.33203125" style="70" bestFit="1" customWidth="1"/>
    <col min="28" max="29" width="13.5546875" style="70" bestFit="1" customWidth="1"/>
    <col min="30" max="30" width="9.109375" style="70"/>
    <col min="31" max="31" width="13.5546875" style="70" bestFit="1" customWidth="1"/>
    <col min="32" max="32" width="12.33203125" style="70" bestFit="1" customWidth="1"/>
    <col min="33" max="33" width="9.109375" style="70"/>
    <col min="34" max="34" width="12.33203125" style="70" bestFit="1" customWidth="1"/>
    <col min="35" max="35" width="9.109375" style="70"/>
    <col min="36" max="36" width="13.5546875" style="70" bestFit="1" customWidth="1"/>
    <col min="37" max="38" width="12.33203125" style="70" bestFit="1" customWidth="1"/>
    <col min="39" max="40" width="13.5546875" style="70" bestFit="1" customWidth="1"/>
    <col min="41" max="41" width="11.5546875" style="70" bestFit="1" customWidth="1"/>
    <col min="42" max="42" width="13.5546875" style="70" bestFit="1" customWidth="1"/>
    <col min="43" max="43" width="12.33203125" style="70" bestFit="1" customWidth="1"/>
    <col min="44" max="44" width="9.109375" style="70"/>
    <col min="45" max="45" width="12.33203125" style="70" bestFit="1" customWidth="1"/>
    <col min="46" max="46" width="9.109375" style="70"/>
    <col min="47" max="50" width="12.33203125" style="70" bestFit="1" customWidth="1"/>
    <col min="51" max="51" width="13.5546875" style="70" bestFit="1" customWidth="1"/>
    <col min="52" max="52" width="9.109375" style="70"/>
    <col min="53" max="53" width="13.5546875" style="70" bestFit="1" customWidth="1"/>
    <col min="54" max="54" width="12.33203125" style="70" bestFit="1" customWidth="1"/>
    <col min="55" max="55" width="9.109375" style="70"/>
    <col min="56" max="56" width="12.33203125" style="70" bestFit="1" customWidth="1"/>
    <col min="57" max="57" width="9.109375" style="70"/>
    <col min="58" max="61" width="12.33203125" style="70" bestFit="1" customWidth="1"/>
    <col min="62" max="62" width="13.5546875" style="70" bestFit="1" customWidth="1"/>
    <col min="63" max="63" width="9.109375" style="70"/>
    <col min="64" max="64" width="13.5546875" style="70" bestFit="1" customWidth="1"/>
    <col min="65" max="65" width="12.33203125" style="70" bestFit="1" customWidth="1"/>
    <col min="66" max="66" width="8.33203125" style="70" bestFit="1" customWidth="1"/>
    <col min="67" max="67" width="12.33203125" style="70" bestFit="1" customWidth="1"/>
    <col min="68" max="68" width="9.109375" style="70"/>
    <col min="69" max="72" width="12.33203125" style="70" bestFit="1" customWidth="1"/>
    <col min="73" max="73" width="13.5546875" style="70" bestFit="1" customWidth="1"/>
    <col min="74" max="74" width="11.5546875" style="70" bestFit="1" customWidth="1"/>
    <col min="75" max="75" width="13.5546875" style="70" bestFit="1" customWidth="1"/>
    <col min="76" max="76" width="12.33203125" style="70" bestFit="1" customWidth="1"/>
    <col min="77" max="77" width="9.109375" style="70"/>
    <col min="78" max="78" width="12.33203125" style="70" bestFit="1" customWidth="1"/>
    <col min="79" max="79" width="9.109375" style="70"/>
    <col min="80" max="83" width="12.33203125" style="70" bestFit="1" customWidth="1"/>
    <col min="84" max="84" width="13.5546875" style="70" bestFit="1" customWidth="1"/>
    <col min="85" max="85" width="9.109375" style="70"/>
    <col min="86" max="86" width="13.5546875" style="70" bestFit="1" customWidth="1"/>
    <col min="87" max="87" width="12.33203125" style="70" bestFit="1" customWidth="1"/>
    <col min="88" max="88" width="9.109375" style="70"/>
    <col min="89" max="89" width="12.33203125" style="70" bestFit="1" customWidth="1"/>
    <col min="90" max="90" width="9.109375" style="70"/>
    <col min="91" max="91" width="13" style="70" bestFit="1" customWidth="1"/>
    <col min="92" max="93" width="12.33203125" style="70" bestFit="1" customWidth="1"/>
    <col min="94" max="94" width="13" style="70" bestFit="1" customWidth="1"/>
    <col min="95" max="95" width="13.5546875" style="70" bestFit="1" customWidth="1"/>
    <col min="96" max="96" width="9.109375" style="70"/>
    <col min="97" max="97" width="13.5546875" style="70" bestFit="1" customWidth="1"/>
    <col min="98" max="98" width="12.33203125" style="70" bestFit="1" customWidth="1"/>
    <col min="99" max="99" width="9.109375" style="70"/>
    <col min="100" max="100" width="12.33203125" style="70" bestFit="1" customWidth="1"/>
    <col min="101" max="101" width="9.109375" style="70"/>
    <col min="102" max="105" width="12.33203125" style="70" bestFit="1" customWidth="1"/>
    <col min="106" max="106" width="13.5546875" style="70" bestFit="1" customWidth="1"/>
    <col min="107" max="107" width="11.5546875" style="70" bestFit="1" customWidth="1"/>
    <col min="108" max="108" width="13.5546875" style="70" bestFit="1" customWidth="1"/>
    <col min="109" max="109" width="12.33203125" style="70" bestFit="1" customWidth="1"/>
    <col min="110" max="110" width="9.109375" style="70"/>
    <col min="111" max="111" width="12.33203125" style="70" bestFit="1" customWidth="1"/>
    <col min="112" max="112" width="9.109375" style="70"/>
    <col min="113" max="113" width="13.44140625" style="70" bestFit="1" customWidth="1"/>
    <col min="114" max="116" width="12.33203125" style="70" bestFit="1" customWidth="1"/>
    <col min="117" max="117" width="13.5546875" style="70" bestFit="1" customWidth="1"/>
    <col min="118" max="118" width="9.109375" style="70"/>
    <col min="119" max="119" width="13.5546875" style="70" bestFit="1" customWidth="1"/>
    <col min="120" max="120" width="12.33203125" style="70" bestFit="1" customWidth="1"/>
    <col min="121" max="121" width="9.109375" style="70"/>
    <col min="122" max="122" width="12.33203125" style="70" bestFit="1" customWidth="1"/>
    <col min="123" max="123" width="9.109375" style="70"/>
    <col min="124" max="127" width="12.33203125" style="70" bestFit="1" customWidth="1"/>
    <col min="128" max="128" width="13.5546875" style="70" bestFit="1" customWidth="1"/>
    <col min="129" max="129" width="9.109375" style="70"/>
    <col min="130" max="130" width="13.5546875" style="70" bestFit="1" customWidth="1"/>
    <col min="131" max="131" width="12.33203125" style="70" bestFit="1" customWidth="1"/>
    <col min="132" max="132" width="9.109375" style="70"/>
    <col min="133" max="133" width="12.33203125" style="70" bestFit="1" customWidth="1"/>
    <col min="134" max="16384" width="9.109375" style="70"/>
  </cols>
  <sheetData>
    <row r="1" spans="1:133" ht="29.4" thickBot="1" x14ac:dyDescent="0.35">
      <c r="A1" s="185" t="s">
        <v>96</v>
      </c>
      <c r="B1" s="37"/>
      <c r="C1" s="37"/>
      <c r="D1" s="37"/>
      <c r="E1" s="37"/>
      <c r="F1" s="37"/>
      <c r="G1" s="37"/>
      <c r="H1" s="37"/>
      <c r="I1" s="37"/>
      <c r="J1" s="37"/>
      <c r="K1" s="37"/>
      <c r="L1" s="37"/>
      <c r="M1" s="37"/>
      <c r="N1" s="37"/>
      <c r="O1" s="37"/>
      <c r="P1" s="37"/>
      <c r="Q1" s="37"/>
      <c r="R1" s="37"/>
      <c r="S1" s="37"/>
      <c r="T1" s="37"/>
      <c r="U1" s="37"/>
      <c r="V1" s="37"/>
      <c r="W1" s="37"/>
      <c r="DP1" s="232"/>
      <c r="DQ1" s="232"/>
      <c r="DR1" s="232"/>
    </row>
    <row r="2" spans="1:133" ht="18" x14ac:dyDescent="0.35">
      <c r="B2" s="37"/>
      <c r="C2" s="219" t="s">
        <v>12</v>
      </c>
      <c r="D2" s="602" t="s">
        <v>122</v>
      </c>
      <c r="E2" s="602"/>
      <c r="F2" s="219"/>
      <c r="G2" s="219"/>
      <c r="H2" s="235" t="s">
        <v>54</v>
      </c>
      <c r="I2" s="141"/>
      <c r="J2" s="232"/>
      <c r="K2" s="606" t="s">
        <v>101</v>
      </c>
      <c r="L2" s="606"/>
      <c r="M2" s="37"/>
      <c r="N2" s="234" t="s">
        <v>24</v>
      </c>
      <c r="O2" s="602" t="s">
        <v>53</v>
      </c>
      <c r="P2" s="602"/>
      <c r="Q2" s="219"/>
      <c r="R2" s="599" t="s">
        <v>54</v>
      </c>
      <c r="S2" s="599"/>
      <c r="T2" s="141"/>
      <c r="U2" s="599" t="s">
        <v>101</v>
      </c>
      <c r="V2" s="599"/>
      <c r="W2" s="599"/>
      <c r="Y2" s="234" t="s">
        <v>25</v>
      </c>
      <c r="Z2" s="602" t="s">
        <v>122</v>
      </c>
      <c r="AA2" s="602"/>
      <c r="AB2" s="219"/>
      <c r="AC2" s="599" t="s">
        <v>54</v>
      </c>
      <c r="AD2" s="599"/>
      <c r="AE2" s="141"/>
      <c r="AF2" s="599" t="s">
        <v>101</v>
      </c>
      <c r="AG2" s="599"/>
      <c r="AH2" s="599"/>
      <c r="AI2" s="37"/>
      <c r="AJ2" s="219" t="s">
        <v>26</v>
      </c>
      <c r="AK2" s="602" t="s">
        <v>122</v>
      </c>
      <c r="AL2" s="602"/>
      <c r="AM2" s="219"/>
      <c r="AN2" s="219"/>
      <c r="AO2" s="236" t="s">
        <v>54</v>
      </c>
      <c r="AP2" s="141"/>
      <c r="AQ2" s="232"/>
      <c r="AR2" s="606" t="s">
        <v>101</v>
      </c>
      <c r="AS2" s="606"/>
      <c r="AT2" s="37"/>
      <c r="AU2" s="234" t="s">
        <v>27</v>
      </c>
      <c r="AV2" s="602" t="s">
        <v>122</v>
      </c>
      <c r="AW2" s="602"/>
      <c r="AX2" s="219"/>
      <c r="AY2" s="599" t="s">
        <v>54</v>
      </c>
      <c r="AZ2" s="599"/>
      <c r="BA2" s="141"/>
      <c r="BB2" s="599" t="s">
        <v>101</v>
      </c>
      <c r="BC2" s="599"/>
      <c r="BD2" s="599"/>
      <c r="BF2" s="234" t="s">
        <v>28</v>
      </c>
      <c r="BG2" s="602" t="s">
        <v>122</v>
      </c>
      <c r="BH2" s="602"/>
      <c r="BI2" s="219"/>
      <c r="BJ2" s="605" t="s">
        <v>54</v>
      </c>
      <c r="BK2" s="605"/>
      <c r="BL2" s="141"/>
      <c r="BM2" s="605" t="s">
        <v>101</v>
      </c>
      <c r="BN2" s="605"/>
      <c r="BO2" s="605"/>
      <c r="BP2" s="37"/>
      <c r="BQ2" s="219" t="s">
        <v>60</v>
      </c>
      <c r="BR2" s="602" t="s">
        <v>122</v>
      </c>
      <c r="BS2" s="602"/>
      <c r="BT2" s="219"/>
      <c r="BU2" s="219"/>
      <c r="BV2" s="235" t="s">
        <v>54</v>
      </c>
      <c r="BW2" s="141"/>
      <c r="BX2" s="232"/>
      <c r="BY2" s="604" t="s">
        <v>101</v>
      </c>
      <c r="BZ2" s="604"/>
      <c r="CA2" s="37"/>
      <c r="CB2" s="234" t="s">
        <v>29</v>
      </c>
      <c r="CC2" s="602" t="s">
        <v>122</v>
      </c>
      <c r="CD2" s="602"/>
      <c r="CE2" s="219"/>
      <c r="CF2" s="605" t="s">
        <v>54</v>
      </c>
      <c r="CG2" s="605"/>
      <c r="CH2" s="141"/>
      <c r="CI2" s="605" t="s">
        <v>101</v>
      </c>
      <c r="CJ2" s="605"/>
      <c r="CK2" s="605"/>
      <c r="CM2" s="234" t="s">
        <v>30</v>
      </c>
      <c r="CN2" s="602" t="s">
        <v>122</v>
      </c>
      <c r="CO2" s="602"/>
      <c r="CP2" s="219"/>
      <c r="CQ2" s="599" t="s">
        <v>54</v>
      </c>
      <c r="CR2" s="599"/>
      <c r="CS2" s="141"/>
      <c r="CT2" s="599" t="s">
        <v>101</v>
      </c>
      <c r="CU2" s="599"/>
      <c r="CV2" s="599"/>
      <c r="CW2" s="37"/>
      <c r="CX2" s="219" t="s">
        <v>31</v>
      </c>
      <c r="CY2" s="602" t="s">
        <v>122</v>
      </c>
      <c r="CZ2" s="602"/>
      <c r="DA2" s="219"/>
      <c r="DB2" s="219"/>
      <c r="DC2" s="236" t="s">
        <v>54</v>
      </c>
      <c r="DD2" s="141"/>
      <c r="DE2" s="232"/>
      <c r="DF2" s="603" t="s">
        <v>101</v>
      </c>
      <c r="DG2" s="603"/>
      <c r="DH2" s="37"/>
      <c r="DI2" s="234" t="s">
        <v>32</v>
      </c>
      <c r="DJ2" s="602" t="s">
        <v>122</v>
      </c>
      <c r="DK2" s="602"/>
      <c r="DL2" s="219"/>
      <c r="DM2" s="599" t="s">
        <v>54</v>
      </c>
      <c r="DN2" s="599"/>
      <c r="DO2" s="141"/>
      <c r="DP2" s="599" t="s">
        <v>101</v>
      </c>
      <c r="DQ2" s="599"/>
      <c r="DR2" s="599"/>
      <c r="DT2" s="234" t="s">
        <v>33</v>
      </c>
      <c r="DU2" s="602" t="s">
        <v>122</v>
      </c>
      <c r="DV2" s="602"/>
      <c r="DW2" s="219"/>
      <c r="DX2" s="599" t="s">
        <v>54</v>
      </c>
      <c r="DY2" s="599"/>
      <c r="DZ2" s="141"/>
      <c r="EA2" s="599" t="s">
        <v>101</v>
      </c>
      <c r="EB2" s="599"/>
      <c r="EC2" s="599"/>
    </row>
    <row r="3" spans="1:133" ht="61.8" x14ac:dyDescent="0.3">
      <c r="B3" s="77" t="s">
        <v>55</v>
      </c>
      <c r="C3" s="78" t="s">
        <v>122</v>
      </c>
      <c r="D3" s="79"/>
      <c r="E3" s="80"/>
      <c r="F3" s="81" t="s">
        <v>56</v>
      </c>
      <c r="G3" s="80" t="s">
        <v>99</v>
      </c>
      <c r="H3" s="80"/>
      <c r="I3" s="82" t="s">
        <v>56</v>
      </c>
      <c r="J3" s="218" t="s">
        <v>100</v>
      </c>
      <c r="K3" s="218"/>
      <c r="L3" s="82" t="s">
        <v>56</v>
      </c>
      <c r="M3" s="77" t="s">
        <v>55</v>
      </c>
      <c r="N3" s="78" t="s">
        <v>122</v>
      </c>
      <c r="O3" s="79"/>
      <c r="P3" s="80"/>
      <c r="Q3" s="81" t="s">
        <v>56</v>
      </c>
      <c r="R3" s="80" t="s">
        <v>99</v>
      </c>
      <c r="S3" s="80"/>
      <c r="T3" s="82" t="s">
        <v>56</v>
      </c>
      <c r="U3" s="218" t="s">
        <v>100</v>
      </c>
      <c r="V3" s="218"/>
      <c r="W3" s="82" t="s">
        <v>56</v>
      </c>
      <c r="X3" s="77" t="s">
        <v>55</v>
      </c>
      <c r="Y3" s="78" t="s">
        <v>122</v>
      </c>
      <c r="Z3" s="79"/>
      <c r="AA3" s="80"/>
      <c r="AB3" s="81" t="s">
        <v>56</v>
      </c>
      <c r="AC3" s="80" t="s">
        <v>99</v>
      </c>
      <c r="AD3" s="80"/>
      <c r="AE3" s="82" t="s">
        <v>56</v>
      </c>
      <c r="AF3" s="218" t="s">
        <v>100</v>
      </c>
      <c r="AG3" s="218"/>
      <c r="AH3" s="82" t="s">
        <v>56</v>
      </c>
      <c r="AI3" s="77" t="s">
        <v>55</v>
      </c>
      <c r="AJ3" s="78" t="s">
        <v>122</v>
      </c>
      <c r="AK3" s="79"/>
      <c r="AL3" s="80"/>
      <c r="AM3" s="81" t="s">
        <v>56</v>
      </c>
      <c r="AN3" s="80" t="s">
        <v>99</v>
      </c>
      <c r="AO3" s="80"/>
      <c r="AP3" s="82" t="s">
        <v>56</v>
      </c>
      <c r="AQ3" s="218" t="s">
        <v>100</v>
      </c>
      <c r="AR3" s="218"/>
      <c r="AS3" s="82" t="s">
        <v>56</v>
      </c>
      <c r="AT3" s="77" t="s">
        <v>55</v>
      </c>
      <c r="AU3" s="78" t="s">
        <v>122</v>
      </c>
      <c r="AV3" s="79"/>
      <c r="AW3" s="80"/>
      <c r="AX3" s="81" t="s">
        <v>56</v>
      </c>
      <c r="AY3" s="80" t="s">
        <v>99</v>
      </c>
      <c r="AZ3" s="80"/>
      <c r="BA3" s="82" t="s">
        <v>56</v>
      </c>
      <c r="BB3" s="218" t="s">
        <v>100</v>
      </c>
      <c r="BC3" s="218"/>
      <c r="BD3" s="82" t="s">
        <v>56</v>
      </c>
      <c r="BE3" s="77" t="s">
        <v>55</v>
      </c>
      <c r="BF3" s="78" t="s">
        <v>122</v>
      </c>
      <c r="BG3" s="79"/>
      <c r="BH3" s="80"/>
      <c r="BI3" s="81" t="s">
        <v>56</v>
      </c>
      <c r="BJ3" s="80" t="s">
        <v>99</v>
      </c>
      <c r="BK3" s="80"/>
      <c r="BL3" s="82" t="s">
        <v>56</v>
      </c>
      <c r="BM3" s="218" t="s">
        <v>100</v>
      </c>
      <c r="BN3" s="218"/>
      <c r="BO3" s="82" t="s">
        <v>56</v>
      </c>
      <c r="BP3" s="77" t="s">
        <v>55</v>
      </c>
      <c r="BQ3" s="78" t="s">
        <v>122</v>
      </c>
      <c r="BR3" s="79"/>
      <c r="BS3" s="80"/>
      <c r="BT3" s="81" t="s">
        <v>56</v>
      </c>
      <c r="BU3" s="80" t="s">
        <v>99</v>
      </c>
      <c r="BV3" s="80"/>
      <c r="BW3" s="82" t="s">
        <v>56</v>
      </c>
      <c r="BX3" s="218" t="s">
        <v>100</v>
      </c>
      <c r="BY3" s="218"/>
      <c r="BZ3" s="82" t="s">
        <v>56</v>
      </c>
      <c r="CA3" s="77" t="s">
        <v>55</v>
      </c>
      <c r="CB3" s="78" t="s">
        <v>122</v>
      </c>
      <c r="CC3" s="79"/>
      <c r="CD3" s="80"/>
      <c r="CE3" s="81" t="s">
        <v>56</v>
      </c>
      <c r="CF3" s="80" t="s">
        <v>99</v>
      </c>
      <c r="CG3" s="80"/>
      <c r="CH3" s="82" t="s">
        <v>56</v>
      </c>
      <c r="CI3" s="218" t="s">
        <v>100</v>
      </c>
      <c r="CJ3" s="218"/>
      <c r="CK3" s="82" t="s">
        <v>56</v>
      </c>
      <c r="CL3" s="77" t="s">
        <v>55</v>
      </c>
      <c r="CM3" s="78" t="s">
        <v>122</v>
      </c>
      <c r="CN3" s="79"/>
      <c r="CO3" s="80"/>
      <c r="CP3" s="81" t="s">
        <v>56</v>
      </c>
      <c r="CQ3" s="80" t="s">
        <v>99</v>
      </c>
      <c r="CR3" s="80"/>
      <c r="CS3" s="82" t="s">
        <v>56</v>
      </c>
      <c r="CT3" s="218" t="s">
        <v>100</v>
      </c>
      <c r="CU3" s="218"/>
      <c r="CV3" s="82" t="s">
        <v>56</v>
      </c>
      <c r="CW3" s="77" t="s">
        <v>55</v>
      </c>
      <c r="CX3" s="78" t="s">
        <v>122</v>
      </c>
      <c r="CY3" s="79"/>
      <c r="CZ3" s="80"/>
      <c r="DA3" s="81" t="s">
        <v>56</v>
      </c>
      <c r="DB3" s="80" t="s">
        <v>99</v>
      </c>
      <c r="DC3" s="80"/>
      <c r="DD3" s="82" t="s">
        <v>56</v>
      </c>
      <c r="DE3" s="218" t="s">
        <v>100</v>
      </c>
      <c r="DF3" s="218"/>
      <c r="DG3" s="82" t="s">
        <v>56</v>
      </c>
      <c r="DH3" s="77" t="s">
        <v>55</v>
      </c>
      <c r="DI3" s="78" t="s">
        <v>122</v>
      </c>
      <c r="DJ3" s="79"/>
      <c r="DK3" s="80"/>
      <c r="DL3" s="81" t="s">
        <v>56</v>
      </c>
      <c r="DM3" s="80" t="s">
        <v>99</v>
      </c>
      <c r="DN3" s="80"/>
      <c r="DO3" s="82" t="s">
        <v>56</v>
      </c>
      <c r="DP3" s="218" t="s">
        <v>100</v>
      </c>
      <c r="DQ3" s="218"/>
      <c r="DR3" s="82" t="s">
        <v>56</v>
      </c>
      <c r="DS3" s="77" t="s">
        <v>55</v>
      </c>
      <c r="DT3" s="78" t="s">
        <v>122</v>
      </c>
      <c r="DU3" s="79"/>
      <c r="DV3" s="80"/>
      <c r="DW3" s="81" t="s">
        <v>56</v>
      </c>
      <c r="DX3" s="80" t="s">
        <v>99</v>
      </c>
      <c r="DY3" s="80"/>
      <c r="DZ3" s="82" t="s">
        <v>56</v>
      </c>
      <c r="EA3" s="218" t="s">
        <v>100</v>
      </c>
      <c r="EB3" s="218"/>
      <c r="EC3" s="82" t="s">
        <v>56</v>
      </c>
    </row>
    <row r="4" spans="1:133" ht="16.2" thickBot="1" x14ac:dyDescent="0.35">
      <c r="B4" s="83">
        <v>1</v>
      </c>
      <c r="C4" s="84">
        <v>0</v>
      </c>
      <c r="D4" s="84">
        <v>0</v>
      </c>
      <c r="E4" s="84">
        <v>0</v>
      </c>
      <c r="F4" s="220">
        <f t="shared" ref="F4:F34" si="0">SUM(C4:E4)</f>
        <v>0</v>
      </c>
      <c r="G4" s="84">
        <v>0</v>
      </c>
      <c r="H4" s="84">
        <v>0</v>
      </c>
      <c r="I4" s="226">
        <f t="shared" ref="I4:I34" si="1">SUM(G4:H4)</f>
        <v>0</v>
      </c>
      <c r="J4" s="84">
        <v>0</v>
      </c>
      <c r="K4" s="84">
        <v>0</v>
      </c>
      <c r="L4" s="226">
        <f>SUM(J4:K4)</f>
        <v>0</v>
      </c>
      <c r="M4" s="83">
        <v>1</v>
      </c>
      <c r="N4" s="84">
        <v>0</v>
      </c>
      <c r="O4" s="84">
        <v>0</v>
      </c>
      <c r="P4" s="84">
        <v>0</v>
      </c>
      <c r="Q4" s="220">
        <f t="shared" ref="Q4:Q34" si="2">SUM(N4:P4)</f>
        <v>0</v>
      </c>
      <c r="R4" s="84">
        <v>0</v>
      </c>
      <c r="S4" s="84">
        <v>0</v>
      </c>
      <c r="T4" s="226">
        <f t="shared" ref="T4:T34" si="3">SUM(R4:S4)</f>
        <v>0</v>
      </c>
      <c r="U4" s="84">
        <v>0</v>
      </c>
      <c r="V4" s="84">
        <v>0</v>
      </c>
      <c r="W4" s="226">
        <f>SUM(U4:V4)</f>
        <v>0</v>
      </c>
      <c r="X4" s="83">
        <v>1</v>
      </c>
      <c r="Y4" s="84">
        <v>0</v>
      </c>
      <c r="Z4" s="84">
        <v>0</v>
      </c>
      <c r="AA4" s="84">
        <v>0</v>
      </c>
      <c r="AB4" s="220">
        <f t="shared" ref="AB4:AB34" si="4">SUM(Y4:AA4)</f>
        <v>0</v>
      </c>
      <c r="AC4" s="84">
        <v>0</v>
      </c>
      <c r="AD4" s="84">
        <v>0</v>
      </c>
      <c r="AE4" s="226">
        <f t="shared" ref="AE4:AE34" si="5">SUM(AC4:AD4)</f>
        <v>0</v>
      </c>
      <c r="AF4" s="84">
        <v>0</v>
      </c>
      <c r="AG4" s="84">
        <v>0</v>
      </c>
      <c r="AH4" s="226">
        <f>SUM(AF4:AG4)</f>
        <v>0</v>
      </c>
      <c r="AI4" s="83">
        <v>1</v>
      </c>
      <c r="AJ4" s="84">
        <v>0</v>
      </c>
      <c r="AK4" s="84">
        <v>0</v>
      </c>
      <c r="AL4" s="84">
        <v>0</v>
      </c>
      <c r="AM4" s="220">
        <f t="shared" ref="AM4:AM34" si="6">SUM(AJ4:AL4)</f>
        <v>0</v>
      </c>
      <c r="AN4" s="84">
        <v>0</v>
      </c>
      <c r="AO4" s="84"/>
      <c r="AP4" s="226">
        <f t="shared" ref="AP4:AP34" si="7">SUM(AN4:AO4)</f>
        <v>0</v>
      </c>
      <c r="AQ4" s="84">
        <v>0</v>
      </c>
      <c r="AR4" s="84">
        <v>0</v>
      </c>
      <c r="AS4" s="226">
        <f>SUM(AQ4:AR4)</f>
        <v>0</v>
      </c>
      <c r="AT4" s="83">
        <v>1</v>
      </c>
      <c r="AU4" s="84">
        <v>0</v>
      </c>
      <c r="AV4" s="84">
        <v>0</v>
      </c>
      <c r="AW4" s="84">
        <v>0</v>
      </c>
      <c r="AX4" s="220">
        <f t="shared" ref="AX4:AX34" si="8">SUM(AU4:AW4)</f>
        <v>0</v>
      </c>
      <c r="AY4" s="84">
        <v>0</v>
      </c>
      <c r="AZ4" s="84"/>
      <c r="BA4" s="226">
        <f t="shared" ref="BA4:BA34" si="9">SUM(AY4:AZ4)</f>
        <v>0</v>
      </c>
      <c r="BB4" s="84">
        <v>0</v>
      </c>
      <c r="BC4" s="84">
        <v>0</v>
      </c>
      <c r="BD4" s="226">
        <f>SUM(BB4:BC4)</f>
        <v>0</v>
      </c>
      <c r="BE4" s="83">
        <v>1</v>
      </c>
      <c r="BF4" s="84">
        <v>0</v>
      </c>
      <c r="BG4" s="84">
        <v>0</v>
      </c>
      <c r="BH4" s="84">
        <v>0</v>
      </c>
      <c r="BI4" s="220">
        <f t="shared" ref="BI4:BI34" si="10">SUM(BF4:BH4)</f>
        <v>0</v>
      </c>
      <c r="BJ4" s="84">
        <v>0</v>
      </c>
      <c r="BK4" s="84">
        <v>0</v>
      </c>
      <c r="BL4" s="226">
        <f t="shared" ref="BL4:BL34" si="11">SUM(BJ4:BK4)</f>
        <v>0</v>
      </c>
      <c r="BM4" s="84">
        <v>0</v>
      </c>
      <c r="BN4" s="84">
        <v>0</v>
      </c>
      <c r="BO4" s="226">
        <f>SUM(BM4:BN4)</f>
        <v>0</v>
      </c>
      <c r="BP4" s="83">
        <v>1</v>
      </c>
      <c r="BQ4" s="84">
        <v>0</v>
      </c>
      <c r="BR4" s="84">
        <v>0</v>
      </c>
      <c r="BS4" s="84">
        <v>0</v>
      </c>
      <c r="BT4" s="220">
        <f t="shared" ref="BT4:BT34" si="12">SUM(BQ4:BS4)</f>
        <v>0</v>
      </c>
      <c r="BU4" s="84">
        <v>0</v>
      </c>
      <c r="BV4" s="84">
        <v>0</v>
      </c>
      <c r="BW4" s="226">
        <f t="shared" ref="BW4:BW34" si="13">SUM(BU4:BV4)</f>
        <v>0</v>
      </c>
      <c r="BX4" s="84">
        <v>0</v>
      </c>
      <c r="BY4" s="84">
        <v>0</v>
      </c>
      <c r="BZ4" s="226">
        <f>SUM(BX4:BY4)</f>
        <v>0</v>
      </c>
      <c r="CA4" s="83">
        <v>1</v>
      </c>
      <c r="CB4" s="84">
        <v>0</v>
      </c>
      <c r="CC4" s="84">
        <v>0</v>
      </c>
      <c r="CD4" s="84">
        <v>0</v>
      </c>
      <c r="CE4" s="220">
        <f t="shared" ref="CE4:CE34" si="14">SUM(CB4:CD4)</f>
        <v>0</v>
      </c>
      <c r="CF4" s="84">
        <v>0</v>
      </c>
      <c r="CG4" s="84">
        <v>0</v>
      </c>
      <c r="CH4" s="226">
        <f t="shared" ref="CH4:CH34" si="15">SUM(CF4:CG4)</f>
        <v>0</v>
      </c>
      <c r="CI4" s="84">
        <v>0</v>
      </c>
      <c r="CJ4" s="84">
        <v>0</v>
      </c>
      <c r="CK4" s="226">
        <f>SUM(CI4:CJ4)</f>
        <v>0</v>
      </c>
      <c r="CL4" s="83">
        <v>1</v>
      </c>
      <c r="CM4" s="84">
        <v>5000</v>
      </c>
      <c r="CN4" s="84">
        <v>0</v>
      </c>
      <c r="CO4" s="84">
        <v>0</v>
      </c>
      <c r="CP4" s="220">
        <f t="shared" ref="CP4:CP34" si="16">SUM(CM4:CO4)</f>
        <v>5000</v>
      </c>
      <c r="CQ4" s="84">
        <v>25000</v>
      </c>
      <c r="CR4" s="84">
        <v>0</v>
      </c>
      <c r="CS4" s="226">
        <f t="shared" ref="CS4:CS34" si="17">SUM(CQ4:CR4)</f>
        <v>25000</v>
      </c>
      <c r="CT4" s="84">
        <v>300</v>
      </c>
      <c r="CU4" s="84">
        <v>0</v>
      </c>
      <c r="CV4" s="226">
        <f>SUM(CT4:CU4)</f>
        <v>300</v>
      </c>
      <c r="CW4" s="83">
        <v>1</v>
      </c>
      <c r="CX4" s="84">
        <v>0</v>
      </c>
      <c r="CY4" s="84">
        <v>0</v>
      </c>
      <c r="CZ4" s="84">
        <v>0</v>
      </c>
      <c r="DA4" s="220">
        <f t="shared" ref="DA4:DA34" si="18">SUM(CX4:CZ4)</f>
        <v>0</v>
      </c>
      <c r="DB4" s="84">
        <v>0</v>
      </c>
      <c r="DC4" s="84">
        <v>0</v>
      </c>
      <c r="DD4" s="226">
        <f t="shared" ref="DD4:DD34" si="19">SUM(DB4:DC4)</f>
        <v>0</v>
      </c>
      <c r="DE4" s="84">
        <v>0</v>
      </c>
      <c r="DF4" s="84">
        <v>0</v>
      </c>
      <c r="DG4" s="226">
        <f>SUM(DE4:DF4)</f>
        <v>0</v>
      </c>
      <c r="DH4" s="83">
        <v>1</v>
      </c>
      <c r="DI4" s="84">
        <v>0</v>
      </c>
      <c r="DJ4" s="84">
        <v>0</v>
      </c>
      <c r="DK4" s="84">
        <v>0</v>
      </c>
      <c r="DL4" s="220">
        <f t="shared" ref="DL4:DL34" si="20">SUM(DI4:DK4)</f>
        <v>0</v>
      </c>
      <c r="DM4" s="84">
        <v>0</v>
      </c>
      <c r="DN4" s="84">
        <v>0</v>
      </c>
      <c r="DO4" s="226">
        <f t="shared" ref="DO4:DO34" si="21">SUM(DM4:DN4)</f>
        <v>0</v>
      </c>
      <c r="DP4" s="84">
        <v>0</v>
      </c>
      <c r="DQ4" s="84">
        <v>0</v>
      </c>
      <c r="DR4" s="226">
        <f>SUM(DP4:DQ4)</f>
        <v>0</v>
      </c>
      <c r="DS4" s="83">
        <v>1</v>
      </c>
      <c r="DT4" s="84">
        <v>0</v>
      </c>
      <c r="DU4" s="84">
        <v>0</v>
      </c>
      <c r="DV4" s="84">
        <v>0</v>
      </c>
      <c r="DW4" s="220">
        <f t="shared" ref="DW4:DW34" si="22">SUM(DT4:DV4)</f>
        <v>0</v>
      </c>
      <c r="DX4" s="84">
        <v>0</v>
      </c>
      <c r="DY4" s="84">
        <v>0</v>
      </c>
      <c r="DZ4" s="226">
        <f t="shared" ref="DZ4:DZ34" si="23">SUM(DX4:DY4)</f>
        <v>0</v>
      </c>
      <c r="EA4" s="84">
        <v>0</v>
      </c>
      <c r="EB4" s="84">
        <v>0</v>
      </c>
      <c r="EC4" s="226">
        <f>SUM(EA4:EB4)</f>
        <v>0</v>
      </c>
    </row>
    <row r="5" spans="1:133" ht="16.8" thickTop="1" thickBot="1" x14ac:dyDescent="0.35">
      <c r="B5" s="86">
        <v>2</v>
      </c>
      <c r="C5" s="85"/>
      <c r="D5" s="85"/>
      <c r="E5" s="85"/>
      <c r="F5" s="221">
        <f t="shared" si="0"/>
        <v>0</v>
      </c>
      <c r="G5" s="85"/>
      <c r="H5" s="85"/>
      <c r="I5" s="227">
        <f t="shared" si="1"/>
        <v>0</v>
      </c>
      <c r="J5" s="85"/>
      <c r="K5" s="85"/>
      <c r="L5" s="227">
        <f t="shared" ref="L5:L34" si="24">SUM(K5:K5)</f>
        <v>0</v>
      </c>
      <c r="M5" s="86">
        <v>2</v>
      </c>
      <c r="N5" s="85"/>
      <c r="O5" s="85"/>
      <c r="P5" s="85"/>
      <c r="Q5" s="221">
        <f t="shared" si="2"/>
        <v>0</v>
      </c>
      <c r="R5" s="85"/>
      <c r="S5" s="85"/>
      <c r="T5" s="227">
        <f t="shared" si="3"/>
        <v>0</v>
      </c>
      <c r="U5" s="85"/>
      <c r="V5" s="85"/>
      <c r="W5" s="226">
        <f t="shared" ref="W5:W35" si="25">SUM(U5:V5)</f>
        <v>0</v>
      </c>
      <c r="X5" s="86">
        <v>2</v>
      </c>
      <c r="Y5" s="85"/>
      <c r="Z5" s="85"/>
      <c r="AA5" s="85"/>
      <c r="AB5" s="221">
        <f t="shared" si="4"/>
        <v>0</v>
      </c>
      <c r="AC5" s="85"/>
      <c r="AD5" s="85"/>
      <c r="AE5" s="227">
        <f t="shared" si="5"/>
        <v>0</v>
      </c>
      <c r="AF5" s="85"/>
      <c r="AG5" s="85"/>
      <c r="AH5" s="226">
        <f t="shared" ref="AH5:AH35" si="26">SUM(AF5:AG5)</f>
        <v>0</v>
      </c>
      <c r="AI5" s="86">
        <v>2</v>
      </c>
      <c r="AJ5" s="85"/>
      <c r="AK5" s="85"/>
      <c r="AL5" s="85"/>
      <c r="AM5" s="221">
        <f t="shared" si="6"/>
        <v>0</v>
      </c>
      <c r="AN5" s="85"/>
      <c r="AO5" s="85"/>
      <c r="AP5" s="227">
        <f t="shared" si="7"/>
        <v>0</v>
      </c>
      <c r="AQ5" s="85"/>
      <c r="AR5" s="85"/>
      <c r="AS5" s="227">
        <f t="shared" ref="AS5:AS34" si="27">SUM(AR5:AR5)</f>
        <v>0</v>
      </c>
      <c r="AT5" s="86">
        <v>2</v>
      </c>
      <c r="AU5" s="85"/>
      <c r="AV5" s="85"/>
      <c r="AW5" s="85"/>
      <c r="AX5" s="221">
        <f t="shared" si="8"/>
        <v>0</v>
      </c>
      <c r="AY5" s="85"/>
      <c r="AZ5" s="85"/>
      <c r="BA5" s="227">
        <f t="shared" si="9"/>
        <v>0</v>
      </c>
      <c r="BB5" s="85"/>
      <c r="BC5" s="85"/>
      <c r="BD5" s="226">
        <f t="shared" ref="BD5:BD35" si="28">SUM(BB5:BC5)</f>
        <v>0</v>
      </c>
      <c r="BE5" s="86">
        <v>2</v>
      </c>
      <c r="BF5" s="85"/>
      <c r="BG5" s="85"/>
      <c r="BH5" s="85"/>
      <c r="BI5" s="221">
        <f t="shared" si="10"/>
        <v>0</v>
      </c>
      <c r="BJ5" s="85"/>
      <c r="BK5" s="85"/>
      <c r="BL5" s="227">
        <f t="shared" si="11"/>
        <v>0</v>
      </c>
      <c r="BM5" s="85"/>
      <c r="BN5" s="85"/>
      <c r="BO5" s="226">
        <f t="shared" ref="BO5:BO35" si="29">SUM(BM5:BN5)</f>
        <v>0</v>
      </c>
      <c r="BP5" s="86">
        <v>2</v>
      </c>
      <c r="BQ5" s="85"/>
      <c r="BR5" s="85"/>
      <c r="BS5" s="85"/>
      <c r="BT5" s="221">
        <f t="shared" si="12"/>
        <v>0</v>
      </c>
      <c r="BU5" s="85"/>
      <c r="BV5" s="85"/>
      <c r="BW5" s="227">
        <f t="shared" si="13"/>
        <v>0</v>
      </c>
      <c r="BX5" s="85"/>
      <c r="BY5" s="85"/>
      <c r="BZ5" s="227">
        <f t="shared" ref="BZ5:BZ34" si="30">SUM(BY5:BY5)</f>
        <v>0</v>
      </c>
      <c r="CA5" s="86">
        <v>2</v>
      </c>
      <c r="CB5" s="85"/>
      <c r="CC5" s="85"/>
      <c r="CD5" s="85"/>
      <c r="CE5" s="221">
        <f t="shared" si="14"/>
        <v>0</v>
      </c>
      <c r="CF5" s="85"/>
      <c r="CG5" s="85"/>
      <c r="CH5" s="227">
        <f t="shared" si="15"/>
        <v>0</v>
      </c>
      <c r="CI5" s="85"/>
      <c r="CJ5" s="85"/>
      <c r="CK5" s="226">
        <f t="shared" ref="CK5:CK35" si="31">SUM(CI5:CJ5)</f>
        <v>0</v>
      </c>
      <c r="CL5" s="86">
        <v>2</v>
      </c>
      <c r="CM5" s="85"/>
      <c r="CN5" s="85"/>
      <c r="CO5" s="85"/>
      <c r="CP5" s="221">
        <f t="shared" si="16"/>
        <v>0</v>
      </c>
      <c r="CQ5" s="85"/>
      <c r="CR5" s="85"/>
      <c r="CS5" s="227">
        <f t="shared" si="17"/>
        <v>0</v>
      </c>
      <c r="CT5" s="85"/>
      <c r="CU5" s="85"/>
      <c r="CV5" s="226">
        <f t="shared" ref="CV5:CV35" si="32">SUM(CT5:CU5)</f>
        <v>0</v>
      </c>
      <c r="CW5" s="86">
        <v>2</v>
      </c>
      <c r="CX5" s="85"/>
      <c r="CY5" s="85"/>
      <c r="CZ5" s="85"/>
      <c r="DA5" s="221">
        <f t="shared" si="18"/>
        <v>0</v>
      </c>
      <c r="DB5" s="85"/>
      <c r="DC5" s="85"/>
      <c r="DD5" s="227">
        <f t="shared" si="19"/>
        <v>0</v>
      </c>
      <c r="DE5" s="85"/>
      <c r="DF5" s="85"/>
      <c r="DG5" s="227">
        <f t="shared" ref="DG5:DG34" si="33">SUM(DF5:DF5)</f>
        <v>0</v>
      </c>
      <c r="DH5" s="86">
        <v>2</v>
      </c>
      <c r="DI5" s="85"/>
      <c r="DJ5" s="85"/>
      <c r="DK5" s="85"/>
      <c r="DL5" s="221">
        <f t="shared" si="20"/>
        <v>0</v>
      </c>
      <c r="DM5" s="85"/>
      <c r="DN5" s="85"/>
      <c r="DO5" s="227">
        <f t="shared" si="21"/>
        <v>0</v>
      </c>
      <c r="DP5" s="85"/>
      <c r="DQ5" s="85"/>
      <c r="DR5" s="226">
        <f t="shared" ref="DR5:DR35" si="34">SUM(DP5:DQ5)</f>
        <v>0</v>
      </c>
      <c r="DS5" s="86">
        <v>2</v>
      </c>
      <c r="DT5" s="85"/>
      <c r="DU5" s="85"/>
      <c r="DV5" s="85"/>
      <c r="DW5" s="221">
        <f t="shared" si="22"/>
        <v>0</v>
      </c>
      <c r="DX5" s="85"/>
      <c r="DY5" s="85"/>
      <c r="DZ5" s="227">
        <f t="shared" si="23"/>
        <v>0</v>
      </c>
      <c r="EA5" s="85"/>
      <c r="EB5" s="85"/>
      <c r="EC5" s="226">
        <f t="shared" ref="EC5:EC35" si="35">SUM(EA5:EB5)</f>
        <v>0</v>
      </c>
    </row>
    <row r="6" spans="1:133" ht="16.8" thickTop="1" thickBot="1" x14ac:dyDescent="0.35">
      <c r="B6" s="86">
        <v>3</v>
      </c>
      <c r="C6" s="85"/>
      <c r="D6" s="85"/>
      <c r="E6" s="85"/>
      <c r="F6" s="221">
        <f t="shared" si="0"/>
        <v>0</v>
      </c>
      <c r="G6" s="85"/>
      <c r="H6" s="85"/>
      <c r="I6" s="227">
        <f t="shared" si="1"/>
        <v>0</v>
      </c>
      <c r="J6" s="85"/>
      <c r="K6" s="85"/>
      <c r="L6" s="227">
        <f t="shared" si="24"/>
        <v>0</v>
      </c>
      <c r="M6" s="86">
        <v>3</v>
      </c>
      <c r="N6" s="85"/>
      <c r="O6" s="85"/>
      <c r="P6" s="85"/>
      <c r="Q6" s="221">
        <f t="shared" si="2"/>
        <v>0</v>
      </c>
      <c r="R6" s="85"/>
      <c r="S6" s="85"/>
      <c r="T6" s="227">
        <f t="shared" si="3"/>
        <v>0</v>
      </c>
      <c r="U6" s="85"/>
      <c r="V6" s="85"/>
      <c r="W6" s="226">
        <f t="shared" si="25"/>
        <v>0</v>
      </c>
      <c r="X6" s="86">
        <v>3</v>
      </c>
      <c r="Y6" s="85"/>
      <c r="Z6" s="85"/>
      <c r="AA6" s="85"/>
      <c r="AB6" s="221">
        <f t="shared" si="4"/>
        <v>0</v>
      </c>
      <c r="AC6" s="85"/>
      <c r="AD6" s="85"/>
      <c r="AE6" s="227">
        <f t="shared" si="5"/>
        <v>0</v>
      </c>
      <c r="AF6" s="85"/>
      <c r="AG6" s="85"/>
      <c r="AH6" s="226">
        <f t="shared" si="26"/>
        <v>0</v>
      </c>
      <c r="AI6" s="86">
        <v>3</v>
      </c>
      <c r="AJ6" s="85"/>
      <c r="AK6" s="85"/>
      <c r="AL6" s="85"/>
      <c r="AM6" s="221">
        <f t="shared" si="6"/>
        <v>0</v>
      </c>
      <c r="AN6" s="85"/>
      <c r="AO6" s="85"/>
      <c r="AP6" s="227">
        <f t="shared" si="7"/>
        <v>0</v>
      </c>
      <c r="AQ6" s="85"/>
      <c r="AR6" s="85"/>
      <c r="AS6" s="227">
        <f t="shared" si="27"/>
        <v>0</v>
      </c>
      <c r="AT6" s="86">
        <v>3</v>
      </c>
      <c r="AU6" s="85"/>
      <c r="AV6" s="85"/>
      <c r="AW6" s="85"/>
      <c r="AX6" s="221">
        <f t="shared" si="8"/>
        <v>0</v>
      </c>
      <c r="AY6" s="85"/>
      <c r="AZ6" s="85"/>
      <c r="BA6" s="227">
        <f t="shared" si="9"/>
        <v>0</v>
      </c>
      <c r="BB6" s="85"/>
      <c r="BC6" s="85"/>
      <c r="BD6" s="226">
        <f t="shared" si="28"/>
        <v>0</v>
      </c>
      <c r="BE6" s="86">
        <v>3</v>
      </c>
      <c r="BF6" s="85"/>
      <c r="BG6" s="85"/>
      <c r="BH6" s="85"/>
      <c r="BI6" s="221">
        <f t="shared" si="10"/>
        <v>0</v>
      </c>
      <c r="BJ6" s="85"/>
      <c r="BK6" s="85"/>
      <c r="BL6" s="227">
        <f t="shared" si="11"/>
        <v>0</v>
      </c>
      <c r="BM6" s="85"/>
      <c r="BN6" s="85"/>
      <c r="BO6" s="226">
        <f t="shared" si="29"/>
        <v>0</v>
      </c>
      <c r="BP6" s="86">
        <v>3</v>
      </c>
      <c r="BQ6" s="85"/>
      <c r="BR6" s="85"/>
      <c r="BS6" s="85"/>
      <c r="BT6" s="221">
        <f t="shared" si="12"/>
        <v>0</v>
      </c>
      <c r="BU6" s="85"/>
      <c r="BV6" s="85"/>
      <c r="BW6" s="227">
        <f t="shared" si="13"/>
        <v>0</v>
      </c>
      <c r="BX6" s="85"/>
      <c r="BY6" s="85"/>
      <c r="BZ6" s="227">
        <f t="shared" si="30"/>
        <v>0</v>
      </c>
      <c r="CA6" s="86">
        <v>3</v>
      </c>
      <c r="CB6" s="85"/>
      <c r="CC6" s="85"/>
      <c r="CD6" s="85"/>
      <c r="CE6" s="221">
        <f t="shared" si="14"/>
        <v>0</v>
      </c>
      <c r="CF6" s="85"/>
      <c r="CG6" s="85"/>
      <c r="CH6" s="227">
        <f t="shared" si="15"/>
        <v>0</v>
      </c>
      <c r="CI6" s="85"/>
      <c r="CJ6" s="85"/>
      <c r="CK6" s="226">
        <f t="shared" si="31"/>
        <v>0</v>
      </c>
      <c r="CL6" s="86">
        <v>3</v>
      </c>
      <c r="CM6" s="85"/>
      <c r="CN6" s="85"/>
      <c r="CO6" s="85"/>
      <c r="CP6" s="221">
        <f t="shared" si="16"/>
        <v>0</v>
      </c>
      <c r="CQ6" s="85"/>
      <c r="CR6" s="85"/>
      <c r="CS6" s="227">
        <f t="shared" si="17"/>
        <v>0</v>
      </c>
      <c r="CT6" s="85"/>
      <c r="CU6" s="85"/>
      <c r="CV6" s="226">
        <f t="shared" si="32"/>
        <v>0</v>
      </c>
      <c r="CW6" s="86">
        <v>3</v>
      </c>
      <c r="CX6" s="85"/>
      <c r="CY6" s="85"/>
      <c r="CZ6" s="85"/>
      <c r="DA6" s="221">
        <f t="shared" si="18"/>
        <v>0</v>
      </c>
      <c r="DB6" s="85"/>
      <c r="DC6" s="85"/>
      <c r="DD6" s="227">
        <f t="shared" si="19"/>
        <v>0</v>
      </c>
      <c r="DE6" s="85"/>
      <c r="DF6" s="85"/>
      <c r="DG6" s="227">
        <f t="shared" si="33"/>
        <v>0</v>
      </c>
      <c r="DH6" s="86">
        <v>3</v>
      </c>
      <c r="DI6" s="85"/>
      <c r="DJ6" s="85"/>
      <c r="DK6" s="85"/>
      <c r="DL6" s="221">
        <f t="shared" si="20"/>
        <v>0</v>
      </c>
      <c r="DM6" s="85"/>
      <c r="DN6" s="85"/>
      <c r="DO6" s="227">
        <f t="shared" si="21"/>
        <v>0</v>
      </c>
      <c r="DP6" s="85"/>
      <c r="DQ6" s="85"/>
      <c r="DR6" s="226">
        <f t="shared" si="34"/>
        <v>0</v>
      </c>
      <c r="DS6" s="86">
        <v>3</v>
      </c>
      <c r="DT6" s="85"/>
      <c r="DU6" s="85"/>
      <c r="DV6" s="85"/>
      <c r="DW6" s="221">
        <f t="shared" si="22"/>
        <v>0</v>
      </c>
      <c r="DX6" s="85"/>
      <c r="DY6" s="85"/>
      <c r="DZ6" s="227">
        <f t="shared" si="23"/>
        <v>0</v>
      </c>
      <c r="EA6" s="85"/>
      <c r="EB6" s="85"/>
      <c r="EC6" s="226">
        <f t="shared" si="35"/>
        <v>0</v>
      </c>
    </row>
    <row r="7" spans="1:133" ht="16.8" thickTop="1" thickBot="1" x14ac:dyDescent="0.35">
      <c r="B7" s="86">
        <v>4</v>
      </c>
      <c r="C7" s="85"/>
      <c r="D7" s="85"/>
      <c r="E7" s="85"/>
      <c r="F7" s="221">
        <f t="shared" si="0"/>
        <v>0</v>
      </c>
      <c r="G7" s="85"/>
      <c r="H7" s="85"/>
      <c r="I7" s="227">
        <f t="shared" si="1"/>
        <v>0</v>
      </c>
      <c r="J7" s="85"/>
      <c r="K7" s="85"/>
      <c r="L7" s="227">
        <f t="shared" si="24"/>
        <v>0</v>
      </c>
      <c r="M7" s="86">
        <v>4</v>
      </c>
      <c r="N7" s="85"/>
      <c r="O7" s="85"/>
      <c r="P7" s="85"/>
      <c r="Q7" s="221">
        <f t="shared" si="2"/>
        <v>0</v>
      </c>
      <c r="R7" s="85"/>
      <c r="S7" s="85"/>
      <c r="T7" s="227">
        <f t="shared" si="3"/>
        <v>0</v>
      </c>
      <c r="U7" s="85"/>
      <c r="V7" s="85"/>
      <c r="W7" s="226">
        <f t="shared" si="25"/>
        <v>0</v>
      </c>
      <c r="X7" s="86">
        <v>4</v>
      </c>
      <c r="Y7" s="85"/>
      <c r="Z7" s="85"/>
      <c r="AA7" s="85"/>
      <c r="AB7" s="221">
        <f t="shared" si="4"/>
        <v>0</v>
      </c>
      <c r="AC7" s="85"/>
      <c r="AD7" s="85"/>
      <c r="AE7" s="227">
        <f t="shared" si="5"/>
        <v>0</v>
      </c>
      <c r="AF7" s="85"/>
      <c r="AG7" s="85"/>
      <c r="AH7" s="226">
        <f t="shared" si="26"/>
        <v>0</v>
      </c>
      <c r="AI7" s="86">
        <v>4</v>
      </c>
      <c r="AJ7" s="85"/>
      <c r="AK7" s="85"/>
      <c r="AL7" s="85"/>
      <c r="AM7" s="221">
        <f t="shared" si="6"/>
        <v>0</v>
      </c>
      <c r="AN7" s="85"/>
      <c r="AO7" s="85"/>
      <c r="AP7" s="227">
        <f t="shared" si="7"/>
        <v>0</v>
      </c>
      <c r="AQ7" s="85"/>
      <c r="AR7" s="85"/>
      <c r="AS7" s="227">
        <f t="shared" si="27"/>
        <v>0</v>
      </c>
      <c r="AT7" s="86">
        <v>4</v>
      </c>
      <c r="AU7" s="85"/>
      <c r="AV7" s="85"/>
      <c r="AW7" s="85"/>
      <c r="AX7" s="221">
        <f t="shared" si="8"/>
        <v>0</v>
      </c>
      <c r="AY7" s="85"/>
      <c r="AZ7" s="85"/>
      <c r="BA7" s="227">
        <f t="shared" si="9"/>
        <v>0</v>
      </c>
      <c r="BB7" s="85"/>
      <c r="BC7" s="85"/>
      <c r="BD7" s="226">
        <f t="shared" si="28"/>
        <v>0</v>
      </c>
      <c r="BE7" s="86">
        <v>4</v>
      </c>
      <c r="BF7" s="85"/>
      <c r="BG7" s="85"/>
      <c r="BH7" s="85"/>
      <c r="BI7" s="221">
        <f t="shared" si="10"/>
        <v>0</v>
      </c>
      <c r="BJ7" s="85"/>
      <c r="BK7" s="85"/>
      <c r="BL7" s="227">
        <f t="shared" si="11"/>
        <v>0</v>
      </c>
      <c r="BM7" s="85"/>
      <c r="BN7" s="85"/>
      <c r="BO7" s="226">
        <f t="shared" si="29"/>
        <v>0</v>
      </c>
      <c r="BP7" s="86">
        <v>4</v>
      </c>
      <c r="BQ7" s="85"/>
      <c r="BR7" s="85"/>
      <c r="BS7" s="85"/>
      <c r="BT7" s="221">
        <f t="shared" si="12"/>
        <v>0</v>
      </c>
      <c r="BU7" s="85"/>
      <c r="BV7" s="85"/>
      <c r="BW7" s="227">
        <f t="shared" si="13"/>
        <v>0</v>
      </c>
      <c r="BX7" s="85"/>
      <c r="BY7" s="85"/>
      <c r="BZ7" s="227">
        <f t="shared" si="30"/>
        <v>0</v>
      </c>
      <c r="CA7" s="86">
        <v>4</v>
      </c>
      <c r="CB7" s="85"/>
      <c r="CC7" s="85"/>
      <c r="CD7" s="85"/>
      <c r="CE7" s="221">
        <f t="shared" si="14"/>
        <v>0</v>
      </c>
      <c r="CF7" s="85"/>
      <c r="CG7" s="85"/>
      <c r="CH7" s="227">
        <f t="shared" si="15"/>
        <v>0</v>
      </c>
      <c r="CI7" s="85"/>
      <c r="CJ7" s="85"/>
      <c r="CK7" s="226">
        <f t="shared" si="31"/>
        <v>0</v>
      </c>
      <c r="CL7" s="86">
        <v>4</v>
      </c>
      <c r="CM7" s="85"/>
      <c r="CN7" s="85"/>
      <c r="CO7" s="85"/>
      <c r="CP7" s="221">
        <f t="shared" si="16"/>
        <v>0</v>
      </c>
      <c r="CQ7" s="85"/>
      <c r="CR7" s="85"/>
      <c r="CS7" s="227">
        <f t="shared" si="17"/>
        <v>0</v>
      </c>
      <c r="CT7" s="85"/>
      <c r="CU7" s="85"/>
      <c r="CV7" s="226">
        <f t="shared" si="32"/>
        <v>0</v>
      </c>
      <c r="CW7" s="86">
        <v>4</v>
      </c>
      <c r="CX7" s="85"/>
      <c r="CY7" s="85"/>
      <c r="CZ7" s="85"/>
      <c r="DA7" s="221">
        <f t="shared" si="18"/>
        <v>0</v>
      </c>
      <c r="DB7" s="85"/>
      <c r="DC7" s="85"/>
      <c r="DD7" s="227">
        <f t="shared" si="19"/>
        <v>0</v>
      </c>
      <c r="DE7" s="85"/>
      <c r="DF7" s="85"/>
      <c r="DG7" s="227">
        <f t="shared" si="33"/>
        <v>0</v>
      </c>
      <c r="DH7" s="86">
        <v>4</v>
      </c>
      <c r="DI7" s="85"/>
      <c r="DJ7" s="85"/>
      <c r="DK7" s="85"/>
      <c r="DL7" s="221">
        <f t="shared" si="20"/>
        <v>0</v>
      </c>
      <c r="DM7" s="85"/>
      <c r="DN7" s="85"/>
      <c r="DO7" s="227">
        <f t="shared" si="21"/>
        <v>0</v>
      </c>
      <c r="DP7" s="85"/>
      <c r="DQ7" s="85"/>
      <c r="DR7" s="226">
        <f t="shared" si="34"/>
        <v>0</v>
      </c>
      <c r="DS7" s="86">
        <v>4</v>
      </c>
      <c r="DT7" s="85"/>
      <c r="DU7" s="85"/>
      <c r="DV7" s="85"/>
      <c r="DW7" s="221">
        <f t="shared" si="22"/>
        <v>0</v>
      </c>
      <c r="DX7" s="85"/>
      <c r="DY7" s="85"/>
      <c r="DZ7" s="227">
        <f t="shared" si="23"/>
        <v>0</v>
      </c>
      <c r="EA7" s="85"/>
      <c r="EB7" s="85"/>
      <c r="EC7" s="226">
        <f t="shared" si="35"/>
        <v>0</v>
      </c>
    </row>
    <row r="8" spans="1:133" ht="16.8" thickTop="1" thickBot="1" x14ac:dyDescent="0.35">
      <c r="B8" s="86">
        <v>5</v>
      </c>
      <c r="C8" s="85"/>
      <c r="D8" s="85"/>
      <c r="E8" s="85"/>
      <c r="F8" s="221">
        <f t="shared" si="0"/>
        <v>0</v>
      </c>
      <c r="G8" s="85"/>
      <c r="H8" s="85"/>
      <c r="I8" s="227">
        <f t="shared" si="1"/>
        <v>0</v>
      </c>
      <c r="J8" s="85"/>
      <c r="K8" s="85"/>
      <c r="L8" s="227">
        <f t="shared" si="24"/>
        <v>0</v>
      </c>
      <c r="M8" s="86">
        <v>5</v>
      </c>
      <c r="N8" s="85"/>
      <c r="O8" s="85"/>
      <c r="P8" s="85"/>
      <c r="Q8" s="221">
        <f t="shared" si="2"/>
        <v>0</v>
      </c>
      <c r="R8" s="85"/>
      <c r="S8" s="85"/>
      <c r="T8" s="227">
        <f t="shared" si="3"/>
        <v>0</v>
      </c>
      <c r="U8" s="85"/>
      <c r="V8" s="85"/>
      <c r="W8" s="226">
        <f t="shared" si="25"/>
        <v>0</v>
      </c>
      <c r="X8" s="86">
        <v>5</v>
      </c>
      <c r="Y8" s="85"/>
      <c r="Z8" s="85"/>
      <c r="AA8" s="85"/>
      <c r="AB8" s="221">
        <f t="shared" si="4"/>
        <v>0</v>
      </c>
      <c r="AC8" s="85"/>
      <c r="AD8" s="85"/>
      <c r="AE8" s="227">
        <f t="shared" si="5"/>
        <v>0</v>
      </c>
      <c r="AF8" s="85"/>
      <c r="AG8" s="85"/>
      <c r="AH8" s="226">
        <f t="shared" si="26"/>
        <v>0</v>
      </c>
      <c r="AI8" s="86">
        <v>5</v>
      </c>
      <c r="AJ8" s="85"/>
      <c r="AK8" s="85"/>
      <c r="AL8" s="85"/>
      <c r="AM8" s="221">
        <f t="shared" si="6"/>
        <v>0</v>
      </c>
      <c r="AN8" s="85"/>
      <c r="AO8" s="85"/>
      <c r="AP8" s="227">
        <f t="shared" si="7"/>
        <v>0</v>
      </c>
      <c r="AQ8" s="85"/>
      <c r="AR8" s="85"/>
      <c r="AS8" s="227">
        <f t="shared" si="27"/>
        <v>0</v>
      </c>
      <c r="AT8" s="86">
        <v>5</v>
      </c>
      <c r="AU8" s="85"/>
      <c r="AV8" s="85"/>
      <c r="AW8" s="85"/>
      <c r="AX8" s="221">
        <f t="shared" si="8"/>
        <v>0</v>
      </c>
      <c r="AY8" s="85"/>
      <c r="AZ8" s="85"/>
      <c r="BA8" s="227">
        <f t="shared" si="9"/>
        <v>0</v>
      </c>
      <c r="BB8" s="85"/>
      <c r="BC8" s="85"/>
      <c r="BD8" s="226">
        <f t="shared" si="28"/>
        <v>0</v>
      </c>
      <c r="BE8" s="86">
        <v>5</v>
      </c>
      <c r="BF8" s="85"/>
      <c r="BG8" s="85"/>
      <c r="BH8" s="85"/>
      <c r="BI8" s="221">
        <f t="shared" si="10"/>
        <v>0</v>
      </c>
      <c r="BJ8" s="85"/>
      <c r="BK8" s="85"/>
      <c r="BL8" s="227">
        <f t="shared" si="11"/>
        <v>0</v>
      </c>
      <c r="BM8" s="85"/>
      <c r="BN8" s="85"/>
      <c r="BO8" s="226">
        <f t="shared" si="29"/>
        <v>0</v>
      </c>
      <c r="BP8" s="86">
        <v>5</v>
      </c>
      <c r="BQ8" s="85"/>
      <c r="BR8" s="85"/>
      <c r="BS8" s="85"/>
      <c r="BT8" s="221">
        <f t="shared" si="12"/>
        <v>0</v>
      </c>
      <c r="BU8" s="85"/>
      <c r="BV8" s="85"/>
      <c r="BW8" s="227">
        <f t="shared" si="13"/>
        <v>0</v>
      </c>
      <c r="BX8" s="85"/>
      <c r="BY8" s="85"/>
      <c r="BZ8" s="227">
        <f t="shared" si="30"/>
        <v>0</v>
      </c>
      <c r="CA8" s="86">
        <v>5</v>
      </c>
      <c r="CB8" s="85"/>
      <c r="CC8" s="85"/>
      <c r="CD8" s="85"/>
      <c r="CE8" s="221">
        <f t="shared" si="14"/>
        <v>0</v>
      </c>
      <c r="CF8" s="85"/>
      <c r="CG8" s="85"/>
      <c r="CH8" s="227">
        <f t="shared" si="15"/>
        <v>0</v>
      </c>
      <c r="CI8" s="85"/>
      <c r="CJ8" s="85"/>
      <c r="CK8" s="226">
        <f t="shared" si="31"/>
        <v>0</v>
      </c>
      <c r="CL8" s="86">
        <v>5</v>
      </c>
      <c r="CM8" s="85"/>
      <c r="CN8" s="85"/>
      <c r="CO8" s="85"/>
      <c r="CP8" s="221">
        <f t="shared" si="16"/>
        <v>0</v>
      </c>
      <c r="CQ8" s="85"/>
      <c r="CR8" s="85"/>
      <c r="CS8" s="227">
        <f t="shared" si="17"/>
        <v>0</v>
      </c>
      <c r="CT8" s="85"/>
      <c r="CU8" s="85"/>
      <c r="CV8" s="226">
        <f t="shared" si="32"/>
        <v>0</v>
      </c>
      <c r="CW8" s="86">
        <v>5</v>
      </c>
      <c r="CX8" s="85"/>
      <c r="CY8" s="85"/>
      <c r="CZ8" s="85"/>
      <c r="DA8" s="221">
        <f t="shared" si="18"/>
        <v>0</v>
      </c>
      <c r="DB8" s="85"/>
      <c r="DC8" s="85"/>
      <c r="DD8" s="227">
        <f t="shared" si="19"/>
        <v>0</v>
      </c>
      <c r="DE8" s="85"/>
      <c r="DF8" s="85"/>
      <c r="DG8" s="227">
        <f t="shared" si="33"/>
        <v>0</v>
      </c>
      <c r="DH8" s="86">
        <v>5</v>
      </c>
      <c r="DI8" s="85"/>
      <c r="DJ8" s="85"/>
      <c r="DK8" s="85"/>
      <c r="DL8" s="221">
        <f t="shared" si="20"/>
        <v>0</v>
      </c>
      <c r="DM8" s="85"/>
      <c r="DN8" s="85"/>
      <c r="DO8" s="227">
        <f t="shared" si="21"/>
        <v>0</v>
      </c>
      <c r="DP8" s="85"/>
      <c r="DQ8" s="85"/>
      <c r="DR8" s="226">
        <f t="shared" si="34"/>
        <v>0</v>
      </c>
      <c r="DS8" s="86">
        <v>5</v>
      </c>
      <c r="DT8" s="85"/>
      <c r="DU8" s="85"/>
      <c r="DV8" s="85"/>
      <c r="DW8" s="221">
        <f t="shared" si="22"/>
        <v>0</v>
      </c>
      <c r="DX8" s="85"/>
      <c r="DY8" s="85"/>
      <c r="DZ8" s="227">
        <f t="shared" si="23"/>
        <v>0</v>
      </c>
      <c r="EA8" s="85"/>
      <c r="EB8" s="85"/>
      <c r="EC8" s="226">
        <f t="shared" si="35"/>
        <v>0</v>
      </c>
    </row>
    <row r="9" spans="1:133" ht="16.8" thickTop="1" thickBot="1" x14ac:dyDescent="0.35">
      <c r="B9" s="86">
        <v>6</v>
      </c>
      <c r="C9" s="85"/>
      <c r="D9" s="85"/>
      <c r="E9" s="85"/>
      <c r="F9" s="221">
        <f t="shared" si="0"/>
        <v>0</v>
      </c>
      <c r="G9" s="85"/>
      <c r="H9" s="85"/>
      <c r="I9" s="227">
        <f t="shared" si="1"/>
        <v>0</v>
      </c>
      <c r="J9" s="85"/>
      <c r="K9" s="85"/>
      <c r="L9" s="227">
        <f t="shared" si="24"/>
        <v>0</v>
      </c>
      <c r="M9" s="86">
        <v>6</v>
      </c>
      <c r="N9" s="85"/>
      <c r="O9" s="85"/>
      <c r="P9" s="85"/>
      <c r="Q9" s="221">
        <f t="shared" si="2"/>
        <v>0</v>
      </c>
      <c r="R9" s="85"/>
      <c r="S9" s="85"/>
      <c r="T9" s="227">
        <f t="shared" si="3"/>
        <v>0</v>
      </c>
      <c r="U9" s="85"/>
      <c r="V9" s="85"/>
      <c r="W9" s="226">
        <f t="shared" si="25"/>
        <v>0</v>
      </c>
      <c r="X9" s="86">
        <v>6</v>
      </c>
      <c r="Y9" s="85"/>
      <c r="Z9" s="85"/>
      <c r="AA9" s="85"/>
      <c r="AB9" s="221">
        <f t="shared" si="4"/>
        <v>0</v>
      </c>
      <c r="AC9" s="85"/>
      <c r="AD9" s="85"/>
      <c r="AE9" s="227">
        <f t="shared" si="5"/>
        <v>0</v>
      </c>
      <c r="AF9" s="85"/>
      <c r="AG9" s="85"/>
      <c r="AH9" s="226">
        <f t="shared" si="26"/>
        <v>0</v>
      </c>
      <c r="AI9" s="86">
        <v>6</v>
      </c>
      <c r="AJ9" s="85"/>
      <c r="AK9" s="85"/>
      <c r="AL9" s="85"/>
      <c r="AM9" s="221">
        <f t="shared" si="6"/>
        <v>0</v>
      </c>
      <c r="AN9" s="85"/>
      <c r="AO9" s="85"/>
      <c r="AP9" s="227">
        <f t="shared" si="7"/>
        <v>0</v>
      </c>
      <c r="AQ9" s="85"/>
      <c r="AR9" s="85"/>
      <c r="AS9" s="227">
        <f t="shared" si="27"/>
        <v>0</v>
      </c>
      <c r="AT9" s="86">
        <v>6</v>
      </c>
      <c r="AU9" s="85"/>
      <c r="AV9" s="85"/>
      <c r="AW9" s="85"/>
      <c r="AX9" s="221">
        <f t="shared" si="8"/>
        <v>0</v>
      </c>
      <c r="AY9" s="85"/>
      <c r="AZ9" s="85"/>
      <c r="BA9" s="227">
        <f t="shared" si="9"/>
        <v>0</v>
      </c>
      <c r="BB9" s="85"/>
      <c r="BC9" s="85"/>
      <c r="BD9" s="226">
        <f t="shared" si="28"/>
        <v>0</v>
      </c>
      <c r="BE9" s="86">
        <v>6</v>
      </c>
      <c r="BF9" s="85"/>
      <c r="BG9" s="85"/>
      <c r="BH9" s="85"/>
      <c r="BI9" s="221">
        <f t="shared" si="10"/>
        <v>0</v>
      </c>
      <c r="BJ9" s="85"/>
      <c r="BK9" s="85"/>
      <c r="BL9" s="227">
        <f t="shared" si="11"/>
        <v>0</v>
      </c>
      <c r="BM9" s="85"/>
      <c r="BN9" s="85"/>
      <c r="BO9" s="226">
        <f t="shared" si="29"/>
        <v>0</v>
      </c>
      <c r="BP9" s="86">
        <v>6</v>
      </c>
      <c r="BQ9" s="85"/>
      <c r="BR9" s="85"/>
      <c r="BS9" s="85"/>
      <c r="BT9" s="221">
        <f t="shared" si="12"/>
        <v>0</v>
      </c>
      <c r="BU9" s="85"/>
      <c r="BV9" s="85"/>
      <c r="BW9" s="227">
        <f t="shared" si="13"/>
        <v>0</v>
      </c>
      <c r="BX9" s="85"/>
      <c r="BY9" s="85"/>
      <c r="BZ9" s="227">
        <f t="shared" si="30"/>
        <v>0</v>
      </c>
      <c r="CA9" s="86">
        <v>6</v>
      </c>
      <c r="CB9" s="85"/>
      <c r="CC9" s="85"/>
      <c r="CD9" s="85"/>
      <c r="CE9" s="221">
        <f t="shared" si="14"/>
        <v>0</v>
      </c>
      <c r="CF9" s="85"/>
      <c r="CG9" s="85"/>
      <c r="CH9" s="227">
        <f t="shared" si="15"/>
        <v>0</v>
      </c>
      <c r="CI9" s="85"/>
      <c r="CJ9" s="85"/>
      <c r="CK9" s="226">
        <f t="shared" si="31"/>
        <v>0</v>
      </c>
      <c r="CL9" s="86">
        <v>6</v>
      </c>
      <c r="CM9" s="85"/>
      <c r="CN9" s="85"/>
      <c r="CO9" s="85"/>
      <c r="CP9" s="221">
        <f t="shared" si="16"/>
        <v>0</v>
      </c>
      <c r="CQ9" s="85"/>
      <c r="CR9" s="85"/>
      <c r="CS9" s="227">
        <f t="shared" si="17"/>
        <v>0</v>
      </c>
      <c r="CT9" s="85"/>
      <c r="CU9" s="85"/>
      <c r="CV9" s="226">
        <f t="shared" si="32"/>
        <v>0</v>
      </c>
      <c r="CW9" s="86">
        <v>6</v>
      </c>
      <c r="CX9" s="85"/>
      <c r="CY9" s="85"/>
      <c r="CZ9" s="85"/>
      <c r="DA9" s="221">
        <f t="shared" si="18"/>
        <v>0</v>
      </c>
      <c r="DB9" s="85"/>
      <c r="DC9" s="85"/>
      <c r="DD9" s="227">
        <f t="shared" si="19"/>
        <v>0</v>
      </c>
      <c r="DE9" s="85"/>
      <c r="DF9" s="85"/>
      <c r="DG9" s="227">
        <f t="shared" si="33"/>
        <v>0</v>
      </c>
      <c r="DH9" s="86">
        <v>6</v>
      </c>
      <c r="DI9" s="85"/>
      <c r="DJ9" s="85"/>
      <c r="DK9" s="85"/>
      <c r="DL9" s="221">
        <f t="shared" si="20"/>
        <v>0</v>
      </c>
      <c r="DM9" s="85"/>
      <c r="DN9" s="85"/>
      <c r="DO9" s="227">
        <f t="shared" si="21"/>
        <v>0</v>
      </c>
      <c r="DP9" s="85"/>
      <c r="DQ9" s="85"/>
      <c r="DR9" s="226">
        <f t="shared" si="34"/>
        <v>0</v>
      </c>
      <c r="DS9" s="86">
        <v>6</v>
      </c>
      <c r="DT9" s="85"/>
      <c r="DU9" s="85"/>
      <c r="DV9" s="85"/>
      <c r="DW9" s="221">
        <f t="shared" si="22"/>
        <v>0</v>
      </c>
      <c r="DX9" s="85"/>
      <c r="DY9" s="85"/>
      <c r="DZ9" s="227">
        <f t="shared" si="23"/>
        <v>0</v>
      </c>
      <c r="EA9" s="85"/>
      <c r="EB9" s="85"/>
      <c r="EC9" s="226">
        <f t="shared" si="35"/>
        <v>0</v>
      </c>
    </row>
    <row r="10" spans="1:133" ht="16.8" thickTop="1" thickBot="1" x14ac:dyDescent="0.35">
      <c r="B10" s="86">
        <v>7</v>
      </c>
      <c r="C10" s="85"/>
      <c r="D10" s="85"/>
      <c r="E10" s="85"/>
      <c r="F10" s="221">
        <f t="shared" si="0"/>
        <v>0</v>
      </c>
      <c r="G10" s="85"/>
      <c r="H10" s="85"/>
      <c r="I10" s="227">
        <f t="shared" si="1"/>
        <v>0</v>
      </c>
      <c r="J10" s="85"/>
      <c r="K10" s="85"/>
      <c r="L10" s="227">
        <f t="shared" si="24"/>
        <v>0</v>
      </c>
      <c r="M10" s="86">
        <v>7</v>
      </c>
      <c r="N10" s="85"/>
      <c r="O10" s="85"/>
      <c r="P10" s="85"/>
      <c r="Q10" s="221">
        <f t="shared" si="2"/>
        <v>0</v>
      </c>
      <c r="R10" s="85"/>
      <c r="S10" s="85"/>
      <c r="T10" s="227">
        <f t="shared" si="3"/>
        <v>0</v>
      </c>
      <c r="U10" s="85"/>
      <c r="V10" s="85"/>
      <c r="W10" s="226">
        <f t="shared" si="25"/>
        <v>0</v>
      </c>
      <c r="X10" s="86">
        <v>7</v>
      </c>
      <c r="Y10" s="85"/>
      <c r="Z10" s="85"/>
      <c r="AA10" s="85"/>
      <c r="AB10" s="221">
        <f t="shared" si="4"/>
        <v>0</v>
      </c>
      <c r="AC10" s="85"/>
      <c r="AD10" s="85"/>
      <c r="AE10" s="227">
        <f t="shared" si="5"/>
        <v>0</v>
      </c>
      <c r="AF10" s="85"/>
      <c r="AG10" s="85"/>
      <c r="AH10" s="226">
        <f t="shared" si="26"/>
        <v>0</v>
      </c>
      <c r="AI10" s="86">
        <v>7</v>
      </c>
      <c r="AJ10" s="85"/>
      <c r="AK10" s="85"/>
      <c r="AL10" s="85"/>
      <c r="AM10" s="221">
        <f t="shared" si="6"/>
        <v>0</v>
      </c>
      <c r="AN10" s="85"/>
      <c r="AO10" s="85"/>
      <c r="AP10" s="227">
        <f t="shared" si="7"/>
        <v>0</v>
      </c>
      <c r="AQ10" s="85"/>
      <c r="AR10" s="85"/>
      <c r="AS10" s="227">
        <f t="shared" si="27"/>
        <v>0</v>
      </c>
      <c r="AT10" s="86">
        <v>7</v>
      </c>
      <c r="AU10" s="85"/>
      <c r="AV10" s="85"/>
      <c r="AW10" s="85"/>
      <c r="AX10" s="221">
        <f t="shared" si="8"/>
        <v>0</v>
      </c>
      <c r="AY10" s="85"/>
      <c r="AZ10" s="85"/>
      <c r="BA10" s="227">
        <f t="shared" si="9"/>
        <v>0</v>
      </c>
      <c r="BB10" s="85"/>
      <c r="BC10" s="85"/>
      <c r="BD10" s="226">
        <f t="shared" si="28"/>
        <v>0</v>
      </c>
      <c r="BE10" s="86">
        <v>7</v>
      </c>
      <c r="BF10" s="85"/>
      <c r="BG10" s="85"/>
      <c r="BH10" s="85"/>
      <c r="BI10" s="221">
        <f t="shared" si="10"/>
        <v>0</v>
      </c>
      <c r="BJ10" s="85"/>
      <c r="BK10" s="85"/>
      <c r="BL10" s="227">
        <f t="shared" si="11"/>
        <v>0</v>
      </c>
      <c r="BM10" s="85"/>
      <c r="BN10" s="85"/>
      <c r="BO10" s="226">
        <f t="shared" si="29"/>
        <v>0</v>
      </c>
      <c r="BP10" s="86">
        <v>7</v>
      </c>
      <c r="BQ10" s="85"/>
      <c r="BR10" s="85"/>
      <c r="BS10" s="85"/>
      <c r="BT10" s="221">
        <f t="shared" si="12"/>
        <v>0</v>
      </c>
      <c r="BU10" s="85"/>
      <c r="BV10" s="85"/>
      <c r="BW10" s="227">
        <f t="shared" si="13"/>
        <v>0</v>
      </c>
      <c r="BX10" s="85"/>
      <c r="BY10" s="85"/>
      <c r="BZ10" s="227">
        <f t="shared" si="30"/>
        <v>0</v>
      </c>
      <c r="CA10" s="86">
        <v>7</v>
      </c>
      <c r="CB10" s="85"/>
      <c r="CC10" s="85"/>
      <c r="CD10" s="85"/>
      <c r="CE10" s="221">
        <f t="shared" si="14"/>
        <v>0</v>
      </c>
      <c r="CF10" s="85"/>
      <c r="CG10" s="85"/>
      <c r="CH10" s="227">
        <f t="shared" si="15"/>
        <v>0</v>
      </c>
      <c r="CI10" s="85"/>
      <c r="CJ10" s="85"/>
      <c r="CK10" s="226">
        <f t="shared" si="31"/>
        <v>0</v>
      </c>
      <c r="CL10" s="86">
        <v>7</v>
      </c>
      <c r="CM10" s="85"/>
      <c r="CN10" s="85"/>
      <c r="CO10" s="85"/>
      <c r="CP10" s="221">
        <f t="shared" si="16"/>
        <v>0</v>
      </c>
      <c r="CQ10" s="85"/>
      <c r="CR10" s="85"/>
      <c r="CS10" s="227">
        <f t="shared" si="17"/>
        <v>0</v>
      </c>
      <c r="CT10" s="85"/>
      <c r="CU10" s="85"/>
      <c r="CV10" s="226">
        <f t="shared" si="32"/>
        <v>0</v>
      </c>
      <c r="CW10" s="86">
        <v>7</v>
      </c>
      <c r="CX10" s="85"/>
      <c r="CY10" s="85"/>
      <c r="CZ10" s="85"/>
      <c r="DA10" s="221">
        <f t="shared" si="18"/>
        <v>0</v>
      </c>
      <c r="DB10" s="85"/>
      <c r="DC10" s="85"/>
      <c r="DD10" s="227">
        <f t="shared" si="19"/>
        <v>0</v>
      </c>
      <c r="DE10" s="85"/>
      <c r="DF10" s="85"/>
      <c r="DG10" s="227">
        <f t="shared" si="33"/>
        <v>0</v>
      </c>
      <c r="DH10" s="86">
        <v>7</v>
      </c>
      <c r="DI10" s="85"/>
      <c r="DJ10" s="85"/>
      <c r="DK10" s="85"/>
      <c r="DL10" s="221">
        <f t="shared" si="20"/>
        <v>0</v>
      </c>
      <c r="DM10" s="85"/>
      <c r="DN10" s="85"/>
      <c r="DO10" s="227">
        <f t="shared" si="21"/>
        <v>0</v>
      </c>
      <c r="DP10" s="85"/>
      <c r="DQ10" s="85"/>
      <c r="DR10" s="226">
        <f t="shared" si="34"/>
        <v>0</v>
      </c>
      <c r="DS10" s="86">
        <v>7</v>
      </c>
      <c r="DT10" s="85"/>
      <c r="DU10" s="85"/>
      <c r="DV10" s="85"/>
      <c r="DW10" s="221">
        <f t="shared" si="22"/>
        <v>0</v>
      </c>
      <c r="DX10" s="85"/>
      <c r="DY10" s="85"/>
      <c r="DZ10" s="227">
        <f t="shared" si="23"/>
        <v>0</v>
      </c>
      <c r="EA10" s="85"/>
      <c r="EB10" s="85"/>
      <c r="EC10" s="226">
        <f t="shared" si="35"/>
        <v>0</v>
      </c>
    </row>
    <row r="11" spans="1:133" ht="16.8" thickTop="1" thickBot="1" x14ac:dyDescent="0.35">
      <c r="B11" s="86">
        <v>8</v>
      </c>
      <c r="C11" s="85"/>
      <c r="D11" s="85"/>
      <c r="E11" s="85"/>
      <c r="F11" s="221">
        <f t="shared" si="0"/>
        <v>0</v>
      </c>
      <c r="G11" s="85"/>
      <c r="H11" s="85"/>
      <c r="I11" s="227">
        <f t="shared" si="1"/>
        <v>0</v>
      </c>
      <c r="J11" s="85"/>
      <c r="K11" s="85"/>
      <c r="L11" s="227">
        <f t="shared" si="24"/>
        <v>0</v>
      </c>
      <c r="M11" s="86">
        <v>8</v>
      </c>
      <c r="N11" s="85"/>
      <c r="O11" s="85"/>
      <c r="P11" s="85"/>
      <c r="Q11" s="221">
        <f t="shared" si="2"/>
        <v>0</v>
      </c>
      <c r="R11" s="85"/>
      <c r="S11" s="85"/>
      <c r="T11" s="227">
        <f t="shared" si="3"/>
        <v>0</v>
      </c>
      <c r="U11" s="85"/>
      <c r="V11" s="85"/>
      <c r="W11" s="226">
        <f t="shared" si="25"/>
        <v>0</v>
      </c>
      <c r="X11" s="86">
        <v>8</v>
      </c>
      <c r="Y11" s="85"/>
      <c r="Z11" s="85"/>
      <c r="AA11" s="85"/>
      <c r="AB11" s="221">
        <f t="shared" si="4"/>
        <v>0</v>
      </c>
      <c r="AC11" s="85"/>
      <c r="AD11" s="85"/>
      <c r="AE11" s="227">
        <f t="shared" si="5"/>
        <v>0</v>
      </c>
      <c r="AF11" s="85"/>
      <c r="AG11" s="85"/>
      <c r="AH11" s="226">
        <f t="shared" si="26"/>
        <v>0</v>
      </c>
      <c r="AI11" s="86">
        <v>8</v>
      </c>
      <c r="AJ11" s="85"/>
      <c r="AK11" s="85"/>
      <c r="AL11" s="85"/>
      <c r="AM11" s="221">
        <f t="shared" si="6"/>
        <v>0</v>
      </c>
      <c r="AN11" s="85"/>
      <c r="AO11" s="85"/>
      <c r="AP11" s="227">
        <f t="shared" si="7"/>
        <v>0</v>
      </c>
      <c r="AQ11" s="85"/>
      <c r="AR11" s="85"/>
      <c r="AS11" s="227">
        <f t="shared" si="27"/>
        <v>0</v>
      </c>
      <c r="AT11" s="86">
        <v>8</v>
      </c>
      <c r="AU11" s="85"/>
      <c r="AV11" s="85"/>
      <c r="AW11" s="85"/>
      <c r="AX11" s="221">
        <f t="shared" si="8"/>
        <v>0</v>
      </c>
      <c r="AY11" s="85"/>
      <c r="AZ11" s="85"/>
      <c r="BA11" s="227">
        <f t="shared" si="9"/>
        <v>0</v>
      </c>
      <c r="BB11" s="85"/>
      <c r="BC11" s="85"/>
      <c r="BD11" s="226">
        <f t="shared" si="28"/>
        <v>0</v>
      </c>
      <c r="BE11" s="86">
        <v>8</v>
      </c>
      <c r="BF11" s="85"/>
      <c r="BG11" s="85"/>
      <c r="BH11" s="85"/>
      <c r="BI11" s="221">
        <f t="shared" si="10"/>
        <v>0</v>
      </c>
      <c r="BJ11" s="85"/>
      <c r="BK11" s="85"/>
      <c r="BL11" s="227">
        <f t="shared" si="11"/>
        <v>0</v>
      </c>
      <c r="BM11" s="85"/>
      <c r="BN11" s="85"/>
      <c r="BO11" s="226">
        <f t="shared" si="29"/>
        <v>0</v>
      </c>
      <c r="BP11" s="86">
        <v>8</v>
      </c>
      <c r="BQ11" s="85"/>
      <c r="BR11" s="85"/>
      <c r="BS11" s="85"/>
      <c r="BT11" s="221">
        <f t="shared" si="12"/>
        <v>0</v>
      </c>
      <c r="BU11" s="85"/>
      <c r="BV11" s="85"/>
      <c r="BW11" s="227">
        <f t="shared" si="13"/>
        <v>0</v>
      </c>
      <c r="BX11" s="85"/>
      <c r="BY11" s="85"/>
      <c r="BZ11" s="227">
        <f t="shared" si="30"/>
        <v>0</v>
      </c>
      <c r="CA11" s="86">
        <v>8</v>
      </c>
      <c r="CB11" s="85"/>
      <c r="CC11" s="85"/>
      <c r="CD11" s="85"/>
      <c r="CE11" s="221">
        <f t="shared" si="14"/>
        <v>0</v>
      </c>
      <c r="CF11" s="85"/>
      <c r="CG11" s="85"/>
      <c r="CH11" s="227">
        <f t="shared" si="15"/>
        <v>0</v>
      </c>
      <c r="CI11" s="85"/>
      <c r="CJ11" s="85"/>
      <c r="CK11" s="226">
        <f t="shared" si="31"/>
        <v>0</v>
      </c>
      <c r="CL11" s="86">
        <v>8</v>
      </c>
      <c r="CM11" s="85"/>
      <c r="CN11" s="85"/>
      <c r="CO11" s="85"/>
      <c r="CP11" s="221">
        <f t="shared" si="16"/>
        <v>0</v>
      </c>
      <c r="CQ11" s="85"/>
      <c r="CR11" s="85"/>
      <c r="CS11" s="227">
        <f t="shared" si="17"/>
        <v>0</v>
      </c>
      <c r="CT11" s="85"/>
      <c r="CU11" s="85"/>
      <c r="CV11" s="226">
        <f t="shared" si="32"/>
        <v>0</v>
      </c>
      <c r="CW11" s="86">
        <v>8</v>
      </c>
      <c r="CX11" s="85"/>
      <c r="CY11" s="85"/>
      <c r="CZ11" s="85"/>
      <c r="DA11" s="221">
        <f t="shared" si="18"/>
        <v>0</v>
      </c>
      <c r="DB11" s="85"/>
      <c r="DC11" s="85"/>
      <c r="DD11" s="227">
        <f t="shared" si="19"/>
        <v>0</v>
      </c>
      <c r="DE11" s="85"/>
      <c r="DF11" s="85"/>
      <c r="DG11" s="227">
        <f t="shared" si="33"/>
        <v>0</v>
      </c>
      <c r="DH11" s="86">
        <v>8</v>
      </c>
      <c r="DI11" s="85"/>
      <c r="DJ11" s="85"/>
      <c r="DK11" s="85"/>
      <c r="DL11" s="221">
        <f t="shared" si="20"/>
        <v>0</v>
      </c>
      <c r="DM11" s="85"/>
      <c r="DN11" s="85"/>
      <c r="DO11" s="227">
        <f t="shared" si="21"/>
        <v>0</v>
      </c>
      <c r="DP11" s="85"/>
      <c r="DQ11" s="85"/>
      <c r="DR11" s="226">
        <f t="shared" si="34"/>
        <v>0</v>
      </c>
      <c r="DS11" s="86">
        <v>8</v>
      </c>
      <c r="DT11" s="85"/>
      <c r="DU11" s="85"/>
      <c r="DV11" s="85"/>
      <c r="DW11" s="221">
        <f t="shared" si="22"/>
        <v>0</v>
      </c>
      <c r="DX11" s="85"/>
      <c r="DY11" s="85"/>
      <c r="DZ11" s="227">
        <f t="shared" si="23"/>
        <v>0</v>
      </c>
      <c r="EA11" s="85"/>
      <c r="EB11" s="85"/>
      <c r="EC11" s="226">
        <f t="shared" si="35"/>
        <v>0</v>
      </c>
    </row>
    <row r="12" spans="1:133" ht="16.8" thickTop="1" thickBot="1" x14ac:dyDescent="0.35">
      <c r="B12" s="86">
        <v>9</v>
      </c>
      <c r="C12" s="85"/>
      <c r="D12" s="85"/>
      <c r="E12" s="85"/>
      <c r="F12" s="221">
        <f t="shared" si="0"/>
        <v>0</v>
      </c>
      <c r="G12" s="85"/>
      <c r="H12" s="85"/>
      <c r="I12" s="227">
        <f t="shared" si="1"/>
        <v>0</v>
      </c>
      <c r="J12" s="85"/>
      <c r="K12" s="85"/>
      <c r="L12" s="227">
        <f t="shared" si="24"/>
        <v>0</v>
      </c>
      <c r="M12" s="86">
        <v>9</v>
      </c>
      <c r="N12" s="85"/>
      <c r="O12" s="85"/>
      <c r="P12" s="85"/>
      <c r="Q12" s="221">
        <f t="shared" si="2"/>
        <v>0</v>
      </c>
      <c r="R12" s="85"/>
      <c r="S12" s="85"/>
      <c r="T12" s="227">
        <f t="shared" si="3"/>
        <v>0</v>
      </c>
      <c r="U12" s="85"/>
      <c r="V12" s="85"/>
      <c r="W12" s="226">
        <f t="shared" si="25"/>
        <v>0</v>
      </c>
      <c r="X12" s="86">
        <v>9</v>
      </c>
      <c r="Y12" s="85"/>
      <c r="Z12" s="85"/>
      <c r="AA12" s="85"/>
      <c r="AB12" s="221">
        <f t="shared" si="4"/>
        <v>0</v>
      </c>
      <c r="AC12" s="85"/>
      <c r="AD12" s="85"/>
      <c r="AE12" s="227">
        <f t="shared" si="5"/>
        <v>0</v>
      </c>
      <c r="AF12" s="85"/>
      <c r="AG12" s="85"/>
      <c r="AH12" s="226">
        <f t="shared" si="26"/>
        <v>0</v>
      </c>
      <c r="AI12" s="86">
        <v>9</v>
      </c>
      <c r="AJ12" s="85"/>
      <c r="AK12" s="85"/>
      <c r="AL12" s="85"/>
      <c r="AM12" s="221">
        <f t="shared" si="6"/>
        <v>0</v>
      </c>
      <c r="AN12" s="85"/>
      <c r="AO12" s="85"/>
      <c r="AP12" s="227">
        <f t="shared" si="7"/>
        <v>0</v>
      </c>
      <c r="AQ12" s="85"/>
      <c r="AR12" s="85"/>
      <c r="AS12" s="227">
        <f t="shared" si="27"/>
        <v>0</v>
      </c>
      <c r="AT12" s="86">
        <v>9</v>
      </c>
      <c r="AU12" s="85"/>
      <c r="AV12" s="85"/>
      <c r="AW12" s="85"/>
      <c r="AX12" s="221">
        <f t="shared" si="8"/>
        <v>0</v>
      </c>
      <c r="AY12" s="85"/>
      <c r="AZ12" s="85"/>
      <c r="BA12" s="227">
        <f t="shared" si="9"/>
        <v>0</v>
      </c>
      <c r="BB12" s="85"/>
      <c r="BC12" s="85"/>
      <c r="BD12" s="226">
        <f t="shared" si="28"/>
        <v>0</v>
      </c>
      <c r="BE12" s="86">
        <v>9</v>
      </c>
      <c r="BF12" s="85"/>
      <c r="BG12" s="85"/>
      <c r="BH12" s="85"/>
      <c r="BI12" s="221">
        <f t="shared" si="10"/>
        <v>0</v>
      </c>
      <c r="BJ12" s="85"/>
      <c r="BK12" s="85"/>
      <c r="BL12" s="227">
        <f t="shared" si="11"/>
        <v>0</v>
      </c>
      <c r="BM12" s="85"/>
      <c r="BN12" s="85"/>
      <c r="BO12" s="226">
        <f t="shared" si="29"/>
        <v>0</v>
      </c>
      <c r="BP12" s="86">
        <v>9</v>
      </c>
      <c r="BQ12" s="85"/>
      <c r="BR12" s="85"/>
      <c r="BS12" s="85"/>
      <c r="BT12" s="221">
        <f t="shared" si="12"/>
        <v>0</v>
      </c>
      <c r="BU12" s="85"/>
      <c r="BV12" s="85"/>
      <c r="BW12" s="227">
        <f t="shared" si="13"/>
        <v>0</v>
      </c>
      <c r="BX12" s="85"/>
      <c r="BY12" s="85"/>
      <c r="BZ12" s="227">
        <f t="shared" si="30"/>
        <v>0</v>
      </c>
      <c r="CA12" s="86">
        <v>9</v>
      </c>
      <c r="CB12" s="85"/>
      <c r="CC12" s="85"/>
      <c r="CD12" s="85"/>
      <c r="CE12" s="221">
        <f t="shared" si="14"/>
        <v>0</v>
      </c>
      <c r="CF12" s="85"/>
      <c r="CG12" s="85"/>
      <c r="CH12" s="227">
        <f t="shared" si="15"/>
        <v>0</v>
      </c>
      <c r="CI12" s="85"/>
      <c r="CJ12" s="85"/>
      <c r="CK12" s="226">
        <f t="shared" si="31"/>
        <v>0</v>
      </c>
      <c r="CL12" s="86">
        <v>9</v>
      </c>
      <c r="CM12" s="85"/>
      <c r="CN12" s="85"/>
      <c r="CO12" s="85"/>
      <c r="CP12" s="221">
        <f t="shared" si="16"/>
        <v>0</v>
      </c>
      <c r="CQ12" s="85"/>
      <c r="CR12" s="85"/>
      <c r="CS12" s="227">
        <f t="shared" si="17"/>
        <v>0</v>
      </c>
      <c r="CT12" s="85"/>
      <c r="CU12" s="85"/>
      <c r="CV12" s="226">
        <f t="shared" si="32"/>
        <v>0</v>
      </c>
      <c r="CW12" s="86">
        <v>9</v>
      </c>
      <c r="CX12" s="85"/>
      <c r="CY12" s="85"/>
      <c r="CZ12" s="85"/>
      <c r="DA12" s="221">
        <f t="shared" si="18"/>
        <v>0</v>
      </c>
      <c r="DB12" s="85"/>
      <c r="DC12" s="85"/>
      <c r="DD12" s="227">
        <f t="shared" si="19"/>
        <v>0</v>
      </c>
      <c r="DE12" s="85"/>
      <c r="DF12" s="85"/>
      <c r="DG12" s="227">
        <f t="shared" si="33"/>
        <v>0</v>
      </c>
      <c r="DH12" s="86">
        <v>9</v>
      </c>
      <c r="DI12" s="85"/>
      <c r="DJ12" s="85"/>
      <c r="DK12" s="85"/>
      <c r="DL12" s="221">
        <f t="shared" si="20"/>
        <v>0</v>
      </c>
      <c r="DM12" s="85"/>
      <c r="DN12" s="85"/>
      <c r="DO12" s="227">
        <f t="shared" si="21"/>
        <v>0</v>
      </c>
      <c r="DP12" s="85"/>
      <c r="DQ12" s="85"/>
      <c r="DR12" s="226">
        <f t="shared" si="34"/>
        <v>0</v>
      </c>
      <c r="DS12" s="86">
        <v>9</v>
      </c>
      <c r="DT12" s="85"/>
      <c r="DU12" s="85"/>
      <c r="DV12" s="85"/>
      <c r="DW12" s="221">
        <f t="shared" si="22"/>
        <v>0</v>
      </c>
      <c r="DX12" s="85"/>
      <c r="DY12" s="85"/>
      <c r="DZ12" s="227">
        <f t="shared" si="23"/>
        <v>0</v>
      </c>
      <c r="EA12" s="85"/>
      <c r="EB12" s="85"/>
      <c r="EC12" s="226">
        <f t="shared" si="35"/>
        <v>0</v>
      </c>
    </row>
    <row r="13" spans="1:133" ht="16.8" thickTop="1" thickBot="1" x14ac:dyDescent="0.35">
      <c r="B13" s="86">
        <v>10</v>
      </c>
      <c r="C13" s="85"/>
      <c r="D13" s="85"/>
      <c r="E13" s="85"/>
      <c r="F13" s="221">
        <f t="shared" si="0"/>
        <v>0</v>
      </c>
      <c r="G13" s="85"/>
      <c r="H13" s="85"/>
      <c r="I13" s="227">
        <f t="shared" si="1"/>
        <v>0</v>
      </c>
      <c r="J13" s="85"/>
      <c r="K13" s="85"/>
      <c r="L13" s="227">
        <f t="shared" si="24"/>
        <v>0</v>
      </c>
      <c r="M13" s="86">
        <v>10</v>
      </c>
      <c r="N13" s="85"/>
      <c r="O13" s="85"/>
      <c r="P13" s="85"/>
      <c r="Q13" s="221">
        <f t="shared" si="2"/>
        <v>0</v>
      </c>
      <c r="R13" s="85"/>
      <c r="S13" s="85"/>
      <c r="T13" s="227">
        <f t="shared" si="3"/>
        <v>0</v>
      </c>
      <c r="U13" s="85"/>
      <c r="V13" s="85"/>
      <c r="W13" s="226">
        <f t="shared" si="25"/>
        <v>0</v>
      </c>
      <c r="X13" s="86">
        <v>10</v>
      </c>
      <c r="Y13" s="85"/>
      <c r="Z13" s="85"/>
      <c r="AA13" s="85"/>
      <c r="AB13" s="221">
        <f t="shared" si="4"/>
        <v>0</v>
      </c>
      <c r="AC13" s="85"/>
      <c r="AD13" s="85"/>
      <c r="AE13" s="227">
        <f t="shared" si="5"/>
        <v>0</v>
      </c>
      <c r="AF13" s="85"/>
      <c r="AG13" s="85"/>
      <c r="AH13" s="226">
        <f t="shared" si="26"/>
        <v>0</v>
      </c>
      <c r="AI13" s="86">
        <v>10</v>
      </c>
      <c r="AJ13" s="85"/>
      <c r="AK13" s="85"/>
      <c r="AL13" s="85"/>
      <c r="AM13" s="221">
        <f t="shared" si="6"/>
        <v>0</v>
      </c>
      <c r="AN13" s="85"/>
      <c r="AO13" s="85"/>
      <c r="AP13" s="227">
        <f t="shared" si="7"/>
        <v>0</v>
      </c>
      <c r="AQ13" s="85"/>
      <c r="AR13" s="85"/>
      <c r="AS13" s="227">
        <f t="shared" si="27"/>
        <v>0</v>
      </c>
      <c r="AT13" s="86">
        <v>10</v>
      </c>
      <c r="AU13" s="85"/>
      <c r="AV13" s="85"/>
      <c r="AW13" s="85"/>
      <c r="AX13" s="221">
        <f t="shared" si="8"/>
        <v>0</v>
      </c>
      <c r="AY13" s="85"/>
      <c r="AZ13" s="85"/>
      <c r="BA13" s="227">
        <f t="shared" si="9"/>
        <v>0</v>
      </c>
      <c r="BB13" s="85"/>
      <c r="BC13" s="85"/>
      <c r="BD13" s="226">
        <f t="shared" si="28"/>
        <v>0</v>
      </c>
      <c r="BE13" s="86">
        <v>10</v>
      </c>
      <c r="BF13" s="85"/>
      <c r="BG13" s="85"/>
      <c r="BH13" s="85"/>
      <c r="BI13" s="221">
        <f t="shared" si="10"/>
        <v>0</v>
      </c>
      <c r="BJ13" s="85"/>
      <c r="BK13" s="85"/>
      <c r="BL13" s="227">
        <f t="shared" si="11"/>
        <v>0</v>
      </c>
      <c r="BM13" s="85"/>
      <c r="BN13" s="85"/>
      <c r="BO13" s="226">
        <f t="shared" si="29"/>
        <v>0</v>
      </c>
      <c r="BP13" s="86">
        <v>10</v>
      </c>
      <c r="BQ13" s="85"/>
      <c r="BR13" s="85"/>
      <c r="BS13" s="85"/>
      <c r="BT13" s="221">
        <f t="shared" si="12"/>
        <v>0</v>
      </c>
      <c r="BU13" s="85"/>
      <c r="BV13" s="85"/>
      <c r="BW13" s="227">
        <f t="shared" si="13"/>
        <v>0</v>
      </c>
      <c r="BX13" s="85"/>
      <c r="BY13" s="85"/>
      <c r="BZ13" s="227">
        <f t="shared" si="30"/>
        <v>0</v>
      </c>
      <c r="CA13" s="86">
        <v>10</v>
      </c>
      <c r="CB13" s="85"/>
      <c r="CC13" s="85"/>
      <c r="CD13" s="85"/>
      <c r="CE13" s="221">
        <f t="shared" si="14"/>
        <v>0</v>
      </c>
      <c r="CF13" s="85"/>
      <c r="CG13" s="85"/>
      <c r="CH13" s="227">
        <f t="shared" si="15"/>
        <v>0</v>
      </c>
      <c r="CI13" s="85"/>
      <c r="CJ13" s="85"/>
      <c r="CK13" s="226">
        <f t="shared" si="31"/>
        <v>0</v>
      </c>
      <c r="CL13" s="86">
        <v>10</v>
      </c>
      <c r="CM13" s="85"/>
      <c r="CN13" s="85"/>
      <c r="CO13" s="85"/>
      <c r="CP13" s="221">
        <f t="shared" si="16"/>
        <v>0</v>
      </c>
      <c r="CQ13" s="85"/>
      <c r="CR13" s="85"/>
      <c r="CS13" s="227">
        <f t="shared" si="17"/>
        <v>0</v>
      </c>
      <c r="CT13" s="85"/>
      <c r="CU13" s="85"/>
      <c r="CV13" s="226">
        <f t="shared" si="32"/>
        <v>0</v>
      </c>
      <c r="CW13" s="86">
        <v>10</v>
      </c>
      <c r="CX13" s="85"/>
      <c r="CY13" s="85"/>
      <c r="CZ13" s="85"/>
      <c r="DA13" s="221">
        <f t="shared" si="18"/>
        <v>0</v>
      </c>
      <c r="DB13" s="85"/>
      <c r="DC13" s="85"/>
      <c r="DD13" s="227">
        <f t="shared" si="19"/>
        <v>0</v>
      </c>
      <c r="DE13" s="85"/>
      <c r="DF13" s="85"/>
      <c r="DG13" s="227">
        <f t="shared" si="33"/>
        <v>0</v>
      </c>
      <c r="DH13" s="86">
        <v>10</v>
      </c>
      <c r="DI13" s="85"/>
      <c r="DJ13" s="85"/>
      <c r="DK13" s="85"/>
      <c r="DL13" s="221">
        <f t="shared" si="20"/>
        <v>0</v>
      </c>
      <c r="DM13" s="85"/>
      <c r="DN13" s="85"/>
      <c r="DO13" s="227">
        <f t="shared" si="21"/>
        <v>0</v>
      </c>
      <c r="DP13" s="85"/>
      <c r="DQ13" s="85"/>
      <c r="DR13" s="226">
        <f t="shared" si="34"/>
        <v>0</v>
      </c>
      <c r="DS13" s="86">
        <v>10</v>
      </c>
      <c r="DT13" s="85"/>
      <c r="DU13" s="85"/>
      <c r="DV13" s="85"/>
      <c r="DW13" s="221">
        <f t="shared" si="22"/>
        <v>0</v>
      </c>
      <c r="DX13" s="85"/>
      <c r="DY13" s="85"/>
      <c r="DZ13" s="227">
        <f t="shared" si="23"/>
        <v>0</v>
      </c>
      <c r="EA13" s="85"/>
      <c r="EB13" s="85"/>
      <c r="EC13" s="226">
        <f t="shared" si="35"/>
        <v>0</v>
      </c>
    </row>
    <row r="14" spans="1:133" ht="16.8" thickTop="1" thickBot="1" x14ac:dyDescent="0.35">
      <c r="B14" s="86">
        <v>11</v>
      </c>
      <c r="C14" s="85"/>
      <c r="D14" s="85"/>
      <c r="E14" s="85"/>
      <c r="F14" s="221">
        <f t="shared" si="0"/>
        <v>0</v>
      </c>
      <c r="G14" s="85"/>
      <c r="H14" s="85"/>
      <c r="I14" s="227">
        <f t="shared" si="1"/>
        <v>0</v>
      </c>
      <c r="J14" s="85"/>
      <c r="K14" s="85"/>
      <c r="L14" s="227">
        <f t="shared" si="24"/>
        <v>0</v>
      </c>
      <c r="M14" s="86">
        <v>11</v>
      </c>
      <c r="N14" s="85"/>
      <c r="O14" s="85"/>
      <c r="P14" s="85"/>
      <c r="Q14" s="221">
        <f t="shared" si="2"/>
        <v>0</v>
      </c>
      <c r="R14" s="85"/>
      <c r="S14" s="85"/>
      <c r="T14" s="227">
        <f t="shared" si="3"/>
        <v>0</v>
      </c>
      <c r="U14" s="85"/>
      <c r="V14" s="85"/>
      <c r="W14" s="226">
        <f t="shared" si="25"/>
        <v>0</v>
      </c>
      <c r="X14" s="86">
        <v>11</v>
      </c>
      <c r="Y14" s="85"/>
      <c r="Z14" s="85"/>
      <c r="AA14" s="85"/>
      <c r="AB14" s="221">
        <f t="shared" si="4"/>
        <v>0</v>
      </c>
      <c r="AC14" s="85"/>
      <c r="AD14" s="85"/>
      <c r="AE14" s="227">
        <f t="shared" si="5"/>
        <v>0</v>
      </c>
      <c r="AF14" s="85"/>
      <c r="AG14" s="85"/>
      <c r="AH14" s="226">
        <f t="shared" si="26"/>
        <v>0</v>
      </c>
      <c r="AI14" s="86">
        <v>11</v>
      </c>
      <c r="AJ14" s="85"/>
      <c r="AK14" s="85"/>
      <c r="AL14" s="85"/>
      <c r="AM14" s="221">
        <f t="shared" si="6"/>
        <v>0</v>
      </c>
      <c r="AN14" s="85"/>
      <c r="AO14" s="85"/>
      <c r="AP14" s="227">
        <f t="shared" si="7"/>
        <v>0</v>
      </c>
      <c r="AQ14" s="85"/>
      <c r="AR14" s="85"/>
      <c r="AS14" s="227">
        <f t="shared" si="27"/>
        <v>0</v>
      </c>
      <c r="AT14" s="86">
        <v>11</v>
      </c>
      <c r="AU14" s="85"/>
      <c r="AV14" s="85"/>
      <c r="AW14" s="85"/>
      <c r="AX14" s="221">
        <f t="shared" si="8"/>
        <v>0</v>
      </c>
      <c r="AY14" s="85"/>
      <c r="AZ14" s="85"/>
      <c r="BA14" s="227">
        <f t="shared" si="9"/>
        <v>0</v>
      </c>
      <c r="BB14" s="85"/>
      <c r="BC14" s="85"/>
      <c r="BD14" s="226">
        <f t="shared" si="28"/>
        <v>0</v>
      </c>
      <c r="BE14" s="86">
        <v>11</v>
      </c>
      <c r="BF14" s="85"/>
      <c r="BG14" s="85"/>
      <c r="BH14" s="85"/>
      <c r="BI14" s="221">
        <f t="shared" si="10"/>
        <v>0</v>
      </c>
      <c r="BJ14" s="85"/>
      <c r="BK14" s="85"/>
      <c r="BL14" s="227">
        <f t="shared" si="11"/>
        <v>0</v>
      </c>
      <c r="BM14" s="85"/>
      <c r="BN14" s="85"/>
      <c r="BO14" s="226">
        <f t="shared" si="29"/>
        <v>0</v>
      </c>
      <c r="BP14" s="86">
        <v>11</v>
      </c>
      <c r="BQ14" s="85"/>
      <c r="BR14" s="85"/>
      <c r="BS14" s="85"/>
      <c r="BT14" s="221">
        <f t="shared" si="12"/>
        <v>0</v>
      </c>
      <c r="BU14" s="85"/>
      <c r="BV14" s="85"/>
      <c r="BW14" s="227">
        <f t="shared" si="13"/>
        <v>0</v>
      </c>
      <c r="BX14" s="85"/>
      <c r="BY14" s="85"/>
      <c r="BZ14" s="227">
        <f t="shared" si="30"/>
        <v>0</v>
      </c>
      <c r="CA14" s="86">
        <v>11</v>
      </c>
      <c r="CB14" s="85"/>
      <c r="CC14" s="85"/>
      <c r="CD14" s="85"/>
      <c r="CE14" s="221">
        <f t="shared" si="14"/>
        <v>0</v>
      </c>
      <c r="CF14" s="85"/>
      <c r="CG14" s="85"/>
      <c r="CH14" s="227">
        <f t="shared" si="15"/>
        <v>0</v>
      </c>
      <c r="CI14" s="85"/>
      <c r="CJ14" s="85"/>
      <c r="CK14" s="226">
        <f t="shared" si="31"/>
        <v>0</v>
      </c>
      <c r="CL14" s="86">
        <v>11</v>
      </c>
      <c r="CM14" s="85"/>
      <c r="CN14" s="85"/>
      <c r="CO14" s="85"/>
      <c r="CP14" s="221">
        <f t="shared" si="16"/>
        <v>0</v>
      </c>
      <c r="CQ14" s="85"/>
      <c r="CR14" s="85"/>
      <c r="CS14" s="227">
        <f t="shared" si="17"/>
        <v>0</v>
      </c>
      <c r="CT14" s="85"/>
      <c r="CU14" s="85"/>
      <c r="CV14" s="226">
        <f t="shared" si="32"/>
        <v>0</v>
      </c>
      <c r="CW14" s="86">
        <v>11</v>
      </c>
      <c r="CX14" s="85"/>
      <c r="CY14" s="85"/>
      <c r="CZ14" s="85"/>
      <c r="DA14" s="221">
        <f t="shared" si="18"/>
        <v>0</v>
      </c>
      <c r="DB14" s="85"/>
      <c r="DC14" s="85"/>
      <c r="DD14" s="227">
        <f t="shared" si="19"/>
        <v>0</v>
      </c>
      <c r="DE14" s="85"/>
      <c r="DF14" s="85"/>
      <c r="DG14" s="227">
        <f t="shared" si="33"/>
        <v>0</v>
      </c>
      <c r="DH14" s="86">
        <v>11</v>
      </c>
      <c r="DI14" s="85"/>
      <c r="DJ14" s="85"/>
      <c r="DK14" s="85"/>
      <c r="DL14" s="221">
        <f t="shared" si="20"/>
        <v>0</v>
      </c>
      <c r="DM14" s="85"/>
      <c r="DN14" s="85"/>
      <c r="DO14" s="227">
        <f t="shared" si="21"/>
        <v>0</v>
      </c>
      <c r="DP14" s="85"/>
      <c r="DQ14" s="85"/>
      <c r="DR14" s="226">
        <f t="shared" si="34"/>
        <v>0</v>
      </c>
      <c r="DS14" s="86">
        <v>11</v>
      </c>
      <c r="DT14" s="85"/>
      <c r="DU14" s="85"/>
      <c r="DV14" s="85"/>
      <c r="DW14" s="221">
        <f t="shared" si="22"/>
        <v>0</v>
      </c>
      <c r="DX14" s="85"/>
      <c r="DY14" s="85"/>
      <c r="DZ14" s="227">
        <f t="shared" si="23"/>
        <v>0</v>
      </c>
      <c r="EA14" s="85"/>
      <c r="EB14" s="85"/>
      <c r="EC14" s="226">
        <f t="shared" si="35"/>
        <v>0</v>
      </c>
    </row>
    <row r="15" spans="1:133" ht="16.8" thickTop="1" thickBot="1" x14ac:dyDescent="0.35">
      <c r="B15" s="86">
        <v>12</v>
      </c>
      <c r="C15" s="85"/>
      <c r="D15" s="85"/>
      <c r="E15" s="85"/>
      <c r="F15" s="221">
        <f t="shared" si="0"/>
        <v>0</v>
      </c>
      <c r="G15" s="85"/>
      <c r="H15" s="85"/>
      <c r="I15" s="227">
        <f t="shared" si="1"/>
        <v>0</v>
      </c>
      <c r="J15" s="85"/>
      <c r="K15" s="85"/>
      <c r="L15" s="227">
        <f t="shared" si="24"/>
        <v>0</v>
      </c>
      <c r="M15" s="86">
        <v>12</v>
      </c>
      <c r="N15" s="85"/>
      <c r="O15" s="85"/>
      <c r="P15" s="85"/>
      <c r="Q15" s="221">
        <f t="shared" si="2"/>
        <v>0</v>
      </c>
      <c r="R15" s="85"/>
      <c r="S15" s="85"/>
      <c r="T15" s="227">
        <f t="shared" si="3"/>
        <v>0</v>
      </c>
      <c r="U15" s="85"/>
      <c r="V15" s="85"/>
      <c r="W15" s="226">
        <f t="shared" si="25"/>
        <v>0</v>
      </c>
      <c r="X15" s="86">
        <v>12</v>
      </c>
      <c r="Y15" s="85"/>
      <c r="Z15" s="85"/>
      <c r="AA15" s="85"/>
      <c r="AB15" s="221">
        <f t="shared" si="4"/>
        <v>0</v>
      </c>
      <c r="AC15" s="85"/>
      <c r="AD15" s="85"/>
      <c r="AE15" s="227">
        <f t="shared" si="5"/>
        <v>0</v>
      </c>
      <c r="AF15" s="85"/>
      <c r="AG15" s="85"/>
      <c r="AH15" s="226">
        <f t="shared" si="26"/>
        <v>0</v>
      </c>
      <c r="AI15" s="86">
        <v>12</v>
      </c>
      <c r="AJ15" s="85"/>
      <c r="AK15" s="85"/>
      <c r="AL15" s="85"/>
      <c r="AM15" s="221">
        <f t="shared" si="6"/>
        <v>0</v>
      </c>
      <c r="AN15" s="85"/>
      <c r="AO15" s="85"/>
      <c r="AP15" s="227">
        <f t="shared" si="7"/>
        <v>0</v>
      </c>
      <c r="AQ15" s="85"/>
      <c r="AR15" s="85"/>
      <c r="AS15" s="227">
        <f t="shared" si="27"/>
        <v>0</v>
      </c>
      <c r="AT15" s="86">
        <v>12</v>
      </c>
      <c r="AU15" s="85"/>
      <c r="AV15" s="85"/>
      <c r="AW15" s="85"/>
      <c r="AX15" s="221">
        <f t="shared" si="8"/>
        <v>0</v>
      </c>
      <c r="AY15" s="85"/>
      <c r="AZ15" s="85"/>
      <c r="BA15" s="227">
        <f t="shared" si="9"/>
        <v>0</v>
      </c>
      <c r="BB15" s="85"/>
      <c r="BC15" s="85"/>
      <c r="BD15" s="226">
        <f t="shared" si="28"/>
        <v>0</v>
      </c>
      <c r="BE15" s="86">
        <v>12</v>
      </c>
      <c r="BF15" s="85"/>
      <c r="BG15" s="85"/>
      <c r="BH15" s="85"/>
      <c r="BI15" s="221">
        <f t="shared" si="10"/>
        <v>0</v>
      </c>
      <c r="BJ15" s="85"/>
      <c r="BK15" s="85"/>
      <c r="BL15" s="227">
        <f t="shared" si="11"/>
        <v>0</v>
      </c>
      <c r="BM15" s="85"/>
      <c r="BN15" s="85"/>
      <c r="BO15" s="226">
        <f t="shared" si="29"/>
        <v>0</v>
      </c>
      <c r="BP15" s="86">
        <v>12</v>
      </c>
      <c r="BQ15" s="85"/>
      <c r="BR15" s="85"/>
      <c r="BS15" s="85"/>
      <c r="BT15" s="221">
        <f t="shared" si="12"/>
        <v>0</v>
      </c>
      <c r="BU15" s="85"/>
      <c r="BV15" s="85"/>
      <c r="BW15" s="227">
        <f t="shared" si="13"/>
        <v>0</v>
      </c>
      <c r="BX15" s="85"/>
      <c r="BY15" s="85"/>
      <c r="BZ15" s="227">
        <f t="shared" si="30"/>
        <v>0</v>
      </c>
      <c r="CA15" s="86">
        <v>12</v>
      </c>
      <c r="CB15" s="85"/>
      <c r="CC15" s="85"/>
      <c r="CD15" s="85"/>
      <c r="CE15" s="221">
        <f t="shared" si="14"/>
        <v>0</v>
      </c>
      <c r="CF15" s="85"/>
      <c r="CG15" s="85"/>
      <c r="CH15" s="227">
        <f t="shared" si="15"/>
        <v>0</v>
      </c>
      <c r="CI15" s="85"/>
      <c r="CJ15" s="85"/>
      <c r="CK15" s="226">
        <f t="shared" si="31"/>
        <v>0</v>
      </c>
      <c r="CL15" s="86">
        <v>12</v>
      </c>
      <c r="CM15" s="85"/>
      <c r="CN15" s="85"/>
      <c r="CO15" s="85"/>
      <c r="CP15" s="221">
        <f t="shared" si="16"/>
        <v>0</v>
      </c>
      <c r="CQ15" s="85"/>
      <c r="CR15" s="85"/>
      <c r="CS15" s="227">
        <f t="shared" si="17"/>
        <v>0</v>
      </c>
      <c r="CT15" s="85"/>
      <c r="CU15" s="85"/>
      <c r="CV15" s="226">
        <f t="shared" si="32"/>
        <v>0</v>
      </c>
      <c r="CW15" s="86">
        <v>12</v>
      </c>
      <c r="CX15" s="85"/>
      <c r="CY15" s="85"/>
      <c r="CZ15" s="85"/>
      <c r="DA15" s="221">
        <f t="shared" si="18"/>
        <v>0</v>
      </c>
      <c r="DB15" s="85"/>
      <c r="DC15" s="85"/>
      <c r="DD15" s="227">
        <f t="shared" si="19"/>
        <v>0</v>
      </c>
      <c r="DE15" s="85"/>
      <c r="DF15" s="85"/>
      <c r="DG15" s="227">
        <f t="shared" si="33"/>
        <v>0</v>
      </c>
      <c r="DH15" s="86">
        <v>12</v>
      </c>
      <c r="DI15" s="85"/>
      <c r="DJ15" s="85"/>
      <c r="DK15" s="85"/>
      <c r="DL15" s="221">
        <f t="shared" si="20"/>
        <v>0</v>
      </c>
      <c r="DM15" s="85"/>
      <c r="DN15" s="85"/>
      <c r="DO15" s="227">
        <f t="shared" si="21"/>
        <v>0</v>
      </c>
      <c r="DP15" s="85"/>
      <c r="DQ15" s="85"/>
      <c r="DR15" s="226">
        <f t="shared" si="34"/>
        <v>0</v>
      </c>
      <c r="DS15" s="86">
        <v>12</v>
      </c>
      <c r="DT15" s="85"/>
      <c r="DU15" s="85"/>
      <c r="DV15" s="85"/>
      <c r="DW15" s="221">
        <f t="shared" si="22"/>
        <v>0</v>
      </c>
      <c r="DX15" s="85"/>
      <c r="DY15" s="85"/>
      <c r="DZ15" s="227">
        <f t="shared" si="23"/>
        <v>0</v>
      </c>
      <c r="EA15" s="85"/>
      <c r="EB15" s="85"/>
      <c r="EC15" s="226">
        <f t="shared" si="35"/>
        <v>0</v>
      </c>
    </row>
    <row r="16" spans="1:133" ht="16.8" thickTop="1" thickBot="1" x14ac:dyDescent="0.35">
      <c r="B16" s="86">
        <v>13</v>
      </c>
      <c r="C16" s="85"/>
      <c r="D16" s="85"/>
      <c r="E16" s="85"/>
      <c r="F16" s="221">
        <f t="shared" si="0"/>
        <v>0</v>
      </c>
      <c r="G16" s="85"/>
      <c r="H16" s="85"/>
      <c r="I16" s="227">
        <f t="shared" si="1"/>
        <v>0</v>
      </c>
      <c r="J16" s="85"/>
      <c r="K16" s="85"/>
      <c r="L16" s="227">
        <f t="shared" si="24"/>
        <v>0</v>
      </c>
      <c r="M16" s="86">
        <v>13</v>
      </c>
      <c r="N16" s="85"/>
      <c r="O16" s="85"/>
      <c r="P16" s="85"/>
      <c r="Q16" s="221">
        <f t="shared" si="2"/>
        <v>0</v>
      </c>
      <c r="R16" s="85"/>
      <c r="S16" s="85"/>
      <c r="T16" s="227">
        <f t="shared" si="3"/>
        <v>0</v>
      </c>
      <c r="U16" s="85"/>
      <c r="V16" s="85"/>
      <c r="W16" s="226">
        <f t="shared" si="25"/>
        <v>0</v>
      </c>
      <c r="X16" s="86">
        <v>13</v>
      </c>
      <c r="Y16" s="85"/>
      <c r="Z16" s="85"/>
      <c r="AA16" s="85"/>
      <c r="AB16" s="221">
        <f t="shared" si="4"/>
        <v>0</v>
      </c>
      <c r="AC16" s="85"/>
      <c r="AD16" s="85"/>
      <c r="AE16" s="227">
        <f t="shared" si="5"/>
        <v>0</v>
      </c>
      <c r="AF16" s="85"/>
      <c r="AG16" s="85"/>
      <c r="AH16" s="226">
        <f t="shared" si="26"/>
        <v>0</v>
      </c>
      <c r="AI16" s="86">
        <v>13</v>
      </c>
      <c r="AJ16" s="85"/>
      <c r="AK16" s="85"/>
      <c r="AL16" s="85"/>
      <c r="AM16" s="221">
        <f t="shared" si="6"/>
        <v>0</v>
      </c>
      <c r="AN16" s="85"/>
      <c r="AO16" s="85"/>
      <c r="AP16" s="227">
        <f t="shared" si="7"/>
        <v>0</v>
      </c>
      <c r="AQ16" s="85"/>
      <c r="AR16" s="85"/>
      <c r="AS16" s="227">
        <f t="shared" si="27"/>
        <v>0</v>
      </c>
      <c r="AT16" s="86">
        <v>13</v>
      </c>
      <c r="AU16" s="85"/>
      <c r="AV16" s="85"/>
      <c r="AW16" s="85"/>
      <c r="AX16" s="221">
        <f t="shared" si="8"/>
        <v>0</v>
      </c>
      <c r="AY16" s="85"/>
      <c r="AZ16" s="85"/>
      <c r="BA16" s="227">
        <f t="shared" si="9"/>
        <v>0</v>
      </c>
      <c r="BB16" s="85"/>
      <c r="BC16" s="85"/>
      <c r="BD16" s="226">
        <f t="shared" si="28"/>
        <v>0</v>
      </c>
      <c r="BE16" s="86">
        <v>13</v>
      </c>
      <c r="BF16" s="85"/>
      <c r="BG16" s="85"/>
      <c r="BH16" s="85"/>
      <c r="BI16" s="221">
        <f t="shared" si="10"/>
        <v>0</v>
      </c>
      <c r="BJ16" s="85"/>
      <c r="BK16" s="85"/>
      <c r="BL16" s="227">
        <f t="shared" si="11"/>
        <v>0</v>
      </c>
      <c r="BM16" s="85"/>
      <c r="BN16" s="85"/>
      <c r="BO16" s="226">
        <f t="shared" si="29"/>
        <v>0</v>
      </c>
      <c r="BP16" s="86">
        <v>13</v>
      </c>
      <c r="BQ16" s="85"/>
      <c r="BR16" s="85"/>
      <c r="BS16" s="85"/>
      <c r="BT16" s="221">
        <f t="shared" si="12"/>
        <v>0</v>
      </c>
      <c r="BU16" s="85"/>
      <c r="BV16" s="85"/>
      <c r="BW16" s="227">
        <f t="shared" si="13"/>
        <v>0</v>
      </c>
      <c r="BX16" s="85"/>
      <c r="BY16" s="85"/>
      <c r="BZ16" s="227">
        <f t="shared" si="30"/>
        <v>0</v>
      </c>
      <c r="CA16" s="86">
        <v>13</v>
      </c>
      <c r="CB16" s="85"/>
      <c r="CC16" s="85"/>
      <c r="CD16" s="85"/>
      <c r="CE16" s="221">
        <f t="shared" si="14"/>
        <v>0</v>
      </c>
      <c r="CF16" s="85"/>
      <c r="CG16" s="85"/>
      <c r="CH16" s="227">
        <f t="shared" si="15"/>
        <v>0</v>
      </c>
      <c r="CI16" s="85"/>
      <c r="CJ16" s="85"/>
      <c r="CK16" s="226">
        <f t="shared" si="31"/>
        <v>0</v>
      </c>
      <c r="CL16" s="86">
        <v>13</v>
      </c>
      <c r="CM16" s="85"/>
      <c r="CN16" s="85"/>
      <c r="CO16" s="85"/>
      <c r="CP16" s="221">
        <f t="shared" si="16"/>
        <v>0</v>
      </c>
      <c r="CQ16" s="85"/>
      <c r="CR16" s="85"/>
      <c r="CS16" s="227">
        <f t="shared" si="17"/>
        <v>0</v>
      </c>
      <c r="CT16" s="85"/>
      <c r="CU16" s="85"/>
      <c r="CV16" s="226">
        <f t="shared" si="32"/>
        <v>0</v>
      </c>
      <c r="CW16" s="86">
        <v>13</v>
      </c>
      <c r="CX16" s="85"/>
      <c r="CY16" s="85"/>
      <c r="CZ16" s="85"/>
      <c r="DA16" s="221">
        <f t="shared" si="18"/>
        <v>0</v>
      </c>
      <c r="DB16" s="85"/>
      <c r="DC16" s="85"/>
      <c r="DD16" s="227">
        <f t="shared" si="19"/>
        <v>0</v>
      </c>
      <c r="DE16" s="85"/>
      <c r="DF16" s="85"/>
      <c r="DG16" s="227">
        <f t="shared" si="33"/>
        <v>0</v>
      </c>
      <c r="DH16" s="86">
        <v>13</v>
      </c>
      <c r="DI16" s="85"/>
      <c r="DJ16" s="85"/>
      <c r="DK16" s="85"/>
      <c r="DL16" s="221">
        <f t="shared" si="20"/>
        <v>0</v>
      </c>
      <c r="DM16" s="85"/>
      <c r="DN16" s="85"/>
      <c r="DO16" s="227">
        <f t="shared" si="21"/>
        <v>0</v>
      </c>
      <c r="DP16" s="85"/>
      <c r="DQ16" s="85"/>
      <c r="DR16" s="226">
        <f t="shared" si="34"/>
        <v>0</v>
      </c>
      <c r="DS16" s="86">
        <v>13</v>
      </c>
      <c r="DT16" s="85"/>
      <c r="DU16" s="85"/>
      <c r="DV16" s="85"/>
      <c r="DW16" s="221">
        <f t="shared" si="22"/>
        <v>0</v>
      </c>
      <c r="DX16" s="85"/>
      <c r="DY16" s="85"/>
      <c r="DZ16" s="227">
        <f t="shared" si="23"/>
        <v>0</v>
      </c>
      <c r="EA16" s="85"/>
      <c r="EB16" s="85"/>
      <c r="EC16" s="226">
        <f t="shared" si="35"/>
        <v>0</v>
      </c>
    </row>
    <row r="17" spans="2:133" ht="16.8" thickTop="1" thickBot="1" x14ac:dyDescent="0.35">
      <c r="B17" s="86">
        <v>14</v>
      </c>
      <c r="C17" s="85"/>
      <c r="D17" s="85"/>
      <c r="E17" s="85"/>
      <c r="F17" s="221">
        <f t="shared" si="0"/>
        <v>0</v>
      </c>
      <c r="G17" s="85"/>
      <c r="H17" s="85"/>
      <c r="I17" s="227">
        <f t="shared" si="1"/>
        <v>0</v>
      </c>
      <c r="J17" s="85"/>
      <c r="K17" s="85"/>
      <c r="L17" s="227">
        <f t="shared" si="24"/>
        <v>0</v>
      </c>
      <c r="M17" s="86">
        <v>14</v>
      </c>
      <c r="N17" s="85"/>
      <c r="O17" s="85"/>
      <c r="P17" s="85"/>
      <c r="Q17" s="221">
        <f t="shared" si="2"/>
        <v>0</v>
      </c>
      <c r="R17" s="85"/>
      <c r="S17" s="85"/>
      <c r="T17" s="227">
        <f t="shared" si="3"/>
        <v>0</v>
      </c>
      <c r="U17" s="85"/>
      <c r="V17" s="85"/>
      <c r="W17" s="226">
        <f t="shared" si="25"/>
        <v>0</v>
      </c>
      <c r="X17" s="86">
        <v>14</v>
      </c>
      <c r="Y17" s="85"/>
      <c r="Z17" s="85"/>
      <c r="AA17" s="85"/>
      <c r="AB17" s="221">
        <f t="shared" si="4"/>
        <v>0</v>
      </c>
      <c r="AC17" s="85"/>
      <c r="AD17" s="85"/>
      <c r="AE17" s="227">
        <f t="shared" si="5"/>
        <v>0</v>
      </c>
      <c r="AF17" s="85"/>
      <c r="AG17" s="85"/>
      <c r="AH17" s="226">
        <f t="shared" si="26"/>
        <v>0</v>
      </c>
      <c r="AI17" s="86">
        <v>14</v>
      </c>
      <c r="AJ17" s="85"/>
      <c r="AK17" s="85"/>
      <c r="AL17" s="85"/>
      <c r="AM17" s="221">
        <f t="shared" si="6"/>
        <v>0</v>
      </c>
      <c r="AN17" s="85"/>
      <c r="AO17" s="85"/>
      <c r="AP17" s="227">
        <f t="shared" si="7"/>
        <v>0</v>
      </c>
      <c r="AQ17" s="85"/>
      <c r="AR17" s="85"/>
      <c r="AS17" s="227">
        <f t="shared" si="27"/>
        <v>0</v>
      </c>
      <c r="AT17" s="86">
        <v>14</v>
      </c>
      <c r="AU17" s="85"/>
      <c r="AV17" s="85"/>
      <c r="AW17" s="85"/>
      <c r="AX17" s="221">
        <f t="shared" si="8"/>
        <v>0</v>
      </c>
      <c r="AY17" s="85"/>
      <c r="AZ17" s="85"/>
      <c r="BA17" s="227">
        <f t="shared" si="9"/>
        <v>0</v>
      </c>
      <c r="BB17" s="85"/>
      <c r="BC17" s="85"/>
      <c r="BD17" s="226">
        <f t="shared" si="28"/>
        <v>0</v>
      </c>
      <c r="BE17" s="86">
        <v>14</v>
      </c>
      <c r="BF17" s="85"/>
      <c r="BG17" s="85"/>
      <c r="BH17" s="85"/>
      <c r="BI17" s="221">
        <f t="shared" si="10"/>
        <v>0</v>
      </c>
      <c r="BJ17" s="85"/>
      <c r="BK17" s="85"/>
      <c r="BL17" s="227">
        <f t="shared" si="11"/>
        <v>0</v>
      </c>
      <c r="BM17" s="85"/>
      <c r="BN17" s="85"/>
      <c r="BO17" s="226">
        <f t="shared" si="29"/>
        <v>0</v>
      </c>
      <c r="BP17" s="86">
        <v>14</v>
      </c>
      <c r="BQ17" s="85"/>
      <c r="BR17" s="85"/>
      <c r="BS17" s="85"/>
      <c r="BT17" s="221">
        <f t="shared" si="12"/>
        <v>0</v>
      </c>
      <c r="BU17" s="85"/>
      <c r="BV17" s="85"/>
      <c r="BW17" s="227">
        <f t="shared" si="13"/>
        <v>0</v>
      </c>
      <c r="BX17" s="85"/>
      <c r="BY17" s="85"/>
      <c r="BZ17" s="227">
        <f t="shared" si="30"/>
        <v>0</v>
      </c>
      <c r="CA17" s="86">
        <v>14</v>
      </c>
      <c r="CB17" s="85"/>
      <c r="CC17" s="85"/>
      <c r="CD17" s="85"/>
      <c r="CE17" s="221">
        <f t="shared" si="14"/>
        <v>0</v>
      </c>
      <c r="CF17" s="85"/>
      <c r="CG17" s="85"/>
      <c r="CH17" s="227">
        <f t="shared" si="15"/>
        <v>0</v>
      </c>
      <c r="CI17" s="85"/>
      <c r="CJ17" s="85"/>
      <c r="CK17" s="226">
        <f t="shared" si="31"/>
        <v>0</v>
      </c>
      <c r="CL17" s="86">
        <v>14</v>
      </c>
      <c r="CM17" s="85"/>
      <c r="CN17" s="85"/>
      <c r="CO17" s="85"/>
      <c r="CP17" s="221">
        <f t="shared" si="16"/>
        <v>0</v>
      </c>
      <c r="CQ17" s="85"/>
      <c r="CR17" s="85"/>
      <c r="CS17" s="227">
        <f t="shared" si="17"/>
        <v>0</v>
      </c>
      <c r="CT17" s="85"/>
      <c r="CU17" s="85"/>
      <c r="CV17" s="226">
        <f t="shared" si="32"/>
        <v>0</v>
      </c>
      <c r="CW17" s="86">
        <v>14</v>
      </c>
      <c r="CX17" s="85"/>
      <c r="CY17" s="85"/>
      <c r="CZ17" s="85"/>
      <c r="DA17" s="221">
        <f t="shared" si="18"/>
        <v>0</v>
      </c>
      <c r="DB17" s="85"/>
      <c r="DC17" s="85"/>
      <c r="DD17" s="227">
        <f t="shared" si="19"/>
        <v>0</v>
      </c>
      <c r="DE17" s="85"/>
      <c r="DF17" s="85"/>
      <c r="DG17" s="227">
        <f t="shared" si="33"/>
        <v>0</v>
      </c>
      <c r="DH17" s="86">
        <v>14</v>
      </c>
      <c r="DI17" s="85"/>
      <c r="DJ17" s="85"/>
      <c r="DK17" s="85"/>
      <c r="DL17" s="221">
        <f t="shared" si="20"/>
        <v>0</v>
      </c>
      <c r="DM17" s="85"/>
      <c r="DN17" s="85"/>
      <c r="DO17" s="227">
        <f t="shared" si="21"/>
        <v>0</v>
      </c>
      <c r="DP17" s="85"/>
      <c r="DQ17" s="85"/>
      <c r="DR17" s="226">
        <f t="shared" si="34"/>
        <v>0</v>
      </c>
      <c r="DS17" s="86">
        <v>14</v>
      </c>
      <c r="DT17" s="85"/>
      <c r="DU17" s="85"/>
      <c r="DV17" s="85"/>
      <c r="DW17" s="221">
        <f t="shared" si="22"/>
        <v>0</v>
      </c>
      <c r="DX17" s="85"/>
      <c r="DY17" s="85"/>
      <c r="DZ17" s="227">
        <f t="shared" si="23"/>
        <v>0</v>
      </c>
      <c r="EA17" s="85"/>
      <c r="EB17" s="85"/>
      <c r="EC17" s="226">
        <f t="shared" si="35"/>
        <v>0</v>
      </c>
    </row>
    <row r="18" spans="2:133" ht="16.8" thickTop="1" thickBot="1" x14ac:dyDescent="0.35">
      <c r="B18" s="86">
        <v>15</v>
      </c>
      <c r="C18" s="85"/>
      <c r="D18" s="85"/>
      <c r="E18" s="85"/>
      <c r="F18" s="221">
        <f t="shared" si="0"/>
        <v>0</v>
      </c>
      <c r="G18" s="85"/>
      <c r="H18" s="85"/>
      <c r="I18" s="227">
        <f t="shared" si="1"/>
        <v>0</v>
      </c>
      <c r="J18" s="85"/>
      <c r="K18" s="85"/>
      <c r="L18" s="227">
        <f t="shared" si="24"/>
        <v>0</v>
      </c>
      <c r="M18" s="86">
        <v>15</v>
      </c>
      <c r="N18" s="85"/>
      <c r="O18" s="85"/>
      <c r="P18" s="85"/>
      <c r="Q18" s="221">
        <f t="shared" si="2"/>
        <v>0</v>
      </c>
      <c r="R18" s="85"/>
      <c r="S18" s="85"/>
      <c r="T18" s="227">
        <f t="shared" si="3"/>
        <v>0</v>
      </c>
      <c r="U18" s="85"/>
      <c r="V18" s="85"/>
      <c r="W18" s="226">
        <f t="shared" si="25"/>
        <v>0</v>
      </c>
      <c r="X18" s="86">
        <v>15</v>
      </c>
      <c r="Y18" s="85"/>
      <c r="Z18" s="85"/>
      <c r="AA18" s="85"/>
      <c r="AB18" s="221">
        <f t="shared" si="4"/>
        <v>0</v>
      </c>
      <c r="AC18" s="85"/>
      <c r="AD18" s="85"/>
      <c r="AE18" s="227">
        <f t="shared" si="5"/>
        <v>0</v>
      </c>
      <c r="AF18" s="85"/>
      <c r="AG18" s="85"/>
      <c r="AH18" s="226">
        <f t="shared" si="26"/>
        <v>0</v>
      </c>
      <c r="AI18" s="86">
        <v>15</v>
      </c>
      <c r="AJ18" s="85"/>
      <c r="AK18" s="85"/>
      <c r="AL18" s="85"/>
      <c r="AM18" s="221">
        <f t="shared" si="6"/>
        <v>0</v>
      </c>
      <c r="AN18" s="85"/>
      <c r="AO18" s="85"/>
      <c r="AP18" s="227">
        <f t="shared" si="7"/>
        <v>0</v>
      </c>
      <c r="AQ18" s="85"/>
      <c r="AR18" s="85"/>
      <c r="AS18" s="227">
        <f t="shared" si="27"/>
        <v>0</v>
      </c>
      <c r="AT18" s="86">
        <v>15</v>
      </c>
      <c r="AU18" s="85"/>
      <c r="AV18" s="85"/>
      <c r="AW18" s="85"/>
      <c r="AX18" s="221">
        <f t="shared" si="8"/>
        <v>0</v>
      </c>
      <c r="AY18" s="85"/>
      <c r="AZ18" s="85"/>
      <c r="BA18" s="227">
        <f t="shared" si="9"/>
        <v>0</v>
      </c>
      <c r="BB18" s="85"/>
      <c r="BC18" s="85"/>
      <c r="BD18" s="226">
        <f t="shared" si="28"/>
        <v>0</v>
      </c>
      <c r="BE18" s="86">
        <v>15</v>
      </c>
      <c r="BF18" s="85"/>
      <c r="BG18" s="85"/>
      <c r="BH18" s="85"/>
      <c r="BI18" s="221">
        <f t="shared" si="10"/>
        <v>0</v>
      </c>
      <c r="BJ18" s="85"/>
      <c r="BK18" s="85"/>
      <c r="BL18" s="227">
        <f t="shared" si="11"/>
        <v>0</v>
      </c>
      <c r="BM18" s="85"/>
      <c r="BN18" s="85"/>
      <c r="BO18" s="226">
        <f t="shared" si="29"/>
        <v>0</v>
      </c>
      <c r="BP18" s="86">
        <v>15</v>
      </c>
      <c r="BQ18" s="85"/>
      <c r="BR18" s="85"/>
      <c r="BS18" s="85"/>
      <c r="BT18" s="221">
        <f t="shared" si="12"/>
        <v>0</v>
      </c>
      <c r="BU18" s="85"/>
      <c r="BV18" s="85"/>
      <c r="BW18" s="227">
        <f t="shared" si="13"/>
        <v>0</v>
      </c>
      <c r="BX18" s="85"/>
      <c r="BY18" s="85"/>
      <c r="BZ18" s="227">
        <f t="shared" si="30"/>
        <v>0</v>
      </c>
      <c r="CA18" s="86">
        <v>15</v>
      </c>
      <c r="CB18" s="85"/>
      <c r="CC18" s="85"/>
      <c r="CD18" s="85"/>
      <c r="CE18" s="221">
        <f t="shared" si="14"/>
        <v>0</v>
      </c>
      <c r="CF18" s="85"/>
      <c r="CG18" s="85"/>
      <c r="CH18" s="227">
        <f t="shared" si="15"/>
        <v>0</v>
      </c>
      <c r="CI18" s="85"/>
      <c r="CJ18" s="85"/>
      <c r="CK18" s="226">
        <f t="shared" si="31"/>
        <v>0</v>
      </c>
      <c r="CL18" s="86">
        <v>15</v>
      </c>
      <c r="CM18" s="85"/>
      <c r="CN18" s="85"/>
      <c r="CO18" s="85"/>
      <c r="CP18" s="221">
        <f t="shared" si="16"/>
        <v>0</v>
      </c>
      <c r="CQ18" s="85"/>
      <c r="CR18" s="85"/>
      <c r="CS18" s="227">
        <f t="shared" si="17"/>
        <v>0</v>
      </c>
      <c r="CT18" s="85"/>
      <c r="CU18" s="85"/>
      <c r="CV18" s="226">
        <f t="shared" si="32"/>
        <v>0</v>
      </c>
      <c r="CW18" s="86">
        <v>15</v>
      </c>
      <c r="CX18" s="85"/>
      <c r="CY18" s="85"/>
      <c r="CZ18" s="85"/>
      <c r="DA18" s="221">
        <f t="shared" si="18"/>
        <v>0</v>
      </c>
      <c r="DB18" s="85"/>
      <c r="DC18" s="85"/>
      <c r="DD18" s="227">
        <f t="shared" si="19"/>
        <v>0</v>
      </c>
      <c r="DE18" s="85"/>
      <c r="DF18" s="85"/>
      <c r="DG18" s="227">
        <f t="shared" si="33"/>
        <v>0</v>
      </c>
      <c r="DH18" s="86">
        <v>15</v>
      </c>
      <c r="DI18" s="85"/>
      <c r="DJ18" s="85"/>
      <c r="DK18" s="85"/>
      <c r="DL18" s="221">
        <f t="shared" si="20"/>
        <v>0</v>
      </c>
      <c r="DM18" s="85"/>
      <c r="DN18" s="85"/>
      <c r="DO18" s="227">
        <f t="shared" si="21"/>
        <v>0</v>
      </c>
      <c r="DP18" s="85"/>
      <c r="DQ18" s="85"/>
      <c r="DR18" s="226">
        <f t="shared" si="34"/>
        <v>0</v>
      </c>
      <c r="DS18" s="86">
        <v>15</v>
      </c>
      <c r="DT18" s="85"/>
      <c r="DU18" s="85"/>
      <c r="DV18" s="85"/>
      <c r="DW18" s="221">
        <f t="shared" si="22"/>
        <v>0</v>
      </c>
      <c r="DX18" s="85"/>
      <c r="DY18" s="85"/>
      <c r="DZ18" s="227">
        <f t="shared" si="23"/>
        <v>0</v>
      </c>
      <c r="EA18" s="85"/>
      <c r="EB18" s="85"/>
      <c r="EC18" s="226">
        <f t="shared" si="35"/>
        <v>0</v>
      </c>
    </row>
    <row r="19" spans="2:133" ht="16.8" thickTop="1" thickBot="1" x14ac:dyDescent="0.35">
      <c r="B19" s="86">
        <v>16</v>
      </c>
      <c r="C19" s="85"/>
      <c r="D19" s="85"/>
      <c r="E19" s="85"/>
      <c r="F19" s="221">
        <f t="shared" si="0"/>
        <v>0</v>
      </c>
      <c r="G19" s="85"/>
      <c r="H19" s="85"/>
      <c r="I19" s="227">
        <f t="shared" si="1"/>
        <v>0</v>
      </c>
      <c r="J19" s="85"/>
      <c r="K19" s="85"/>
      <c r="L19" s="227">
        <f t="shared" si="24"/>
        <v>0</v>
      </c>
      <c r="M19" s="86">
        <v>16</v>
      </c>
      <c r="N19" s="85"/>
      <c r="O19" s="85"/>
      <c r="P19" s="85"/>
      <c r="Q19" s="221">
        <f t="shared" si="2"/>
        <v>0</v>
      </c>
      <c r="R19" s="85"/>
      <c r="S19" s="85"/>
      <c r="T19" s="227">
        <f t="shared" si="3"/>
        <v>0</v>
      </c>
      <c r="U19" s="85"/>
      <c r="V19" s="85"/>
      <c r="W19" s="226">
        <f t="shared" si="25"/>
        <v>0</v>
      </c>
      <c r="X19" s="86">
        <v>16</v>
      </c>
      <c r="Y19" s="85"/>
      <c r="Z19" s="85"/>
      <c r="AA19" s="85"/>
      <c r="AB19" s="221">
        <f t="shared" si="4"/>
        <v>0</v>
      </c>
      <c r="AC19" s="85"/>
      <c r="AD19" s="85"/>
      <c r="AE19" s="227">
        <f t="shared" si="5"/>
        <v>0</v>
      </c>
      <c r="AF19" s="85"/>
      <c r="AG19" s="85"/>
      <c r="AH19" s="226">
        <f t="shared" si="26"/>
        <v>0</v>
      </c>
      <c r="AI19" s="86">
        <v>16</v>
      </c>
      <c r="AJ19" s="85"/>
      <c r="AK19" s="85"/>
      <c r="AL19" s="85"/>
      <c r="AM19" s="221">
        <f t="shared" si="6"/>
        <v>0</v>
      </c>
      <c r="AN19" s="85"/>
      <c r="AO19" s="85"/>
      <c r="AP19" s="227">
        <f t="shared" si="7"/>
        <v>0</v>
      </c>
      <c r="AQ19" s="85"/>
      <c r="AR19" s="85"/>
      <c r="AS19" s="227">
        <f t="shared" si="27"/>
        <v>0</v>
      </c>
      <c r="AT19" s="86">
        <v>16</v>
      </c>
      <c r="AU19" s="85"/>
      <c r="AV19" s="85"/>
      <c r="AW19" s="85"/>
      <c r="AX19" s="221">
        <f t="shared" si="8"/>
        <v>0</v>
      </c>
      <c r="AY19" s="85"/>
      <c r="AZ19" s="85"/>
      <c r="BA19" s="227">
        <f t="shared" si="9"/>
        <v>0</v>
      </c>
      <c r="BB19" s="85"/>
      <c r="BC19" s="85"/>
      <c r="BD19" s="226">
        <f t="shared" si="28"/>
        <v>0</v>
      </c>
      <c r="BE19" s="86">
        <v>16</v>
      </c>
      <c r="BF19" s="85"/>
      <c r="BG19" s="85"/>
      <c r="BH19" s="85"/>
      <c r="BI19" s="221">
        <f t="shared" si="10"/>
        <v>0</v>
      </c>
      <c r="BJ19" s="85"/>
      <c r="BK19" s="85"/>
      <c r="BL19" s="227">
        <f t="shared" si="11"/>
        <v>0</v>
      </c>
      <c r="BM19" s="85"/>
      <c r="BN19" s="85"/>
      <c r="BO19" s="226">
        <f t="shared" si="29"/>
        <v>0</v>
      </c>
      <c r="BP19" s="86">
        <v>16</v>
      </c>
      <c r="BQ19" s="85"/>
      <c r="BR19" s="85"/>
      <c r="BS19" s="85"/>
      <c r="BT19" s="221">
        <f t="shared" si="12"/>
        <v>0</v>
      </c>
      <c r="BU19" s="85"/>
      <c r="BV19" s="85"/>
      <c r="BW19" s="227">
        <f t="shared" si="13"/>
        <v>0</v>
      </c>
      <c r="BX19" s="85"/>
      <c r="BY19" s="85"/>
      <c r="BZ19" s="227">
        <f t="shared" si="30"/>
        <v>0</v>
      </c>
      <c r="CA19" s="86">
        <v>16</v>
      </c>
      <c r="CB19" s="85"/>
      <c r="CC19" s="85"/>
      <c r="CD19" s="85"/>
      <c r="CE19" s="221">
        <f t="shared" si="14"/>
        <v>0</v>
      </c>
      <c r="CF19" s="85"/>
      <c r="CG19" s="85"/>
      <c r="CH19" s="227">
        <f t="shared" si="15"/>
        <v>0</v>
      </c>
      <c r="CI19" s="85"/>
      <c r="CJ19" s="85"/>
      <c r="CK19" s="226">
        <f t="shared" si="31"/>
        <v>0</v>
      </c>
      <c r="CL19" s="86">
        <v>16</v>
      </c>
      <c r="CM19" s="85"/>
      <c r="CN19" s="85"/>
      <c r="CO19" s="85"/>
      <c r="CP19" s="221">
        <f t="shared" si="16"/>
        <v>0</v>
      </c>
      <c r="CQ19" s="85"/>
      <c r="CR19" s="85"/>
      <c r="CS19" s="227">
        <f t="shared" si="17"/>
        <v>0</v>
      </c>
      <c r="CT19" s="85"/>
      <c r="CU19" s="85"/>
      <c r="CV19" s="226">
        <f t="shared" si="32"/>
        <v>0</v>
      </c>
      <c r="CW19" s="86">
        <v>16</v>
      </c>
      <c r="CX19" s="85"/>
      <c r="CY19" s="85"/>
      <c r="CZ19" s="85"/>
      <c r="DA19" s="221">
        <f t="shared" si="18"/>
        <v>0</v>
      </c>
      <c r="DB19" s="85"/>
      <c r="DC19" s="85"/>
      <c r="DD19" s="227">
        <f t="shared" si="19"/>
        <v>0</v>
      </c>
      <c r="DE19" s="85"/>
      <c r="DF19" s="85"/>
      <c r="DG19" s="227">
        <f t="shared" si="33"/>
        <v>0</v>
      </c>
      <c r="DH19" s="86">
        <v>16</v>
      </c>
      <c r="DI19" s="85"/>
      <c r="DJ19" s="85"/>
      <c r="DK19" s="85"/>
      <c r="DL19" s="221">
        <f t="shared" si="20"/>
        <v>0</v>
      </c>
      <c r="DM19" s="85"/>
      <c r="DN19" s="85"/>
      <c r="DO19" s="227">
        <f t="shared" si="21"/>
        <v>0</v>
      </c>
      <c r="DP19" s="85"/>
      <c r="DQ19" s="85"/>
      <c r="DR19" s="226">
        <f t="shared" si="34"/>
        <v>0</v>
      </c>
      <c r="DS19" s="86">
        <v>16</v>
      </c>
      <c r="DT19" s="85"/>
      <c r="DU19" s="85"/>
      <c r="DV19" s="85"/>
      <c r="DW19" s="221">
        <f t="shared" si="22"/>
        <v>0</v>
      </c>
      <c r="DX19" s="85"/>
      <c r="DY19" s="85"/>
      <c r="DZ19" s="227">
        <f t="shared" si="23"/>
        <v>0</v>
      </c>
      <c r="EA19" s="85"/>
      <c r="EB19" s="85"/>
      <c r="EC19" s="226">
        <f t="shared" si="35"/>
        <v>0</v>
      </c>
    </row>
    <row r="20" spans="2:133" ht="16.8" thickTop="1" thickBot="1" x14ac:dyDescent="0.35">
      <c r="B20" s="86">
        <v>17</v>
      </c>
      <c r="C20" s="85"/>
      <c r="D20" s="85"/>
      <c r="E20" s="85"/>
      <c r="F20" s="221">
        <f t="shared" si="0"/>
        <v>0</v>
      </c>
      <c r="G20" s="85"/>
      <c r="H20" s="85"/>
      <c r="I20" s="227">
        <f t="shared" si="1"/>
        <v>0</v>
      </c>
      <c r="J20" s="85"/>
      <c r="K20" s="85"/>
      <c r="L20" s="227">
        <f t="shared" si="24"/>
        <v>0</v>
      </c>
      <c r="M20" s="86">
        <v>17</v>
      </c>
      <c r="N20" s="85"/>
      <c r="O20" s="85"/>
      <c r="P20" s="85"/>
      <c r="Q20" s="221">
        <f t="shared" si="2"/>
        <v>0</v>
      </c>
      <c r="R20" s="85"/>
      <c r="S20" s="85"/>
      <c r="T20" s="227">
        <f t="shared" si="3"/>
        <v>0</v>
      </c>
      <c r="U20" s="85"/>
      <c r="V20" s="85"/>
      <c r="W20" s="226">
        <f t="shared" si="25"/>
        <v>0</v>
      </c>
      <c r="X20" s="86">
        <v>17</v>
      </c>
      <c r="Y20" s="85"/>
      <c r="Z20" s="85"/>
      <c r="AA20" s="85"/>
      <c r="AB20" s="221">
        <f t="shared" si="4"/>
        <v>0</v>
      </c>
      <c r="AC20" s="85"/>
      <c r="AD20" s="85"/>
      <c r="AE20" s="227">
        <f t="shared" si="5"/>
        <v>0</v>
      </c>
      <c r="AF20" s="85"/>
      <c r="AG20" s="85"/>
      <c r="AH20" s="226">
        <f t="shared" si="26"/>
        <v>0</v>
      </c>
      <c r="AI20" s="86">
        <v>17</v>
      </c>
      <c r="AJ20" s="85"/>
      <c r="AK20" s="85"/>
      <c r="AL20" s="85"/>
      <c r="AM20" s="221">
        <f t="shared" si="6"/>
        <v>0</v>
      </c>
      <c r="AN20" s="85"/>
      <c r="AO20" s="85"/>
      <c r="AP20" s="227">
        <f t="shared" si="7"/>
        <v>0</v>
      </c>
      <c r="AQ20" s="85"/>
      <c r="AR20" s="85"/>
      <c r="AS20" s="227">
        <f t="shared" si="27"/>
        <v>0</v>
      </c>
      <c r="AT20" s="86">
        <v>17</v>
      </c>
      <c r="AU20" s="85"/>
      <c r="AV20" s="85"/>
      <c r="AW20" s="85"/>
      <c r="AX20" s="221">
        <f t="shared" si="8"/>
        <v>0</v>
      </c>
      <c r="AY20" s="85"/>
      <c r="AZ20" s="85"/>
      <c r="BA20" s="227">
        <f t="shared" si="9"/>
        <v>0</v>
      </c>
      <c r="BB20" s="85"/>
      <c r="BC20" s="85"/>
      <c r="BD20" s="226">
        <f t="shared" si="28"/>
        <v>0</v>
      </c>
      <c r="BE20" s="86">
        <v>17</v>
      </c>
      <c r="BF20" s="85"/>
      <c r="BG20" s="85"/>
      <c r="BH20" s="85"/>
      <c r="BI20" s="221">
        <f t="shared" si="10"/>
        <v>0</v>
      </c>
      <c r="BJ20" s="85"/>
      <c r="BK20" s="85"/>
      <c r="BL20" s="227">
        <f t="shared" si="11"/>
        <v>0</v>
      </c>
      <c r="BM20" s="85"/>
      <c r="BN20" s="85"/>
      <c r="BO20" s="226">
        <f t="shared" si="29"/>
        <v>0</v>
      </c>
      <c r="BP20" s="86">
        <v>17</v>
      </c>
      <c r="BQ20" s="85"/>
      <c r="BR20" s="85"/>
      <c r="BS20" s="85"/>
      <c r="BT20" s="221">
        <f t="shared" si="12"/>
        <v>0</v>
      </c>
      <c r="BU20" s="85"/>
      <c r="BV20" s="85"/>
      <c r="BW20" s="227">
        <f t="shared" si="13"/>
        <v>0</v>
      </c>
      <c r="BX20" s="85"/>
      <c r="BY20" s="85"/>
      <c r="BZ20" s="227">
        <f t="shared" si="30"/>
        <v>0</v>
      </c>
      <c r="CA20" s="86">
        <v>17</v>
      </c>
      <c r="CB20" s="85"/>
      <c r="CC20" s="85"/>
      <c r="CD20" s="85"/>
      <c r="CE20" s="221">
        <f t="shared" si="14"/>
        <v>0</v>
      </c>
      <c r="CF20" s="85"/>
      <c r="CG20" s="85"/>
      <c r="CH20" s="227">
        <f t="shared" si="15"/>
        <v>0</v>
      </c>
      <c r="CI20" s="85"/>
      <c r="CJ20" s="85"/>
      <c r="CK20" s="226">
        <f t="shared" si="31"/>
        <v>0</v>
      </c>
      <c r="CL20" s="86">
        <v>17</v>
      </c>
      <c r="CM20" s="85"/>
      <c r="CN20" s="85"/>
      <c r="CO20" s="85"/>
      <c r="CP20" s="221">
        <f t="shared" si="16"/>
        <v>0</v>
      </c>
      <c r="CQ20" s="85"/>
      <c r="CR20" s="85"/>
      <c r="CS20" s="227">
        <f t="shared" si="17"/>
        <v>0</v>
      </c>
      <c r="CT20" s="85"/>
      <c r="CU20" s="85"/>
      <c r="CV20" s="226">
        <f t="shared" si="32"/>
        <v>0</v>
      </c>
      <c r="CW20" s="86">
        <v>17</v>
      </c>
      <c r="CX20" s="85"/>
      <c r="CY20" s="85"/>
      <c r="CZ20" s="85"/>
      <c r="DA20" s="221">
        <f t="shared" si="18"/>
        <v>0</v>
      </c>
      <c r="DB20" s="85"/>
      <c r="DC20" s="85"/>
      <c r="DD20" s="227">
        <f t="shared" si="19"/>
        <v>0</v>
      </c>
      <c r="DE20" s="85"/>
      <c r="DF20" s="85"/>
      <c r="DG20" s="227">
        <f t="shared" si="33"/>
        <v>0</v>
      </c>
      <c r="DH20" s="86">
        <v>17</v>
      </c>
      <c r="DI20" s="85"/>
      <c r="DJ20" s="85"/>
      <c r="DK20" s="85"/>
      <c r="DL20" s="221">
        <f t="shared" si="20"/>
        <v>0</v>
      </c>
      <c r="DM20" s="85"/>
      <c r="DN20" s="85"/>
      <c r="DO20" s="227">
        <f t="shared" si="21"/>
        <v>0</v>
      </c>
      <c r="DP20" s="85"/>
      <c r="DQ20" s="85"/>
      <c r="DR20" s="226">
        <f t="shared" si="34"/>
        <v>0</v>
      </c>
      <c r="DS20" s="86">
        <v>17</v>
      </c>
      <c r="DT20" s="85"/>
      <c r="DU20" s="85"/>
      <c r="DV20" s="85"/>
      <c r="DW20" s="221">
        <f t="shared" si="22"/>
        <v>0</v>
      </c>
      <c r="DX20" s="85"/>
      <c r="DY20" s="85"/>
      <c r="DZ20" s="227">
        <f t="shared" si="23"/>
        <v>0</v>
      </c>
      <c r="EA20" s="85"/>
      <c r="EB20" s="85"/>
      <c r="EC20" s="226">
        <f t="shared" si="35"/>
        <v>0</v>
      </c>
    </row>
    <row r="21" spans="2:133" ht="16.8" thickTop="1" thickBot="1" x14ac:dyDescent="0.35">
      <c r="B21" s="86">
        <v>18</v>
      </c>
      <c r="C21" s="85"/>
      <c r="D21" s="85"/>
      <c r="E21" s="85"/>
      <c r="F21" s="221">
        <f t="shared" si="0"/>
        <v>0</v>
      </c>
      <c r="G21" s="85"/>
      <c r="H21" s="85"/>
      <c r="I21" s="227">
        <f t="shared" si="1"/>
        <v>0</v>
      </c>
      <c r="J21" s="85"/>
      <c r="K21" s="85"/>
      <c r="L21" s="227">
        <f t="shared" si="24"/>
        <v>0</v>
      </c>
      <c r="M21" s="86">
        <v>18</v>
      </c>
      <c r="N21" s="85"/>
      <c r="O21" s="85"/>
      <c r="P21" s="85"/>
      <c r="Q21" s="221">
        <f t="shared" si="2"/>
        <v>0</v>
      </c>
      <c r="R21" s="85"/>
      <c r="S21" s="85"/>
      <c r="T21" s="227">
        <f t="shared" si="3"/>
        <v>0</v>
      </c>
      <c r="U21" s="85"/>
      <c r="V21" s="85"/>
      <c r="W21" s="226">
        <f t="shared" si="25"/>
        <v>0</v>
      </c>
      <c r="X21" s="86">
        <v>18</v>
      </c>
      <c r="Y21" s="85"/>
      <c r="Z21" s="85"/>
      <c r="AA21" s="85"/>
      <c r="AB21" s="221">
        <f t="shared" si="4"/>
        <v>0</v>
      </c>
      <c r="AC21" s="85"/>
      <c r="AD21" s="85"/>
      <c r="AE21" s="227">
        <f t="shared" si="5"/>
        <v>0</v>
      </c>
      <c r="AF21" s="85"/>
      <c r="AG21" s="85"/>
      <c r="AH21" s="226">
        <f t="shared" si="26"/>
        <v>0</v>
      </c>
      <c r="AI21" s="86">
        <v>18</v>
      </c>
      <c r="AJ21" s="85"/>
      <c r="AK21" s="85"/>
      <c r="AL21" s="85"/>
      <c r="AM21" s="221">
        <f t="shared" si="6"/>
        <v>0</v>
      </c>
      <c r="AN21" s="85"/>
      <c r="AO21" s="85"/>
      <c r="AP21" s="227">
        <f t="shared" si="7"/>
        <v>0</v>
      </c>
      <c r="AQ21" s="85"/>
      <c r="AR21" s="85"/>
      <c r="AS21" s="227">
        <f t="shared" si="27"/>
        <v>0</v>
      </c>
      <c r="AT21" s="86">
        <v>18</v>
      </c>
      <c r="AU21" s="85"/>
      <c r="AV21" s="85"/>
      <c r="AW21" s="85"/>
      <c r="AX21" s="221">
        <f t="shared" si="8"/>
        <v>0</v>
      </c>
      <c r="AY21" s="85"/>
      <c r="AZ21" s="85"/>
      <c r="BA21" s="227">
        <f t="shared" si="9"/>
        <v>0</v>
      </c>
      <c r="BB21" s="85"/>
      <c r="BC21" s="85"/>
      <c r="BD21" s="226">
        <f t="shared" si="28"/>
        <v>0</v>
      </c>
      <c r="BE21" s="86">
        <v>18</v>
      </c>
      <c r="BF21" s="85"/>
      <c r="BG21" s="85"/>
      <c r="BH21" s="85"/>
      <c r="BI21" s="221">
        <f t="shared" si="10"/>
        <v>0</v>
      </c>
      <c r="BJ21" s="85"/>
      <c r="BK21" s="85"/>
      <c r="BL21" s="227">
        <f t="shared" si="11"/>
        <v>0</v>
      </c>
      <c r="BM21" s="85"/>
      <c r="BN21" s="85"/>
      <c r="BO21" s="226">
        <f t="shared" si="29"/>
        <v>0</v>
      </c>
      <c r="BP21" s="86">
        <v>18</v>
      </c>
      <c r="BQ21" s="85"/>
      <c r="BR21" s="85"/>
      <c r="BS21" s="85"/>
      <c r="BT21" s="221">
        <f t="shared" si="12"/>
        <v>0</v>
      </c>
      <c r="BU21" s="85"/>
      <c r="BV21" s="85"/>
      <c r="BW21" s="227">
        <f t="shared" si="13"/>
        <v>0</v>
      </c>
      <c r="BX21" s="85"/>
      <c r="BY21" s="85"/>
      <c r="BZ21" s="227">
        <f t="shared" si="30"/>
        <v>0</v>
      </c>
      <c r="CA21" s="86">
        <v>18</v>
      </c>
      <c r="CB21" s="85"/>
      <c r="CC21" s="85"/>
      <c r="CD21" s="85"/>
      <c r="CE21" s="221">
        <f t="shared" si="14"/>
        <v>0</v>
      </c>
      <c r="CF21" s="85"/>
      <c r="CG21" s="85"/>
      <c r="CH21" s="227">
        <f t="shared" si="15"/>
        <v>0</v>
      </c>
      <c r="CI21" s="85"/>
      <c r="CJ21" s="85"/>
      <c r="CK21" s="226">
        <f t="shared" si="31"/>
        <v>0</v>
      </c>
      <c r="CL21" s="86">
        <v>18</v>
      </c>
      <c r="CM21" s="85"/>
      <c r="CN21" s="85"/>
      <c r="CO21" s="85"/>
      <c r="CP21" s="221">
        <f t="shared" si="16"/>
        <v>0</v>
      </c>
      <c r="CQ21" s="85"/>
      <c r="CR21" s="85"/>
      <c r="CS21" s="227">
        <f t="shared" si="17"/>
        <v>0</v>
      </c>
      <c r="CT21" s="85"/>
      <c r="CU21" s="85"/>
      <c r="CV21" s="226">
        <f t="shared" si="32"/>
        <v>0</v>
      </c>
      <c r="CW21" s="86">
        <v>18</v>
      </c>
      <c r="CX21" s="85"/>
      <c r="CY21" s="85"/>
      <c r="CZ21" s="85"/>
      <c r="DA21" s="221">
        <f t="shared" si="18"/>
        <v>0</v>
      </c>
      <c r="DB21" s="85"/>
      <c r="DC21" s="85"/>
      <c r="DD21" s="227">
        <f t="shared" si="19"/>
        <v>0</v>
      </c>
      <c r="DE21" s="85"/>
      <c r="DF21" s="85"/>
      <c r="DG21" s="227">
        <f t="shared" si="33"/>
        <v>0</v>
      </c>
      <c r="DH21" s="86">
        <v>18</v>
      </c>
      <c r="DI21" s="85"/>
      <c r="DJ21" s="85"/>
      <c r="DK21" s="85"/>
      <c r="DL21" s="221">
        <f t="shared" si="20"/>
        <v>0</v>
      </c>
      <c r="DM21" s="85"/>
      <c r="DN21" s="85"/>
      <c r="DO21" s="227">
        <f t="shared" si="21"/>
        <v>0</v>
      </c>
      <c r="DP21" s="85"/>
      <c r="DQ21" s="85"/>
      <c r="DR21" s="226">
        <f t="shared" si="34"/>
        <v>0</v>
      </c>
      <c r="DS21" s="86">
        <v>18</v>
      </c>
      <c r="DT21" s="85"/>
      <c r="DU21" s="85"/>
      <c r="DV21" s="85"/>
      <c r="DW21" s="221">
        <f t="shared" si="22"/>
        <v>0</v>
      </c>
      <c r="DX21" s="85"/>
      <c r="DY21" s="85"/>
      <c r="DZ21" s="227">
        <f t="shared" si="23"/>
        <v>0</v>
      </c>
      <c r="EA21" s="85"/>
      <c r="EB21" s="85"/>
      <c r="EC21" s="226">
        <f t="shared" si="35"/>
        <v>0</v>
      </c>
    </row>
    <row r="22" spans="2:133" ht="16.8" thickTop="1" thickBot="1" x14ac:dyDescent="0.35">
      <c r="B22" s="86">
        <v>19</v>
      </c>
      <c r="C22" s="85"/>
      <c r="D22" s="85"/>
      <c r="E22" s="85"/>
      <c r="F22" s="221">
        <f t="shared" si="0"/>
        <v>0</v>
      </c>
      <c r="G22" s="85"/>
      <c r="H22" s="85"/>
      <c r="I22" s="227">
        <f t="shared" si="1"/>
        <v>0</v>
      </c>
      <c r="J22" s="85"/>
      <c r="K22" s="85"/>
      <c r="L22" s="227">
        <f t="shared" si="24"/>
        <v>0</v>
      </c>
      <c r="M22" s="86">
        <v>19</v>
      </c>
      <c r="N22" s="85"/>
      <c r="O22" s="85"/>
      <c r="P22" s="85"/>
      <c r="Q22" s="221">
        <f t="shared" si="2"/>
        <v>0</v>
      </c>
      <c r="R22" s="85"/>
      <c r="S22" s="85"/>
      <c r="T22" s="227">
        <f t="shared" si="3"/>
        <v>0</v>
      </c>
      <c r="U22" s="85"/>
      <c r="V22" s="85"/>
      <c r="W22" s="226">
        <f t="shared" si="25"/>
        <v>0</v>
      </c>
      <c r="X22" s="86">
        <v>19</v>
      </c>
      <c r="Y22" s="85"/>
      <c r="Z22" s="85"/>
      <c r="AA22" s="85"/>
      <c r="AB22" s="221">
        <f t="shared" si="4"/>
        <v>0</v>
      </c>
      <c r="AC22" s="85"/>
      <c r="AD22" s="85"/>
      <c r="AE22" s="227">
        <f t="shared" si="5"/>
        <v>0</v>
      </c>
      <c r="AF22" s="85"/>
      <c r="AG22" s="85"/>
      <c r="AH22" s="226">
        <f t="shared" si="26"/>
        <v>0</v>
      </c>
      <c r="AI22" s="86">
        <v>19</v>
      </c>
      <c r="AJ22" s="85"/>
      <c r="AK22" s="85"/>
      <c r="AL22" s="85"/>
      <c r="AM22" s="221">
        <f t="shared" si="6"/>
        <v>0</v>
      </c>
      <c r="AN22" s="85"/>
      <c r="AO22" s="85"/>
      <c r="AP22" s="227">
        <f t="shared" si="7"/>
        <v>0</v>
      </c>
      <c r="AQ22" s="85"/>
      <c r="AR22" s="85"/>
      <c r="AS22" s="227">
        <f t="shared" si="27"/>
        <v>0</v>
      </c>
      <c r="AT22" s="86">
        <v>19</v>
      </c>
      <c r="AU22" s="85"/>
      <c r="AV22" s="85"/>
      <c r="AW22" s="85"/>
      <c r="AX22" s="221">
        <f t="shared" si="8"/>
        <v>0</v>
      </c>
      <c r="AY22" s="85"/>
      <c r="AZ22" s="85"/>
      <c r="BA22" s="227">
        <f t="shared" si="9"/>
        <v>0</v>
      </c>
      <c r="BB22" s="85"/>
      <c r="BC22" s="85"/>
      <c r="BD22" s="226">
        <f t="shared" si="28"/>
        <v>0</v>
      </c>
      <c r="BE22" s="86">
        <v>19</v>
      </c>
      <c r="BF22" s="85"/>
      <c r="BG22" s="85"/>
      <c r="BH22" s="85"/>
      <c r="BI22" s="221">
        <f t="shared" si="10"/>
        <v>0</v>
      </c>
      <c r="BJ22" s="85"/>
      <c r="BK22" s="85"/>
      <c r="BL22" s="227">
        <f t="shared" si="11"/>
        <v>0</v>
      </c>
      <c r="BM22" s="85"/>
      <c r="BN22" s="85"/>
      <c r="BO22" s="226">
        <f t="shared" si="29"/>
        <v>0</v>
      </c>
      <c r="BP22" s="86">
        <v>19</v>
      </c>
      <c r="BQ22" s="85"/>
      <c r="BR22" s="85"/>
      <c r="BS22" s="85"/>
      <c r="BT22" s="221">
        <f t="shared" si="12"/>
        <v>0</v>
      </c>
      <c r="BU22" s="85"/>
      <c r="BV22" s="85"/>
      <c r="BW22" s="227">
        <f t="shared" si="13"/>
        <v>0</v>
      </c>
      <c r="BX22" s="85"/>
      <c r="BY22" s="85"/>
      <c r="BZ22" s="227">
        <f t="shared" si="30"/>
        <v>0</v>
      </c>
      <c r="CA22" s="86">
        <v>19</v>
      </c>
      <c r="CB22" s="85"/>
      <c r="CC22" s="85"/>
      <c r="CD22" s="85"/>
      <c r="CE22" s="221">
        <f t="shared" si="14"/>
        <v>0</v>
      </c>
      <c r="CF22" s="85"/>
      <c r="CG22" s="85"/>
      <c r="CH22" s="227">
        <f t="shared" si="15"/>
        <v>0</v>
      </c>
      <c r="CI22" s="85"/>
      <c r="CJ22" s="85"/>
      <c r="CK22" s="226">
        <f t="shared" si="31"/>
        <v>0</v>
      </c>
      <c r="CL22" s="86">
        <v>19</v>
      </c>
      <c r="CM22" s="85"/>
      <c r="CN22" s="85"/>
      <c r="CO22" s="85"/>
      <c r="CP22" s="221">
        <f t="shared" si="16"/>
        <v>0</v>
      </c>
      <c r="CQ22" s="85"/>
      <c r="CR22" s="85"/>
      <c r="CS22" s="227">
        <f t="shared" si="17"/>
        <v>0</v>
      </c>
      <c r="CT22" s="85"/>
      <c r="CU22" s="85"/>
      <c r="CV22" s="226">
        <f t="shared" si="32"/>
        <v>0</v>
      </c>
      <c r="CW22" s="86">
        <v>19</v>
      </c>
      <c r="CX22" s="85"/>
      <c r="CY22" s="85"/>
      <c r="CZ22" s="85"/>
      <c r="DA22" s="221">
        <f t="shared" si="18"/>
        <v>0</v>
      </c>
      <c r="DB22" s="85"/>
      <c r="DC22" s="85"/>
      <c r="DD22" s="227">
        <f t="shared" si="19"/>
        <v>0</v>
      </c>
      <c r="DE22" s="85"/>
      <c r="DF22" s="85"/>
      <c r="DG22" s="227">
        <f t="shared" si="33"/>
        <v>0</v>
      </c>
      <c r="DH22" s="86">
        <v>19</v>
      </c>
      <c r="DI22" s="85"/>
      <c r="DJ22" s="85"/>
      <c r="DK22" s="85"/>
      <c r="DL22" s="221">
        <f t="shared" si="20"/>
        <v>0</v>
      </c>
      <c r="DM22" s="85"/>
      <c r="DN22" s="85"/>
      <c r="DO22" s="227">
        <f t="shared" si="21"/>
        <v>0</v>
      </c>
      <c r="DP22" s="85"/>
      <c r="DQ22" s="85"/>
      <c r="DR22" s="226">
        <f t="shared" si="34"/>
        <v>0</v>
      </c>
      <c r="DS22" s="86">
        <v>19</v>
      </c>
      <c r="DT22" s="85"/>
      <c r="DU22" s="85"/>
      <c r="DV22" s="85"/>
      <c r="DW22" s="221">
        <f t="shared" si="22"/>
        <v>0</v>
      </c>
      <c r="DX22" s="85"/>
      <c r="DY22" s="85"/>
      <c r="DZ22" s="227">
        <f t="shared" si="23"/>
        <v>0</v>
      </c>
      <c r="EA22" s="85"/>
      <c r="EB22" s="85"/>
      <c r="EC22" s="226">
        <f t="shared" si="35"/>
        <v>0</v>
      </c>
    </row>
    <row r="23" spans="2:133" ht="16.8" thickTop="1" thickBot="1" x14ac:dyDescent="0.35">
      <c r="B23" s="86">
        <v>20</v>
      </c>
      <c r="C23" s="85"/>
      <c r="D23" s="85"/>
      <c r="E23" s="85"/>
      <c r="F23" s="221">
        <f t="shared" si="0"/>
        <v>0</v>
      </c>
      <c r="G23" s="85"/>
      <c r="H23" s="85"/>
      <c r="I23" s="227">
        <f t="shared" si="1"/>
        <v>0</v>
      </c>
      <c r="J23" s="85"/>
      <c r="K23" s="85"/>
      <c r="L23" s="227">
        <f t="shared" si="24"/>
        <v>0</v>
      </c>
      <c r="M23" s="86">
        <v>20</v>
      </c>
      <c r="N23" s="85"/>
      <c r="O23" s="85"/>
      <c r="P23" s="85"/>
      <c r="Q23" s="221">
        <f t="shared" si="2"/>
        <v>0</v>
      </c>
      <c r="R23" s="85"/>
      <c r="S23" s="85"/>
      <c r="T23" s="227">
        <f t="shared" si="3"/>
        <v>0</v>
      </c>
      <c r="U23" s="85"/>
      <c r="V23" s="85"/>
      <c r="W23" s="226">
        <f t="shared" si="25"/>
        <v>0</v>
      </c>
      <c r="X23" s="86">
        <v>20</v>
      </c>
      <c r="Y23" s="85"/>
      <c r="Z23" s="85"/>
      <c r="AA23" s="85"/>
      <c r="AB23" s="221">
        <f t="shared" si="4"/>
        <v>0</v>
      </c>
      <c r="AC23" s="85"/>
      <c r="AD23" s="85"/>
      <c r="AE23" s="227">
        <f t="shared" si="5"/>
        <v>0</v>
      </c>
      <c r="AF23" s="85"/>
      <c r="AG23" s="85"/>
      <c r="AH23" s="226">
        <f t="shared" si="26"/>
        <v>0</v>
      </c>
      <c r="AI23" s="86">
        <v>20</v>
      </c>
      <c r="AJ23" s="85"/>
      <c r="AK23" s="85"/>
      <c r="AL23" s="85"/>
      <c r="AM23" s="221">
        <f t="shared" si="6"/>
        <v>0</v>
      </c>
      <c r="AN23" s="85"/>
      <c r="AO23" s="85"/>
      <c r="AP23" s="227">
        <f t="shared" si="7"/>
        <v>0</v>
      </c>
      <c r="AQ23" s="85"/>
      <c r="AR23" s="85"/>
      <c r="AS23" s="227">
        <f t="shared" si="27"/>
        <v>0</v>
      </c>
      <c r="AT23" s="86">
        <v>20</v>
      </c>
      <c r="AU23" s="85"/>
      <c r="AV23" s="85"/>
      <c r="AW23" s="85"/>
      <c r="AX23" s="221">
        <f t="shared" si="8"/>
        <v>0</v>
      </c>
      <c r="AY23" s="85"/>
      <c r="AZ23" s="85"/>
      <c r="BA23" s="227">
        <f t="shared" si="9"/>
        <v>0</v>
      </c>
      <c r="BB23" s="85"/>
      <c r="BC23" s="85"/>
      <c r="BD23" s="226">
        <f t="shared" si="28"/>
        <v>0</v>
      </c>
      <c r="BE23" s="86">
        <v>20</v>
      </c>
      <c r="BF23" s="85"/>
      <c r="BG23" s="85"/>
      <c r="BH23" s="85"/>
      <c r="BI23" s="221">
        <f t="shared" si="10"/>
        <v>0</v>
      </c>
      <c r="BJ23" s="85"/>
      <c r="BK23" s="85"/>
      <c r="BL23" s="227">
        <f t="shared" si="11"/>
        <v>0</v>
      </c>
      <c r="BM23" s="85"/>
      <c r="BN23" s="85"/>
      <c r="BO23" s="226">
        <f t="shared" si="29"/>
        <v>0</v>
      </c>
      <c r="BP23" s="86">
        <v>20</v>
      </c>
      <c r="BQ23" s="85"/>
      <c r="BR23" s="85"/>
      <c r="BS23" s="85"/>
      <c r="BT23" s="221">
        <f t="shared" si="12"/>
        <v>0</v>
      </c>
      <c r="BU23" s="85"/>
      <c r="BV23" s="85"/>
      <c r="BW23" s="227">
        <f t="shared" si="13"/>
        <v>0</v>
      </c>
      <c r="BX23" s="85"/>
      <c r="BY23" s="85"/>
      <c r="BZ23" s="227">
        <f t="shared" si="30"/>
        <v>0</v>
      </c>
      <c r="CA23" s="86">
        <v>20</v>
      </c>
      <c r="CB23" s="85"/>
      <c r="CC23" s="85"/>
      <c r="CD23" s="85"/>
      <c r="CE23" s="221">
        <f t="shared" si="14"/>
        <v>0</v>
      </c>
      <c r="CF23" s="85"/>
      <c r="CG23" s="85"/>
      <c r="CH23" s="227">
        <f t="shared" si="15"/>
        <v>0</v>
      </c>
      <c r="CI23" s="85"/>
      <c r="CJ23" s="85"/>
      <c r="CK23" s="226">
        <f t="shared" si="31"/>
        <v>0</v>
      </c>
      <c r="CL23" s="86">
        <v>20</v>
      </c>
      <c r="CM23" s="85"/>
      <c r="CN23" s="85"/>
      <c r="CO23" s="85"/>
      <c r="CP23" s="221">
        <f t="shared" si="16"/>
        <v>0</v>
      </c>
      <c r="CQ23" s="85"/>
      <c r="CR23" s="85"/>
      <c r="CS23" s="227">
        <f t="shared" si="17"/>
        <v>0</v>
      </c>
      <c r="CT23" s="85"/>
      <c r="CU23" s="85"/>
      <c r="CV23" s="226">
        <f t="shared" si="32"/>
        <v>0</v>
      </c>
      <c r="CW23" s="86">
        <v>20</v>
      </c>
      <c r="CX23" s="85"/>
      <c r="CY23" s="85"/>
      <c r="CZ23" s="85"/>
      <c r="DA23" s="221">
        <f t="shared" si="18"/>
        <v>0</v>
      </c>
      <c r="DB23" s="85"/>
      <c r="DC23" s="85"/>
      <c r="DD23" s="227">
        <f t="shared" si="19"/>
        <v>0</v>
      </c>
      <c r="DE23" s="85"/>
      <c r="DF23" s="85"/>
      <c r="DG23" s="227">
        <f t="shared" si="33"/>
        <v>0</v>
      </c>
      <c r="DH23" s="86">
        <v>20</v>
      </c>
      <c r="DI23" s="85"/>
      <c r="DJ23" s="85"/>
      <c r="DK23" s="85"/>
      <c r="DL23" s="221">
        <f t="shared" si="20"/>
        <v>0</v>
      </c>
      <c r="DM23" s="85"/>
      <c r="DN23" s="85"/>
      <c r="DO23" s="227">
        <f t="shared" si="21"/>
        <v>0</v>
      </c>
      <c r="DP23" s="85"/>
      <c r="DQ23" s="85"/>
      <c r="DR23" s="226">
        <f t="shared" si="34"/>
        <v>0</v>
      </c>
      <c r="DS23" s="86">
        <v>20</v>
      </c>
      <c r="DT23" s="85"/>
      <c r="DU23" s="85"/>
      <c r="DV23" s="85"/>
      <c r="DW23" s="221">
        <f t="shared" si="22"/>
        <v>0</v>
      </c>
      <c r="DX23" s="85"/>
      <c r="DY23" s="85"/>
      <c r="DZ23" s="227">
        <f t="shared" si="23"/>
        <v>0</v>
      </c>
      <c r="EA23" s="85"/>
      <c r="EB23" s="85"/>
      <c r="EC23" s="226">
        <f t="shared" si="35"/>
        <v>0</v>
      </c>
    </row>
    <row r="24" spans="2:133" ht="16.8" thickTop="1" thickBot="1" x14ac:dyDescent="0.35">
      <c r="B24" s="86">
        <v>21</v>
      </c>
      <c r="C24" s="85"/>
      <c r="D24" s="85"/>
      <c r="E24" s="85"/>
      <c r="F24" s="221">
        <f t="shared" si="0"/>
        <v>0</v>
      </c>
      <c r="G24" s="85"/>
      <c r="H24" s="85"/>
      <c r="I24" s="227">
        <f t="shared" si="1"/>
        <v>0</v>
      </c>
      <c r="J24" s="85"/>
      <c r="K24" s="85"/>
      <c r="L24" s="227">
        <f t="shared" si="24"/>
        <v>0</v>
      </c>
      <c r="M24" s="86">
        <v>21</v>
      </c>
      <c r="N24" s="85"/>
      <c r="O24" s="85"/>
      <c r="P24" s="85"/>
      <c r="Q24" s="221">
        <f t="shared" si="2"/>
        <v>0</v>
      </c>
      <c r="R24" s="85"/>
      <c r="S24" s="85"/>
      <c r="T24" s="227">
        <f t="shared" si="3"/>
        <v>0</v>
      </c>
      <c r="U24" s="85"/>
      <c r="V24" s="85"/>
      <c r="W24" s="226">
        <f t="shared" si="25"/>
        <v>0</v>
      </c>
      <c r="X24" s="86">
        <v>21</v>
      </c>
      <c r="Y24" s="85"/>
      <c r="Z24" s="85"/>
      <c r="AA24" s="85"/>
      <c r="AB24" s="221">
        <f t="shared" si="4"/>
        <v>0</v>
      </c>
      <c r="AC24" s="85"/>
      <c r="AD24" s="85"/>
      <c r="AE24" s="227">
        <f t="shared" si="5"/>
        <v>0</v>
      </c>
      <c r="AF24" s="85"/>
      <c r="AG24" s="85"/>
      <c r="AH24" s="226">
        <f t="shared" si="26"/>
        <v>0</v>
      </c>
      <c r="AI24" s="86">
        <v>21</v>
      </c>
      <c r="AJ24" s="85"/>
      <c r="AK24" s="85"/>
      <c r="AL24" s="85"/>
      <c r="AM24" s="221">
        <f t="shared" si="6"/>
        <v>0</v>
      </c>
      <c r="AN24" s="85"/>
      <c r="AO24" s="85"/>
      <c r="AP24" s="227">
        <f t="shared" si="7"/>
        <v>0</v>
      </c>
      <c r="AQ24" s="85"/>
      <c r="AR24" s="85"/>
      <c r="AS24" s="227">
        <f t="shared" si="27"/>
        <v>0</v>
      </c>
      <c r="AT24" s="86">
        <v>21</v>
      </c>
      <c r="AU24" s="85"/>
      <c r="AV24" s="85"/>
      <c r="AW24" s="85"/>
      <c r="AX24" s="221">
        <f t="shared" si="8"/>
        <v>0</v>
      </c>
      <c r="AY24" s="85"/>
      <c r="AZ24" s="85"/>
      <c r="BA24" s="227">
        <f t="shared" si="9"/>
        <v>0</v>
      </c>
      <c r="BB24" s="85"/>
      <c r="BC24" s="85"/>
      <c r="BD24" s="226">
        <f t="shared" si="28"/>
        <v>0</v>
      </c>
      <c r="BE24" s="86">
        <v>21</v>
      </c>
      <c r="BF24" s="85"/>
      <c r="BG24" s="85"/>
      <c r="BH24" s="85"/>
      <c r="BI24" s="221">
        <f t="shared" si="10"/>
        <v>0</v>
      </c>
      <c r="BJ24" s="85"/>
      <c r="BK24" s="85"/>
      <c r="BL24" s="227">
        <f t="shared" si="11"/>
        <v>0</v>
      </c>
      <c r="BM24" s="85"/>
      <c r="BN24" s="85"/>
      <c r="BO24" s="226">
        <f t="shared" si="29"/>
        <v>0</v>
      </c>
      <c r="BP24" s="86">
        <v>21</v>
      </c>
      <c r="BQ24" s="85"/>
      <c r="BR24" s="85"/>
      <c r="BS24" s="85"/>
      <c r="BT24" s="221">
        <f t="shared" si="12"/>
        <v>0</v>
      </c>
      <c r="BU24" s="85"/>
      <c r="BV24" s="85"/>
      <c r="BW24" s="227">
        <f t="shared" si="13"/>
        <v>0</v>
      </c>
      <c r="BX24" s="85"/>
      <c r="BY24" s="85"/>
      <c r="BZ24" s="227">
        <f t="shared" si="30"/>
        <v>0</v>
      </c>
      <c r="CA24" s="86">
        <v>21</v>
      </c>
      <c r="CB24" s="85"/>
      <c r="CC24" s="85"/>
      <c r="CD24" s="85"/>
      <c r="CE24" s="221">
        <f t="shared" si="14"/>
        <v>0</v>
      </c>
      <c r="CF24" s="85"/>
      <c r="CG24" s="85"/>
      <c r="CH24" s="227">
        <f t="shared" si="15"/>
        <v>0</v>
      </c>
      <c r="CI24" s="85"/>
      <c r="CJ24" s="85"/>
      <c r="CK24" s="226">
        <f t="shared" si="31"/>
        <v>0</v>
      </c>
      <c r="CL24" s="86">
        <v>21</v>
      </c>
      <c r="CM24" s="85"/>
      <c r="CN24" s="85"/>
      <c r="CO24" s="85"/>
      <c r="CP24" s="221">
        <f t="shared" si="16"/>
        <v>0</v>
      </c>
      <c r="CQ24" s="85"/>
      <c r="CR24" s="85"/>
      <c r="CS24" s="227">
        <f t="shared" si="17"/>
        <v>0</v>
      </c>
      <c r="CT24" s="85"/>
      <c r="CU24" s="85"/>
      <c r="CV24" s="226">
        <f t="shared" si="32"/>
        <v>0</v>
      </c>
      <c r="CW24" s="86">
        <v>21</v>
      </c>
      <c r="CX24" s="85"/>
      <c r="CY24" s="85"/>
      <c r="CZ24" s="85"/>
      <c r="DA24" s="221">
        <f t="shared" si="18"/>
        <v>0</v>
      </c>
      <c r="DB24" s="85"/>
      <c r="DC24" s="85"/>
      <c r="DD24" s="227">
        <f t="shared" si="19"/>
        <v>0</v>
      </c>
      <c r="DE24" s="85"/>
      <c r="DF24" s="85"/>
      <c r="DG24" s="227">
        <f t="shared" si="33"/>
        <v>0</v>
      </c>
      <c r="DH24" s="86">
        <v>21</v>
      </c>
      <c r="DI24" s="85"/>
      <c r="DJ24" s="85"/>
      <c r="DK24" s="85"/>
      <c r="DL24" s="221">
        <f t="shared" si="20"/>
        <v>0</v>
      </c>
      <c r="DM24" s="85"/>
      <c r="DN24" s="85"/>
      <c r="DO24" s="227">
        <f t="shared" si="21"/>
        <v>0</v>
      </c>
      <c r="DP24" s="85"/>
      <c r="DQ24" s="85"/>
      <c r="DR24" s="226">
        <f t="shared" si="34"/>
        <v>0</v>
      </c>
      <c r="DS24" s="86">
        <v>21</v>
      </c>
      <c r="DT24" s="85"/>
      <c r="DU24" s="85"/>
      <c r="DV24" s="85"/>
      <c r="DW24" s="221">
        <f t="shared" si="22"/>
        <v>0</v>
      </c>
      <c r="DX24" s="85"/>
      <c r="DY24" s="85"/>
      <c r="DZ24" s="227">
        <f t="shared" si="23"/>
        <v>0</v>
      </c>
      <c r="EA24" s="85"/>
      <c r="EB24" s="85"/>
      <c r="EC24" s="226">
        <f t="shared" si="35"/>
        <v>0</v>
      </c>
    </row>
    <row r="25" spans="2:133" ht="16.8" thickTop="1" thickBot="1" x14ac:dyDescent="0.35">
      <c r="B25" s="86">
        <v>22</v>
      </c>
      <c r="C25" s="85"/>
      <c r="D25" s="85"/>
      <c r="E25" s="85"/>
      <c r="F25" s="221">
        <f t="shared" si="0"/>
        <v>0</v>
      </c>
      <c r="G25" s="85"/>
      <c r="H25" s="85"/>
      <c r="I25" s="227">
        <f t="shared" si="1"/>
        <v>0</v>
      </c>
      <c r="J25" s="85"/>
      <c r="K25" s="85"/>
      <c r="L25" s="227">
        <f t="shared" si="24"/>
        <v>0</v>
      </c>
      <c r="M25" s="86">
        <v>22</v>
      </c>
      <c r="N25" s="85"/>
      <c r="O25" s="85"/>
      <c r="P25" s="85"/>
      <c r="Q25" s="221">
        <f t="shared" si="2"/>
        <v>0</v>
      </c>
      <c r="R25" s="85"/>
      <c r="S25" s="85"/>
      <c r="T25" s="227">
        <f t="shared" si="3"/>
        <v>0</v>
      </c>
      <c r="U25" s="85"/>
      <c r="V25" s="85"/>
      <c r="W25" s="226">
        <f t="shared" si="25"/>
        <v>0</v>
      </c>
      <c r="X25" s="86">
        <v>22</v>
      </c>
      <c r="Y25" s="85"/>
      <c r="Z25" s="85"/>
      <c r="AA25" s="85"/>
      <c r="AB25" s="221">
        <f t="shared" si="4"/>
        <v>0</v>
      </c>
      <c r="AC25" s="85"/>
      <c r="AD25" s="85"/>
      <c r="AE25" s="227">
        <f t="shared" si="5"/>
        <v>0</v>
      </c>
      <c r="AF25" s="85"/>
      <c r="AG25" s="85"/>
      <c r="AH25" s="226">
        <f t="shared" si="26"/>
        <v>0</v>
      </c>
      <c r="AI25" s="86">
        <v>22</v>
      </c>
      <c r="AJ25" s="85"/>
      <c r="AK25" s="85"/>
      <c r="AL25" s="85"/>
      <c r="AM25" s="221">
        <f t="shared" si="6"/>
        <v>0</v>
      </c>
      <c r="AN25" s="85"/>
      <c r="AO25" s="85"/>
      <c r="AP25" s="227">
        <f t="shared" si="7"/>
        <v>0</v>
      </c>
      <c r="AQ25" s="85"/>
      <c r="AR25" s="85"/>
      <c r="AS25" s="227">
        <f t="shared" si="27"/>
        <v>0</v>
      </c>
      <c r="AT25" s="86">
        <v>22</v>
      </c>
      <c r="AU25" s="85"/>
      <c r="AV25" s="85"/>
      <c r="AW25" s="85"/>
      <c r="AX25" s="221">
        <f t="shared" si="8"/>
        <v>0</v>
      </c>
      <c r="AY25" s="85"/>
      <c r="AZ25" s="85"/>
      <c r="BA25" s="227">
        <f t="shared" si="9"/>
        <v>0</v>
      </c>
      <c r="BB25" s="85"/>
      <c r="BC25" s="85"/>
      <c r="BD25" s="226">
        <f t="shared" si="28"/>
        <v>0</v>
      </c>
      <c r="BE25" s="86">
        <v>22</v>
      </c>
      <c r="BF25" s="85"/>
      <c r="BG25" s="85"/>
      <c r="BH25" s="85"/>
      <c r="BI25" s="221">
        <f t="shared" si="10"/>
        <v>0</v>
      </c>
      <c r="BJ25" s="85"/>
      <c r="BK25" s="85"/>
      <c r="BL25" s="227">
        <f t="shared" si="11"/>
        <v>0</v>
      </c>
      <c r="BM25" s="85"/>
      <c r="BN25" s="85"/>
      <c r="BO25" s="226">
        <f t="shared" si="29"/>
        <v>0</v>
      </c>
      <c r="BP25" s="86">
        <v>22</v>
      </c>
      <c r="BQ25" s="85"/>
      <c r="BR25" s="85"/>
      <c r="BS25" s="85"/>
      <c r="BT25" s="221">
        <f t="shared" si="12"/>
        <v>0</v>
      </c>
      <c r="BU25" s="85"/>
      <c r="BV25" s="85"/>
      <c r="BW25" s="227">
        <f t="shared" si="13"/>
        <v>0</v>
      </c>
      <c r="BX25" s="85"/>
      <c r="BY25" s="85"/>
      <c r="BZ25" s="227">
        <f t="shared" si="30"/>
        <v>0</v>
      </c>
      <c r="CA25" s="86">
        <v>22</v>
      </c>
      <c r="CB25" s="85"/>
      <c r="CC25" s="85"/>
      <c r="CD25" s="85"/>
      <c r="CE25" s="221">
        <f t="shared" si="14"/>
        <v>0</v>
      </c>
      <c r="CF25" s="85"/>
      <c r="CG25" s="85"/>
      <c r="CH25" s="227">
        <f t="shared" si="15"/>
        <v>0</v>
      </c>
      <c r="CI25" s="85"/>
      <c r="CJ25" s="85"/>
      <c r="CK25" s="226">
        <f t="shared" si="31"/>
        <v>0</v>
      </c>
      <c r="CL25" s="86">
        <v>22</v>
      </c>
      <c r="CM25" s="85"/>
      <c r="CN25" s="85"/>
      <c r="CO25" s="85"/>
      <c r="CP25" s="221">
        <f t="shared" si="16"/>
        <v>0</v>
      </c>
      <c r="CQ25" s="85"/>
      <c r="CR25" s="85"/>
      <c r="CS25" s="227">
        <f t="shared" si="17"/>
        <v>0</v>
      </c>
      <c r="CT25" s="85"/>
      <c r="CU25" s="85"/>
      <c r="CV25" s="226">
        <f t="shared" si="32"/>
        <v>0</v>
      </c>
      <c r="CW25" s="86">
        <v>22</v>
      </c>
      <c r="CX25" s="85"/>
      <c r="CY25" s="85"/>
      <c r="CZ25" s="85"/>
      <c r="DA25" s="221">
        <f t="shared" si="18"/>
        <v>0</v>
      </c>
      <c r="DB25" s="85"/>
      <c r="DC25" s="85"/>
      <c r="DD25" s="227">
        <f t="shared" si="19"/>
        <v>0</v>
      </c>
      <c r="DE25" s="85"/>
      <c r="DF25" s="85"/>
      <c r="DG25" s="227">
        <f t="shared" si="33"/>
        <v>0</v>
      </c>
      <c r="DH25" s="86">
        <v>22</v>
      </c>
      <c r="DI25" s="85"/>
      <c r="DJ25" s="85"/>
      <c r="DK25" s="85"/>
      <c r="DL25" s="221">
        <f t="shared" si="20"/>
        <v>0</v>
      </c>
      <c r="DM25" s="85"/>
      <c r="DN25" s="85"/>
      <c r="DO25" s="227">
        <f t="shared" si="21"/>
        <v>0</v>
      </c>
      <c r="DP25" s="85"/>
      <c r="DQ25" s="85"/>
      <c r="DR25" s="226">
        <f t="shared" si="34"/>
        <v>0</v>
      </c>
      <c r="DS25" s="86">
        <v>22</v>
      </c>
      <c r="DT25" s="85"/>
      <c r="DU25" s="85"/>
      <c r="DV25" s="85"/>
      <c r="DW25" s="221">
        <f t="shared" si="22"/>
        <v>0</v>
      </c>
      <c r="DX25" s="85"/>
      <c r="DY25" s="85"/>
      <c r="DZ25" s="227">
        <f t="shared" si="23"/>
        <v>0</v>
      </c>
      <c r="EA25" s="85"/>
      <c r="EB25" s="85"/>
      <c r="EC25" s="226">
        <f t="shared" si="35"/>
        <v>0</v>
      </c>
    </row>
    <row r="26" spans="2:133" ht="16.8" thickTop="1" thickBot="1" x14ac:dyDescent="0.35">
      <c r="B26" s="86">
        <v>23</v>
      </c>
      <c r="C26" s="85"/>
      <c r="D26" s="85"/>
      <c r="E26" s="85"/>
      <c r="F26" s="221">
        <f t="shared" si="0"/>
        <v>0</v>
      </c>
      <c r="G26" s="85"/>
      <c r="H26" s="85"/>
      <c r="I26" s="227">
        <f t="shared" si="1"/>
        <v>0</v>
      </c>
      <c r="J26" s="85"/>
      <c r="K26" s="85"/>
      <c r="L26" s="227">
        <f t="shared" si="24"/>
        <v>0</v>
      </c>
      <c r="M26" s="86">
        <v>23</v>
      </c>
      <c r="N26" s="85"/>
      <c r="O26" s="85"/>
      <c r="P26" s="85"/>
      <c r="Q26" s="221">
        <f t="shared" si="2"/>
        <v>0</v>
      </c>
      <c r="R26" s="85"/>
      <c r="S26" s="85"/>
      <c r="T26" s="227">
        <f t="shared" si="3"/>
        <v>0</v>
      </c>
      <c r="U26" s="85"/>
      <c r="V26" s="85"/>
      <c r="W26" s="226">
        <f t="shared" si="25"/>
        <v>0</v>
      </c>
      <c r="X26" s="86">
        <v>23</v>
      </c>
      <c r="Y26" s="85"/>
      <c r="Z26" s="85"/>
      <c r="AA26" s="85"/>
      <c r="AB26" s="221">
        <f t="shared" si="4"/>
        <v>0</v>
      </c>
      <c r="AC26" s="85"/>
      <c r="AD26" s="85"/>
      <c r="AE26" s="227">
        <f t="shared" si="5"/>
        <v>0</v>
      </c>
      <c r="AF26" s="85"/>
      <c r="AG26" s="85"/>
      <c r="AH26" s="226">
        <f t="shared" si="26"/>
        <v>0</v>
      </c>
      <c r="AI26" s="86">
        <v>23</v>
      </c>
      <c r="AJ26" s="85"/>
      <c r="AK26" s="85"/>
      <c r="AL26" s="85"/>
      <c r="AM26" s="221">
        <f t="shared" si="6"/>
        <v>0</v>
      </c>
      <c r="AN26" s="85"/>
      <c r="AO26" s="85"/>
      <c r="AP26" s="227">
        <f t="shared" si="7"/>
        <v>0</v>
      </c>
      <c r="AQ26" s="85"/>
      <c r="AR26" s="85"/>
      <c r="AS26" s="227">
        <f t="shared" si="27"/>
        <v>0</v>
      </c>
      <c r="AT26" s="86">
        <v>23</v>
      </c>
      <c r="AU26" s="85"/>
      <c r="AV26" s="85"/>
      <c r="AW26" s="85"/>
      <c r="AX26" s="221">
        <f t="shared" si="8"/>
        <v>0</v>
      </c>
      <c r="AY26" s="85"/>
      <c r="AZ26" s="85"/>
      <c r="BA26" s="227">
        <f t="shared" si="9"/>
        <v>0</v>
      </c>
      <c r="BB26" s="85"/>
      <c r="BC26" s="85"/>
      <c r="BD26" s="226">
        <f t="shared" si="28"/>
        <v>0</v>
      </c>
      <c r="BE26" s="86">
        <v>23</v>
      </c>
      <c r="BF26" s="85"/>
      <c r="BG26" s="85"/>
      <c r="BH26" s="85"/>
      <c r="BI26" s="221">
        <f t="shared" si="10"/>
        <v>0</v>
      </c>
      <c r="BJ26" s="85"/>
      <c r="BK26" s="85"/>
      <c r="BL26" s="227">
        <f t="shared" si="11"/>
        <v>0</v>
      </c>
      <c r="BM26" s="85"/>
      <c r="BN26" s="85"/>
      <c r="BO26" s="226">
        <f t="shared" si="29"/>
        <v>0</v>
      </c>
      <c r="BP26" s="86">
        <v>23</v>
      </c>
      <c r="BQ26" s="85"/>
      <c r="BR26" s="85"/>
      <c r="BS26" s="85"/>
      <c r="BT26" s="221">
        <f t="shared" si="12"/>
        <v>0</v>
      </c>
      <c r="BU26" s="85"/>
      <c r="BV26" s="85"/>
      <c r="BW26" s="227">
        <f t="shared" si="13"/>
        <v>0</v>
      </c>
      <c r="BX26" s="85"/>
      <c r="BY26" s="85"/>
      <c r="BZ26" s="227">
        <f t="shared" si="30"/>
        <v>0</v>
      </c>
      <c r="CA26" s="86">
        <v>23</v>
      </c>
      <c r="CB26" s="85"/>
      <c r="CC26" s="85"/>
      <c r="CD26" s="85"/>
      <c r="CE26" s="221">
        <f t="shared" si="14"/>
        <v>0</v>
      </c>
      <c r="CF26" s="85"/>
      <c r="CG26" s="85"/>
      <c r="CH26" s="227">
        <f t="shared" si="15"/>
        <v>0</v>
      </c>
      <c r="CI26" s="85"/>
      <c r="CJ26" s="85"/>
      <c r="CK26" s="226">
        <f t="shared" si="31"/>
        <v>0</v>
      </c>
      <c r="CL26" s="86">
        <v>23</v>
      </c>
      <c r="CM26" s="85"/>
      <c r="CN26" s="85"/>
      <c r="CO26" s="85"/>
      <c r="CP26" s="221">
        <f t="shared" si="16"/>
        <v>0</v>
      </c>
      <c r="CQ26" s="85"/>
      <c r="CR26" s="85"/>
      <c r="CS26" s="227">
        <f t="shared" si="17"/>
        <v>0</v>
      </c>
      <c r="CT26" s="85"/>
      <c r="CU26" s="85"/>
      <c r="CV26" s="226">
        <f t="shared" si="32"/>
        <v>0</v>
      </c>
      <c r="CW26" s="86">
        <v>23</v>
      </c>
      <c r="CX26" s="85"/>
      <c r="CY26" s="85"/>
      <c r="CZ26" s="85"/>
      <c r="DA26" s="221">
        <f t="shared" si="18"/>
        <v>0</v>
      </c>
      <c r="DB26" s="85"/>
      <c r="DC26" s="85"/>
      <c r="DD26" s="227">
        <f t="shared" si="19"/>
        <v>0</v>
      </c>
      <c r="DE26" s="85"/>
      <c r="DF26" s="85"/>
      <c r="DG26" s="227">
        <f t="shared" si="33"/>
        <v>0</v>
      </c>
      <c r="DH26" s="86">
        <v>23</v>
      </c>
      <c r="DI26" s="85"/>
      <c r="DJ26" s="85"/>
      <c r="DK26" s="85"/>
      <c r="DL26" s="221">
        <f t="shared" si="20"/>
        <v>0</v>
      </c>
      <c r="DM26" s="85"/>
      <c r="DN26" s="85"/>
      <c r="DO26" s="227">
        <f t="shared" si="21"/>
        <v>0</v>
      </c>
      <c r="DP26" s="85"/>
      <c r="DQ26" s="85"/>
      <c r="DR26" s="226">
        <f t="shared" si="34"/>
        <v>0</v>
      </c>
      <c r="DS26" s="86">
        <v>23</v>
      </c>
      <c r="DT26" s="85"/>
      <c r="DU26" s="85"/>
      <c r="DV26" s="85"/>
      <c r="DW26" s="221">
        <f t="shared" si="22"/>
        <v>0</v>
      </c>
      <c r="DX26" s="85"/>
      <c r="DY26" s="85"/>
      <c r="DZ26" s="227">
        <f t="shared" si="23"/>
        <v>0</v>
      </c>
      <c r="EA26" s="85"/>
      <c r="EB26" s="85"/>
      <c r="EC26" s="226">
        <f t="shared" si="35"/>
        <v>0</v>
      </c>
    </row>
    <row r="27" spans="2:133" ht="16.8" thickTop="1" thickBot="1" x14ac:dyDescent="0.35">
      <c r="B27" s="86">
        <v>24</v>
      </c>
      <c r="C27" s="85"/>
      <c r="D27" s="85"/>
      <c r="E27" s="85"/>
      <c r="F27" s="221">
        <f t="shared" si="0"/>
        <v>0</v>
      </c>
      <c r="G27" s="85"/>
      <c r="H27" s="85"/>
      <c r="I27" s="227">
        <f t="shared" si="1"/>
        <v>0</v>
      </c>
      <c r="J27" s="85"/>
      <c r="K27" s="85"/>
      <c r="L27" s="227">
        <f t="shared" si="24"/>
        <v>0</v>
      </c>
      <c r="M27" s="86">
        <v>24</v>
      </c>
      <c r="N27" s="85"/>
      <c r="O27" s="85"/>
      <c r="P27" s="85"/>
      <c r="Q27" s="221">
        <f t="shared" si="2"/>
        <v>0</v>
      </c>
      <c r="R27" s="85"/>
      <c r="S27" s="85"/>
      <c r="T27" s="227">
        <f t="shared" si="3"/>
        <v>0</v>
      </c>
      <c r="U27" s="85"/>
      <c r="V27" s="85"/>
      <c r="W27" s="226">
        <f t="shared" si="25"/>
        <v>0</v>
      </c>
      <c r="X27" s="86">
        <v>24</v>
      </c>
      <c r="Y27" s="85"/>
      <c r="Z27" s="85"/>
      <c r="AA27" s="85"/>
      <c r="AB27" s="221">
        <f t="shared" si="4"/>
        <v>0</v>
      </c>
      <c r="AC27" s="85"/>
      <c r="AD27" s="85"/>
      <c r="AE27" s="227">
        <f t="shared" si="5"/>
        <v>0</v>
      </c>
      <c r="AF27" s="85"/>
      <c r="AG27" s="85"/>
      <c r="AH27" s="226">
        <f t="shared" si="26"/>
        <v>0</v>
      </c>
      <c r="AI27" s="86">
        <v>24</v>
      </c>
      <c r="AJ27" s="85"/>
      <c r="AK27" s="85"/>
      <c r="AL27" s="85"/>
      <c r="AM27" s="221">
        <f t="shared" si="6"/>
        <v>0</v>
      </c>
      <c r="AN27" s="85"/>
      <c r="AO27" s="85"/>
      <c r="AP27" s="227">
        <f t="shared" si="7"/>
        <v>0</v>
      </c>
      <c r="AQ27" s="85"/>
      <c r="AR27" s="85"/>
      <c r="AS27" s="227">
        <f t="shared" si="27"/>
        <v>0</v>
      </c>
      <c r="AT27" s="86">
        <v>24</v>
      </c>
      <c r="AU27" s="85"/>
      <c r="AV27" s="85"/>
      <c r="AW27" s="85"/>
      <c r="AX27" s="221">
        <f t="shared" si="8"/>
        <v>0</v>
      </c>
      <c r="AY27" s="85"/>
      <c r="AZ27" s="85"/>
      <c r="BA27" s="227">
        <f t="shared" si="9"/>
        <v>0</v>
      </c>
      <c r="BB27" s="85"/>
      <c r="BC27" s="85"/>
      <c r="BD27" s="226">
        <f t="shared" si="28"/>
        <v>0</v>
      </c>
      <c r="BE27" s="86">
        <v>24</v>
      </c>
      <c r="BF27" s="85"/>
      <c r="BG27" s="85"/>
      <c r="BH27" s="85"/>
      <c r="BI27" s="221">
        <f t="shared" si="10"/>
        <v>0</v>
      </c>
      <c r="BJ27" s="85"/>
      <c r="BK27" s="85"/>
      <c r="BL27" s="227">
        <f t="shared" si="11"/>
        <v>0</v>
      </c>
      <c r="BM27" s="85"/>
      <c r="BN27" s="85"/>
      <c r="BO27" s="226">
        <f t="shared" si="29"/>
        <v>0</v>
      </c>
      <c r="BP27" s="86">
        <v>24</v>
      </c>
      <c r="BQ27" s="85"/>
      <c r="BR27" s="85"/>
      <c r="BS27" s="85"/>
      <c r="BT27" s="221">
        <f t="shared" si="12"/>
        <v>0</v>
      </c>
      <c r="BU27" s="85"/>
      <c r="BV27" s="85"/>
      <c r="BW27" s="227">
        <f t="shared" si="13"/>
        <v>0</v>
      </c>
      <c r="BX27" s="85"/>
      <c r="BY27" s="85"/>
      <c r="BZ27" s="227">
        <f t="shared" si="30"/>
        <v>0</v>
      </c>
      <c r="CA27" s="86">
        <v>24</v>
      </c>
      <c r="CB27" s="85"/>
      <c r="CC27" s="85"/>
      <c r="CD27" s="85"/>
      <c r="CE27" s="221">
        <f t="shared" si="14"/>
        <v>0</v>
      </c>
      <c r="CF27" s="85"/>
      <c r="CG27" s="85"/>
      <c r="CH27" s="227">
        <f t="shared" si="15"/>
        <v>0</v>
      </c>
      <c r="CI27" s="85"/>
      <c r="CJ27" s="85"/>
      <c r="CK27" s="226">
        <f t="shared" si="31"/>
        <v>0</v>
      </c>
      <c r="CL27" s="86">
        <v>24</v>
      </c>
      <c r="CM27" s="85"/>
      <c r="CN27" s="85"/>
      <c r="CO27" s="85"/>
      <c r="CP27" s="221">
        <f t="shared" si="16"/>
        <v>0</v>
      </c>
      <c r="CQ27" s="85"/>
      <c r="CR27" s="85"/>
      <c r="CS27" s="227">
        <f t="shared" si="17"/>
        <v>0</v>
      </c>
      <c r="CT27" s="85"/>
      <c r="CU27" s="85"/>
      <c r="CV27" s="226">
        <f t="shared" si="32"/>
        <v>0</v>
      </c>
      <c r="CW27" s="86">
        <v>24</v>
      </c>
      <c r="CX27" s="85"/>
      <c r="CY27" s="85"/>
      <c r="CZ27" s="85"/>
      <c r="DA27" s="221">
        <f t="shared" si="18"/>
        <v>0</v>
      </c>
      <c r="DB27" s="85"/>
      <c r="DC27" s="85"/>
      <c r="DD27" s="227">
        <f t="shared" si="19"/>
        <v>0</v>
      </c>
      <c r="DE27" s="85"/>
      <c r="DF27" s="85"/>
      <c r="DG27" s="227">
        <f t="shared" si="33"/>
        <v>0</v>
      </c>
      <c r="DH27" s="86">
        <v>24</v>
      </c>
      <c r="DI27" s="85"/>
      <c r="DJ27" s="85"/>
      <c r="DK27" s="85"/>
      <c r="DL27" s="221">
        <f t="shared" si="20"/>
        <v>0</v>
      </c>
      <c r="DM27" s="85"/>
      <c r="DN27" s="85"/>
      <c r="DO27" s="227">
        <f t="shared" si="21"/>
        <v>0</v>
      </c>
      <c r="DP27" s="85"/>
      <c r="DQ27" s="85"/>
      <c r="DR27" s="226">
        <f t="shared" si="34"/>
        <v>0</v>
      </c>
      <c r="DS27" s="86">
        <v>24</v>
      </c>
      <c r="DT27" s="85"/>
      <c r="DU27" s="85"/>
      <c r="DV27" s="85"/>
      <c r="DW27" s="221">
        <f t="shared" si="22"/>
        <v>0</v>
      </c>
      <c r="DX27" s="85"/>
      <c r="DY27" s="85"/>
      <c r="DZ27" s="227">
        <f t="shared" si="23"/>
        <v>0</v>
      </c>
      <c r="EA27" s="85"/>
      <c r="EB27" s="85"/>
      <c r="EC27" s="226">
        <f t="shared" si="35"/>
        <v>0</v>
      </c>
    </row>
    <row r="28" spans="2:133" ht="16.8" thickTop="1" thickBot="1" x14ac:dyDescent="0.35">
      <c r="B28" s="86">
        <v>25</v>
      </c>
      <c r="C28" s="85"/>
      <c r="D28" s="85"/>
      <c r="E28" s="85"/>
      <c r="F28" s="221">
        <f t="shared" si="0"/>
        <v>0</v>
      </c>
      <c r="G28" s="85"/>
      <c r="H28" s="85"/>
      <c r="I28" s="227">
        <f t="shared" si="1"/>
        <v>0</v>
      </c>
      <c r="J28" s="85"/>
      <c r="K28" s="85"/>
      <c r="L28" s="227">
        <f t="shared" si="24"/>
        <v>0</v>
      </c>
      <c r="M28" s="86">
        <v>25</v>
      </c>
      <c r="N28" s="85"/>
      <c r="O28" s="85"/>
      <c r="P28" s="85"/>
      <c r="Q28" s="221">
        <f t="shared" si="2"/>
        <v>0</v>
      </c>
      <c r="R28" s="85"/>
      <c r="S28" s="85"/>
      <c r="T28" s="227">
        <f t="shared" si="3"/>
        <v>0</v>
      </c>
      <c r="U28" s="85"/>
      <c r="V28" s="85"/>
      <c r="W28" s="226">
        <f t="shared" si="25"/>
        <v>0</v>
      </c>
      <c r="X28" s="86">
        <v>25</v>
      </c>
      <c r="Y28" s="85"/>
      <c r="Z28" s="85"/>
      <c r="AA28" s="85"/>
      <c r="AB28" s="221">
        <f t="shared" si="4"/>
        <v>0</v>
      </c>
      <c r="AC28" s="85"/>
      <c r="AD28" s="85"/>
      <c r="AE28" s="227">
        <f t="shared" si="5"/>
        <v>0</v>
      </c>
      <c r="AF28" s="85"/>
      <c r="AG28" s="85"/>
      <c r="AH28" s="226">
        <f t="shared" si="26"/>
        <v>0</v>
      </c>
      <c r="AI28" s="86">
        <v>25</v>
      </c>
      <c r="AJ28" s="85"/>
      <c r="AK28" s="85"/>
      <c r="AL28" s="85"/>
      <c r="AM28" s="221">
        <f t="shared" si="6"/>
        <v>0</v>
      </c>
      <c r="AN28" s="85"/>
      <c r="AO28" s="85"/>
      <c r="AP28" s="227">
        <f t="shared" si="7"/>
        <v>0</v>
      </c>
      <c r="AQ28" s="85"/>
      <c r="AR28" s="85"/>
      <c r="AS28" s="227">
        <f t="shared" si="27"/>
        <v>0</v>
      </c>
      <c r="AT28" s="86">
        <v>25</v>
      </c>
      <c r="AU28" s="85"/>
      <c r="AV28" s="85"/>
      <c r="AW28" s="85"/>
      <c r="AX28" s="221">
        <f t="shared" si="8"/>
        <v>0</v>
      </c>
      <c r="AY28" s="85"/>
      <c r="AZ28" s="85"/>
      <c r="BA28" s="227">
        <f t="shared" si="9"/>
        <v>0</v>
      </c>
      <c r="BB28" s="85"/>
      <c r="BC28" s="85"/>
      <c r="BD28" s="226">
        <f t="shared" si="28"/>
        <v>0</v>
      </c>
      <c r="BE28" s="86">
        <v>25</v>
      </c>
      <c r="BF28" s="85"/>
      <c r="BG28" s="85"/>
      <c r="BH28" s="85"/>
      <c r="BI28" s="221">
        <f t="shared" si="10"/>
        <v>0</v>
      </c>
      <c r="BJ28" s="85"/>
      <c r="BK28" s="85"/>
      <c r="BL28" s="227">
        <f t="shared" si="11"/>
        <v>0</v>
      </c>
      <c r="BM28" s="85"/>
      <c r="BN28" s="85"/>
      <c r="BO28" s="226">
        <f t="shared" si="29"/>
        <v>0</v>
      </c>
      <c r="BP28" s="86">
        <v>25</v>
      </c>
      <c r="BQ28" s="85"/>
      <c r="BR28" s="85"/>
      <c r="BS28" s="85"/>
      <c r="BT28" s="221">
        <f t="shared" si="12"/>
        <v>0</v>
      </c>
      <c r="BU28" s="85"/>
      <c r="BV28" s="85"/>
      <c r="BW28" s="227">
        <f t="shared" si="13"/>
        <v>0</v>
      </c>
      <c r="BX28" s="85"/>
      <c r="BY28" s="85"/>
      <c r="BZ28" s="227">
        <f t="shared" si="30"/>
        <v>0</v>
      </c>
      <c r="CA28" s="86">
        <v>25</v>
      </c>
      <c r="CB28" s="85"/>
      <c r="CC28" s="85"/>
      <c r="CD28" s="85"/>
      <c r="CE28" s="221">
        <f t="shared" si="14"/>
        <v>0</v>
      </c>
      <c r="CF28" s="85"/>
      <c r="CG28" s="85"/>
      <c r="CH28" s="227">
        <f t="shared" si="15"/>
        <v>0</v>
      </c>
      <c r="CI28" s="85"/>
      <c r="CJ28" s="85"/>
      <c r="CK28" s="226">
        <f t="shared" si="31"/>
        <v>0</v>
      </c>
      <c r="CL28" s="86">
        <v>25</v>
      </c>
      <c r="CM28" s="85"/>
      <c r="CN28" s="85"/>
      <c r="CO28" s="85"/>
      <c r="CP28" s="221">
        <f t="shared" si="16"/>
        <v>0</v>
      </c>
      <c r="CQ28" s="85"/>
      <c r="CR28" s="85"/>
      <c r="CS28" s="227">
        <f t="shared" si="17"/>
        <v>0</v>
      </c>
      <c r="CT28" s="85"/>
      <c r="CU28" s="85"/>
      <c r="CV28" s="226">
        <f t="shared" si="32"/>
        <v>0</v>
      </c>
      <c r="CW28" s="86">
        <v>25</v>
      </c>
      <c r="CX28" s="85"/>
      <c r="CY28" s="85"/>
      <c r="CZ28" s="85"/>
      <c r="DA28" s="221">
        <f t="shared" si="18"/>
        <v>0</v>
      </c>
      <c r="DB28" s="85"/>
      <c r="DC28" s="85"/>
      <c r="DD28" s="227">
        <f t="shared" si="19"/>
        <v>0</v>
      </c>
      <c r="DE28" s="85"/>
      <c r="DF28" s="85"/>
      <c r="DG28" s="227">
        <f t="shared" si="33"/>
        <v>0</v>
      </c>
      <c r="DH28" s="86">
        <v>25</v>
      </c>
      <c r="DI28" s="85"/>
      <c r="DJ28" s="85"/>
      <c r="DK28" s="85"/>
      <c r="DL28" s="221">
        <f t="shared" si="20"/>
        <v>0</v>
      </c>
      <c r="DM28" s="85"/>
      <c r="DN28" s="85"/>
      <c r="DO28" s="227">
        <f t="shared" si="21"/>
        <v>0</v>
      </c>
      <c r="DP28" s="85"/>
      <c r="DQ28" s="85"/>
      <c r="DR28" s="226">
        <f t="shared" si="34"/>
        <v>0</v>
      </c>
      <c r="DS28" s="86">
        <v>25</v>
      </c>
      <c r="DT28" s="85"/>
      <c r="DU28" s="85"/>
      <c r="DV28" s="85"/>
      <c r="DW28" s="221">
        <f t="shared" si="22"/>
        <v>0</v>
      </c>
      <c r="DX28" s="85"/>
      <c r="DY28" s="85"/>
      <c r="DZ28" s="227">
        <f t="shared" si="23"/>
        <v>0</v>
      </c>
      <c r="EA28" s="85"/>
      <c r="EB28" s="85"/>
      <c r="EC28" s="226">
        <f t="shared" si="35"/>
        <v>0</v>
      </c>
    </row>
    <row r="29" spans="2:133" ht="16.8" thickTop="1" thickBot="1" x14ac:dyDescent="0.35">
      <c r="B29" s="86">
        <v>26</v>
      </c>
      <c r="C29" s="85"/>
      <c r="D29" s="85"/>
      <c r="E29" s="85"/>
      <c r="F29" s="221">
        <f t="shared" si="0"/>
        <v>0</v>
      </c>
      <c r="G29" s="85"/>
      <c r="H29" s="85"/>
      <c r="I29" s="227">
        <f t="shared" si="1"/>
        <v>0</v>
      </c>
      <c r="J29" s="85"/>
      <c r="K29" s="85"/>
      <c r="L29" s="227">
        <f t="shared" si="24"/>
        <v>0</v>
      </c>
      <c r="M29" s="86">
        <v>26</v>
      </c>
      <c r="N29" s="85"/>
      <c r="O29" s="85"/>
      <c r="P29" s="85"/>
      <c r="Q29" s="221">
        <f t="shared" si="2"/>
        <v>0</v>
      </c>
      <c r="R29" s="85"/>
      <c r="S29" s="85"/>
      <c r="T29" s="227">
        <f t="shared" si="3"/>
        <v>0</v>
      </c>
      <c r="U29" s="85"/>
      <c r="V29" s="85"/>
      <c r="W29" s="226">
        <f t="shared" si="25"/>
        <v>0</v>
      </c>
      <c r="X29" s="86">
        <v>26</v>
      </c>
      <c r="Y29" s="85"/>
      <c r="Z29" s="85"/>
      <c r="AA29" s="85"/>
      <c r="AB29" s="221">
        <f t="shared" si="4"/>
        <v>0</v>
      </c>
      <c r="AC29" s="85"/>
      <c r="AD29" s="85"/>
      <c r="AE29" s="227">
        <f t="shared" si="5"/>
        <v>0</v>
      </c>
      <c r="AF29" s="85"/>
      <c r="AG29" s="85"/>
      <c r="AH29" s="226">
        <f t="shared" si="26"/>
        <v>0</v>
      </c>
      <c r="AI29" s="86">
        <v>26</v>
      </c>
      <c r="AJ29" s="85"/>
      <c r="AK29" s="85"/>
      <c r="AL29" s="85"/>
      <c r="AM29" s="221">
        <f t="shared" si="6"/>
        <v>0</v>
      </c>
      <c r="AN29" s="85"/>
      <c r="AO29" s="85"/>
      <c r="AP29" s="227">
        <f t="shared" si="7"/>
        <v>0</v>
      </c>
      <c r="AQ29" s="85"/>
      <c r="AR29" s="85"/>
      <c r="AS29" s="227">
        <f t="shared" si="27"/>
        <v>0</v>
      </c>
      <c r="AT29" s="86">
        <v>26</v>
      </c>
      <c r="AU29" s="85"/>
      <c r="AV29" s="85"/>
      <c r="AW29" s="85"/>
      <c r="AX29" s="221">
        <f t="shared" si="8"/>
        <v>0</v>
      </c>
      <c r="AY29" s="85"/>
      <c r="AZ29" s="85"/>
      <c r="BA29" s="227">
        <f t="shared" si="9"/>
        <v>0</v>
      </c>
      <c r="BB29" s="85"/>
      <c r="BC29" s="85"/>
      <c r="BD29" s="226">
        <f t="shared" si="28"/>
        <v>0</v>
      </c>
      <c r="BE29" s="86">
        <v>26</v>
      </c>
      <c r="BF29" s="85"/>
      <c r="BG29" s="85"/>
      <c r="BH29" s="85"/>
      <c r="BI29" s="221">
        <f t="shared" si="10"/>
        <v>0</v>
      </c>
      <c r="BJ29" s="85"/>
      <c r="BK29" s="85"/>
      <c r="BL29" s="227">
        <f t="shared" si="11"/>
        <v>0</v>
      </c>
      <c r="BM29" s="85"/>
      <c r="BN29" s="85"/>
      <c r="BO29" s="226">
        <f t="shared" si="29"/>
        <v>0</v>
      </c>
      <c r="BP29" s="86">
        <v>26</v>
      </c>
      <c r="BQ29" s="85"/>
      <c r="BR29" s="85"/>
      <c r="BS29" s="85"/>
      <c r="BT29" s="221">
        <f t="shared" si="12"/>
        <v>0</v>
      </c>
      <c r="BU29" s="85"/>
      <c r="BV29" s="85"/>
      <c r="BW29" s="227">
        <f t="shared" si="13"/>
        <v>0</v>
      </c>
      <c r="BX29" s="85"/>
      <c r="BY29" s="85"/>
      <c r="BZ29" s="227">
        <f t="shared" si="30"/>
        <v>0</v>
      </c>
      <c r="CA29" s="86">
        <v>26</v>
      </c>
      <c r="CB29" s="85"/>
      <c r="CC29" s="85"/>
      <c r="CD29" s="85"/>
      <c r="CE29" s="221">
        <f t="shared" si="14"/>
        <v>0</v>
      </c>
      <c r="CF29" s="85"/>
      <c r="CG29" s="85"/>
      <c r="CH29" s="227">
        <f t="shared" si="15"/>
        <v>0</v>
      </c>
      <c r="CI29" s="85"/>
      <c r="CJ29" s="85"/>
      <c r="CK29" s="226">
        <f t="shared" si="31"/>
        <v>0</v>
      </c>
      <c r="CL29" s="86">
        <v>26</v>
      </c>
      <c r="CM29" s="85"/>
      <c r="CN29" s="85"/>
      <c r="CO29" s="85"/>
      <c r="CP29" s="221">
        <f t="shared" si="16"/>
        <v>0</v>
      </c>
      <c r="CQ29" s="85"/>
      <c r="CR29" s="85"/>
      <c r="CS29" s="227">
        <f t="shared" si="17"/>
        <v>0</v>
      </c>
      <c r="CT29" s="85"/>
      <c r="CU29" s="85"/>
      <c r="CV29" s="226">
        <f t="shared" si="32"/>
        <v>0</v>
      </c>
      <c r="CW29" s="86">
        <v>26</v>
      </c>
      <c r="CX29" s="85"/>
      <c r="CY29" s="85"/>
      <c r="CZ29" s="85"/>
      <c r="DA29" s="221">
        <f t="shared" si="18"/>
        <v>0</v>
      </c>
      <c r="DB29" s="85"/>
      <c r="DC29" s="85"/>
      <c r="DD29" s="227">
        <f t="shared" si="19"/>
        <v>0</v>
      </c>
      <c r="DE29" s="85"/>
      <c r="DF29" s="85"/>
      <c r="DG29" s="227">
        <f t="shared" si="33"/>
        <v>0</v>
      </c>
      <c r="DH29" s="86">
        <v>26</v>
      </c>
      <c r="DI29" s="85"/>
      <c r="DJ29" s="85"/>
      <c r="DK29" s="85"/>
      <c r="DL29" s="221">
        <f t="shared" si="20"/>
        <v>0</v>
      </c>
      <c r="DM29" s="85"/>
      <c r="DN29" s="85"/>
      <c r="DO29" s="227">
        <f t="shared" si="21"/>
        <v>0</v>
      </c>
      <c r="DP29" s="85"/>
      <c r="DQ29" s="85"/>
      <c r="DR29" s="226">
        <f t="shared" si="34"/>
        <v>0</v>
      </c>
      <c r="DS29" s="86">
        <v>26</v>
      </c>
      <c r="DT29" s="85"/>
      <c r="DU29" s="85"/>
      <c r="DV29" s="85"/>
      <c r="DW29" s="221">
        <f t="shared" si="22"/>
        <v>0</v>
      </c>
      <c r="DX29" s="85"/>
      <c r="DY29" s="85"/>
      <c r="DZ29" s="227">
        <f t="shared" si="23"/>
        <v>0</v>
      </c>
      <c r="EA29" s="85"/>
      <c r="EB29" s="85"/>
      <c r="EC29" s="226">
        <f t="shared" si="35"/>
        <v>0</v>
      </c>
    </row>
    <row r="30" spans="2:133" ht="16.8" thickTop="1" thickBot="1" x14ac:dyDescent="0.35">
      <c r="B30" s="86">
        <v>27</v>
      </c>
      <c r="C30" s="85"/>
      <c r="D30" s="85"/>
      <c r="E30" s="85"/>
      <c r="F30" s="221">
        <f t="shared" si="0"/>
        <v>0</v>
      </c>
      <c r="G30" s="85"/>
      <c r="H30" s="85"/>
      <c r="I30" s="227">
        <f t="shared" si="1"/>
        <v>0</v>
      </c>
      <c r="J30" s="85"/>
      <c r="K30" s="85"/>
      <c r="L30" s="227">
        <f t="shared" si="24"/>
        <v>0</v>
      </c>
      <c r="M30" s="86">
        <v>27</v>
      </c>
      <c r="N30" s="85"/>
      <c r="O30" s="85"/>
      <c r="P30" s="85"/>
      <c r="Q30" s="221">
        <f t="shared" si="2"/>
        <v>0</v>
      </c>
      <c r="R30" s="85"/>
      <c r="S30" s="85"/>
      <c r="T30" s="227">
        <f t="shared" si="3"/>
        <v>0</v>
      </c>
      <c r="U30" s="85"/>
      <c r="V30" s="85"/>
      <c r="W30" s="226">
        <f t="shared" si="25"/>
        <v>0</v>
      </c>
      <c r="X30" s="86">
        <v>27</v>
      </c>
      <c r="Y30" s="85"/>
      <c r="Z30" s="85"/>
      <c r="AA30" s="85"/>
      <c r="AB30" s="221">
        <f t="shared" si="4"/>
        <v>0</v>
      </c>
      <c r="AC30" s="85"/>
      <c r="AD30" s="85"/>
      <c r="AE30" s="227">
        <f t="shared" si="5"/>
        <v>0</v>
      </c>
      <c r="AF30" s="85"/>
      <c r="AG30" s="85"/>
      <c r="AH30" s="226">
        <f t="shared" si="26"/>
        <v>0</v>
      </c>
      <c r="AI30" s="86">
        <v>27</v>
      </c>
      <c r="AJ30" s="85"/>
      <c r="AK30" s="85"/>
      <c r="AL30" s="85"/>
      <c r="AM30" s="221">
        <f t="shared" si="6"/>
        <v>0</v>
      </c>
      <c r="AN30" s="85"/>
      <c r="AO30" s="85"/>
      <c r="AP30" s="227">
        <f t="shared" si="7"/>
        <v>0</v>
      </c>
      <c r="AQ30" s="85"/>
      <c r="AR30" s="85"/>
      <c r="AS30" s="227">
        <f t="shared" si="27"/>
        <v>0</v>
      </c>
      <c r="AT30" s="86">
        <v>27</v>
      </c>
      <c r="AU30" s="85"/>
      <c r="AV30" s="85"/>
      <c r="AW30" s="85"/>
      <c r="AX30" s="221">
        <f t="shared" si="8"/>
        <v>0</v>
      </c>
      <c r="AY30" s="85"/>
      <c r="AZ30" s="85"/>
      <c r="BA30" s="227">
        <f t="shared" si="9"/>
        <v>0</v>
      </c>
      <c r="BB30" s="85"/>
      <c r="BC30" s="85"/>
      <c r="BD30" s="226">
        <f t="shared" si="28"/>
        <v>0</v>
      </c>
      <c r="BE30" s="86">
        <v>27</v>
      </c>
      <c r="BF30" s="85"/>
      <c r="BG30" s="85"/>
      <c r="BH30" s="85"/>
      <c r="BI30" s="221">
        <f t="shared" si="10"/>
        <v>0</v>
      </c>
      <c r="BJ30" s="85"/>
      <c r="BK30" s="85"/>
      <c r="BL30" s="227">
        <f t="shared" si="11"/>
        <v>0</v>
      </c>
      <c r="BM30" s="85"/>
      <c r="BN30" s="85"/>
      <c r="BO30" s="226">
        <f t="shared" si="29"/>
        <v>0</v>
      </c>
      <c r="BP30" s="86">
        <v>27</v>
      </c>
      <c r="BQ30" s="85"/>
      <c r="BR30" s="85"/>
      <c r="BS30" s="85"/>
      <c r="BT30" s="221">
        <f t="shared" si="12"/>
        <v>0</v>
      </c>
      <c r="BU30" s="85"/>
      <c r="BV30" s="85"/>
      <c r="BW30" s="227">
        <f t="shared" si="13"/>
        <v>0</v>
      </c>
      <c r="BX30" s="85"/>
      <c r="BY30" s="85"/>
      <c r="BZ30" s="227">
        <f t="shared" si="30"/>
        <v>0</v>
      </c>
      <c r="CA30" s="86">
        <v>27</v>
      </c>
      <c r="CB30" s="85"/>
      <c r="CC30" s="85"/>
      <c r="CD30" s="85"/>
      <c r="CE30" s="221">
        <f t="shared" si="14"/>
        <v>0</v>
      </c>
      <c r="CF30" s="85"/>
      <c r="CG30" s="85"/>
      <c r="CH30" s="227">
        <f t="shared" si="15"/>
        <v>0</v>
      </c>
      <c r="CI30" s="85"/>
      <c r="CJ30" s="85"/>
      <c r="CK30" s="226">
        <f t="shared" si="31"/>
        <v>0</v>
      </c>
      <c r="CL30" s="86">
        <v>27</v>
      </c>
      <c r="CM30" s="85"/>
      <c r="CN30" s="85"/>
      <c r="CO30" s="85"/>
      <c r="CP30" s="221">
        <f t="shared" si="16"/>
        <v>0</v>
      </c>
      <c r="CQ30" s="85"/>
      <c r="CR30" s="85"/>
      <c r="CS30" s="227">
        <f t="shared" si="17"/>
        <v>0</v>
      </c>
      <c r="CT30" s="85"/>
      <c r="CU30" s="85"/>
      <c r="CV30" s="226">
        <f t="shared" si="32"/>
        <v>0</v>
      </c>
      <c r="CW30" s="86">
        <v>27</v>
      </c>
      <c r="CX30" s="85"/>
      <c r="CY30" s="85"/>
      <c r="CZ30" s="85"/>
      <c r="DA30" s="221">
        <f t="shared" si="18"/>
        <v>0</v>
      </c>
      <c r="DB30" s="85"/>
      <c r="DC30" s="85"/>
      <c r="DD30" s="227">
        <f t="shared" si="19"/>
        <v>0</v>
      </c>
      <c r="DE30" s="85"/>
      <c r="DF30" s="85"/>
      <c r="DG30" s="227">
        <f t="shared" si="33"/>
        <v>0</v>
      </c>
      <c r="DH30" s="86">
        <v>27</v>
      </c>
      <c r="DI30" s="85"/>
      <c r="DJ30" s="85"/>
      <c r="DK30" s="85"/>
      <c r="DL30" s="221">
        <f t="shared" si="20"/>
        <v>0</v>
      </c>
      <c r="DM30" s="85"/>
      <c r="DN30" s="85"/>
      <c r="DO30" s="227">
        <f t="shared" si="21"/>
        <v>0</v>
      </c>
      <c r="DP30" s="85"/>
      <c r="DQ30" s="85"/>
      <c r="DR30" s="226">
        <f t="shared" si="34"/>
        <v>0</v>
      </c>
      <c r="DS30" s="86">
        <v>27</v>
      </c>
      <c r="DT30" s="85"/>
      <c r="DU30" s="85"/>
      <c r="DV30" s="85"/>
      <c r="DW30" s="221">
        <f t="shared" si="22"/>
        <v>0</v>
      </c>
      <c r="DX30" s="85"/>
      <c r="DY30" s="85"/>
      <c r="DZ30" s="227">
        <f t="shared" si="23"/>
        <v>0</v>
      </c>
      <c r="EA30" s="85"/>
      <c r="EB30" s="85"/>
      <c r="EC30" s="226">
        <f t="shared" si="35"/>
        <v>0</v>
      </c>
    </row>
    <row r="31" spans="2:133" ht="16.8" thickTop="1" thickBot="1" x14ac:dyDescent="0.35">
      <c r="B31" s="86">
        <v>28</v>
      </c>
      <c r="C31" s="85"/>
      <c r="D31" s="85"/>
      <c r="E31" s="85"/>
      <c r="F31" s="221">
        <f t="shared" si="0"/>
        <v>0</v>
      </c>
      <c r="G31" s="85"/>
      <c r="H31" s="85"/>
      <c r="I31" s="227">
        <f t="shared" si="1"/>
        <v>0</v>
      </c>
      <c r="J31" s="85"/>
      <c r="K31" s="85"/>
      <c r="L31" s="227">
        <f t="shared" si="24"/>
        <v>0</v>
      </c>
      <c r="M31" s="86">
        <v>28</v>
      </c>
      <c r="N31" s="85"/>
      <c r="O31" s="85"/>
      <c r="P31" s="85"/>
      <c r="Q31" s="221">
        <f t="shared" si="2"/>
        <v>0</v>
      </c>
      <c r="R31" s="85"/>
      <c r="S31" s="85"/>
      <c r="T31" s="227">
        <f t="shared" si="3"/>
        <v>0</v>
      </c>
      <c r="U31" s="85"/>
      <c r="V31" s="85"/>
      <c r="W31" s="226">
        <f t="shared" si="25"/>
        <v>0</v>
      </c>
      <c r="X31" s="86">
        <v>28</v>
      </c>
      <c r="Y31" s="85"/>
      <c r="Z31" s="85"/>
      <c r="AA31" s="85"/>
      <c r="AB31" s="221">
        <f t="shared" si="4"/>
        <v>0</v>
      </c>
      <c r="AC31" s="85"/>
      <c r="AD31" s="85"/>
      <c r="AE31" s="227">
        <f t="shared" si="5"/>
        <v>0</v>
      </c>
      <c r="AF31" s="85"/>
      <c r="AG31" s="85"/>
      <c r="AH31" s="226">
        <f t="shared" si="26"/>
        <v>0</v>
      </c>
      <c r="AI31" s="86">
        <v>28</v>
      </c>
      <c r="AJ31" s="85"/>
      <c r="AK31" s="85"/>
      <c r="AL31" s="85"/>
      <c r="AM31" s="221">
        <f t="shared" si="6"/>
        <v>0</v>
      </c>
      <c r="AN31" s="85"/>
      <c r="AO31" s="85"/>
      <c r="AP31" s="227">
        <f t="shared" si="7"/>
        <v>0</v>
      </c>
      <c r="AQ31" s="85"/>
      <c r="AR31" s="85"/>
      <c r="AS31" s="227">
        <f t="shared" si="27"/>
        <v>0</v>
      </c>
      <c r="AT31" s="86">
        <v>28</v>
      </c>
      <c r="AU31" s="85"/>
      <c r="AV31" s="85"/>
      <c r="AW31" s="85"/>
      <c r="AX31" s="221">
        <f t="shared" si="8"/>
        <v>0</v>
      </c>
      <c r="AY31" s="85"/>
      <c r="AZ31" s="85"/>
      <c r="BA31" s="227">
        <f t="shared" si="9"/>
        <v>0</v>
      </c>
      <c r="BB31" s="85"/>
      <c r="BC31" s="85"/>
      <c r="BD31" s="226">
        <f t="shared" si="28"/>
        <v>0</v>
      </c>
      <c r="BE31" s="86">
        <v>28</v>
      </c>
      <c r="BF31" s="85"/>
      <c r="BG31" s="85"/>
      <c r="BH31" s="85"/>
      <c r="BI31" s="221">
        <f t="shared" si="10"/>
        <v>0</v>
      </c>
      <c r="BJ31" s="85"/>
      <c r="BK31" s="85"/>
      <c r="BL31" s="227">
        <f t="shared" si="11"/>
        <v>0</v>
      </c>
      <c r="BM31" s="85"/>
      <c r="BN31" s="85"/>
      <c r="BO31" s="226">
        <f t="shared" si="29"/>
        <v>0</v>
      </c>
      <c r="BP31" s="86">
        <v>28</v>
      </c>
      <c r="BQ31" s="85"/>
      <c r="BR31" s="85"/>
      <c r="BS31" s="85"/>
      <c r="BT31" s="221">
        <f t="shared" si="12"/>
        <v>0</v>
      </c>
      <c r="BU31" s="85"/>
      <c r="BV31" s="85"/>
      <c r="BW31" s="227">
        <f t="shared" si="13"/>
        <v>0</v>
      </c>
      <c r="BX31" s="85"/>
      <c r="BY31" s="85"/>
      <c r="BZ31" s="227">
        <f t="shared" si="30"/>
        <v>0</v>
      </c>
      <c r="CA31" s="86">
        <v>28</v>
      </c>
      <c r="CB31" s="85"/>
      <c r="CC31" s="85"/>
      <c r="CD31" s="85"/>
      <c r="CE31" s="221">
        <f t="shared" si="14"/>
        <v>0</v>
      </c>
      <c r="CF31" s="85"/>
      <c r="CG31" s="85"/>
      <c r="CH31" s="227">
        <f t="shared" si="15"/>
        <v>0</v>
      </c>
      <c r="CI31" s="85"/>
      <c r="CJ31" s="85"/>
      <c r="CK31" s="226">
        <f t="shared" si="31"/>
        <v>0</v>
      </c>
      <c r="CL31" s="86">
        <v>28</v>
      </c>
      <c r="CM31" s="85"/>
      <c r="CN31" s="85"/>
      <c r="CO31" s="85"/>
      <c r="CP31" s="221">
        <f t="shared" si="16"/>
        <v>0</v>
      </c>
      <c r="CQ31" s="85"/>
      <c r="CR31" s="85"/>
      <c r="CS31" s="227">
        <f t="shared" si="17"/>
        <v>0</v>
      </c>
      <c r="CT31" s="85"/>
      <c r="CU31" s="85"/>
      <c r="CV31" s="226">
        <f t="shared" si="32"/>
        <v>0</v>
      </c>
      <c r="CW31" s="86">
        <v>28</v>
      </c>
      <c r="CX31" s="85"/>
      <c r="CY31" s="85"/>
      <c r="CZ31" s="85"/>
      <c r="DA31" s="221">
        <f t="shared" si="18"/>
        <v>0</v>
      </c>
      <c r="DB31" s="85"/>
      <c r="DC31" s="85"/>
      <c r="DD31" s="227">
        <f t="shared" si="19"/>
        <v>0</v>
      </c>
      <c r="DE31" s="85"/>
      <c r="DF31" s="85"/>
      <c r="DG31" s="227">
        <f t="shared" si="33"/>
        <v>0</v>
      </c>
      <c r="DH31" s="86">
        <v>28</v>
      </c>
      <c r="DI31" s="85"/>
      <c r="DJ31" s="85"/>
      <c r="DK31" s="85"/>
      <c r="DL31" s="221">
        <f t="shared" si="20"/>
        <v>0</v>
      </c>
      <c r="DM31" s="85"/>
      <c r="DN31" s="85"/>
      <c r="DO31" s="227">
        <f t="shared" si="21"/>
        <v>0</v>
      </c>
      <c r="DP31" s="85"/>
      <c r="DQ31" s="85"/>
      <c r="DR31" s="226">
        <f t="shared" si="34"/>
        <v>0</v>
      </c>
      <c r="DS31" s="86">
        <v>28</v>
      </c>
      <c r="DT31" s="85"/>
      <c r="DU31" s="85"/>
      <c r="DV31" s="85"/>
      <c r="DW31" s="221">
        <f t="shared" si="22"/>
        <v>0</v>
      </c>
      <c r="DX31" s="85"/>
      <c r="DY31" s="85"/>
      <c r="DZ31" s="227">
        <f t="shared" si="23"/>
        <v>0</v>
      </c>
      <c r="EA31" s="85"/>
      <c r="EB31" s="85"/>
      <c r="EC31" s="226">
        <f t="shared" si="35"/>
        <v>0</v>
      </c>
    </row>
    <row r="32" spans="2:133" ht="16.8" thickTop="1" thickBot="1" x14ac:dyDescent="0.35">
      <c r="B32" s="86">
        <v>29</v>
      </c>
      <c r="C32" s="85"/>
      <c r="D32" s="87"/>
      <c r="E32" s="87"/>
      <c r="F32" s="221">
        <f t="shared" si="0"/>
        <v>0</v>
      </c>
      <c r="G32" s="85"/>
      <c r="H32" s="85"/>
      <c r="I32" s="227">
        <f t="shared" si="1"/>
        <v>0</v>
      </c>
      <c r="J32" s="85"/>
      <c r="K32" s="85"/>
      <c r="L32" s="227">
        <f t="shared" si="24"/>
        <v>0</v>
      </c>
      <c r="M32" s="86">
        <v>29</v>
      </c>
      <c r="N32" s="85"/>
      <c r="O32" s="87"/>
      <c r="P32" s="87"/>
      <c r="Q32" s="221">
        <f t="shared" si="2"/>
        <v>0</v>
      </c>
      <c r="R32" s="85"/>
      <c r="S32" s="85"/>
      <c r="T32" s="227">
        <f t="shared" si="3"/>
        <v>0</v>
      </c>
      <c r="U32" s="85"/>
      <c r="V32" s="85"/>
      <c r="W32" s="226">
        <f t="shared" si="25"/>
        <v>0</v>
      </c>
      <c r="X32" s="86">
        <v>29</v>
      </c>
      <c r="Y32" s="85"/>
      <c r="Z32" s="87"/>
      <c r="AA32" s="87"/>
      <c r="AB32" s="221">
        <f t="shared" si="4"/>
        <v>0</v>
      </c>
      <c r="AC32" s="85"/>
      <c r="AD32" s="85"/>
      <c r="AE32" s="227">
        <f t="shared" si="5"/>
        <v>0</v>
      </c>
      <c r="AF32" s="85"/>
      <c r="AG32" s="85"/>
      <c r="AH32" s="226">
        <f t="shared" si="26"/>
        <v>0</v>
      </c>
      <c r="AI32" s="86">
        <v>29</v>
      </c>
      <c r="AJ32" s="85"/>
      <c r="AK32" s="87"/>
      <c r="AL32" s="87"/>
      <c r="AM32" s="221">
        <f t="shared" si="6"/>
        <v>0</v>
      </c>
      <c r="AN32" s="85"/>
      <c r="AO32" s="85"/>
      <c r="AP32" s="227">
        <f t="shared" si="7"/>
        <v>0</v>
      </c>
      <c r="AQ32" s="85"/>
      <c r="AR32" s="85"/>
      <c r="AS32" s="227">
        <f t="shared" si="27"/>
        <v>0</v>
      </c>
      <c r="AT32" s="86">
        <v>29</v>
      </c>
      <c r="AU32" s="85"/>
      <c r="AV32" s="87"/>
      <c r="AW32" s="87"/>
      <c r="AX32" s="221">
        <f t="shared" si="8"/>
        <v>0</v>
      </c>
      <c r="AY32" s="85"/>
      <c r="AZ32" s="85"/>
      <c r="BA32" s="227">
        <f t="shared" si="9"/>
        <v>0</v>
      </c>
      <c r="BB32" s="85"/>
      <c r="BC32" s="85"/>
      <c r="BD32" s="226">
        <f t="shared" si="28"/>
        <v>0</v>
      </c>
      <c r="BE32" s="86">
        <v>29</v>
      </c>
      <c r="BF32" s="85"/>
      <c r="BG32" s="87"/>
      <c r="BH32" s="87"/>
      <c r="BI32" s="221">
        <f t="shared" si="10"/>
        <v>0</v>
      </c>
      <c r="BJ32" s="85"/>
      <c r="BK32" s="85"/>
      <c r="BL32" s="227">
        <f t="shared" si="11"/>
        <v>0</v>
      </c>
      <c r="BM32" s="85"/>
      <c r="BN32" s="85"/>
      <c r="BO32" s="226">
        <f t="shared" si="29"/>
        <v>0</v>
      </c>
      <c r="BP32" s="86">
        <v>29</v>
      </c>
      <c r="BQ32" s="85"/>
      <c r="BR32" s="87"/>
      <c r="BS32" s="87"/>
      <c r="BT32" s="221">
        <f t="shared" si="12"/>
        <v>0</v>
      </c>
      <c r="BU32" s="85"/>
      <c r="BV32" s="85"/>
      <c r="BW32" s="227">
        <f t="shared" si="13"/>
        <v>0</v>
      </c>
      <c r="BX32" s="85"/>
      <c r="BY32" s="85"/>
      <c r="BZ32" s="227">
        <f t="shared" si="30"/>
        <v>0</v>
      </c>
      <c r="CA32" s="86">
        <v>29</v>
      </c>
      <c r="CB32" s="85"/>
      <c r="CC32" s="87"/>
      <c r="CD32" s="87"/>
      <c r="CE32" s="221">
        <f t="shared" si="14"/>
        <v>0</v>
      </c>
      <c r="CF32" s="85"/>
      <c r="CG32" s="85"/>
      <c r="CH32" s="227">
        <f t="shared" si="15"/>
        <v>0</v>
      </c>
      <c r="CI32" s="85"/>
      <c r="CJ32" s="85"/>
      <c r="CK32" s="226">
        <f t="shared" si="31"/>
        <v>0</v>
      </c>
      <c r="CL32" s="86">
        <v>29</v>
      </c>
      <c r="CM32" s="85"/>
      <c r="CN32" s="87"/>
      <c r="CO32" s="87"/>
      <c r="CP32" s="221">
        <f t="shared" si="16"/>
        <v>0</v>
      </c>
      <c r="CQ32" s="85"/>
      <c r="CR32" s="85"/>
      <c r="CS32" s="227">
        <f t="shared" si="17"/>
        <v>0</v>
      </c>
      <c r="CT32" s="85"/>
      <c r="CU32" s="85"/>
      <c r="CV32" s="226">
        <f t="shared" si="32"/>
        <v>0</v>
      </c>
      <c r="CW32" s="86">
        <v>29</v>
      </c>
      <c r="CX32" s="85"/>
      <c r="CY32" s="87"/>
      <c r="CZ32" s="87"/>
      <c r="DA32" s="221">
        <f t="shared" si="18"/>
        <v>0</v>
      </c>
      <c r="DB32" s="85"/>
      <c r="DC32" s="85"/>
      <c r="DD32" s="227">
        <f t="shared" si="19"/>
        <v>0</v>
      </c>
      <c r="DE32" s="85"/>
      <c r="DF32" s="85"/>
      <c r="DG32" s="227">
        <f t="shared" si="33"/>
        <v>0</v>
      </c>
      <c r="DH32" s="86">
        <v>29</v>
      </c>
      <c r="DI32" s="85"/>
      <c r="DJ32" s="87"/>
      <c r="DK32" s="87"/>
      <c r="DL32" s="221">
        <f t="shared" si="20"/>
        <v>0</v>
      </c>
      <c r="DM32" s="85"/>
      <c r="DN32" s="85"/>
      <c r="DO32" s="227">
        <f t="shared" si="21"/>
        <v>0</v>
      </c>
      <c r="DP32" s="85"/>
      <c r="DQ32" s="85"/>
      <c r="DR32" s="226">
        <f t="shared" si="34"/>
        <v>0</v>
      </c>
      <c r="DS32" s="86">
        <v>29</v>
      </c>
      <c r="DT32" s="85"/>
      <c r="DU32" s="87"/>
      <c r="DV32" s="87"/>
      <c r="DW32" s="221">
        <f t="shared" si="22"/>
        <v>0</v>
      </c>
      <c r="DX32" s="85"/>
      <c r="DY32" s="85"/>
      <c r="DZ32" s="227">
        <f t="shared" si="23"/>
        <v>0</v>
      </c>
      <c r="EA32" s="85"/>
      <c r="EB32" s="85"/>
      <c r="EC32" s="226">
        <f t="shared" si="35"/>
        <v>0</v>
      </c>
    </row>
    <row r="33" spans="2:133" ht="16.8" thickTop="1" thickBot="1" x14ac:dyDescent="0.35">
      <c r="B33" s="86">
        <v>30</v>
      </c>
      <c r="C33" s="85"/>
      <c r="D33" s="85"/>
      <c r="E33" s="85"/>
      <c r="F33" s="221">
        <f t="shared" si="0"/>
        <v>0</v>
      </c>
      <c r="G33" s="85"/>
      <c r="H33" s="85"/>
      <c r="I33" s="227">
        <f t="shared" si="1"/>
        <v>0</v>
      </c>
      <c r="J33" s="85"/>
      <c r="K33" s="85"/>
      <c r="L33" s="227">
        <f t="shared" si="24"/>
        <v>0</v>
      </c>
      <c r="M33" s="86">
        <v>30</v>
      </c>
      <c r="N33" s="85"/>
      <c r="O33" s="85"/>
      <c r="P33" s="85"/>
      <c r="Q33" s="221">
        <f t="shared" si="2"/>
        <v>0</v>
      </c>
      <c r="R33" s="85"/>
      <c r="S33" s="85"/>
      <c r="T33" s="227">
        <f t="shared" si="3"/>
        <v>0</v>
      </c>
      <c r="U33" s="85"/>
      <c r="V33" s="85"/>
      <c r="W33" s="226">
        <f t="shared" si="25"/>
        <v>0</v>
      </c>
      <c r="X33" s="86">
        <v>30</v>
      </c>
      <c r="Y33" s="85"/>
      <c r="Z33" s="85"/>
      <c r="AA33" s="85"/>
      <c r="AB33" s="221">
        <f t="shared" si="4"/>
        <v>0</v>
      </c>
      <c r="AC33" s="85"/>
      <c r="AD33" s="85"/>
      <c r="AE33" s="227">
        <f t="shared" si="5"/>
        <v>0</v>
      </c>
      <c r="AF33" s="85"/>
      <c r="AG33" s="85"/>
      <c r="AH33" s="226">
        <f t="shared" si="26"/>
        <v>0</v>
      </c>
      <c r="AI33" s="86">
        <v>30</v>
      </c>
      <c r="AJ33" s="85"/>
      <c r="AK33" s="85"/>
      <c r="AL33" s="85"/>
      <c r="AM33" s="221">
        <f t="shared" si="6"/>
        <v>0</v>
      </c>
      <c r="AN33" s="85"/>
      <c r="AO33" s="85"/>
      <c r="AP33" s="227">
        <f t="shared" si="7"/>
        <v>0</v>
      </c>
      <c r="AQ33" s="85"/>
      <c r="AR33" s="85"/>
      <c r="AS33" s="227">
        <f t="shared" si="27"/>
        <v>0</v>
      </c>
      <c r="AT33" s="86">
        <v>30</v>
      </c>
      <c r="AU33" s="85"/>
      <c r="AV33" s="85"/>
      <c r="AW33" s="85"/>
      <c r="AX33" s="221">
        <f t="shared" si="8"/>
        <v>0</v>
      </c>
      <c r="AY33" s="85"/>
      <c r="AZ33" s="85"/>
      <c r="BA33" s="227">
        <f t="shared" si="9"/>
        <v>0</v>
      </c>
      <c r="BB33" s="85"/>
      <c r="BC33" s="85"/>
      <c r="BD33" s="226">
        <f t="shared" si="28"/>
        <v>0</v>
      </c>
      <c r="BE33" s="86">
        <v>30</v>
      </c>
      <c r="BF33" s="85"/>
      <c r="BG33" s="85"/>
      <c r="BH33" s="85"/>
      <c r="BI33" s="221">
        <f t="shared" si="10"/>
        <v>0</v>
      </c>
      <c r="BJ33" s="85"/>
      <c r="BK33" s="85"/>
      <c r="BL33" s="227">
        <f t="shared" si="11"/>
        <v>0</v>
      </c>
      <c r="BM33" s="85"/>
      <c r="BN33" s="85"/>
      <c r="BO33" s="226">
        <f t="shared" si="29"/>
        <v>0</v>
      </c>
      <c r="BP33" s="86">
        <v>30</v>
      </c>
      <c r="BQ33" s="85"/>
      <c r="BR33" s="85"/>
      <c r="BS33" s="85"/>
      <c r="BT33" s="221">
        <f t="shared" si="12"/>
        <v>0</v>
      </c>
      <c r="BU33" s="85"/>
      <c r="BV33" s="85"/>
      <c r="BW33" s="227">
        <f t="shared" si="13"/>
        <v>0</v>
      </c>
      <c r="BX33" s="85"/>
      <c r="BY33" s="85"/>
      <c r="BZ33" s="227">
        <f t="shared" si="30"/>
        <v>0</v>
      </c>
      <c r="CA33" s="86">
        <v>30</v>
      </c>
      <c r="CB33" s="85"/>
      <c r="CC33" s="85"/>
      <c r="CD33" s="85"/>
      <c r="CE33" s="221">
        <f t="shared" si="14"/>
        <v>0</v>
      </c>
      <c r="CF33" s="85"/>
      <c r="CG33" s="85"/>
      <c r="CH33" s="227">
        <f t="shared" si="15"/>
        <v>0</v>
      </c>
      <c r="CI33" s="85"/>
      <c r="CJ33" s="85"/>
      <c r="CK33" s="226">
        <f t="shared" si="31"/>
        <v>0</v>
      </c>
      <c r="CL33" s="86">
        <v>30</v>
      </c>
      <c r="CM33" s="85"/>
      <c r="CN33" s="85"/>
      <c r="CO33" s="85"/>
      <c r="CP33" s="221">
        <f t="shared" si="16"/>
        <v>0</v>
      </c>
      <c r="CQ33" s="85"/>
      <c r="CR33" s="85"/>
      <c r="CS33" s="227">
        <f t="shared" si="17"/>
        <v>0</v>
      </c>
      <c r="CT33" s="85"/>
      <c r="CU33" s="85"/>
      <c r="CV33" s="226">
        <f t="shared" si="32"/>
        <v>0</v>
      </c>
      <c r="CW33" s="86">
        <v>30</v>
      </c>
      <c r="CX33" s="85"/>
      <c r="CY33" s="85"/>
      <c r="CZ33" s="85"/>
      <c r="DA33" s="221">
        <f t="shared" si="18"/>
        <v>0</v>
      </c>
      <c r="DB33" s="85"/>
      <c r="DC33" s="85"/>
      <c r="DD33" s="227">
        <f t="shared" si="19"/>
        <v>0</v>
      </c>
      <c r="DE33" s="85"/>
      <c r="DF33" s="85"/>
      <c r="DG33" s="227">
        <f t="shared" si="33"/>
        <v>0</v>
      </c>
      <c r="DH33" s="86">
        <v>30</v>
      </c>
      <c r="DI33" s="85"/>
      <c r="DJ33" s="85"/>
      <c r="DK33" s="85"/>
      <c r="DL33" s="221">
        <f t="shared" si="20"/>
        <v>0</v>
      </c>
      <c r="DM33" s="85"/>
      <c r="DN33" s="85"/>
      <c r="DO33" s="227">
        <f t="shared" si="21"/>
        <v>0</v>
      </c>
      <c r="DP33" s="85"/>
      <c r="DQ33" s="85"/>
      <c r="DR33" s="226">
        <f t="shared" si="34"/>
        <v>0</v>
      </c>
      <c r="DS33" s="86">
        <v>30</v>
      </c>
      <c r="DT33" s="85"/>
      <c r="DU33" s="85"/>
      <c r="DV33" s="85"/>
      <c r="DW33" s="221">
        <f t="shared" si="22"/>
        <v>0</v>
      </c>
      <c r="DX33" s="85"/>
      <c r="DY33" s="85"/>
      <c r="DZ33" s="227">
        <f t="shared" si="23"/>
        <v>0</v>
      </c>
      <c r="EA33" s="85"/>
      <c r="EB33" s="85"/>
      <c r="EC33" s="226">
        <f t="shared" si="35"/>
        <v>0</v>
      </c>
    </row>
    <row r="34" spans="2:133" ht="16.2" thickTop="1" x14ac:dyDescent="0.3">
      <c r="B34" s="86">
        <v>31</v>
      </c>
      <c r="C34" s="88"/>
      <c r="D34" s="88"/>
      <c r="E34" s="88"/>
      <c r="F34" s="222">
        <f t="shared" si="0"/>
        <v>0</v>
      </c>
      <c r="G34" s="88"/>
      <c r="H34" s="88"/>
      <c r="I34" s="228">
        <f t="shared" si="1"/>
        <v>0</v>
      </c>
      <c r="J34" s="88"/>
      <c r="K34" s="88"/>
      <c r="L34" s="228">
        <f t="shared" si="24"/>
        <v>0</v>
      </c>
      <c r="M34" s="86">
        <v>31</v>
      </c>
      <c r="N34" s="88"/>
      <c r="O34" s="88"/>
      <c r="P34" s="88"/>
      <c r="Q34" s="222">
        <f t="shared" si="2"/>
        <v>0</v>
      </c>
      <c r="R34" s="88"/>
      <c r="S34" s="88"/>
      <c r="T34" s="228">
        <f t="shared" si="3"/>
        <v>0</v>
      </c>
      <c r="U34" s="88"/>
      <c r="V34" s="88"/>
      <c r="W34" s="226">
        <f t="shared" si="25"/>
        <v>0</v>
      </c>
      <c r="X34" s="86">
        <v>31</v>
      </c>
      <c r="Y34" s="88"/>
      <c r="Z34" s="88"/>
      <c r="AA34" s="88"/>
      <c r="AB34" s="222">
        <f t="shared" si="4"/>
        <v>0</v>
      </c>
      <c r="AC34" s="88"/>
      <c r="AD34" s="88"/>
      <c r="AE34" s="228">
        <f t="shared" si="5"/>
        <v>0</v>
      </c>
      <c r="AF34" s="88"/>
      <c r="AG34" s="88"/>
      <c r="AH34" s="226">
        <f t="shared" si="26"/>
        <v>0</v>
      </c>
      <c r="AI34" s="86">
        <v>31</v>
      </c>
      <c r="AJ34" s="88"/>
      <c r="AK34" s="88"/>
      <c r="AL34" s="88"/>
      <c r="AM34" s="222">
        <f t="shared" si="6"/>
        <v>0</v>
      </c>
      <c r="AN34" s="88"/>
      <c r="AO34" s="88"/>
      <c r="AP34" s="228">
        <f t="shared" si="7"/>
        <v>0</v>
      </c>
      <c r="AQ34" s="88"/>
      <c r="AR34" s="88"/>
      <c r="AS34" s="228">
        <f t="shared" si="27"/>
        <v>0</v>
      </c>
      <c r="AT34" s="86">
        <v>31</v>
      </c>
      <c r="AU34" s="88"/>
      <c r="AV34" s="88"/>
      <c r="AW34" s="88"/>
      <c r="AX34" s="222">
        <f t="shared" si="8"/>
        <v>0</v>
      </c>
      <c r="AY34" s="88"/>
      <c r="AZ34" s="88"/>
      <c r="BA34" s="228">
        <f t="shared" si="9"/>
        <v>0</v>
      </c>
      <c r="BB34" s="88"/>
      <c r="BC34" s="88"/>
      <c r="BD34" s="226">
        <f t="shared" si="28"/>
        <v>0</v>
      </c>
      <c r="BE34" s="86">
        <v>31</v>
      </c>
      <c r="BF34" s="88"/>
      <c r="BG34" s="88"/>
      <c r="BH34" s="88"/>
      <c r="BI34" s="222">
        <f t="shared" si="10"/>
        <v>0</v>
      </c>
      <c r="BJ34" s="88"/>
      <c r="BK34" s="88"/>
      <c r="BL34" s="228">
        <f t="shared" si="11"/>
        <v>0</v>
      </c>
      <c r="BM34" s="88"/>
      <c r="BN34" s="88"/>
      <c r="BO34" s="226">
        <f t="shared" si="29"/>
        <v>0</v>
      </c>
      <c r="BP34" s="86">
        <v>31</v>
      </c>
      <c r="BQ34" s="88"/>
      <c r="BR34" s="88"/>
      <c r="BS34" s="88"/>
      <c r="BT34" s="222">
        <f t="shared" si="12"/>
        <v>0</v>
      </c>
      <c r="BU34" s="88"/>
      <c r="BV34" s="88"/>
      <c r="BW34" s="228">
        <f t="shared" si="13"/>
        <v>0</v>
      </c>
      <c r="BX34" s="88"/>
      <c r="BY34" s="88"/>
      <c r="BZ34" s="228">
        <f t="shared" si="30"/>
        <v>0</v>
      </c>
      <c r="CA34" s="86">
        <v>31</v>
      </c>
      <c r="CB34" s="88"/>
      <c r="CC34" s="88"/>
      <c r="CD34" s="88"/>
      <c r="CE34" s="222">
        <f t="shared" si="14"/>
        <v>0</v>
      </c>
      <c r="CF34" s="88"/>
      <c r="CG34" s="88"/>
      <c r="CH34" s="228">
        <f t="shared" si="15"/>
        <v>0</v>
      </c>
      <c r="CI34" s="88"/>
      <c r="CJ34" s="88"/>
      <c r="CK34" s="226">
        <f t="shared" si="31"/>
        <v>0</v>
      </c>
      <c r="CL34" s="86">
        <v>31</v>
      </c>
      <c r="CM34" s="88"/>
      <c r="CN34" s="88"/>
      <c r="CO34" s="88"/>
      <c r="CP34" s="222">
        <f t="shared" si="16"/>
        <v>0</v>
      </c>
      <c r="CQ34" s="88"/>
      <c r="CR34" s="88"/>
      <c r="CS34" s="228">
        <f t="shared" si="17"/>
        <v>0</v>
      </c>
      <c r="CT34" s="88"/>
      <c r="CU34" s="88"/>
      <c r="CV34" s="226">
        <f t="shared" si="32"/>
        <v>0</v>
      </c>
      <c r="CW34" s="86">
        <v>31</v>
      </c>
      <c r="CX34" s="88"/>
      <c r="CY34" s="88"/>
      <c r="CZ34" s="88"/>
      <c r="DA34" s="222">
        <f t="shared" si="18"/>
        <v>0</v>
      </c>
      <c r="DB34" s="88"/>
      <c r="DC34" s="88"/>
      <c r="DD34" s="228">
        <f t="shared" si="19"/>
        <v>0</v>
      </c>
      <c r="DE34" s="88"/>
      <c r="DF34" s="88"/>
      <c r="DG34" s="228">
        <f t="shared" si="33"/>
        <v>0</v>
      </c>
      <c r="DH34" s="86">
        <v>31</v>
      </c>
      <c r="DI34" s="88"/>
      <c r="DJ34" s="88"/>
      <c r="DK34" s="88"/>
      <c r="DL34" s="222">
        <f t="shared" si="20"/>
        <v>0</v>
      </c>
      <c r="DM34" s="88"/>
      <c r="DN34" s="88"/>
      <c r="DO34" s="228">
        <f t="shared" si="21"/>
        <v>0</v>
      </c>
      <c r="DP34" s="88"/>
      <c r="DQ34" s="88"/>
      <c r="DR34" s="226">
        <f t="shared" si="34"/>
        <v>0</v>
      </c>
      <c r="DS34" s="86">
        <v>31</v>
      </c>
      <c r="DT34" s="88"/>
      <c r="DU34" s="88"/>
      <c r="DV34" s="88"/>
      <c r="DW34" s="222">
        <f t="shared" si="22"/>
        <v>0</v>
      </c>
      <c r="DX34" s="88"/>
      <c r="DY34" s="88"/>
      <c r="DZ34" s="228">
        <f t="shared" si="23"/>
        <v>0</v>
      </c>
      <c r="EA34" s="88"/>
      <c r="EB34" s="88"/>
      <c r="EC34" s="226">
        <f t="shared" si="35"/>
        <v>0</v>
      </c>
    </row>
    <row r="35" spans="2:133" ht="55.2" x14ac:dyDescent="0.3">
      <c r="B35" s="89" t="s">
        <v>57</v>
      </c>
      <c r="C35" s="90">
        <f>SUM(C4:C34)</f>
        <v>0</v>
      </c>
      <c r="D35" s="90">
        <f>SUM(D4:D34)</f>
        <v>0</v>
      </c>
      <c r="E35" s="90">
        <f>SUM(E4:E34)</f>
        <v>0</v>
      </c>
      <c r="F35" s="223">
        <f>SUM(C35:E35)</f>
        <v>0</v>
      </c>
      <c r="G35" s="91">
        <f t="shared" ref="G35:J35" si="36">SUM(G4:G34)</f>
        <v>0</v>
      </c>
      <c r="H35" s="91">
        <f t="shared" si="36"/>
        <v>0</v>
      </c>
      <c r="I35" s="229">
        <f t="shared" si="36"/>
        <v>0</v>
      </c>
      <c r="J35" s="91">
        <f t="shared" si="36"/>
        <v>0</v>
      </c>
      <c r="K35" s="91">
        <f t="shared" ref="K35:L35" si="37">SUM(K4:K34)</f>
        <v>0</v>
      </c>
      <c r="L35" s="229">
        <f t="shared" si="37"/>
        <v>0</v>
      </c>
      <c r="M35" s="89" t="s">
        <v>57</v>
      </c>
      <c r="N35" s="90">
        <f>SUM(N4:N34)</f>
        <v>0</v>
      </c>
      <c r="O35" s="90">
        <f>SUM(O4:O34)</f>
        <v>0</v>
      </c>
      <c r="P35" s="90">
        <f>SUM(P4:P34)</f>
        <v>0</v>
      </c>
      <c r="Q35" s="223">
        <f>SUM(N35:P35)</f>
        <v>0</v>
      </c>
      <c r="R35" s="91">
        <f t="shared" ref="R35:V35" si="38">SUM(R4:R34)</f>
        <v>0</v>
      </c>
      <c r="S35" s="91">
        <f t="shared" si="38"/>
        <v>0</v>
      </c>
      <c r="T35" s="229">
        <f t="shared" si="38"/>
        <v>0</v>
      </c>
      <c r="U35" s="91">
        <f t="shared" ref="U35" si="39">SUM(U4:U34)</f>
        <v>0</v>
      </c>
      <c r="V35" s="91">
        <f t="shared" si="38"/>
        <v>0</v>
      </c>
      <c r="W35" s="233">
        <f t="shared" si="25"/>
        <v>0</v>
      </c>
      <c r="X35" s="89" t="s">
        <v>57</v>
      </c>
      <c r="Y35" s="90">
        <f>SUM(Y4:Y34)</f>
        <v>0</v>
      </c>
      <c r="Z35" s="90">
        <f>SUM(Z4:Z34)</f>
        <v>0</v>
      </c>
      <c r="AA35" s="90">
        <f>SUM(AA4:AA34)</f>
        <v>0</v>
      </c>
      <c r="AB35" s="223">
        <f>SUM(Y35:AA35)</f>
        <v>0</v>
      </c>
      <c r="AC35" s="91">
        <f t="shared" ref="AC35:AG35" si="40">SUM(AC4:AC34)</f>
        <v>0</v>
      </c>
      <c r="AD35" s="91">
        <f t="shared" si="40"/>
        <v>0</v>
      </c>
      <c r="AE35" s="229">
        <f t="shared" si="40"/>
        <v>0</v>
      </c>
      <c r="AF35" s="91">
        <f t="shared" si="40"/>
        <v>0</v>
      </c>
      <c r="AG35" s="91">
        <f t="shared" si="40"/>
        <v>0</v>
      </c>
      <c r="AH35" s="233">
        <f t="shared" si="26"/>
        <v>0</v>
      </c>
      <c r="AI35" s="89" t="s">
        <v>57</v>
      </c>
      <c r="AJ35" s="90">
        <f>SUM(AJ4:AJ34)</f>
        <v>0</v>
      </c>
      <c r="AK35" s="90">
        <f>SUM(AK4:AK34)</f>
        <v>0</v>
      </c>
      <c r="AL35" s="90">
        <f>SUM(AL4:AL34)</f>
        <v>0</v>
      </c>
      <c r="AM35" s="223">
        <f>SUM(AJ35:AL35)</f>
        <v>0</v>
      </c>
      <c r="AN35" s="91">
        <f t="shared" ref="AN35:AS35" si="41">SUM(AN4:AN34)</f>
        <v>0</v>
      </c>
      <c r="AO35" s="91">
        <f t="shared" si="41"/>
        <v>0</v>
      </c>
      <c r="AP35" s="229">
        <f t="shared" si="41"/>
        <v>0</v>
      </c>
      <c r="AQ35" s="91">
        <f t="shared" si="41"/>
        <v>0</v>
      </c>
      <c r="AR35" s="91">
        <f t="shared" si="41"/>
        <v>0</v>
      </c>
      <c r="AS35" s="229">
        <f t="shared" si="41"/>
        <v>0</v>
      </c>
      <c r="AT35" s="89" t="s">
        <v>57</v>
      </c>
      <c r="AU35" s="90">
        <f>SUM(AU4:AU34)</f>
        <v>0</v>
      </c>
      <c r="AV35" s="90">
        <f>SUM(AV4:AV34)</f>
        <v>0</v>
      </c>
      <c r="AW35" s="90">
        <f>SUM(AW4:AW34)</f>
        <v>0</v>
      </c>
      <c r="AX35" s="223">
        <f>SUM(AU35:AW35)</f>
        <v>0</v>
      </c>
      <c r="AY35" s="91">
        <f t="shared" ref="AY35:BC35" si="42">SUM(AY4:AY34)</f>
        <v>0</v>
      </c>
      <c r="AZ35" s="91">
        <f t="shared" si="42"/>
        <v>0</v>
      </c>
      <c r="BA35" s="229">
        <f t="shared" si="42"/>
        <v>0</v>
      </c>
      <c r="BB35" s="91">
        <f t="shared" si="42"/>
        <v>0</v>
      </c>
      <c r="BC35" s="91">
        <f t="shared" si="42"/>
        <v>0</v>
      </c>
      <c r="BD35" s="233">
        <f t="shared" si="28"/>
        <v>0</v>
      </c>
      <c r="BE35" s="89" t="s">
        <v>57</v>
      </c>
      <c r="BF35" s="90">
        <f>SUM(BF4:BF34)</f>
        <v>0</v>
      </c>
      <c r="BG35" s="90">
        <f>SUM(BG4:BG34)</f>
        <v>0</v>
      </c>
      <c r="BH35" s="90">
        <f>SUM(BH4:BH34)</f>
        <v>0</v>
      </c>
      <c r="BI35" s="223">
        <f>SUM(BF35:BH35)</f>
        <v>0</v>
      </c>
      <c r="BJ35" s="91">
        <f t="shared" ref="BJ35:BN35" si="43">SUM(BJ4:BJ34)</f>
        <v>0</v>
      </c>
      <c r="BK35" s="91">
        <f t="shared" si="43"/>
        <v>0</v>
      </c>
      <c r="BL35" s="229">
        <f t="shared" si="43"/>
        <v>0</v>
      </c>
      <c r="BM35" s="91">
        <f t="shared" si="43"/>
        <v>0</v>
      </c>
      <c r="BN35" s="91">
        <f t="shared" si="43"/>
        <v>0</v>
      </c>
      <c r="BO35" s="233">
        <f t="shared" si="29"/>
        <v>0</v>
      </c>
      <c r="BP35" s="89" t="s">
        <v>57</v>
      </c>
      <c r="BQ35" s="90">
        <f>SUM(BQ4:BQ34)</f>
        <v>0</v>
      </c>
      <c r="BR35" s="90">
        <f>SUM(BR4:BR34)</f>
        <v>0</v>
      </c>
      <c r="BS35" s="90">
        <f>SUM(BS4:BS34)</f>
        <v>0</v>
      </c>
      <c r="BT35" s="223">
        <f>SUM(BQ35:BS35)</f>
        <v>0</v>
      </c>
      <c r="BU35" s="91">
        <f t="shared" ref="BU35:BZ35" si="44">SUM(BU4:BU34)</f>
        <v>0</v>
      </c>
      <c r="BV35" s="91">
        <f t="shared" si="44"/>
        <v>0</v>
      </c>
      <c r="BW35" s="229">
        <f t="shared" si="44"/>
        <v>0</v>
      </c>
      <c r="BX35" s="91">
        <f t="shared" si="44"/>
        <v>0</v>
      </c>
      <c r="BY35" s="91">
        <f t="shared" si="44"/>
        <v>0</v>
      </c>
      <c r="BZ35" s="229">
        <f t="shared" si="44"/>
        <v>0</v>
      </c>
      <c r="CA35" s="89" t="s">
        <v>57</v>
      </c>
      <c r="CB35" s="90">
        <f>SUM(CB4:CB34)</f>
        <v>0</v>
      </c>
      <c r="CC35" s="90">
        <f>SUM(CC4:CC34)</f>
        <v>0</v>
      </c>
      <c r="CD35" s="90">
        <f>SUM(CD4:CD34)</f>
        <v>0</v>
      </c>
      <c r="CE35" s="223">
        <f>SUM(CB35:CD35)</f>
        <v>0</v>
      </c>
      <c r="CF35" s="91">
        <f t="shared" ref="CF35:CJ35" si="45">SUM(CF4:CF34)</f>
        <v>0</v>
      </c>
      <c r="CG35" s="91">
        <f t="shared" si="45"/>
        <v>0</v>
      </c>
      <c r="CH35" s="229">
        <f t="shared" si="45"/>
        <v>0</v>
      </c>
      <c r="CI35" s="91">
        <f t="shared" si="45"/>
        <v>0</v>
      </c>
      <c r="CJ35" s="91">
        <f t="shared" si="45"/>
        <v>0</v>
      </c>
      <c r="CK35" s="233">
        <f t="shared" si="31"/>
        <v>0</v>
      </c>
      <c r="CL35" s="89" t="s">
        <v>57</v>
      </c>
      <c r="CM35" s="90">
        <f>SUM(CM4:CM34)</f>
        <v>5000</v>
      </c>
      <c r="CN35" s="90">
        <f>SUM(CN4:CN34)</f>
        <v>0</v>
      </c>
      <c r="CO35" s="90">
        <f>SUM(CO4:CO34)</f>
        <v>0</v>
      </c>
      <c r="CP35" s="223">
        <f>SUM(CM35:CO35)</f>
        <v>5000</v>
      </c>
      <c r="CQ35" s="91">
        <f t="shared" ref="CQ35:CU35" si="46">SUM(CQ4:CQ34)</f>
        <v>25000</v>
      </c>
      <c r="CR35" s="91">
        <f t="shared" si="46"/>
        <v>0</v>
      </c>
      <c r="CS35" s="229">
        <f t="shared" si="46"/>
        <v>25000</v>
      </c>
      <c r="CT35" s="91">
        <f t="shared" si="46"/>
        <v>300</v>
      </c>
      <c r="CU35" s="91">
        <f t="shared" si="46"/>
        <v>0</v>
      </c>
      <c r="CV35" s="233">
        <f t="shared" si="32"/>
        <v>300</v>
      </c>
      <c r="CW35" s="89" t="s">
        <v>57</v>
      </c>
      <c r="CX35" s="90">
        <f>SUM(CX4:CX34)</f>
        <v>0</v>
      </c>
      <c r="CY35" s="90">
        <f>SUM(CY4:CY34)</f>
        <v>0</v>
      </c>
      <c r="CZ35" s="90">
        <f>SUM(CZ4:CZ34)</f>
        <v>0</v>
      </c>
      <c r="DA35" s="223">
        <f>SUM(CX35:CZ35)</f>
        <v>0</v>
      </c>
      <c r="DB35" s="91">
        <f t="shared" ref="DB35:DG35" si="47">SUM(DB4:DB34)</f>
        <v>0</v>
      </c>
      <c r="DC35" s="91">
        <f t="shared" si="47"/>
        <v>0</v>
      </c>
      <c r="DD35" s="229">
        <f t="shared" si="47"/>
        <v>0</v>
      </c>
      <c r="DE35" s="91">
        <f t="shared" si="47"/>
        <v>0</v>
      </c>
      <c r="DF35" s="91">
        <f t="shared" si="47"/>
        <v>0</v>
      </c>
      <c r="DG35" s="229">
        <f t="shared" si="47"/>
        <v>0</v>
      </c>
      <c r="DH35" s="89" t="s">
        <v>57</v>
      </c>
      <c r="DI35" s="90">
        <f>SUM(DI4:DI34)</f>
        <v>0</v>
      </c>
      <c r="DJ35" s="90">
        <f>SUM(DJ4:DJ34)</f>
        <v>0</v>
      </c>
      <c r="DK35" s="90">
        <f>SUM(DK4:DK34)</f>
        <v>0</v>
      </c>
      <c r="DL35" s="223">
        <f>SUM(DI35:DK35)</f>
        <v>0</v>
      </c>
      <c r="DM35" s="91">
        <f t="shared" ref="DM35:DQ35" si="48">SUM(DM4:DM34)</f>
        <v>0</v>
      </c>
      <c r="DN35" s="91">
        <f t="shared" si="48"/>
        <v>0</v>
      </c>
      <c r="DO35" s="229">
        <f t="shared" si="48"/>
        <v>0</v>
      </c>
      <c r="DP35" s="91">
        <f t="shared" si="48"/>
        <v>0</v>
      </c>
      <c r="DQ35" s="91">
        <f t="shared" si="48"/>
        <v>0</v>
      </c>
      <c r="DR35" s="233">
        <f t="shared" si="34"/>
        <v>0</v>
      </c>
      <c r="DS35" s="89" t="s">
        <v>57</v>
      </c>
      <c r="DT35" s="90">
        <f>SUM(DT4:DT34)</f>
        <v>0</v>
      </c>
      <c r="DU35" s="90">
        <f>SUM(DU4:DU34)</f>
        <v>0</v>
      </c>
      <c r="DV35" s="90">
        <f>SUM(DV4:DV34)</f>
        <v>0</v>
      </c>
      <c r="DW35" s="223">
        <f>SUM(DT35:DV35)</f>
        <v>0</v>
      </c>
      <c r="DX35" s="91">
        <f t="shared" ref="DX35:EB35" si="49">SUM(DX4:DX34)</f>
        <v>0</v>
      </c>
      <c r="DY35" s="91">
        <f t="shared" si="49"/>
        <v>0</v>
      </c>
      <c r="DZ35" s="229">
        <f t="shared" si="49"/>
        <v>0</v>
      </c>
      <c r="EA35" s="91">
        <f t="shared" si="49"/>
        <v>0</v>
      </c>
      <c r="EB35" s="91">
        <f t="shared" si="49"/>
        <v>0</v>
      </c>
      <c r="EC35" s="233">
        <f t="shared" si="35"/>
        <v>0</v>
      </c>
    </row>
    <row r="36" spans="2:133" ht="27" thickBot="1" x14ac:dyDescent="0.35">
      <c r="B36" s="92" t="s">
        <v>58</v>
      </c>
      <c r="C36" s="93" t="e">
        <f>C35/F35</f>
        <v>#DIV/0!</v>
      </c>
      <c r="D36" s="93" t="e">
        <f>D35/F35</f>
        <v>#DIV/0!</v>
      </c>
      <c r="E36" s="93" t="e">
        <f>E35/F35</f>
        <v>#DIV/0!</v>
      </c>
      <c r="F36" s="224" t="e">
        <f>SUM(C36:E36)</f>
        <v>#DIV/0!</v>
      </c>
      <c r="G36" s="94" t="e">
        <f>G35/I35</f>
        <v>#DIV/0!</v>
      </c>
      <c r="H36" s="94" t="e">
        <f>H35/I35</f>
        <v>#DIV/0!</v>
      </c>
      <c r="I36" s="230" t="e">
        <f>SUM(G36:H36)</f>
        <v>#DIV/0!</v>
      </c>
      <c r="J36" s="94" t="e">
        <f>J35/L35</f>
        <v>#DIV/0!</v>
      </c>
      <c r="K36" s="94" t="e">
        <f>K35/L35</f>
        <v>#DIV/0!</v>
      </c>
      <c r="L36" s="231" t="e">
        <f>K35/L35</f>
        <v>#DIV/0!</v>
      </c>
      <c r="M36" s="92" t="s">
        <v>58</v>
      </c>
      <c r="N36" s="93" t="e">
        <f>N35/Q35</f>
        <v>#DIV/0!</v>
      </c>
      <c r="O36" s="93" t="e">
        <f>O35/Q35</f>
        <v>#DIV/0!</v>
      </c>
      <c r="P36" s="93" t="e">
        <f>P35/Q35</f>
        <v>#DIV/0!</v>
      </c>
      <c r="Q36" s="224" t="e">
        <f>SUM(N36:P36)</f>
        <v>#DIV/0!</v>
      </c>
      <c r="R36" s="94" t="e">
        <f>R35/T35</f>
        <v>#DIV/0!</v>
      </c>
      <c r="S36" s="94" t="e">
        <f>S35/T35</f>
        <v>#DIV/0!</v>
      </c>
      <c r="T36" s="230" t="e">
        <f>SUM(R36:S36)</f>
        <v>#DIV/0!</v>
      </c>
      <c r="U36" s="94" t="e">
        <f>U35/V35</f>
        <v>#DIV/0!</v>
      </c>
      <c r="V36" s="94" t="e">
        <f>V35/W35</f>
        <v>#DIV/0!</v>
      </c>
      <c r="W36" s="231" t="e">
        <f>V35/W35</f>
        <v>#DIV/0!</v>
      </c>
      <c r="X36" s="92" t="s">
        <v>58</v>
      </c>
      <c r="Y36" s="93" t="e">
        <f>Y35/AB35</f>
        <v>#DIV/0!</v>
      </c>
      <c r="Z36" s="93" t="e">
        <f>Z35/AB35</f>
        <v>#DIV/0!</v>
      </c>
      <c r="AA36" s="93" t="e">
        <f>AA35/AB35</f>
        <v>#DIV/0!</v>
      </c>
      <c r="AB36" s="224" t="e">
        <f>SUM(Y36:AA36)</f>
        <v>#DIV/0!</v>
      </c>
      <c r="AC36" s="94" t="e">
        <f>AC35/AE35</f>
        <v>#DIV/0!</v>
      </c>
      <c r="AD36" s="94" t="e">
        <f>AD35/AE35</f>
        <v>#DIV/0!</v>
      </c>
      <c r="AE36" s="230" t="e">
        <f>SUM(AC36:AD36)</f>
        <v>#DIV/0!</v>
      </c>
      <c r="AF36" s="94" t="e">
        <f>AF35/AG35</f>
        <v>#DIV/0!</v>
      </c>
      <c r="AG36" s="94" t="e">
        <f>AG35/AH35</f>
        <v>#DIV/0!</v>
      </c>
      <c r="AH36" s="231" t="e">
        <f>AG35/AH35</f>
        <v>#DIV/0!</v>
      </c>
      <c r="AI36" s="92" t="s">
        <v>58</v>
      </c>
      <c r="AJ36" s="93" t="e">
        <f>AJ35/AM35</f>
        <v>#DIV/0!</v>
      </c>
      <c r="AK36" s="93" t="e">
        <f>AK35/AM35</f>
        <v>#DIV/0!</v>
      </c>
      <c r="AL36" s="93" t="e">
        <f>AL35/AM35</f>
        <v>#DIV/0!</v>
      </c>
      <c r="AM36" s="224" t="e">
        <f>SUM(AJ36:AL36)</f>
        <v>#DIV/0!</v>
      </c>
      <c r="AN36" s="94" t="e">
        <f>AN35/AP35</f>
        <v>#DIV/0!</v>
      </c>
      <c r="AO36" s="94" t="e">
        <f>AO35/AP35</f>
        <v>#DIV/0!</v>
      </c>
      <c r="AP36" s="230" t="e">
        <f>SUM(AN36:AO36)</f>
        <v>#DIV/0!</v>
      </c>
      <c r="AQ36" s="94" t="e">
        <f>AQ35/AR35</f>
        <v>#DIV/0!</v>
      </c>
      <c r="AR36" s="94" t="e">
        <f>AR35/AS35</f>
        <v>#DIV/0!</v>
      </c>
      <c r="AS36" s="231" t="e">
        <f>AR35/AS35</f>
        <v>#DIV/0!</v>
      </c>
      <c r="AT36" s="92" t="s">
        <v>58</v>
      </c>
      <c r="AU36" s="93" t="e">
        <f>AU35/AX35</f>
        <v>#DIV/0!</v>
      </c>
      <c r="AV36" s="93" t="e">
        <f>AV35/AX35</f>
        <v>#DIV/0!</v>
      </c>
      <c r="AW36" s="93" t="e">
        <f>AW35/AX35</f>
        <v>#DIV/0!</v>
      </c>
      <c r="AX36" s="224" t="e">
        <f>SUM(AU36:AW36)</f>
        <v>#DIV/0!</v>
      </c>
      <c r="AY36" s="94" t="e">
        <f>AY35/BA35</f>
        <v>#DIV/0!</v>
      </c>
      <c r="AZ36" s="94" t="e">
        <f>AZ35/BA35</f>
        <v>#DIV/0!</v>
      </c>
      <c r="BA36" s="230" t="e">
        <f>SUM(AY36:AZ36)</f>
        <v>#DIV/0!</v>
      </c>
      <c r="BB36" s="94" t="e">
        <f>BB35/BC35</f>
        <v>#DIV/0!</v>
      </c>
      <c r="BC36" s="94" t="e">
        <f>BC35/BD35</f>
        <v>#DIV/0!</v>
      </c>
      <c r="BD36" s="231" t="e">
        <f>BC35/BD35</f>
        <v>#DIV/0!</v>
      </c>
      <c r="BE36" s="92" t="s">
        <v>58</v>
      </c>
      <c r="BF36" s="93" t="e">
        <f>BF35/BI35</f>
        <v>#DIV/0!</v>
      </c>
      <c r="BG36" s="93" t="e">
        <f>BG35/BI35</f>
        <v>#DIV/0!</v>
      </c>
      <c r="BH36" s="93" t="e">
        <f>BH35/BI35</f>
        <v>#DIV/0!</v>
      </c>
      <c r="BI36" s="224" t="e">
        <f>SUM(BF36:BH36)</f>
        <v>#DIV/0!</v>
      </c>
      <c r="BJ36" s="94" t="e">
        <f>BJ35/BL35</f>
        <v>#DIV/0!</v>
      </c>
      <c r="BK36" s="94" t="e">
        <f>BK35/BL35</f>
        <v>#DIV/0!</v>
      </c>
      <c r="BL36" s="230" t="e">
        <f>SUM(BJ36:BK36)</f>
        <v>#DIV/0!</v>
      </c>
      <c r="BM36" s="94" t="e">
        <f>BM35/BN35</f>
        <v>#DIV/0!</v>
      </c>
      <c r="BN36" s="94" t="e">
        <f>BN35/BO35</f>
        <v>#DIV/0!</v>
      </c>
      <c r="BO36" s="231" t="e">
        <f>BN35/BO35</f>
        <v>#DIV/0!</v>
      </c>
      <c r="BP36" s="92" t="s">
        <v>58</v>
      </c>
      <c r="BQ36" s="93" t="e">
        <f>BQ35/BT35</f>
        <v>#DIV/0!</v>
      </c>
      <c r="BR36" s="93" t="e">
        <f>BR35/BT35</f>
        <v>#DIV/0!</v>
      </c>
      <c r="BS36" s="93" t="e">
        <f>BS35/BT35</f>
        <v>#DIV/0!</v>
      </c>
      <c r="BT36" s="224" t="e">
        <f>SUM(BQ36:BS36)</f>
        <v>#DIV/0!</v>
      </c>
      <c r="BU36" s="94" t="e">
        <f>BU35/BW35</f>
        <v>#DIV/0!</v>
      </c>
      <c r="BV36" s="94" t="e">
        <f>BV35/BW35</f>
        <v>#DIV/0!</v>
      </c>
      <c r="BW36" s="230" t="e">
        <f>SUM(BU36:BV36)</f>
        <v>#DIV/0!</v>
      </c>
      <c r="BX36" s="94" t="e">
        <f>BX35/BY35</f>
        <v>#DIV/0!</v>
      </c>
      <c r="BY36" s="94" t="e">
        <f>BY35/BZ35</f>
        <v>#DIV/0!</v>
      </c>
      <c r="BZ36" s="231" t="e">
        <f>BY35/BZ35</f>
        <v>#DIV/0!</v>
      </c>
      <c r="CA36" s="92" t="s">
        <v>58</v>
      </c>
      <c r="CB36" s="93" t="e">
        <f>CB35/CE35</f>
        <v>#DIV/0!</v>
      </c>
      <c r="CC36" s="93" t="e">
        <f>CC35/CE35</f>
        <v>#DIV/0!</v>
      </c>
      <c r="CD36" s="93" t="e">
        <f>CD35/CE35</f>
        <v>#DIV/0!</v>
      </c>
      <c r="CE36" s="224" t="e">
        <f>SUM(CB36:CD36)</f>
        <v>#DIV/0!</v>
      </c>
      <c r="CF36" s="94" t="e">
        <f>CF35/CH35</f>
        <v>#DIV/0!</v>
      </c>
      <c r="CG36" s="94" t="e">
        <f>CG35/CH35</f>
        <v>#DIV/0!</v>
      </c>
      <c r="CH36" s="230" t="e">
        <f>SUM(CF36:CG36)</f>
        <v>#DIV/0!</v>
      </c>
      <c r="CI36" s="94" t="e">
        <f>CI35/CJ35</f>
        <v>#DIV/0!</v>
      </c>
      <c r="CJ36" s="94" t="e">
        <f>CJ35/CK35</f>
        <v>#DIV/0!</v>
      </c>
      <c r="CK36" s="231" t="e">
        <f>CJ35/CK35</f>
        <v>#DIV/0!</v>
      </c>
      <c r="CL36" s="92" t="s">
        <v>58</v>
      </c>
      <c r="CM36" s="93">
        <f>CM35/CP35</f>
        <v>1</v>
      </c>
      <c r="CN36" s="93">
        <f>CN35/CP35</f>
        <v>0</v>
      </c>
      <c r="CO36" s="93">
        <f>CO35/CP35</f>
        <v>0</v>
      </c>
      <c r="CP36" s="224">
        <f>SUM(CM36:CO36)</f>
        <v>1</v>
      </c>
      <c r="CQ36" s="94">
        <f>CQ35/CS35</f>
        <v>1</v>
      </c>
      <c r="CR36" s="94">
        <f>CR35/CS35</f>
        <v>0</v>
      </c>
      <c r="CS36" s="230">
        <f>SUM(CQ36:CR36)</f>
        <v>1</v>
      </c>
      <c r="CT36" s="94" t="e">
        <f>CT35/CU35</f>
        <v>#DIV/0!</v>
      </c>
      <c r="CU36" s="94">
        <f>CU35/CV35</f>
        <v>0</v>
      </c>
      <c r="CV36" s="231">
        <f>CU35/CV35</f>
        <v>0</v>
      </c>
      <c r="CW36" s="92" t="s">
        <v>58</v>
      </c>
      <c r="CX36" s="93" t="e">
        <f>CX35/DA35</f>
        <v>#DIV/0!</v>
      </c>
      <c r="CY36" s="93" t="e">
        <f>CY35/DA35</f>
        <v>#DIV/0!</v>
      </c>
      <c r="CZ36" s="93" t="e">
        <f>CZ35/DA35</f>
        <v>#DIV/0!</v>
      </c>
      <c r="DA36" s="224" t="e">
        <f>SUM(CX36:CZ36)</f>
        <v>#DIV/0!</v>
      </c>
      <c r="DB36" s="94" t="e">
        <f>DB35/DD35</f>
        <v>#DIV/0!</v>
      </c>
      <c r="DC36" s="94" t="e">
        <f>DC35/DD35</f>
        <v>#DIV/0!</v>
      </c>
      <c r="DD36" s="230" t="e">
        <f>SUM(DB36:DC36)</f>
        <v>#DIV/0!</v>
      </c>
      <c r="DE36" s="94" t="e">
        <f>DE35/DF35</f>
        <v>#DIV/0!</v>
      </c>
      <c r="DF36" s="94" t="e">
        <f>DF35/DG35</f>
        <v>#DIV/0!</v>
      </c>
      <c r="DG36" s="231" t="e">
        <f>DF35/DG35</f>
        <v>#DIV/0!</v>
      </c>
      <c r="DH36" s="92" t="s">
        <v>58</v>
      </c>
      <c r="DI36" s="93" t="e">
        <f>DI35/DL35</f>
        <v>#DIV/0!</v>
      </c>
      <c r="DJ36" s="93" t="e">
        <f>DJ35/DL35</f>
        <v>#DIV/0!</v>
      </c>
      <c r="DK36" s="93" t="e">
        <f>DK35/DL35</f>
        <v>#DIV/0!</v>
      </c>
      <c r="DL36" s="224" t="e">
        <f>SUM(DI36:DK36)</f>
        <v>#DIV/0!</v>
      </c>
      <c r="DM36" s="94" t="e">
        <f>DM35/DO35</f>
        <v>#DIV/0!</v>
      </c>
      <c r="DN36" s="94" t="e">
        <f>DN35/DO35</f>
        <v>#DIV/0!</v>
      </c>
      <c r="DO36" s="230" t="e">
        <f>SUM(DM36:DN36)</f>
        <v>#DIV/0!</v>
      </c>
      <c r="DP36" s="94" t="e">
        <f>DP35/DQ35</f>
        <v>#DIV/0!</v>
      </c>
      <c r="DQ36" s="94" t="e">
        <f>DQ35/DR35</f>
        <v>#DIV/0!</v>
      </c>
      <c r="DR36" s="231" t="e">
        <f>DQ35/DR35</f>
        <v>#DIV/0!</v>
      </c>
      <c r="DS36" s="92" t="s">
        <v>58</v>
      </c>
      <c r="DT36" s="93" t="e">
        <f>DT35/DW35</f>
        <v>#DIV/0!</v>
      </c>
      <c r="DU36" s="93" t="e">
        <f>DU35/DW35</f>
        <v>#DIV/0!</v>
      </c>
      <c r="DV36" s="93" t="e">
        <f>DV35/DW35</f>
        <v>#DIV/0!</v>
      </c>
      <c r="DW36" s="224" t="e">
        <f>SUM(DT36:DV36)</f>
        <v>#DIV/0!</v>
      </c>
      <c r="DX36" s="94" t="e">
        <f>DX35/DZ35</f>
        <v>#DIV/0!</v>
      </c>
      <c r="DY36" s="94" t="e">
        <f>DY35/DZ35</f>
        <v>#DIV/0!</v>
      </c>
      <c r="DZ36" s="230" t="e">
        <f>SUM(DX36:DY36)</f>
        <v>#DIV/0!</v>
      </c>
      <c r="EA36" s="94" t="e">
        <f>EA35/EB35</f>
        <v>#DIV/0!</v>
      </c>
      <c r="EB36" s="94" t="e">
        <f>EB35/EC35</f>
        <v>#DIV/0!</v>
      </c>
      <c r="EC36" s="231" t="e">
        <f>EB35/EC35</f>
        <v>#DIV/0!</v>
      </c>
    </row>
    <row r="37" spans="2:133" ht="17.25" customHeight="1" thickTop="1" thickBot="1" x14ac:dyDescent="0.35">
      <c r="B37" s="95"/>
      <c r="C37" s="96"/>
      <c r="D37" s="600" t="s">
        <v>59</v>
      </c>
      <c r="E37" s="601"/>
      <c r="F37" s="225">
        <f>SUM(F4:F34)</f>
        <v>0</v>
      </c>
      <c r="G37" s="96"/>
      <c r="H37" s="96"/>
      <c r="I37" s="225">
        <f>SUM(I4:I34)</f>
        <v>0</v>
      </c>
      <c r="J37" s="96"/>
      <c r="K37" s="96"/>
      <c r="L37" s="225">
        <f>SUM(L4:L34)</f>
        <v>0</v>
      </c>
      <c r="M37" s="95"/>
      <c r="N37" s="96"/>
      <c r="O37" s="600" t="s">
        <v>59</v>
      </c>
      <c r="P37" s="601"/>
      <c r="Q37" s="225">
        <f>SUM(Q4:Q34)</f>
        <v>0</v>
      </c>
      <c r="R37" s="96"/>
      <c r="S37" s="96"/>
      <c r="T37" s="225">
        <f>SUM(T4:T34)</f>
        <v>0</v>
      </c>
      <c r="U37" s="96"/>
      <c r="V37" s="96"/>
      <c r="W37" s="225">
        <f>SUM(W4:W34)</f>
        <v>0</v>
      </c>
      <c r="X37" s="95"/>
      <c r="Y37" s="96"/>
      <c r="Z37" s="600" t="s">
        <v>59</v>
      </c>
      <c r="AA37" s="601"/>
      <c r="AB37" s="225">
        <f>SUM(AB4:AB34)</f>
        <v>0</v>
      </c>
      <c r="AC37" s="96"/>
      <c r="AD37" s="96"/>
      <c r="AE37" s="225">
        <f>SUM(AE4:AE34)</f>
        <v>0</v>
      </c>
      <c r="AF37" s="96"/>
      <c r="AG37" s="96"/>
      <c r="AH37" s="225">
        <f>SUM(AH4:AH34)</f>
        <v>0</v>
      </c>
      <c r="AI37" s="95"/>
      <c r="AJ37" s="96"/>
      <c r="AK37" s="600" t="s">
        <v>59</v>
      </c>
      <c r="AL37" s="601"/>
      <c r="AM37" s="225">
        <f>SUM(AM4:AM34)</f>
        <v>0</v>
      </c>
      <c r="AN37" s="96"/>
      <c r="AO37" s="96"/>
      <c r="AP37" s="225">
        <f>SUM(AP4:AP34)</f>
        <v>0</v>
      </c>
      <c r="AQ37" s="96"/>
      <c r="AR37" s="96"/>
      <c r="AS37" s="225">
        <f>SUM(AS4:AS34)</f>
        <v>0</v>
      </c>
      <c r="AT37" s="95"/>
      <c r="AU37" s="96"/>
      <c r="AV37" s="600" t="s">
        <v>59</v>
      </c>
      <c r="AW37" s="601"/>
      <c r="AX37" s="225">
        <f>SUM(AX4:AX34)</f>
        <v>0</v>
      </c>
      <c r="AY37" s="96"/>
      <c r="AZ37" s="96"/>
      <c r="BA37" s="225">
        <f>SUM(BA4:BA34)</f>
        <v>0</v>
      </c>
      <c r="BB37" s="96"/>
      <c r="BC37" s="96"/>
      <c r="BD37" s="225">
        <f>SUM(BD4:BD34)</f>
        <v>0</v>
      </c>
      <c r="BE37" s="95"/>
      <c r="BF37" s="96"/>
      <c r="BG37" s="600" t="s">
        <v>59</v>
      </c>
      <c r="BH37" s="601"/>
      <c r="BI37" s="225">
        <f>SUM(BI4:BI34)</f>
        <v>0</v>
      </c>
      <c r="BJ37" s="96"/>
      <c r="BK37" s="96"/>
      <c r="BL37" s="225">
        <f>SUM(BL4:BL34)</f>
        <v>0</v>
      </c>
      <c r="BM37" s="96"/>
      <c r="BN37" s="96"/>
      <c r="BO37" s="225">
        <f>SUM(BO4:BO34)</f>
        <v>0</v>
      </c>
      <c r="BP37" s="95"/>
      <c r="BQ37" s="96"/>
      <c r="BR37" s="600" t="s">
        <v>59</v>
      </c>
      <c r="BS37" s="601"/>
      <c r="BT37" s="225">
        <f>SUM(BT4:BT34)</f>
        <v>0</v>
      </c>
      <c r="BU37" s="96"/>
      <c r="BV37" s="96"/>
      <c r="BW37" s="225">
        <f>SUM(BW4:BW34)</f>
        <v>0</v>
      </c>
      <c r="BX37" s="96"/>
      <c r="BY37" s="96"/>
      <c r="BZ37" s="225">
        <f>SUM(BZ4:BZ34)</f>
        <v>0</v>
      </c>
      <c r="CA37" s="95"/>
      <c r="CB37" s="96"/>
      <c r="CC37" s="600" t="s">
        <v>59</v>
      </c>
      <c r="CD37" s="601"/>
      <c r="CE37" s="225">
        <f>SUM(CE4:CE34)</f>
        <v>0</v>
      </c>
      <c r="CF37" s="96"/>
      <c r="CG37" s="96"/>
      <c r="CH37" s="225">
        <f>SUM(CH4:CH34)</f>
        <v>0</v>
      </c>
      <c r="CI37" s="96"/>
      <c r="CJ37" s="96"/>
      <c r="CK37" s="225">
        <f>SUM(CK4:CK34)</f>
        <v>0</v>
      </c>
      <c r="CL37" s="95"/>
      <c r="CM37" s="96"/>
      <c r="CN37" s="600" t="s">
        <v>59</v>
      </c>
      <c r="CO37" s="601"/>
      <c r="CP37" s="225">
        <f>SUM(CP4:CP34)</f>
        <v>5000</v>
      </c>
      <c r="CQ37" s="96"/>
      <c r="CR37" s="96"/>
      <c r="CS37" s="225">
        <f>SUM(CS4:CS34)</f>
        <v>25000</v>
      </c>
      <c r="CT37" s="96"/>
      <c r="CU37" s="96"/>
      <c r="CV37" s="225">
        <f>SUM(CV4:CV34)</f>
        <v>300</v>
      </c>
      <c r="CW37" s="95"/>
      <c r="CX37" s="96"/>
      <c r="CY37" s="600" t="s">
        <v>59</v>
      </c>
      <c r="CZ37" s="601"/>
      <c r="DA37" s="225">
        <f>SUM(DA4:DA34)</f>
        <v>0</v>
      </c>
      <c r="DB37" s="96"/>
      <c r="DC37" s="96"/>
      <c r="DD37" s="225">
        <f>SUM(DD4:DD34)</f>
        <v>0</v>
      </c>
      <c r="DE37" s="96"/>
      <c r="DF37" s="96"/>
      <c r="DG37" s="225">
        <f>SUM(DG4:DG34)</f>
        <v>0</v>
      </c>
      <c r="DH37" s="95"/>
      <c r="DI37" s="96"/>
      <c r="DJ37" s="600" t="s">
        <v>59</v>
      </c>
      <c r="DK37" s="601"/>
      <c r="DL37" s="225">
        <f>SUM(DL4:DL34)</f>
        <v>0</v>
      </c>
      <c r="DM37" s="96"/>
      <c r="DN37" s="96"/>
      <c r="DO37" s="225">
        <f>SUM(DO4:DO34)</f>
        <v>0</v>
      </c>
      <c r="DP37" s="96"/>
      <c r="DQ37" s="96"/>
      <c r="DR37" s="225">
        <f>SUM(DR4:DR34)</f>
        <v>0</v>
      </c>
      <c r="DS37" s="95"/>
      <c r="DT37" s="96"/>
      <c r="DU37" s="600" t="s">
        <v>59</v>
      </c>
      <c r="DV37" s="601"/>
      <c r="DW37" s="225">
        <f>SUM(DW4:DW34)</f>
        <v>0</v>
      </c>
      <c r="DX37" s="96"/>
      <c r="DY37" s="96"/>
      <c r="DZ37" s="225">
        <f>SUM(DZ4:DZ34)</f>
        <v>0</v>
      </c>
      <c r="EA37" s="96"/>
      <c r="EB37" s="96"/>
      <c r="EC37" s="225">
        <f>SUM(EC4:EC34)</f>
        <v>0</v>
      </c>
    </row>
    <row r="38" spans="2:133" ht="17.25" customHeight="1" thickTop="1" x14ac:dyDescent="0.3">
      <c r="B38" s="37"/>
      <c r="C38" s="37"/>
      <c r="D38" s="37"/>
      <c r="E38" s="37"/>
      <c r="F38" s="37"/>
      <c r="G38" s="37"/>
      <c r="H38" s="37"/>
      <c r="I38" s="37"/>
      <c r="J38" s="37"/>
      <c r="K38" s="37"/>
      <c r="L38" s="37"/>
    </row>
    <row r="39" spans="2:133" ht="17.25" customHeight="1" x14ac:dyDescent="0.3">
      <c r="B39" s="37"/>
      <c r="C39" s="37"/>
      <c r="D39" s="37"/>
      <c r="E39" s="37"/>
      <c r="F39" s="37"/>
      <c r="G39" s="37"/>
      <c r="H39" s="37"/>
      <c r="I39" s="37"/>
      <c r="J39" s="37"/>
      <c r="K39" s="37"/>
      <c r="L39" s="37"/>
    </row>
    <row r="40" spans="2:133" ht="17.25" customHeight="1" x14ac:dyDescent="0.3">
      <c r="B40" s="37"/>
      <c r="C40" s="37"/>
      <c r="D40" s="37"/>
      <c r="E40" s="37"/>
      <c r="F40" s="37"/>
      <c r="G40" s="37"/>
      <c r="H40" s="37"/>
      <c r="I40" s="37"/>
      <c r="J40" s="37"/>
      <c r="K40" s="37"/>
      <c r="L40" s="37"/>
    </row>
  </sheetData>
  <mergeCells count="44">
    <mergeCell ref="D2:E2"/>
    <mergeCell ref="O2:P2"/>
    <mergeCell ref="O37:P37"/>
    <mergeCell ref="R2:S2"/>
    <mergeCell ref="K2:L2"/>
    <mergeCell ref="D37:E37"/>
    <mergeCell ref="Z37:AA37"/>
    <mergeCell ref="Z2:AA2"/>
    <mergeCell ref="AC2:AD2"/>
    <mergeCell ref="AF2:AH2"/>
    <mergeCell ref="U2:W2"/>
    <mergeCell ref="BJ2:BK2"/>
    <mergeCell ref="BM2:BO2"/>
    <mergeCell ref="AK37:AL37"/>
    <mergeCell ref="AV37:AW37"/>
    <mergeCell ref="BG37:BH37"/>
    <mergeCell ref="AK2:AL2"/>
    <mergeCell ref="AR2:AS2"/>
    <mergeCell ref="AV2:AW2"/>
    <mergeCell ref="AY2:AZ2"/>
    <mergeCell ref="BB2:BD2"/>
    <mergeCell ref="BG2:BH2"/>
    <mergeCell ref="DF2:DG2"/>
    <mergeCell ref="BR2:BS2"/>
    <mergeCell ref="BY2:BZ2"/>
    <mergeCell ref="CC2:CD2"/>
    <mergeCell ref="CF2:CG2"/>
    <mergeCell ref="CI2:CK2"/>
    <mergeCell ref="EA2:EC2"/>
    <mergeCell ref="BR37:BS37"/>
    <mergeCell ref="CC37:CD37"/>
    <mergeCell ref="CN37:CO37"/>
    <mergeCell ref="CY37:CZ37"/>
    <mergeCell ref="DJ37:DK37"/>
    <mergeCell ref="DU37:DV37"/>
    <mergeCell ref="DJ2:DK2"/>
    <mergeCell ref="DM2:DN2"/>
    <mergeCell ref="DP2:DR2"/>
    <mergeCell ref="DU2:DV2"/>
    <mergeCell ref="DX2:DY2"/>
    <mergeCell ref="CN2:CO2"/>
    <mergeCell ref="CQ2:CR2"/>
    <mergeCell ref="CT2:CV2"/>
    <mergeCell ref="CY2:CZ2"/>
  </mergeCells>
  <hyperlinks>
    <hyperlink ref="A1" location="Menu!A1" display="Menu" xr:uid="{00000000-0004-0000-1F00-000000000000}"/>
  </hyperlink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Plan29"/>
  <dimension ref="A1:P22"/>
  <sheetViews>
    <sheetView zoomScaleNormal="100" workbookViewId="0"/>
  </sheetViews>
  <sheetFormatPr defaultColWidth="9.109375" defaultRowHeight="14.4" x14ac:dyDescent="0.3"/>
  <cols>
    <col min="1" max="1" width="10.6640625" style="70" customWidth="1"/>
    <col min="2" max="2" width="11.33203125" style="70" customWidth="1"/>
    <col min="3" max="4" width="10.44140625" style="70" customWidth="1"/>
    <col min="5" max="16" width="12.33203125" style="70" customWidth="1"/>
    <col min="17" max="16384" width="9.109375" style="70"/>
  </cols>
  <sheetData>
    <row r="1" spans="1:16" ht="30.6" thickBot="1" x14ac:dyDescent="0.35">
      <c r="A1" s="185" t="s">
        <v>96</v>
      </c>
      <c r="B1" s="73"/>
      <c r="C1" s="73"/>
      <c r="D1" s="73"/>
      <c r="E1" s="73"/>
      <c r="F1" s="73"/>
      <c r="G1" s="73"/>
      <c r="H1" s="73"/>
      <c r="I1" s="73"/>
      <c r="J1" s="73"/>
      <c r="K1" s="73"/>
      <c r="L1" s="73"/>
      <c r="M1" s="37"/>
      <c r="N1" s="37"/>
      <c r="O1" s="37"/>
      <c r="P1" s="37"/>
    </row>
    <row r="2" spans="1:16" ht="15" thickBot="1" x14ac:dyDescent="0.35">
      <c r="A2" s="37"/>
      <c r="B2" s="37"/>
      <c r="C2" s="37"/>
      <c r="D2" s="37"/>
      <c r="E2" s="37"/>
      <c r="F2" s="37"/>
      <c r="G2" s="37"/>
      <c r="H2" s="37"/>
      <c r="I2" s="37"/>
      <c r="J2" s="37"/>
      <c r="K2" s="37"/>
      <c r="L2" s="37"/>
      <c r="M2" s="37"/>
      <c r="N2" s="37"/>
      <c r="O2" s="37"/>
      <c r="P2" s="37"/>
    </row>
    <row r="3" spans="1:16" ht="17.399999999999999" x14ac:dyDescent="0.3">
      <c r="A3" s="612" t="s">
        <v>57</v>
      </c>
      <c r="B3" s="613"/>
      <c r="C3" s="613"/>
      <c r="D3" s="613"/>
      <c r="E3" s="74" t="s">
        <v>61</v>
      </c>
      <c r="F3" s="74" t="s">
        <v>62</v>
      </c>
      <c r="G3" s="74" t="s">
        <v>63</v>
      </c>
      <c r="H3" s="74" t="s">
        <v>64</v>
      </c>
      <c r="I3" s="74" t="s">
        <v>65</v>
      </c>
      <c r="J3" s="74" t="s">
        <v>66</v>
      </c>
      <c r="K3" s="74" t="s">
        <v>67</v>
      </c>
      <c r="L3" s="74" t="s">
        <v>68</v>
      </c>
      <c r="M3" s="74" t="s">
        <v>69</v>
      </c>
      <c r="N3" s="74" t="s">
        <v>70</v>
      </c>
      <c r="O3" s="74" t="s">
        <v>71</v>
      </c>
      <c r="P3" s="75" t="s">
        <v>72</v>
      </c>
    </row>
    <row r="4" spans="1:16" ht="16.5" customHeight="1" x14ac:dyDescent="0.3">
      <c r="A4" s="607" t="s">
        <v>73</v>
      </c>
      <c r="B4" s="608"/>
      <c r="C4" s="608"/>
      <c r="D4" s="608"/>
      <c r="E4" s="69">
        <f>'Custos Variáveis'!F37</f>
        <v>0</v>
      </c>
      <c r="F4" s="69">
        <f>'Custos Variáveis'!Q37</f>
        <v>0</v>
      </c>
      <c r="G4" s="69">
        <f>'Custos Variáveis'!AB35</f>
        <v>0</v>
      </c>
      <c r="H4" s="69">
        <f>'Custos Variáveis'!AM35</f>
        <v>0</v>
      </c>
      <c r="I4" s="69">
        <f>'Custos Variáveis'!AX35</f>
        <v>0</v>
      </c>
      <c r="J4" s="69">
        <f>'Custos Variáveis'!BI35</f>
        <v>0</v>
      </c>
      <c r="K4" s="69">
        <f>'Custos Variáveis'!BT35</f>
        <v>0</v>
      </c>
      <c r="L4" s="69">
        <f>'Custos Variáveis'!CE35</f>
        <v>0</v>
      </c>
      <c r="M4" s="69">
        <f>'Custos Variáveis'!CP35</f>
        <v>5000</v>
      </c>
      <c r="N4" s="69">
        <f>'Custos Variáveis'!DA35</f>
        <v>0</v>
      </c>
      <c r="O4" s="69">
        <f>'Custos Variáveis'!DL37</f>
        <v>0</v>
      </c>
      <c r="P4" s="76">
        <f>'Custos Variáveis'!DW37</f>
        <v>0</v>
      </c>
    </row>
    <row r="5" spans="1:16" ht="16.5" customHeight="1" x14ac:dyDescent="0.3">
      <c r="A5" s="607" t="s">
        <v>54</v>
      </c>
      <c r="B5" s="608"/>
      <c r="C5" s="608"/>
      <c r="D5" s="608"/>
      <c r="E5" s="69">
        <f>'Custos Variáveis'!I37</f>
        <v>0</v>
      </c>
      <c r="F5" s="69">
        <f>'Custos Variáveis'!T37</f>
        <v>0</v>
      </c>
      <c r="G5" s="69">
        <f>'Custos Variáveis'!AE35</f>
        <v>0</v>
      </c>
      <c r="H5" s="69">
        <f>'Custos Variáveis'!AP35</f>
        <v>0</v>
      </c>
      <c r="I5" s="69">
        <f>'Custos Variáveis'!BA35</f>
        <v>0</v>
      </c>
      <c r="J5" s="69">
        <f>'Custos Variáveis'!BL35</f>
        <v>0</v>
      </c>
      <c r="K5" s="69">
        <f>'Custos Variáveis'!BW35</f>
        <v>0</v>
      </c>
      <c r="L5" s="69">
        <f>'Custos Variáveis'!CH35</f>
        <v>0</v>
      </c>
      <c r="M5" s="69">
        <f>'Custos Variáveis'!CS35</f>
        <v>25000</v>
      </c>
      <c r="N5" s="69">
        <f>'Custos Variáveis'!DD35</f>
        <v>0</v>
      </c>
      <c r="O5" s="69">
        <f>'Custos Variáveis'!DO37</f>
        <v>0</v>
      </c>
      <c r="P5" s="76">
        <f>'Custos Variáveis'!DZ37</f>
        <v>0</v>
      </c>
    </row>
    <row r="6" spans="1:16" ht="16.5" customHeight="1" x14ac:dyDescent="0.3">
      <c r="A6" s="607" t="s">
        <v>100</v>
      </c>
      <c r="B6" s="608"/>
      <c r="C6" s="608"/>
      <c r="D6" s="608"/>
      <c r="E6" s="69">
        <f>'Custos Variáveis'!L37</f>
        <v>0</v>
      </c>
      <c r="F6" s="69">
        <f>'Custos Variáveis'!W37</f>
        <v>0</v>
      </c>
      <c r="G6" s="69">
        <f>'Custos Variáveis'!AH35</f>
        <v>0</v>
      </c>
      <c r="H6" s="69">
        <f>'Custos Variáveis'!AS35</f>
        <v>0</v>
      </c>
      <c r="I6" s="69">
        <f>'Custos Variáveis'!BD35</f>
        <v>0</v>
      </c>
      <c r="J6" s="69">
        <f>'Custos Variáveis'!BO35</f>
        <v>0</v>
      </c>
      <c r="K6" s="69">
        <f>'Custos Variáveis'!BZ35</f>
        <v>0</v>
      </c>
      <c r="L6" s="69">
        <f>'Custos Variáveis'!CK35</f>
        <v>0</v>
      </c>
      <c r="M6" s="69">
        <f>'Custos Variáveis'!CV35</f>
        <v>300</v>
      </c>
      <c r="N6" s="69">
        <f>'Custos Variáveis'!DG35</f>
        <v>0</v>
      </c>
      <c r="O6" s="69">
        <f>'Custos Variáveis'!DR37</f>
        <v>0</v>
      </c>
      <c r="P6" s="76">
        <f>'Custos Variáveis'!EC37</f>
        <v>0</v>
      </c>
    </row>
    <row r="7" spans="1:16" ht="16.5" customHeight="1" x14ac:dyDescent="0.3">
      <c r="A7" s="607"/>
      <c r="B7" s="608"/>
      <c r="C7" s="608"/>
      <c r="D7" s="608"/>
      <c r="E7" s="69"/>
      <c r="F7" s="69"/>
      <c r="G7" s="69"/>
      <c r="H7" s="69"/>
      <c r="I7" s="69"/>
      <c r="J7" s="69"/>
      <c r="K7" s="69"/>
      <c r="L7" s="69"/>
      <c r="M7" s="69"/>
      <c r="N7" s="69"/>
      <c r="O7" s="69"/>
      <c r="P7" s="76"/>
    </row>
    <row r="8" spans="1:16" ht="15.6" x14ac:dyDescent="0.3">
      <c r="A8" s="607"/>
      <c r="B8" s="608"/>
      <c r="C8" s="608"/>
      <c r="D8" s="608"/>
      <c r="E8" s="69"/>
      <c r="F8" s="69"/>
      <c r="G8" s="69"/>
      <c r="H8" s="69"/>
      <c r="I8" s="69"/>
      <c r="J8" s="69"/>
      <c r="K8" s="69"/>
      <c r="L8" s="69"/>
      <c r="M8" s="69"/>
      <c r="N8" s="69"/>
      <c r="O8" s="69"/>
      <c r="P8" s="76"/>
    </row>
    <row r="9" spans="1:16" ht="15.6" x14ac:dyDescent="0.3">
      <c r="A9" s="607"/>
      <c r="B9" s="608"/>
      <c r="C9" s="608"/>
      <c r="D9" s="608"/>
      <c r="E9" s="69"/>
      <c r="F9" s="69"/>
      <c r="G9" s="69"/>
      <c r="H9" s="69"/>
      <c r="I9" s="69"/>
      <c r="J9" s="69"/>
      <c r="K9" s="69"/>
      <c r="L9" s="69"/>
      <c r="M9" s="69"/>
      <c r="N9" s="69"/>
      <c r="O9" s="69"/>
      <c r="P9" s="76"/>
    </row>
    <row r="10" spans="1:16" ht="15.6" x14ac:dyDescent="0.3">
      <c r="A10" s="607"/>
      <c r="B10" s="608"/>
      <c r="C10" s="608"/>
      <c r="D10" s="608"/>
      <c r="E10" s="69"/>
      <c r="F10" s="69"/>
      <c r="G10" s="69"/>
      <c r="H10" s="69"/>
      <c r="I10" s="69"/>
      <c r="J10" s="69"/>
      <c r="K10" s="69"/>
      <c r="L10" s="69"/>
      <c r="M10" s="69"/>
      <c r="N10" s="69"/>
      <c r="O10" s="69"/>
      <c r="P10" s="76"/>
    </row>
    <row r="11" spans="1:16" ht="15.6" x14ac:dyDescent="0.3">
      <c r="A11" s="607"/>
      <c r="B11" s="608"/>
      <c r="C11" s="608"/>
      <c r="D11" s="608"/>
      <c r="E11" s="69"/>
      <c r="F11" s="69"/>
      <c r="G11" s="69"/>
      <c r="H11" s="69"/>
      <c r="I11" s="69"/>
      <c r="J11" s="69"/>
      <c r="K11" s="69"/>
      <c r="L11" s="69"/>
      <c r="M11" s="69"/>
      <c r="N11" s="69"/>
      <c r="O11" s="69"/>
      <c r="P11" s="76"/>
    </row>
    <row r="12" spans="1:16" ht="15.6" x14ac:dyDescent="0.3">
      <c r="A12" s="609"/>
      <c r="B12" s="610"/>
      <c r="C12" s="610"/>
      <c r="D12" s="611"/>
      <c r="E12" s="69"/>
      <c r="F12" s="69"/>
      <c r="G12" s="69"/>
      <c r="H12" s="69"/>
      <c r="I12" s="69"/>
      <c r="J12" s="69"/>
      <c r="K12" s="69"/>
      <c r="L12" s="69"/>
      <c r="M12" s="69"/>
      <c r="N12" s="69"/>
      <c r="O12" s="69"/>
      <c r="P12" s="76"/>
    </row>
    <row r="13" spans="1:16" ht="15.6" x14ac:dyDescent="0.3">
      <c r="A13" s="607"/>
      <c r="B13" s="608"/>
      <c r="C13" s="608"/>
      <c r="D13" s="608"/>
      <c r="E13" s="69"/>
      <c r="F13" s="69"/>
      <c r="G13" s="69"/>
      <c r="H13" s="69"/>
      <c r="I13" s="69"/>
      <c r="J13" s="69"/>
      <c r="K13" s="69"/>
      <c r="L13" s="69"/>
      <c r="M13" s="69"/>
      <c r="N13" s="69"/>
      <c r="O13" s="69"/>
      <c r="P13" s="76"/>
    </row>
    <row r="14" spans="1:16" ht="15.6" x14ac:dyDescent="0.3">
      <c r="A14" s="607"/>
      <c r="B14" s="608"/>
      <c r="C14" s="608"/>
      <c r="D14" s="608"/>
      <c r="E14" s="69"/>
      <c r="F14" s="69"/>
      <c r="G14" s="69"/>
      <c r="H14" s="69"/>
      <c r="I14" s="69"/>
      <c r="J14" s="69"/>
      <c r="K14" s="69"/>
      <c r="L14" s="69"/>
      <c r="M14" s="69"/>
      <c r="N14" s="69"/>
      <c r="O14" s="69"/>
      <c r="P14" s="76"/>
    </row>
    <row r="15" spans="1:16" ht="15.6" x14ac:dyDescent="0.3">
      <c r="A15" s="607"/>
      <c r="B15" s="608"/>
      <c r="C15" s="608"/>
      <c r="D15" s="608"/>
      <c r="E15" s="69"/>
      <c r="F15" s="69"/>
      <c r="G15" s="69"/>
      <c r="H15" s="69"/>
      <c r="I15" s="69"/>
      <c r="J15" s="69"/>
      <c r="K15" s="69"/>
      <c r="L15" s="69"/>
      <c r="M15" s="69"/>
      <c r="N15" s="69"/>
      <c r="O15" s="69"/>
      <c r="P15" s="76"/>
    </row>
    <row r="16" spans="1:16" ht="15.6" x14ac:dyDescent="0.3">
      <c r="A16" s="607"/>
      <c r="B16" s="608"/>
      <c r="C16" s="608"/>
      <c r="D16" s="608"/>
      <c r="E16" s="69"/>
      <c r="F16" s="69"/>
      <c r="G16" s="69"/>
      <c r="H16" s="69"/>
      <c r="I16" s="69"/>
      <c r="J16" s="69"/>
      <c r="K16" s="69"/>
      <c r="L16" s="69"/>
      <c r="M16" s="69"/>
      <c r="N16" s="69"/>
      <c r="O16" s="69"/>
      <c r="P16" s="76"/>
    </row>
    <row r="17" spans="1:16" ht="15.6" x14ac:dyDescent="0.3">
      <c r="A17" s="607"/>
      <c r="B17" s="608"/>
      <c r="C17" s="608"/>
      <c r="D17" s="608"/>
      <c r="E17" s="69"/>
      <c r="F17" s="69"/>
      <c r="G17" s="69"/>
      <c r="H17" s="69"/>
      <c r="I17" s="69"/>
      <c r="J17" s="69"/>
      <c r="K17" s="69"/>
      <c r="L17" s="69"/>
      <c r="M17" s="69"/>
      <c r="N17" s="69"/>
      <c r="O17" s="69"/>
      <c r="P17" s="76"/>
    </row>
    <row r="18" spans="1:16" ht="15.6" x14ac:dyDescent="0.3">
      <c r="A18" s="609"/>
      <c r="B18" s="610"/>
      <c r="C18" s="610"/>
      <c r="D18" s="611"/>
      <c r="E18" s="69"/>
      <c r="F18" s="69"/>
      <c r="G18" s="69"/>
      <c r="H18" s="69"/>
      <c r="I18" s="69"/>
      <c r="J18" s="69"/>
      <c r="K18" s="69"/>
      <c r="L18" s="69"/>
      <c r="M18" s="69"/>
      <c r="N18" s="69"/>
      <c r="O18" s="69"/>
      <c r="P18" s="76"/>
    </row>
    <row r="19" spans="1:16" ht="15.6" x14ac:dyDescent="0.3">
      <c r="A19" s="607"/>
      <c r="B19" s="608"/>
      <c r="C19" s="608"/>
      <c r="D19" s="608"/>
      <c r="E19" s="69"/>
      <c r="F19" s="69"/>
      <c r="G19" s="69"/>
      <c r="H19" s="69"/>
      <c r="I19" s="69"/>
      <c r="J19" s="69"/>
      <c r="K19" s="69"/>
      <c r="L19" s="69"/>
      <c r="M19" s="69"/>
      <c r="N19" s="69"/>
      <c r="O19" s="69"/>
      <c r="P19" s="76"/>
    </row>
    <row r="20" spans="1:16" ht="16.2" thickBot="1" x14ac:dyDescent="0.35">
      <c r="A20" s="614" t="s">
        <v>74</v>
      </c>
      <c r="B20" s="615"/>
      <c r="C20" s="615"/>
      <c r="D20" s="615"/>
      <c r="E20" s="99">
        <f t="shared" ref="E20:P20" si="0">SUM(E4:E19)</f>
        <v>0</v>
      </c>
      <c r="F20" s="99">
        <f t="shared" si="0"/>
        <v>0</v>
      </c>
      <c r="G20" s="99">
        <f t="shared" si="0"/>
        <v>0</v>
      </c>
      <c r="H20" s="99">
        <f t="shared" si="0"/>
        <v>0</v>
      </c>
      <c r="I20" s="99">
        <f t="shared" si="0"/>
        <v>0</v>
      </c>
      <c r="J20" s="99">
        <f t="shared" si="0"/>
        <v>0</v>
      </c>
      <c r="K20" s="99">
        <f t="shared" si="0"/>
        <v>0</v>
      </c>
      <c r="L20" s="99">
        <f t="shared" si="0"/>
        <v>0</v>
      </c>
      <c r="M20" s="99">
        <f t="shared" si="0"/>
        <v>30300</v>
      </c>
      <c r="N20" s="99">
        <f t="shared" si="0"/>
        <v>0</v>
      </c>
      <c r="O20" s="99">
        <f t="shared" si="0"/>
        <v>0</v>
      </c>
      <c r="P20" s="100">
        <f t="shared" si="0"/>
        <v>0</v>
      </c>
    </row>
    <row r="21" spans="1:16" ht="15.75" customHeight="1" thickBot="1" x14ac:dyDescent="0.35">
      <c r="A21" s="616" t="s">
        <v>123</v>
      </c>
      <c r="B21" s="617"/>
      <c r="C21" s="617"/>
      <c r="D21" s="618"/>
      <c r="E21" s="101">
        <f t="shared" ref="E21:O21" si="1">E20/7</f>
        <v>0</v>
      </c>
      <c r="F21" s="101">
        <f t="shared" si="1"/>
        <v>0</v>
      </c>
      <c r="G21" s="101">
        <f t="shared" si="1"/>
        <v>0</v>
      </c>
      <c r="H21" s="101">
        <f t="shared" si="1"/>
        <v>0</v>
      </c>
      <c r="I21" s="101">
        <f t="shared" si="1"/>
        <v>0</v>
      </c>
      <c r="J21" s="101">
        <f t="shared" si="1"/>
        <v>0</v>
      </c>
      <c r="K21" s="101">
        <f t="shared" si="1"/>
        <v>0</v>
      </c>
      <c r="L21" s="101">
        <f t="shared" si="1"/>
        <v>0</v>
      </c>
      <c r="M21" s="101">
        <f t="shared" si="1"/>
        <v>4328.5714285714284</v>
      </c>
      <c r="N21" s="101">
        <f t="shared" si="1"/>
        <v>0</v>
      </c>
      <c r="O21" s="101">
        <f t="shared" si="1"/>
        <v>0</v>
      </c>
      <c r="P21" s="101">
        <f t="shared" ref="P21" si="2">P20/18</f>
        <v>0</v>
      </c>
    </row>
    <row r="22" spans="1:16" ht="15" thickBot="1" x14ac:dyDescent="0.35">
      <c r="A22" s="619"/>
      <c r="B22" s="620"/>
      <c r="C22" s="620"/>
      <c r="D22" s="621"/>
    </row>
  </sheetData>
  <protectedRanges>
    <protectedRange sqref="A4:D19" name="Intervalo1"/>
  </protectedRanges>
  <mergeCells count="19">
    <mergeCell ref="A19:D19"/>
    <mergeCell ref="A20:D20"/>
    <mergeCell ref="A18:D18"/>
    <mergeCell ref="A21:D22"/>
    <mergeCell ref="A14:D14"/>
    <mergeCell ref="A15:D15"/>
    <mergeCell ref="A16:D16"/>
    <mergeCell ref="A17:D17"/>
    <mergeCell ref="A3:D3"/>
    <mergeCell ref="A4:D4"/>
    <mergeCell ref="A5:D5"/>
    <mergeCell ref="A6:D6"/>
    <mergeCell ref="A7:D7"/>
    <mergeCell ref="A8:D8"/>
    <mergeCell ref="A9:D9"/>
    <mergeCell ref="A10:D10"/>
    <mergeCell ref="A11:D11"/>
    <mergeCell ref="A13:D13"/>
    <mergeCell ref="A12:D12"/>
  </mergeCells>
  <hyperlinks>
    <hyperlink ref="A1" location="Menu!A1" display="Menu" xr:uid="{00000000-0004-0000-1E00-000000000000}"/>
  </hyperlink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FD91"/>
  <sheetViews>
    <sheetView zoomScale="106" zoomScaleNormal="106" workbookViewId="0">
      <selection activeCell="E1" sqref="E1:E2"/>
    </sheetView>
  </sheetViews>
  <sheetFormatPr defaultColWidth="9.109375" defaultRowHeight="14.4" x14ac:dyDescent="0.3"/>
  <cols>
    <col min="1" max="1" width="11.109375" style="70" bestFit="1" customWidth="1"/>
    <col min="2" max="2" width="27.5546875" style="70" bestFit="1" customWidth="1"/>
    <col min="3" max="3" width="12.88671875" style="70" bestFit="1" customWidth="1"/>
    <col min="4" max="4" width="18.6640625" style="70" bestFit="1" customWidth="1"/>
    <col min="5" max="5" width="11.88671875" style="70" bestFit="1" customWidth="1"/>
    <col min="6" max="6" width="16" style="70" bestFit="1" customWidth="1"/>
    <col min="7" max="7" width="12.6640625" style="70" bestFit="1" customWidth="1"/>
    <col min="8" max="8" width="9.109375" style="70"/>
    <col min="9" max="9" width="11.109375" style="70" bestFit="1" customWidth="1"/>
    <col min="10" max="10" width="24.6640625" style="70" bestFit="1" customWidth="1"/>
    <col min="11" max="11" width="12.88671875" style="70" bestFit="1" customWidth="1"/>
    <col min="12" max="12" width="18.6640625" style="70" bestFit="1" customWidth="1"/>
    <col min="13" max="13" width="11.88671875" style="70" bestFit="1" customWidth="1"/>
    <col min="14" max="14" width="16" style="70" bestFit="1" customWidth="1"/>
    <col min="15" max="15" width="10.6640625" style="70" bestFit="1" customWidth="1"/>
    <col min="16" max="16384" width="9.109375" style="70"/>
  </cols>
  <sheetData>
    <row r="1" spans="1:16384" ht="21" x14ac:dyDescent="0.4">
      <c r="A1" s="627" t="s">
        <v>75</v>
      </c>
      <c r="B1" s="627"/>
      <c r="C1" s="627"/>
      <c r="D1" s="627"/>
      <c r="E1" s="629" t="s">
        <v>96</v>
      </c>
      <c r="F1" s="273"/>
      <c r="G1" s="273"/>
      <c r="H1" s="273"/>
      <c r="I1" s="273"/>
      <c r="J1" s="273"/>
      <c r="K1" s="273"/>
      <c r="L1" s="273"/>
      <c r="M1" s="273"/>
      <c r="N1" s="273"/>
      <c r="O1" s="273"/>
      <c r="P1" s="274"/>
    </row>
    <row r="2" spans="1:16384" ht="21" x14ac:dyDescent="0.4">
      <c r="A2" s="628"/>
      <c r="B2" s="628"/>
      <c r="C2" s="628"/>
      <c r="D2" s="628"/>
      <c r="E2" s="630"/>
      <c r="F2" s="275"/>
      <c r="G2" s="275"/>
      <c r="H2" s="275"/>
      <c r="I2" s="275"/>
      <c r="J2" s="275"/>
      <c r="K2" s="275"/>
      <c r="L2" s="275"/>
      <c r="M2" s="275"/>
      <c r="N2" s="275"/>
      <c r="O2" s="275"/>
      <c r="P2" s="276"/>
    </row>
    <row r="3" spans="1:16384" ht="15" thickBot="1" x14ac:dyDescent="0.35">
      <c r="A3" s="277"/>
      <c r="B3" s="277"/>
      <c r="C3" s="277"/>
      <c r="D3" s="277"/>
      <c r="E3" s="277"/>
      <c r="F3" s="277"/>
      <c r="G3" s="277"/>
      <c r="H3" s="277"/>
      <c r="I3" s="277"/>
      <c r="J3" s="277"/>
      <c r="K3" s="277"/>
      <c r="L3" s="277"/>
      <c r="M3" s="277"/>
      <c r="N3" s="277"/>
      <c r="O3" s="277"/>
      <c r="P3" s="278"/>
    </row>
    <row r="4" spans="1:16384" ht="16.2" thickBot="1" x14ac:dyDescent="0.35">
      <c r="A4" s="631"/>
      <c r="B4" s="632"/>
      <c r="C4" s="632"/>
      <c r="D4" s="632"/>
      <c r="E4" s="632"/>
      <c r="F4" s="632"/>
      <c r="G4" s="633"/>
      <c r="H4" s="279"/>
      <c r="I4" s="622" t="s">
        <v>9</v>
      </c>
      <c r="J4" s="623"/>
      <c r="K4" s="623"/>
      <c r="L4" s="623"/>
      <c r="M4" s="623"/>
      <c r="N4" s="623"/>
      <c r="O4" s="624"/>
      <c r="P4" s="280"/>
    </row>
    <row r="5" spans="1:16384" x14ac:dyDescent="0.3">
      <c r="G5" s="40">
        <f ca="1">TODAY()</f>
        <v>46114</v>
      </c>
      <c r="H5" s="253"/>
      <c r="I5" s="281"/>
      <c r="P5" s="282"/>
    </row>
    <row r="6" spans="1:16384" x14ac:dyDescent="0.3">
      <c r="A6" s="259" t="s">
        <v>55</v>
      </c>
      <c r="B6" s="256" t="s">
        <v>162</v>
      </c>
      <c r="C6" s="256" t="s">
        <v>77</v>
      </c>
      <c r="D6" s="256" t="s">
        <v>78</v>
      </c>
      <c r="E6" s="256" t="s">
        <v>79</v>
      </c>
      <c r="F6" s="256" t="s">
        <v>80</v>
      </c>
      <c r="G6" s="256" t="s">
        <v>81</v>
      </c>
      <c r="H6" s="283"/>
      <c r="I6" s="259" t="s">
        <v>55</v>
      </c>
      <c r="J6" s="256" t="s">
        <v>76</v>
      </c>
      <c r="K6" s="256" t="s">
        <v>77</v>
      </c>
      <c r="L6" s="256" t="s">
        <v>78</v>
      </c>
      <c r="M6" s="256" t="s">
        <v>79</v>
      </c>
      <c r="N6" s="256" t="s">
        <v>80</v>
      </c>
      <c r="O6" s="58" t="s">
        <v>81</v>
      </c>
      <c r="P6" s="284"/>
    </row>
    <row r="7" spans="1:16384" x14ac:dyDescent="0.3">
      <c r="A7" s="285">
        <v>45575</v>
      </c>
      <c r="B7" s="286" t="s">
        <v>109</v>
      </c>
      <c r="C7" s="256" t="s">
        <v>82</v>
      </c>
      <c r="D7" s="256">
        <v>12</v>
      </c>
      <c r="E7" s="286">
        <f>EDATE(A7,D7)</f>
        <v>45940</v>
      </c>
      <c r="F7" s="287">
        <v>5000</v>
      </c>
      <c r="G7" s="288">
        <f ca="1">IF(H7&gt;=1,(F7/D7),0)</f>
        <v>0</v>
      </c>
      <c r="H7" s="289">
        <f t="shared" ref="H7:H19" ca="1" si="0">E7-$G$5</f>
        <v>-174</v>
      </c>
      <c r="I7" s="290">
        <v>45489</v>
      </c>
      <c r="J7" s="259" t="s">
        <v>76</v>
      </c>
      <c r="K7" s="256" t="s">
        <v>82</v>
      </c>
      <c r="L7" s="256">
        <v>1</v>
      </c>
      <c r="M7" s="286">
        <f>EDATE(I7,L7)</f>
        <v>45520</v>
      </c>
      <c r="N7" s="291">
        <v>0</v>
      </c>
      <c r="O7" s="288">
        <f t="shared" ref="O7:O44" ca="1" si="1">IF(P7&gt;=1,(N7/L7),0)</f>
        <v>0</v>
      </c>
      <c r="P7" s="292">
        <f ca="1">M7-$G$5</f>
        <v>-594</v>
      </c>
    </row>
    <row r="8" spans="1:16384" x14ac:dyDescent="0.3">
      <c r="A8" s="285">
        <v>45454</v>
      </c>
      <c r="B8" s="293" t="s">
        <v>109</v>
      </c>
      <c r="C8" s="294"/>
      <c r="D8" s="294">
        <v>1</v>
      </c>
      <c r="E8" s="286">
        <f t="shared" ref="E8:E9" si="2">EDATE(A8,D8)</f>
        <v>45484</v>
      </c>
      <c r="F8" s="295">
        <v>0</v>
      </c>
      <c r="G8" s="288">
        <f ca="1">IF(H8&gt;=1,(F8/D8),0)</f>
        <v>0</v>
      </c>
      <c r="H8" s="289">
        <f t="shared" ca="1" si="0"/>
        <v>-630</v>
      </c>
      <c r="I8" s="290">
        <v>45490</v>
      </c>
      <c r="J8" s="259" t="s">
        <v>76</v>
      </c>
      <c r="K8" s="256"/>
      <c r="L8" s="256">
        <v>1</v>
      </c>
      <c r="M8" s="286">
        <f t="shared" ref="M8:M9" si="3">EDATE(I8,L8)</f>
        <v>45521</v>
      </c>
      <c r="N8" s="291">
        <v>0</v>
      </c>
      <c r="O8" s="288">
        <f t="shared" ca="1" si="1"/>
        <v>0</v>
      </c>
      <c r="P8" s="292">
        <f t="shared" ref="P8:P9" ca="1" si="4">M8-$G$5</f>
        <v>-593</v>
      </c>
    </row>
    <row r="9" spans="1:16384" x14ac:dyDescent="0.3">
      <c r="A9" s="296">
        <v>45454</v>
      </c>
      <c r="B9" s="293" t="s">
        <v>109</v>
      </c>
      <c r="C9" s="294" t="s">
        <v>83</v>
      </c>
      <c r="D9" s="294">
        <v>1</v>
      </c>
      <c r="E9" s="286">
        <f t="shared" si="2"/>
        <v>45484</v>
      </c>
      <c r="F9" s="295">
        <v>0</v>
      </c>
      <c r="G9" s="297">
        <f t="shared" ref="G9:G19" ca="1" si="5">IF(H9&gt;=1,(F9/D9),0)</f>
        <v>0</v>
      </c>
      <c r="H9" s="289">
        <f t="shared" ca="1" si="0"/>
        <v>-630</v>
      </c>
      <c r="I9" s="290">
        <v>45491</v>
      </c>
      <c r="J9" s="259" t="s">
        <v>76</v>
      </c>
      <c r="K9" s="256"/>
      <c r="L9" s="256">
        <v>1</v>
      </c>
      <c r="M9" s="286">
        <f t="shared" si="3"/>
        <v>45522</v>
      </c>
      <c r="N9" s="291">
        <v>0</v>
      </c>
      <c r="O9" s="288">
        <f t="shared" ca="1" si="1"/>
        <v>0</v>
      </c>
      <c r="P9" s="292">
        <f t="shared" ca="1" si="4"/>
        <v>-592</v>
      </c>
    </row>
    <row r="10" spans="1:16384" ht="15" thickBot="1" x14ac:dyDescent="0.35">
      <c r="A10" s="635"/>
      <c r="B10" s="636"/>
      <c r="C10" s="636"/>
      <c r="D10" s="636"/>
      <c r="E10" s="637"/>
      <c r="F10" s="298" t="s">
        <v>7</v>
      </c>
      <c r="G10" s="299">
        <f ca="1">SUM(G7:G9)</f>
        <v>0</v>
      </c>
      <c r="H10" s="300"/>
      <c r="I10" s="635"/>
      <c r="J10" s="636"/>
      <c r="K10" s="636"/>
      <c r="L10" s="636"/>
      <c r="M10" s="640"/>
      <c r="N10" s="298" t="s">
        <v>7</v>
      </c>
      <c r="O10" s="301">
        <f ca="1">SUM(O7:O9)</f>
        <v>0</v>
      </c>
      <c r="P10" s="302"/>
    </row>
    <row r="11" spans="1:16384" ht="15" thickBot="1" x14ac:dyDescent="0.35">
      <c r="A11" s="259" t="s">
        <v>55</v>
      </c>
      <c r="B11" s="256" t="s">
        <v>163</v>
      </c>
      <c r="C11" s="256" t="s">
        <v>77</v>
      </c>
      <c r="D11" s="256" t="s">
        <v>78</v>
      </c>
      <c r="E11" s="256" t="s">
        <v>79</v>
      </c>
      <c r="F11" s="256" t="s">
        <v>80</v>
      </c>
      <c r="G11" s="256" t="s">
        <v>81</v>
      </c>
      <c r="H11" s="283"/>
      <c r="I11" s="259" t="s">
        <v>55</v>
      </c>
      <c r="J11" s="256" t="s">
        <v>76</v>
      </c>
      <c r="K11" s="256" t="s">
        <v>77</v>
      </c>
      <c r="L11" s="256" t="s">
        <v>78</v>
      </c>
      <c r="M11" s="256" t="s">
        <v>79</v>
      </c>
      <c r="N11" s="256" t="s">
        <v>80</v>
      </c>
      <c r="O11" s="58" t="s">
        <v>81</v>
      </c>
      <c r="P11" s="448"/>
      <c r="Q11" s="41"/>
      <c r="R11" s="41"/>
      <c r="S11" s="41"/>
      <c r="T11" s="41"/>
      <c r="U11" s="41"/>
      <c r="V11" s="41"/>
      <c r="W11" s="41"/>
      <c r="X11" s="40"/>
      <c r="Y11" s="41"/>
      <c r="Z11" s="41"/>
      <c r="AA11" s="41"/>
      <c r="AB11" s="41"/>
      <c r="AC11" s="41"/>
      <c r="AD11" s="41"/>
      <c r="AE11" s="37"/>
      <c r="AF11" s="37"/>
      <c r="AG11" s="41"/>
      <c r="AH11" s="41"/>
      <c r="AI11" s="41"/>
      <c r="AJ11" s="41"/>
      <c r="AK11" s="41"/>
      <c r="AL11" s="41"/>
      <c r="AM11" s="41"/>
      <c r="AN11" s="40"/>
      <c r="AO11" s="41"/>
      <c r="AP11" s="41"/>
      <c r="AQ11" s="41"/>
      <c r="AR11" s="41"/>
      <c r="AS11" s="41"/>
      <c r="AT11" s="41"/>
      <c r="AU11" s="37"/>
      <c r="AV11" s="37"/>
      <c r="AW11" s="41"/>
      <c r="AX11" s="41"/>
      <c r="AY11" s="41"/>
      <c r="AZ11" s="41"/>
      <c r="BA11" s="41"/>
      <c r="BB11" s="41"/>
      <c r="BC11" s="41"/>
      <c r="BD11" s="40"/>
      <c r="BE11" s="41"/>
      <c r="BF11" s="41"/>
      <c r="BG11" s="41"/>
      <c r="BH11" s="41"/>
      <c r="BI11" s="41"/>
      <c r="BJ11" s="41"/>
      <c r="BK11" s="37"/>
      <c r="BL11" s="37"/>
      <c r="BM11" s="41"/>
      <c r="BN11" s="41"/>
      <c r="BO11" s="41"/>
      <c r="BP11" s="41"/>
      <c r="BQ11" s="41"/>
      <c r="BR11" s="41"/>
      <c r="BS11" s="41"/>
      <c r="BT11" s="40"/>
      <c r="BU11" s="41"/>
      <c r="BV11" s="41"/>
      <c r="BW11" s="41"/>
      <c r="BX11" s="41"/>
      <c r="BY11" s="41"/>
      <c r="BZ11" s="41"/>
      <c r="CA11" s="37"/>
      <c r="CB11" s="37"/>
      <c r="CC11" s="41"/>
      <c r="CD11" s="41"/>
      <c r="CE11" s="41"/>
      <c r="CF11" s="41"/>
      <c r="CG11" s="41"/>
      <c r="CH11" s="41"/>
      <c r="CI11" s="41"/>
      <c r="CJ11" s="40"/>
      <c r="CK11" s="41"/>
      <c r="CL11" s="41"/>
      <c r="CM11" s="41"/>
      <c r="CN11" s="41"/>
      <c r="CO11" s="41"/>
      <c r="CP11" s="41"/>
      <c r="CQ11" s="37"/>
      <c r="CR11" s="37"/>
      <c r="CS11" s="41"/>
      <c r="CT11" s="41"/>
      <c r="CU11" s="41"/>
      <c r="CV11" s="41"/>
      <c r="CW11" s="41"/>
      <c r="CX11" s="41"/>
      <c r="CY11" s="41"/>
      <c r="CZ11" s="40"/>
      <c r="DA11" s="41"/>
      <c r="DB11" s="41"/>
      <c r="DC11" s="41"/>
      <c r="DD11" s="41"/>
      <c r="DE11" s="41"/>
      <c r="DF11" s="41"/>
      <c r="DG11" s="37"/>
      <c r="DH11" s="37"/>
      <c r="DI11" s="41"/>
      <c r="DJ11" s="41"/>
      <c r="DK11" s="41"/>
      <c r="DL11" s="41"/>
      <c r="DM11" s="41"/>
      <c r="DN11" s="41"/>
      <c r="DO11" s="41"/>
      <c r="DP11" s="40"/>
      <c r="DQ11" s="41"/>
      <c r="DR11" s="41"/>
      <c r="DS11" s="41"/>
      <c r="DT11" s="41"/>
      <c r="DU11" s="41"/>
      <c r="DV11" s="41"/>
      <c r="DW11" s="37"/>
      <c r="DX11" s="37"/>
      <c r="DY11" s="41"/>
      <c r="DZ11" s="41"/>
      <c r="EA11" s="41"/>
      <c r="EB11" s="41"/>
      <c r="EC11" s="41"/>
      <c r="ED11" s="41"/>
      <c r="EE11" s="41"/>
      <c r="EF11" s="40"/>
      <c r="EG11" s="41"/>
      <c r="EH11" s="41"/>
      <c r="EI11" s="41"/>
      <c r="EJ11" s="41"/>
      <c r="EK11" s="41"/>
      <c r="EL11" s="41"/>
      <c r="EM11" s="37"/>
      <c r="EN11" s="37"/>
      <c r="EO11" s="41"/>
      <c r="EP11" s="41"/>
      <c r="EQ11" s="41"/>
      <c r="ER11" s="41"/>
      <c r="ES11" s="41"/>
      <c r="ET11" s="41"/>
      <c r="EU11" s="41"/>
      <c r="EV11" s="40"/>
      <c r="EW11" s="41"/>
      <c r="EX11" s="41"/>
      <c r="EY11" s="41"/>
      <c r="EZ11" s="41"/>
      <c r="FA11" s="41"/>
      <c r="FB11" s="41"/>
      <c r="FC11" s="37"/>
      <c r="FD11" s="37"/>
      <c r="FE11" s="41"/>
      <c r="FF11" s="41"/>
      <c r="FG11" s="41"/>
      <c r="FH11" s="41"/>
      <c r="FI11" s="41"/>
      <c r="FJ11" s="41"/>
      <c r="FK11" s="41"/>
      <c r="FL11" s="40"/>
      <c r="FM11" s="41"/>
      <c r="FN11" s="41"/>
      <c r="FO11" s="41"/>
      <c r="FP11" s="41"/>
      <c r="FQ11" s="41"/>
      <c r="FR11" s="41"/>
      <c r="FS11" s="37"/>
      <c r="FT11" s="37"/>
      <c r="FU11" s="41"/>
      <c r="FV11" s="41"/>
      <c r="FW11" s="41"/>
      <c r="FX11" s="41"/>
      <c r="FY11" s="41"/>
      <c r="FZ11" s="41"/>
      <c r="GA11" s="41"/>
      <c r="GB11" s="40"/>
      <c r="GC11" s="41"/>
      <c r="GD11" s="41"/>
      <c r="GE11" s="41"/>
      <c r="GF11" s="41"/>
      <c r="GG11" s="41"/>
      <c r="GH11" s="41"/>
      <c r="GI11" s="37"/>
      <c r="GJ11" s="37"/>
      <c r="GK11" s="41"/>
      <c r="GL11" s="41"/>
      <c r="GM11" s="41"/>
      <c r="GN11" s="41"/>
      <c r="GO11" s="41"/>
      <c r="GP11" s="41"/>
      <c r="GQ11" s="41"/>
      <c r="GR11" s="40"/>
      <c r="GS11" s="41"/>
      <c r="GT11" s="41"/>
      <c r="GU11" s="41"/>
      <c r="GV11" s="41"/>
      <c r="GW11" s="41"/>
      <c r="GX11" s="41"/>
      <c r="GY11" s="37"/>
      <c r="GZ11" s="37"/>
      <c r="HA11" s="41"/>
      <c r="HB11" s="41"/>
      <c r="HC11" s="41"/>
      <c r="HD11" s="41"/>
      <c r="HE11" s="41"/>
      <c r="HF11" s="41"/>
      <c r="HG11" s="41"/>
      <c r="HH11" s="40"/>
      <c r="HI11" s="41"/>
      <c r="HJ11" s="41"/>
      <c r="HK11" s="41"/>
      <c r="HL11" s="41"/>
      <c r="HM11" s="41"/>
      <c r="HN11" s="41"/>
      <c r="HO11" s="37"/>
      <c r="HP11" s="37"/>
      <c r="HQ11" s="41"/>
      <c r="HR11" s="41"/>
      <c r="HS11" s="41"/>
      <c r="HT11" s="41"/>
      <c r="HU11" s="41"/>
      <c r="HV11" s="41"/>
      <c r="HW11" s="41"/>
      <c r="HX11" s="40"/>
      <c r="HY11" s="41"/>
      <c r="HZ11" s="41"/>
      <c r="IA11" s="41"/>
      <c r="IB11" s="41"/>
      <c r="IC11" s="41"/>
      <c r="ID11" s="41"/>
      <c r="IE11" s="37"/>
      <c r="IF11" s="37"/>
      <c r="IG11" s="41"/>
      <c r="IH11" s="41"/>
      <c r="II11" s="41"/>
      <c r="IJ11" s="41"/>
      <c r="IK11" s="41"/>
      <c r="IL11" s="41"/>
      <c r="IM11" s="41"/>
      <c r="IN11" s="40"/>
      <c r="IO11" s="41"/>
      <c r="IP11" s="41"/>
      <c r="IQ11" s="41"/>
      <c r="IR11" s="41"/>
      <c r="IS11" s="41"/>
      <c r="IT11" s="41"/>
      <c r="IU11" s="37"/>
      <c r="IV11" s="37"/>
      <c r="IW11" s="41"/>
      <c r="IX11" s="41"/>
      <c r="IY11" s="41"/>
      <c r="IZ11" s="41"/>
      <c r="JA11" s="41"/>
      <c r="JB11" s="41"/>
      <c r="JC11" s="41"/>
      <c r="JD11" s="40"/>
      <c r="JE11" s="41"/>
      <c r="JF11" s="41"/>
      <c r="JG11" s="41"/>
      <c r="JH11" s="41"/>
      <c r="JI11" s="41"/>
      <c r="JJ11" s="41"/>
      <c r="JK11" s="37"/>
      <c r="JL11" s="37"/>
      <c r="JM11" s="41"/>
      <c r="JN11" s="41"/>
      <c r="JO11" s="41"/>
      <c r="JP11" s="41"/>
      <c r="JQ11" s="41"/>
      <c r="JR11" s="41"/>
      <c r="JS11" s="41"/>
      <c r="JT11" s="40"/>
      <c r="JU11" s="41"/>
      <c r="JV11" s="41"/>
      <c r="JW11" s="41"/>
      <c r="JX11" s="41"/>
      <c r="JY11" s="41"/>
      <c r="JZ11" s="41"/>
      <c r="KA11" s="37"/>
      <c r="KB11" s="37"/>
      <c r="KC11" s="41"/>
      <c r="KD11" s="41"/>
      <c r="KE11" s="41"/>
      <c r="KF11" s="41"/>
      <c r="KG11" s="41"/>
      <c r="KH11" s="41"/>
      <c r="KI11" s="41"/>
      <c r="KJ11" s="40"/>
      <c r="KK11" s="41"/>
      <c r="KL11" s="41"/>
      <c r="KM11" s="41"/>
      <c r="KN11" s="41"/>
      <c r="KO11" s="41"/>
      <c r="KP11" s="41"/>
      <c r="KQ11" s="37"/>
      <c r="KR11" s="37"/>
      <c r="KS11" s="41"/>
      <c r="KT11" s="41"/>
      <c r="KU11" s="41"/>
      <c r="KV11" s="41"/>
      <c r="KW11" s="41"/>
      <c r="KX11" s="41"/>
      <c r="KY11" s="41"/>
      <c r="KZ11" s="40"/>
      <c r="LA11" s="41"/>
      <c r="LB11" s="41"/>
      <c r="LC11" s="41"/>
      <c r="LD11" s="41"/>
      <c r="LE11" s="41"/>
      <c r="LF11" s="41"/>
      <c r="LG11" s="37"/>
      <c r="LH11" s="37"/>
      <c r="LI11" s="41"/>
      <c r="LJ11" s="41"/>
      <c r="LK11" s="41"/>
      <c r="LL11" s="41"/>
      <c r="LM11" s="41"/>
      <c r="LN11" s="41"/>
      <c r="LO11" s="41"/>
      <c r="LP11" s="40"/>
      <c r="LQ11" s="41"/>
      <c r="LR11" s="41"/>
      <c r="LS11" s="41"/>
      <c r="LT11" s="41"/>
      <c r="LU11" s="41"/>
      <c r="LV11" s="41"/>
      <c r="LW11" s="37"/>
      <c r="LX11" s="37"/>
      <c r="LY11" s="41"/>
      <c r="LZ11" s="41"/>
      <c r="MA11" s="41"/>
      <c r="MB11" s="41"/>
      <c r="MC11" s="41"/>
      <c r="MD11" s="41"/>
      <c r="ME11" s="41"/>
      <c r="MF11" s="40"/>
      <c r="MG11" s="41"/>
      <c r="MH11" s="41"/>
      <c r="MI11" s="41"/>
      <c r="MJ11" s="41"/>
      <c r="MK11" s="41"/>
      <c r="ML11" s="41"/>
      <c r="MM11" s="37"/>
      <c r="MN11" s="37"/>
      <c r="MO11" s="41"/>
      <c r="MP11" s="41"/>
      <c r="MQ11" s="41"/>
      <c r="MR11" s="41"/>
      <c r="MS11" s="41"/>
      <c r="MT11" s="41"/>
      <c r="MU11" s="41"/>
      <c r="MV11" s="40"/>
      <c r="MW11" s="41"/>
      <c r="MX11" s="41"/>
      <c r="MY11" s="41"/>
      <c r="MZ11" s="41"/>
      <c r="NA11" s="41"/>
      <c r="NB11" s="41"/>
      <c r="NC11" s="37"/>
      <c r="ND11" s="37"/>
      <c r="NE11" s="41"/>
      <c r="NF11" s="41"/>
      <c r="NG11" s="41"/>
      <c r="NH11" s="41"/>
      <c r="NI11" s="41"/>
      <c r="NJ11" s="41"/>
      <c r="NK11" s="41"/>
      <c r="NL11" s="40"/>
      <c r="NM11" s="41"/>
      <c r="NN11" s="41"/>
      <c r="NO11" s="41"/>
      <c r="NP11" s="41"/>
      <c r="NQ11" s="41"/>
      <c r="NR11" s="41"/>
      <c r="NS11" s="37"/>
      <c r="NT11" s="37"/>
      <c r="NU11" s="41"/>
      <c r="NV11" s="41"/>
      <c r="NW11" s="41"/>
      <c r="NX11" s="41"/>
      <c r="NY11" s="41"/>
      <c r="NZ11" s="41"/>
      <c r="OA11" s="41"/>
      <c r="OB11" s="40"/>
      <c r="OC11" s="41"/>
      <c r="OD11" s="41"/>
      <c r="OE11" s="41"/>
      <c r="OF11" s="41"/>
      <c r="OG11" s="41"/>
      <c r="OH11" s="41"/>
      <c r="OI11" s="37"/>
      <c r="OJ11" s="37"/>
      <c r="OK11" s="41"/>
      <c r="OL11" s="41"/>
      <c r="OM11" s="41"/>
      <c r="ON11" s="41"/>
      <c r="OO11" s="41"/>
      <c r="OP11" s="41"/>
      <c r="OQ11" s="41"/>
      <c r="OR11" s="40"/>
      <c r="OS11" s="41"/>
      <c r="OT11" s="41"/>
      <c r="OU11" s="41"/>
      <c r="OV11" s="41"/>
      <c r="OW11" s="41"/>
      <c r="OX11" s="41"/>
      <c r="OY11" s="37"/>
      <c r="OZ11" s="37"/>
      <c r="PA11" s="41"/>
      <c r="PB11" s="41"/>
      <c r="PC11" s="41"/>
      <c r="PD11" s="41"/>
      <c r="PE11" s="41"/>
      <c r="PF11" s="41"/>
      <c r="PG11" s="41"/>
      <c r="PH11" s="40"/>
      <c r="PI11" s="41"/>
      <c r="PJ11" s="41"/>
      <c r="PK11" s="41"/>
      <c r="PL11" s="41"/>
      <c r="PM11" s="41"/>
      <c r="PN11" s="41"/>
      <c r="PO11" s="37"/>
      <c r="PP11" s="37"/>
      <c r="PQ11" s="41"/>
      <c r="PR11" s="41"/>
      <c r="PS11" s="41"/>
      <c r="PT11" s="41"/>
      <c r="PU11" s="41"/>
      <c r="PV11" s="41"/>
      <c r="PW11" s="41"/>
      <c r="PX11" s="40"/>
      <c r="PY11" s="41"/>
      <c r="PZ11" s="41"/>
      <c r="QA11" s="41"/>
      <c r="QB11" s="41"/>
      <c r="QC11" s="41"/>
      <c r="QD11" s="41"/>
      <c r="QE11" s="37"/>
      <c r="QF11" s="37"/>
      <c r="QG11" s="41"/>
      <c r="QH11" s="41"/>
      <c r="QI11" s="41"/>
      <c r="QJ11" s="41"/>
      <c r="QK11" s="41"/>
      <c r="QL11" s="41"/>
      <c r="QM11" s="41"/>
      <c r="QN11" s="40"/>
      <c r="QO11" s="41"/>
      <c r="QP11" s="41"/>
      <c r="QQ11" s="41"/>
      <c r="QR11" s="41"/>
      <c r="QS11" s="41"/>
      <c r="QT11" s="41"/>
      <c r="QU11" s="37"/>
      <c r="QV11" s="37"/>
      <c r="QW11" s="41"/>
      <c r="QX11" s="41"/>
      <c r="QY11" s="41"/>
      <c r="QZ11" s="41"/>
      <c r="RA11" s="41"/>
      <c r="RB11" s="41"/>
      <c r="RC11" s="41"/>
      <c r="RD11" s="40"/>
      <c r="RE11" s="41"/>
      <c r="RF11" s="41"/>
      <c r="RG11" s="41"/>
      <c r="RH11" s="41"/>
      <c r="RI11" s="41"/>
      <c r="RJ11" s="41"/>
      <c r="RK11" s="37"/>
      <c r="RL11" s="37"/>
      <c r="RM11" s="41"/>
      <c r="RN11" s="41"/>
      <c r="RO11" s="41"/>
      <c r="RP11" s="41"/>
      <c r="RQ11" s="41"/>
      <c r="RR11" s="41"/>
      <c r="RS11" s="41"/>
      <c r="RT11" s="40"/>
      <c r="RU11" s="41"/>
      <c r="RV11" s="41"/>
      <c r="RW11" s="41"/>
      <c r="RX11" s="41"/>
      <c r="RY11" s="41"/>
      <c r="RZ11" s="41"/>
      <c r="SA11" s="37"/>
      <c r="SB11" s="37"/>
      <c r="SC11" s="41"/>
      <c r="SD11" s="41"/>
      <c r="SE11" s="41"/>
      <c r="SF11" s="41"/>
      <c r="SG11" s="41"/>
      <c r="SH11" s="41"/>
      <c r="SI11" s="41"/>
      <c r="SJ11" s="40"/>
      <c r="SK11" s="41"/>
      <c r="SL11" s="41"/>
      <c r="SM11" s="41"/>
      <c r="SN11" s="41"/>
      <c r="SO11" s="41"/>
      <c r="SP11" s="41"/>
      <c r="SQ11" s="37"/>
      <c r="SR11" s="37"/>
      <c r="SS11" s="41"/>
      <c r="ST11" s="41"/>
      <c r="SU11" s="41"/>
      <c r="SV11" s="41"/>
      <c r="SW11" s="41"/>
      <c r="SX11" s="41"/>
      <c r="SY11" s="41"/>
      <c r="SZ11" s="40"/>
      <c r="TA11" s="41"/>
      <c r="TB11" s="41"/>
      <c r="TC11" s="41"/>
      <c r="TD11" s="41"/>
      <c r="TE11" s="41"/>
      <c r="TF11" s="41"/>
      <c r="TG11" s="37"/>
      <c r="TH11" s="37"/>
      <c r="TI11" s="41"/>
      <c r="TJ11" s="41"/>
      <c r="TK11" s="41"/>
      <c r="TL11" s="41"/>
      <c r="TM11" s="41"/>
      <c r="TN11" s="41"/>
      <c r="TO11" s="41"/>
      <c r="TP11" s="40"/>
      <c r="TQ11" s="41"/>
      <c r="TR11" s="41"/>
      <c r="TS11" s="41"/>
      <c r="TT11" s="41"/>
      <c r="TU11" s="41"/>
      <c r="TV11" s="41"/>
      <c r="TW11" s="37"/>
      <c r="TX11" s="37"/>
      <c r="TY11" s="41"/>
      <c r="TZ11" s="41"/>
      <c r="UA11" s="41"/>
      <c r="UB11" s="41"/>
      <c r="UC11" s="41"/>
      <c r="UD11" s="41"/>
      <c r="UE11" s="41"/>
      <c r="UF11" s="40"/>
      <c r="UG11" s="41"/>
      <c r="UH11" s="41"/>
      <c r="UI11" s="41"/>
      <c r="UJ11" s="41"/>
      <c r="UK11" s="41"/>
      <c r="UL11" s="41"/>
      <c r="UM11" s="37"/>
      <c r="UN11" s="37"/>
      <c r="UO11" s="41"/>
      <c r="UP11" s="41"/>
      <c r="UQ11" s="41"/>
      <c r="UR11" s="41"/>
      <c r="US11" s="41"/>
      <c r="UT11" s="41"/>
      <c r="UU11" s="41"/>
      <c r="UV11" s="40"/>
      <c r="UW11" s="41"/>
      <c r="UX11" s="41"/>
      <c r="UY11" s="41"/>
      <c r="UZ11" s="41"/>
      <c r="VA11" s="41"/>
      <c r="VB11" s="41"/>
      <c r="VC11" s="37"/>
      <c r="VD11" s="37"/>
      <c r="VE11" s="41"/>
      <c r="VF11" s="41"/>
      <c r="VG11" s="41"/>
      <c r="VH11" s="41"/>
      <c r="VI11" s="41"/>
      <c r="VJ11" s="41"/>
      <c r="VK11" s="41"/>
      <c r="VL11" s="40"/>
      <c r="VM11" s="41"/>
      <c r="VN11" s="41"/>
      <c r="VO11" s="41"/>
      <c r="VP11" s="41"/>
      <c r="VQ11" s="41"/>
      <c r="VR11" s="41"/>
      <c r="VS11" s="37"/>
      <c r="VT11" s="37"/>
      <c r="VU11" s="41"/>
      <c r="VV11" s="41"/>
      <c r="VW11" s="41"/>
      <c r="VX11" s="41"/>
      <c r="VY11" s="41"/>
      <c r="VZ11" s="41"/>
      <c r="WA11" s="41"/>
      <c r="WB11" s="40"/>
      <c r="WC11" s="41"/>
      <c r="WD11" s="41"/>
      <c r="WE11" s="41"/>
      <c r="WF11" s="41"/>
      <c r="WG11" s="41"/>
      <c r="WH11" s="41"/>
      <c r="WI11" s="37"/>
      <c r="WJ11" s="37"/>
      <c r="WK11" s="41"/>
      <c r="WL11" s="41"/>
      <c r="WM11" s="41"/>
      <c r="WN11" s="41"/>
      <c r="WO11" s="41"/>
      <c r="WP11" s="41"/>
      <c r="WQ11" s="41"/>
      <c r="WR11" s="40"/>
      <c r="WS11" s="41"/>
      <c r="WT11" s="41"/>
      <c r="WU11" s="41"/>
      <c r="WV11" s="41"/>
      <c r="WW11" s="41"/>
      <c r="WX11" s="41"/>
      <c r="WY11" s="37"/>
      <c r="WZ11" s="37"/>
      <c r="XA11" s="41"/>
      <c r="XB11" s="41"/>
      <c r="XC11" s="41"/>
      <c r="XD11" s="41"/>
      <c r="XE11" s="41"/>
      <c r="XF11" s="41"/>
      <c r="XG11" s="41"/>
      <c r="XH11" s="40"/>
      <c r="XI11" s="41"/>
      <c r="XJ11" s="41"/>
      <c r="XK11" s="41"/>
      <c r="XL11" s="41"/>
      <c r="XM11" s="41"/>
      <c r="XN11" s="41"/>
      <c r="XO11" s="37"/>
      <c r="XP11" s="37"/>
      <c r="XQ11" s="41"/>
      <c r="XR11" s="41"/>
      <c r="XS11" s="41"/>
      <c r="XT11" s="41"/>
      <c r="XU11" s="41"/>
      <c r="XV11" s="41"/>
      <c r="XW11" s="41"/>
      <c r="XX11" s="40"/>
      <c r="XY11" s="41"/>
      <c r="XZ11" s="41"/>
      <c r="YA11" s="41"/>
      <c r="YB11" s="41"/>
      <c r="YC11" s="41"/>
      <c r="YD11" s="41"/>
      <c r="YE11" s="37"/>
      <c r="YF11" s="37"/>
      <c r="YG11" s="41"/>
      <c r="YH11" s="41"/>
      <c r="YI11" s="41"/>
      <c r="YJ11" s="41"/>
      <c r="YK11" s="41"/>
      <c r="YL11" s="41"/>
      <c r="YM11" s="41"/>
      <c r="YN11" s="40"/>
      <c r="YO11" s="41"/>
      <c r="YP11" s="41"/>
      <c r="YQ11" s="41"/>
      <c r="YR11" s="41"/>
      <c r="YS11" s="41"/>
      <c r="YT11" s="41"/>
      <c r="YU11" s="37"/>
      <c r="YV11" s="37"/>
      <c r="YW11" s="41"/>
      <c r="YX11" s="41"/>
      <c r="YY11" s="41"/>
      <c r="YZ11" s="41"/>
      <c r="ZA11" s="41"/>
      <c r="ZB11" s="41"/>
      <c r="ZC11" s="41"/>
      <c r="ZD11" s="40"/>
      <c r="ZE11" s="41"/>
      <c r="ZF11" s="41"/>
      <c r="ZG11" s="41"/>
      <c r="ZH11" s="41"/>
      <c r="ZI11" s="41"/>
      <c r="ZJ11" s="41"/>
      <c r="ZK11" s="37"/>
      <c r="ZL11" s="37"/>
      <c r="ZM11" s="41"/>
      <c r="ZN11" s="41"/>
      <c r="ZO11" s="41"/>
      <c r="ZP11" s="41"/>
      <c r="ZQ11" s="41"/>
      <c r="ZR11" s="41"/>
      <c r="ZS11" s="41"/>
      <c r="ZT11" s="40"/>
      <c r="ZU11" s="41"/>
      <c r="ZV11" s="41"/>
      <c r="ZW11" s="41"/>
      <c r="ZX11" s="41"/>
      <c r="ZY11" s="41"/>
      <c r="ZZ11" s="41"/>
      <c r="AAA11" s="37"/>
      <c r="AAB11" s="37"/>
      <c r="AAC11" s="41"/>
      <c r="AAD11" s="41"/>
      <c r="AAE11" s="41"/>
      <c r="AAF11" s="41"/>
      <c r="AAG11" s="41"/>
      <c r="AAH11" s="41"/>
      <c r="AAI11" s="41"/>
      <c r="AAJ11" s="40"/>
      <c r="AAK11" s="41"/>
      <c r="AAL11" s="41"/>
      <c r="AAM11" s="41"/>
      <c r="AAN11" s="41"/>
      <c r="AAO11" s="41"/>
      <c r="AAP11" s="41"/>
      <c r="AAQ11" s="37"/>
      <c r="AAR11" s="37"/>
      <c r="AAS11" s="41"/>
      <c r="AAT11" s="41"/>
      <c r="AAU11" s="41"/>
      <c r="AAV11" s="41"/>
      <c r="AAW11" s="41"/>
      <c r="AAX11" s="41"/>
      <c r="AAY11" s="41"/>
      <c r="AAZ11" s="40"/>
      <c r="ABA11" s="41"/>
      <c r="ABB11" s="41"/>
      <c r="ABC11" s="41"/>
      <c r="ABD11" s="41"/>
      <c r="ABE11" s="41"/>
      <c r="ABF11" s="41"/>
      <c r="ABG11" s="37"/>
      <c r="ABH11" s="37"/>
      <c r="ABI11" s="41"/>
      <c r="ABJ11" s="41"/>
      <c r="ABK11" s="41"/>
      <c r="ABL11" s="41"/>
      <c r="ABM11" s="41"/>
      <c r="ABN11" s="41"/>
      <c r="ABO11" s="41"/>
      <c r="ABP11" s="40"/>
      <c r="ABQ11" s="41"/>
      <c r="ABR11" s="41"/>
      <c r="ABS11" s="41"/>
      <c r="ABT11" s="41"/>
      <c r="ABU11" s="41"/>
      <c r="ABV11" s="41"/>
      <c r="ABW11" s="37"/>
      <c r="ABX11" s="37"/>
      <c r="ABY11" s="41"/>
      <c r="ABZ11" s="41"/>
      <c r="ACA11" s="41"/>
      <c r="ACB11" s="41"/>
      <c r="ACC11" s="41"/>
      <c r="ACD11" s="41"/>
      <c r="ACE11" s="41"/>
      <c r="ACF11" s="40"/>
      <c r="ACG11" s="41"/>
      <c r="ACH11" s="41"/>
      <c r="ACI11" s="41"/>
      <c r="ACJ11" s="41"/>
      <c r="ACK11" s="41"/>
      <c r="ACL11" s="41"/>
      <c r="ACM11" s="37"/>
      <c r="ACN11" s="37"/>
      <c r="ACO11" s="41"/>
      <c r="ACP11" s="41"/>
      <c r="ACQ11" s="41"/>
      <c r="ACR11" s="41"/>
      <c r="ACS11" s="41"/>
      <c r="ACT11" s="41"/>
      <c r="ACU11" s="41"/>
      <c r="ACV11" s="40"/>
      <c r="ACW11" s="41"/>
      <c r="ACX11" s="41"/>
      <c r="ACY11" s="41"/>
      <c r="ACZ11" s="41"/>
      <c r="ADA11" s="41"/>
      <c r="ADB11" s="41"/>
      <c r="ADC11" s="37"/>
      <c r="ADD11" s="37"/>
      <c r="ADE11" s="41"/>
      <c r="ADF11" s="41"/>
      <c r="ADG11" s="41"/>
      <c r="ADH11" s="41"/>
      <c r="ADI11" s="41"/>
      <c r="ADJ11" s="41"/>
      <c r="ADK11" s="41"/>
      <c r="ADL11" s="40"/>
      <c r="ADM11" s="41"/>
      <c r="ADN11" s="41"/>
      <c r="ADO11" s="41"/>
      <c r="ADP11" s="41"/>
      <c r="ADQ11" s="41"/>
      <c r="ADR11" s="41"/>
      <c r="ADS11" s="37"/>
      <c r="ADT11" s="37"/>
      <c r="ADU11" s="41"/>
      <c r="ADV11" s="41"/>
      <c r="ADW11" s="41"/>
      <c r="ADX11" s="41"/>
      <c r="ADY11" s="41"/>
      <c r="ADZ11" s="41"/>
      <c r="AEA11" s="41"/>
      <c r="AEB11" s="40"/>
      <c r="AEC11" s="41"/>
      <c r="AED11" s="41"/>
      <c r="AEE11" s="41"/>
      <c r="AEF11" s="41"/>
      <c r="AEG11" s="41"/>
      <c r="AEH11" s="41"/>
      <c r="AEI11" s="37"/>
      <c r="AEJ11" s="37"/>
      <c r="AEK11" s="41"/>
      <c r="AEL11" s="41"/>
      <c r="AEM11" s="41"/>
      <c r="AEN11" s="41"/>
      <c r="AEO11" s="41"/>
      <c r="AEP11" s="41"/>
      <c r="AEQ11" s="41"/>
      <c r="AER11" s="40"/>
      <c r="AES11" s="41"/>
      <c r="AET11" s="41"/>
      <c r="AEU11" s="41"/>
      <c r="AEV11" s="41"/>
      <c r="AEW11" s="41"/>
      <c r="AEX11" s="41"/>
      <c r="AEY11" s="37"/>
      <c r="AEZ11" s="37"/>
      <c r="AFA11" s="41"/>
      <c r="AFB11" s="41"/>
      <c r="AFC11" s="41"/>
      <c r="AFD11" s="41"/>
      <c r="AFE11" s="41"/>
      <c r="AFF11" s="41"/>
      <c r="AFG11" s="41"/>
      <c r="AFH11" s="40"/>
      <c r="AFI11" s="41"/>
      <c r="AFJ11" s="41"/>
      <c r="AFK11" s="41"/>
      <c r="AFL11" s="41"/>
      <c r="AFM11" s="41"/>
      <c r="AFN11" s="41"/>
      <c r="AFO11" s="37"/>
      <c r="AFP11" s="37"/>
      <c r="AFQ11" s="41"/>
      <c r="AFR11" s="41"/>
      <c r="AFS11" s="41"/>
      <c r="AFT11" s="41"/>
      <c r="AFU11" s="41"/>
      <c r="AFV11" s="41"/>
      <c r="AFW11" s="41"/>
      <c r="AFX11" s="40"/>
      <c r="AFY11" s="41"/>
      <c r="AFZ11" s="41"/>
      <c r="AGA11" s="41"/>
      <c r="AGB11" s="41"/>
      <c r="AGC11" s="41"/>
      <c r="AGD11" s="41"/>
      <c r="AGE11" s="37"/>
      <c r="AGF11" s="37"/>
      <c r="AGG11" s="41"/>
      <c r="AGH11" s="41"/>
      <c r="AGI11" s="41"/>
      <c r="AGJ11" s="41"/>
      <c r="AGK11" s="41"/>
      <c r="AGL11" s="41"/>
      <c r="AGM11" s="41"/>
      <c r="AGN11" s="40"/>
      <c r="AGO11" s="41"/>
      <c r="AGP11" s="41"/>
      <c r="AGQ11" s="41"/>
      <c r="AGR11" s="41"/>
      <c r="AGS11" s="41"/>
      <c r="AGT11" s="41"/>
      <c r="AGU11" s="37"/>
      <c r="AGV11" s="37"/>
      <c r="AGW11" s="41"/>
      <c r="AGX11" s="41"/>
      <c r="AGY11" s="41"/>
      <c r="AGZ11" s="41"/>
      <c r="AHA11" s="41"/>
      <c r="AHB11" s="41"/>
      <c r="AHC11" s="41"/>
      <c r="AHD11" s="40"/>
      <c r="AHE11" s="41"/>
      <c r="AHF11" s="41"/>
      <c r="AHG11" s="41"/>
      <c r="AHH11" s="41"/>
      <c r="AHI11" s="41"/>
      <c r="AHJ11" s="41"/>
      <c r="AHK11" s="37"/>
      <c r="AHL11" s="37"/>
      <c r="AHM11" s="41"/>
      <c r="AHN11" s="41"/>
      <c r="AHO11" s="41"/>
      <c r="AHP11" s="41"/>
      <c r="AHQ11" s="41"/>
      <c r="AHR11" s="41"/>
      <c r="AHS11" s="41"/>
      <c r="AHT11" s="40"/>
      <c r="AHU11" s="41"/>
      <c r="AHV11" s="41"/>
      <c r="AHW11" s="41"/>
      <c r="AHX11" s="41"/>
      <c r="AHY11" s="41"/>
      <c r="AHZ11" s="41"/>
      <c r="AIA11" s="37"/>
      <c r="AIB11" s="37"/>
      <c r="AIC11" s="41"/>
      <c r="AID11" s="41"/>
      <c r="AIE11" s="41"/>
      <c r="AIF11" s="41"/>
      <c r="AIG11" s="41"/>
      <c r="AIH11" s="41"/>
      <c r="AII11" s="41"/>
      <c r="AIJ11" s="40"/>
      <c r="AIK11" s="41"/>
      <c r="AIL11" s="41"/>
      <c r="AIM11" s="41"/>
      <c r="AIN11" s="41"/>
      <c r="AIO11" s="41"/>
      <c r="AIP11" s="41"/>
      <c r="AIQ11" s="37"/>
      <c r="AIR11" s="37"/>
      <c r="AIS11" s="41"/>
      <c r="AIT11" s="41"/>
      <c r="AIU11" s="41"/>
      <c r="AIV11" s="41"/>
      <c r="AIW11" s="41"/>
      <c r="AIX11" s="41"/>
      <c r="AIY11" s="41"/>
      <c r="AIZ11" s="40"/>
      <c r="AJA11" s="41"/>
      <c r="AJB11" s="41"/>
      <c r="AJC11" s="41"/>
      <c r="AJD11" s="41"/>
      <c r="AJE11" s="41"/>
      <c r="AJF11" s="41"/>
      <c r="AJG11" s="37"/>
      <c r="AJH11" s="37"/>
      <c r="AJI11" s="41"/>
      <c r="AJJ11" s="41"/>
      <c r="AJK11" s="41"/>
      <c r="AJL11" s="41"/>
      <c r="AJM11" s="41"/>
      <c r="AJN11" s="41"/>
      <c r="AJO11" s="41"/>
      <c r="AJP11" s="40"/>
      <c r="AJQ11" s="41"/>
      <c r="AJR11" s="41"/>
      <c r="AJS11" s="41"/>
      <c r="AJT11" s="41"/>
      <c r="AJU11" s="41"/>
      <c r="AJV11" s="41"/>
      <c r="AJW11" s="37"/>
      <c r="AJX11" s="37"/>
      <c r="AJY11" s="41"/>
      <c r="AJZ11" s="41"/>
      <c r="AKA11" s="41"/>
      <c r="AKB11" s="41"/>
      <c r="AKC11" s="41"/>
      <c r="AKD11" s="41"/>
      <c r="AKE11" s="41"/>
      <c r="AKF11" s="40"/>
      <c r="AKG11" s="41"/>
      <c r="AKH11" s="41"/>
      <c r="AKI11" s="41"/>
      <c r="AKJ11" s="41"/>
      <c r="AKK11" s="41"/>
      <c r="AKL11" s="41"/>
      <c r="AKM11" s="37"/>
      <c r="AKN11" s="37"/>
      <c r="AKO11" s="41"/>
      <c r="AKP11" s="41"/>
      <c r="AKQ11" s="41"/>
      <c r="AKR11" s="41"/>
      <c r="AKS11" s="41"/>
      <c r="AKT11" s="41"/>
      <c r="AKU11" s="41"/>
      <c r="AKV11" s="40"/>
      <c r="AKW11" s="41"/>
      <c r="AKX11" s="41"/>
      <c r="AKY11" s="41"/>
      <c r="AKZ11" s="41"/>
      <c r="ALA11" s="41"/>
      <c r="ALB11" s="41"/>
      <c r="ALC11" s="37"/>
      <c r="ALD11" s="37"/>
      <c r="ALE11" s="41"/>
      <c r="ALF11" s="41"/>
      <c r="ALG11" s="41"/>
      <c r="ALH11" s="41"/>
      <c r="ALI11" s="41"/>
      <c r="ALJ11" s="41"/>
      <c r="ALK11" s="41"/>
      <c r="ALL11" s="40"/>
      <c r="ALM11" s="41"/>
      <c r="ALN11" s="41"/>
      <c r="ALO11" s="41"/>
      <c r="ALP11" s="41"/>
      <c r="ALQ11" s="41"/>
      <c r="ALR11" s="41"/>
      <c r="ALS11" s="37"/>
      <c r="ALT11" s="37"/>
      <c r="ALU11" s="41"/>
      <c r="ALV11" s="41"/>
      <c r="ALW11" s="41"/>
      <c r="ALX11" s="41"/>
      <c r="ALY11" s="41"/>
      <c r="ALZ11" s="41"/>
      <c r="AMA11" s="41"/>
      <c r="AMB11" s="40"/>
      <c r="AMC11" s="41"/>
      <c r="AMD11" s="41"/>
      <c r="AME11" s="41"/>
      <c r="AMF11" s="41"/>
      <c r="AMG11" s="41"/>
      <c r="AMH11" s="41"/>
      <c r="AMI11" s="37"/>
      <c r="AMJ11" s="37"/>
      <c r="AMK11" s="41"/>
      <c r="AML11" s="41"/>
      <c r="AMM11" s="41"/>
      <c r="AMN11" s="41"/>
      <c r="AMO11" s="41"/>
      <c r="AMP11" s="41"/>
      <c r="AMQ11" s="41"/>
      <c r="AMR11" s="40"/>
      <c r="AMS11" s="41"/>
      <c r="AMT11" s="41"/>
      <c r="AMU11" s="41"/>
      <c r="AMV11" s="41"/>
      <c r="AMW11" s="41"/>
      <c r="AMX11" s="41"/>
      <c r="AMY11" s="37"/>
      <c r="AMZ11" s="37"/>
      <c r="ANA11" s="41"/>
      <c r="ANB11" s="41"/>
      <c r="ANC11" s="41"/>
      <c r="AND11" s="41"/>
      <c r="ANE11" s="41"/>
      <c r="ANF11" s="41"/>
      <c r="ANG11" s="41"/>
      <c r="ANH11" s="40"/>
      <c r="ANI11" s="41"/>
      <c r="ANJ11" s="41"/>
      <c r="ANK11" s="41"/>
      <c r="ANL11" s="41"/>
      <c r="ANM11" s="41"/>
      <c r="ANN11" s="41"/>
      <c r="ANO11" s="37"/>
      <c r="ANP11" s="37"/>
      <c r="ANQ11" s="41"/>
      <c r="ANR11" s="41"/>
      <c r="ANS11" s="41"/>
      <c r="ANT11" s="41"/>
      <c r="ANU11" s="41"/>
      <c r="ANV11" s="41"/>
      <c r="ANW11" s="41"/>
      <c r="ANX11" s="40"/>
      <c r="ANY11" s="41"/>
      <c r="ANZ11" s="41"/>
      <c r="AOA11" s="41"/>
      <c r="AOB11" s="41"/>
      <c r="AOC11" s="41"/>
      <c r="AOD11" s="41"/>
      <c r="AOE11" s="37"/>
      <c r="AOF11" s="37"/>
      <c r="AOG11" s="41"/>
      <c r="AOH11" s="41"/>
      <c r="AOI11" s="41"/>
      <c r="AOJ11" s="41"/>
      <c r="AOK11" s="41"/>
      <c r="AOL11" s="41"/>
      <c r="AOM11" s="41"/>
      <c r="AON11" s="40"/>
      <c r="AOO11" s="41"/>
      <c r="AOP11" s="41"/>
      <c r="AOQ11" s="41"/>
      <c r="AOR11" s="41"/>
      <c r="AOS11" s="41"/>
      <c r="AOT11" s="41"/>
      <c r="AOU11" s="37"/>
      <c r="AOV11" s="37"/>
      <c r="AOW11" s="41"/>
      <c r="AOX11" s="41"/>
      <c r="AOY11" s="41"/>
      <c r="AOZ11" s="41"/>
      <c r="APA11" s="41"/>
      <c r="APB11" s="41"/>
      <c r="APC11" s="41"/>
      <c r="APD11" s="40"/>
      <c r="APE11" s="41"/>
      <c r="APF11" s="41"/>
      <c r="APG11" s="41"/>
      <c r="APH11" s="41"/>
      <c r="API11" s="41"/>
      <c r="APJ11" s="41"/>
      <c r="APK11" s="37"/>
      <c r="APL11" s="37"/>
      <c r="APM11" s="41"/>
      <c r="APN11" s="41"/>
      <c r="APO11" s="41"/>
      <c r="APP11" s="41"/>
      <c r="APQ11" s="41"/>
      <c r="APR11" s="41"/>
      <c r="APS11" s="41"/>
      <c r="APT11" s="40"/>
      <c r="APU11" s="41"/>
      <c r="APV11" s="41"/>
      <c r="APW11" s="41"/>
      <c r="APX11" s="41"/>
      <c r="APY11" s="41"/>
      <c r="APZ11" s="41"/>
      <c r="AQA11" s="37"/>
      <c r="AQB11" s="37"/>
      <c r="AQC11" s="41"/>
      <c r="AQD11" s="41"/>
      <c r="AQE11" s="41"/>
      <c r="AQF11" s="41"/>
      <c r="AQG11" s="41"/>
      <c r="AQH11" s="41"/>
      <c r="AQI11" s="41"/>
      <c r="AQJ11" s="40"/>
      <c r="AQK11" s="41"/>
      <c r="AQL11" s="41"/>
      <c r="AQM11" s="41"/>
      <c r="AQN11" s="41"/>
      <c r="AQO11" s="41"/>
      <c r="AQP11" s="41"/>
      <c r="AQQ11" s="37"/>
      <c r="AQR11" s="37"/>
      <c r="AQS11" s="41"/>
      <c r="AQT11" s="41"/>
      <c r="AQU11" s="41"/>
      <c r="AQV11" s="41"/>
      <c r="AQW11" s="41"/>
      <c r="AQX11" s="41"/>
      <c r="AQY11" s="41"/>
      <c r="AQZ11" s="40"/>
      <c r="ARA11" s="41"/>
      <c r="ARB11" s="41"/>
      <c r="ARC11" s="41"/>
      <c r="ARD11" s="41"/>
      <c r="ARE11" s="41"/>
      <c r="ARF11" s="41"/>
      <c r="ARG11" s="37"/>
      <c r="ARH11" s="37"/>
      <c r="ARI11" s="41"/>
      <c r="ARJ11" s="41"/>
      <c r="ARK11" s="41"/>
      <c r="ARL11" s="41"/>
      <c r="ARM11" s="41"/>
      <c r="ARN11" s="41"/>
      <c r="ARO11" s="41"/>
      <c r="ARP11" s="40"/>
      <c r="ARQ11" s="41"/>
      <c r="ARR11" s="41"/>
      <c r="ARS11" s="41"/>
      <c r="ART11" s="41"/>
      <c r="ARU11" s="41"/>
      <c r="ARV11" s="41"/>
      <c r="ARW11" s="37"/>
      <c r="ARX11" s="37"/>
      <c r="ARY11" s="41"/>
      <c r="ARZ11" s="41"/>
      <c r="ASA11" s="41"/>
      <c r="ASB11" s="41"/>
      <c r="ASC11" s="41"/>
      <c r="ASD11" s="41"/>
      <c r="ASE11" s="41"/>
      <c r="ASF11" s="40"/>
      <c r="ASG11" s="41"/>
      <c r="ASH11" s="41"/>
      <c r="ASI11" s="41"/>
      <c r="ASJ11" s="41"/>
      <c r="ASK11" s="41"/>
      <c r="ASL11" s="41"/>
      <c r="ASM11" s="37"/>
      <c r="ASN11" s="37"/>
      <c r="ASO11" s="41"/>
      <c r="ASP11" s="41"/>
      <c r="ASQ11" s="41"/>
      <c r="ASR11" s="41"/>
      <c r="ASS11" s="41"/>
      <c r="AST11" s="41"/>
      <c r="ASU11" s="41"/>
      <c r="ASV11" s="40"/>
      <c r="ASW11" s="41"/>
      <c r="ASX11" s="41"/>
      <c r="ASY11" s="41"/>
      <c r="ASZ11" s="41"/>
      <c r="ATA11" s="41"/>
      <c r="ATB11" s="41"/>
      <c r="ATC11" s="37"/>
      <c r="ATD11" s="37"/>
      <c r="ATE11" s="41"/>
      <c r="ATF11" s="41"/>
      <c r="ATG11" s="41"/>
      <c r="ATH11" s="41"/>
      <c r="ATI11" s="41"/>
      <c r="ATJ11" s="41"/>
      <c r="ATK11" s="41"/>
      <c r="ATL11" s="40"/>
      <c r="ATM11" s="41"/>
      <c r="ATN11" s="41"/>
      <c r="ATO11" s="41"/>
      <c r="ATP11" s="41"/>
      <c r="ATQ11" s="41"/>
      <c r="ATR11" s="41"/>
      <c r="ATS11" s="37"/>
      <c r="ATT11" s="37"/>
      <c r="ATU11" s="41"/>
      <c r="ATV11" s="41"/>
      <c r="ATW11" s="41"/>
      <c r="ATX11" s="41"/>
      <c r="ATY11" s="41"/>
      <c r="ATZ11" s="41"/>
      <c r="AUA11" s="41"/>
      <c r="AUB11" s="40"/>
      <c r="AUC11" s="41"/>
      <c r="AUD11" s="41"/>
      <c r="AUE11" s="41"/>
      <c r="AUF11" s="41"/>
      <c r="AUG11" s="41"/>
      <c r="AUH11" s="41"/>
      <c r="AUI11" s="37"/>
      <c r="AUJ11" s="37"/>
      <c r="AUK11" s="41"/>
      <c r="AUL11" s="41"/>
      <c r="AUM11" s="41"/>
      <c r="AUN11" s="41"/>
      <c r="AUO11" s="41"/>
      <c r="AUP11" s="41"/>
      <c r="AUQ11" s="41"/>
      <c r="AUR11" s="40"/>
      <c r="AUS11" s="41"/>
      <c r="AUT11" s="41"/>
      <c r="AUU11" s="41"/>
      <c r="AUV11" s="41"/>
      <c r="AUW11" s="41"/>
      <c r="AUX11" s="41"/>
      <c r="AUY11" s="37"/>
      <c r="AUZ11" s="37"/>
      <c r="AVA11" s="41"/>
      <c r="AVB11" s="41"/>
      <c r="AVC11" s="41"/>
      <c r="AVD11" s="41"/>
      <c r="AVE11" s="41"/>
      <c r="AVF11" s="41"/>
      <c r="AVG11" s="41"/>
      <c r="AVH11" s="40"/>
      <c r="AVI11" s="41"/>
      <c r="AVJ11" s="41"/>
      <c r="AVK11" s="41"/>
      <c r="AVL11" s="41"/>
      <c r="AVM11" s="41"/>
      <c r="AVN11" s="41"/>
      <c r="AVO11" s="37"/>
      <c r="AVP11" s="37"/>
      <c r="AVQ11" s="41"/>
      <c r="AVR11" s="41"/>
      <c r="AVS11" s="41"/>
      <c r="AVT11" s="41"/>
      <c r="AVU11" s="41"/>
      <c r="AVV11" s="41"/>
      <c r="AVW11" s="41"/>
      <c r="AVX11" s="40"/>
      <c r="AVY11" s="41"/>
      <c r="AVZ11" s="41"/>
      <c r="AWA11" s="41"/>
      <c r="AWB11" s="41"/>
      <c r="AWC11" s="41"/>
      <c r="AWD11" s="41"/>
      <c r="AWE11" s="37"/>
      <c r="AWF11" s="37"/>
      <c r="AWG11" s="41"/>
      <c r="AWH11" s="41"/>
      <c r="AWI11" s="41"/>
      <c r="AWJ11" s="41"/>
      <c r="AWK11" s="41"/>
      <c r="AWL11" s="41"/>
      <c r="AWM11" s="41"/>
      <c r="AWN11" s="40"/>
      <c r="AWO11" s="41"/>
      <c r="AWP11" s="41"/>
      <c r="AWQ11" s="41"/>
      <c r="AWR11" s="41"/>
      <c r="AWS11" s="41"/>
      <c r="AWT11" s="41"/>
      <c r="AWU11" s="37"/>
      <c r="AWV11" s="37"/>
      <c r="AWW11" s="41"/>
      <c r="AWX11" s="41"/>
      <c r="AWY11" s="41"/>
      <c r="AWZ11" s="41"/>
      <c r="AXA11" s="41"/>
      <c r="AXB11" s="41"/>
      <c r="AXC11" s="41"/>
      <c r="AXD11" s="40"/>
      <c r="AXE11" s="41"/>
      <c r="AXF11" s="41"/>
      <c r="AXG11" s="41"/>
      <c r="AXH11" s="41"/>
      <c r="AXI11" s="41"/>
      <c r="AXJ11" s="41"/>
      <c r="AXK11" s="37"/>
      <c r="AXL11" s="37"/>
      <c r="AXM11" s="41"/>
      <c r="AXN11" s="41"/>
      <c r="AXO11" s="41"/>
      <c r="AXP11" s="41"/>
      <c r="AXQ11" s="41"/>
      <c r="AXR11" s="41"/>
      <c r="AXS11" s="41"/>
      <c r="AXT11" s="40"/>
      <c r="AXU11" s="41"/>
      <c r="AXV11" s="41"/>
      <c r="AXW11" s="41"/>
      <c r="AXX11" s="41"/>
      <c r="AXY11" s="41"/>
      <c r="AXZ11" s="41"/>
      <c r="AYA11" s="37"/>
      <c r="AYB11" s="37"/>
      <c r="AYC11" s="41"/>
      <c r="AYD11" s="41"/>
      <c r="AYE11" s="41"/>
      <c r="AYF11" s="41"/>
      <c r="AYG11" s="41"/>
      <c r="AYH11" s="41"/>
      <c r="AYI11" s="41"/>
      <c r="AYJ11" s="40"/>
      <c r="AYK11" s="41"/>
      <c r="AYL11" s="41"/>
      <c r="AYM11" s="41"/>
      <c r="AYN11" s="41"/>
      <c r="AYO11" s="41"/>
      <c r="AYP11" s="41"/>
      <c r="AYQ11" s="37"/>
      <c r="AYR11" s="37"/>
      <c r="AYS11" s="41"/>
      <c r="AYT11" s="41"/>
      <c r="AYU11" s="41"/>
      <c r="AYV11" s="41"/>
      <c r="AYW11" s="41"/>
      <c r="AYX11" s="41"/>
      <c r="AYY11" s="41"/>
      <c r="AYZ11" s="40"/>
      <c r="AZA11" s="41"/>
      <c r="AZB11" s="41"/>
      <c r="AZC11" s="41"/>
      <c r="AZD11" s="41"/>
      <c r="AZE11" s="41"/>
      <c r="AZF11" s="41"/>
      <c r="AZG11" s="37"/>
      <c r="AZH11" s="37"/>
      <c r="AZI11" s="41"/>
      <c r="AZJ11" s="41"/>
      <c r="AZK11" s="41"/>
      <c r="AZL11" s="41"/>
      <c r="AZM11" s="41"/>
      <c r="AZN11" s="41"/>
      <c r="AZO11" s="41"/>
      <c r="AZP11" s="40"/>
      <c r="AZQ11" s="41"/>
      <c r="AZR11" s="41"/>
      <c r="AZS11" s="41"/>
      <c r="AZT11" s="41"/>
      <c r="AZU11" s="41"/>
      <c r="AZV11" s="41"/>
      <c r="AZW11" s="37"/>
      <c r="AZX11" s="37"/>
      <c r="AZY11" s="41"/>
      <c r="AZZ11" s="41"/>
      <c r="BAA11" s="41"/>
      <c r="BAB11" s="41"/>
      <c r="BAC11" s="41"/>
      <c r="BAD11" s="41"/>
      <c r="BAE11" s="41"/>
      <c r="BAF11" s="40"/>
      <c r="BAG11" s="41"/>
      <c r="BAH11" s="41"/>
      <c r="BAI11" s="41"/>
      <c r="BAJ11" s="41"/>
      <c r="BAK11" s="41"/>
      <c r="BAL11" s="41"/>
      <c r="BAM11" s="37"/>
      <c r="BAN11" s="37"/>
      <c r="BAO11" s="41"/>
      <c r="BAP11" s="41"/>
      <c r="BAQ11" s="41"/>
      <c r="BAR11" s="41"/>
      <c r="BAS11" s="41"/>
      <c r="BAT11" s="41"/>
      <c r="BAU11" s="41"/>
      <c r="BAV11" s="40"/>
      <c r="BAW11" s="41"/>
      <c r="BAX11" s="41"/>
      <c r="BAY11" s="41"/>
      <c r="BAZ11" s="41"/>
      <c r="BBA11" s="41"/>
      <c r="BBB11" s="41"/>
      <c r="BBC11" s="37"/>
      <c r="BBD11" s="37"/>
      <c r="BBE11" s="41"/>
      <c r="BBF11" s="41"/>
      <c r="BBG11" s="41"/>
      <c r="BBH11" s="41"/>
      <c r="BBI11" s="41"/>
      <c r="BBJ11" s="41"/>
      <c r="BBK11" s="41"/>
      <c r="BBL11" s="40"/>
      <c r="BBM11" s="41"/>
      <c r="BBN11" s="41"/>
      <c r="BBO11" s="41"/>
      <c r="BBP11" s="41"/>
      <c r="BBQ11" s="41"/>
      <c r="BBR11" s="41"/>
      <c r="BBS11" s="37"/>
      <c r="BBT11" s="37"/>
      <c r="BBU11" s="41"/>
      <c r="BBV11" s="41"/>
      <c r="BBW11" s="41"/>
      <c r="BBX11" s="41"/>
      <c r="BBY11" s="41"/>
      <c r="BBZ11" s="41"/>
      <c r="BCA11" s="41"/>
      <c r="BCB11" s="40"/>
      <c r="BCC11" s="41"/>
      <c r="BCD11" s="41"/>
      <c r="BCE11" s="41"/>
      <c r="BCF11" s="41"/>
      <c r="BCG11" s="41"/>
      <c r="BCH11" s="41"/>
      <c r="BCI11" s="37"/>
      <c r="BCJ11" s="37"/>
      <c r="BCK11" s="41"/>
      <c r="BCL11" s="41"/>
      <c r="BCM11" s="41"/>
      <c r="BCN11" s="41"/>
      <c r="BCO11" s="41"/>
      <c r="BCP11" s="41"/>
      <c r="BCQ11" s="49" t="s">
        <v>81</v>
      </c>
      <c r="BCR11" s="283"/>
      <c r="BCS11" s="259" t="s">
        <v>55</v>
      </c>
      <c r="BCT11" s="256" t="s">
        <v>76</v>
      </c>
      <c r="BCU11" s="256" t="s">
        <v>77</v>
      </c>
      <c r="BCV11" s="256" t="s">
        <v>78</v>
      </c>
      <c r="BCW11" s="256" t="s">
        <v>79</v>
      </c>
      <c r="BCX11" s="256" t="s">
        <v>80</v>
      </c>
      <c r="BCY11" s="58" t="s">
        <v>81</v>
      </c>
      <c r="BCZ11" s="284"/>
      <c r="BDA11" s="259" t="s">
        <v>55</v>
      </c>
      <c r="BDB11" s="256" t="s">
        <v>76</v>
      </c>
      <c r="BDC11" s="256" t="s">
        <v>77</v>
      </c>
      <c r="BDD11" s="256" t="s">
        <v>78</v>
      </c>
      <c r="BDE11" s="256" t="s">
        <v>79</v>
      </c>
      <c r="BDF11" s="256" t="s">
        <v>80</v>
      </c>
      <c r="BDG11" s="256" t="s">
        <v>81</v>
      </c>
      <c r="BDH11" s="283"/>
      <c r="BDI11" s="259" t="s">
        <v>55</v>
      </c>
      <c r="BDJ11" s="256" t="s">
        <v>76</v>
      </c>
      <c r="BDK11" s="256" t="s">
        <v>77</v>
      </c>
      <c r="BDL11" s="256" t="s">
        <v>78</v>
      </c>
      <c r="BDM11" s="256" t="s">
        <v>79</v>
      </c>
      <c r="BDN11" s="256" t="s">
        <v>80</v>
      </c>
      <c r="BDO11" s="58" t="s">
        <v>81</v>
      </c>
      <c r="BDP11" s="284"/>
      <c r="BDQ11" s="259" t="s">
        <v>55</v>
      </c>
      <c r="BDR11" s="256" t="s">
        <v>76</v>
      </c>
      <c r="BDS11" s="256" t="s">
        <v>77</v>
      </c>
      <c r="BDT11" s="256" t="s">
        <v>78</v>
      </c>
      <c r="BDU11" s="256" t="s">
        <v>79</v>
      </c>
      <c r="BDV11" s="256" t="s">
        <v>80</v>
      </c>
      <c r="BDW11" s="256" t="s">
        <v>81</v>
      </c>
      <c r="BDX11" s="283"/>
      <c r="BDY11" s="259" t="s">
        <v>55</v>
      </c>
      <c r="BDZ11" s="256" t="s">
        <v>76</v>
      </c>
      <c r="BEA11" s="256" t="s">
        <v>77</v>
      </c>
      <c r="BEB11" s="256" t="s">
        <v>78</v>
      </c>
      <c r="BEC11" s="256" t="s">
        <v>79</v>
      </c>
      <c r="BED11" s="256" t="s">
        <v>80</v>
      </c>
      <c r="BEE11" s="58" t="s">
        <v>81</v>
      </c>
      <c r="BEF11" s="284"/>
      <c r="BEG11" s="259" t="s">
        <v>55</v>
      </c>
      <c r="BEH11" s="256" t="s">
        <v>76</v>
      </c>
      <c r="BEI11" s="256" t="s">
        <v>77</v>
      </c>
      <c r="BEJ11" s="256" t="s">
        <v>78</v>
      </c>
      <c r="BEK11" s="256" t="s">
        <v>79</v>
      </c>
      <c r="BEL11" s="256" t="s">
        <v>80</v>
      </c>
      <c r="BEM11" s="256" t="s">
        <v>81</v>
      </c>
      <c r="BEN11" s="283"/>
      <c r="BEO11" s="259" t="s">
        <v>55</v>
      </c>
      <c r="BEP11" s="256" t="s">
        <v>76</v>
      </c>
      <c r="BEQ11" s="256" t="s">
        <v>77</v>
      </c>
      <c r="BER11" s="256" t="s">
        <v>78</v>
      </c>
      <c r="BES11" s="256" t="s">
        <v>79</v>
      </c>
      <c r="BET11" s="256" t="s">
        <v>80</v>
      </c>
      <c r="BEU11" s="58" t="s">
        <v>81</v>
      </c>
      <c r="BEV11" s="284"/>
      <c r="BEW11" s="259" t="s">
        <v>55</v>
      </c>
      <c r="BEX11" s="256" t="s">
        <v>76</v>
      </c>
      <c r="BEY11" s="256" t="s">
        <v>77</v>
      </c>
      <c r="BEZ11" s="256" t="s">
        <v>78</v>
      </c>
      <c r="BFA11" s="256" t="s">
        <v>79</v>
      </c>
      <c r="BFB11" s="256" t="s">
        <v>80</v>
      </c>
      <c r="BFC11" s="256" t="s">
        <v>81</v>
      </c>
      <c r="BFD11" s="283"/>
      <c r="BFE11" s="259" t="s">
        <v>55</v>
      </c>
      <c r="BFF11" s="256" t="s">
        <v>76</v>
      </c>
      <c r="BFG11" s="256" t="s">
        <v>77</v>
      </c>
      <c r="BFH11" s="256" t="s">
        <v>78</v>
      </c>
      <c r="BFI11" s="256" t="s">
        <v>79</v>
      </c>
      <c r="BFJ11" s="256" t="s">
        <v>80</v>
      </c>
      <c r="BFK11" s="58" t="s">
        <v>81</v>
      </c>
      <c r="BFL11" s="284"/>
      <c r="BFM11" s="259" t="s">
        <v>55</v>
      </c>
      <c r="BFN11" s="256" t="s">
        <v>76</v>
      </c>
      <c r="BFO11" s="256" t="s">
        <v>77</v>
      </c>
      <c r="BFP11" s="256" t="s">
        <v>78</v>
      </c>
      <c r="BFQ11" s="256" t="s">
        <v>79</v>
      </c>
      <c r="BFR11" s="256" t="s">
        <v>80</v>
      </c>
      <c r="BFS11" s="256" t="s">
        <v>81</v>
      </c>
      <c r="BFT11" s="283"/>
      <c r="BFU11" s="259" t="s">
        <v>55</v>
      </c>
      <c r="BFV11" s="256" t="s">
        <v>76</v>
      </c>
      <c r="BFW11" s="256" t="s">
        <v>77</v>
      </c>
      <c r="BFX11" s="256" t="s">
        <v>78</v>
      </c>
      <c r="BFY11" s="256" t="s">
        <v>79</v>
      </c>
      <c r="BFZ11" s="256" t="s">
        <v>80</v>
      </c>
      <c r="BGA11" s="58" t="s">
        <v>81</v>
      </c>
      <c r="BGB11" s="284"/>
      <c r="BGC11" s="259" t="s">
        <v>55</v>
      </c>
      <c r="BGD11" s="256" t="s">
        <v>76</v>
      </c>
      <c r="BGE11" s="256" t="s">
        <v>77</v>
      </c>
      <c r="BGF11" s="256" t="s">
        <v>78</v>
      </c>
      <c r="BGG11" s="256" t="s">
        <v>79</v>
      </c>
      <c r="BGH11" s="256" t="s">
        <v>80</v>
      </c>
      <c r="BGI11" s="256" t="s">
        <v>81</v>
      </c>
      <c r="BGJ11" s="283"/>
      <c r="BGK11" s="259" t="s">
        <v>55</v>
      </c>
      <c r="BGL11" s="256" t="s">
        <v>76</v>
      </c>
      <c r="BGM11" s="256" t="s">
        <v>77</v>
      </c>
      <c r="BGN11" s="256" t="s">
        <v>78</v>
      </c>
      <c r="BGO11" s="256" t="s">
        <v>79</v>
      </c>
      <c r="BGP11" s="256" t="s">
        <v>80</v>
      </c>
      <c r="BGQ11" s="58" t="s">
        <v>81</v>
      </c>
      <c r="BGR11" s="284"/>
      <c r="BGS11" s="259" t="s">
        <v>55</v>
      </c>
      <c r="BGT11" s="256" t="s">
        <v>76</v>
      </c>
      <c r="BGU11" s="256" t="s">
        <v>77</v>
      </c>
      <c r="BGV11" s="256" t="s">
        <v>78</v>
      </c>
      <c r="BGW11" s="256" t="s">
        <v>79</v>
      </c>
      <c r="BGX11" s="256" t="s">
        <v>80</v>
      </c>
      <c r="BGY11" s="256" t="s">
        <v>81</v>
      </c>
      <c r="BGZ11" s="283"/>
      <c r="BHA11" s="259" t="s">
        <v>55</v>
      </c>
      <c r="BHB11" s="256" t="s">
        <v>76</v>
      </c>
      <c r="BHC11" s="256" t="s">
        <v>77</v>
      </c>
      <c r="BHD11" s="256" t="s">
        <v>78</v>
      </c>
      <c r="BHE11" s="256" t="s">
        <v>79</v>
      </c>
      <c r="BHF11" s="256" t="s">
        <v>80</v>
      </c>
      <c r="BHG11" s="58" t="s">
        <v>81</v>
      </c>
      <c r="BHH11" s="284"/>
      <c r="BHI11" s="259" t="s">
        <v>55</v>
      </c>
      <c r="BHJ11" s="256" t="s">
        <v>76</v>
      </c>
      <c r="BHK11" s="256" t="s">
        <v>77</v>
      </c>
      <c r="BHL11" s="256" t="s">
        <v>78</v>
      </c>
      <c r="BHM11" s="256" t="s">
        <v>79</v>
      </c>
      <c r="BHN11" s="256" t="s">
        <v>80</v>
      </c>
      <c r="BHO11" s="256" t="s">
        <v>81</v>
      </c>
      <c r="BHP11" s="283"/>
      <c r="BHQ11" s="259" t="s">
        <v>55</v>
      </c>
      <c r="BHR11" s="256" t="s">
        <v>76</v>
      </c>
      <c r="BHS11" s="256" t="s">
        <v>77</v>
      </c>
      <c r="BHT11" s="256" t="s">
        <v>78</v>
      </c>
      <c r="BHU11" s="256" t="s">
        <v>79</v>
      </c>
      <c r="BHV11" s="256" t="s">
        <v>80</v>
      </c>
      <c r="BHW11" s="58" t="s">
        <v>81</v>
      </c>
      <c r="BHX11" s="284"/>
      <c r="BHY11" s="259" t="s">
        <v>55</v>
      </c>
      <c r="BHZ11" s="256" t="s">
        <v>76</v>
      </c>
      <c r="BIA11" s="256" t="s">
        <v>77</v>
      </c>
      <c r="BIB11" s="256" t="s">
        <v>78</v>
      </c>
      <c r="BIC11" s="256" t="s">
        <v>79</v>
      </c>
      <c r="BID11" s="256" t="s">
        <v>80</v>
      </c>
      <c r="BIE11" s="256" t="s">
        <v>81</v>
      </c>
      <c r="BIF11" s="283"/>
      <c r="BIG11" s="259" t="s">
        <v>55</v>
      </c>
      <c r="BIH11" s="256" t="s">
        <v>76</v>
      </c>
      <c r="BII11" s="256" t="s">
        <v>77</v>
      </c>
      <c r="BIJ11" s="256" t="s">
        <v>78</v>
      </c>
      <c r="BIK11" s="256" t="s">
        <v>79</v>
      </c>
      <c r="BIL11" s="256" t="s">
        <v>80</v>
      </c>
      <c r="BIM11" s="58" t="s">
        <v>81</v>
      </c>
      <c r="BIN11" s="284"/>
      <c r="BIO11" s="259" t="s">
        <v>55</v>
      </c>
      <c r="BIP11" s="256" t="s">
        <v>76</v>
      </c>
      <c r="BIQ11" s="256" t="s">
        <v>77</v>
      </c>
      <c r="BIR11" s="256" t="s">
        <v>78</v>
      </c>
      <c r="BIS11" s="256" t="s">
        <v>79</v>
      </c>
      <c r="BIT11" s="256" t="s">
        <v>80</v>
      </c>
      <c r="BIU11" s="256" t="s">
        <v>81</v>
      </c>
      <c r="BIV11" s="283"/>
      <c r="BIW11" s="259" t="s">
        <v>55</v>
      </c>
      <c r="BIX11" s="256" t="s">
        <v>76</v>
      </c>
      <c r="BIY11" s="256" t="s">
        <v>77</v>
      </c>
      <c r="BIZ11" s="256" t="s">
        <v>78</v>
      </c>
      <c r="BJA11" s="256" t="s">
        <v>79</v>
      </c>
      <c r="BJB11" s="256" t="s">
        <v>80</v>
      </c>
      <c r="BJC11" s="58" t="s">
        <v>81</v>
      </c>
      <c r="BJD11" s="284"/>
      <c r="BJE11" s="259" t="s">
        <v>55</v>
      </c>
      <c r="BJF11" s="256" t="s">
        <v>76</v>
      </c>
      <c r="BJG11" s="256" t="s">
        <v>77</v>
      </c>
      <c r="BJH11" s="256" t="s">
        <v>78</v>
      </c>
      <c r="BJI11" s="256" t="s">
        <v>79</v>
      </c>
      <c r="BJJ11" s="256" t="s">
        <v>80</v>
      </c>
      <c r="BJK11" s="256" t="s">
        <v>81</v>
      </c>
      <c r="BJL11" s="283"/>
      <c r="BJM11" s="259" t="s">
        <v>55</v>
      </c>
      <c r="BJN11" s="256" t="s">
        <v>76</v>
      </c>
      <c r="BJO11" s="256" t="s">
        <v>77</v>
      </c>
      <c r="BJP11" s="256" t="s">
        <v>78</v>
      </c>
      <c r="BJQ11" s="256" t="s">
        <v>79</v>
      </c>
      <c r="BJR11" s="256" t="s">
        <v>80</v>
      </c>
      <c r="BJS11" s="58" t="s">
        <v>81</v>
      </c>
      <c r="BJT11" s="284"/>
      <c r="BJU11" s="259" t="s">
        <v>55</v>
      </c>
      <c r="BJV11" s="256" t="s">
        <v>76</v>
      </c>
      <c r="BJW11" s="256" t="s">
        <v>77</v>
      </c>
      <c r="BJX11" s="256" t="s">
        <v>78</v>
      </c>
      <c r="BJY11" s="256" t="s">
        <v>79</v>
      </c>
      <c r="BJZ11" s="256" t="s">
        <v>80</v>
      </c>
      <c r="BKA11" s="256" t="s">
        <v>81</v>
      </c>
      <c r="BKB11" s="283"/>
      <c r="BKC11" s="259" t="s">
        <v>55</v>
      </c>
      <c r="BKD11" s="256" t="s">
        <v>76</v>
      </c>
      <c r="BKE11" s="256" t="s">
        <v>77</v>
      </c>
      <c r="BKF11" s="256" t="s">
        <v>78</v>
      </c>
      <c r="BKG11" s="256" t="s">
        <v>79</v>
      </c>
      <c r="BKH11" s="256" t="s">
        <v>80</v>
      </c>
      <c r="BKI11" s="58" t="s">
        <v>81</v>
      </c>
      <c r="BKJ11" s="284"/>
      <c r="BKK11" s="259" t="s">
        <v>55</v>
      </c>
      <c r="BKL11" s="256" t="s">
        <v>76</v>
      </c>
      <c r="BKM11" s="256" t="s">
        <v>77</v>
      </c>
      <c r="BKN11" s="256" t="s">
        <v>78</v>
      </c>
      <c r="BKO11" s="256" t="s">
        <v>79</v>
      </c>
      <c r="BKP11" s="256" t="s">
        <v>80</v>
      </c>
      <c r="BKQ11" s="256" t="s">
        <v>81</v>
      </c>
      <c r="BKR11" s="283"/>
      <c r="BKS11" s="259" t="s">
        <v>55</v>
      </c>
      <c r="BKT11" s="256" t="s">
        <v>76</v>
      </c>
      <c r="BKU11" s="256" t="s">
        <v>77</v>
      </c>
      <c r="BKV11" s="256" t="s">
        <v>78</v>
      </c>
      <c r="BKW11" s="256" t="s">
        <v>79</v>
      </c>
      <c r="BKX11" s="256" t="s">
        <v>80</v>
      </c>
      <c r="BKY11" s="58" t="s">
        <v>81</v>
      </c>
      <c r="BKZ11" s="284"/>
      <c r="BLA11" s="259" t="s">
        <v>55</v>
      </c>
      <c r="BLB11" s="256" t="s">
        <v>76</v>
      </c>
      <c r="BLC11" s="256" t="s">
        <v>77</v>
      </c>
      <c r="BLD11" s="256" t="s">
        <v>78</v>
      </c>
      <c r="BLE11" s="256" t="s">
        <v>79</v>
      </c>
      <c r="BLF11" s="256" t="s">
        <v>80</v>
      </c>
      <c r="BLG11" s="256" t="s">
        <v>81</v>
      </c>
      <c r="BLH11" s="283"/>
      <c r="BLI11" s="259" t="s">
        <v>55</v>
      </c>
      <c r="BLJ11" s="256" t="s">
        <v>76</v>
      </c>
      <c r="BLK11" s="256" t="s">
        <v>77</v>
      </c>
      <c r="BLL11" s="256" t="s">
        <v>78</v>
      </c>
      <c r="BLM11" s="256" t="s">
        <v>79</v>
      </c>
      <c r="BLN11" s="256" t="s">
        <v>80</v>
      </c>
      <c r="BLO11" s="58" t="s">
        <v>81</v>
      </c>
      <c r="BLP11" s="284"/>
      <c r="BLQ11" s="259" t="s">
        <v>55</v>
      </c>
      <c r="BLR11" s="256" t="s">
        <v>76</v>
      </c>
      <c r="BLS11" s="256" t="s">
        <v>77</v>
      </c>
      <c r="BLT11" s="256" t="s">
        <v>78</v>
      </c>
      <c r="BLU11" s="256" t="s">
        <v>79</v>
      </c>
      <c r="BLV11" s="256" t="s">
        <v>80</v>
      </c>
      <c r="BLW11" s="256" t="s">
        <v>81</v>
      </c>
      <c r="BLX11" s="283"/>
      <c r="BLY11" s="259" t="s">
        <v>55</v>
      </c>
      <c r="BLZ11" s="256" t="s">
        <v>76</v>
      </c>
      <c r="BMA11" s="256" t="s">
        <v>77</v>
      </c>
      <c r="BMB11" s="256" t="s">
        <v>78</v>
      </c>
      <c r="BMC11" s="256" t="s">
        <v>79</v>
      </c>
      <c r="BMD11" s="256" t="s">
        <v>80</v>
      </c>
      <c r="BME11" s="58" t="s">
        <v>81</v>
      </c>
      <c r="BMF11" s="284"/>
      <c r="BMG11" s="259" t="s">
        <v>55</v>
      </c>
      <c r="BMH11" s="256" t="s">
        <v>76</v>
      </c>
      <c r="BMI11" s="256" t="s">
        <v>77</v>
      </c>
      <c r="BMJ11" s="256" t="s">
        <v>78</v>
      </c>
      <c r="BMK11" s="256" t="s">
        <v>79</v>
      </c>
      <c r="BML11" s="256" t="s">
        <v>80</v>
      </c>
      <c r="BMM11" s="256" t="s">
        <v>81</v>
      </c>
      <c r="BMN11" s="283"/>
      <c r="BMO11" s="259" t="s">
        <v>55</v>
      </c>
      <c r="BMP11" s="256" t="s">
        <v>76</v>
      </c>
      <c r="BMQ11" s="256" t="s">
        <v>77</v>
      </c>
      <c r="BMR11" s="256" t="s">
        <v>78</v>
      </c>
      <c r="BMS11" s="256" t="s">
        <v>79</v>
      </c>
      <c r="BMT11" s="256" t="s">
        <v>80</v>
      </c>
      <c r="BMU11" s="58" t="s">
        <v>81</v>
      </c>
      <c r="BMV11" s="284"/>
      <c r="BMW11" s="259" t="s">
        <v>55</v>
      </c>
      <c r="BMX11" s="256" t="s">
        <v>76</v>
      </c>
      <c r="BMY11" s="256" t="s">
        <v>77</v>
      </c>
      <c r="BMZ11" s="256" t="s">
        <v>78</v>
      </c>
      <c r="BNA11" s="256" t="s">
        <v>79</v>
      </c>
      <c r="BNB11" s="256" t="s">
        <v>80</v>
      </c>
      <c r="BNC11" s="256" t="s">
        <v>81</v>
      </c>
      <c r="BND11" s="283"/>
      <c r="BNE11" s="259" t="s">
        <v>55</v>
      </c>
      <c r="BNF11" s="256" t="s">
        <v>76</v>
      </c>
      <c r="BNG11" s="256" t="s">
        <v>77</v>
      </c>
      <c r="BNH11" s="256" t="s">
        <v>78</v>
      </c>
      <c r="BNI11" s="256" t="s">
        <v>79</v>
      </c>
      <c r="BNJ11" s="256" t="s">
        <v>80</v>
      </c>
      <c r="BNK11" s="58" t="s">
        <v>81</v>
      </c>
      <c r="BNL11" s="284"/>
      <c r="BNM11" s="259" t="s">
        <v>55</v>
      </c>
      <c r="BNN11" s="256" t="s">
        <v>76</v>
      </c>
      <c r="BNO11" s="256" t="s">
        <v>77</v>
      </c>
      <c r="BNP11" s="256" t="s">
        <v>78</v>
      </c>
      <c r="BNQ11" s="256" t="s">
        <v>79</v>
      </c>
      <c r="BNR11" s="256" t="s">
        <v>80</v>
      </c>
      <c r="BNS11" s="256" t="s">
        <v>81</v>
      </c>
      <c r="BNT11" s="283"/>
      <c r="BNU11" s="259" t="s">
        <v>55</v>
      </c>
      <c r="BNV11" s="256" t="s">
        <v>76</v>
      </c>
      <c r="BNW11" s="256" t="s">
        <v>77</v>
      </c>
      <c r="BNX11" s="256" t="s">
        <v>78</v>
      </c>
      <c r="BNY11" s="256" t="s">
        <v>79</v>
      </c>
      <c r="BNZ11" s="256" t="s">
        <v>80</v>
      </c>
      <c r="BOA11" s="58" t="s">
        <v>81</v>
      </c>
      <c r="BOB11" s="284"/>
      <c r="BOC11" s="259" t="s">
        <v>55</v>
      </c>
      <c r="BOD11" s="256" t="s">
        <v>76</v>
      </c>
      <c r="BOE11" s="256" t="s">
        <v>77</v>
      </c>
      <c r="BOF11" s="256" t="s">
        <v>78</v>
      </c>
      <c r="BOG11" s="256" t="s">
        <v>79</v>
      </c>
      <c r="BOH11" s="256" t="s">
        <v>80</v>
      </c>
      <c r="BOI11" s="256" t="s">
        <v>81</v>
      </c>
      <c r="BOJ11" s="283"/>
      <c r="BOK11" s="259" t="s">
        <v>55</v>
      </c>
      <c r="BOL11" s="256" t="s">
        <v>76</v>
      </c>
      <c r="BOM11" s="256" t="s">
        <v>77</v>
      </c>
      <c r="BON11" s="256" t="s">
        <v>78</v>
      </c>
      <c r="BOO11" s="256" t="s">
        <v>79</v>
      </c>
      <c r="BOP11" s="256" t="s">
        <v>80</v>
      </c>
      <c r="BOQ11" s="58" t="s">
        <v>81</v>
      </c>
      <c r="BOR11" s="284"/>
      <c r="BOS11" s="259" t="s">
        <v>55</v>
      </c>
      <c r="BOT11" s="256" t="s">
        <v>76</v>
      </c>
      <c r="BOU11" s="256" t="s">
        <v>77</v>
      </c>
      <c r="BOV11" s="256" t="s">
        <v>78</v>
      </c>
      <c r="BOW11" s="256" t="s">
        <v>79</v>
      </c>
      <c r="BOX11" s="256" t="s">
        <v>80</v>
      </c>
      <c r="BOY11" s="256" t="s">
        <v>81</v>
      </c>
      <c r="BOZ11" s="283"/>
      <c r="BPA11" s="259" t="s">
        <v>55</v>
      </c>
      <c r="BPB11" s="256" t="s">
        <v>76</v>
      </c>
      <c r="BPC11" s="256" t="s">
        <v>77</v>
      </c>
      <c r="BPD11" s="256" t="s">
        <v>78</v>
      </c>
      <c r="BPE11" s="256" t="s">
        <v>79</v>
      </c>
      <c r="BPF11" s="256" t="s">
        <v>80</v>
      </c>
      <c r="BPG11" s="58" t="s">
        <v>81</v>
      </c>
      <c r="BPH11" s="284"/>
      <c r="BPI11" s="259" t="s">
        <v>55</v>
      </c>
      <c r="BPJ11" s="256" t="s">
        <v>76</v>
      </c>
      <c r="BPK11" s="256" t="s">
        <v>77</v>
      </c>
      <c r="BPL11" s="256" t="s">
        <v>78</v>
      </c>
      <c r="BPM11" s="256" t="s">
        <v>79</v>
      </c>
      <c r="BPN11" s="256" t="s">
        <v>80</v>
      </c>
      <c r="BPO11" s="256" t="s">
        <v>81</v>
      </c>
      <c r="BPP11" s="283"/>
      <c r="BPQ11" s="259" t="s">
        <v>55</v>
      </c>
      <c r="BPR11" s="256" t="s">
        <v>76</v>
      </c>
      <c r="BPS11" s="256" t="s">
        <v>77</v>
      </c>
      <c r="BPT11" s="256" t="s">
        <v>78</v>
      </c>
      <c r="BPU11" s="256" t="s">
        <v>79</v>
      </c>
      <c r="BPV11" s="256" t="s">
        <v>80</v>
      </c>
      <c r="BPW11" s="58" t="s">
        <v>81</v>
      </c>
      <c r="BPX11" s="284"/>
      <c r="BPY11" s="259" t="s">
        <v>55</v>
      </c>
      <c r="BPZ11" s="256" t="s">
        <v>76</v>
      </c>
      <c r="BQA11" s="256" t="s">
        <v>77</v>
      </c>
      <c r="BQB11" s="256" t="s">
        <v>78</v>
      </c>
      <c r="BQC11" s="256" t="s">
        <v>79</v>
      </c>
      <c r="BQD11" s="256" t="s">
        <v>80</v>
      </c>
      <c r="BQE11" s="256" t="s">
        <v>81</v>
      </c>
      <c r="BQF11" s="283"/>
      <c r="BQG11" s="259" t="s">
        <v>55</v>
      </c>
      <c r="BQH11" s="256" t="s">
        <v>76</v>
      </c>
      <c r="BQI11" s="256" t="s">
        <v>77</v>
      </c>
      <c r="BQJ11" s="256" t="s">
        <v>78</v>
      </c>
      <c r="BQK11" s="256" t="s">
        <v>79</v>
      </c>
      <c r="BQL11" s="256" t="s">
        <v>80</v>
      </c>
      <c r="BQM11" s="58" t="s">
        <v>81</v>
      </c>
      <c r="BQN11" s="284"/>
      <c r="BQO11" s="259" t="s">
        <v>55</v>
      </c>
      <c r="BQP11" s="256" t="s">
        <v>76</v>
      </c>
      <c r="BQQ11" s="256" t="s">
        <v>77</v>
      </c>
      <c r="BQR11" s="256" t="s">
        <v>78</v>
      </c>
      <c r="BQS11" s="256" t="s">
        <v>79</v>
      </c>
      <c r="BQT11" s="256" t="s">
        <v>80</v>
      </c>
      <c r="BQU11" s="256" t="s">
        <v>81</v>
      </c>
      <c r="BQV11" s="283"/>
      <c r="BQW11" s="259" t="s">
        <v>55</v>
      </c>
      <c r="BQX11" s="256" t="s">
        <v>76</v>
      </c>
      <c r="BQY11" s="256" t="s">
        <v>77</v>
      </c>
      <c r="BQZ11" s="256" t="s">
        <v>78</v>
      </c>
      <c r="BRA11" s="256" t="s">
        <v>79</v>
      </c>
      <c r="BRB11" s="256" t="s">
        <v>80</v>
      </c>
      <c r="BRC11" s="58" t="s">
        <v>81</v>
      </c>
      <c r="BRD11" s="284"/>
      <c r="BRE11" s="259" t="s">
        <v>55</v>
      </c>
      <c r="BRF11" s="256" t="s">
        <v>76</v>
      </c>
      <c r="BRG11" s="256" t="s">
        <v>77</v>
      </c>
      <c r="BRH11" s="256" t="s">
        <v>78</v>
      </c>
      <c r="BRI11" s="256" t="s">
        <v>79</v>
      </c>
      <c r="BRJ11" s="256" t="s">
        <v>80</v>
      </c>
      <c r="BRK11" s="256" t="s">
        <v>81</v>
      </c>
      <c r="BRL11" s="283"/>
      <c r="BRM11" s="259" t="s">
        <v>55</v>
      </c>
      <c r="BRN11" s="256" t="s">
        <v>76</v>
      </c>
      <c r="BRO11" s="256" t="s">
        <v>77</v>
      </c>
      <c r="BRP11" s="256" t="s">
        <v>78</v>
      </c>
      <c r="BRQ11" s="256" t="s">
        <v>79</v>
      </c>
      <c r="BRR11" s="256" t="s">
        <v>80</v>
      </c>
      <c r="BRS11" s="58" t="s">
        <v>81</v>
      </c>
      <c r="BRT11" s="284"/>
      <c r="BRU11" s="259" t="s">
        <v>55</v>
      </c>
      <c r="BRV11" s="256" t="s">
        <v>76</v>
      </c>
      <c r="BRW11" s="256" t="s">
        <v>77</v>
      </c>
      <c r="BRX11" s="256" t="s">
        <v>78</v>
      </c>
      <c r="BRY11" s="256" t="s">
        <v>79</v>
      </c>
      <c r="BRZ11" s="256" t="s">
        <v>80</v>
      </c>
      <c r="BSA11" s="256" t="s">
        <v>81</v>
      </c>
      <c r="BSB11" s="283"/>
      <c r="BSC11" s="259" t="s">
        <v>55</v>
      </c>
      <c r="BSD11" s="256" t="s">
        <v>76</v>
      </c>
      <c r="BSE11" s="256" t="s">
        <v>77</v>
      </c>
      <c r="BSF11" s="256" t="s">
        <v>78</v>
      </c>
      <c r="BSG11" s="256" t="s">
        <v>79</v>
      </c>
      <c r="BSH11" s="256" t="s">
        <v>80</v>
      </c>
      <c r="BSI11" s="58" t="s">
        <v>81</v>
      </c>
      <c r="BSJ11" s="284"/>
      <c r="BSK11" s="259" t="s">
        <v>55</v>
      </c>
      <c r="BSL11" s="256" t="s">
        <v>76</v>
      </c>
      <c r="BSM11" s="256" t="s">
        <v>77</v>
      </c>
      <c r="BSN11" s="256" t="s">
        <v>78</v>
      </c>
      <c r="BSO11" s="256" t="s">
        <v>79</v>
      </c>
      <c r="BSP11" s="256" t="s">
        <v>80</v>
      </c>
      <c r="BSQ11" s="256" t="s">
        <v>81</v>
      </c>
      <c r="BSR11" s="283"/>
      <c r="BSS11" s="259" t="s">
        <v>55</v>
      </c>
      <c r="BST11" s="256" t="s">
        <v>76</v>
      </c>
      <c r="BSU11" s="256" t="s">
        <v>77</v>
      </c>
      <c r="BSV11" s="256" t="s">
        <v>78</v>
      </c>
      <c r="BSW11" s="256" t="s">
        <v>79</v>
      </c>
      <c r="BSX11" s="256" t="s">
        <v>80</v>
      </c>
      <c r="BSY11" s="58" t="s">
        <v>81</v>
      </c>
      <c r="BSZ11" s="284"/>
      <c r="BTA11" s="259" t="s">
        <v>55</v>
      </c>
      <c r="BTB11" s="256" t="s">
        <v>76</v>
      </c>
      <c r="BTC11" s="256" t="s">
        <v>77</v>
      </c>
      <c r="BTD11" s="256" t="s">
        <v>78</v>
      </c>
      <c r="BTE11" s="256" t="s">
        <v>79</v>
      </c>
      <c r="BTF11" s="256" t="s">
        <v>80</v>
      </c>
      <c r="BTG11" s="256" t="s">
        <v>81</v>
      </c>
      <c r="BTH11" s="283"/>
      <c r="BTI11" s="259" t="s">
        <v>55</v>
      </c>
      <c r="BTJ11" s="256" t="s">
        <v>76</v>
      </c>
      <c r="BTK11" s="256" t="s">
        <v>77</v>
      </c>
      <c r="BTL11" s="256" t="s">
        <v>78</v>
      </c>
      <c r="BTM11" s="256" t="s">
        <v>79</v>
      </c>
      <c r="BTN11" s="256" t="s">
        <v>80</v>
      </c>
      <c r="BTO11" s="58" t="s">
        <v>81</v>
      </c>
      <c r="BTP11" s="284"/>
      <c r="BTQ11" s="259" t="s">
        <v>55</v>
      </c>
      <c r="BTR11" s="256" t="s">
        <v>76</v>
      </c>
      <c r="BTS11" s="256" t="s">
        <v>77</v>
      </c>
      <c r="BTT11" s="256" t="s">
        <v>78</v>
      </c>
      <c r="BTU11" s="256" t="s">
        <v>79</v>
      </c>
      <c r="BTV11" s="256" t="s">
        <v>80</v>
      </c>
      <c r="BTW11" s="256" t="s">
        <v>81</v>
      </c>
      <c r="BTX11" s="283"/>
      <c r="BTY11" s="259" t="s">
        <v>55</v>
      </c>
      <c r="BTZ11" s="256" t="s">
        <v>76</v>
      </c>
      <c r="BUA11" s="256" t="s">
        <v>77</v>
      </c>
      <c r="BUB11" s="256" t="s">
        <v>78</v>
      </c>
      <c r="BUC11" s="256" t="s">
        <v>79</v>
      </c>
      <c r="BUD11" s="256" t="s">
        <v>80</v>
      </c>
      <c r="BUE11" s="58" t="s">
        <v>81</v>
      </c>
      <c r="BUF11" s="284"/>
      <c r="BUG11" s="259" t="s">
        <v>55</v>
      </c>
      <c r="BUH11" s="256" t="s">
        <v>76</v>
      </c>
      <c r="BUI11" s="256" t="s">
        <v>77</v>
      </c>
      <c r="BUJ11" s="256" t="s">
        <v>78</v>
      </c>
      <c r="BUK11" s="256" t="s">
        <v>79</v>
      </c>
      <c r="BUL11" s="256" t="s">
        <v>80</v>
      </c>
      <c r="BUM11" s="256" t="s">
        <v>81</v>
      </c>
      <c r="BUN11" s="283"/>
      <c r="BUO11" s="259" t="s">
        <v>55</v>
      </c>
      <c r="BUP11" s="256" t="s">
        <v>76</v>
      </c>
      <c r="BUQ11" s="256" t="s">
        <v>77</v>
      </c>
      <c r="BUR11" s="256" t="s">
        <v>78</v>
      </c>
      <c r="BUS11" s="256" t="s">
        <v>79</v>
      </c>
      <c r="BUT11" s="256" t="s">
        <v>80</v>
      </c>
      <c r="BUU11" s="58" t="s">
        <v>81</v>
      </c>
      <c r="BUV11" s="284"/>
      <c r="BUW11" s="259" t="s">
        <v>55</v>
      </c>
      <c r="BUX11" s="256" t="s">
        <v>76</v>
      </c>
      <c r="BUY11" s="256" t="s">
        <v>77</v>
      </c>
      <c r="BUZ11" s="256" t="s">
        <v>78</v>
      </c>
      <c r="BVA11" s="256" t="s">
        <v>79</v>
      </c>
      <c r="BVB11" s="256" t="s">
        <v>80</v>
      </c>
      <c r="BVC11" s="256" t="s">
        <v>81</v>
      </c>
      <c r="BVD11" s="283"/>
      <c r="BVE11" s="259" t="s">
        <v>55</v>
      </c>
      <c r="BVF11" s="256" t="s">
        <v>76</v>
      </c>
      <c r="BVG11" s="256" t="s">
        <v>77</v>
      </c>
      <c r="BVH11" s="256" t="s">
        <v>78</v>
      </c>
      <c r="BVI11" s="256" t="s">
        <v>79</v>
      </c>
      <c r="BVJ11" s="256" t="s">
        <v>80</v>
      </c>
      <c r="BVK11" s="58" t="s">
        <v>81</v>
      </c>
      <c r="BVL11" s="284"/>
      <c r="BVM11" s="259" t="s">
        <v>55</v>
      </c>
      <c r="BVN11" s="256" t="s">
        <v>76</v>
      </c>
      <c r="BVO11" s="256" t="s">
        <v>77</v>
      </c>
      <c r="BVP11" s="256" t="s">
        <v>78</v>
      </c>
      <c r="BVQ11" s="256" t="s">
        <v>79</v>
      </c>
      <c r="BVR11" s="256" t="s">
        <v>80</v>
      </c>
      <c r="BVS11" s="256" t="s">
        <v>81</v>
      </c>
      <c r="BVT11" s="283"/>
      <c r="BVU11" s="259" t="s">
        <v>55</v>
      </c>
      <c r="BVV11" s="256" t="s">
        <v>76</v>
      </c>
      <c r="BVW11" s="256" t="s">
        <v>77</v>
      </c>
      <c r="BVX11" s="256" t="s">
        <v>78</v>
      </c>
      <c r="BVY11" s="256" t="s">
        <v>79</v>
      </c>
      <c r="BVZ11" s="256" t="s">
        <v>80</v>
      </c>
      <c r="BWA11" s="58" t="s">
        <v>81</v>
      </c>
      <c r="BWB11" s="284"/>
      <c r="BWC11" s="259" t="s">
        <v>55</v>
      </c>
      <c r="BWD11" s="256" t="s">
        <v>76</v>
      </c>
      <c r="BWE11" s="256" t="s">
        <v>77</v>
      </c>
      <c r="BWF11" s="256" t="s">
        <v>78</v>
      </c>
      <c r="BWG11" s="256" t="s">
        <v>79</v>
      </c>
      <c r="BWH11" s="256" t="s">
        <v>80</v>
      </c>
      <c r="BWI11" s="256" t="s">
        <v>81</v>
      </c>
      <c r="BWJ11" s="283"/>
      <c r="BWK11" s="259" t="s">
        <v>55</v>
      </c>
      <c r="BWL11" s="256" t="s">
        <v>76</v>
      </c>
      <c r="BWM11" s="256" t="s">
        <v>77</v>
      </c>
      <c r="BWN11" s="256" t="s">
        <v>78</v>
      </c>
      <c r="BWO11" s="256" t="s">
        <v>79</v>
      </c>
      <c r="BWP11" s="256" t="s">
        <v>80</v>
      </c>
      <c r="BWQ11" s="58" t="s">
        <v>81</v>
      </c>
      <c r="BWR11" s="284"/>
      <c r="BWS11" s="259" t="s">
        <v>55</v>
      </c>
      <c r="BWT11" s="256" t="s">
        <v>76</v>
      </c>
      <c r="BWU11" s="256" t="s">
        <v>77</v>
      </c>
      <c r="BWV11" s="256" t="s">
        <v>78</v>
      </c>
      <c r="BWW11" s="256" t="s">
        <v>79</v>
      </c>
      <c r="BWX11" s="256" t="s">
        <v>80</v>
      </c>
      <c r="BWY11" s="256" t="s">
        <v>81</v>
      </c>
      <c r="BWZ11" s="283"/>
      <c r="BXA11" s="259" t="s">
        <v>55</v>
      </c>
      <c r="BXB11" s="256" t="s">
        <v>76</v>
      </c>
      <c r="BXC11" s="256" t="s">
        <v>77</v>
      </c>
      <c r="BXD11" s="256" t="s">
        <v>78</v>
      </c>
      <c r="BXE11" s="256" t="s">
        <v>79</v>
      </c>
      <c r="BXF11" s="256" t="s">
        <v>80</v>
      </c>
      <c r="BXG11" s="58" t="s">
        <v>81</v>
      </c>
      <c r="BXH11" s="284"/>
      <c r="BXI11" s="259" t="s">
        <v>55</v>
      </c>
      <c r="BXJ11" s="256" t="s">
        <v>76</v>
      </c>
      <c r="BXK11" s="256" t="s">
        <v>77</v>
      </c>
      <c r="BXL11" s="256" t="s">
        <v>78</v>
      </c>
      <c r="BXM11" s="256" t="s">
        <v>79</v>
      </c>
      <c r="BXN11" s="256" t="s">
        <v>80</v>
      </c>
      <c r="BXO11" s="256" t="s">
        <v>81</v>
      </c>
      <c r="BXP11" s="283"/>
      <c r="BXQ11" s="259" t="s">
        <v>55</v>
      </c>
      <c r="BXR11" s="256" t="s">
        <v>76</v>
      </c>
      <c r="BXS11" s="256" t="s">
        <v>77</v>
      </c>
      <c r="BXT11" s="256" t="s">
        <v>78</v>
      </c>
      <c r="BXU11" s="256" t="s">
        <v>79</v>
      </c>
      <c r="BXV11" s="256" t="s">
        <v>80</v>
      </c>
      <c r="BXW11" s="58" t="s">
        <v>81</v>
      </c>
      <c r="BXX11" s="284"/>
      <c r="BXY11" s="259" t="s">
        <v>55</v>
      </c>
      <c r="BXZ11" s="256" t="s">
        <v>76</v>
      </c>
      <c r="BYA11" s="256" t="s">
        <v>77</v>
      </c>
      <c r="BYB11" s="256" t="s">
        <v>78</v>
      </c>
      <c r="BYC11" s="256" t="s">
        <v>79</v>
      </c>
      <c r="BYD11" s="256" t="s">
        <v>80</v>
      </c>
      <c r="BYE11" s="256" t="s">
        <v>81</v>
      </c>
      <c r="BYF11" s="283"/>
      <c r="BYG11" s="259" t="s">
        <v>55</v>
      </c>
      <c r="BYH11" s="256" t="s">
        <v>76</v>
      </c>
      <c r="BYI11" s="256" t="s">
        <v>77</v>
      </c>
      <c r="BYJ11" s="256" t="s">
        <v>78</v>
      </c>
      <c r="BYK11" s="256" t="s">
        <v>79</v>
      </c>
      <c r="BYL11" s="256" t="s">
        <v>80</v>
      </c>
      <c r="BYM11" s="58" t="s">
        <v>81</v>
      </c>
      <c r="BYN11" s="284"/>
      <c r="BYO11" s="259" t="s">
        <v>55</v>
      </c>
      <c r="BYP11" s="256" t="s">
        <v>76</v>
      </c>
      <c r="BYQ11" s="256" t="s">
        <v>77</v>
      </c>
      <c r="BYR11" s="256" t="s">
        <v>78</v>
      </c>
      <c r="BYS11" s="256" t="s">
        <v>79</v>
      </c>
      <c r="BYT11" s="256" t="s">
        <v>80</v>
      </c>
      <c r="BYU11" s="256" t="s">
        <v>81</v>
      </c>
      <c r="BYV11" s="283"/>
      <c r="BYW11" s="259" t="s">
        <v>55</v>
      </c>
      <c r="BYX11" s="256" t="s">
        <v>76</v>
      </c>
      <c r="BYY11" s="256" t="s">
        <v>77</v>
      </c>
      <c r="BYZ11" s="256" t="s">
        <v>78</v>
      </c>
      <c r="BZA11" s="256" t="s">
        <v>79</v>
      </c>
      <c r="BZB11" s="256" t="s">
        <v>80</v>
      </c>
      <c r="BZC11" s="58" t="s">
        <v>81</v>
      </c>
      <c r="BZD11" s="284"/>
      <c r="BZE11" s="259" t="s">
        <v>55</v>
      </c>
      <c r="BZF11" s="256" t="s">
        <v>76</v>
      </c>
      <c r="BZG11" s="256" t="s">
        <v>77</v>
      </c>
      <c r="BZH11" s="256" t="s">
        <v>78</v>
      </c>
      <c r="BZI11" s="256" t="s">
        <v>79</v>
      </c>
      <c r="BZJ11" s="256" t="s">
        <v>80</v>
      </c>
      <c r="BZK11" s="256" t="s">
        <v>81</v>
      </c>
      <c r="BZL11" s="283"/>
      <c r="BZM11" s="259" t="s">
        <v>55</v>
      </c>
      <c r="BZN11" s="256" t="s">
        <v>76</v>
      </c>
      <c r="BZO11" s="256" t="s">
        <v>77</v>
      </c>
      <c r="BZP11" s="256" t="s">
        <v>78</v>
      </c>
      <c r="BZQ11" s="256" t="s">
        <v>79</v>
      </c>
      <c r="BZR11" s="256" t="s">
        <v>80</v>
      </c>
      <c r="BZS11" s="58" t="s">
        <v>81</v>
      </c>
      <c r="BZT11" s="284"/>
      <c r="BZU11" s="259" t="s">
        <v>55</v>
      </c>
      <c r="BZV11" s="256" t="s">
        <v>76</v>
      </c>
      <c r="BZW11" s="256" t="s">
        <v>77</v>
      </c>
      <c r="BZX11" s="256" t="s">
        <v>78</v>
      </c>
      <c r="BZY11" s="256" t="s">
        <v>79</v>
      </c>
      <c r="BZZ11" s="256" t="s">
        <v>80</v>
      </c>
      <c r="CAA11" s="256" t="s">
        <v>81</v>
      </c>
      <c r="CAB11" s="283"/>
      <c r="CAC11" s="259" t="s">
        <v>55</v>
      </c>
      <c r="CAD11" s="256" t="s">
        <v>76</v>
      </c>
      <c r="CAE11" s="256" t="s">
        <v>77</v>
      </c>
      <c r="CAF11" s="256" t="s">
        <v>78</v>
      </c>
      <c r="CAG11" s="256" t="s">
        <v>79</v>
      </c>
      <c r="CAH11" s="256" t="s">
        <v>80</v>
      </c>
      <c r="CAI11" s="58" t="s">
        <v>81</v>
      </c>
      <c r="CAJ11" s="284"/>
      <c r="CAK11" s="259" t="s">
        <v>55</v>
      </c>
      <c r="CAL11" s="256" t="s">
        <v>76</v>
      </c>
      <c r="CAM11" s="256" t="s">
        <v>77</v>
      </c>
      <c r="CAN11" s="256" t="s">
        <v>78</v>
      </c>
      <c r="CAO11" s="256" t="s">
        <v>79</v>
      </c>
      <c r="CAP11" s="256" t="s">
        <v>80</v>
      </c>
      <c r="CAQ11" s="256" t="s">
        <v>81</v>
      </c>
      <c r="CAR11" s="283"/>
      <c r="CAS11" s="259" t="s">
        <v>55</v>
      </c>
      <c r="CAT11" s="256" t="s">
        <v>76</v>
      </c>
      <c r="CAU11" s="256" t="s">
        <v>77</v>
      </c>
      <c r="CAV11" s="256" t="s">
        <v>78</v>
      </c>
      <c r="CAW11" s="256" t="s">
        <v>79</v>
      </c>
      <c r="CAX11" s="256" t="s">
        <v>80</v>
      </c>
      <c r="CAY11" s="58" t="s">
        <v>81</v>
      </c>
      <c r="CAZ11" s="284"/>
      <c r="CBA11" s="259" t="s">
        <v>55</v>
      </c>
      <c r="CBB11" s="256" t="s">
        <v>76</v>
      </c>
      <c r="CBC11" s="256" t="s">
        <v>77</v>
      </c>
      <c r="CBD11" s="256" t="s">
        <v>78</v>
      </c>
      <c r="CBE11" s="256" t="s">
        <v>79</v>
      </c>
      <c r="CBF11" s="256" t="s">
        <v>80</v>
      </c>
      <c r="CBG11" s="256" t="s">
        <v>81</v>
      </c>
      <c r="CBH11" s="283"/>
      <c r="CBI11" s="259" t="s">
        <v>55</v>
      </c>
      <c r="CBJ11" s="256" t="s">
        <v>76</v>
      </c>
      <c r="CBK11" s="256" t="s">
        <v>77</v>
      </c>
      <c r="CBL11" s="256" t="s">
        <v>78</v>
      </c>
      <c r="CBM11" s="256" t="s">
        <v>79</v>
      </c>
      <c r="CBN11" s="256" t="s">
        <v>80</v>
      </c>
      <c r="CBO11" s="58" t="s">
        <v>81</v>
      </c>
      <c r="CBP11" s="284"/>
      <c r="CBQ11" s="259" t="s">
        <v>55</v>
      </c>
      <c r="CBR11" s="256" t="s">
        <v>76</v>
      </c>
      <c r="CBS11" s="256" t="s">
        <v>77</v>
      </c>
      <c r="CBT11" s="256" t="s">
        <v>78</v>
      </c>
      <c r="CBU11" s="256" t="s">
        <v>79</v>
      </c>
      <c r="CBV11" s="256" t="s">
        <v>80</v>
      </c>
      <c r="CBW11" s="256" t="s">
        <v>81</v>
      </c>
      <c r="CBX11" s="283"/>
      <c r="CBY11" s="259" t="s">
        <v>55</v>
      </c>
      <c r="CBZ11" s="256" t="s">
        <v>76</v>
      </c>
      <c r="CCA11" s="256" t="s">
        <v>77</v>
      </c>
      <c r="CCB11" s="256" t="s">
        <v>78</v>
      </c>
      <c r="CCC11" s="256" t="s">
        <v>79</v>
      </c>
      <c r="CCD11" s="256" t="s">
        <v>80</v>
      </c>
      <c r="CCE11" s="58" t="s">
        <v>81</v>
      </c>
      <c r="CCF11" s="284"/>
      <c r="CCG11" s="259" t="s">
        <v>55</v>
      </c>
      <c r="CCH11" s="256" t="s">
        <v>76</v>
      </c>
      <c r="CCI11" s="256" t="s">
        <v>77</v>
      </c>
      <c r="CCJ11" s="256" t="s">
        <v>78</v>
      </c>
      <c r="CCK11" s="256" t="s">
        <v>79</v>
      </c>
      <c r="CCL11" s="256" t="s">
        <v>80</v>
      </c>
      <c r="CCM11" s="256" t="s">
        <v>81</v>
      </c>
      <c r="CCN11" s="283"/>
      <c r="CCO11" s="259" t="s">
        <v>55</v>
      </c>
      <c r="CCP11" s="256" t="s">
        <v>76</v>
      </c>
      <c r="CCQ11" s="256" t="s">
        <v>77</v>
      </c>
      <c r="CCR11" s="256" t="s">
        <v>78</v>
      </c>
      <c r="CCS11" s="256" t="s">
        <v>79</v>
      </c>
      <c r="CCT11" s="256" t="s">
        <v>80</v>
      </c>
      <c r="CCU11" s="58" t="s">
        <v>81</v>
      </c>
      <c r="CCV11" s="284"/>
      <c r="CCW11" s="259" t="s">
        <v>55</v>
      </c>
      <c r="CCX11" s="256" t="s">
        <v>76</v>
      </c>
      <c r="CCY11" s="256" t="s">
        <v>77</v>
      </c>
      <c r="CCZ11" s="256" t="s">
        <v>78</v>
      </c>
      <c r="CDA11" s="256" t="s">
        <v>79</v>
      </c>
      <c r="CDB11" s="256" t="s">
        <v>80</v>
      </c>
      <c r="CDC11" s="256" t="s">
        <v>81</v>
      </c>
      <c r="CDD11" s="283"/>
      <c r="CDE11" s="259" t="s">
        <v>55</v>
      </c>
      <c r="CDF11" s="256" t="s">
        <v>76</v>
      </c>
      <c r="CDG11" s="256" t="s">
        <v>77</v>
      </c>
      <c r="CDH11" s="256" t="s">
        <v>78</v>
      </c>
      <c r="CDI11" s="256" t="s">
        <v>79</v>
      </c>
      <c r="CDJ11" s="256" t="s">
        <v>80</v>
      </c>
      <c r="CDK11" s="58" t="s">
        <v>81</v>
      </c>
      <c r="CDL11" s="284"/>
      <c r="CDM11" s="259" t="s">
        <v>55</v>
      </c>
      <c r="CDN11" s="256" t="s">
        <v>76</v>
      </c>
      <c r="CDO11" s="256" t="s">
        <v>77</v>
      </c>
      <c r="CDP11" s="256" t="s">
        <v>78</v>
      </c>
      <c r="CDQ11" s="256" t="s">
        <v>79</v>
      </c>
      <c r="CDR11" s="256" t="s">
        <v>80</v>
      </c>
      <c r="CDS11" s="256" t="s">
        <v>81</v>
      </c>
      <c r="CDT11" s="283"/>
      <c r="CDU11" s="259" t="s">
        <v>55</v>
      </c>
      <c r="CDV11" s="256" t="s">
        <v>76</v>
      </c>
      <c r="CDW11" s="256" t="s">
        <v>77</v>
      </c>
      <c r="CDX11" s="256" t="s">
        <v>78</v>
      </c>
      <c r="CDY11" s="256" t="s">
        <v>79</v>
      </c>
      <c r="CDZ11" s="256" t="s">
        <v>80</v>
      </c>
      <c r="CEA11" s="58" t="s">
        <v>81</v>
      </c>
      <c r="CEB11" s="284"/>
      <c r="CEC11" s="259" t="s">
        <v>55</v>
      </c>
      <c r="CED11" s="256" t="s">
        <v>76</v>
      </c>
      <c r="CEE11" s="256" t="s">
        <v>77</v>
      </c>
      <c r="CEF11" s="256" t="s">
        <v>78</v>
      </c>
      <c r="CEG11" s="256" t="s">
        <v>79</v>
      </c>
      <c r="CEH11" s="256" t="s">
        <v>80</v>
      </c>
      <c r="CEI11" s="256" t="s">
        <v>81</v>
      </c>
      <c r="CEJ11" s="283"/>
      <c r="CEK11" s="259" t="s">
        <v>55</v>
      </c>
      <c r="CEL11" s="256" t="s">
        <v>76</v>
      </c>
      <c r="CEM11" s="256" t="s">
        <v>77</v>
      </c>
      <c r="CEN11" s="256" t="s">
        <v>78</v>
      </c>
      <c r="CEO11" s="256" t="s">
        <v>79</v>
      </c>
      <c r="CEP11" s="256" t="s">
        <v>80</v>
      </c>
      <c r="CEQ11" s="58" t="s">
        <v>81</v>
      </c>
      <c r="CER11" s="284"/>
      <c r="CES11" s="259" t="s">
        <v>55</v>
      </c>
      <c r="CET11" s="256" t="s">
        <v>76</v>
      </c>
      <c r="CEU11" s="256" t="s">
        <v>77</v>
      </c>
      <c r="CEV11" s="256" t="s">
        <v>78</v>
      </c>
      <c r="CEW11" s="256" t="s">
        <v>79</v>
      </c>
      <c r="CEX11" s="256" t="s">
        <v>80</v>
      </c>
      <c r="CEY11" s="256" t="s">
        <v>81</v>
      </c>
      <c r="CEZ11" s="283"/>
      <c r="CFA11" s="259" t="s">
        <v>55</v>
      </c>
      <c r="CFB11" s="256" t="s">
        <v>76</v>
      </c>
      <c r="CFC11" s="256" t="s">
        <v>77</v>
      </c>
      <c r="CFD11" s="256" t="s">
        <v>78</v>
      </c>
      <c r="CFE11" s="256" t="s">
        <v>79</v>
      </c>
      <c r="CFF11" s="256" t="s">
        <v>80</v>
      </c>
      <c r="CFG11" s="58" t="s">
        <v>81</v>
      </c>
      <c r="CFH11" s="284"/>
      <c r="CFI11" s="259" t="s">
        <v>55</v>
      </c>
      <c r="CFJ11" s="256" t="s">
        <v>76</v>
      </c>
      <c r="CFK11" s="256" t="s">
        <v>77</v>
      </c>
      <c r="CFL11" s="256" t="s">
        <v>78</v>
      </c>
      <c r="CFM11" s="256" t="s">
        <v>79</v>
      </c>
      <c r="CFN11" s="256" t="s">
        <v>80</v>
      </c>
      <c r="CFO11" s="256" t="s">
        <v>81</v>
      </c>
      <c r="CFP11" s="283"/>
      <c r="CFQ11" s="259" t="s">
        <v>55</v>
      </c>
      <c r="CFR11" s="256" t="s">
        <v>76</v>
      </c>
      <c r="CFS11" s="256" t="s">
        <v>77</v>
      </c>
      <c r="CFT11" s="256" t="s">
        <v>78</v>
      </c>
      <c r="CFU11" s="256" t="s">
        <v>79</v>
      </c>
      <c r="CFV11" s="256" t="s">
        <v>80</v>
      </c>
      <c r="CFW11" s="58" t="s">
        <v>81</v>
      </c>
      <c r="CFX11" s="284"/>
      <c r="CFY11" s="259" t="s">
        <v>55</v>
      </c>
      <c r="CFZ11" s="256" t="s">
        <v>76</v>
      </c>
      <c r="CGA11" s="256" t="s">
        <v>77</v>
      </c>
      <c r="CGB11" s="256" t="s">
        <v>78</v>
      </c>
      <c r="CGC11" s="256" t="s">
        <v>79</v>
      </c>
      <c r="CGD11" s="256" t="s">
        <v>80</v>
      </c>
      <c r="CGE11" s="256" t="s">
        <v>81</v>
      </c>
      <c r="CGF11" s="283"/>
      <c r="CGG11" s="259" t="s">
        <v>55</v>
      </c>
      <c r="CGH11" s="256" t="s">
        <v>76</v>
      </c>
      <c r="CGI11" s="256" t="s">
        <v>77</v>
      </c>
      <c r="CGJ11" s="256" t="s">
        <v>78</v>
      </c>
      <c r="CGK11" s="256" t="s">
        <v>79</v>
      </c>
      <c r="CGL11" s="256" t="s">
        <v>80</v>
      </c>
      <c r="CGM11" s="58" t="s">
        <v>81</v>
      </c>
      <c r="CGN11" s="284"/>
      <c r="CGO11" s="259" t="s">
        <v>55</v>
      </c>
      <c r="CGP11" s="256" t="s">
        <v>76</v>
      </c>
      <c r="CGQ11" s="256" t="s">
        <v>77</v>
      </c>
      <c r="CGR11" s="256" t="s">
        <v>78</v>
      </c>
      <c r="CGS11" s="256" t="s">
        <v>79</v>
      </c>
      <c r="CGT11" s="256" t="s">
        <v>80</v>
      </c>
      <c r="CGU11" s="256" t="s">
        <v>81</v>
      </c>
      <c r="CGV11" s="283"/>
      <c r="CGW11" s="259" t="s">
        <v>55</v>
      </c>
      <c r="CGX11" s="256" t="s">
        <v>76</v>
      </c>
      <c r="CGY11" s="256" t="s">
        <v>77</v>
      </c>
      <c r="CGZ11" s="256" t="s">
        <v>78</v>
      </c>
      <c r="CHA11" s="256" t="s">
        <v>79</v>
      </c>
      <c r="CHB11" s="256" t="s">
        <v>80</v>
      </c>
      <c r="CHC11" s="58" t="s">
        <v>81</v>
      </c>
      <c r="CHD11" s="284"/>
      <c r="CHE11" s="259" t="s">
        <v>55</v>
      </c>
      <c r="CHF11" s="256" t="s">
        <v>76</v>
      </c>
      <c r="CHG11" s="256" t="s">
        <v>77</v>
      </c>
      <c r="CHH11" s="256" t="s">
        <v>78</v>
      </c>
      <c r="CHI11" s="256" t="s">
        <v>79</v>
      </c>
      <c r="CHJ11" s="256" t="s">
        <v>80</v>
      </c>
      <c r="CHK11" s="256" t="s">
        <v>81</v>
      </c>
      <c r="CHL11" s="283"/>
      <c r="CHM11" s="259" t="s">
        <v>55</v>
      </c>
      <c r="CHN11" s="256" t="s">
        <v>76</v>
      </c>
      <c r="CHO11" s="256" t="s">
        <v>77</v>
      </c>
      <c r="CHP11" s="256" t="s">
        <v>78</v>
      </c>
      <c r="CHQ11" s="256" t="s">
        <v>79</v>
      </c>
      <c r="CHR11" s="256" t="s">
        <v>80</v>
      </c>
      <c r="CHS11" s="58" t="s">
        <v>81</v>
      </c>
      <c r="CHT11" s="284"/>
      <c r="CHU11" s="259" t="s">
        <v>55</v>
      </c>
      <c r="CHV11" s="256" t="s">
        <v>76</v>
      </c>
      <c r="CHW11" s="256" t="s">
        <v>77</v>
      </c>
      <c r="CHX11" s="256" t="s">
        <v>78</v>
      </c>
      <c r="CHY11" s="256" t="s">
        <v>79</v>
      </c>
      <c r="CHZ11" s="256" t="s">
        <v>80</v>
      </c>
      <c r="CIA11" s="256" t="s">
        <v>81</v>
      </c>
      <c r="CIB11" s="283"/>
      <c r="CIC11" s="259" t="s">
        <v>55</v>
      </c>
      <c r="CID11" s="256" t="s">
        <v>76</v>
      </c>
      <c r="CIE11" s="256" t="s">
        <v>77</v>
      </c>
      <c r="CIF11" s="256" t="s">
        <v>78</v>
      </c>
      <c r="CIG11" s="256" t="s">
        <v>79</v>
      </c>
      <c r="CIH11" s="256" t="s">
        <v>80</v>
      </c>
      <c r="CII11" s="58" t="s">
        <v>81</v>
      </c>
      <c r="CIJ11" s="284"/>
      <c r="CIK11" s="259" t="s">
        <v>55</v>
      </c>
      <c r="CIL11" s="256" t="s">
        <v>76</v>
      </c>
      <c r="CIM11" s="256" t="s">
        <v>77</v>
      </c>
      <c r="CIN11" s="256" t="s">
        <v>78</v>
      </c>
      <c r="CIO11" s="256" t="s">
        <v>79</v>
      </c>
      <c r="CIP11" s="256" t="s">
        <v>80</v>
      </c>
      <c r="CIQ11" s="256" t="s">
        <v>81</v>
      </c>
      <c r="CIR11" s="283"/>
      <c r="CIS11" s="259" t="s">
        <v>55</v>
      </c>
      <c r="CIT11" s="256" t="s">
        <v>76</v>
      </c>
      <c r="CIU11" s="256" t="s">
        <v>77</v>
      </c>
      <c r="CIV11" s="256" t="s">
        <v>78</v>
      </c>
      <c r="CIW11" s="256" t="s">
        <v>79</v>
      </c>
      <c r="CIX11" s="256" t="s">
        <v>80</v>
      </c>
      <c r="CIY11" s="58" t="s">
        <v>81</v>
      </c>
      <c r="CIZ11" s="284"/>
      <c r="CJA11" s="259" t="s">
        <v>55</v>
      </c>
      <c r="CJB11" s="256" t="s">
        <v>76</v>
      </c>
      <c r="CJC11" s="256" t="s">
        <v>77</v>
      </c>
      <c r="CJD11" s="256" t="s">
        <v>78</v>
      </c>
      <c r="CJE11" s="256" t="s">
        <v>79</v>
      </c>
      <c r="CJF11" s="256" t="s">
        <v>80</v>
      </c>
      <c r="CJG11" s="256" t="s">
        <v>81</v>
      </c>
      <c r="CJH11" s="283"/>
      <c r="CJI11" s="259" t="s">
        <v>55</v>
      </c>
      <c r="CJJ11" s="256" t="s">
        <v>76</v>
      </c>
      <c r="CJK11" s="256" t="s">
        <v>77</v>
      </c>
      <c r="CJL11" s="256" t="s">
        <v>78</v>
      </c>
      <c r="CJM11" s="256" t="s">
        <v>79</v>
      </c>
      <c r="CJN11" s="256" t="s">
        <v>80</v>
      </c>
      <c r="CJO11" s="58" t="s">
        <v>81</v>
      </c>
      <c r="CJP11" s="284"/>
      <c r="CJQ11" s="259" t="s">
        <v>55</v>
      </c>
      <c r="CJR11" s="256" t="s">
        <v>76</v>
      </c>
      <c r="CJS11" s="256" t="s">
        <v>77</v>
      </c>
      <c r="CJT11" s="256" t="s">
        <v>78</v>
      </c>
      <c r="CJU11" s="256" t="s">
        <v>79</v>
      </c>
      <c r="CJV11" s="256" t="s">
        <v>80</v>
      </c>
      <c r="CJW11" s="256" t="s">
        <v>81</v>
      </c>
      <c r="CJX11" s="283"/>
      <c r="CJY11" s="259" t="s">
        <v>55</v>
      </c>
      <c r="CJZ11" s="256" t="s">
        <v>76</v>
      </c>
      <c r="CKA11" s="256" t="s">
        <v>77</v>
      </c>
      <c r="CKB11" s="256" t="s">
        <v>78</v>
      </c>
      <c r="CKC11" s="256" t="s">
        <v>79</v>
      </c>
      <c r="CKD11" s="256" t="s">
        <v>80</v>
      </c>
      <c r="CKE11" s="58" t="s">
        <v>81</v>
      </c>
      <c r="CKF11" s="284"/>
      <c r="CKG11" s="259" t="s">
        <v>55</v>
      </c>
      <c r="CKH11" s="256" t="s">
        <v>76</v>
      </c>
      <c r="CKI11" s="256" t="s">
        <v>77</v>
      </c>
      <c r="CKJ11" s="256" t="s">
        <v>78</v>
      </c>
      <c r="CKK11" s="256" t="s">
        <v>79</v>
      </c>
      <c r="CKL11" s="256" t="s">
        <v>80</v>
      </c>
      <c r="CKM11" s="256" t="s">
        <v>81</v>
      </c>
      <c r="CKN11" s="283"/>
      <c r="CKO11" s="259" t="s">
        <v>55</v>
      </c>
      <c r="CKP11" s="256" t="s">
        <v>76</v>
      </c>
      <c r="CKQ11" s="256" t="s">
        <v>77</v>
      </c>
      <c r="CKR11" s="256" t="s">
        <v>78</v>
      </c>
      <c r="CKS11" s="256" t="s">
        <v>79</v>
      </c>
      <c r="CKT11" s="256" t="s">
        <v>80</v>
      </c>
      <c r="CKU11" s="58" t="s">
        <v>81</v>
      </c>
      <c r="CKV11" s="284"/>
      <c r="CKW11" s="259" t="s">
        <v>55</v>
      </c>
      <c r="CKX11" s="256" t="s">
        <v>76</v>
      </c>
      <c r="CKY11" s="256" t="s">
        <v>77</v>
      </c>
      <c r="CKZ11" s="256" t="s">
        <v>78</v>
      </c>
      <c r="CLA11" s="256" t="s">
        <v>79</v>
      </c>
      <c r="CLB11" s="256" t="s">
        <v>80</v>
      </c>
      <c r="CLC11" s="256" t="s">
        <v>81</v>
      </c>
      <c r="CLD11" s="283"/>
      <c r="CLE11" s="259" t="s">
        <v>55</v>
      </c>
      <c r="CLF11" s="256" t="s">
        <v>76</v>
      </c>
      <c r="CLG11" s="256" t="s">
        <v>77</v>
      </c>
      <c r="CLH11" s="256" t="s">
        <v>78</v>
      </c>
      <c r="CLI11" s="256" t="s">
        <v>79</v>
      </c>
      <c r="CLJ11" s="256" t="s">
        <v>80</v>
      </c>
      <c r="CLK11" s="58" t="s">
        <v>81</v>
      </c>
      <c r="CLL11" s="284"/>
      <c r="CLM11" s="259" t="s">
        <v>55</v>
      </c>
      <c r="CLN11" s="256" t="s">
        <v>76</v>
      </c>
      <c r="CLO11" s="256" t="s">
        <v>77</v>
      </c>
      <c r="CLP11" s="256" t="s">
        <v>78</v>
      </c>
      <c r="CLQ11" s="256" t="s">
        <v>79</v>
      </c>
      <c r="CLR11" s="256" t="s">
        <v>80</v>
      </c>
      <c r="CLS11" s="256" t="s">
        <v>81</v>
      </c>
      <c r="CLT11" s="283"/>
      <c r="CLU11" s="259" t="s">
        <v>55</v>
      </c>
      <c r="CLV11" s="256" t="s">
        <v>76</v>
      </c>
      <c r="CLW11" s="256" t="s">
        <v>77</v>
      </c>
      <c r="CLX11" s="256" t="s">
        <v>78</v>
      </c>
      <c r="CLY11" s="256" t="s">
        <v>79</v>
      </c>
      <c r="CLZ11" s="256" t="s">
        <v>80</v>
      </c>
      <c r="CMA11" s="58" t="s">
        <v>81</v>
      </c>
      <c r="CMB11" s="284"/>
      <c r="CMC11" s="259" t="s">
        <v>55</v>
      </c>
      <c r="CMD11" s="256" t="s">
        <v>76</v>
      </c>
      <c r="CME11" s="256" t="s">
        <v>77</v>
      </c>
      <c r="CMF11" s="256" t="s">
        <v>78</v>
      </c>
      <c r="CMG11" s="256" t="s">
        <v>79</v>
      </c>
      <c r="CMH11" s="256" t="s">
        <v>80</v>
      </c>
      <c r="CMI11" s="256" t="s">
        <v>81</v>
      </c>
      <c r="CMJ11" s="283"/>
      <c r="CMK11" s="259" t="s">
        <v>55</v>
      </c>
      <c r="CML11" s="256" t="s">
        <v>76</v>
      </c>
      <c r="CMM11" s="256" t="s">
        <v>77</v>
      </c>
      <c r="CMN11" s="256" t="s">
        <v>78</v>
      </c>
      <c r="CMO11" s="256" t="s">
        <v>79</v>
      </c>
      <c r="CMP11" s="256" t="s">
        <v>80</v>
      </c>
      <c r="CMQ11" s="58" t="s">
        <v>81</v>
      </c>
      <c r="CMR11" s="284"/>
      <c r="CMS11" s="259" t="s">
        <v>55</v>
      </c>
      <c r="CMT11" s="256" t="s">
        <v>76</v>
      </c>
      <c r="CMU11" s="256" t="s">
        <v>77</v>
      </c>
      <c r="CMV11" s="256" t="s">
        <v>78</v>
      </c>
      <c r="CMW11" s="256" t="s">
        <v>79</v>
      </c>
      <c r="CMX11" s="256" t="s">
        <v>80</v>
      </c>
      <c r="CMY11" s="256" t="s">
        <v>81</v>
      </c>
      <c r="CMZ11" s="283"/>
      <c r="CNA11" s="259" t="s">
        <v>55</v>
      </c>
      <c r="CNB11" s="256" t="s">
        <v>76</v>
      </c>
      <c r="CNC11" s="256" t="s">
        <v>77</v>
      </c>
      <c r="CND11" s="256" t="s">
        <v>78</v>
      </c>
      <c r="CNE11" s="256" t="s">
        <v>79</v>
      </c>
      <c r="CNF11" s="256" t="s">
        <v>80</v>
      </c>
      <c r="CNG11" s="58" t="s">
        <v>81</v>
      </c>
      <c r="CNH11" s="284"/>
      <c r="CNI11" s="259" t="s">
        <v>55</v>
      </c>
      <c r="CNJ11" s="256" t="s">
        <v>76</v>
      </c>
      <c r="CNK11" s="256" t="s">
        <v>77</v>
      </c>
      <c r="CNL11" s="256" t="s">
        <v>78</v>
      </c>
      <c r="CNM11" s="256" t="s">
        <v>79</v>
      </c>
      <c r="CNN11" s="256" t="s">
        <v>80</v>
      </c>
      <c r="CNO11" s="256" t="s">
        <v>81</v>
      </c>
      <c r="CNP11" s="283"/>
      <c r="CNQ11" s="259" t="s">
        <v>55</v>
      </c>
      <c r="CNR11" s="256" t="s">
        <v>76</v>
      </c>
      <c r="CNS11" s="256" t="s">
        <v>77</v>
      </c>
      <c r="CNT11" s="256" t="s">
        <v>78</v>
      </c>
      <c r="CNU11" s="256" t="s">
        <v>79</v>
      </c>
      <c r="CNV11" s="256" t="s">
        <v>80</v>
      </c>
      <c r="CNW11" s="58" t="s">
        <v>81</v>
      </c>
      <c r="CNX11" s="284"/>
      <c r="CNY11" s="259" t="s">
        <v>55</v>
      </c>
      <c r="CNZ11" s="256" t="s">
        <v>76</v>
      </c>
      <c r="COA11" s="256" t="s">
        <v>77</v>
      </c>
      <c r="COB11" s="256" t="s">
        <v>78</v>
      </c>
      <c r="COC11" s="256" t="s">
        <v>79</v>
      </c>
      <c r="COD11" s="256" t="s">
        <v>80</v>
      </c>
      <c r="COE11" s="256" t="s">
        <v>81</v>
      </c>
      <c r="COF11" s="283"/>
      <c r="COG11" s="259" t="s">
        <v>55</v>
      </c>
      <c r="COH11" s="256" t="s">
        <v>76</v>
      </c>
      <c r="COI11" s="256" t="s">
        <v>77</v>
      </c>
      <c r="COJ11" s="256" t="s">
        <v>78</v>
      </c>
      <c r="COK11" s="256" t="s">
        <v>79</v>
      </c>
      <c r="COL11" s="256" t="s">
        <v>80</v>
      </c>
      <c r="COM11" s="58" t="s">
        <v>81</v>
      </c>
      <c r="CON11" s="284"/>
      <c r="COO11" s="259" t="s">
        <v>55</v>
      </c>
      <c r="COP11" s="256" t="s">
        <v>76</v>
      </c>
      <c r="COQ11" s="256" t="s">
        <v>77</v>
      </c>
      <c r="COR11" s="256" t="s">
        <v>78</v>
      </c>
      <c r="COS11" s="256" t="s">
        <v>79</v>
      </c>
      <c r="COT11" s="256" t="s">
        <v>80</v>
      </c>
      <c r="COU11" s="256" t="s">
        <v>81</v>
      </c>
      <c r="COV11" s="283"/>
      <c r="COW11" s="259" t="s">
        <v>55</v>
      </c>
      <c r="COX11" s="256" t="s">
        <v>76</v>
      </c>
      <c r="COY11" s="256" t="s">
        <v>77</v>
      </c>
      <c r="COZ11" s="256" t="s">
        <v>78</v>
      </c>
      <c r="CPA11" s="256" t="s">
        <v>79</v>
      </c>
      <c r="CPB11" s="256" t="s">
        <v>80</v>
      </c>
      <c r="CPC11" s="58" t="s">
        <v>81</v>
      </c>
      <c r="CPD11" s="284"/>
      <c r="CPE11" s="259" t="s">
        <v>55</v>
      </c>
      <c r="CPF11" s="256" t="s">
        <v>76</v>
      </c>
      <c r="CPG11" s="256" t="s">
        <v>77</v>
      </c>
      <c r="CPH11" s="256" t="s">
        <v>78</v>
      </c>
      <c r="CPI11" s="256" t="s">
        <v>79</v>
      </c>
      <c r="CPJ11" s="256" t="s">
        <v>80</v>
      </c>
      <c r="CPK11" s="256" t="s">
        <v>81</v>
      </c>
      <c r="CPL11" s="283"/>
      <c r="CPM11" s="259" t="s">
        <v>55</v>
      </c>
      <c r="CPN11" s="256" t="s">
        <v>76</v>
      </c>
      <c r="CPO11" s="256" t="s">
        <v>77</v>
      </c>
      <c r="CPP11" s="256" t="s">
        <v>78</v>
      </c>
      <c r="CPQ11" s="256" t="s">
        <v>79</v>
      </c>
      <c r="CPR11" s="256" t="s">
        <v>80</v>
      </c>
      <c r="CPS11" s="58" t="s">
        <v>81</v>
      </c>
      <c r="CPT11" s="284"/>
      <c r="CPU11" s="259" t="s">
        <v>55</v>
      </c>
      <c r="CPV11" s="256" t="s">
        <v>76</v>
      </c>
      <c r="CPW11" s="256" t="s">
        <v>77</v>
      </c>
      <c r="CPX11" s="256" t="s">
        <v>78</v>
      </c>
      <c r="CPY11" s="256" t="s">
        <v>79</v>
      </c>
      <c r="CPZ11" s="256" t="s">
        <v>80</v>
      </c>
      <c r="CQA11" s="256" t="s">
        <v>81</v>
      </c>
      <c r="CQB11" s="283"/>
      <c r="CQC11" s="259" t="s">
        <v>55</v>
      </c>
      <c r="CQD11" s="256" t="s">
        <v>76</v>
      </c>
      <c r="CQE11" s="256" t="s">
        <v>77</v>
      </c>
      <c r="CQF11" s="256" t="s">
        <v>78</v>
      </c>
      <c r="CQG11" s="256" t="s">
        <v>79</v>
      </c>
      <c r="CQH11" s="256" t="s">
        <v>80</v>
      </c>
      <c r="CQI11" s="58" t="s">
        <v>81</v>
      </c>
      <c r="CQJ11" s="284"/>
      <c r="CQK11" s="259" t="s">
        <v>55</v>
      </c>
      <c r="CQL11" s="256" t="s">
        <v>76</v>
      </c>
      <c r="CQM11" s="256" t="s">
        <v>77</v>
      </c>
      <c r="CQN11" s="256" t="s">
        <v>78</v>
      </c>
      <c r="CQO11" s="256" t="s">
        <v>79</v>
      </c>
      <c r="CQP11" s="256" t="s">
        <v>80</v>
      </c>
      <c r="CQQ11" s="256" t="s">
        <v>81</v>
      </c>
      <c r="CQR11" s="283"/>
      <c r="CQS11" s="259" t="s">
        <v>55</v>
      </c>
      <c r="CQT11" s="256" t="s">
        <v>76</v>
      </c>
      <c r="CQU11" s="256" t="s">
        <v>77</v>
      </c>
      <c r="CQV11" s="256" t="s">
        <v>78</v>
      </c>
      <c r="CQW11" s="256" t="s">
        <v>79</v>
      </c>
      <c r="CQX11" s="256" t="s">
        <v>80</v>
      </c>
      <c r="CQY11" s="58" t="s">
        <v>81</v>
      </c>
      <c r="CQZ11" s="284"/>
      <c r="CRA11" s="259" t="s">
        <v>55</v>
      </c>
      <c r="CRB11" s="256" t="s">
        <v>76</v>
      </c>
      <c r="CRC11" s="256" t="s">
        <v>77</v>
      </c>
      <c r="CRD11" s="256" t="s">
        <v>78</v>
      </c>
      <c r="CRE11" s="256" t="s">
        <v>79</v>
      </c>
      <c r="CRF11" s="256" t="s">
        <v>80</v>
      </c>
      <c r="CRG11" s="256" t="s">
        <v>81</v>
      </c>
      <c r="CRH11" s="283"/>
      <c r="CRI11" s="259" t="s">
        <v>55</v>
      </c>
      <c r="CRJ11" s="256" t="s">
        <v>76</v>
      </c>
      <c r="CRK11" s="256" t="s">
        <v>77</v>
      </c>
      <c r="CRL11" s="256" t="s">
        <v>78</v>
      </c>
      <c r="CRM11" s="256" t="s">
        <v>79</v>
      </c>
      <c r="CRN11" s="256" t="s">
        <v>80</v>
      </c>
      <c r="CRO11" s="58" t="s">
        <v>81</v>
      </c>
      <c r="CRP11" s="284"/>
      <c r="CRQ11" s="259" t="s">
        <v>55</v>
      </c>
      <c r="CRR11" s="256" t="s">
        <v>76</v>
      </c>
      <c r="CRS11" s="256" t="s">
        <v>77</v>
      </c>
      <c r="CRT11" s="256" t="s">
        <v>78</v>
      </c>
      <c r="CRU11" s="256" t="s">
        <v>79</v>
      </c>
      <c r="CRV11" s="256" t="s">
        <v>80</v>
      </c>
      <c r="CRW11" s="256" t="s">
        <v>81</v>
      </c>
      <c r="CRX11" s="283"/>
      <c r="CRY11" s="259" t="s">
        <v>55</v>
      </c>
      <c r="CRZ11" s="256" t="s">
        <v>76</v>
      </c>
      <c r="CSA11" s="256" t="s">
        <v>77</v>
      </c>
      <c r="CSB11" s="256" t="s">
        <v>78</v>
      </c>
      <c r="CSC11" s="256" t="s">
        <v>79</v>
      </c>
      <c r="CSD11" s="256" t="s">
        <v>80</v>
      </c>
      <c r="CSE11" s="58" t="s">
        <v>81</v>
      </c>
      <c r="CSF11" s="284"/>
      <c r="CSG11" s="259" t="s">
        <v>55</v>
      </c>
      <c r="CSH11" s="256" t="s">
        <v>76</v>
      </c>
      <c r="CSI11" s="256" t="s">
        <v>77</v>
      </c>
      <c r="CSJ11" s="256" t="s">
        <v>78</v>
      </c>
      <c r="CSK11" s="256" t="s">
        <v>79</v>
      </c>
      <c r="CSL11" s="256" t="s">
        <v>80</v>
      </c>
      <c r="CSM11" s="256" t="s">
        <v>81</v>
      </c>
      <c r="CSN11" s="283"/>
      <c r="CSO11" s="259" t="s">
        <v>55</v>
      </c>
      <c r="CSP11" s="256" t="s">
        <v>76</v>
      </c>
      <c r="CSQ11" s="256" t="s">
        <v>77</v>
      </c>
      <c r="CSR11" s="256" t="s">
        <v>78</v>
      </c>
      <c r="CSS11" s="256" t="s">
        <v>79</v>
      </c>
      <c r="CST11" s="256" t="s">
        <v>80</v>
      </c>
      <c r="CSU11" s="58" t="s">
        <v>81</v>
      </c>
      <c r="CSV11" s="284"/>
      <c r="CSW11" s="259" t="s">
        <v>55</v>
      </c>
      <c r="CSX11" s="256" t="s">
        <v>76</v>
      </c>
      <c r="CSY11" s="256" t="s">
        <v>77</v>
      </c>
      <c r="CSZ11" s="256" t="s">
        <v>78</v>
      </c>
      <c r="CTA11" s="256" t="s">
        <v>79</v>
      </c>
      <c r="CTB11" s="256" t="s">
        <v>80</v>
      </c>
      <c r="CTC11" s="256" t="s">
        <v>81</v>
      </c>
      <c r="CTD11" s="283"/>
      <c r="CTE11" s="259" t="s">
        <v>55</v>
      </c>
      <c r="CTF11" s="256" t="s">
        <v>76</v>
      </c>
      <c r="CTG11" s="256" t="s">
        <v>77</v>
      </c>
      <c r="CTH11" s="256" t="s">
        <v>78</v>
      </c>
      <c r="CTI11" s="256" t="s">
        <v>79</v>
      </c>
      <c r="CTJ11" s="256" t="s">
        <v>80</v>
      </c>
      <c r="CTK11" s="58" t="s">
        <v>81</v>
      </c>
      <c r="CTL11" s="284"/>
      <c r="CTM11" s="259" t="s">
        <v>55</v>
      </c>
      <c r="CTN11" s="256" t="s">
        <v>76</v>
      </c>
      <c r="CTO11" s="256" t="s">
        <v>77</v>
      </c>
      <c r="CTP11" s="256" t="s">
        <v>78</v>
      </c>
      <c r="CTQ11" s="256" t="s">
        <v>79</v>
      </c>
      <c r="CTR11" s="256" t="s">
        <v>80</v>
      </c>
      <c r="CTS11" s="256" t="s">
        <v>81</v>
      </c>
      <c r="CTT11" s="283"/>
      <c r="CTU11" s="259" t="s">
        <v>55</v>
      </c>
      <c r="CTV11" s="256" t="s">
        <v>76</v>
      </c>
      <c r="CTW11" s="256" t="s">
        <v>77</v>
      </c>
      <c r="CTX11" s="256" t="s">
        <v>78</v>
      </c>
      <c r="CTY11" s="256" t="s">
        <v>79</v>
      </c>
      <c r="CTZ11" s="256" t="s">
        <v>80</v>
      </c>
      <c r="CUA11" s="58" t="s">
        <v>81</v>
      </c>
      <c r="CUB11" s="284"/>
      <c r="CUC11" s="259" t="s">
        <v>55</v>
      </c>
      <c r="CUD11" s="256" t="s">
        <v>76</v>
      </c>
      <c r="CUE11" s="256" t="s">
        <v>77</v>
      </c>
      <c r="CUF11" s="256" t="s">
        <v>78</v>
      </c>
      <c r="CUG11" s="256" t="s">
        <v>79</v>
      </c>
      <c r="CUH11" s="256" t="s">
        <v>80</v>
      </c>
      <c r="CUI11" s="256" t="s">
        <v>81</v>
      </c>
      <c r="CUJ11" s="283"/>
      <c r="CUK11" s="259" t="s">
        <v>55</v>
      </c>
      <c r="CUL11" s="256" t="s">
        <v>76</v>
      </c>
      <c r="CUM11" s="256" t="s">
        <v>77</v>
      </c>
      <c r="CUN11" s="256" t="s">
        <v>78</v>
      </c>
      <c r="CUO11" s="256" t="s">
        <v>79</v>
      </c>
      <c r="CUP11" s="256" t="s">
        <v>80</v>
      </c>
      <c r="CUQ11" s="58" t="s">
        <v>81</v>
      </c>
      <c r="CUR11" s="284"/>
      <c r="CUS11" s="259" t="s">
        <v>55</v>
      </c>
      <c r="CUT11" s="256" t="s">
        <v>76</v>
      </c>
      <c r="CUU11" s="256" t="s">
        <v>77</v>
      </c>
      <c r="CUV11" s="256" t="s">
        <v>78</v>
      </c>
      <c r="CUW11" s="256" t="s">
        <v>79</v>
      </c>
      <c r="CUX11" s="256" t="s">
        <v>80</v>
      </c>
      <c r="CUY11" s="256" t="s">
        <v>81</v>
      </c>
      <c r="CUZ11" s="283"/>
      <c r="CVA11" s="259" t="s">
        <v>55</v>
      </c>
      <c r="CVB11" s="256" t="s">
        <v>76</v>
      </c>
      <c r="CVC11" s="256" t="s">
        <v>77</v>
      </c>
      <c r="CVD11" s="256" t="s">
        <v>78</v>
      </c>
      <c r="CVE11" s="256" t="s">
        <v>79</v>
      </c>
      <c r="CVF11" s="256" t="s">
        <v>80</v>
      </c>
      <c r="CVG11" s="58" t="s">
        <v>81</v>
      </c>
      <c r="CVH11" s="284"/>
      <c r="CVI11" s="259" t="s">
        <v>55</v>
      </c>
      <c r="CVJ11" s="256" t="s">
        <v>76</v>
      </c>
      <c r="CVK11" s="256" t="s">
        <v>77</v>
      </c>
      <c r="CVL11" s="256" t="s">
        <v>78</v>
      </c>
      <c r="CVM11" s="256" t="s">
        <v>79</v>
      </c>
      <c r="CVN11" s="256" t="s">
        <v>80</v>
      </c>
      <c r="CVO11" s="256" t="s">
        <v>81</v>
      </c>
      <c r="CVP11" s="283"/>
      <c r="CVQ11" s="259" t="s">
        <v>55</v>
      </c>
      <c r="CVR11" s="256" t="s">
        <v>76</v>
      </c>
      <c r="CVS11" s="256" t="s">
        <v>77</v>
      </c>
      <c r="CVT11" s="256" t="s">
        <v>78</v>
      </c>
      <c r="CVU11" s="256" t="s">
        <v>79</v>
      </c>
      <c r="CVV11" s="256" t="s">
        <v>80</v>
      </c>
      <c r="CVW11" s="58" t="s">
        <v>81</v>
      </c>
      <c r="CVX11" s="284"/>
      <c r="CVY11" s="259" t="s">
        <v>55</v>
      </c>
      <c r="CVZ11" s="256" t="s">
        <v>76</v>
      </c>
      <c r="CWA11" s="256" t="s">
        <v>77</v>
      </c>
      <c r="CWB11" s="256" t="s">
        <v>78</v>
      </c>
      <c r="CWC11" s="256" t="s">
        <v>79</v>
      </c>
      <c r="CWD11" s="256" t="s">
        <v>80</v>
      </c>
      <c r="CWE11" s="256" t="s">
        <v>81</v>
      </c>
      <c r="CWF11" s="283"/>
      <c r="CWG11" s="259" t="s">
        <v>55</v>
      </c>
      <c r="CWH11" s="256" t="s">
        <v>76</v>
      </c>
      <c r="CWI11" s="256" t="s">
        <v>77</v>
      </c>
      <c r="CWJ11" s="256" t="s">
        <v>78</v>
      </c>
      <c r="CWK11" s="256" t="s">
        <v>79</v>
      </c>
      <c r="CWL11" s="256" t="s">
        <v>80</v>
      </c>
      <c r="CWM11" s="58" t="s">
        <v>81</v>
      </c>
      <c r="CWN11" s="284"/>
      <c r="CWO11" s="259" t="s">
        <v>55</v>
      </c>
      <c r="CWP11" s="256" t="s">
        <v>76</v>
      </c>
      <c r="CWQ11" s="256" t="s">
        <v>77</v>
      </c>
      <c r="CWR11" s="256" t="s">
        <v>78</v>
      </c>
      <c r="CWS11" s="256" t="s">
        <v>79</v>
      </c>
      <c r="CWT11" s="256" t="s">
        <v>80</v>
      </c>
      <c r="CWU11" s="256" t="s">
        <v>81</v>
      </c>
      <c r="CWV11" s="283"/>
      <c r="CWW11" s="259" t="s">
        <v>55</v>
      </c>
      <c r="CWX11" s="256" t="s">
        <v>76</v>
      </c>
      <c r="CWY11" s="256" t="s">
        <v>77</v>
      </c>
      <c r="CWZ11" s="256" t="s">
        <v>78</v>
      </c>
      <c r="CXA11" s="256" t="s">
        <v>79</v>
      </c>
      <c r="CXB11" s="256" t="s">
        <v>80</v>
      </c>
      <c r="CXC11" s="58" t="s">
        <v>81</v>
      </c>
      <c r="CXD11" s="284"/>
      <c r="CXE11" s="259" t="s">
        <v>55</v>
      </c>
      <c r="CXF11" s="256" t="s">
        <v>76</v>
      </c>
      <c r="CXG11" s="256" t="s">
        <v>77</v>
      </c>
      <c r="CXH11" s="256" t="s">
        <v>78</v>
      </c>
      <c r="CXI11" s="256" t="s">
        <v>79</v>
      </c>
      <c r="CXJ11" s="256" t="s">
        <v>80</v>
      </c>
      <c r="CXK11" s="256" t="s">
        <v>81</v>
      </c>
      <c r="CXL11" s="283"/>
      <c r="CXM11" s="259" t="s">
        <v>55</v>
      </c>
      <c r="CXN11" s="256" t="s">
        <v>76</v>
      </c>
      <c r="CXO11" s="256" t="s">
        <v>77</v>
      </c>
      <c r="CXP11" s="256" t="s">
        <v>78</v>
      </c>
      <c r="CXQ11" s="256" t="s">
        <v>79</v>
      </c>
      <c r="CXR11" s="256" t="s">
        <v>80</v>
      </c>
      <c r="CXS11" s="58" t="s">
        <v>81</v>
      </c>
      <c r="CXT11" s="284"/>
      <c r="CXU11" s="259" t="s">
        <v>55</v>
      </c>
      <c r="CXV11" s="256" t="s">
        <v>76</v>
      </c>
      <c r="CXW11" s="256" t="s">
        <v>77</v>
      </c>
      <c r="CXX11" s="256" t="s">
        <v>78</v>
      </c>
      <c r="CXY11" s="256" t="s">
        <v>79</v>
      </c>
      <c r="CXZ11" s="256" t="s">
        <v>80</v>
      </c>
      <c r="CYA11" s="256" t="s">
        <v>81</v>
      </c>
      <c r="CYB11" s="283"/>
      <c r="CYC11" s="259" t="s">
        <v>55</v>
      </c>
      <c r="CYD11" s="256" t="s">
        <v>76</v>
      </c>
      <c r="CYE11" s="256" t="s">
        <v>77</v>
      </c>
      <c r="CYF11" s="256" t="s">
        <v>78</v>
      </c>
      <c r="CYG11" s="256" t="s">
        <v>79</v>
      </c>
      <c r="CYH11" s="256" t="s">
        <v>80</v>
      </c>
      <c r="CYI11" s="58" t="s">
        <v>81</v>
      </c>
      <c r="CYJ11" s="284"/>
      <c r="CYK11" s="259" t="s">
        <v>55</v>
      </c>
      <c r="CYL11" s="256" t="s">
        <v>76</v>
      </c>
      <c r="CYM11" s="256" t="s">
        <v>77</v>
      </c>
      <c r="CYN11" s="256" t="s">
        <v>78</v>
      </c>
      <c r="CYO11" s="256" t="s">
        <v>79</v>
      </c>
      <c r="CYP11" s="256" t="s">
        <v>80</v>
      </c>
      <c r="CYQ11" s="256" t="s">
        <v>81</v>
      </c>
      <c r="CYR11" s="283"/>
      <c r="CYS11" s="259" t="s">
        <v>55</v>
      </c>
      <c r="CYT11" s="256" t="s">
        <v>76</v>
      </c>
      <c r="CYU11" s="256" t="s">
        <v>77</v>
      </c>
      <c r="CYV11" s="256" t="s">
        <v>78</v>
      </c>
      <c r="CYW11" s="256" t="s">
        <v>79</v>
      </c>
      <c r="CYX11" s="256" t="s">
        <v>80</v>
      </c>
      <c r="CYY11" s="58" t="s">
        <v>81</v>
      </c>
      <c r="CYZ11" s="284"/>
      <c r="CZA11" s="259" t="s">
        <v>55</v>
      </c>
      <c r="CZB11" s="256" t="s">
        <v>76</v>
      </c>
      <c r="CZC11" s="256" t="s">
        <v>77</v>
      </c>
      <c r="CZD11" s="256" t="s">
        <v>78</v>
      </c>
      <c r="CZE11" s="256" t="s">
        <v>79</v>
      </c>
      <c r="CZF11" s="256" t="s">
        <v>80</v>
      </c>
      <c r="CZG11" s="256" t="s">
        <v>81</v>
      </c>
      <c r="CZH11" s="283"/>
      <c r="CZI11" s="259" t="s">
        <v>55</v>
      </c>
      <c r="CZJ11" s="256" t="s">
        <v>76</v>
      </c>
      <c r="CZK11" s="256" t="s">
        <v>77</v>
      </c>
      <c r="CZL11" s="256" t="s">
        <v>78</v>
      </c>
      <c r="CZM11" s="256" t="s">
        <v>79</v>
      </c>
      <c r="CZN11" s="256" t="s">
        <v>80</v>
      </c>
      <c r="CZO11" s="58" t="s">
        <v>81</v>
      </c>
      <c r="CZP11" s="284"/>
      <c r="CZQ11" s="259" t="s">
        <v>55</v>
      </c>
      <c r="CZR11" s="256" t="s">
        <v>76</v>
      </c>
      <c r="CZS11" s="256" t="s">
        <v>77</v>
      </c>
      <c r="CZT11" s="256" t="s">
        <v>78</v>
      </c>
      <c r="CZU11" s="256" t="s">
        <v>79</v>
      </c>
      <c r="CZV11" s="256" t="s">
        <v>80</v>
      </c>
      <c r="CZW11" s="256" t="s">
        <v>81</v>
      </c>
      <c r="CZX11" s="283"/>
      <c r="CZY11" s="259" t="s">
        <v>55</v>
      </c>
      <c r="CZZ11" s="256" t="s">
        <v>76</v>
      </c>
      <c r="DAA11" s="256" t="s">
        <v>77</v>
      </c>
      <c r="DAB11" s="256" t="s">
        <v>78</v>
      </c>
      <c r="DAC11" s="256" t="s">
        <v>79</v>
      </c>
      <c r="DAD11" s="256" t="s">
        <v>80</v>
      </c>
      <c r="DAE11" s="58" t="s">
        <v>81</v>
      </c>
      <c r="DAF11" s="284"/>
      <c r="DAG11" s="259" t="s">
        <v>55</v>
      </c>
      <c r="DAH11" s="256" t="s">
        <v>76</v>
      </c>
      <c r="DAI11" s="256" t="s">
        <v>77</v>
      </c>
      <c r="DAJ11" s="256" t="s">
        <v>78</v>
      </c>
      <c r="DAK11" s="256" t="s">
        <v>79</v>
      </c>
      <c r="DAL11" s="256" t="s">
        <v>80</v>
      </c>
      <c r="DAM11" s="256" t="s">
        <v>81</v>
      </c>
      <c r="DAN11" s="283"/>
      <c r="DAO11" s="259" t="s">
        <v>55</v>
      </c>
      <c r="DAP11" s="256" t="s">
        <v>76</v>
      </c>
      <c r="DAQ11" s="256" t="s">
        <v>77</v>
      </c>
      <c r="DAR11" s="256" t="s">
        <v>78</v>
      </c>
      <c r="DAS11" s="256" t="s">
        <v>79</v>
      </c>
      <c r="DAT11" s="256" t="s">
        <v>80</v>
      </c>
      <c r="DAU11" s="58" t="s">
        <v>81</v>
      </c>
      <c r="DAV11" s="284"/>
      <c r="DAW11" s="259" t="s">
        <v>55</v>
      </c>
      <c r="DAX11" s="256" t="s">
        <v>76</v>
      </c>
      <c r="DAY11" s="256" t="s">
        <v>77</v>
      </c>
      <c r="DAZ11" s="256" t="s">
        <v>78</v>
      </c>
      <c r="DBA11" s="256" t="s">
        <v>79</v>
      </c>
      <c r="DBB11" s="256" t="s">
        <v>80</v>
      </c>
      <c r="DBC11" s="256" t="s">
        <v>81</v>
      </c>
      <c r="DBD11" s="283"/>
      <c r="DBE11" s="259" t="s">
        <v>55</v>
      </c>
      <c r="DBF11" s="256" t="s">
        <v>76</v>
      </c>
      <c r="DBG11" s="256" t="s">
        <v>77</v>
      </c>
      <c r="DBH11" s="256" t="s">
        <v>78</v>
      </c>
      <c r="DBI11" s="256" t="s">
        <v>79</v>
      </c>
      <c r="DBJ11" s="256" t="s">
        <v>80</v>
      </c>
      <c r="DBK11" s="58" t="s">
        <v>81</v>
      </c>
      <c r="DBL11" s="284"/>
      <c r="DBM11" s="259" t="s">
        <v>55</v>
      </c>
      <c r="DBN11" s="256" t="s">
        <v>76</v>
      </c>
      <c r="DBO11" s="256" t="s">
        <v>77</v>
      </c>
      <c r="DBP11" s="256" t="s">
        <v>78</v>
      </c>
      <c r="DBQ11" s="256" t="s">
        <v>79</v>
      </c>
      <c r="DBR11" s="256" t="s">
        <v>80</v>
      </c>
      <c r="DBS11" s="256" t="s">
        <v>81</v>
      </c>
      <c r="DBT11" s="283"/>
      <c r="DBU11" s="259" t="s">
        <v>55</v>
      </c>
      <c r="DBV11" s="256" t="s">
        <v>76</v>
      </c>
      <c r="DBW11" s="256" t="s">
        <v>77</v>
      </c>
      <c r="DBX11" s="256" t="s">
        <v>78</v>
      </c>
      <c r="DBY11" s="256" t="s">
        <v>79</v>
      </c>
      <c r="DBZ11" s="256" t="s">
        <v>80</v>
      </c>
      <c r="DCA11" s="58" t="s">
        <v>81</v>
      </c>
      <c r="DCB11" s="284"/>
      <c r="DCC11" s="259" t="s">
        <v>55</v>
      </c>
      <c r="DCD11" s="256" t="s">
        <v>76</v>
      </c>
      <c r="DCE11" s="256" t="s">
        <v>77</v>
      </c>
      <c r="DCF11" s="256" t="s">
        <v>78</v>
      </c>
      <c r="DCG11" s="256" t="s">
        <v>79</v>
      </c>
      <c r="DCH11" s="256" t="s">
        <v>80</v>
      </c>
      <c r="DCI11" s="256" t="s">
        <v>81</v>
      </c>
      <c r="DCJ11" s="283"/>
      <c r="DCK11" s="259" t="s">
        <v>55</v>
      </c>
      <c r="DCL11" s="256" t="s">
        <v>76</v>
      </c>
      <c r="DCM11" s="256" t="s">
        <v>77</v>
      </c>
      <c r="DCN11" s="256" t="s">
        <v>78</v>
      </c>
      <c r="DCO11" s="256" t="s">
        <v>79</v>
      </c>
      <c r="DCP11" s="256" t="s">
        <v>80</v>
      </c>
      <c r="DCQ11" s="58" t="s">
        <v>81</v>
      </c>
      <c r="DCR11" s="284"/>
      <c r="DCS11" s="259" t="s">
        <v>55</v>
      </c>
      <c r="DCT11" s="256" t="s">
        <v>76</v>
      </c>
      <c r="DCU11" s="256" t="s">
        <v>77</v>
      </c>
      <c r="DCV11" s="256" t="s">
        <v>78</v>
      </c>
      <c r="DCW11" s="256" t="s">
        <v>79</v>
      </c>
      <c r="DCX11" s="256" t="s">
        <v>80</v>
      </c>
      <c r="DCY11" s="256" t="s">
        <v>81</v>
      </c>
      <c r="DCZ11" s="283"/>
      <c r="DDA11" s="259" t="s">
        <v>55</v>
      </c>
      <c r="DDB11" s="256" t="s">
        <v>76</v>
      </c>
      <c r="DDC11" s="256" t="s">
        <v>77</v>
      </c>
      <c r="DDD11" s="256" t="s">
        <v>78</v>
      </c>
      <c r="DDE11" s="256" t="s">
        <v>79</v>
      </c>
      <c r="DDF11" s="256" t="s">
        <v>80</v>
      </c>
      <c r="DDG11" s="58" t="s">
        <v>81</v>
      </c>
      <c r="DDH11" s="284"/>
      <c r="DDI11" s="259" t="s">
        <v>55</v>
      </c>
      <c r="DDJ11" s="256" t="s">
        <v>76</v>
      </c>
      <c r="DDK11" s="256" t="s">
        <v>77</v>
      </c>
      <c r="DDL11" s="256" t="s">
        <v>78</v>
      </c>
      <c r="DDM11" s="256" t="s">
        <v>79</v>
      </c>
      <c r="DDN11" s="256" t="s">
        <v>80</v>
      </c>
      <c r="DDO11" s="256" t="s">
        <v>81</v>
      </c>
      <c r="DDP11" s="283"/>
      <c r="DDQ11" s="259" t="s">
        <v>55</v>
      </c>
      <c r="DDR11" s="256" t="s">
        <v>76</v>
      </c>
      <c r="DDS11" s="256" t="s">
        <v>77</v>
      </c>
      <c r="DDT11" s="256" t="s">
        <v>78</v>
      </c>
      <c r="DDU11" s="256" t="s">
        <v>79</v>
      </c>
      <c r="DDV11" s="256" t="s">
        <v>80</v>
      </c>
      <c r="DDW11" s="58" t="s">
        <v>81</v>
      </c>
      <c r="DDX11" s="284"/>
      <c r="DDY11" s="259" t="s">
        <v>55</v>
      </c>
      <c r="DDZ11" s="256" t="s">
        <v>76</v>
      </c>
      <c r="DEA11" s="256" t="s">
        <v>77</v>
      </c>
      <c r="DEB11" s="256" t="s">
        <v>78</v>
      </c>
      <c r="DEC11" s="256" t="s">
        <v>79</v>
      </c>
      <c r="DED11" s="256" t="s">
        <v>80</v>
      </c>
      <c r="DEE11" s="256" t="s">
        <v>81</v>
      </c>
      <c r="DEF11" s="283"/>
      <c r="DEG11" s="259" t="s">
        <v>55</v>
      </c>
      <c r="DEH11" s="256" t="s">
        <v>76</v>
      </c>
      <c r="DEI11" s="256" t="s">
        <v>77</v>
      </c>
      <c r="DEJ11" s="256" t="s">
        <v>78</v>
      </c>
      <c r="DEK11" s="256" t="s">
        <v>79</v>
      </c>
      <c r="DEL11" s="256" t="s">
        <v>80</v>
      </c>
      <c r="DEM11" s="58" t="s">
        <v>81</v>
      </c>
      <c r="DEN11" s="284"/>
      <c r="DEO11" s="259" t="s">
        <v>55</v>
      </c>
      <c r="DEP11" s="256" t="s">
        <v>76</v>
      </c>
      <c r="DEQ11" s="256" t="s">
        <v>77</v>
      </c>
      <c r="DER11" s="256" t="s">
        <v>78</v>
      </c>
      <c r="DES11" s="256" t="s">
        <v>79</v>
      </c>
      <c r="DET11" s="256" t="s">
        <v>80</v>
      </c>
      <c r="DEU11" s="256" t="s">
        <v>81</v>
      </c>
      <c r="DEV11" s="283"/>
      <c r="DEW11" s="259" t="s">
        <v>55</v>
      </c>
      <c r="DEX11" s="256" t="s">
        <v>76</v>
      </c>
      <c r="DEY11" s="256" t="s">
        <v>77</v>
      </c>
      <c r="DEZ11" s="256" t="s">
        <v>78</v>
      </c>
      <c r="DFA11" s="256" t="s">
        <v>79</v>
      </c>
      <c r="DFB11" s="256" t="s">
        <v>80</v>
      </c>
      <c r="DFC11" s="58" t="s">
        <v>81</v>
      </c>
      <c r="DFD11" s="284"/>
      <c r="DFE11" s="259" t="s">
        <v>55</v>
      </c>
      <c r="DFF11" s="256" t="s">
        <v>76</v>
      </c>
      <c r="DFG11" s="256" t="s">
        <v>77</v>
      </c>
      <c r="DFH11" s="256" t="s">
        <v>78</v>
      </c>
      <c r="DFI11" s="256" t="s">
        <v>79</v>
      </c>
      <c r="DFJ11" s="256" t="s">
        <v>80</v>
      </c>
      <c r="DFK11" s="256" t="s">
        <v>81</v>
      </c>
      <c r="DFL11" s="283"/>
      <c r="DFM11" s="259" t="s">
        <v>55</v>
      </c>
      <c r="DFN11" s="256" t="s">
        <v>76</v>
      </c>
      <c r="DFO11" s="256" t="s">
        <v>77</v>
      </c>
      <c r="DFP11" s="256" t="s">
        <v>78</v>
      </c>
      <c r="DFQ11" s="256" t="s">
        <v>79</v>
      </c>
      <c r="DFR11" s="256" t="s">
        <v>80</v>
      </c>
      <c r="DFS11" s="58" t="s">
        <v>81</v>
      </c>
      <c r="DFT11" s="284"/>
      <c r="DFU11" s="259" t="s">
        <v>55</v>
      </c>
      <c r="DFV11" s="256" t="s">
        <v>76</v>
      </c>
      <c r="DFW11" s="256" t="s">
        <v>77</v>
      </c>
      <c r="DFX11" s="256" t="s">
        <v>78</v>
      </c>
      <c r="DFY11" s="256" t="s">
        <v>79</v>
      </c>
      <c r="DFZ11" s="256" t="s">
        <v>80</v>
      </c>
      <c r="DGA11" s="256" t="s">
        <v>81</v>
      </c>
      <c r="DGB11" s="283"/>
      <c r="DGC11" s="259" t="s">
        <v>55</v>
      </c>
      <c r="DGD11" s="256" t="s">
        <v>76</v>
      </c>
      <c r="DGE11" s="256" t="s">
        <v>77</v>
      </c>
      <c r="DGF11" s="256" t="s">
        <v>78</v>
      </c>
      <c r="DGG11" s="256" t="s">
        <v>79</v>
      </c>
      <c r="DGH11" s="256" t="s">
        <v>80</v>
      </c>
      <c r="DGI11" s="58" t="s">
        <v>81</v>
      </c>
      <c r="DGJ11" s="284"/>
      <c r="DGK11" s="259" t="s">
        <v>55</v>
      </c>
      <c r="DGL11" s="256" t="s">
        <v>76</v>
      </c>
      <c r="DGM11" s="256" t="s">
        <v>77</v>
      </c>
      <c r="DGN11" s="256" t="s">
        <v>78</v>
      </c>
      <c r="DGO11" s="256" t="s">
        <v>79</v>
      </c>
      <c r="DGP11" s="256" t="s">
        <v>80</v>
      </c>
      <c r="DGQ11" s="256" t="s">
        <v>81</v>
      </c>
      <c r="DGR11" s="283"/>
      <c r="DGS11" s="259" t="s">
        <v>55</v>
      </c>
      <c r="DGT11" s="256" t="s">
        <v>76</v>
      </c>
      <c r="DGU11" s="256" t="s">
        <v>77</v>
      </c>
      <c r="DGV11" s="256" t="s">
        <v>78</v>
      </c>
      <c r="DGW11" s="256" t="s">
        <v>79</v>
      </c>
      <c r="DGX11" s="256" t="s">
        <v>80</v>
      </c>
      <c r="DGY11" s="58" t="s">
        <v>81</v>
      </c>
      <c r="DGZ11" s="284"/>
      <c r="DHA11" s="259" t="s">
        <v>55</v>
      </c>
      <c r="DHB11" s="256" t="s">
        <v>76</v>
      </c>
      <c r="DHC11" s="256" t="s">
        <v>77</v>
      </c>
      <c r="DHD11" s="256" t="s">
        <v>78</v>
      </c>
      <c r="DHE11" s="256" t="s">
        <v>79</v>
      </c>
      <c r="DHF11" s="256" t="s">
        <v>80</v>
      </c>
      <c r="DHG11" s="256" t="s">
        <v>81</v>
      </c>
      <c r="DHH11" s="283"/>
      <c r="DHI11" s="259" t="s">
        <v>55</v>
      </c>
      <c r="DHJ11" s="256" t="s">
        <v>76</v>
      </c>
      <c r="DHK11" s="256" t="s">
        <v>77</v>
      </c>
      <c r="DHL11" s="256" t="s">
        <v>78</v>
      </c>
      <c r="DHM11" s="256" t="s">
        <v>79</v>
      </c>
      <c r="DHN11" s="256" t="s">
        <v>80</v>
      </c>
      <c r="DHO11" s="58" t="s">
        <v>81</v>
      </c>
      <c r="DHP11" s="284"/>
      <c r="DHQ11" s="259" t="s">
        <v>55</v>
      </c>
      <c r="DHR11" s="256" t="s">
        <v>76</v>
      </c>
      <c r="DHS11" s="256" t="s">
        <v>77</v>
      </c>
      <c r="DHT11" s="256" t="s">
        <v>78</v>
      </c>
      <c r="DHU11" s="256" t="s">
        <v>79</v>
      </c>
      <c r="DHV11" s="256" t="s">
        <v>80</v>
      </c>
      <c r="DHW11" s="256" t="s">
        <v>81</v>
      </c>
      <c r="DHX11" s="283"/>
      <c r="DHY11" s="259" t="s">
        <v>55</v>
      </c>
      <c r="DHZ11" s="256" t="s">
        <v>76</v>
      </c>
      <c r="DIA11" s="256" t="s">
        <v>77</v>
      </c>
      <c r="DIB11" s="256" t="s">
        <v>78</v>
      </c>
      <c r="DIC11" s="256" t="s">
        <v>79</v>
      </c>
      <c r="DID11" s="256" t="s">
        <v>80</v>
      </c>
      <c r="DIE11" s="58" t="s">
        <v>81</v>
      </c>
      <c r="DIF11" s="284"/>
      <c r="DIG11" s="259" t="s">
        <v>55</v>
      </c>
      <c r="DIH11" s="256" t="s">
        <v>76</v>
      </c>
      <c r="DII11" s="256" t="s">
        <v>77</v>
      </c>
      <c r="DIJ11" s="256" t="s">
        <v>78</v>
      </c>
      <c r="DIK11" s="256" t="s">
        <v>79</v>
      </c>
      <c r="DIL11" s="256" t="s">
        <v>80</v>
      </c>
      <c r="DIM11" s="256" t="s">
        <v>81</v>
      </c>
      <c r="DIN11" s="283"/>
      <c r="DIO11" s="259" t="s">
        <v>55</v>
      </c>
      <c r="DIP11" s="256" t="s">
        <v>76</v>
      </c>
      <c r="DIQ11" s="256" t="s">
        <v>77</v>
      </c>
      <c r="DIR11" s="256" t="s">
        <v>78</v>
      </c>
      <c r="DIS11" s="256" t="s">
        <v>79</v>
      </c>
      <c r="DIT11" s="256" t="s">
        <v>80</v>
      </c>
      <c r="DIU11" s="58" t="s">
        <v>81</v>
      </c>
      <c r="DIV11" s="284"/>
      <c r="DIW11" s="259" t="s">
        <v>55</v>
      </c>
      <c r="DIX11" s="256" t="s">
        <v>76</v>
      </c>
      <c r="DIY11" s="256" t="s">
        <v>77</v>
      </c>
      <c r="DIZ11" s="256" t="s">
        <v>78</v>
      </c>
      <c r="DJA11" s="256" t="s">
        <v>79</v>
      </c>
      <c r="DJB11" s="256" t="s">
        <v>80</v>
      </c>
      <c r="DJC11" s="256" t="s">
        <v>81</v>
      </c>
      <c r="DJD11" s="283"/>
      <c r="DJE11" s="259" t="s">
        <v>55</v>
      </c>
      <c r="DJF11" s="256" t="s">
        <v>76</v>
      </c>
      <c r="DJG11" s="256" t="s">
        <v>77</v>
      </c>
      <c r="DJH11" s="256" t="s">
        <v>78</v>
      </c>
      <c r="DJI11" s="256" t="s">
        <v>79</v>
      </c>
      <c r="DJJ11" s="256" t="s">
        <v>80</v>
      </c>
      <c r="DJK11" s="58" t="s">
        <v>81</v>
      </c>
      <c r="DJL11" s="284"/>
      <c r="DJM11" s="259" t="s">
        <v>55</v>
      </c>
      <c r="DJN11" s="256" t="s">
        <v>76</v>
      </c>
      <c r="DJO11" s="256" t="s">
        <v>77</v>
      </c>
      <c r="DJP11" s="256" t="s">
        <v>78</v>
      </c>
      <c r="DJQ11" s="256" t="s">
        <v>79</v>
      </c>
      <c r="DJR11" s="256" t="s">
        <v>80</v>
      </c>
      <c r="DJS11" s="256" t="s">
        <v>81</v>
      </c>
      <c r="DJT11" s="283"/>
      <c r="DJU11" s="259" t="s">
        <v>55</v>
      </c>
      <c r="DJV11" s="256" t="s">
        <v>76</v>
      </c>
      <c r="DJW11" s="256" t="s">
        <v>77</v>
      </c>
      <c r="DJX11" s="256" t="s">
        <v>78</v>
      </c>
      <c r="DJY11" s="256" t="s">
        <v>79</v>
      </c>
      <c r="DJZ11" s="256" t="s">
        <v>80</v>
      </c>
      <c r="DKA11" s="58" t="s">
        <v>81</v>
      </c>
      <c r="DKB11" s="284"/>
      <c r="DKC11" s="259" t="s">
        <v>55</v>
      </c>
      <c r="DKD11" s="256" t="s">
        <v>76</v>
      </c>
      <c r="DKE11" s="256" t="s">
        <v>77</v>
      </c>
      <c r="DKF11" s="256" t="s">
        <v>78</v>
      </c>
      <c r="DKG11" s="256" t="s">
        <v>79</v>
      </c>
      <c r="DKH11" s="256" t="s">
        <v>80</v>
      </c>
      <c r="DKI11" s="256" t="s">
        <v>81</v>
      </c>
      <c r="DKJ11" s="283"/>
      <c r="DKK11" s="259" t="s">
        <v>55</v>
      </c>
      <c r="DKL11" s="256" t="s">
        <v>76</v>
      </c>
      <c r="DKM11" s="256" t="s">
        <v>77</v>
      </c>
      <c r="DKN11" s="256" t="s">
        <v>78</v>
      </c>
      <c r="DKO11" s="256" t="s">
        <v>79</v>
      </c>
      <c r="DKP11" s="256" t="s">
        <v>80</v>
      </c>
      <c r="DKQ11" s="58" t="s">
        <v>81</v>
      </c>
      <c r="DKR11" s="284"/>
      <c r="DKS11" s="259" t="s">
        <v>55</v>
      </c>
      <c r="DKT11" s="256" t="s">
        <v>76</v>
      </c>
      <c r="DKU11" s="256" t="s">
        <v>77</v>
      </c>
      <c r="DKV11" s="256" t="s">
        <v>78</v>
      </c>
      <c r="DKW11" s="256" t="s">
        <v>79</v>
      </c>
      <c r="DKX11" s="256" t="s">
        <v>80</v>
      </c>
      <c r="DKY11" s="256" t="s">
        <v>81</v>
      </c>
      <c r="DKZ11" s="283"/>
      <c r="DLA11" s="259" t="s">
        <v>55</v>
      </c>
      <c r="DLB11" s="256" t="s">
        <v>76</v>
      </c>
      <c r="DLC11" s="256" t="s">
        <v>77</v>
      </c>
      <c r="DLD11" s="256" t="s">
        <v>78</v>
      </c>
      <c r="DLE11" s="256" t="s">
        <v>79</v>
      </c>
      <c r="DLF11" s="256" t="s">
        <v>80</v>
      </c>
      <c r="DLG11" s="58" t="s">
        <v>81</v>
      </c>
      <c r="DLH11" s="284"/>
      <c r="DLI11" s="259" t="s">
        <v>55</v>
      </c>
      <c r="DLJ11" s="256" t="s">
        <v>76</v>
      </c>
      <c r="DLK11" s="256" t="s">
        <v>77</v>
      </c>
      <c r="DLL11" s="256" t="s">
        <v>78</v>
      </c>
      <c r="DLM11" s="256" t="s">
        <v>79</v>
      </c>
      <c r="DLN11" s="256" t="s">
        <v>80</v>
      </c>
      <c r="DLO11" s="256" t="s">
        <v>81</v>
      </c>
      <c r="DLP11" s="283"/>
      <c r="DLQ11" s="259" t="s">
        <v>55</v>
      </c>
      <c r="DLR11" s="256" t="s">
        <v>76</v>
      </c>
      <c r="DLS11" s="256" t="s">
        <v>77</v>
      </c>
      <c r="DLT11" s="256" t="s">
        <v>78</v>
      </c>
      <c r="DLU11" s="256" t="s">
        <v>79</v>
      </c>
      <c r="DLV11" s="256" t="s">
        <v>80</v>
      </c>
      <c r="DLW11" s="58" t="s">
        <v>81</v>
      </c>
      <c r="DLX11" s="284"/>
      <c r="DLY11" s="259" t="s">
        <v>55</v>
      </c>
      <c r="DLZ11" s="256" t="s">
        <v>76</v>
      </c>
      <c r="DMA11" s="256" t="s">
        <v>77</v>
      </c>
      <c r="DMB11" s="256" t="s">
        <v>78</v>
      </c>
      <c r="DMC11" s="256" t="s">
        <v>79</v>
      </c>
      <c r="DMD11" s="256" t="s">
        <v>80</v>
      </c>
      <c r="DME11" s="256" t="s">
        <v>81</v>
      </c>
      <c r="DMF11" s="283"/>
      <c r="DMG11" s="259" t="s">
        <v>55</v>
      </c>
      <c r="DMH11" s="256" t="s">
        <v>76</v>
      </c>
      <c r="DMI11" s="256" t="s">
        <v>77</v>
      </c>
      <c r="DMJ11" s="256" t="s">
        <v>78</v>
      </c>
      <c r="DMK11" s="256" t="s">
        <v>79</v>
      </c>
      <c r="DML11" s="256" t="s">
        <v>80</v>
      </c>
      <c r="DMM11" s="58" t="s">
        <v>81</v>
      </c>
      <c r="DMN11" s="284"/>
      <c r="DMO11" s="259" t="s">
        <v>55</v>
      </c>
      <c r="DMP11" s="256" t="s">
        <v>76</v>
      </c>
      <c r="DMQ11" s="256" t="s">
        <v>77</v>
      </c>
      <c r="DMR11" s="256" t="s">
        <v>78</v>
      </c>
      <c r="DMS11" s="256" t="s">
        <v>79</v>
      </c>
      <c r="DMT11" s="256" t="s">
        <v>80</v>
      </c>
      <c r="DMU11" s="256" t="s">
        <v>81</v>
      </c>
      <c r="DMV11" s="283"/>
      <c r="DMW11" s="259" t="s">
        <v>55</v>
      </c>
      <c r="DMX11" s="256" t="s">
        <v>76</v>
      </c>
      <c r="DMY11" s="256" t="s">
        <v>77</v>
      </c>
      <c r="DMZ11" s="256" t="s">
        <v>78</v>
      </c>
      <c r="DNA11" s="256" t="s">
        <v>79</v>
      </c>
      <c r="DNB11" s="256" t="s">
        <v>80</v>
      </c>
      <c r="DNC11" s="58" t="s">
        <v>81</v>
      </c>
      <c r="DND11" s="284"/>
      <c r="DNE11" s="259" t="s">
        <v>55</v>
      </c>
      <c r="DNF11" s="256" t="s">
        <v>76</v>
      </c>
      <c r="DNG11" s="256" t="s">
        <v>77</v>
      </c>
      <c r="DNH11" s="256" t="s">
        <v>78</v>
      </c>
      <c r="DNI11" s="256" t="s">
        <v>79</v>
      </c>
      <c r="DNJ11" s="256" t="s">
        <v>80</v>
      </c>
      <c r="DNK11" s="256" t="s">
        <v>81</v>
      </c>
      <c r="DNL11" s="283"/>
      <c r="DNM11" s="259" t="s">
        <v>55</v>
      </c>
      <c r="DNN11" s="256" t="s">
        <v>76</v>
      </c>
      <c r="DNO11" s="256" t="s">
        <v>77</v>
      </c>
      <c r="DNP11" s="256" t="s">
        <v>78</v>
      </c>
      <c r="DNQ11" s="256" t="s">
        <v>79</v>
      </c>
      <c r="DNR11" s="256" t="s">
        <v>80</v>
      </c>
      <c r="DNS11" s="58" t="s">
        <v>81</v>
      </c>
      <c r="DNT11" s="284"/>
      <c r="DNU11" s="259" t="s">
        <v>55</v>
      </c>
      <c r="DNV11" s="256" t="s">
        <v>76</v>
      </c>
      <c r="DNW11" s="256" t="s">
        <v>77</v>
      </c>
      <c r="DNX11" s="256" t="s">
        <v>78</v>
      </c>
      <c r="DNY11" s="256" t="s">
        <v>79</v>
      </c>
      <c r="DNZ11" s="256" t="s">
        <v>80</v>
      </c>
      <c r="DOA11" s="256" t="s">
        <v>81</v>
      </c>
      <c r="DOB11" s="283"/>
      <c r="DOC11" s="259" t="s">
        <v>55</v>
      </c>
      <c r="DOD11" s="256" t="s">
        <v>76</v>
      </c>
      <c r="DOE11" s="256" t="s">
        <v>77</v>
      </c>
      <c r="DOF11" s="256" t="s">
        <v>78</v>
      </c>
      <c r="DOG11" s="256" t="s">
        <v>79</v>
      </c>
      <c r="DOH11" s="256" t="s">
        <v>80</v>
      </c>
      <c r="DOI11" s="58" t="s">
        <v>81</v>
      </c>
      <c r="DOJ11" s="284"/>
      <c r="DOK11" s="259" t="s">
        <v>55</v>
      </c>
      <c r="DOL11" s="256" t="s">
        <v>76</v>
      </c>
      <c r="DOM11" s="256" t="s">
        <v>77</v>
      </c>
      <c r="DON11" s="256" t="s">
        <v>78</v>
      </c>
      <c r="DOO11" s="256" t="s">
        <v>79</v>
      </c>
      <c r="DOP11" s="256" t="s">
        <v>80</v>
      </c>
      <c r="DOQ11" s="256" t="s">
        <v>81</v>
      </c>
      <c r="DOR11" s="283"/>
      <c r="DOS11" s="259" t="s">
        <v>55</v>
      </c>
      <c r="DOT11" s="256" t="s">
        <v>76</v>
      </c>
      <c r="DOU11" s="256" t="s">
        <v>77</v>
      </c>
      <c r="DOV11" s="256" t="s">
        <v>78</v>
      </c>
      <c r="DOW11" s="256" t="s">
        <v>79</v>
      </c>
      <c r="DOX11" s="256" t="s">
        <v>80</v>
      </c>
      <c r="DOY11" s="58" t="s">
        <v>81</v>
      </c>
      <c r="DOZ11" s="284"/>
      <c r="DPA11" s="259" t="s">
        <v>55</v>
      </c>
      <c r="DPB11" s="256" t="s">
        <v>76</v>
      </c>
      <c r="DPC11" s="256" t="s">
        <v>77</v>
      </c>
      <c r="DPD11" s="256" t="s">
        <v>78</v>
      </c>
      <c r="DPE11" s="256" t="s">
        <v>79</v>
      </c>
      <c r="DPF11" s="256" t="s">
        <v>80</v>
      </c>
      <c r="DPG11" s="256" t="s">
        <v>81</v>
      </c>
      <c r="DPH11" s="283"/>
      <c r="DPI11" s="259" t="s">
        <v>55</v>
      </c>
      <c r="DPJ11" s="256" t="s">
        <v>76</v>
      </c>
      <c r="DPK11" s="256" t="s">
        <v>77</v>
      </c>
      <c r="DPL11" s="256" t="s">
        <v>78</v>
      </c>
      <c r="DPM11" s="256" t="s">
        <v>79</v>
      </c>
      <c r="DPN11" s="256" t="s">
        <v>80</v>
      </c>
      <c r="DPO11" s="58" t="s">
        <v>81</v>
      </c>
      <c r="DPP11" s="284"/>
      <c r="DPQ11" s="259" t="s">
        <v>55</v>
      </c>
      <c r="DPR11" s="256" t="s">
        <v>76</v>
      </c>
      <c r="DPS11" s="256" t="s">
        <v>77</v>
      </c>
      <c r="DPT11" s="256" t="s">
        <v>78</v>
      </c>
      <c r="DPU11" s="256" t="s">
        <v>79</v>
      </c>
      <c r="DPV11" s="256" t="s">
        <v>80</v>
      </c>
      <c r="DPW11" s="256" t="s">
        <v>81</v>
      </c>
      <c r="DPX11" s="283"/>
      <c r="DPY11" s="259" t="s">
        <v>55</v>
      </c>
      <c r="DPZ11" s="256" t="s">
        <v>76</v>
      </c>
      <c r="DQA11" s="256" t="s">
        <v>77</v>
      </c>
      <c r="DQB11" s="256" t="s">
        <v>78</v>
      </c>
      <c r="DQC11" s="256" t="s">
        <v>79</v>
      </c>
      <c r="DQD11" s="256" t="s">
        <v>80</v>
      </c>
      <c r="DQE11" s="58" t="s">
        <v>81</v>
      </c>
      <c r="DQF11" s="284"/>
      <c r="DQG11" s="259" t="s">
        <v>55</v>
      </c>
      <c r="DQH11" s="256" t="s">
        <v>76</v>
      </c>
      <c r="DQI11" s="256" t="s">
        <v>77</v>
      </c>
      <c r="DQJ11" s="256" t="s">
        <v>78</v>
      </c>
      <c r="DQK11" s="256" t="s">
        <v>79</v>
      </c>
      <c r="DQL11" s="256" t="s">
        <v>80</v>
      </c>
      <c r="DQM11" s="256" t="s">
        <v>81</v>
      </c>
      <c r="DQN11" s="283"/>
      <c r="DQO11" s="259" t="s">
        <v>55</v>
      </c>
      <c r="DQP11" s="256" t="s">
        <v>76</v>
      </c>
      <c r="DQQ11" s="256" t="s">
        <v>77</v>
      </c>
      <c r="DQR11" s="256" t="s">
        <v>78</v>
      </c>
      <c r="DQS11" s="256" t="s">
        <v>79</v>
      </c>
      <c r="DQT11" s="256" t="s">
        <v>80</v>
      </c>
      <c r="DQU11" s="58" t="s">
        <v>81</v>
      </c>
      <c r="DQV11" s="284"/>
      <c r="DQW11" s="259" t="s">
        <v>55</v>
      </c>
      <c r="DQX11" s="256" t="s">
        <v>76</v>
      </c>
      <c r="DQY11" s="256" t="s">
        <v>77</v>
      </c>
      <c r="DQZ11" s="256" t="s">
        <v>78</v>
      </c>
      <c r="DRA11" s="256" t="s">
        <v>79</v>
      </c>
      <c r="DRB11" s="256" t="s">
        <v>80</v>
      </c>
      <c r="DRC11" s="256" t="s">
        <v>81</v>
      </c>
      <c r="DRD11" s="283"/>
      <c r="DRE11" s="259" t="s">
        <v>55</v>
      </c>
      <c r="DRF11" s="256" t="s">
        <v>76</v>
      </c>
      <c r="DRG11" s="256" t="s">
        <v>77</v>
      </c>
      <c r="DRH11" s="256" t="s">
        <v>78</v>
      </c>
      <c r="DRI11" s="256" t="s">
        <v>79</v>
      </c>
      <c r="DRJ11" s="256" t="s">
        <v>80</v>
      </c>
      <c r="DRK11" s="58" t="s">
        <v>81</v>
      </c>
      <c r="DRL11" s="284"/>
      <c r="DRM11" s="259" t="s">
        <v>55</v>
      </c>
      <c r="DRN11" s="256" t="s">
        <v>76</v>
      </c>
      <c r="DRO11" s="256" t="s">
        <v>77</v>
      </c>
      <c r="DRP11" s="256" t="s">
        <v>78</v>
      </c>
      <c r="DRQ11" s="256" t="s">
        <v>79</v>
      </c>
      <c r="DRR11" s="256" t="s">
        <v>80</v>
      </c>
      <c r="DRS11" s="256" t="s">
        <v>81</v>
      </c>
      <c r="DRT11" s="283"/>
      <c r="DRU11" s="259" t="s">
        <v>55</v>
      </c>
      <c r="DRV11" s="256" t="s">
        <v>76</v>
      </c>
      <c r="DRW11" s="256" t="s">
        <v>77</v>
      </c>
      <c r="DRX11" s="256" t="s">
        <v>78</v>
      </c>
      <c r="DRY11" s="256" t="s">
        <v>79</v>
      </c>
      <c r="DRZ11" s="256" t="s">
        <v>80</v>
      </c>
      <c r="DSA11" s="58" t="s">
        <v>81</v>
      </c>
      <c r="DSB11" s="284"/>
      <c r="DSC11" s="259" t="s">
        <v>55</v>
      </c>
      <c r="DSD11" s="256" t="s">
        <v>76</v>
      </c>
      <c r="DSE11" s="256" t="s">
        <v>77</v>
      </c>
      <c r="DSF11" s="256" t="s">
        <v>78</v>
      </c>
      <c r="DSG11" s="256" t="s">
        <v>79</v>
      </c>
      <c r="DSH11" s="256" t="s">
        <v>80</v>
      </c>
      <c r="DSI11" s="256" t="s">
        <v>81</v>
      </c>
      <c r="DSJ11" s="283"/>
      <c r="DSK11" s="259" t="s">
        <v>55</v>
      </c>
      <c r="DSL11" s="256" t="s">
        <v>76</v>
      </c>
      <c r="DSM11" s="256" t="s">
        <v>77</v>
      </c>
      <c r="DSN11" s="256" t="s">
        <v>78</v>
      </c>
      <c r="DSO11" s="256" t="s">
        <v>79</v>
      </c>
      <c r="DSP11" s="256" t="s">
        <v>80</v>
      </c>
      <c r="DSQ11" s="58" t="s">
        <v>81</v>
      </c>
      <c r="DSR11" s="284"/>
      <c r="DSS11" s="259" t="s">
        <v>55</v>
      </c>
      <c r="DST11" s="256" t="s">
        <v>76</v>
      </c>
      <c r="DSU11" s="256" t="s">
        <v>77</v>
      </c>
      <c r="DSV11" s="256" t="s">
        <v>78</v>
      </c>
      <c r="DSW11" s="256" t="s">
        <v>79</v>
      </c>
      <c r="DSX11" s="256" t="s">
        <v>80</v>
      </c>
      <c r="DSY11" s="256" t="s">
        <v>81</v>
      </c>
      <c r="DSZ11" s="283"/>
      <c r="DTA11" s="259" t="s">
        <v>55</v>
      </c>
      <c r="DTB11" s="256" t="s">
        <v>76</v>
      </c>
      <c r="DTC11" s="256" t="s">
        <v>77</v>
      </c>
      <c r="DTD11" s="256" t="s">
        <v>78</v>
      </c>
      <c r="DTE11" s="256" t="s">
        <v>79</v>
      </c>
      <c r="DTF11" s="256" t="s">
        <v>80</v>
      </c>
      <c r="DTG11" s="58" t="s">
        <v>81</v>
      </c>
      <c r="DTH11" s="284"/>
      <c r="DTI11" s="259" t="s">
        <v>55</v>
      </c>
      <c r="DTJ11" s="256" t="s">
        <v>76</v>
      </c>
      <c r="DTK11" s="256" t="s">
        <v>77</v>
      </c>
      <c r="DTL11" s="256" t="s">
        <v>78</v>
      </c>
      <c r="DTM11" s="256" t="s">
        <v>79</v>
      </c>
      <c r="DTN11" s="256" t="s">
        <v>80</v>
      </c>
      <c r="DTO11" s="256" t="s">
        <v>81</v>
      </c>
      <c r="DTP11" s="283"/>
      <c r="DTQ11" s="259" t="s">
        <v>55</v>
      </c>
      <c r="DTR11" s="256" t="s">
        <v>76</v>
      </c>
      <c r="DTS11" s="256" t="s">
        <v>77</v>
      </c>
      <c r="DTT11" s="256" t="s">
        <v>78</v>
      </c>
      <c r="DTU11" s="256" t="s">
        <v>79</v>
      </c>
      <c r="DTV11" s="256" t="s">
        <v>80</v>
      </c>
      <c r="DTW11" s="58" t="s">
        <v>81</v>
      </c>
      <c r="DTX11" s="284"/>
      <c r="DTY11" s="259" t="s">
        <v>55</v>
      </c>
      <c r="DTZ11" s="256" t="s">
        <v>76</v>
      </c>
      <c r="DUA11" s="256" t="s">
        <v>77</v>
      </c>
      <c r="DUB11" s="256" t="s">
        <v>78</v>
      </c>
      <c r="DUC11" s="256" t="s">
        <v>79</v>
      </c>
      <c r="DUD11" s="256" t="s">
        <v>80</v>
      </c>
      <c r="DUE11" s="256" t="s">
        <v>81</v>
      </c>
      <c r="DUF11" s="283"/>
      <c r="DUG11" s="259" t="s">
        <v>55</v>
      </c>
      <c r="DUH11" s="256" t="s">
        <v>76</v>
      </c>
      <c r="DUI11" s="256" t="s">
        <v>77</v>
      </c>
      <c r="DUJ11" s="256" t="s">
        <v>78</v>
      </c>
      <c r="DUK11" s="256" t="s">
        <v>79</v>
      </c>
      <c r="DUL11" s="256" t="s">
        <v>80</v>
      </c>
      <c r="DUM11" s="58" t="s">
        <v>81</v>
      </c>
      <c r="DUN11" s="284"/>
      <c r="DUO11" s="259" t="s">
        <v>55</v>
      </c>
      <c r="DUP11" s="256" t="s">
        <v>76</v>
      </c>
      <c r="DUQ11" s="256" t="s">
        <v>77</v>
      </c>
      <c r="DUR11" s="256" t="s">
        <v>78</v>
      </c>
      <c r="DUS11" s="256" t="s">
        <v>79</v>
      </c>
      <c r="DUT11" s="256" t="s">
        <v>80</v>
      </c>
      <c r="DUU11" s="256" t="s">
        <v>81</v>
      </c>
      <c r="DUV11" s="283"/>
      <c r="DUW11" s="259" t="s">
        <v>55</v>
      </c>
      <c r="DUX11" s="256" t="s">
        <v>76</v>
      </c>
      <c r="DUY11" s="256" t="s">
        <v>77</v>
      </c>
      <c r="DUZ11" s="256" t="s">
        <v>78</v>
      </c>
      <c r="DVA11" s="256" t="s">
        <v>79</v>
      </c>
      <c r="DVB11" s="256" t="s">
        <v>80</v>
      </c>
      <c r="DVC11" s="58" t="s">
        <v>81</v>
      </c>
      <c r="DVD11" s="284"/>
      <c r="DVE11" s="259" t="s">
        <v>55</v>
      </c>
      <c r="DVF11" s="256" t="s">
        <v>76</v>
      </c>
      <c r="DVG11" s="256" t="s">
        <v>77</v>
      </c>
      <c r="DVH11" s="256" t="s">
        <v>78</v>
      </c>
      <c r="DVI11" s="256" t="s">
        <v>79</v>
      </c>
      <c r="DVJ11" s="256" t="s">
        <v>80</v>
      </c>
      <c r="DVK11" s="256" t="s">
        <v>81</v>
      </c>
      <c r="DVL11" s="283"/>
      <c r="DVM11" s="259" t="s">
        <v>55</v>
      </c>
      <c r="DVN11" s="256" t="s">
        <v>76</v>
      </c>
      <c r="DVO11" s="256" t="s">
        <v>77</v>
      </c>
      <c r="DVP11" s="256" t="s">
        <v>78</v>
      </c>
      <c r="DVQ11" s="256" t="s">
        <v>79</v>
      </c>
      <c r="DVR11" s="256" t="s">
        <v>80</v>
      </c>
      <c r="DVS11" s="58" t="s">
        <v>81</v>
      </c>
      <c r="DVT11" s="284"/>
      <c r="DVU11" s="259" t="s">
        <v>55</v>
      </c>
      <c r="DVV11" s="256" t="s">
        <v>76</v>
      </c>
      <c r="DVW11" s="256" t="s">
        <v>77</v>
      </c>
      <c r="DVX11" s="256" t="s">
        <v>78</v>
      </c>
      <c r="DVY11" s="256" t="s">
        <v>79</v>
      </c>
      <c r="DVZ11" s="256" t="s">
        <v>80</v>
      </c>
      <c r="DWA11" s="256" t="s">
        <v>81</v>
      </c>
      <c r="DWB11" s="283"/>
      <c r="DWC11" s="259" t="s">
        <v>55</v>
      </c>
      <c r="DWD11" s="256" t="s">
        <v>76</v>
      </c>
      <c r="DWE11" s="256" t="s">
        <v>77</v>
      </c>
      <c r="DWF11" s="256" t="s">
        <v>78</v>
      </c>
      <c r="DWG11" s="256" t="s">
        <v>79</v>
      </c>
      <c r="DWH11" s="256" t="s">
        <v>80</v>
      </c>
      <c r="DWI11" s="58" t="s">
        <v>81</v>
      </c>
      <c r="DWJ11" s="284"/>
      <c r="DWK11" s="259" t="s">
        <v>55</v>
      </c>
      <c r="DWL11" s="256" t="s">
        <v>76</v>
      </c>
      <c r="DWM11" s="256" t="s">
        <v>77</v>
      </c>
      <c r="DWN11" s="256" t="s">
        <v>78</v>
      </c>
      <c r="DWO11" s="256" t="s">
        <v>79</v>
      </c>
      <c r="DWP11" s="256" t="s">
        <v>80</v>
      </c>
      <c r="DWQ11" s="256" t="s">
        <v>81</v>
      </c>
      <c r="DWR11" s="283"/>
      <c r="DWS11" s="259" t="s">
        <v>55</v>
      </c>
      <c r="DWT11" s="256" t="s">
        <v>76</v>
      </c>
      <c r="DWU11" s="256" t="s">
        <v>77</v>
      </c>
      <c r="DWV11" s="256" t="s">
        <v>78</v>
      </c>
      <c r="DWW11" s="256" t="s">
        <v>79</v>
      </c>
      <c r="DWX11" s="256" t="s">
        <v>80</v>
      </c>
      <c r="DWY11" s="58" t="s">
        <v>81</v>
      </c>
      <c r="DWZ11" s="284"/>
      <c r="DXA11" s="259" t="s">
        <v>55</v>
      </c>
      <c r="DXB11" s="256" t="s">
        <v>76</v>
      </c>
      <c r="DXC11" s="256" t="s">
        <v>77</v>
      </c>
      <c r="DXD11" s="256" t="s">
        <v>78</v>
      </c>
      <c r="DXE11" s="256" t="s">
        <v>79</v>
      </c>
      <c r="DXF11" s="256" t="s">
        <v>80</v>
      </c>
      <c r="DXG11" s="256" t="s">
        <v>81</v>
      </c>
      <c r="DXH11" s="283"/>
      <c r="DXI11" s="259" t="s">
        <v>55</v>
      </c>
      <c r="DXJ11" s="256" t="s">
        <v>76</v>
      </c>
      <c r="DXK11" s="256" t="s">
        <v>77</v>
      </c>
      <c r="DXL11" s="256" t="s">
        <v>78</v>
      </c>
      <c r="DXM11" s="256" t="s">
        <v>79</v>
      </c>
      <c r="DXN11" s="256" t="s">
        <v>80</v>
      </c>
      <c r="DXO11" s="58" t="s">
        <v>81</v>
      </c>
      <c r="DXP11" s="284"/>
      <c r="DXQ11" s="259" t="s">
        <v>55</v>
      </c>
      <c r="DXR11" s="256" t="s">
        <v>76</v>
      </c>
      <c r="DXS11" s="256" t="s">
        <v>77</v>
      </c>
      <c r="DXT11" s="256" t="s">
        <v>78</v>
      </c>
      <c r="DXU11" s="256" t="s">
        <v>79</v>
      </c>
      <c r="DXV11" s="256" t="s">
        <v>80</v>
      </c>
      <c r="DXW11" s="256" t="s">
        <v>81</v>
      </c>
      <c r="DXX11" s="283"/>
      <c r="DXY11" s="259" t="s">
        <v>55</v>
      </c>
      <c r="DXZ11" s="256" t="s">
        <v>76</v>
      </c>
      <c r="DYA11" s="256" t="s">
        <v>77</v>
      </c>
      <c r="DYB11" s="256" t="s">
        <v>78</v>
      </c>
      <c r="DYC11" s="256" t="s">
        <v>79</v>
      </c>
      <c r="DYD11" s="256" t="s">
        <v>80</v>
      </c>
      <c r="DYE11" s="58" t="s">
        <v>81</v>
      </c>
      <c r="DYF11" s="284"/>
      <c r="DYG11" s="259" t="s">
        <v>55</v>
      </c>
      <c r="DYH11" s="256" t="s">
        <v>76</v>
      </c>
      <c r="DYI11" s="256" t="s">
        <v>77</v>
      </c>
      <c r="DYJ11" s="256" t="s">
        <v>78</v>
      </c>
      <c r="DYK11" s="256" t="s">
        <v>79</v>
      </c>
      <c r="DYL11" s="256" t="s">
        <v>80</v>
      </c>
      <c r="DYM11" s="256" t="s">
        <v>81</v>
      </c>
      <c r="DYN11" s="283"/>
      <c r="DYO11" s="259" t="s">
        <v>55</v>
      </c>
      <c r="DYP11" s="256" t="s">
        <v>76</v>
      </c>
      <c r="DYQ11" s="256" t="s">
        <v>77</v>
      </c>
      <c r="DYR11" s="256" t="s">
        <v>78</v>
      </c>
      <c r="DYS11" s="256" t="s">
        <v>79</v>
      </c>
      <c r="DYT11" s="256" t="s">
        <v>80</v>
      </c>
      <c r="DYU11" s="58" t="s">
        <v>81</v>
      </c>
      <c r="DYV11" s="284"/>
      <c r="DYW11" s="259" t="s">
        <v>55</v>
      </c>
      <c r="DYX11" s="256" t="s">
        <v>76</v>
      </c>
      <c r="DYY11" s="256" t="s">
        <v>77</v>
      </c>
      <c r="DYZ11" s="256" t="s">
        <v>78</v>
      </c>
      <c r="DZA11" s="256" t="s">
        <v>79</v>
      </c>
      <c r="DZB11" s="256" t="s">
        <v>80</v>
      </c>
      <c r="DZC11" s="256" t="s">
        <v>81</v>
      </c>
      <c r="DZD11" s="283"/>
      <c r="DZE11" s="259" t="s">
        <v>55</v>
      </c>
      <c r="DZF11" s="256" t="s">
        <v>76</v>
      </c>
      <c r="DZG11" s="256" t="s">
        <v>77</v>
      </c>
      <c r="DZH11" s="256" t="s">
        <v>78</v>
      </c>
      <c r="DZI11" s="256" t="s">
        <v>79</v>
      </c>
      <c r="DZJ11" s="256" t="s">
        <v>80</v>
      </c>
      <c r="DZK11" s="58" t="s">
        <v>81</v>
      </c>
      <c r="DZL11" s="284"/>
      <c r="DZM11" s="259" t="s">
        <v>55</v>
      </c>
      <c r="DZN11" s="256" t="s">
        <v>76</v>
      </c>
      <c r="DZO11" s="256" t="s">
        <v>77</v>
      </c>
      <c r="DZP11" s="256" t="s">
        <v>78</v>
      </c>
      <c r="DZQ11" s="256" t="s">
        <v>79</v>
      </c>
      <c r="DZR11" s="256" t="s">
        <v>80</v>
      </c>
      <c r="DZS11" s="256" t="s">
        <v>81</v>
      </c>
      <c r="DZT11" s="283"/>
      <c r="DZU11" s="259" t="s">
        <v>55</v>
      </c>
      <c r="DZV11" s="256" t="s">
        <v>76</v>
      </c>
      <c r="DZW11" s="256" t="s">
        <v>77</v>
      </c>
      <c r="DZX11" s="256" t="s">
        <v>78</v>
      </c>
      <c r="DZY11" s="256" t="s">
        <v>79</v>
      </c>
      <c r="DZZ11" s="256" t="s">
        <v>80</v>
      </c>
      <c r="EAA11" s="58" t="s">
        <v>81</v>
      </c>
      <c r="EAB11" s="284"/>
      <c r="EAC11" s="259" t="s">
        <v>55</v>
      </c>
      <c r="EAD11" s="256" t="s">
        <v>76</v>
      </c>
      <c r="EAE11" s="256" t="s">
        <v>77</v>
      </c>
      <c r="EAF11" s="256" t="s">
        <v>78</v>
      </c>
      <c r="EAG11" s="256" t="s">
        <v>79</v>
      </c>
      <c r="EAH11" s="256" t="s">
        <v>80</v>
      </c>
      <c r="EAI11" s="256" t="s">
        <v>81</v>
      </c>
      <c r="EAJ11" s="283"/>
      <c r="EAK11" s="259" t="s">
        <v>55</v>
      </c>
      <c r="EAL11" s="256" t="s">
        <v>76</v>
      </c>
      <c r="EAM11" s="256" t="s">
        <v>77</v>
      </c>
      <c r="EAN11" s="256" t="s">
        <v>78</v>
      </c>
      <c r="EAO11" s="256" t="s">
        <v>79</v>
      </c>
      <c r="EAP11" s="256" t="s">
        <v>80</v>
      </c>
      <c r="EAQ11" s="58" t="s">
        <v>81</v>
      </c>
      <c r="EAR11" s="284"/>
      <c r="EAS11" s="259" t="s">
        <v>55</v>
      </c>
      <c r="EAT11" s="256" t="s">
        <v>76</v>
      </c>
      <c r="EAU11" s="256" t="s">
        <v>77</v>
      </c>
      <c r="EAV11" s="256" t="s">
        <v>78</v>
      </c>
      <c r="EAW11" s="256" t="s">
        <v>79</v>
      </c>
      <c r="EAX11" s="256" t="s">
        <v>80</v>
      </c>
      <c r="EAY11" s="256" t="s">
        <v>81</v>
      </c>
      <c r="EAZ11" s="283"/>
      <c r="EBA11" s="259" t="s">
        <v>55</v>
      </c>
      <c r="EBB11" s="256" t="s">
        <v>76</v>
      </c>
      <c r="EBC11" s="256" t="s">
        <v>77</v>
      </c>
      <c r="EBD11" s="256" t="s">
        <v>78</v>
      </c>
      <c r="EBE11" s="256" t="s">
        <v>79</v>
      </c>
      <c r="EBF11" s="256" t="s">
        <v>80</v>
      </c>
      <c r="EBG11" s="58" t="s">
        <v>81</v>
      </c>
      <c r="EBH11" s="284"/>
      <c r="EBI11" s="259" t="s">
        <v>55</v>
      </c>
      <c r="EBJ11" s="256" t="s">
        <v>76</v>
      </c>
      <c r="EBK11" s="256" t="s">
        <v>77</v>
      </c>
      <c r="EBL11" s="256" t="s">
        <v>78</v>
      </c>
      <c r="EBM11" s="256" t="s">
        <v>79</v>
      </c>
      <c r="EBN11" s="256" t="s">
        <v>80</v>
      </c>
      <c r="EBO11" s="256" t="s">
        <v>81</v>
      </c>
      <c r="EBP11" s="283"/>
      <c r="EBQ11" s="259" t="s">
        <v>55</v>
      </c>
      <c r="EBR11" s="256" t="s">
        <v>76</v>
      </c>
      <c r="EBS11" s="256" t="s">
        <v>77</v>
      </c>
      <c r="EBT11" s="256" t="s">
        <v>78</v>
      </c>
      <c r="EBU11" s="256" t="s">
        <v>79</v>
      </c>
      <c r="EBV11" s="256" t="s">
        <v>80</v>
      </c>
      <c r="EBW11" s="58" t="s">
        <v>81</v>
      </c>
      <c r="EBX11" s="284"/>
      <c r="EBY11" s="259" t="s">
        <v>55</v>
      </c>
      <c r="EBZ11" s="256" t="s">
        <v>76</v>
      </c>
      <c r="ECA11" s="256" t="s">
        <v>77</v>
      </c>
      <c r="ECB11" s="256" t="s">
        <v>78</v>
      </c>
      <c r="ECC11" s="256" t="s">
        <v>79</v>
      </c>
      <c r="ECD11" s="256" t="s">
        <v>80</v>
      </c>
      <c r="ECE11" s="256" t="s">
        <v>81</v>
      </c>
      <c r="ECF11" s="283"/>
      <c r="ECG11" s="259" t="s">
        <v>55</v>
      </c>
      <c r="ECH11" s="256" t="s">
        <v>76</v>
      </c>
      <c r="ECI11" s="256" t="s">
        <v>77</v>
      </c>
      <c r="ECJ11" s="256" t="s">
        <v>78</v>
      </c>
      <c r="ECK11" s="256" t="s">
        <v>79</v>
      </c>
      <c r="ECL11" s="256" t="s">
        <v>80</v>
      </c>
      <c r="ECM11" s="58" t="s">
        <v>81</v>
      </c>
      <c r="ECN11" s="284"/>
      <c r="ECO11" s="259" t="s">
        <v>55</v>
      </c>
      <c r="ECP11" s="256" t="s">
        <v>76</v>
      </c>
      <c r="ECQ11" s="256" t="s">
        <v>77</v>
      </c>
      <c r="ECR11" s="256" t="s">
        <v>78</v>
      </c>
      <c r="ECS11" s="256" t="s">
        <v>79</v>
      </c>
      <c r="ECT11" s="256" t="s">
        <v>80</v>
      </c>
      <c r="ECU11" s="256" t="s">
        <v>81</v>
      </c>
      <c r="ECV11" s="283"/>
      <c r="ECW11" s="259" t="s">
        <v>55</v>
      </c>
      <c r="ECX11" s="256" t="s">
        <v>76</v>
      </c>
      <c r="ECY11" s="256" t="s">
        <v>77</v>
      </c>
      <c r="ECZ11" s="256" t="s">
        <v>78</v>
      </c>
      <c r="EDA11" s="256" t="s">
        <v>79</v>
      </c>
      <c r="EDB11" s="256" t="s">
        <v>80</v>
      </c>
      <c r="EDC11" s="58" t="s">
        <v>81</v>
      </c>
      <c r="EDD11" s="284"/>
      <c r="EDE11" s="259" t="s">
        <v>55</v>
      </c>
      <c r="EDF11" s="256" t="s">
        <v>76</v>
      </c>
      <c r="EDG11" s="256" t="s">
        <v>77</v>
      </c>
      <c r="EDH11" s="256" t="s">
        <v>78</v>
      </c>
      <c r="EDI11" s="256" t="s">
        <v>79</v>
      </c>
      <c r="EDJ11" s="256" t="s">
        <v>80</v>
      </c>
      <c r="EDK11" s="256" t="s">
        <v>81</v>
      </c>
      <c r="EDL11" s="283"/>
      <c r="EDM11" s="259" t="s">
        <v>55</v>
      </c>
      <c r="EDN11" s="256" t="s">
        <v>76</v>
      </c>
      <c r="EDO11" s="256" t="s">
        <v>77</v>
      </c>
      <c r="EDP11" s="256" t="s">
        <v>78</v>
      </c>
      <c r="EDQ11" s="256" t="s">
        <v>79</v>
      </c>
      <c r="EDR11" s="256" t="s">
        <v>80</v>
      </c>
      <c r="EDS11" s="58" t="s">
        <v>81</v>
      </c>
      <c r="EDT11" s="284"/>
      <c r="EDU11" s="259" t="s">
        <v>55</v>
      </c>
      <c r="EDV11" s="256" t="s">
        <v>76</v>
      </c>
      <c r="EDW11" s="256" t="s">
        <v>77</v>
      </c>
      <c r="EDX11" s="256" t="s">
        <v>78</v>
      </c>
      <c r="EDY11" s="256" t="s">
        <v>79</v>
      </c>
      <c r="EDZ11" s="256" t="s">
        <v>80</v>
      </c>
      <c r="EEA11" s="256" t="s">
        <v>81</v>
      </c>
      <c r="EEB11" s="283"/>
      <c r="EEC11" s="259" t="s">
        <v>55</v>
      </c>
      <c r="EED11" s="256" t="s">
        <v>76</v>
      </c>
      <c r="EEE11" s="256" t="s">
        <v>77</v>
      </c>
      <c r="EEF11" s="256" t="s">
        <v>78</v>
      </c>
      <c r="EEG11" s="256" t="s">
        <v>79</v>
      </c>
      <c r="EEH11" s="256" t="s">
        <v>80</v>
      </c>
      <c r="EEI11" s="58" t="s">
        <v>81</v>
      </c>
      <c r="EEJ11" s="284"/>
      <c r="EEK11" s="259" t="s">
        <v>55</v>
      </c>
      <c r="EEL11" s="256" t="s">
        <v>76</v>
      </c>
      <c r="EEM11" s="256" t="s">
        <v>77</v>
      </c>
      <c r="EEN11" s="256" t="s">
        <v>78</v>
      </c>
      <c r="EEO11" s="256" t="s">
        <v>79</v>
      </c>
      <c r="EEP11" s="256" t="s">
        <v>80</v>
      </c>
      <c r="EEQ11" s="256" t="s">
        <v>81</v>
      </c>
      <c r="EER11" s="283"/>
      <c r="EES11" s="259" t="s">
        <v>55</v>
      </c>
      <c r="EET11" s="256" t="s">
        <v>76</v>
      </c>
      <c r="EEU11" s="256" t="s">
        <v>77</v>
      </c>
      <c r="EEV11" s="256" t="s">
        <v>78</v>
      </c>
      <c r="EEW11" s="256" t="s">
        <v>79</v>
      </c>
      <c r="EEX11" s="256" t="s">
        <v>80</v>
      </c>
      <c r="EEY11" s="58" t="s">
        <v>81</v>
      </c>
      <c r="EEZ11" s="284"/>
      <c r="EFA11" s="259" t="s">
        <v>55</v>
      </c>
      <c r="EFB11" s="256" t="s">
        <v>76</v>
      </c>
      <c r="EFC11" s="256" t="s">
        <v>77</v>
      </c>
      <c r="EFD11" s="256" t="s">
        <v>78</v>
      </c>
      <c r="EFE11" s="256" t="s">
        <v>79</v>
      </c>
      <c r="EFF11" s="256" t="s">
        <v>80</v>
      </c>
      <c r="EFG11" s="256" t="s">
        <v>81</v>
      </c>
      <c r="EFH11" s="283"/>
      <c r="EFI11" s="259" t="s">
        <v>55</v>
      </c>
      <c r="EFJ11" s="256" t="s">
        <v>76</v>
      </c>
      <c r="EFK11" s="256" t="s">
        <v>77</v>
      </c>
      <c r="EFL11" s="256" t="s">
        <v>78</v>
      </c>
      <c r="EFM11" s="256" t="s">
        <v>79</v>
      </c>
      <c r="EFN11" s="256" t="s">
        <v>80</v>
      </c>
      <c r="EFO11" s="58" t="s">
        <v>81</v>
      </c>
      <c r="EFP11" s="284"/>
      <c r="EFQ11" s="259" t="s">
        <v>55</v>
      </c>
      <c r="EFR11" s="256" t="s">
        <v>76</v>
      </c>
      <c r="EFS11" s="256" t="s">
        <v>77</v>
      </c>
      <c r="EFT11" s="256" t="s">
        <v>78</v>
      </c>
      <c r="EFU11" s="256" t="s">
        <v>79</v>
      </c>
      <c r="EFV11" s="256" t="s">
        <v>80</v>
      </c>
      <c r="EFW11" s="256" t="s">
        <v>81</v>
      </c>
      <c r="EFX11" s="283"/>
      <c r="EFY11" s="259" t="s">
        <v>55</v>
      </c>
      <c r="EFZ11" s="256" t="s">
        <v>76</v>
      </c>
      <c r="EGA11" s="256" t="s">
        <v>77</v>
      </c>
      <c r="EGB11" s="256" t="s">
        <v>78</v>
      </c>
      <c r="EGC11" s="256" t="s">
        <v>79</v>
      </c>
      <c r="EGD11" s="256" t="s">
        <v>80</v>
      </c>
      <c r="EGE11" s="58" t="s">
        <v>81</v>
      </c>
      <c r="EGF11" s="284"/>
      <c r="EGG11" s="259" t="s">
        <v>55</v>
      </c>
      <c r="EGH11" s="256" t="s">
        <v>76</v>
      </c>
      <c r="EGI11" s="256" t="s">
        <v>77</v>
      </c>
      <c r="EGJ11" s="256" t="s">
        <v>78</v>
      </c>
      <c r="EGK11" s="256" t="s">
        <v>79</v>
      </c>
      <c r="EGL11" s="256" t="s">
        <v>80</v>
      </c>
      <c r="EGM11" s="256" t="s">
        <v>81</v>
      </c>
      <c r="EGN11" s="283"/>
      <c r="EGO11" s="259" t="s">
        <v>55</v>
      </c>
      <c r="EGP11" s="256" t="s">
        <v>76</v>
      </c>
      <c r="EGQ11" s="256" t="s">
        <v>77</v>
      </c>
      <c r="EGR11" s="256" t="s">
        <v>78</v>
      </c>
      <c r="EGS11" s="256" t="s">
        <v>79</v>
      </c>
      <c r="EGT11" s="256" t="s">
        <v>80</v>
      </c>
      <c r="EGU11" s="58" t="s">
        <v>81</v>
      </c>
      <c r="EGV11" s="284"/>
      <c r="EGW11" s="259" t="s">
        <v>55</v>
      </c>
      <c r="EGX11" s="256" t="s">
        <v>76</v>
      </c>
      <c r="EGY11" s="256" t="s">
        <v>77</v>
      </c>
      <c r="EGZ11" s="256" t="s">
        <v>78</v>
      </c>
      <c r="EHA11" s="256" t="s">
        <v>79</v>
      </c>
      <c r="EHB11" s="256" t="s">
        <v>80</v>
      </c>
      <c r="EHC11" s="256" t="s">
        <v>81</v>
      </c>
      <c r="EHD11" s="283"/>
      <c r="EHE11" s="259" t="s">
        <v>55</v>
      </c>
      <c r="EHF11" s="256" t="s">
        <v>76</v>
      </c>
      <c r="EHG11" s="256" t="s">
        <v>77</v>
      </c>
      <c r="EHH11" s="256" t="s">
        <v>78</v>
      </c>
      <c r="EHI11" s="256" t="s">
        <v>79</v>
      </c>
      <c r="EHJ11" s="256" t="s">
        <v>80</v>
      </c>
      <c r="EHK11" s="58" t="s">
        <v>81</v>
      </c>
      <c r="EHL11" s="284"/>
      <c r="EHM11" s="259" t="s">
        <v>55</v>
      </c>
      <c r="EHN11" s="256" t="s">
        <v>76</v>
      </c>
      <c r="EHO11" s="256" t="s">
        <v>77</v>
      </c>
      <c r="EHP11" s="256" t="s">
        <v>78</v>
      </c>
      <c r="EHQ11" s="256" t="s">
        <v>79</v>
      </c>
      <c r="EHR11" s="256" t="s">
        <v>80</v>
      </c>
      <c r="EHS11" s="256" t="s">
        <v>81</v>
      </c>
      <c r="EHT11" s="283"/>
      <c r="EHU11" s="259" t="s">
        <v>55</v>
      </c>
      <c r="EHV11" s="256" t="s">
        <v>76</v>
      </c>
      <c r="EHW11" s="256" t="s">
        <v>77</v>
      </c>
      <c r="EHX11" s="256" t="s">
        <v>78</v>
      </c>
      <c r="EHY11" s="256" t="s">
        <v>79</v>
      </c>
      <c r="EHZ11" s="256" t="s">
        <v>80</v>
      </c>
      <c r="EIA11" s="58" t="s">
        <v>81</v>
      </c>
      <c r="EIB11" s="284"/>
      <c r="EIC11" s="259" t="s">
        <v>55</v>
      </c>
      <c r="EID11" s="256" t="s">
        <v>76</v>
      </c>
      <c r="EIE11" s="256" t="s">
        <v>77</v>
      </c>
      <c r="EIF11" s="256" t="s">
        <v>78</v>
      </c>
      <c r="EIG11" s="256" t="s">
        <v>79</v>
      </c>
      <c r="EIH11" s="256" t="s">
        <v>80</v>
      </c>
      <c r="EII11" s="256" t="s">
        <v>81</v>
      </c>
      <c r="EIJ11" s="283"/>
      <c r="EIK11" s="259" t="s">
        <v>55</v>
      </c>
      <c r="EIL11" s="256" t="s">
        <v>76</v>
      </c>
      <c r="EIM11" s="256" t="s">
        <v>77</v>
      </c>
      <c r="EIN11" s="256" t="s">
        <v>78</v>
      </c>
      <c r="EIO11" s="256" t="s">
        <v>79</v>
      </c>
      <c r="EIP11" s="256" t="s">
        <v>80</v>
      </c>
      <c r="EIQ11" s="58" t="s">
        <v>81</v>
      </c>
      <c r="EIR11" s="284"/>
      <c r="EIS11" s="259" t="s">
        <v>55</v>
      </c>
      <c r="EIT11" s="256" t="s">
        <v>76</v>
      </c>
      <c r="EIU11" s="256" t="s">
        <v>77</v>
      </c>
      <c r="EIV11" s="256" t="s">
        <v>78</v>
      </c>
      <c r="EIW11" s="256" t="s">
        <v>79</v>
      </c>
      <c r="EIX11" s="256" t="s">
        <v>80</v>
      </c>
      <c r="EIY11" s="256" t="s">
        <v>81</v>
      </c>
      <c r="EIZ11" s="283"/>
      <c r="EJA11" s="259" t="s">
        <v>55</v>
      </c>
      <c r="EJB11" s="256" t="s">
        <v>76</v>
      </c>
      <c r="EJC11" s="256" t="s">
        <v>77</v>
      </c>
      <c r="EJD11" s="256" t="s">
        <v>78</v>
      </c>
      <c r="EJE11" s="256" t="s">
        <v>79</v>
      </c>
      <c r="EJF11" s="256" t="s">
        <v>80</v>
      </c>
      <c r="EJG11" s="58" t="s">
        <v>81</v>
      </c>
      <c r="EJH11" s="284"/>
      <c r="EJI11" s="259" t="s">
        <v>55</v>
      </c>
      <c r="EJJ11" s="256" t="s">
        <v>76</v>
      </c>
      <c r="EJK11" s="256" t="s">
        <v>77</v>
      </c>
      <c r="EJL11" s="256" t="s">
        <v>78</v>
      </c>
      <c r="EJM11" s="256" t="s">
        <v>79</v>
      </c>
      <c r="EJN11" s="256" t="s">
        <v>80</v>
      </c>
      <c r="EJO11" s="256" t="s">
        <v>81</v>
      </c>
      <c r="EJP11" s="283"/>
      <c r="EJQ11" s="259" t="s">
        <v>55</v>
      </c>
      <c r="EJR11" s="256" t="s">
        <v>76</v>
      </c>
      <c r="EJS11" s="256" t="s">
        <v>77</v>
      </c>
      <c r="EJT11" s="256" t="s">
        <v>78</v>
      </c>
      <c r="EJU11" s="256" t="s">
        <v>79</v>
      </c>
      <c r="EJV11" s="256" t="s">
        <v>80</v>
      </c>
      <c r="EJW11" s="58" t="s">
        <v>81</v>
      </c>
      <c r="EJX11" s="284"/>
      <c r="EJY11" s="259" t="s">
        <v>55</v>
      </c>
      <c r="EJZ11" s="256" t="s">
        <v>76</v>
      </c>
      <c r="EKA11" s="256" t="s">
        <v>77</v>
      </c>
      <c r="EKB11" s="256" t="s">
        <v>78</v>
      </c>
      <c r="EKC11" s="256" t="s">
        <v>79</v>
      </c>
      <c r="EKD11" s="256" t="s">
        <v>80</v>
      </c>
      <c r="EKE11" s="256" t="s">
        <v>81</v>
      </c>
      <c r="EKF11" s="283"/>
      <c r="EKG11" s="259" t="s">
        <v>55</v>
      </c>
      <c r="EKH11" s="256" t="s">
        <v>76</v>
      </c>
      <c r="EKI11" s="256" t="s">
        <v>77</v>
      </c>
      <c r="EKJ11" s="256" t="s">
        <v>78</v>
      </c>
      <c r="EKK11" s="256" t="s">
        <v>79</v>
      </c>
      <c r="EKL11" s="256" t="s">
        <v>80</v>
      </c>
      <c r="EKM11" s="58" t="s">
        <v>81</v>
      </c>
      <c r="EKN11" s="284"/>
      <c r="EKO11" s="259" t="s">
        <v>55</v>
      </c>
      <c r="EKP11" s="256" t="s">
        <v>76</v>
      </c>
      <c r="EKQ11" s="256" t="s">
        <v>77</v>
      </c>
      <c r="EKR11" s="256" t="s">
        <v>78</v>
      </c>
      <c r="EKS11" s="256" t="s">
        <v>79</v>
      </c>
      <c r="EKT11" s="256" t="s">
        <v>80</v>
      </c>
      <c r="EKU11" s="256" t="s">
        <v>81</v>
      </c>
      <c r="EKV11" s="283"/>
      <c r="EKW11" s="259" t="s">
        <v>55</v>
      </c>
      <c r="EKX11" s="256" t="s">
        <v>76</v>
      </c>
      <c r="EKY11" s="256" t="s">
        <v>77</v>
      </c>
      <c r="EKZ11" s="256" t="s">
        <v>78</v>
      </c>
      <c r="ELA11" s="256" t="s">
        <v>79</v>
      </c>
      <c r="ELB11" s="256" t="s">
        <v>80</v>
      </c>
      <c r="ELC11" s="58" t="s">
        <v>81</v>
      </c>
      <c r="ELD11" s="284"/>
      <c r="ELE11" s="259" t="s">
        <v>55</v>
      </c>
      <c r="ELF11" s="256" t="s">
        <v>76</v>
      </c>
      <c r="ELG11" s="256" t="s">
        <v>77</v>
      </c>
      <c r="ELH11" s="256" t="s">
        <v>78</v>
      </c>
      <c r="ELI11" s="256" t="s">
        <v>79</v>
      </c>
      <c r="ELJ11" s="256" t="s">
        <v>80</v>
      </c>
      <c r="ELK11" s="256" t="s">
        <v>81</v>
      </c>
      <c r="ELL11" s="283"/>
      <c r="ELM11" s="259" t="s">
        <v>55</v>
      </c>
      <c r="ELN11" s="256" t="s">
        <v>76</v>
      </c>
      <c r="ELO11" s="256" t="s">
        <v>77</v>
      </c>
      <c r="ELP11" s="256" t="s">
        <v>78</v>
      </c>
      <c r="ELQ11" s="256" t="s">
        <v>79</v>
      </c>
      <c r="ELR11" s="256" t="s">
        <v>80</v>
      </c>
      <c r="ELS11" s="58" t="s">
        <v>81</v>
      </c>
      <c r="ELT11" s="284"/>
      <c r="ELU11" s="259" t="s">
        <v>55</v>
      </c>
      <c r="ELV11" s="256" t="s">
        <v>76</v>
      </c>
      <c r="ELW11" s="256" t="s">
        <v>77</v>
      </c>
      <c r="ELX11" s="256" t="s">
        <v>78</v>
      </c>
      <c r="ELY11" s="256" t="s">
        <v>79</v>
      </c>
      <c r="ELZ11" s="256" t="s">
        <v>80</v>
      </c>
      <c r="EMA11" s="256" t="s">
        <v>81</v>
      </c>
      <c r="EMB11" s="283"/>
      <c r="EMC11" s="259" t="s">
        <v>55</v>
      </c>
      <c r="EMD11" s="256" t="s">
        <v>76</v>
      </c>
      <c r="EME11" s="256" t="s">
        <v>77</v>
      </c>
      <c r="EMF11" s="256" t="s">
        <v>78</v>
      </c>
      <c r="EMG11" s="256" t="s">
        <v>79</v>
      </c>
      <c r="EMH11" s="256" t="s">
        <v>80</v>
      </c>
      <c r="EMI11" s="58" t="s">
        <v>81</v>
      </c>
      <c r="EMJ11" s="284"/>
      <c r="EMK11" s="259" t="s">
        <v>55</v>
      </c>
      <c r="EML11" s="256" t="s">
        <v>76</v>
      </c>
      <c r="EMM11" s="256" t="s">
        <v>77</v>
      </c>
      <c r="EMN11" s="256" t="s">
        <v>78</v>
      </c>
      <c r="EMO11" s="256" t="s">
        <v>79</v>
      </c>
      <c r="EMP11" s="256" t="s">
        <v>80</v>
      </c>
      <c r="EMQ11" s="256" t="s">
        <v>81</v>
      </c>
      <c r="EMR11" s="283"/>
      <c r="EMS11" s="259" t="s">
        <v>55</v>
      </c>
      <c r="EMT11" s="256" t="s">
        <v>76</v>
      </c>
      <c r="EMU11" s="256" t="s">
        <v>77</v>
      </c>
      <c r="EMV11" s="256" t="s">
        <v>78</v>
      </c>
      <c r="EMW11" s="256" t="s">
        <v>79</v>
      </c>
      <c r="EMX11" s="256" t="s">
        <v>80</v>
      </c>
      <c r="EMY11" s="58" t="s">
        <v>81</v>
      </c>
      <c r="EMZ11" s="284"/>
      <c r="ENA11" s="259" t="s">
        <v>55</v>
      </c>
      <c r="ENB11" s="256" t="s">
        <v>76</v>
      </c>
      <c r="ENC11" s="256" t="s">
        <v>77</v>
      </c>
      <c r="END11" s="256" t="s">
        <v>78</v>
      </c>
      <c r="ENE11" s="256" t="s">
        <v>79</v>
      </c>
      <c r="ENF11" s="256" t="s">
        <v>80</v>
      </c>
      <c r="ENG11" s="256" t="s">
        <v>81</v>
      </c>
      <c r="ENH11" s="283"/>
      <c r="ENI11" s="259" t="s">
        <v>55</v>
      </c>
      <c r="ENJ11" s="256" t="s">
        <v>76</v>
      </c>
      <c r="ENK11" s="256" t="s">
        <v>77</v>
      </c>
      <c r="ENL11" s="256" t="s">
        <v>78</v>
      </c>
      <c r="ENM11" s="256" t="s">
        <v>79</v>
      </c>
      <c r="ENN11" s="256" t="s">
        <v>80</v>
      </c>
      <c r="ENO11" s="58" t="s">
        <v>81</v>
      </c>
      <c r="ENP11" s="284"/>
      <c r="ENQ11" s="259" t="s">
        <v>55</v>
      </c>
      <c r="ENR11" s="256" t="s">
        <v>76</v>
      </c>
      <c r="ENS11" s="256" t="s">
        <v>77</v>
      </c>
      <c r="ENT11" s="256" t="s">
        <v>78</v>
      </c>
      <c r="ENU11" s="256" t="s">
        <v>79</v>
      </c>
      <c r="ENV11" s="256" t="s">
        <v>80</v>
      </c>
      <c r="ENW11" s="256" t="s">
        <v>81</v>
      </c>
      <c r="ENX11" s="283"/>
      <c r="ENY11" s="259" t="s">
        <v>55</v>
      </c>
      <c r="ENZ11" s="256" t="s">
        <v>76</v>
      </c>
      <c r="EOA11" s="256" t="s">
        <v>77</v>
      </c>
      <c r="EOB11" s="256" t="s">
        <v>78</v>
      </c>
      <c r="EOC11" s="256" t="s">
        <v>79</v>
      </c>
      <c r="EOD11" s="256" t="s">
        <v>80</v>
      </c>
      <c r="EOE11" s="58" t="s">
        <v>81</v>
      </c>
      <c r="EOF11" s="284"/>
      <c r="EOG11" s="259" t="s">
        <v>55</v>
      </c>
      <c r="EOH11" s="256" t="s">
        <v>76</v>
      </c>
      <c r="EOI11" s="256" t="s">
        <v>77</v>
      </c>
      <c r="EOJ11" s="256" t="s">
        <v>78</v>
      </c>
      <c r="EOK11" s="256" t="s">
        <v>79</v>
      </c>
      <c r="EOL11" s="256" t="s">
        <v>80</v>
      </c>
      <c r="EOM11" s="256" t="s">
        <v>81</v>
      </c>
      <c r="EON11" s="283"/>
      <c r="EOO11" s="259" t="s">
        <v>55</v>
      </c>
      <c r="EOP11" s="256" t="s">
        <v>76</v>
      </c>
      <c r="EOQ11" s="256" t="s">
        <v>77</v>
      </c>
      <c r="EOR11" s="256" t="s">
        <v>78</v>
      </c>
      <c r="EOS11" s="256" t="s">
        <v>79</v>
      </c>
      <c r="EOT11" s="256" t="s">
        <v>80</v>
      </c>
      <c r="EOU11" s="58" t="s">
        <v>81</v>
      </c>
      <c r="EOV11" s="284"/>
      <c r="EOW11" s="259" t="s">
        <v>55</v>
      </c>
      <c r="EOX11" s="256" t="s">
        <v>76</v>
      </c>
      <c r="EOY11" s="256" t="s">
        <v>77</v>
      </c>
      <c r="EOZ11" s="256" t="s">
        <v>78</v>
      </c>
      <c r="EPA11" s="256" t="s">
        <v>79</v>
      </c>
      <c r="EPB11" s="256" t="s">
        <v>80</v>
      </c>
      <c r="EPC11" s="256" t="s">
        <v>81</v>
      </c>
      <c r="EPD11" s="283"/>
      <c r="EPE11" s="259" t="s">
        <v>55</v>
      </c>
      <c r="EPF11" s="256" t="s">
        <v>76</v>
      </c>
      <c r="EPG11" s="256" t="s">
        <v>77</v>
      </c>
      <c r="EPH11" s="256" t="s">
        <v>78</v>
      </c>
      <c r="EPI11" s="256" t="s">
        <v>79</v>
      </c>
      <c r="EPJ11" s="256" t="s">
        <v>80</v>
      </c>
      <c r="EPK11" s="58" t="s">
        <v>81</v>
      </c>
      <c r="EPL11" s="284"/>
      <c r="EPM11" s="259" t="s">
        <v>55</v>
      </c>
      <c r="EPN11" s="256" t="s">
        <v>76</v>
      </c>
      <c r="EPO11" s="256" t="s">
        <v>77</v>
      </c>
      <c r="EPP11" s="256" t="s">
        <v>78</v>
      </c>
      <c r="EPQ11" s="256" t="s">
        <v>79</v>
      </c>
      <c r="EPR11" s="256" t="s">
        <v>80</v>
      </c>
      <c r="EPS11" s="256" t="s">
        <v>81</v>
      </c>
      <c r="EPT11" s="283"/>
      <c r="EPU11" s="259" t="s">
        <v>55</v>
      </c>
      <c r="EPV11" s="256" t="s">
        <v>76</v>
      </c>
      <c r="EPW11" s="256" t="s">
        <v>77</v>
      </c>
      <c r="EPX11" s="256" t="s">
        <v>78</v>
      </c>
      <c r="EPY11" s="256" t="s">
        <v>79</v>
      </c>
      <c r="EPZ11" s="256" t="s">
        <v>80</v>
      </c>
      <c r="EQA11" s="58" t="s">
        <v>81</v>
      </c>
      <c r="EQB11" s="284"/>
      <c r="EQC11" s="259" t="s">
        <v>55</v>
      </c>
      <c r="EQD11" s="256" t="s">
        <v>76</v>
      </c>
      <c r="EQE11" s="256" t="s">
        <v>77</v>
      </c>
      <c r="EQF11" s="256" t="s">
        <v>78</v>
      </c>
      <c r="EQG11" s="256" t="s">
        <v>79</v>
      </c>
      <c r="EQH11" s="256" t="s">
        <v>80</v>
      </c>
      <c r="EQI11" s="256" t="s">
        <v>81</v>
      </c>
      <c r="EQJ11" s="283"/>
      <c r="EQK11" s="259" t="s">
        <v>55</v>
      </c>
      <c r="EQL11" s="256" t="s">
        <v>76</v>
      </c>
      <c r="EQM11" s="256" t="s">
        <v>77</v>
      </c>
      <c r="EQN11" s="256" t="s">
        <v>78</v>
      </c>
      <c r="EQO11" s="256" t="s">
        <v>79</v>
      </c>
      <c r="EQP11" s="256" t="s">
        <v>80</v>
      </c>
      <c r="EQQ11" s="58" t="s">
        <v>81</v>
      </c>
      <c r="EQR11" s="284"/>
      <c r="EQS11" s="259" t="s">
        <v>55</v>
      </c>
      <c r="EQT11" s="256" t="s">
        <v>76</v>
      </c>
      <c r="EQU11" s="256" t="s">
        <v>77</v>
      </c>
      <c r="EQV11" s="256" t="s">
        <v>78</v>
      </c>
      <c r="EQW11" s="256" t="s">
        <v>79</v>
      </c>
      <c r="EQX11" s="256" t="s">
        <v>80</v>
      </c>
      <c r="EQY11" s="256" t="s">
        <v>81</v>
      </c>
      <c r="EQZ11" s="283"/>
      <c r="ERA11" s="259" t="s">
        <v>55</v>
      </c>
      <c r="ERB11" s="256" t="s">
        <v>76</v>
      </c>
      <c r="ERC11" s="256" t="s">
        <v>77</v>
      </c>
      <c r="ERD11" s="256" t="s">
        <v>78</v>
      </c>
      <c r="ERE11" s="256" t="s">
        <v>79</v>
      </c>
      <c r="ERF11" s="256" t="s">
        <v>80</v>
      </c>
      <c r="ERG11" s="58" t="s">
        <v>81</v>
      </c>
      <c r="ERH11" s="284"/>
      <c r="ERI11" s="259" t="s">
        <v>55</v>
      </c>
      <c r="ERJ11" s="256" t="s">
        <v>76</v>
      </c>
      <c r="ERK11" s="256" t="s">
        <v>77</v>
      </c>
      <c r="ERL11" s="256" t="s">
        <v>78</v>
      </c>
      <c r="ERM11" s="256" t="s">
        <v>79</v>
      </c>
      <c r="ERN11" s="256" t="s">
        <v>80</v>
      </c>
      <c r="ERO11" s="256" t="s">
        <v>81</v>
      </c>
      <c r="ERP11" s="283"/>
      <c r="ERQ11" s="259" t="s">
        <v>55</v>
      </c>
      <c r="ERR11" s="256" t="s">
        <v>76</v>
      </c>
      <c r="ERS11" s="256" t="s">
        <v>77</v>
      </c>
      <c r="ERT11" s="256" t="s">
        <v>78</v>
      </c>
      <c r="ERU11" s="256" t="s">
        <v>79</v>
      </c>
      <c r="ERV11" s="256" t="s">
        <v>80</v>
      </c>
      <c r="ERW11" s="58" t="s">
        <v>81</v>
      </c>
      <c r="ERX11" s="284"/>
      <c r="ERY11" s="259" t="s">
        <v>55</v>
      </c>
      <c r="ERZ11" s="256" t="s">
        <v>76</v>
      </c>
      <c r="ESA11" s="256" t="s">
        <v>77</v>
      </c>
      <c r="ESB11" s="256" t="s">
        <v>78</v>
      </c>
      <c r="ESC11" s="256" t="s">
        <v>79</v>
      </c>
      <c r="ESD11" s="256" t="s">
        <v>80</v>
      </c>
      <c r="ESE11" s="256" t="s">
        <v>81</v>
      </c>
      <c r="ESF11" s="283"/>
      <c r="ESG11" s="259" t="s">
        <v>55</v>
      </c>
      <c r="ESH11" s="256" t="s">
        <v>76</v>
      </c>
      <c r="ESI11" s="256" t="s">
        <v>77</v>
      </c>
      <c r="ESJ11" s="256" t="s">
        <v>78</v>
      </c>
      <c r="ESK11" s="256" t="s">
        <v>79</v>
      </c>
      <c r="ESL11" s="256" t="s">
        <v>80</v>
      </c>
      <c r="ESM11" s="58" t="s">
        <v>81</v>
      </c>
      <c r="ESN11" s="284"/>
      <c r="ESO11" s="259" t="s">
        <v>55</v>
      </c>
      <c r="ESP11" s="256" t="s">
        <v>76</v>
      </c>
      <c r="ESQ11" s="256" t="s">
        <v>77</v>
      </c>
      <c r="ESR11" s="256" t="s">
        <v>78</v>
      </c>
      <c r="ESS11" s="256" t="s">
        <v>79</v>
      </c>
      <c r="EST11" s="256" t="s">
        <v>80</v>
      </c>
      <c r="ESU11" s="256" t="s">
        <v>81</v>
      </c>
      <c r="ESV11" s="283"/>
      <c r="ESW11" s="259" t="s">
        <v>55</v>
      </c>
      <c r="ESX11" s="256" t="s">
        <v>76</v>
      </c>
      <c r="ESY11" s="256" t="s">
        <v>77</v>
      </c>
      <c r="ESZ11" s="256" t="s">
        <v>78</v>
      </c>
      <c r="ETA11" s="256" t="s">
        <v>79</v>
      </c>
      <c r="ETB11" s="256" t="s">
        <v>80</v>
      </c>
      <c r="ETC11" s="58" t="s">
        <v>81</v>
      </c>
      <c r="ETD11" s="284"/>
      <c r="ETE11" s="259" t="s">
        <v>55</v>
      </c>
      <c r="ETF11" s="256" t="s">
        <v>76</v>
      </c>
      <c r="ETG11" s="256" t="s">
        <v>77</v>
      </c>
      <c r="ETH11" s="256" t="s">
        <v>78</v>
      </c>
      <c r="ETI11" s="256" t="s">
        <v>79</v>
      </c>
      <c r="ETJ11" s="256" t="s">
        <v>80</v>
      </c>
      <c r="ETK11" s="256" t="s">
        <v>81</v>
      </c>
      <c r="ETL11" s="283"/>
      <c r="ETM11" s="259" t="s">
        <v>55</v>
      </c>
      <c r="ETN11" s="256" t="s">
        <v>76</v>
      </c>
      <c r="ETO11" s="256" t="s">
        <v>77</v>
      </c>
      <c r="ETP11" s="256" t="s">
        <v>78</v>
      </c>
      <c r="ETQ11" s="256" t="s">
        <v>79</v>
      </c>
      <c r="ETR11" s="256" t="s">
        <v>80</v>
      </c>
      <c r="ETS11" s="58" t="s">
        <v>81</v>
      </c>
      <c r="ETT11" s="284"/>
      <c r="ETU11" s="259" t="s">
        <v>55</v>
      </c>
      <c r="ETV11" s="256" t="s">
        <v>76</v>
      </c>
      <c r="ETW11" s="256" t="s">
        <v>77</v>
      </c>
      <c r="ETX11" s="256" t="s">
        <v>78</v>
      </c>
      <c r="ETY11" s="256" t="s">
        <v>79</v>
      </c>
      <c r="ETZ11" s="256" t="s">
        <v>80</v>
      </c>
      <c r="EUA11" s="256" t="s">
        <v>81</v>
      </c>
      <c r="EUB11" s="283"/>
      <c r="EUC11" s="259" t="s">
        <v>55</v>
      </c>
      <c r="EUD11" s="256" t="s">
        <v>76</v>
      </c>
      <c r="EUE11" s="256" t="s">
        <v>77</v>
      </c>
      <c r="EUF11" s="256" t="s">
        <v>78</v>
      </c>
      <c r="EUG11" s="256" t="s">
        <v>79</v>
      </c>
      <c r="EUH11" s="256" t="s">
        <v>80</v>
      </c>
      <c r="EUI11" s="58" t="s">
        <v>81</v>
      </c>
      <c r="EUJ11" s="284"/>
      <c r="EUK11" s="259" t="s">
        <v>55</v>
      </c>
      <c r="EUL11" s="256" t="s">
        <v>76</v>
      </c>
      <c r="EUM11" s="256" t="s">
        <v>77</v>
      </c>
      <c r="EUN11" s="256" t="s">
        <v>78</v>
      </c>
      <c r="EUO11" s="256" t="s">
        <v>79</v>
      </c>
      <c r="EUP11" s="256" t="s">
        <v>80</v>
      </c>
      <c r="EUQ11" s="256" t="s">
        <v>81</v>
      </c>
      <c r="EUR11" s="283"/>
      <c r="EUS11" s="259" t="s">
        <v>55</v>
      </c>
      <c r="EUT11" s="256" t="s">
        <v>76</v>
      </c>
      <c r="EUU11" s="256" t="s">
        <v>77</v>
      </c>
      <c r="EUV11" s="256" t="s">
        <v>78</v>
      </c>
      <c r="EUW11" s="256" t="s">
        <v>79</v>
      </c>
      <c r="EUX11" s="256" t="s">
        <v>80</v>
      </c>
      <c r="EUY11" s="58" t="s">
        <v>81</v>
      </c>
      <c r="EUZ11" s="284"/>
      <c r="EVA11" s="259" t="s">
        <v>55</v>
      </c>
      <c r="EVB11" s="256" t="s">
        <v>76</v>
      </c>
      <c r="EVC11" s="256" t="s">
        <v>77</v>
      </c>
      <c r="EVD11" s="256" t="s">
        <v>78</v>
      </c>
      <c r="EVE11" s="256" t="s">
        <v>79</v>
      </c>
      <c r="EVF11" s="256" t="s">
        <v>80</v>
      </c>
      <c r="EVG11" s="256" t="s">
        <v>81</v>
      </c>
      <c r="EVH11" s="283"/>
      <c r="EVI11" s="259" t="s">
        <v>55</v>
      </c>
      <c r="EVJ11" s="256" t="s">
        <v>76</v>
      </c>
      <c r="EVK11" s="256" t="s">
        <v>77</v>
      </c>
      <c r="EVL11" s="256" t="s">
        <v>78</v>
      </c>
      <c r="EVM11" s="256" t="s">
        <v>79</v>
      </c>
      <c r="EVN11" s="256" t="s">
        <v>80</v>
      </c>
      <c r="EVO11" s="58" t="s">
        <v>81</v>
      </c>
      <c r="EVP11" s="284"/>
      <c r="EVQ11" s="259" t="s">
        <v>55</v>
      </c>
      <c r="EVR11" s="256" t="s">
        <v>76</v>
      </c>
      <c r="EVS11" s="256" t="s">
        <v>77</v>
      </c>
      <c r="EVT11" s="256" t="s">
        <v>78</v>
      </c>
      <c r="EVU11" s="256" t="s">
        <v>79</v>
      </c>
      <c r="EVV11" s="256" t="s">
        <v>80</v>
      </c>
      <c r="EVW11" s="256" t="s">
        <v>81</v>
      </c>
      <c r="EVX11" s="283"/>
      <c r="EVY11" s="259" t="s">
        <v>55</v>
      </c>
      <c r="EVZ11" s="256" t="s">
        <v>76</v>
      </c>
      <c r="EWA11" s="256" t="s">
        <v>77</v>
      </c>
      <c r="EWB11" s="256" t="s">
        <v>78</v>
      </c>
      <c r="EWC11" s="256" t="s">
        <v>79</v>
      </c>
      <c r="EWD11" s="256" t="s">
        <v>80</v>
      </c>
      <c r="EWE11" s="58" t="s">
        <v>81</v>
      </c>
      <c r="EWF11" s="284"/>
      <c r="EWG11" s="259" t="s">
        <v>55</v>
      </c>
      <c r="EWH11" s="256" t="s">
        <v>76</v>
      </c>
      <c r="EWI11" s="256" t="s">
        <v>77</v>
      </c>
      <c r="EWJ11" s="256" t="s">
        <v>78</v>
      </c>
      <c r="EWK11" s="256" t="s">
        <v>79</v>
      </c>
      <c r="EWL11" s="256" t="s">
        <v>80</v>
      </c>
      <c r="EWM11" s="256" t="s">
        <v>81</v>
      </c>
      <c r="EWN11" s="283"/>
      <c r="EWO11" s="259" t="s">
        <v>55</v>
      </c>
      <c r="EWP11" s="256" t="s">
        <v>76</v>
      </c>
      <c r="EWQ11" s="256" t="s">
        <v>77</v>
      </c>
      <c r="EWR11" s="256" t="s">
        <v>78</v>
      </c>
      <c r="EWS11" s="256" t="s">
        <v>79</v>
      </c>
      <c r="EWT11" s="256" t="s">
        <v>80</v>
      </c>
      <c r="EWU11" s="58" t="s">
        <v>81</v>
      </c>
      <c r="EWV11" s="284"/>
      <c r="EWW11" s="259" t="s">
        <v>55</v>
      </c>
      <c r="EWX11" s="256" t="s">
        <v>76</v>
      </c>
      <c r="EWY11" s="256" t="s">
        <v>77</v>
      </c>
      <c r="EWZ11" s="256" t="s">
        <v>78</v>
      </c>
      <c r="EXA11" s="256" t="s">
        <v>79</v>
      </c>
      <c r="EXB11" s="256" t="s">
        <v>80</v>
      </c>
      <c r="EXC11" s="256" t="s">
        <v>81</v>
      </c>
      <c r="EXD11" s="283"/>
      <c r="EXE11" s="259" t="s">
        <v>55</v>
      </c>
      <c r="EXF11" s="256" t="s">
        <v>76</v>
      </c>
      <c r="EXG11" s="256" t="s">
        <v>77</v>
      </c>
      <c r="EXH11" s="256" t="s">
        <v>78</v>
      </c>
      <c r="EXI11" s="256" t="s">
        <v>79</v>
      </c>
      <c r="EXJ11" s="256" t="s">
        <v>80</v>
      </c>
      <c r="EXK11" s="58" t="s">
        <v>81</v>
      </c>
      <c r="EXL11" s="284"/>
      <c r="EXM11" s="259" t="s">
        <v>55</v>
      </c>
      <c r="EXN11" s="256" t="s">
        <v>76</v>
      </c>
      <c r="EXO11" s="256" t="s">
        <v>77</v>
      </c>
      <c r="EXP11" s="256" t="s">
        <v>78</v>
      </c>
      <c r="EXQ11" s="256" t="s">
        <v>79</v>
      </c>
      <c r="EXR11" s="256" t="s">
        <v>80</v>
      </c>
      <c r="EXS11" s="256" t="s">
        <v>81</v>
      </c>
      <c r="EXT11" s="283"/>
      <c r="EXU11" s="259" t="s">
        <v>55</v>
      </c>
      <c r="EXV11" s="256" t="s">
        <v>76</v>
      </c>
      <c r="EXW11" s="256" t="s">
        <v>77</v>
      </c>
      <c r="EXX11" s="256" t="s">
        <v>78</v>
      </c>
      <c r="EXY11" s="256" t="s">
        <v>79</v>
      </c>
      <c r="EXZ11" s="256" t="s">
        <v>80</v>
      </c>
      <c r="EYA11" s="58" t="s">
        <v>81</v>
      </c>
      <c r="EYB11" s="284"/>
      <c r="EYC11" s="259" t="s">
        <v>55</v>
      </c>
      <c r="EYD11" s="256" t="s">
        <v>76</v>
      </c>
      <c r="EYE11" s="256" t="s">
        <v>77</v>
      </c>
      <c r="EYF11" s="256" t="s">
        <v>78</v>
      </c>
      <c r="EYG11" s="256" t="s">
        <v>79</v>
      </c>
      <c r="EYH11" s="256" t="s">
        <v>80</v>
      </c>
      <c r="EYI11" s="256" t="s">
        <v>81</v>
      </c>
      <c r="EYJ11" s="283"/>
      <c r="EYK11" s="259" t="s">
        <v>55</v>
      </c>
      <c r="EYL11" s="256" t="s">
        <v>76</v>
      </c>
      <c r="EYM11" s="256" t="s">
        <v>77</v>
      </c>
      <c r="EYN11" s="256" t="s">
        <v>78</v>
      </c>
      <c r="EYO11" s="256" t="s">
        <v>79</v>
      </c>
      <c r="EYP11" s="256" t="s">
        <v>80</v>
      </c>
      <c r="EYQ11" s="58" t="s">
        <v>81</v>
      </c>
      <c r="EYR11" s="284"/>
      <c r="EYS11" s="259" t="s">
        <v>55</v>
      </c>
      <c r="EYT11" s="256" t="s">
        <v>76</v>
      </c>
      <c r="EYU11" s="256" t="s">
        <v>77</v>
      </c>
      <c r="EYV11" s="256" t="s">
        <v>78</v>
      </c>
      <c r="EYW11" s="256" t="s">
        <v>79</v>
      </c>
      <c r="EYX11" s="256" t="s">
        <v>80</v>
      </c>
      <c r="EYY11" s="256" t="s">
        <v>81</v>
      </c>
      <c r="EYZ11" s="283"/>
      <c r="EZA11" s="259" t="s">
        <v>55</v>
      </c>
      <c r="EZB11" s="256" t="s">
        <v>76</v>
      </c>
      <c r="EZC11" s="256" t="s">
        <v>77</v>
      </c>
      <c r="EZD11" s="256" t="s">
        <v>78</v>
      </c>
      <c r="EZE11" s="256" t="s">
        <v>79</v>
      </c>
      <c r="EZF11" s="256" t="s">
        <v>80</v>
      </c>
      <c r="EZG11" s="58" t="s">
        <v>81</v>
      </c>
      <c r="EZH11" s="284"/>
      <c r="EZI11" s="259" t="s">
        <v>55</v>
      </c>
      <c r="EZJ11" s="256" t="s">
        <v>76</v>
      </c>
      <c r="EZK11" s="256" t="s">
        <v>77</v>
      </c>
      <c r="EZL11" s="256" t="s">
        <v>78</v>
      </c>
      <c r="EZM11" s="256" t="s">
        <v>79</v>
      </c>
      <c r="EZN11" s="256" t="s">
        <v>80</v>
      </c>
      <c r="EZO11" s="256" t="s">
        <v>81</v>
      </c>
      <c r="EZP11" s="283"/>
      <c r="EZQ11" s="259" t="s">
        <v>55</v>
      </c>
      <c r="EZR11" s="256" t="s">
        <v>76</v>
      </c>
      <c r="EZS11" s="256" t="s">
        <v>77</v>
      </c>
      <c r="EZT11" s="256" t="s">
        <v>78</v>
      </c>
      <c r="EZU11" s="256" t="s">
        <v>79</v>
      </c>
      <c r="EZV11" s="256" t="s">
        <v>80</v>
      </c>
      <c r="EZW11" s="58" t="s">
        <v>81</v>
      </c>
      <c r="EZX11" s="284"/>
      <c r="EZY11" s="259" t="s">
        <v>55</v>
      </c>
      <c r="EZZ11" s="256" t="s">
        <v>76</v>
      </c>
      <c r="FAA11" s="256" t="s">
        <v>77</v>
      </c>
      <c r="FAB11" s="256" t="s">
        <v>78</v>
      </c>
      <c r="FAC11" s="256" t="s">
        <v>79</v>
      </c>
      <c r="FAD11" s="256" t="s">
        <v>80</v>
      </c>
      <c r="FAE11" s="256" t="s">
        <v>81</v>
      </c>
      <c r="FAF11" s="283"/>
      <c r="FAG11" s="259" t="s">
        <v>55</v>
      </c>
      <c r="FAH11" s="256" t="s">
        <v>76</v>
      </c>
      <c r="FAI11" s="256" t="s">
        <v>77</v>
      </c>
      <c r="FAJ11" s="256" t="s">
        <v>78</v>
      </c>
      <c r="FAK11" s="256" t="s">
        <v>79</v>
      </c>
      <c r="FAL11" s="256" t="s">
        <v>80</v>
      </c>
      <c r="FAM11" s="58" t="s">
        <v>81</v>
      </c>
      <c r="FAN11" s="284"/>
      <c r="FAO11" s="259" t="s">
        <v>55</v>
      </c>
      <c r="FAP11" s="256" t="s">
        <v>76</v>
      </c>
      <c r="FAQ11" s="256" t="s">
        <v>77</v>
      </c>
      <c r="FAR11" s="256" t="s">
        <v>78</v>
      </c>
      <c r="FAS11" s="256" t="s">
        <v>79</v>
      </c>
      <c r="FAT11" s="256" t="s">
        <v>80</v>
      </c>
      <c r="FAU11" s="256" t="s">
        <v>81</v>
      </c>
      <c r="FAV11" s="283"/>
      <c r="FAW11" s="259" t="s">
        <v>55</v>
      </c>
      <c r="FAX11" s="256" t="s">
        <v>76</v>
      </c>
      <c r="FAY11" s="256" t="s">
        <v>77</v>
      </c>
      <c r="FAZ11" s="256" t="s">
        <v>78</v>
      </c>
      <c r="FBA11" s="256" t="s">
        <v>79</v>
      </c>
      <c r="FBB11" s="256" t="s">
        <v>80</v>
      </c>
      <c r="FBC11" s="58" t="s">
        <v>81</v>
      </c>
      <c r="FBD11" s="284"/>
      <c r="FBE11" s="259" t="s">
        <v>55</v>
      </c>
      <c r="FBF11" s="256" t="s">
        <v>76</v>
      </c>
      <c r="FBG11" s="256" t="s">
        <v>77</v>
      </c>
      <c r="FBH11" s="256" t="s">
        <v>78</v>
      </c>
      <c r="FBI11" s="256" t="s">
        <v>79</v>
      </c>
      <c r="FBJ11" s="256" t="s">
        <v>80</v>
      </c>
      <c r="FBK11" s="256" t="s">
        <v>81</v>
      </c>
      <c r="FBL11" s="283"/>
      <c r="FBM11" s="259" t="s">
        <v>55</v>
      </c>
      <c r="FBN11" s="256" t="s">
        <v>76</v>
      </c>
      <c r="FBO11" s="256" t="s">
        <v>77</v>
      </c>
      <c r="FBP11" s="256" t="s">
        <v>78</v>
      </c>
      <c r="FBQ11" s="256" t="s">
        <v>79</v>
      </c>
      <c r="FBR11" s="256" t="s">
        <v>80</v>
      </c>
      <c r="FBS11" s="58" t="s">
        <v>81</v>
      </c>
      <c r="FBT11" s="284"/>
      <c r="FBU11" s="259" t="s">
        <v>55</v>
      </c>
      <c r="FBV11" s="256" t="s">
        <v>76</v>
      </c>
      <c r="FBW11" s="256" t="s">
        <v>77</v>
      </c>
      <c r="FBX11" s="256" t="s">
        <v>78</v>
      </c>
      <c r="FBY11" s="256" t="s">
        <v>79</v>
      </c>
      <c r="FBZ11" s="256" t="s">
        <v>80</v>
      </c>
      <c r="FCA11" s="256" t="s">
        <v>81</v>
      </c>
      <c r="FCB11" s="283"/>
      <c r="FCC11" s="259" t="s">
        <v>55</v>
      </c>
      <c r="FCD11" s="256" t="s">
        <v>76</v>
      </c>
      <c r="FCE11" s="256" t="s">
        <v>77</v>
      </c>
      <c r="FCF11" s="256" t="s">
        <v>78</v>
      </c>
      <c r="FCG11" s="256" t="s">
        <v>79</v>
      </c>
      <c r="FCH11" s="256" t="s">
        <v>80</v>
      </c>
      <c r="FCI11" s="58" t="s">
        <v>81</v>
      </c>
      <c r="FCJ11" s="284"/>
      <c r="FCK11" s="259" t="s">
        <v>55</v>
      </c>
      <c r="FCL11" s="256" t="s">
        <v>76</v>
      </c>
      <c r="FCM11" s="256" t="s">
        <v>77</v>
      </c>
      <c r="FCN11" s="256" t="s">
        <v>78</v>
      </c>
      <c r="FCO11" s="256" t="s">
        <v>79</v>
      </c>
      <c r="FCP11" s="256" t="s">
        <v>80</v>
      </c>
      <c r="FCQ11" s="256" t="s">
        <v>81</v>
      </c>
      <c r="FCR11" s="283"/>
      <c r="FCS11" s="259" t="s">
        <v>55</v>
      </c>
      <c r="FCT11" s="256" t="s">
        <v>76</v>
      </c>
      <c r="FCU11" s="256" t="s">
        <v>77</v>
      </c>
      <c r="FCV11" s="256" t="s">
        <v>78</v>
      </c>
      <c r="FCW11" s="256" t="s">
        <v>79</v>
      </c>
      <c r="FCX11" s="256" t="s">
        <v>80</v>
      </c>
      <c r="FCY11" s="58" t="s">
        <v>81</v>
      </c>
      <c r="FCZ11" s="284"/>
      <c r="FDA11" s="259" t="s">
        <v>55</v>
      </c>
      <c r="FDB11" s="256" t="s">
        <v>76</v>
      </c>
      <c r="FDC11" s="256" t="s">
        <v>77</v>
      </c>
      <c r="FDD11" s="256" t="s">
        <v>78</v>
      </c>
      <c r="FDE11" s="256" t="s">
        <v>79</v>
      </c>
      <c r="FDF11" s="256" t="s">
        <v>80</v>
      </c>
      <c r="FDG11" s="256" t="s">
        <v>81</v>
      </c>
      <c r="FDH11" s="283"/>
      <c r="FDI11" s="259" t="s">
        <v>55</v>
      </c>
      <c r="FDJ11" s="256" t="s">
        <v>76</v>
      </c>
      <c r="FDK11" s="256" t="s">
        <v>77</v>
      </c>
      <c r="FDL11" s="256" t="s">
        <v>78</v>
      </c>
      <c r="FDM11" s="256" t="s">
        <v>79</v>
      </c>
      <c r="FDN11" s="256" t="s">
        <v>80</v>
      </c>
      <c r="FDO11" s="58" t="s">
        <v>81</v>
      </c>
      <c r="FDP11" s="284"/>
      <c r="FDQ11" s="259" t="s">
        <v>55</v>
      </c>
      <c r="FDR11" s="256" t="s">
        <v>76</v>
      </c>
      <c r="FDS11" s="256" t="s">
        <v>77</v>
      </c>
      <c r="FDT11" s="256" t="s">
        <v>78</v>
      </c>
      <c r="FDU11" s="256" t="s">
        <v>79</v>
      </c>
      <c r="FDV11" s="256" t="s">
        <v>80</v>
      </c>
      <c r="FDW11" s="256" t="s">
        <v>81</v>
      </c>
      <c r="FDX11" s="283"/>
      <c r="FDY11" s="259" t="s">
        <v>55</v>
      </c>
      <c r="FDZ11" s="256" t="s">
        <v>76</v>
      </c>
      <c r="FEA11" s="256" t="s">
        <v>77</v>
      </c>
      <c r="FEB11" s="256" t="s">
        <v>78</v>
      </c>
      <c r="FEC11" s="256" t="s">
        <v>79</v>
      </c>
      <c r="FED11" s="256" t="s">
        <v>80</v>
      </c>
      <c r="FEE11" s="58" t="s">
        <v>81</v>
      </c>
      <c r="FEF11" s="284"/>
      <c r="FEG11" s="259" t="s">
        <v>55</v>
      </c>
      <c r="FEH11" s="256" t="s">
        <v>76</v>
      </c>
      <c r="FEI11" s="256" t="s">
        <v>77</v>
      </c>
      <c r="FEJ11" s="256" t="s">
        <v>78</v>
      </c>
      <c r="FEK11" s="256" t="s">
        <v>79</v>
      </c>
      <c r="FEL11" s="256" t="s">
        <v>80</v>
      </c>
      <c r="FEM11" s="256" t="s">
        <v>81</v>
      </c>
      <c r="FEN11" s="283"/>
      <c r="FEO11" s="259" t="s">
        <v>55</v>
      </c>
      <c r="FEP11" s="256" t="s">
        <v>76</v>
      </c>
      <c r="FEQ11" s="256" t="s">
        <v>77</v>
      </c>
      <c r="FER11" s="256" t="s">
        <v>78</v>
      </c>
      <c r="FES11" s="256" t="s">
        <v>79</v>
      </c>
      <c r="FET11" s="256" t="s">
        <v>80</v>
      </c>
      <c r="FEU11" s="58" t="s">
        <v>81</v>
      </c>
      <c r="FEV11" s="284"/>
      <c r="FEW11" s="259" t="s">
        <v>55</v>
      </c>
      <c r="FEX11" s="256" t="s">
        <v>76</v>
      </c>
      <c r="FEY11" s="256" t="s">
        <v>77</v>
      </c>
      <c r="FEZ11" s="256" t="s">
        <v>78</v>
      </c>
      <c r="FFA11" s="256" t="s">
        <v>79</v>
      </c>
      <c r="FFB11" s="256" t="s">
        <v>80</v>
      </c>
      <c r="FFC11" s="256" t="s">
        <v>81</v>
      </c>
      <c r="FFD11" s="283"/>
      <c r="FFE11" s="259" t="s">
        <v>55</v>
      </c>
      <c r="FFF11" s="256" t="s">
        <v>76</v>
      </c>
      <c r="FFG11" s="256" t="s">
        <v>77</v>
      </c>
      <c r="FFH11" s="256" t="s">
        <v>78</v>
      </c>
      <c r="FFI11" s="256" t="s">
        <v>79</v>
      </c>
      <c r="FFJ11" s="256" t="s">
        <v>80</v>
      </c>
      <c r="FFK11" s="58" t="s">
        <v>81</v>
      </c>
      <c r="FFL11" s="284"/>
      <c r="FFM11" s="259" t="s">
        <v>55</v>
      </c>
      <c r="FFN11" s="256" t="s">
        <v>76</v>
      </c>
      <c r="FFO11" s="256" t="s">
        <v>77</v>
      </c>
      <c r="FFP11" s="256" t="s">
        <v>78</v>
      </c>
      <c r="FFQ11" s="256" t="s">
        <v>79</v>
      </c>
      <c r="FFR11" s="256" t="s">
        <v>80</v>
      </c>
      <c r="FFS11" s="256" t="s">
        <v>81</v>
      </c>
      <c r="FFT11" s="283"/>
      <c r="FFU11" s="259" t="s">
        <v>55</v>
      </c>
      <c r="FFV11" s="256" t="s">
        <v>76</v>
      </c>
      <c r="FFW11" s="256" t="s">
        <v>77</v>
      </c>
      <c r="FFX11" s="256" t="s">
        <v>78</v>
      </c>
      <c r="FFY11" s="256" t="s">
        <v>79</v>
      </c>
      <c r="FFZ11" s="256" t="s">
        <v>80</v>
      </c>
      <c r="FGA11" s="58" t="s">
        <v>81</v>
      </c>
      <c r="FGB11" s="284"/>
      <c r="FGC11" s="259" t="s">
        <v>55</v>
      </c>
      <c r="FGD11" s="256" t="s">
        <v>76</v>
      </c>
      <c r="FGE11" s="256" t="s">
        <v>77</v>
      </c>
      <c r="FGF11" s="256" t="s">
        <v>78</v>
      </c>
      <c r="FGG11" s="256" t="s">
        <v>79</v>
      </c>
      <c r="FGH11" s="256" t="s">
        <v>80</v>
      </c>
      <c r="FGI11" s="256" t="s">
        <v>81</v>
      </c>
      <c r="FGJ11" s="283"/>
      <c r="FGK11" s="259" t="s">
        <v>55</v>
      </c>
      <c r="FGL11" s="256" t="s">
        <v>76</v>
      </c>
      <c r="FGM11" s="256" t="s">
        <v>77</v>
      </c>
      <c r="FGN11" s="256" t="s">
        <v>78</v>
      </c>
      <c r="FGO11" s="256" t="s">
        <v>79</v>
      </c>
      <c r="FGP11" s="256" t="s">
        <v>80</v>
      </c>
      <c r="FGQ11" s="58" t="s">
        <v>81</v>
      </c>
      <c r="FGR11" s="284"/>
      <c r="FGS11" s="259" t="s">
        <v>55</v>
      </c>
      <c r="FGT11" s="256" t="s">
        <v>76</v>
      </c>
      <c r="FGU11" s="256" t="s">
        <v>77</v>
      </c>
      <c r="FGV11" s="256" t="s">
        <v>78</v>
      </c>
      <c r="FGW11" s="256" t="s">
        <v>79</v>
      </c>
      <c r="FGX11" s="256" t="s">
        <v>80</v>
      </c>
      <c r="FGY11" s="256" t="s">
        <v>81</v>
      </c>
      <c r="FGZ11" s="283"/>
      <c r="FHA11" s="259" t="s">
        <v>55</v>
      </c>
      <c r="FHB11" s="256" t="s">
        <v>76</v>
      </c>
      <c r="FHC11" s="256" t="s">
        <v>77</v>
      </c>
      <c r="FHD11" s="256" t="s">
        <v>78</v>
      </c>
      <c r="FHE11" s="256" t="s">
        <v>79</v>
      </c>
      <c r="FHF11" s="256" t="s">
        <v>80</v>
      </c>
      <c r="FHG11" s="58" t="s">
        <v>81</v>
      </c>
      <c r="FHH11" s="284"/>
      <c r="FHI11" s="259" t="s">
        <v>55</v>
      </c>
      <c r="FHJ11" s="256" t="s">
        <v>76</v>
      </c>
      <c r="FHK11" s="256" t="s">
        <v>77</v>
      </c>
      <c r="FHL11" s="256" t="s">
        <v>78</v>
      </c>
      <c r="FHM11" s="256" t="s">
        <v>79</v>
      </c>
      <c r="FHN11" s="256" t="s">
        <v>80</v>
      </c>
      <c r="FHO11" s="256" t="s">
        <v>81</v>
      </c>
      <c r="FHP11" s="283"/>
      <c r="FHQ11" s="259" t="s">
        <v>55</v>
      </c>
      <c r="FHR11" s="256" t="s">
        <v>76</v>
      </c>
      <c r="FHS11" s="256" t="s">
        <v>77</v>
      </c>
      <c r="FHT11" s="256" t="s">
        <v>78</v>
      </c>
      <c r="FHU11" s="256" t="s">
        <v>79</v>
      </c>
      <c r="FHV11" s="256" t="s">
        <v>80</v>
      </c>
      <c r="FHW11" s="58" t="s">
        <v>81</v>
      </c>
      <c r="FHX11" s="284"/>
      <c r="FHY11" s="259" t="s">
        <v>55</v>
      </c>
      <c r="FHZ11" s="256" t="s">
        <v>76</v>
      </c>
      <c r="FIA11" s="256" t="s">
        <v>77</v>
      </c>
      <c r="FIB11" s="256" t="s">
        <v>78</v>
      </c>
      <c r="FIC11" s="256" t="s">
        <v>79</v>
      </c>
      <c r="FID11" s="256" t="s">
        <v>80</v>
      </c>
      <c r="FIE11" s="256" t="s">
        <v>81</v>
      </c>
      <c r="FIF11" s="283"/>
      <c r="FIG11" s="259" t="s">
        <v>55</v>
      </c>
      <c r="FIH11" s="256" t="s">
        <v>76</v>
      </c>
      <c r="FII11" s="256" t="s">
        <v>77</v>
      </c>
      <c r="FIJ11" s="256" t="s">
        <v>78</v>
      </c>
      <c r="FIK11" s="256" t="s">
        <v>79</v>
      </c>
      <c r="FIL11" s="256" t="s">
        <v>80</v>
      </c>
      <c r="FIM11" s="58" t="s">
        <v>81</v>
      </c>
      <c r="FIN11" s="284"/>
      <c r="FIO11" s="259" t="s">
        <v>55</v>
      </c>
      <c r="FIP11" s="256" t="s">
        <v>76</v>
      </c>
      <c r="FIQ11" s="256" t="s">
        <v>77</v>
      </c>
      <c r="FIR11" s="256" t="s">
        <v>78</v>
      </c>
      <c r="FIS11" s="256" t="s">
        <v>79</v>
      </c>
      <c r="FIT11" s="256" t="s">
        <v>80</v>
      </c>
      <c r="FIU11" s="256" t="s">
        <v>81</v>
      </c>
      <c r="FIV11" s="283"/>
      <c r="FIW11" s="259" t="s">
        <v>55</v>
      </c>
      <c r="FIX11" s="256" t="s">
        <v>76</v>
      </c>
      <c r="FIY11" s="256" t="s">
        <v>77</v>
      </c>
      <c r="FIZ11" s="256" t="s">
        <v>78</v>
      </c>
      <c r="FJA11" s="256" t="s">
        <v>79</v>
      </c>
      <c r="FJB11" s="256" t="s">
        <v>80</v>
      </c>
      <c r="FJC11" s="58" t="s">
        <v>81</v>
      </c>
      <c r="FJD11" s="284"/>
      <c r="FJE11" s="259" t="s">
        <v>55</v>
      </c>
      <c r="FJF11" s="256" t="s">
        <v>76</v>
      </c>
      <c r="FJG11" s="256" t="s">
        <v>77</v>
      </c>
      <c r="FJH11" s="256" t="s">
        <v>78</v>
      </c>
      <c r="FJI11" s="256" t="s">
        <v>79</v>
      </c>
      <c r="FJJ11" s="256" t="s">
        <v>80</v>
      </c>
      <c r="FJK11" s="256" t="s">
        <v>81</v>
      </c>
      <c r="FJL11" s="283"/>
      <c r="FJM11" s="259" t="s">
        <v>55</v>
      </c>
      <c r="FJN11" s="256" t="s">
        <v>76</v>
      </c>
      <c r="FJO11" s="256" t="s">
        <v>77</v>
      </c>
      <c r="FJP11" s="256" t="s">
        <v>78</v>
      </c>
      <c r="FJQ11" s="256" t="s">
        <v>79</v>
      </c>
      <c r="FJR11" s="256" t="s">
        <v>80</v>
      </c>
      <c r="FJS11" s="58" t="s">
        <v>81</v>
      </c>
      <c r="FJT11" s="284"/>
      <c r="FJU11" s="259" t="s">
        <v>55</v>
      </c>
      <c r="FJV11" s="256" t="s">
        <v>76</v>
      </c>
      <c r="FJW11" s="256" t="s">
        <v>77</v>
      </c>
      <c r="FJX11" s="256" t="s">
        <v>78</v>
      </c>
      <c r="FJY11" s="256" t="s">
        <v>79</v>
      </c>
      <c r="FJZ11" s="256" t="s">
        <v>80</v>
      </c>
      <c r="FKA11" s="256" t="s">
        <v>81</v>
      </c>
      <c r="FKB11" s="283"/>
      <c r="FKC11" s="259" t="s">
        <v>55</v>
      </c>
      <c r="FKD11" s="256" t="s">
        <v>76</v>
      </c>
      <c r="FKE11" s="256" t="s">
        <v>77</v>
      </c>
      <c r="FKF11" s="256" t="s">
        <v>78</v>
      </c>
      <c r="FKG11" s="256" t="s">
        <v>79</v>
      </c>
      <c r="FKH11" s="256" t="s">
        <v>80</v>
      </c>
      <c r="FKI11" s="58" t="s">
        <v>81</v>
      </c>
      <c r="FKJ11" s="284"/>
      <c r="FKK11" s="259" t="s">
        <v>55</v>
      </c>
      <c r="FKL11" s="256" t="s">
        <v>76</v>
      </c>
      <c r="FKM11" s="256" t="s">
        <v>77</v>
      </c>
      <c r="FKN11" s="256" t="s">
        <v>78</v>
      </c>
      <c r="FKO11" s="256" t="s">
        <v>79</v>
      </c>
      <c r="FKP11" s="256" t="s">
        <v>80</v>
      </c>
      <c r="FKQ11" s="256" t="s">
        <v>81</v>
      </c>
      <c r="FKR11" s="283"/>
      <c r="FKS11" s="259" t="s">
        <v>55</v>
      </c>
      <c r="FKT11" s="256" t="s">
        <v>76</v>
      </c>
      <c r="FKU11" s="256" t="s">
        <v>77</v>
      </c>
      <c r="FKV11" s="256" t="s">
        <v>78</v>
      </c>
      <c r="FKW11" s="256" t="s">
        <v>79</v>
      </c>
      <c r="FKX11" s="256" t="s">
        <v>80</v>
      </c>
      <c r="FKY11" s="58" t="s">
        <v>81</v>
      </c>
      <c r="FKZ11" s="284"/>
      <c r="FLA11" s="259" t="s">
        <v>55</v>
      </c>
      <c r="FLB11" s="256" t="s">
        <v>76</v>
      </c>
      <c r="FLC11" s="256" t="s">
        <v>77</v>
      </c>
      <c r="FLD11" s="256" t="s">
        <v>78</v>
      </c>
      <c r="FLE11" s="256" t="s">
        <v>79</v>
      </c>
      <c r="FLF11" s="256" t="s">
        <v>80</v>
      </c>
      <c r="FLG11" s="256" t="s">
        <v>81</v>
      </c>
      <c r="FLH11" s="283"/>
      <c r="FLI11" s="259" t="s">
        <v>55</v>
      </c>
      <c r="FLJ11" s="256" t="s">
        <v>76</v>
      </c>
      <c r="FLK11" s="256" t="s">
        <v>77</v>
      </c>
      <c r="FLL11" s="256" t="s">
        <v>78</v>
      </c>
      <c r="FLM11" s="256" t="s">
        <v>79</v>
      </c>
      <c r="FLN11" s="256" t="s">
        <v>80</v>
      </c>
      <c r="FLO11" s="58" t="s">
        <v>81</v>
      </c>
      <c r="FLP11" s="284"/>
      <c r="FLQ11" s="259" t="s">
        <v>55</v>
      </c>
      <c r="FLR11" s="256" t="s">
        <v>76</v>
      </c>
      <c r="FLS11" s="256" t="s">
        <v>77</v>
      </c>
      <c r="FLT11" s="256" t="s">
        <v>78</v>
      </c>
      <c r="FLU11" s="256" t="s">
        <v>79</v>
      </c>
      <c r="FLV11" s="256" t="s">
        <v>80</v>
      </c>
      <c r="FLW11" s="256" t="s">
        <v>81</v>
      </c>
      <c r="FLX11" s="283"/>
      <c r="FLY11" s="259" t="s">
        <v>55</v>
      </c>
      <c r="FLZ11" s="256" t="s">
        <v>76</v>
      </c>
      <c r="FMA11" s="256" t="s">
        <v>77</v>
      </c>
      <c r="FMB11" s="256" t="s">
        <v>78</v>
      </c>
      <c r="FMC11" s="256" t="s">
        <v>79</v>
      </c>
      <c r="FMD11" s="256" t="s">
        <v>80</v>
      </c>
      <c r="FME11" s="58" t="s">
        <v>81</v>
      </c>
      <c r="FMF11" s="284"/>
      <c r="FMG11" s="259" t="s">
        <v>55</v>
      </c>
      <c r="FMH11" s="256" t="s">
        <v>76</v>
      </c>
      <c r="FMI11" s="256" t="s">
        <v>77</v>
      </c>
      <c r="FMJ11" s="256" t="s">
        <v>78</v>
      </c>
      <c r="FMK11" s="256" t="s">
        <v>79</v>
      </c>
      <c r="FML11" s="256" t="s">
        <v>80</v>
      </c>
      <c r="FMM11" s="256" t="s">
        <v>81</v>
      </c>
      <c r="FMN11" s="283"/>
      <c r="FMO11" s="259" t="s">
        <v>55</v>
      </c>
      <c r="FMP11" s="256" t="s">
        <v>76</v>
      </c>
      <c r="FMQ11" s="256" t="s">
        <v>77</v>
      </c>
      <c r="FMR11" s="256" t="s">
        <v>78</v>
      </c>
      <c r="FMS11" s="256" t="s">
        <v>79</v>
      </c>
      <c r="FMT11" s="256" t="s">
        <v>80</v>
      </c>
      <c r="FMU11" s="58" t="s">
        <v>81</v>
      </c>
      <c r="FMV11" s="284"/>
      <c r="FMW11" s="259" t="s">
        <v>55</v>
      </c>
      <c r="FMX11" s="256" t="s">
        <v>76</v>
      </c>
      <c r="FMY11" s="256" t="s">
        <v>77</v>
      </c>
      <c r="FMZ11" s="256" t="s">
        <v>78</v>
      </c>
      <c r="FNA11" s="256" t="s">
        <v>79</v>
      </c>
      <c r="FNB11" s="256" t="s">
        <v>80</v>
      </c>
      <c r="FNC11" s="256" t="s">
        <v>81</v>
      </c>
      <c r="FND11" s="283"/>
      <c r="FNE11" s="259" t="s">
        <v>55</v>
      </c>
      <c r="FNF11" s="256" t="s">
        <v>76</v>
      </c>
      <c r="FNG11" s="256" t="s">
        <v>77</v>
      </c>
      <c r="FNH11" s="256" t="s">
        <v>78</v>
      </c>
      <c r="FNI11" s="256" t="s">
        <v>79</v>
      </c>
      <c r="FNJ11" s="256" t="s">
        <v>80</v>
      </c>
      <c r="FNK11" s="58" t="s">
        <v>81</v>
      </c>
      <c r="FNL11" s="284"/>
      <c r="FNM11" s="259" t="s">
        <v>55</v>
      </c>
      <c r="FNN11" s="256" t="s">
        <v>76</v>
      </c>
      <c r="FNO11" s="256" t="s">
        <v>77</v>
      </c>
      <c r="FNP11" s="256" t="s">
        <v>78</v>
      </c>
      <c r="FNQ11" s="256" t="s">
        <v>79</v>
      </c>
      <c r="FNR11" s="256" t="s">
        <v>80</v>
      </c>
      <c r="FNS11" s="256" t="s">
        <v>81</v>
      </c>
      <c r="FNT11" s="283"/>
      <c r="FNU11" s="259" t="s">
        <v>55</v>
      </c>
      <c r="FNV11" s="256" t="s">
        <v>76</v>
      </c>
      <c r="FNW11" s="256" t="s">
        <v>77</v>
      </c>
      <c r="FNX11" s="256" t="s">
        <v>78</v>
      </c>
      <c r="FNY11" s="256" t="s">
        <v>79</v>
      </c>
      <c r="FNZ11" s="256" t="s">
        <v>80</v>
      </c>
      <c r="FOA11" s="58" t="s">
        <v>81</v>
      </c>
      <c r="FOB11" s="284"/>
      <c r="FOC11" s="259" t="s">
        <v>55</v>
      </c>
      <c r="FOD11" s="256" t="s">
        <v>76</v>
      </c>
      <c r="FOE11" s="256" t="s">
        <v>77</v>
      </c>
      <c r="FOF11" s="256" t="s">
        <v>78</v>
      </c>
      <c r="FOG11" s="256" t="s">
        <v>79</v>
      </c>
      <c r="FOH11" s="256" t="s">
        <v>80</v>
      </c>
      <c r="FOI11" s="256" t="s">
        <v>81</v>
      </c>
      <c r="FOJ11" s="283"/>
      <c r="FOK11" s="259" t="s">
        <v>55</v>
      </c>
      <c r="FOL11" s="256" t="s">
        <v>76</v>
      </c>
      <c r="FOM11" s="256" t="s">
        <v>77</v>
      </c>
      <c r="FON11" s="256" t="s">
        <v>78</v>
      </c>
      <c r="FOO11" s="256" t="s">
        <v>79</v>
      </c>
      <c r="FOP11" s="256" t="s">
        <v>80</v>
      </c>
      <c r="FOQ11" s="58" t="s">
        <v>81</v>
      </c>
      <c r="FOR11" s="284"/>
      <c r="FOS11" s="259" t="s">
        <v>55</v>
      </c>
      <c r="FOT11" s="256" t="s">
        <v>76</v>
      </c>
      <c r="FOU11" s="256" t="s">
        <v>77</v>
      </c>
      <c r="FOV11" s="256" t="s">
        <v>78</v>
      </c>
      <c r="FOW11" s="256" t="s">
        <v>79</v>
      </c>
      <c r="FOX11" s="256" t="s">
        <v>80</v>
      </c>
      <c r="FOY11" s="256" t="s">
        <v>81</v>
      </c>
      <c r="FOZ11" s="283"/>
      <c r="FPA11" s="259" t="s">
        <v>55</v>
      </c>
      <c r="FPB11" s="256" t="s">
        <v>76</v>
      </c>
      <c r="FPC11" s="256" t="s">
        <v>77</v>
      </c>
      <c r="FPD11" s="256" t="s">
        <v>78</v>
      </c>
      <c r="FPE11" s="256" t="s">
        <v>79</v>
      </c>
      <c r="FPF11" s="256" t="s">
        <v>80</v>
      </c>
      <c r="FPG11" s="58" t="s">
        <v>81</v>
      </c>
      <c r="FPH11" s="284"/>
      <c r="FPI11" s="259" t="s">
        <v>55</v>
      </c>
      <c r="FPJ11" s="256" t="s">
        <v>76</v>
      </c>
      <c r="FPK11" s="256" t="s">
        <v>77</v>
      </c>
      <c r="FPL11" s="256" t="s">
        <v>78</v>
      </c>
      <c r="FPM11" s="256" t="s">
        <v>79</v>
      </c>
      <c r="FPN11" s="256" t="s">
        <v>80</v>
      </c>
      <c r="FPO11" s="256" t="s">
        <v>81</v>
      </c>
      <c r="FPP11" s="283"/>
      <c r="FPQ11" s="259" t="s">
        <v>55</v>
      </c>
      <c r="FPR11" s="256" t="s">
        <v>76</v>
      </c>
      <c r="FPS11" s="256" t="s">
        <v>77</v>
      </c>
      <c r="FPT11" s="256" t="s">
        <v>78</v>
      </c>
      <c r="FPU11" s="256" t="s">
        <v>79</v>
      </c>
      <c r="FPV11" s="256" t="s">
        <v>80</v>
      </c>
      <c r="FPW11" s="58" t="s">
        <v>81</v>
      </c>
      <c r="FPX11" s="284"/>
      <c r="FPY11" s="259" t="s">
        <v>55</v>
      </c>
      <c r="FPZ11" s="256" t="s">
        <v>76</v>
      </c>
      <c r="FQA11" s="256" t="s">
        <v>77</v>
      </c>
      <c r="FQB11" s="256" t="s">
        <v>78</v>
      </c>
      <c r="FQC11" s="256" t="s">
        <v>79</v>
      </c>
      <c r="FQD11" s="256" t="s">
        <v>80</v>
      </c>
      <c r="FQE11" s="256" t="s">
        <v>81</v>
      </c>
      <c r="FQF11" s="283"/>
      <c r="FQG11" s="259" t="s">
        <v>55</v>
      </c>
      <c r="FQH11" s="256" t="s">
        <v>76</v>
      </c>
      <c r="FQI11" s="256" t="s">
        <v>77</v>
      </c>
      <c r="FQJ11" s="256" t="s">
        <v>78</v>
      </c>
      <c r="FQK11" s="256" t="s">
        <v>79</v>
      </c>
      <c r="FQL11" s="256" t="s">
        <v>80</v>
      </c>
      <c r="FQM11" s="58" t="s">
        <v>81</v>
      </c>
      <c r="FQN11" s="284"/>
      <c r="FQO11" s="259" t="s">
        <v>55</v>
      </c>
      <c r="FQP11" s="256" t="s">
        <v>76</v>
      </c>
      <c r="FQQ11" s="256" t="s">
        <v>77</v>
      </c>
      <c r="FQR11" s="256" t="s">
        <v>78</v>
      </c>
      <c r="FQS11" s="256" t="s">
        <v>79</v>
      </c>
      <c r="FQT11" s="256" t="s">
        <v>80</v>
      </c>
      <c r="FQU11" s="256" t="s">
        <v>81</v>
      </c>
      <c r="FQV11" s="283"/>
      <c r="FQW11" s="259" t="s">
        <v>55</v>
      </c>
      <c r="FQX11" s="256" t="s">
        <v>76</v>
      </c>
      <c r="FQY11" s="256" t="s">
        <v>77</v>
      </c>
      <c r="FQZ11" s="256" t="s">
        <v>78</v>
      </c>
      <c r="FRA11" s="256" t="s">
        <v>79</v>
      </c>
      <c r="FRB11" s="256" t="s">
        <v>80</v>
      </c>
      <c r="FRC11" s="58" t="s">
        <v>81</v>
      </c>
      <c r="FRD11" s="284"/>
      <c r="FRE11" s="259" t="s">
        <v>55</v>
      </c>
      <c r="FRF11" s="256" t="s">
        <v>76</v>
      </c>
      <c r="FRG11" s="256" t="s">
        <v>77</v>
      </c>
      <c r="FRH11" s="256" t="s">
        <v>78</v>
      </c>
      <c r="FRI11" s="256" t="s">
        <v>79</v>
      </c>
      <c r="FRJ11" s="256" t="s">
        <v>80</v>
      </c>
      <c r="FRK11" s="256" t="s">
        <v>81</v>
      </c>
      <c r="FRL11" s="283"/>
      <c r="FRM11" s="259" t="s">
        <v>55</v>
      </c>
      <c r="FRN11" s="256" t="s">
        <v>76</v>
      </c>
      <c r="FRO11" s="256" t="s">
        <v>77</v>
      </c>
      <c r="FRP11" s="256" t="s">
        <v>78</v>
      </c>
      <c r="FRQ11" s="256" t="s">
        <v>79</v>
      </c>
      <c r="FRR11" s="256" t="s">
        <v>80</v>
      </c>
      <c r="FRS11" s="58" t="s">
        <v>81</v>
      </c>
      <c r="FRT11" s="284"/>
      <c r="FRU11" s="259" t="s">
        <v>55</v>
      </c>
      <c r="FRV11" s="256" t="s">
        <v>76</v>
      </c>
      <c r="FRW11" s="256" t="s">
        <v>77</v>
      </c>
      <c r="FRX11" s="256" t="s">
        <v>78</v>
      </c>
      <c r="FRY11" s="256" t="s">
        <v>79</v>
      </c>
      <c r="FRZ11" s="256" t="s">
        <v>80</v>
      </c>
      <c r="FSA11" s="256" t="s">
        <v>81</v>
      </c>
      <c r="FSB11" s="283"/>
      <c r="FSC11" s="259" t="s">
        <v>55</v>
      </c>
      <c r="FSD11" s="256" t="s">
        <v>76</v>
      </c>
      <c r="FSE11" s="256" t="s">
        <v>77</v>
      </c>
      <c r="FSF11" s="256" t="s">
        <v>78</v>
      </c>
      <c r="FSG11" s="256" t="s">
        <v>79</v>
      </c>
      <c r="FSH11" s="256" t="s">
        <v>80</v>
      </c>
      <c r="FSI11" s="58" t="s">
        <v>81</v>
      </c>
      <c r="FSJ11" s="284"/>
      <c r="FSK11" s="259" t="s">
        <v>55</v>
      </c>
      <c r="FSL11" s="256" t="s">
        <v>76</v>
      </c>
      <c r="FSM11" s="256" t="s">
        <v>77</v>
      </c>
      <c r="FSN11" s="256" t="s">
        <v>78</v>
      </c>
      <c r="FSO11" s="256" t="s">
        <v>79</v>
      </c>
      <c r="FSP11" s="256" t="s">
        <v>80</v>
      </c>
      <c r="FSQ11" s="256" t="s">
        <v>81</v>
      </c>
      <c r="FSR11" s="283"/>
      <c r="FSS11" s="259" t="s">
        <v>55</v>
      </c>
      <c r="FST11" s="256" t="s">
        <v>76</v>
      </c>
      <c r="FSU11" s="256" t="s">
        <v>77</v>
      </c>
      <c r="FSV11" s="256" t="s">
        <v>78</v>
      </c>
      <c r="FSW11" s="256" t="s">
        <v>79</v>
      </c>
      <c r="FSX11" s="256" t="s">
        <v>80</v>
      </c>
      <c r="FSY11" s="58" t="s">
        <v>81</v>
      </c>
      <c r="FSZ11" s="284"/>
      <c r="FTA11" s="259" t="s">
        <v>55</v>
      </c>
      <c r="FTB11" s="256" t="s">
        <v>76</v>
      </c>
      <c r="FTC11" s="256" t="s">
        <v>77</v>
      </c>
      <c r="FTD11" s="256" t="s">
        <v>78</v>
      </c>
      <c r="FTE11" s="256" t="s">
        <v>79</v>
      </c>
      <c r="FTF11" s="256" t="s">
        <v>80</v>
      </c>
      <c r="FTG11" s="256" t="s">
        <v>81</v>
      </c>
      <c r="FTH11" s="283"/>
      <c r="FTI11" s="259" t="s">
        <v>55</v>
      </c>
      <c r="FTJ11" s="256" t="s">
        <v>76</v>
      </c>
      <c r="FTK11" s="256" t="s">
        <v>77</v>
      </c>
      <c r="FTL11" s="256" t="s">
        <v>78</v>
      </c>
      <c r="FTM11" s="256" t="s">
        <v>79</v>
      </c>
      <c r="FTN11" s="256" t="s">
        <v>80</v>
      </c>
      <c r="FTO11" s="58" t="s">
        <v>81</v>
      </c>
      <c r="FTP11" s="284"/>
      <c r="FTQ11" s="259" t="s">
        <v>55</v>
      </c>
      <c r="FTR11" s="256" t="s">
        <v>76</v>
      </c>
      <c r="FTS11" s="256" t="s">
        <v>77</v>
      </c>
      <c r="FTT11" s="256" t="s">
        <v>78</v>
      </c>
      <c r="FTU11" s="256" t="s">
        <v>79</v>
      </c>
      <c r="FTV11" s="256" t="s">
        <v>80</v>
      </c>
      <c r="FTW11" s="256" t="s">
        <v>81</v>
      </c>
      <c r="FTX11" s="283"/>
      <c r="FTY11" s="259" t="s">
        <v>55</v>
      </c>
      <c r="FTZ11" s="256" t="s">
        <v>76</v>
      </c>
      <c r="FUA11" s="256" t="s">
        <v>77</v>
      </c>
      <c r="FUB11" s="256" t="s">
        <v>78</v>
      </c>
      <c r="FUC11" s="256" t="s">
        <v>79</v>
      </c>
      <c r="FUD11" s="256" t="s">
        <v>80</v>
      </c>
      <c r="FUE11" s="58" t="s">
        <v>81</v>
      </c>
      <c r="FUF11" s="284"/>
      <c r="FUG11" s="259" t="s">
        <v>55</v>
      </c>
      <c r="FUH11" s="256" t="s">
        <v>76</v>
      </c>
      <c r="FUI11" s="256" t="s">
        <v>77</v>
      </c>
      <c r="FUJ11" s="256" t="s">
        <v>78</v>
      </c>
      <c r="FUK11" s="256" t="s">
        <v>79</v>
      </c>
      <c r="FUL11" s="256" t="s">
        <v>80</v>
      </c>
      <c r="FUM11" s="256" t="s">
        <v>81</v>
      </c>
      <c r="FUN11" s="283"/>
      <c r="FUO11" s="259" t="s">
        <v>55</v>
      </c>
      <c r="FUP11" s="256" t="s">
        <v>76</v>
      </c>
      <c r="FUQ11" s="256" t="s">
        <v>77</v>
      </c>
      <c r="FUR11" s="256" t="s">
        <v>78</v>
      </c>
      <c r="FUS11" s="256" t="s">
        <v>79</v>
      </c>
      <c r="FUT11" s="256" t="s">
        <v>80</v>
      </c>
      <c r="FUU11" s="58" t="s">
        <v>81</v>
      </c>
      <c r="FUV11" s="284"/>
      <c r="FUW11" s="259" t="s">
        <v>55</v>
      </c>
      <c r="FUX11" s="256" t="s">
        <v>76</v>
      </c>
      <c r="FUY11" s="256" t="s">
        <v>77</v>
      </c>
      <c r="FUZ11" s="256" t="s">
        <v>78</v>
      </c>
      <c r="FVA11" s="256" t="s">
        <v>79</v>
      </c>
      <c r="FVB11" s="256" t="s">
        <v>80</v>
      </c>
      <c r="FVC11" s="256" t="s">
        <v>81</v>
      </c>
      <c r="FVD11" s="283"/>
      <c r="FVE11" s="259" t="s">
        <v>55</v>
      </c>
      <c r="FVF11" s="256" t="s">
        <v>76</v>
      </c>
      <c r="FVG11" s="256" t="s">
        <v>77</v>
      </c>
      <c r="FVH11" s="256" t="s">
        <v>78</v>
      </c>
      <c r="FVI11" s="256" t="s">
        <v>79</v>
      </c>
      <c r="FVJ11" s="256" t="s">
        <v>80</v>
      </c>
      <c r="FVK11" s="58" t="s">
        <v>81</v>
      </c>
      <c r="FVL11" s="284"/>
      <c r="FVM11" s="259" t="s">
        <v>55</v>
      </c>
      <c r="FVN11" s="256" t="s">
        <v>76</v>
      </c>
      <c r="FVO11" s="256" t="s">
        <v>77</v>
      </c>
      <c r="FVP11" s="256" t="s">
        <v>78</v>
      </c>
      <c r="FVQ11" s="256" t="s">
        <v>79</v>
      </c>
      <c r="FVR11" s="256" t="s">
        <v>80</v>
      </c>
      <c r="FVS11" s="256" t="s">
        <v>81</v>
      </c>
      <c r="FVT11" s="283"/>
      <c r="FVU11" s="259" t="s">
        <v>55</v>
      </c>
      <c r="FVV11" s="256" t="s">
        <v>76</v>
      </c>
      <c r="FVW11" s="256" t="s">
        <v>77</v>
      </c>
      <c r="FVX11" s="256" t="s">
        <v>78</v>
      </c>
      <c r="FVY11" s="256" t="s">
        <v>79</v>
      </c>
      <c r="FVZ11" s="256" t="s">
        <v>80</v>
      </c>
      <c r="FWA11" s="58" t="s">
        <v>81</v>
      </c>
      <c r="FWB11" s="284"/>
      <c r="FWC11" s="259" t="s">
        <v>55</v>
      </c>
      <c r="FWD11" s="256" t="s">
        <v>76</v>
      </c>
      <c r="FWE11" s="256" t="s">
        <v>77</v>
      </c>
      <c r="FWF11" s="256" t="s">
        <v>78</v>
      </c>
      <c r="FWG11" s="256" t="s">
        <v>79</v>
      </c>
      <c r="FWH11" s="256" t="s">
        <v>80</v>
      </c>
      <c r="FWI11" s="256" t="s">
        <v>81</v>
      </c>
      <c r="FWJ11" s="283"/>
      <c r="FWK11" s="259" t="s">
        <v>55</v>
      </c>
      <c r="FWL11" s="256" t="s">
        <v>76</v>
      </c>
      <c r="FWM11" s="256" t="s">
        <v>77</v>
      </c>
      <c r="FWN11" s="256" t="s">
        <v>78</v>
      </c>
      <c r="FWO11" s="256" t="s">
        <v>79</v>
      </c>
      <c r="FWP11" s="256" t="s">
        <v>80</v>
      </c>
      <c r="FWQ11" s="58" t="s">
        <v>81</v>
      </c>
      <c r="FWR11" s="284"/>
      <c r="FWS11" s="259" t="s">
        <v>55</v>
      </c>
      <c r="FWT11" s="256" t="s">
        <v>76</v>
      </c>
      <c r="FWU11" s="256" t="s">
        <v>77</v>
      </c>
      <c r="FWV11" s="256" t="s">
        <v>78</v>
      </c>
      <c r="FWW11" s="256" t="s">
        <v>79</v>
      </c>
      <c r="FWX11" s="256" t="s">
        <v>80</v>
      </c>
      <c r="FWY11" s="256" t="s">
        <v>81</v>
      </c>
      <c r="FWZ11" s="283"/>
      <c r="FXA11" s="259" t="s">
        <v>55</v>
      </c>
      <c r="FXB11" s="256" t="s">
        <v>76</v>
      </c>
      <c r="FXC11" s="256" t="s">
        <v>77</v>
      </c>
      <c r="FXD11" s="256" t="s">
        <v>78</v>
      </c>
      <c r="FXE11" s="256" t="s">
        <v>79</v>
      </c>
      <c r="FXF11" s="256" t="s">
        <v>80</v>
      </c>
      <c r="FXG11" s="58" t="s">
        <v>81</v>
      </c>
      <c r="FXH11" s="284"/>
      <c r="FXI11" s="259" t="s">
        <v>55</v>
      </c>
      <c r="FXJ11" s="256" t="s">
        <v>76</v>
      </c>
      <c r="FXK11" s="256" t="s">
        <v>77</v>
      </c>
      <c r="FXL11" s="256" t="s">
        <v>78</v>
      </c>
      <c r="FXM11" s="256" t="s">
        <v>79</v>
      </c>
      <c r="FXN11" s="256" t="s">
        <v>80</v>
      </c>
      <c r="FXO11" s="256" t="s">
        <v>81</v>
      </c>
      <c r="FXP11" s="283"/>
      <c r="FXQ11" s="259" t="s">
        <v>55</v>
      </c>
      <c r="FXR11" s="256" t="s">
        <v>76</v>
      </c>
      <c r="FXS11" s="256" t="s">
        <v>77</v>
      </c>
      <c r="FXT11" s="256" t="s">
        <v>78</v>
      </c>
      <c r="FXU11" s="256" t="s">
        <v>79</v>
      </c>
      <c r="FXV11" s="256" t="s">
        <v>80</v>
      </c>
      <c r="FXW11" s="58" t="s">
        <v>81</v>
      </c>
      <c r="FXX11" s="284"/>
      <c r="FXY11" s="259" t="s">
        <v>55</v>
      </c>
      <c r="FXZ11" s="256" t="s">
        <v>76</v>
      </c>
      <c r="FYA11" s="256" t="s">
        <v>77</v>
      </c>
      <c r="FYB11" s="256" t="s">
        <v>78</v>
      </c>
      <c r="FYC11" s="256" t="s">
        <v>79</v>
      </c>
      <c r="FYD11" s="256" t="s">
        <v>80</v>
      </c>
      <c r="FYE11" s="256" t="s">
        <v>81</v>
      </c>
      <c r="FYF11" s="283"/>
      <c r="FYG11" s="259" t="s">
        <v>55</v>
      </c>
      <c r="FYH11" s="256" t="s">
        <v>76</v>
      </c>
      <c r="FYI11" s="256" t="s">
        <v>77</v>
      </c>
      <c r="FYJ11" s="256" t="s">
        <v>78</v>
      </c>
      <c r="FYK11" s="256" t="s">
        <v>79</v>
      </c>
      <c r="FYL11" s="256" t="s">
        <v>80</v>
      </c>
      <c r="FYM11" s="58" t="s">
        <v>81</v>
      </c>
      <c r="FYN11" s="284"/>
      <c r="FYO11" s="259" t="s">
        <v>55</v>
      </c>
      <c r="FYP11" s="256" t="s">
        <v>76</v>
      </c>
      <c r="FYQ11" s="256" t="s">
        <v>77</v>
      </c>
      <c r="FYR11" s="256" t="s">
        <v>78</v>
      </c>
      <c r="FYS11" s="256" t="s">
        <v>79</v>
      </c>
      <c r="FYT11" s="256" t="s">
        <v>80</v>
      </c>
      <c r="FYU11" s="256" t="s">
        <v>81</v>
      </c>
      <c r="FYV11" s="283"/>
      <c r="FYW11" s="259" t="s">
        <v>55</v>
      </c>
      <c r="FYX11" s="256" t="s">
        <v>76</v>
      </c>
      <c r="FYY11" s="256" t="s">
        <v>77</v>
      </c>
      <c r="FYZ11" s="256" t="s">
        <v>78</v>
      </c>
      <c r="FZA11" s="256" t="s">
        <v>79</v>
      </c>
      <c r="FZB11" s="256" t="s">
        <v>80</v>
      </c>
      <c r="FZC11" s="58" t="s">
        <v>81</v>
      </c>
      <c r="FZD11" s="284"/>
      <c r="FZE11" s="259" t="s">
        <v>55</v>
      </c>
      <c r="FZF11" s="256" t="s">
        <v>76</v>
      </c>
      <c r="FZG11" s="256" t="s">
        <v>77</v>
      </c>
      <c r="FZH11" s="256" t="s">
        <v>78</v>
      </c>
      <c r="FZI11" s="256" t="s">
        <v>79</v>
      </c>
      <c r="FZJ11" s="256" t="s">
        <v>80</v>
      </c>
      <c r="FZK11" s="256" t="s">
        <v>81</v>
      </c>
      <c r="FZL11" s="283"/>
      <c r="FZM11" s="259" t="s">
        <v>55</v>
      </c>
      <c r="FZN11" s="256" t="s">
        <v>76</v>
      </c>
      <c r="FZO11" s="256" t="s">
        <v>77</v>
      </c>
      <c r="FZP11" s="256" t="s">
        <v>78</v>
      </c>
      <c r="FZQ11" s="256" t="s">
        <v>79</v>
      </c>
      <c r="FZR11" s="256" t="s">
        <v>80</v>
      </c>
      <c r="FZS11" s="58" t="s">
        <v>81</v>
      </c>
      <c r="FZT11" s="284"/>
      <c r="FZU11" s="259" t="s">
        <v>55</v>
      </c>
      <c r="FZV11" s="256" t="s">
        <v>76</v>
      </c>
      <c r="FZW11" s="256" t="s">
        <v>77</v>
      </c>
      <c r="FZX11" s="256" t="s">
        <v>78</v>
      </c>
      <c r="FZY11" s="256" t="s">
        <v>79</v>
      </c>
      <c r="FZZ11" s="256" t="s">
        <v>80</v>
      </c>
      <c r="GAA11" s="256" t="s">
        <v>81</v>
      </c>
      <c r="GAB11" s="283"/>
      <c r="GAC11" s="259" t="s">
        <v>55</v>
      </c>
      <c r="GAD11" s="256" t="s">
        <v>76</v>
      </c>
      <c r="GAE11" s="256" t="s">
        <v>77</v>
      </c>
      <c r="GAF11" s="256" t="s">
        <v>78</v>
      </c>
      <c r="GAG11" s="256" t="s">
        <v>79</v>
      </c>
      <c r="GAH11" s="256" t="s">
        <v>80</v>
      </c>
      <c r="GAI11" s="58" t="s">
        <v>81</v>
      </c>
      <c r="GAJ11" s="284"/>
      <c r="GAK11" s="259" t="s">
        <v>55</v>
      </c>
      <c r="GAL11" s="256" t="s">
        <v>76</v>
      </c>
      <c r="GAM11" s="256" t="s">
        <v>77</v>
      </c>
      <c r="GAN11" s="256" t="s">
        <v>78</v>
      </c>
      <c r="GAO11" s="256" t="s">
        <v>79</v>
      </c>
      <c r="GAP11" s="256" t="s">
        <v>80</v>
      </c>
      <c r="GAQ11" s="256" t="s">
        <v>81</v>
      </c>
      <c r="GAR11" s="283"/>
      <c r="GAS11" s="259" t="s">
        <v>55</v>
      </c>
      <c r="GAT11" s="256" t="s">
        <v>76</v>
      </c>
      <c r="GAU11" s="256" t="s">
        <v>77</v>
      </c>
      <c r="GAV11" s="256" t="s">
        <v>78</v>
      </c>
      <c r="GAW11" s="256" t="s">
        <v>79</v>
      </c>
      <c r="GAX11" s="256" t="s">
        <v>80</v>
      </c>
      <c r="GAY11" s="58" t="s">
        <v>81</v>
      </c>
      <c r="GAZ11" s="284"/>
      <c r="GBA11" s="259" t="s">
        <v>55</v>
      </c>
      <c r="GBB11" s="256" t="s">
        <v>76</v>
      </c>
      <c r="GBC11" s="256" t="s">
        <v>77</v>
      </c>
      <c r="GBD11" s="256" t="s">
        <v>78</v>
      </c>
      <c r="GBE11" s="256" t="s">
        <v>79</v>
      </c>
      <c r="GBF11" s="256" t="s">
        <v>80</v>
      </c>
      <c r="GBG11" s="256" t="s">
        <v>81</v>
      </c>
      <c r="GBH11" s="283"/>
      <c r="GBI11" s="259" t="s">
        <v>55</v>
      </c>
      <c r="GBJ11" s="256" t="s">
        <v>76</v>
      </c>
      <c r="GBK11" s="256" t="s">
        <v>77</v>
      </c>
      <c r="GBL11" s="256" t="s">
        <v>78</v>
      </c>
      <c r="GBM11" s="256" t="s">
        <v>79</v>
      </c>
      <c r="GBN11" s="256" t="s">
        <v>80</v>
      </c>
      <c r="GBO11" s="58" t="s">
        <v>81</v>
      </c>
      <c r="GBP11" s="284"/>
      <c r="GBQ11" s="259" t="s">
        <v>55</v>
      </c>
      <c r="GBR11" s="256" t="s">
        <v>76</v>
      </c>
      <c r="GBS11" s="256" t="s">
        <v>77</v>
      </c>
      <c r="GBT11" s="256" t="s">
        <v>78</v>
      </c>
      <c r="GBU11" s="256" t="s">
        <v>79</v>
      </c>
      <c r="GBV11" s="256" t="s">
        <v>80</v>
      </c>
      <c r="GBW11" s="256" t="s">
        <v>81</v>
      </c>
      <c r="GBX11" s="283"/>
      <c r="GBY11" s="259" t="s">
        <v>55</v>
      </c>
      <c r="GBZ11" s="256" t="s">
        <v>76</v>
      </c>
      <c r="GCA11" s="256" t="s">
        <v>77</v>
      </c>
      <c r="GCB11" s="256" t="s">
        <v>78</v>
      </c>
      <c r="GCC11" s="256" t="s">
        <v>79</v>
      </c>
      <c r="GCD11" s="256" t="s">
        <v>80</v>
      </c>
      <c r="GCE11" s="58" t="s">
        <v>81</v>
      </c>
      <c r="GCF11" s="284"/>
      <c r="GCG11" s="259" t="s">
        <v>55</v>
      </c>
      <c r="GCH11" s="256" t="s">
        <v>76</v>
      </c>
      <c r="GCI11" s="256" t="s">
        <v>77</v>
      </c>
      <c r="GCJ11" s="256" t="s">
        <v>78</v>
      </c>
      <c r="GCK11" s="256" t="s">
        <v>79</v>
      </c>
      <c r="GCL11" s="256" t="s">
        <v>80</v>
      </c>
      <c r="GCM11" s="256" t="s">
        <v>81</v>
      </c>
      <c r="GCN11" s="283"/>
      <c r="GCO11" s="259" t="s">
        <v>55</v>
      </c>
      <c r="GCP11" s="256" t="s">
        <v>76</v>
      </c>
      <c r="GCQ11" s="256" t="s">
        <v>77</v>
      </c>
      <c r="GCR11" s="256" t="s">
        <v>78</v>
      </c>
      <c r="GCS11" s="256" t="s">
        <v>79</v>
      </c>
      <c r="GCT11" s="256" t="s">
        <v>80</v>
      </c>
      <c r="GCU11" s="58" t="s">
        <v>81</v>
      </c>
      <c r="GCV11" s="284"/>
      <c r="GCW11" s="259" t="s">
        <v>55</v>
      </c>
      <c r="GCX11" s="256" t="s">
        <v>76</v>
      </c>
      <c r="GCY11" s="256" t="s">
        <v>77</v>
      </c>
      <c r="GCZ11" s="256" t="s">
        <v>78</v>
      </c>
      <c r="GDA11" s="256" t="s">
        <v>79</v>
      </c>
      <c r="GDB11" s="256" t="s">
        <v>80</v>
      </c>
      <c r="GDC11" s="256" t="s">
        <v>81</v>
      </c>
      <c r="GDD11" s="283"/>
      <c r="GDE11" s="259" t="s">
        <v>55</v>
      </c>
      <c r="GDF11" s="256" t="s">
        <v>76</v>
      </c>
      <c r="GDG11" s="256" t="s">
        <v>77</v>
      </c>
      <c r="GDH11" s="256" t="s">
        <v>78</v>
      </c>
      <c r="GDI11" s="256" t="s">
        <v>79</v>
      </c>
      <c r="GDJ11" s="256" t="s">
        <v>80</v>
      </c>
      <c r="GDK11" s="58" t="s">
        <v>81</v>
      </c>
      <c r="GDL11" s="284"/>
      <c r="GDM11" s="259" t="s">
        <v>55</v>
      </c>
      <c r="GDN11" s="256" t="s">
        <v>76</v>
      </c>
      <c r="GDO11" s="256" t="s">
        <v>77</v>
      </c>
      <c r="GDP11" s="256" t="s">
        <v>78</v>
      </c>
      <c r="GDQ11" s="256" t="s">
        <v>79</v>
      </c>
      <c r="GDR11" s="256" t="s">
        <v>80</v>
      </c>
      <c r="GDS11" s="256" t="s">
        <v>81</v>
      </c>
      <c r="GDT11" s="283"/>
      <c r="GDU11" s="259" t="s">
        <v>55</v>
      </c>
      <c r="GDV11" s="256" t="s">
        <v>76</v>
      </c>
      <c r="GDW11" s="256" t="s">
        <v>77</v>
      </c>
      <c r="GDX11" s="256" t="s">
        <v>78</v>
      </c>
      <c r="GDY11" s="256" t="s">
        <v>79</v>
      </c>
      <c r="GDZ11" s="256" t="s">
        <v>80</v>
      </c>
      <c r="GEA11" s="58" t="s">
        <v>81</v>
      </c>
      <c r="GEB11" s="284"/>
      <c r="GEC11" s="259" t="s">
        <v>55</v>
      </c>
      <c r="GED11" s="256" t="s">
        <v>76</v>
      </c>
      <c r="GEE11" s="256" t="s">
        <v>77</v>
      </c>
      <c r="GEF11" s="256" t="s">
        <v>78</v>
      </c>
      <c r="GEG11" s="256" t="s">
        <v>79</v>
      </c>
      <c r="GEH11" s="256" t="s">
        <v>80</v>
      </c>
      <c r="GEI11" s="256" t="s">
        <v>81</v>
      </c>
      <c r="GEJ11" s="283"/>
      <c r="GEK11" s="259" t="s">
        <v>55</v>
      </c>
      <c r="GEL11" s="256" t="s">
        <v>76</v>
      </c>
      <c r="GEM11" s="256" t="s">
        <v>77</v>
      </c>
      <c r="GEN11" s="256" t="s">
        <v>78</v>
      </c>
      <c r="GEO11" s="256" t="s">
        <v>79</v>
      </c>
      <c r="GEP11" s="256" t="s">
        <v>80</v>
      </c>
      <c r="GEQ11" s="58" t="s">
        <v>81</v>
      </c>
      <c r="GER11" s="284"/>
      <c r="GES11" s="259" t="s">
        <v>55</v>
      </c>
      <c r="GET11" s="256" t="s">
        <v>76</v>
      </c>
      <c r="GEU11" s="256" t="s">
        <v>77</v>
      </c>
      <c r="GEV11" s="256" t="s">
        <v>78</v>
      </c>
      <c r="GEW11" s="256" t="s">
        <v>79</v>
      </c>
      <c r="GEX11" s="256" t="s">
        <v>80</v>
      </c>
      <c r="GEY11" s="256" t="s">
        <v>81</v>
      </c>
      <c r="GEZ11" s="283"/>
      <c r="GFA11" s="259" t="s">
        <v>55</v>
      </c>
      <c r="GFB11" s="256" t="s">
        <v>76</v>
      </c>
      <c r="GFC11" s="256" t="s">
        <v>77</v>
      </c>
      <c r="GFD11" s="256" t="s">
        <v>78</v>
      </c>
      <c r="GFE11" s="256" t="s">
        <v>79</v>
      </c>
      <c r="GFF11" s="256" t="s">
        <v>80</v>
      </c>
      <c r="GFG11" s="58" t="s">
        <v>81</v>
      </c>
      <c r="GFH11" s="284"/>
      <c r="GFI11" s="259" t="s">
        <v>55</v>
      </c>
      <c r="GFJ11" s="256" t="s">
        <v>76</v>
      </c>
      <c r="GFK11" s="256" t="s">
        <v>77</v>
      </c>
      <c r="GFL11" s="256" t="s">
        <v>78</v>
      </c>
      <c r="GFM11" s="256" t="s">
        <v>79</v>
      </c>
      <c r="GFN11" s="256" t="s">
        <v>80</v>
      </c>
      <c r="GFO11" s="256" t="s">
        <v>81</v>
      </c>
      <c r="GFP11" s="283"/>
      <c r="GFQ11" s="259" t="s">
        <v>55</v>
      </c>
      <c r="GFR11" s="256" t="s">
        <v>76</v>
      </c>
      <c r="GFS11" s="256" t="s">
        <v>77</v>
      </c>
      <c r="GFT11" s="256" t="s">
        <v>78</v>
      </c>
      <c r="GFU11" s="256" t="s">
        <v>79</v>
      </c>
      <c r="GFV11" s="256" t="s">
        <v>80</v>
      </c>
      <c r="GFW11" s="58" t="s">
        <v>81</v>
      </c>
      <c r="GFX11" s="284"/>
      <c r="GFY11" s="259" t="s">
        <v>55</v>
      </c>
      <c r="GFZ11" s="256" t="s">
        <v>76</v>
      </c>
      <c r="GGA11" s="256" t="s">
        <v>77</v>
      </c>
      <c r="GGB11" s="256" t="s">
        <v>78</v>
      </c>
      <c r="GGC11" s="256" t="s">
        <v>79</v>
      </c>
      <c r="GGD11" s="256" t="s">
        <v>80</v>
      </c>
      <c r="GGE11" s="256" t="s">
        <v>81</v>
      </c>
      <c r="GGF11" s="283"/>
      <c r="GGG11" s="259" t="s">
        <v>55</v>
      </c>
      <c r="GGH11" s="256" t="s">
        <v>76</v>
      </c>
      <c r="GGI11" s="256" t="s">
        <v>77</v>
      </c>
      <c r="GGJ11" s="256" t="s">
        <v>78</v>
      </c>
      <c r="GGK11" s="256" t="s">
        <v>79</v>
      </c>
      <c r="GGL11" s="256" t="s">
        <v>80</v>
      </c>
      <c r="GGM11" s="58" t="s">
        <v>81</v>
      </c>
      <c r="GGN11" s="284"/>
      <c r="GGO11" s="259" t="s">
        <v>55</v>
      </c>
      <c r="GGP11" s="256" t="s">
        <v>76</v>
      </c>
      <c r="GGQ11" s="256" t="s">
        <v>77</v>
      </c>
      <c r="GGR11" s="256" t="s">
        <v>78</v>
      </c>
      <c r="GGS11" s="256" t="s">
        <v>79</v>
      </c>
      <c r="GGT11" s="256" t="s">
        <v>80</v>
      </c>
      <c r="GGU11" s="256" t="s">
        <v>81</v>
      </c>
      <c r="GGV11" s="283"/>
      <c r="GGW11" s="259" t="s">
        <v>55</v>
      </c>
      <c r="GGX11" s="256" t="s">
        <v>76</v>
      </c>
      <c r="GGY11" s="256" t="s">
        <v>77</v>
      </c>
      <c r="GGZ11" s="256" t="s">
        <v>78</v>
      </c>
      <c r="GHA11" s="256" t="s">
        <v>79</v>
      </c>
      <c r="GHB11" s="256" t="s">
        <v>80</v>
      </c>
      <c r="GHC11" s="58" t="s">
        <v>81</v>
      </c>
      <c r="GHD11" s="284"/>
      <c r="GHE11" s="259" t="s">
        <v>55</v>
      </c>
      <c r="GHF11" s="256" t="s">
        <v>76</v>
      </c>
      <c r="GHG11" s="256" t="s">
        <v>77</v>
      </c>
      <c r="GHH11" s="256" t="s">
        <v>78</v>
      </c>
      <c r="GHI11" s="256" t="s">
        <v>79</v>
      </c>
      <c r="GHJ11" s="256" t="s">
        <v>80</v>
      </c>
      <c r="GHK11" s="256" t="s">
        <v>81</v>
      </c>
      <c r="GHL11" s="283"/>
      <c r="GHM11" s="259" t="s">
        <v>55</v>
      </c>
      <c r="GHN11" s="256" t="s">
        <v>76</v>
      </c>
      <c r="GHO11" s="256" t="s">
        <v>77</v>
      </c>
      <c r="GHP11" s="256" t="s">
        <v>78</v>
      </c>
      <c r="GHQ11" s="256" t="s">
        <v>79</v>
      </c>
      <c r="GHR11" s="256" t="s">
        <v>80</v>
      </c>
      <c r="GHS11" s="58" t="s">
        <v>81</v>
      </c>
      <c r="GHT11" s="284"/>
      <c r="GHU11" s="259" t="s">
        <v>55</v>
      </c>
      <c r="GHV11" s="256" t="s">
        <v>76</v>
      </c>
      <c r="GHW11" s="256" t="s">
        <v>77</v>
      </c>
      <c r="GHX11" s="256" t="s">
        <v>78</v>
      </c>
      <c r="GHY11" s="256" t="s">
        <v>79</v>
      </c>
      <c r="GHZ11" s="256" t="s">
        <v>80</v>
      </c>
      <c r="GIA11" s="256" t="s">
        <v>81</v>
      </c>
      <c r="GIB11" s="283"/>
      <c r="GIC11" s="259" t="s">
        <v>55</v>
      </c>
      <c r="GID11" s="256" t="s">
        <v>76</v>
      </c>
      <c r="GIE11" s="256" t="s">
        <v>77</v>
      </c>
      <c r="GIF11" s="256" t="s">
        <v>78</v>
      </c>
      <c r="GIG11" s="256" t="s">
        <v>79</v>
      </c>
      <c r="GIH11" s="256" t="s">
        <v>80</v>
      </c>
      <c r="GII11" s="58" t="s">
        <v>81</v>
      </c>
      <c r="GIJ11" s="284"/>
      <c r="GIK11" s="259" t="s">
        <v>55</v>
      </c>
      <c r="GIL11" s="256" t="s">
        <v>76</v>
      </c>
      <c r="GIM11" s="256" t="s">
        <v>77</v>
      </c>
      <c r="GIN11" s="256" t="s">
        <v>78</v>
      </c>
      <c r="GIO11" s="256" t="s">
        <v>79</v>
      </c>
      <c r="GIP11" s="256" t="s">
        <v>80</v>
      </c>
      <c r="GIQ11" s="256" t="s">
        <v>81</v>
      </c>
      <c r="GIR11" s="283"/>
      <c r="GIS11" s="259" t="s">
        <v>55</v>
      </c>
      <c r="GIT11" s="256" t="s">
        <v>76</v>
      </c>
      <c r="GIU11" s="256" t="s">
        <v>77</v>
      </c>
      <c r="GIV11" s="256" t="s">
        <v>78</v>
      </c>
      <c r="GIW11" s="256" t="s">
        <v>79</v>
      </c>
      <c r="GIX11" s="256" t="s">
        <v>80</v>
      </c>
      <c r="GIY11" s="58" t="s">
        <v>81</v>
      </c>
      <c r="GIZ11" s="284"/>
      <c r="GJA11" s="259" t="s">
        <v>55</v>
      </c>
      <c r="GJB11" s="256" t="s">
        <v>76</v>
      </c>
      <c r="GJC11" s="256" t="s">
        <v>77</v>
      </c>
      <c r="GJD11" s="256" t="s">
        <v>78</v>
      </c>
      <c r="GJE11" s="256" t="s">
        <v>79</v>
      </c>
      <c r="GJF11" s="256" t="s">
        <v>80</v>
      </c>
      <c r="GJG11" s="256" t="s">
        <v>81</v>
      </c>
      <c r="GJH11" s="283"/>
      <c r="GJI11" s="259" t="s">
        <v>55</v>
      </c>
      <c r="GJJ11" s="256" t="s">
        <v>76</v>
      </c>
      <c r="GJK11" s="256" t="s">
        <v>77</v>
      </c>
      <c r="GJL11" s="256" t="s">
        <v>78</v>
      </c>
      <c r="GJM11" s="256" t="s">
        <v>79</v>
      </c>
      <c r="GJN11" s="256" t="s">
        <v>80</v>
      </c>
      <c r="GJO11" s="58" t="s">
        <v>81</v>
      </c>
      <c r="GJP11" s="284"/>
      <c r="GJQ11" s="259" t="s">
        <v>55</v>
      </c>
      <c r="GJR11" s="256" t="s">
        <v>76</v>
      </c>
      <c r="GJS11" s="256" t="s">
        <v>77</v>
      </c>
      <c r="GJT11" s="256" t="s">
        <v>78</v>
      </c>
      <c r="GJU11" s="256" t="s">
        <v>79</v>
      </c>
      <c r="GJV11" s="256" t="s">
        <v>80</v>
      </c>
      <c r="GJW11" s="256" t="s">
        <v>81</v>
      </c>
      <c r="GJX11" s="283"/>
      <c r="GJY11" s="259" t="s">
        <v>55</v>
      </c>
      <c r="GJZ11" s="256" t="s">
        <v>76</v>
      </c>
      <c r="GKA11" s="256" t="s">
        <v>77</v>
      </c>
      <c r="GKB11" s="256" t="s">
        <v>78</v>
      </c>
      <c r="GKC11" s="256" t="s">
        <v>79</v>
      </c>
      <c r="GKD11" s="256" t="s">
        <v>80</v>
      </c>
      <c r="GKE11" s="58" t="s">
        <v>81</v>
      </c>
      <c r="GKF11" s="284"/>
      <c r="GKG11" s="259" t="s">
        <v>55</v>
      </c>
      <c r="GKH11" s="256" t="s">
        <v>76</v>
      </c>
      <c r="GKI11" s="256" t="s">
        <v>77</v>
      </c>
      <c r="GKJ11" s="256" t="s">
        <v>78</v>
      </c>
      <c r="GKK11" s="256" t="s">
        <v>79</v>
      </c>
      <c r="GKL11" s="256" t="s">
        <v>80</v>
      </c>
      <c r="GKM11" s="256" t="s">
        <v>81</v>
      </c>
      <c r="GKN11" s="283"/>
      <c r="GKO11" s="259" t="s">
        <v>55</v>
      </c>
      <c r="GKP11" s="256" t="s">
        <v>76</v>
      </c>
      <c r="GKQ11" s="256" t="s">
        <v>77</v>
      </c>
      <c r="GKR11" s="256" t="s">
        <v>78</v>
      </c>
      <c r="GKS11" s="256" t="s">
        <v>79</v>
      </c>
      <c r="GKT11" s="256" t="s">
        <v>80</v>
      </c>
      <c r="GKU11" s="58" t="s">
        <v>81</v>
      </c>
      <c r="GKV11" s="284"/>
      <c r="GKW11" s="259" t="s">
        <v>55</v>
      </c>
      <c r="GKX11" s="256" t="s">
        <v>76</v>
      </c>
      <c r="GKY11" s="256" t="s">
        <v>77</v>
      </c>
      <c r="GKZ11" s="256" t="s">
        <v>78</v>
      </c>
      <c r="GLA11" s="256" t="s">
        <v>79</v>
      </c>
      <c r="GLB11" s="256" t="s">
        <v>80</v>
      </c>
      <c r="GLC11" s="256" t="s">
        <v>81</v>
      </c>
      <c r="GLD11" s="283"/>
      <c r="GLE11" s="259" t="s">
        <v>55</v>
      </c>
      <c r="GLF11" s="256" t="s">
        <v>76</v>
      </c>
      <c r="GLG11" s="256" t="s">
        <v>77</v>
      </c>
      <c r="GLH11" s="256" t="s">
        <v>78</v>
      </c>
      <c r="GLI11" s="256" t="s">
        <v>79</v>
      </c>
      <c r="GLJ11" s="256" t="s">
        <v>80</v>
      </c>
      <c r="GLK11" s="58" t="s">
        <v>81</v>
      </c>
      <c r="GLL11" s="284"/>
      <c r="GLM11" s="259" t="s">
        <v>55</v>
      </c>
      <c r="GLN11" s="256" t="s">
        <v>76</v>
      </c>
      <c r="GLO11" s="256" t="s">
        <v>77</v>
      </c>
      <c r="GLP11" s="256" t="s">
        <v>78</v>
      </c>
      <c r="GLQ11" s="256" t="s">
        <v>79</v>
      </c>
      <c r="GLR11" s="256" t="s">
        <v>80</v>
      </c>
      <c r="GLS11" s="256" t="s">
        <v>81</v>
      </c>
      <c r="GLT11" s="283"/>
      <c r="GLU11" s="259" t="s">
        <v>55</v>
      </c>
      <c r="GLV11" s="256" t="s">
        <v>76</v>
      </c>
      <c r="GLW11" s="256" t="s">
        <v>77</v>
      </c>
      <c r="GLX11" s="256" t="s">
        <v>78</v>
      </c>
      <c r="GLY11" s="256" t="s">
        <v>79</v>
      </c>
      <c r="GLZ11" s="256" t="s">
        <v>80</v>
      </c>
      <c r="GMA11" s="58" t="s">
        <v>81</v>
      </c>
      <c r="GMB11" s="284"/>
      <c r="GMC11" s="259" t="s">
        <v>55</v>
      </c>
      <c r="GMD11" s="256" t="s">
        <v>76</v>
      </c>
      <c r="GME11" s="256" t="s">
        <v>77</v>
      </c>
      <c r="GMF11" s="256" t="s">
        <v>78</v>
      </c>
      <c r="GMG11" s="256" t="s">
        <v>79</v>
      </c>
      <c r="GMH11" s="256" t="s">
        <v>80</v>
      </c>
      <c r="GMI11" s="256" t="s">
        <v>81</v>
      </c>
      <c r="GMJ11" s="283"/>
      <c r="GMK11" s="259" t="s">
        <v>55</v>
      </c>
      <c r="GML11" s="256" t="s">
        <v>76</v>
      </c>
      <c r="GMM11" s="256" t="s">
        <v>77</v>
      </c>
      <c r="GMN11" s="256" t="s">
        <v>78</v>
      </c>
      <c r="GMO11" s="256" t="s">
        <v>79</v>
      </c>
      <c r="GMP11" s="256" t="s">
        <v>80</v>
      </c>
      <c r="GMQ11" s="58" t="s">
        <v>81</v>
      </c>
      <c r="GMR11" s="284"/>
      <c r="GMS11" s="259" t="s">
        <v>55</v>
      </c>
      <c r="GMT11" s="256" t="s">
        <v>76</v>
      </c>
      <c r="GMU11" s="256" t="s">
        <v>77</v>
      </c>
      <c r="GMV11" s="256" t="s">
        <v>78</v>
      </c>
      <c r="GMW11" s="256" t="s">
        <v>79</v>
      </c>
      <c r="GMX11" s="256" t="s">
        <v>80</v>
      </c>
      <c r="GMY11" s="256" t="s">
        <v>81</v>
      </c>
      <c r="GMZ11" s="283"/>
      <c r="GNA11" s="259" t="s">
        <v>55</v>
      </c>
      <c r="GNB11" s="256" t="s">
        <v>76</v>
      </c>
      <c r="GNC11" s="256" t="s">
        <v>77</v>
      </c>
      <c r="GND11" s="256" t="s">
        <v>78</v>
      </c>
      <c r="GNE11" s="256" t="s">
        <v>79</v>
      </c>
      <c r="GNF11" s="256" t="s">
        <v>80</v>
      </c>
      <c r="GNG11" s="58" t="s">
        <v>81</v>
      </c>
      <c r="GNH11" s="284"/>
      <c r="GNI11" s="259" t="s">
        <v>55</v>
      </c>
      <c r="GNJ11" s="256" t="s">
        <v>76</v>
      </c>
      <c r="GNK11" s="256" t="s">
        <v>77</v>
      </c>
      <c r="GNL11" s="256" t="s">
        <v>78</v>
      </c>
      <c r="GNM11" s="256" t="s">
        <v>79</v>
      </c>
      <c r="GNN11" s="256" t="s">
        <v>80</v>
      </c>
      <c r="GNO11" s="256" t="s">
        <v>81</v>
      </c>
      <c r="GNP11" s="283"/>
      <c r="GNQ11" s="259" t="s">
        <v>55</v>
      </c>
      <c r="GNR11" s="256" t="s">
        <v>76</v>
      </c>
      <c r="GNS11" s="256" t="s">
        <v>77</v>
      </c>
      <c r="GNT11" s="256" t="s">
        <v>78</v>
      </c>
      <c r="GNU11" s="256" t="s">
        <v>79</v>
      </c>
      <c r="GNV11" s="256" t="s">
        <v>80</v>
      </c>
      <c r="GNW11" s="58" t="s">
        <v>81</v>
      </c>
      <c r="GNX11" s="284"/>
      <c r="GNY11" s="259" t="s">
        <v>55</v>
      </c>
      <c r="GNZ11" s="256" t="s">
        <v>76</v>
      </c>
      <c r="GOA11" s="256" t="s">
        <v>77</v>
      </c>
      <c r="GOB11" s="256" t="s">
        <v>78</v>
      </c>
      <c r="GOC11" s="256" t="s">
        <v>79</v>
      </c>
      <c r="GOD11" s="256" t="s">
        <v>80</v>
      </c>
      <c r="GOE11" s="256" t="s">
        <v>81</v>
      </c>
      <c r="GOF11" s="283"/>
      <c r="GOG11" s="259" t="s">
        <v>55</v>
      </c>
      <c r="GOH11" s="256" t="s">
        <v>76</v>
      </c>
      <c r="GOI11" s="256" t="s">
        <v>77</v>
      </c>
      <c r="GOJ11" s="256" t="s">
        <v>78</v>
      </c>
      <c r="GOK11" s="256" t="s">
        <v>79</v>
      </c>
      <c r="GOL11" s="256" t="s">
        <v>80</v>
      </c>
      <c r="GOM11" s="58" t="s">
        <v>81</v>
      </c>
      <c r="GON11" s="284"/>
      <c r="GOO11" s="259" t="s">
        <v>55</v>
      </c>
      <c r="GOP11" s="256" t="s">
        <v>76</v>
      </c>
      <c r="GOQ11" s="256" t="s">
        <v>77</v>
      </c>
      <c r="GOR11" s="256" t="s">
        <v>78</v>
      </c>
      <c r="GOS11" s="256" t="s">
        <v>79</v>
      </c>
      <c r="GOT11" s="256" t="s">
        <v>80</v>
      </c>
      <c r="GOU11" s="256" t="s">
        <v>81</v>
      </c>
      <c r="GOV11" s="283"/>
      <c r="GOW11" s="259" t="s">
        <v>55</v>
      </c>
      <c r="GOX11" s="256" t="s">
        <v>76</v>
      </c>
      <c r="GOY11" s="256" t="s">
        <v>77</v>
      </c>
      <c r="GOZ11" s="256" t="s">
        <v>78</v>
      </c>
      <c r="GPA11" s="256" t="s">
        <v>79</v>
      </c>
      <c r="GPB11" s="256" t="s">
        <v>80</v>
      </c>
      <c r="GPC11" s="58" t="s">
        <v>81</v>
      </c>
      <c r="GPD11" s="284"/>
      <c r="GPE11" s="259" t="s">
        <v>55</v>
      </c>
      <c r="GPF11" s="256" t="s">
        <v>76</v>
      </c>
      <c r="GPG11" s="256" t="s">
        <v>77</v>
      </c>
      <c r="GPH11" s="256" t="s">
        <v>78</v>
      </c>
      <c r="GPI11" s="256" t="s">
        <v>79</v>
      </c>
      <c r="GPJ11" s="256" t="s">
        <v>80</v>
      </c>
      <c r="GPK11" s="256" t="s">
        <v>81</v>
      </c>
      <c r="GPL11" s="283"/>
      <c r="GPM11" s="259" t="s">
        <v>55</v>
      </c>
      <c r="GPN11" s="256" t="s">
        <v>76</v>
      </c>
      <c r="GPO11" s="256" t="s">
        <v>77</v>
      </c>
      <c r="GPP11" s="256" t="s">
        <v>78</v>
      </c>
      <c r="GPQ11" s="256" t="s">
        <v>79</v>
      </c>
      <c r="GPR11" s="256" t="s">
        <v>80</v>
      </c>
      <c r="GPS11" s="58" t="s">
        <v>81</v>
      </c>
      <c r="GPT11" s="284"/>
      <c r="GPU11" s="259" t="s">
        <v>55</v>
      </c>
      <c r="GPV11" s="256" t="s">
        <v>76</v>
      </c>
      <c r="GPW11" s="256" t="s">
        <v>77</v>
      </c>
      <c r="GPX11" s="256" t="s">
        <v>78</v>
      </c>
      <c r="GPY11" s="256" t="s">
        <v>79</v>
      </c>
      <c r="GPZ11" s="256" t="s">
        <v>80</v>
      </c>
      <c r="GQA11" s="256" t="s">
        <v>81</v>
      </c>
      <c r="GQB11" s="283"/>
      <c r="GQC11" s="259" t="s">
        <v>55</v>
      </c>
      <c r="GQD11" s="256" t="s">
        <v>76</v>
      </c>
      <c r="GQE11" s="256" t="s">
        <v>77</v>
      </c>
      <c r="GQF11" s="256" t="s">
        <v>78</v>
      </c>
      <c r="GQG11" s="256" t="s">
        <v>79</v>
      </c>
      <c r="GQH11" s="256" t="s">
        <v>80</v>
      </c>
      <c r="GQI11" s="58" t="s">
        <v>81</v>
      </c>
      <c r="GQJ11" s="284"/>
      <c r="GQK11" s="259" t="s">
        <v>55</v>
      </c>
      <c r="GQL11" s="256" t="s">
        <v>76</v>
      </c>
      <c r="GQM11" s="256" t="s">
        <v>77</v>
      </c>
      <c r="GQN11" s="256" t="s">
        <v>78</v>
      </c>
      <c r="GQO11" s="256" t="s">
        <v>79</v>
      </c>
      <c r="GQP11" s="256" t="s">
        <v>80</v>
      </c>
      <c r="GQQ11" s="256" t="s">
        <v>81</v>
      </c>
      <c r="GQR11" s="283"/>
      <c r="GQS11" s="259" t="s">
        <v>55</v>
      </c>
      <c r="GQT11" s="256" t="s">
        <v>76</v>
      </c>
      <c r="GQU11" s="256" t="s">
        <v>77</v>
      </c>
      <c r="GQV11" s="256" t="s">
        <v>78</v>
      </c>
      <c r="GQW11" s="256" t="s">
        <v>79</v>
      </c>
      <c r="GQX11" s="256" t="s">
        <v>80</v>
      </c>
      <c r="GQY11" s="58" t="s">
        <v>81</v>
      </c>
      <c r="GQZ11" s="284"/>
      <c r="GRA11" s="259" t="s">
        <v>55</v>
      </c>
      <c r="GRB11" s="256" t="s">
        <v>76</v>
      </c>
      <c r="GRC11" s="256" t="s">
        <v>77</v>
      </c>
      <c r="GRD11" s="256" t="s">
        <v>78</v>
      </c>
      <c r="GRE11" s="256" t="s">
        <v>79</v>
      </c>
      <c r="GRF11" s="256" t="s">
        <v>80</v>
      </c>
      <c r="GRG11" s="256" t="s">
        <v>81</v>
      </c>
      <c r="GRH11" s="283"/>
      <c r="GRI11" s="259" t="s">
        <v>55</v>
      </c>
      <c r="GRJ11" s="256" t="s">
        <v>76</v>
      </c>
      <c r="GRK11" s="256" t="s">
        <v>77</v>
      </c>
      <c r="GRL11" s="256" t="s">
        <v>78</v>
      </c>
      <c r="GRM11" s="256" t="s">
        <v>79</v>
      </c>
      <c r="GRN11" s="256" t="s">
        <v>80</v>
      </c>
      <c r="GRO11" s="58" t="s">
        <v>81</v>
      </c>
      <c r="GRP11" s="284"/>
      <c r="GRQ11" s="259" t="s">
        <v>55</v>
      </c>
      <c r="GRR11" s="256" t="s">
        <v>76</v>
      </c>
      <c r="GRS11" s="256" t="s">
        <v>77</v>
      </c>
      <c r="GRT11" s="256" t="s">
        <v>78</v>
      </c>
      <c r="GRU11" s="256" t="s">
        <v>79</v>
      </c>
      <c r="GRV11" s="256" t="s">
        <v>80</v>
      </c>
      <c r="GRW11" s="256" t="s">
        <v>81</v>
      </c>
      <c r="GRX11" s="283"/>
      <c r="GRY11" s="259" t="s">
        <v>55</v>
      </c>
      <c r="GRZ11" s="256" t="s">
        <v>76</v>
      </c>
      <c r="GSA11" s="256" t="s">
        <v>77</v>
      </c>
      <c r="GSB11" s="256" t="s">
        <v>78</v>
      </c>
      <c r="GSC11" s="256" t="s">
        <v>79</v>
      </c>
      <c r="GSD11" s="256" t="s">
        <v>80</v>
      </c>
      <c r="GSE11" s="58" t="s">
        <v>81</v>
      </c>
      <c r="GSF11" s="284"/>
      <c r="GSG11" s="259" t="s">
        <v>55</v>
      </c>
      <c r="GSH11" s="256" t="s">
        <v>76</v>
      </c>
      <c r="GSI11" s="256" t="s">
        <v>77</v>
      </c>
      <c r="GSJ11" s="256" t="s">
        <v>78</v>
      </c>
      <c r="GSK11" s="256" t="s">
        <v>79</v>
      </c>
      <c r="GSL11" s="256" t="s">
        <v>80</v>
      </c>
      <c r="GSM11" s="256" t="s">
        <v>81</v>
      </c>
      <c r="GSN11" s="283"/>
      <c r="GSO11" s="259" t="s">
        <v>55</v>
      </c>
      <c r="GSP11" s="256" t="s">
        <v>76</v>
      </c>
      <c r="GSQ11" s="256" t="s">
        <v>77</v>
      </c>
      <c r="GSR11" s="256" t="s">
        <v>78</v>
      </c>
      <c r="GSS11" s="256" t="s">
        <v>79</v>
      </c>
      <c r="GST11" s="256" t="s">
        <v>80</v>
      </c>
      <c r="GSU11" s="58" t="s">
        <v>81</v>
      </c>
      <c r="GSV11" s="284"/>
      <c r="GSW11" s="259" t="s">
        <v>55</v>
      </c>
      <c r="GSX11" s="256" t="s">
        <v>76</v>
      </c>
      <c r="GSY11" s="256" t="s">
        <v>77</v>
      </c>
      <c r="GSZ11" s="256" t="s">
        <v>78</v>
      </c>
      <c r="GTA11" s="256" t="s">
        <v>79</v>
      </c>
      <c r="GTB11" s="256" t="s">
        <v>80</v>
      </c>
      <c r="GTC11" s="256" t="s">
        <v>81</v>
      </c>
      <c r="GTD11" s="283"/>
      <c r="GTE11" s="259" t="s">
        <v>55</v>
      </c>
      <c r="GTF11" s="256" t="s">
        <v>76</v>
      </c>
      <c r="GTG11" s="256" t="s">
        <v>77</v>
      </c>
      <c r="GTH11" s="256" t="s">
        <v>78</v>
      </c>
      <c r="GTI11" s="256" t="s">
        <v>79</v>
      </c>
      <c r="GTJ11" s="256" t="s">
        <v>80</v>
      </c>
      <c r="GTK11" s="58" t="s">
        <v>81</v>
      </c>
      <c r="GTL11" s="284"/>
      <c r="GTM11" s="259" t="s">
        <v>55</v>
      </c>
      <c r="GTN11" s="256" t="s">
        <v>76</v>
      </c>
      <c r="GTO11" s="256" t="s">
        <v>77</v>
      </c>
      <c r="GTP11" s="256" t="s">
        <v>78</v>
      </c>
      <c r="GTQ11" s="256" t="s">
        <v>79</v>
      </c>
      <c r="GTR11" s="256" t="s">
        <v>80</v>
      </c>
      <c r="GTS11" s="256" t="s">
        <v>81</v>
      </c>
      <c r="GTT11" s="283"/>
      <c r="GTU11" s="259" t="s">
        <v>55</v>
      </c>
      <c r="GTV11" s="256" t="s">
        <v>76</v>
      </c>
      <c r="GTW11" s="256" t="s">
        <v>77</v>
      </c>
      <c r="GTX11" s="256" t="s">
        <v>78</v>
      </c>
      <c r="GTY11" s="256" t="s">
        <v>79</v>
      </c>
      <c r="GTZ11" s="256" t="s">
        <v>80</v>
      </c>
      <c r="GUA11" s="58" t="s">
        <v>81</v>
      </c>
      <c r="GUB11" s="284"/>
      <c r="GUC11" s="259" t="s">
        <v>55</v>
      </c>
      <c r="GUD11" s="256" t="s">
        <v>76</v>
      </c>
      <c r="GUE11" s="256" t="s">
        <v>77</v>
      </c>
      <c r="GUF11" s="256" t="s">
        <v>78</v>
      </c>
      <c r="GUG11" s="256" t="s">
        <v>79</v>
      </c>
      <c r="GUH11" s="256" t="s">
        <v>80</v>
      </c>
      <c r="GUI11" s="256" t="s">
        <v>81</v>
      </c>
      <c r="GUJ11" s="283"/>
      <c r="GUK11" s="259" t="s">
        <v>55</v>
      </c>
      <c r="GUL11" s="256" t="s">
        <v>76</v>
      </c>
      <c r="GUM11" s="256" t="s">
        <v>77</v>
      </c>
      <c r="GUN11" s="256" t="s">
        <v>78</v>
      </c>
      <c r="GUO11" s="256" t="s">
        <v>79</v>
      </c>
      <c r="GUP11" s="256" t="s">
        <v>80</v>
      </c>
      <c r="GUQ11" s="58" t="s">
        <v>81</v>
      </c>
      <c r="GUR11" s="284"/>
      <c r="GUS11" s="259" t="s">
        <v>55</v>
      </c>
      <c r="GUT11" s="256" t="s">
        <v>76</v>
      </c>
      <c r="GUU11" s="256" t="s">
        <v>77</v>
      </c>
      <c r="GUV11" s="256" t="s">
        <v>78</v>
      </c>
      <c r="GUW11" s="256" t="s">
        <v>79</v>
      </c>
      <c r="GUX11" s="256" t="s">
        <v>80</v>
      </c>
      <c r="GUY11" s="256" t="s">
        <v>81</v>
      </c>
      <c r="GUZ11" s="283"/>
      <c r="GVA11" s="259" t="s">
        <v>55</v>
      </c>
      <c r="GVB11" s="256" t="s">
        <v>76</v>
      </c>
      <c r="GVC11" s="256" t="s">
        <v>77</v>
      </c>
      <c r="GVD11" s="256" t="s">
        <v>78</v>
      </c>
      <c r="GVE11" s="256" t="s">
        <v>79</v>
      </c>
      <c r="GVF11" s="256" t="s">
        <v>80</v>
      </c>
      <c r="GVG11" s="58" t="s">
        <v>81</v>
      </c>
      <c r="GVH11" s="284"/>
      <c r="GVI11" s="259" t="s">
        <v>55</v>
      </c>
      <c r="GVJ11" s="256" t="s">
        <v>76</v>
      </c>
      <c r="GVK11" s="256" t="s">
        <v>77</v>
      </c>
      <c r="GVL11" s="256" t="s">
        <v>78</v>
      </c>
      <c r="GVM11" s="256" t="s">
        <v>79</v>
      </c>
      <c r="GVN11" s="256" t="s">
        <v>80</v>
      </c>
      <c r="GVO11" s="256" t="s">
        <v>81</v>
      </c>
      <c r="GVP11" s="283"/>
      <c r="GVQ11" s="259" t="s">
        <v>55</v>
      </c>
      <c r="GVR11" s="256" t="s">
        <v>76</v>
      </c>
      <c r="GVS11" s="256" t="s">
        <v>77</v>
      </c>
      <c r="GVT11" s="256" t="s">
        <v>78</v>
      </c>
      <c r="GVU11" s="256" t="s">
        <v>79</v>
      </c>
      <c r="GVV11" s="256" t="s">
        <v>80</v>
      </c>
      <c r="GVW11" s="58" t="s">
        <v>81</v>
      </c>
      <c r="GVX11" s="284"/>
      <c r="GVY11" s="259" t="s">
        <v>55</v>
      </c>
      <c r="GVZ11" s="256" t="s">
        <v>76</v>
      </c>
      <c r="GWA11" s="256" t="s">
        <v>77</v>
      </c>
      <c r="GWB11" s="256" t="s">
        <v>78</v>
      </c>
      <c r="GWC11" s="256" t="s">
        <v>79</v>
      </c>
      <c r="GWD11" s="256" t="s">
        <v>80</v>
      </c>
      <c r="GWE11" s="256" t="s">
        <v>81</v>
      </c>
      <c r="GWF11" s="283"/>
      <c r="GWG11" s="259" t="s">
        <v>55</v>
      </c>
      <c r="GWH11" s="256" t="s">
        <v>76</v>
      </c>
      <c r="GWI11" s="256" t="s">
        <v>77</v>
      </c>
      <c r="GWJ11" s="256" t="s">
        <v>78</v>
      </c>
      <c r="GWK11" s="256" t="s">
        <v>79</v>
      </c>
      <c r="GWL11" s="256" t="s">
        <v>80</v>
      </c>
      <c r="GWM11" s="58" t="s">
        <v>81</v>
      </c>
      <c r="GWN11" s="284"/>
      <c r="GWO11" s="259" t="s">
        <v>55</v>
      </c>
      <c r="GWP11" s="256" t="s">
        <v>76</v>
      </c>
      <c r="GWQ11" s="256" t="s">
        <v>77</v>
      </c>
      <c r="GWR11" s="256" t="s">
        <v>78</v>
      </c>
      <c r="GWS11" s="256" t="s">
        <v>79</v>
      </c>
      <c r="GWT11" s="256" t="s">
        <v>80</v>
      </c>
      <c r="GWU11" s="256" t="s">
        <v>81</v>
      </c>
      <c r="GWV11" s="283"/>
      <c r="GWW11" s="259" t="s">
        <v>55</v>
      </c>
      <c r="GWX11" s="256" t="s">
        <v>76</v>
      </c>
      <c r="GWY11" s="256" t="s">
        <v>77</v>
      </c>
      <c r="GWZ11" s="256" t="s">
        <v>78</v>
      </c>
      <c r="GXA11" s="256" t="s">
        <v>79</v>
      </c>
      <c r="GXB11" s="256" t="s">
        <v>80</v>
      </c>
      <c r="GXC11" s="58" t="s">
        <v>81</v>
      </c>
      <c r="GXD11" s="284"/>
      <c r="GXE11" s="259" t="s">
        <v>55</v>
      </c>
      <c r="GXF11" s="256" t="s">
        <v>76</v>
      </c>
      <c r="GXG11" s="256" t="s">
        <v>77</v>
      </c>
      <c r="GXH11" s="256" t="s">
        <v>78</v>
      </c>
      <c r="GXI11" s="256" t="s">
        <v>79</v>
      </c>
      <c r="GXJ11" s="256" t="s">
        <v>80</v>
      </c>
      <c r="GXK11" s="256" t="s">
        <v>81</v>
      </c>
      <c r="GXL11" s="283"/>
      <c r="GXM11" s="259" t="s">
        <v>55</v>
      </c>
      <c r="GXN11" s="256" t="s">
        <v>76</v>
      </c>
      <c r="GXO11" s="256" t="s">
        <v>77</v>
      </c>
      <c r="GXP11" s="256" t="s">
        <v>78</v>
      </c>
      <c r="GXQ11" s="256" t="s">
        <v>79</v>
      </c>
      <c r="GXR11" s="256" t="s">
        <v>80</v>
      </c>
      <c r="GXS11" s="58" t="s">
        <v>81</v>
      </c>
      <c r="GXT11" s="284"/>
      <c r="GXU11" s="259" t="s">
        <v>55</v>
      </c>
      <c r="GXV11" s="256" t="s">
        <v>76</v>
      </c>
      <c r="GXW11" s="256" t="s">
        <v>77</v>
      </c>
      <c r="GXX11" s="256" t="s">
        <v>78</v>
      </c>
      <c r="GXY11" s="256" t="s">
        <v>79</v>
      </c>
      <c r="GXZ11" s="256" t="s">
        <v>80</v>
      </c>
      <c r="GYA11" s="256" t="s">
        <v>81</v>
      </c>
      <c r="GYB11" s="283"/>
      <c r="GYC11" s="259" t="s">
        <v>55</v>
      </c>
      <c r="GYD11" s="256" t="s">
        <v>76</v>
      </c>
      <c r="GYE11" s="256" t="s">
        <v>77</v>
      </c>
      <c r="GYF11" s="256" t="s">
        <v>78</v>
      </c>
      <c r="GYG11" s="256" t="s">
        <v>79</v>
      </c>
      <c r="GYH11" s="256" t="s">
        <v>80</v>
      </c>
      <c r="GYI11" s="58" t="s">
        <v>81</v>
      </c>
      <c r="GYJ11" s="284"/>
      <c r="GYK11" s="259" t="s">
        <v>55</v>
      </c>
      <c r="GYL11" s="256" t="s">
        <v>76</v>
      </c>
      <c r="GYM11" s="256" t="s">
        <v>77</v>
      </c>
      <c r="GYN11" s="256" t="s">
        <v>78</v>
      </c>
      <c r="GYO11" s="256" t="s">
        <v>79</v>
      </c>
      <c r="GYP11" s="256" t="s">
        <v>80</v>
      </c>
      <c r="GYQ11" s="256" t="s">
        <v>81</v>
      </c>
      <c r="GYR11" s="283"/>
      <c r="GYS11" s="259" t="s">
        <v>55</v>
      </c>
      <c r="GYT11" s="256" t="s">
        <v>76</v>
      </c>
      <c r="GYU11" s="256" t="s">
        <v>77</v>
      </c>
      <c r="GYV11" s="256" t="s">
        <v>78</v>
      </c>
      <c r="GYW11" s="256" t="s">
        <v>79</v>
      </c>
      <c r="GYX11" s="256" t="s">
        <v>80</v>
      </c>
      <c r="GYY11" s="58" t="s">
        <v>81</v>
      </c>
      <c r="GYZ11" s="284"/>
      <c r="GZA11" s="259" t="s">
        <v>55</v>
      </c>
      <c r="GZB11" s="256" t="s">
        <v>76</v>
      </c>
      <c r="GZC11" s="256" t="s">
        <v>77</v>
      </c>
      <c r="GZD11" s="256" t="s">
        <v>78</v>
      </c>
      <c r="GZE11" s="256" t="s">
        <v>79</v>
      </c>
      <c r="GZF11" s="256" t="s">
        <v>80</v>
      </c>
      <c r="GZG11" s="256" t="s">
        <v>81</v>
      </c>
      <c r="GZH11" s="283"/>
      <c r="GZI11" s="259" t="s">
        <v>55</v>
      </c>
      <c r="GZJ11" s="256" t="s">
        <v>76</v>
      </c>
      <c r="GZK11" s="256" t="s">
        <v>77</v>
      </c>
      <c r="GZL11" s="256" t="s">
        <v>78</v>
      </c>
      <c r="GZM11" s="256" t="s">
        <v>79</v>
      </c>
      <c r="GZN11" s="256" t="s">
        <v>80</v>
      </c>
      <c r="GZO11" s="58" t="s">
        <v>81</v>
      </c>
      <c r="GZP11" s="284"/>
      <c r="GZQ11" s="259" t="s">
        <v>55</v>
      </c>
      <c r="GZR11" s="256" t="s">
        <v>76</v>
      </c>
      <c r="GZS11" s="256" t="s">
        <v>77</v>
      </c>
      <c r="GZT11" s="256" t="s">
        <v>78</v>
      </c>
      <c r="GZU11" s="256" t="s">
        <v>79</v>
      </c>
      <c r="GZV11" s="256" t="s">
        <v>80</v>
      </c>
      <c r="GZW11" s="256" t="s">
        <v>81</v>
      </c>
      <c r="GZX11" s="283"/>
      <c r="GZY11" s="259" t="s">
        <v>55</v>
      </c>
      <c r="GZZ11" s="256" t="s">
        <v>76</v>
      </c>
      <c r="HAA11" s="256" t="s">
        <v>77</v>
      </c>
      <c r="HAB11" s="256" t="s">
        <v>78</v>
      </c>
      <c r="HAC11" s="256" t="s">
        <v>79</v>
      </c>
      <c r="HAD11" s="256" t="s">
        <v>80</v>
      </c>
      <c r="HAE11" s="58" t="s">
        <v>81</v>
      </c>
      <c r="HAF11" s="284"/>
      <c r="HAG11" s="259" t="s">
        <v>55</v>
      </c>
      <c r="HAH11" s="256" t="s">
        <v>76</v>
      </c>
      <c r="HAI11" s="256" t="s">
        <v>77</v>
      </c>
      <c r="HAJ11" s="256" t="s">
        <v>78</v>
      </c>
      <c r="HAK11" s="256" t="s">
        <v>79</v>
      </c>
      <c r="HAL11" s="256" t="s">
        <v>80</v>
      </c>
      <c r="HAM11" s="256" t="s">
        <v>81</v>
      </c>
      <c r="HAN11" s="283"/>
      <c r="HAO11" s="259" t="s">
        <v>55</v>
      </c>
      <c r="HAP11" s="256" t="s">
        <v>76</v>
      </c>
      <c r="HAQ11" s="256" t="s">
        <v>77</v>
      </c>
      <c r="HAR11" s="256" t="s">
        <v>78</v>
      </c>
      <c r="HAS11" s="256" t="s">
        <v>79</v>
      </c>
      <c r="HAT11" s="256" t="s">
        <v>80</v>
      </c>
      <c r="HAU11" s="58" t="s">
        <v>81</v>
      </c>
      <c r="HAV11" s="284"/>
      <c r="HAW11" s="259" t="s">
        <v>55</v>
      </c>
      <c r="HAX11" s="256" t="s">
        <v>76</v>
      </c>
      <c r="HAY11" s="256" t="s">
        <v>77</v>
      </c>
      <c r="HAZ11" s="256" t="s">
        <v>78</v>
      </c>
      <c r="HBA11" s="256" t="s">
        <v>79</v>
      </c>
      <c r="HBB11" s="256" t="s">
        <v>80</v>
      </c>
      <c r="HBC11" s="256" t="s">
        <v>81</v>
      </c>
      <c r="HBD11" s="283"/>
      <c r="HBE11" s="259" t="s">
        <v>55</v>
      </c>
      <c r="HBF11" s="256" t="s">
        <v>76</v>
      </c>
      <c r="HBG11" s="256" t="s">
        <v>77</v>
      </c>
      <c r="HBH11" s="256" t="s">
        <v>78</v>
      </c>
      <c r="HBI11" s="256" t="s">
        <v>79</v>
      </c>
      <c r="HBJ11" s="256" t="s">
        <v>80</v>
      </c>
      <c r="HBK11" s="58" t="s">
        <v>81</v>
      </c>
      <c r="HBL11" s="284"/>
      <c r="HBM11" s="259" t="s">
        <v>55</v>
      </c>
      <c r="HBN11" s="256" t="s">
        <v>76</v>
      </c>
      <c r="HBO11" s="256" t="s">
        <v>77</v>
      </c>
      <c r="HBP11" s="256" t="s">
        <v>78</v>
      </c>
      <c r="HBQ11" s="256" t="s">
        <v>79</v>
      </c>
      <c r="HBR11" s="256" t="s">
        <v>80</v>
      </c>
      <c r="HBS11" s="256" t="s">
        <v>81</v>
      </c>
      <c r="HBT11" s="283"/>
      <c r="HBU11" s="259" t="s">
        <v>55</v>
      </c>
      <c r="HBV11" s="256" t="s">
        <v>76</v>
      </c>
      <c r="HBW11" s="256" t="s">
        <v>77</v>
      </c>
      <c r="HBX11" s="256" t="s">
        <v>78</v>
      </c>
      <c r="HBY11" s="256" t="s">
        <v>79</v>
      </c>
      <c r="HBZ11" s="256" t="s">
        <v>80</v>
      </c>
      <c r="HCA11" s="58" t="s">
        <v>81</v>
      </c>
      <c r="HCB11" s="284"/>
      <c r="HCC11" s="259" t="s">
        <v>55</v>
      </c>
      <c r="HCD11" s="256" t="s">
        <v>76</v>
      </c>
      <c r="HCE11" s="256" t="s">
        <v>77</v>
      </c>
      <c r="HCF11" s="256" t="s">
        <v>78</v>
      </c>
      <c r="HCG11" s="256" t="s">
        <v>79</v>
      </c>
      <c r="HCH11" s="256" t="s">
        <v>80</v>
      </c>
      <c r="HCI11" s="256" t="s">
        <v>81</v>
      </c>
      <c r="HCJ11" s="283"/>
      <c r="HCK11" s="259" t="s">
        <v>55</v>
      </c>
      <c r="HCL11" s="256" t="s">
        <v>76</v>
      </c>
      <c r="HCM11" s="256" t="s">
        <v>77</v>
      </c>
      <c r="HCN11" s="256" t="s">
        <v>78</v>
      </c>
      <c r="HCO11" s="256" t="s">
        <v>79</v>
      </c>
      <c r="HCP11" s="256" t="s">
        <v>80</v>
      </c>
      <c r="HCQ11" s="58" t="s">
        <v>81</v>
      </c>
      <c r="HCR11" s="284"/>
      <c r="HCS11" s="259" t="s">
        <v>55</v>
      </c>
      <c r="HCT11" s="256" t="s">
        <v>76</v>
      </c>
      <c r="HCU11" s="256" t="s">
        <v>77</v>
      </c>
      <c r="HCV11" s="256" t="s">
        <v>78</v>
      </c>
      <c r="HCW11" s="256" t="s">
        <v>79</v>
      </c>
      <c r="HCX11" s="256" t="s">
        <v>80</v>
      </c>
      <c r="HCY11" s="256" t="s">
        <v>81</v>
      </c>
      <c r="HCZ11" s="283"/>
      <c r="HDA11" s="259" t="s">
        <v>55</v>
      </c>
      <c r="HDB11" s="256" t="s">
        <v>76</v>
      </c>
      <c r="HDC11" s="256" t="s">
        <v>77</v>
      </c>
      <c r="HDD11" s="256" t="s">
        <v>78</v>
      </c>
      <c r="HDE11" s="256" t="s">
        <v>79</v>
      </c>
      <c r="HDF11" s="256" t="s">
        <v>80</v>
      </c>
      <c r="HDG11" s="58" t="s">
        <v>81</v>
      </c>
      <c r="HDH11" s="284"/>
      <c r="HDI11" s="259" t="s">
        <v>55</v>
      </c>
      <c r="HDJ11" s="256" t="s">
        <v>76</v>
      </c>
      <c r="HDK11" s="256" t="s">
        <v>77</v>
      </c>
      <c r="HDL11" s="256" t="s">
        <v>78</v>
      </c>
      <c r="HDM11" s="256" t="s">
        <v>79</v>
      </c>
      <c r="HDN11" s="256" t="s">
        <v>80</v>
      </c>
      <c r="HDO11" s="256" t="s">
        <v>81</v>
      </c>
      <c r="HDP11" s="283"/>
      <c r="HDQ11" s="259" t="s">
        <v>55</v>
      </c>
      <c r="HDR11" s="256" t="s">
        <v>76</v>
      </c>
      <c r="HDS11" s="256" t="s">
        <v>77</v>
      </c>
      <c r="HDT11" s="256" t="s">
        <v>78</v>
      </c>
      <c r="HDU11" s="256" t="s">
        <v>79</v>
      </c>
      <c r="HDV11" s="256" t="s">
        <v>80</v>
      </c>
      <c r="HDW11" s="58" t="s">
        <v>81</v>
      </c>
      <c r="HDX11" s="284"/>
      <c r="HDY11" s="259" t="s">
        <v>55</v>
      </c>
      <c r="HDZ11" s="256" t="s">
        <v>76</v>
      </c>
      <c r="HEA11" s="256" t="s">
        <v>77</v>
      </c>
      <c r="HEB11" s="256" t="s">
        <v>78</v>
      </c>
      <c r="HEC11" s="256" t="s">
        <v>79</v>
      </c>
      <c r="HED11" s="256" t="s">
        <v>80</v>
      </c>
      <c r="HEE11" s="256" t="s">
        <v>81</v>
      </c>
      <c r="HEF11" s="283"/>
      <c r="HEG11" s="259" t="s">
        <v>55</v>
      </c>
      <c r="HEH11" s="256" t="s">
        <v>76</v>
      </c>
      <c r="HEI11" s="256" t="s">
        <v>77</v>
      </c>
      <c r="HEJ11" s="256" t="s">
        <v>78</v>
      </c>
      <c r="HEK11" s="256" t="s">
        <v>79</v>
      </c>
      <c r="HEL11" s="256" t="s">
        <v>80</v>
      </c>
      <c r="HEM11" s="58" t="s">
        <v>81</v>
      </c>
      <c r="HEN11" s="284"/>
      <c r="HEO11" s="259" t="s">
        <v>55</v>
      </c>
      <c r="HEP11" s="256" t="s">
        <v>76</v>
      </c>
      <c r="HEQ11" s="256" t="s">
        <v>77</v>
      </c>
      <c r="HER11" s="256" t="s">
        <v>78</v>
      </c>
      <c r="HES11" s="256" t="s">
        <v>79</v>
      </c>
      <c r="HET11" s="256" t="s">
        <v>80</v>
      </c>
      <c r="HEU11" s="256" t="s">
        <v>81</v>
      </c>
      <c r="HEV11" s="283"/>
      <c r="HEW11" s="259" t="s">
        <v>55</v>
      </c>
      <c r="HEX11" s="256" t="s">
        <v>76</v>
      </c>
      <c r="HEY11" s="256" t="s">
        <v>77</v>
      </c>
      <c r="HEZ11" s="256" t="s">
        <v>78</v>
      </c>
      <c r="HFA11" s="256" t="s">
        <v>79</v>
      </c>
      <c r="HFB11" s="256" t="s">
        <v>80</v>
      </c>
      <c r="HFC11" s="58" t="s">
        <v>81</v>
      </c>
      <c r="HFD11" s="284"/>
      <c r="HFE11" s="259" t="s">
        <v>55</v>
      </c>
      <c r="HFF11" s="256" t="s">
        <v>76</v>
      </c>
      <c r="HFG11" s="256" t="s">
        <v>77</v>
      </c>
      <c r="HFH11" s="256" t="s">
        <v>78</v>
      </c>
      <c r="HFI11" s="256" t="s">
        <v>79</v>
      </c>
      <c r="HFJ11" s="256" t="s">
        <v>80</v>
      </c>
      <c r="HFK11" s="256" t="s">
        <v>81</v>
      </c>
      <c r="HFL11" s="283"/>
      <c r="HFM11" s="259" t="s">
        <v>55</v>
      </c>
      <c r="HFN11" s="256" t="s">
        <v>76</v>
      </c>
      <c r="HFO11" s="256" t="s">
        <v>77</v>
      </c>
      <c r="HFP11" s="256" t="s">
        <v>78</v>
      </c>
      <c r="HFQ11" s="256" t="s">
        <v>79</v>
      </c>
      <c r="HFR11" s="256" t="s">
        <v>80</v>
      </c>
      <c r="HFS11" s="58" t="s">
        <v>81</v>
      </c>
      <c r="HFT11" s="284"/>
      <c r="HFU11" s="259" t="s">
        <v>55</v>
      </c>
      <c r="HFV11" s="256" t="s">
        <v>76</v>
      </c>
      <c r="HFW11" s="256" t="s">
        <v>77</v>
      </c>
      <c r="HFX11" s="256" t="s">
        <v>78</v>
      </c>
      <c r="HFY11" s="256" t="s">
        <v>79</v>
      </c>
      <c r="HFZ11" s="256" t="s">
        <v>80</v>
      </c>
      <c r="HGA11" s="256" t="s">
        <v>81</v>
      </c>
      <c r="HGB11" s="283"/>
      <c r="HGC11" s="259" t="s">
        <v>55</v>
      </c>
      <c r="HGD11" s="256" t="s">
        <v>76</v>
      </c>
      <c r="HGE11" s="256" t="s">
        <v>77</v>
      </c>
      <c r="HGF11" s="256" t="s">
        <v>78</v>
      </c>
      <c r="HGG11" s="256" t="s">
        <v>79</v>
      </c>
      <c r="HGH11" s="256" t="s">
        <v>80</v>
      </c>
      <c r="HGI11" s="58" t="s">
        <v>81</v>
      </c>
      <c r="HGJ11" s="284"/>
      <c r="HGK11" s="259" t="s">
        <v>55</v>
      </c>
      <c r="HGL11" s="256" t="s">
        <v>76</v>
      </c>
      <c r="HGM11" s="256" t="s">
        <v>77</v>
      </c>
      <c r="HGN11" s="256" t="s">
        <v>78</v>
      </c>
      <c r="HGO11" s="256" t="s">
        <v>79</v>
      </c>
      <c r="HGP11" s="256" t="s">
        <v>80</v>
      </c>
      <c r="HGQ11" s="256" t="s">
        <v>81</v>
      </c>
      <c r="HGR11" s="283"/>
      <c r="HGS11" s="259" t="s">
        <v>55</v>
      </c>
      <c r="HGT11" s="256" t="s">
        <v>76</v>
      </c>
      <c r="HGU11" s="256" t="s">
        <v>77</v>
      </c>
      <c r="HGV11" s="256" t="s">
        <v>78</v>
      </c>
      <c r="HGW11" s="256" t="s">
        <v>79</v>
      </c>
      <c r="HGX11" s="256" t="s">
        <v>80</v>
      </c>
      <c r="HGY11" s="58" t="s">
        <v>81</v>
      </c>
      <c r="HGZ11" s="284"/>
      <c r="HHA11" s="259" t="s">
        <v>55</v>
      </c>
      <c r="HHB11" s="256" t="s">
        <v>76</v>
      </c>
      <c r="HHC11" s="256" t="s">
        <v>77</v>
      </c>
      <c r="HHD11" s="256" t="s">
        <v>78</v>
      </c>
      <c r="HHE11" s="256" t="s">
        <v>79</v>
      </c>
      <c r="HHF11" s="256" t="s">
        <v>80</v>
      </c>
      <c r="HHG11" s="256" t="s">
        <v>81</v>
      </c>
      <c r="HHH11" s="283"/>
      <c r="HHI11" s="259" t="s">
        <v>55</v>
      </c>
      <c r="HHJ11" s="256" t="s">
        <v>76</v>
      </c>
      <c r="HHK11" s="256" t="s">
        <v>77</v>
      </c>
      <c r="HHL11" s="256" t="s">
        <v>78</v>
      </c>
      <c r="HHM11" s="256" t="s">
        <v>79</v>
      </c>
      <c r="HHN11" s="256" t="s">
        <v>80</v>
      </c>
      <c r="HHO11" s="58" t="s">
        <v>81</v>
      </c>
      <c r="HHP11" s="284"/>
      <c r="HHQ11" s="259" t="s">
        <v>55</v>
      </c>
      <c r="HHR11" s="256" t="s">
        <v>76</v>
      </c>
      <c r="HHS11" s="256" t="s">
        <v>77</v>
      </c>
      <c r="HHT11" s="256" t="s">
        <v>78</v>
      </c>
      <c r="HHU11" s="256" t="s">
        <v>79</v>
      </c>
      <c r="HHV11" s="256" t="s">
        <v>80</v>
      </c>
      <c r="HHW11" s="256" t="s">
        <v>81</v>
      </c>
      <c r="HHX11" s="283"/>
      <c r="HHY11" s="259" t="s">
        <v>55</v>
      </c>
      <c r="HHZ11" s="256" t="s">
        <v>76</v>
      </c>
      <c r="HIA11" s="256" t="s">
        <v>77</v>
      </c>
      <c r="HIB11" s="256" t="s">
        <v>78</v>
      </c>
      <c r="HIC11" s="256" t="s">
        <v>79</v>
      </c>
      <c r="HID11" s="256" t="s">
        <v>80</v>
      </c>
      <c r="HIE11" s="58" t="s">
        <v>81</v>
      </c>
      <c r="HIF11" s="284"/>
      <c r="HIG11" s="259" t="s">
        <v>55</v>
      </c>
      <c r="HIH11" s="256" t="s">
        <v>76</v>
      </c>
      <c r="HII11" s="256" t="s">
        <v>77</v>
      </c>
      <c r="HIJ11" s="256" t="s">
        <v>78</v>
      </c>
      <c r="HIK11" s="256" t="s">
        <v>79</v>
      </c>
      <c r="HIL11" s="256" t="s">
        <v>80</v>
      </c>
      <c r="HIM11" s="256" t="s">
        <v>81</v>
      </c>
      <c r="HIN11" s="283"/>
      <c r="HIO11" s="259" t="s">
        <v>55</v>
      </c>
      <c r="HIP11" s="256" t="s">
        <v>76</v>
      </c>
      <c r="HIQ11" s="256" t="s">
        <v>77</v>
      </c>
      <c r="HIR11" s="256" t="s">
        <v>78</v>
      </c>
      <c r="HIS11" s="256" t="s">
        <v>79</v>
      </c>
      <c r="HIT11" s="256" t="s">
        <v>80</v>
      </c>
      <c r="HIU11" s="58" t="s">
        <v>81</v>
      </c>
      <c r="HIV11" s="284"/>
      <c r="HIW11" s="259" t="s">
        <v>55</v>
      </c>
      <c r="HIX11" s="256" t="s">
        <v>76</v>
      </c>
      <c r="HIY11" s="256" t="s">
        <v>77</v>
      </c>
      <c r="HIZ11" s="256" t="s">
        <v>78</v>
      </c>
      <c r="HJA11" s="256" t="s">
        <v>79</v>
      </c>
      <c r="HJB11" s="256" t="s">
        <v>80</v>
      </c>
      <c r="HJC11" s="256" t="s">
        <v>81</v>
      </c>
      <c r="HJD11" s="283"/>
      <c r="HJE11" s="259" t="s">
        <v>55</v>
      </c>
      <c r="HJF11" s="256" t="s">
        <v>76</v>
      </c>
      <c r="HJG11" s="256" t="s">
        <v>77</v>
      </c>
      <c r="HJH11" s="256" t="s">
        <v>78</v>
      </c>
      <c r="HJI11" s="256" t="s">
        <v>79</v>
      </c>
      <c r="HJJ11" s="256" t="s">
        <v>80</v>
      </c>
      <c r="HJK11" s="58" t="s">
        <v>81</v>
      </c>
      <c r="HJL11" s="284"/>
      <c r="HJM11" s="259" t="s">
        <v>55</v>
      </c>
      <c r="HJN11" s="256" t="s">
        <v>76</v>
      </c>
      <c r="HJO11" s="256" t="s">
        <v>77</v>
      </c>
      <c r="HJP11" s="256" t="s">
        <v>78</v>
      </c>
      <c r="HJQ11" s="256" t="s">
        <v>79</v>
      </c>
      <c r="HJR11" s="256" t="s">
        <v>80</v>
      </c>
      <c r="HJS11" s="256" t="s">
        <v>81</v>
      </c>
      <c r="HJT11" s="283"/>
      <c r="HJU11" s="259" t="s">
        <v>55</v>
      </c>
      <c r="HJV11" s="256" t="s">
        <v>76</v>
      </c>
      <c r="HJW11" s="256" t="s">
        <v>77</v>
      </c>
      <c r="HJX11" s="256" t="s">
        <v>78</v>
      </c>
      <c r="HJY11" s="256" t="s">
        <v>79</v>
      </c>
      <c r="HJZ11" s="256" t="s">
        <v>80</v>
      </c>
      <c r="HKA11" s="58" t="s">
        <v>81</v>
      </c>
      <c r="HKB11" s="284"/>
      <c r="HKC11" s="259" t="s">
        <v>55</v>
      </c>
      <c r="HKD11" s="256" t="s">
        <v>76</v>
      </c>
      <c r="HKE11" s="256" t="s">
        <v>77</v>
      </c>
      <c r="HKF11" s="256" t="s">
        <v>78</v>
      </c>
      <c r="HKG11" s="256" t="s">
        <v>79</v>
      </c>
      <c r="HKH11" s="256" t="s">
        <v>80</v>
      </c>
      <c r="HKI11" s="256" t="s">
        <v>81</v>
      </c>
      <c r="HKJ11" s="283"/>
      <c r="HKK11" s="259" t="s">
        <v>55</v>
      </c>
      <c r="HKL11" s="256" t="s">
        <v>76</v>
      </c>
      <c r="HKM11" s="256" t="s">
        <v>77</v>
      </c>
      <c r="HKN11" s="256" t="s">
        <v>78</v>
      </c>
      <c r="HKO11" s="256" t="s">
        <v>79</v>
      </c>
      <c r="HKP11" s="256" t="s">
        <v>80</v>
      </c>
      <c r="HKQ11" s="58" t="s">
        <v>81</v>
      </c>
      <c r="HKR11" s="284"/>
      <c r="HKS11" s="259" t="s">
        <v>55</v>
      </c>
      <c r="HKT11" s="256" t="s">
        <v>76</v>
      </c>
      <c r="HKU11" s="256" t="s">
        <v>77</v>
      </c>
      <c r="HKV11" s="256" t="s">
        <v>78</v>
      </c>
      <c r="HKW11" s="256" t="s">
        <v>79</v>
      </c>
      <c r="HKX11" s="256" t="s">
        <v>80</v>
      </c>
      <c r="HKY11" s="256" t="s">
        <v>81</v>
      </c>
      <c r="HKZ11" s="283"/>
      <c r="HLA11" s="259" t="s">
        <v>55</v>
      </c>
      <c r="HLB11" s="256" t="s">
        <v>76</v>
      </c>
      <c r="HLC11" s="256" t="s">
        <v>77</v>
      </c>
      <c r="HLD11" s="256" t="s">
        <v>78</v>
      </c>
      <c r="HLE11" s="256" t="s">
        <v>79</v>
      </c>
      <c r="HLF11" s="256" t="s">
        <v>80</v>
      </c>
      <c r="HLG11" s="58" t="s">
        <v>81</v>
      </c>
      <c r="HLH11" s="284"/>
      <c r="HLI11" s="259" t="s">
        <v>55</v>
      </c>
      <c r="HLJ11" s="256" t="s">
        <v>76</v>
      </c>
      <c r="HLK11" s="256" t="s">
        <v>77</v>
      </c>
      <c r="HLL11" s="256" t="s">
        <v>78</v>
      </c>
      <c r="HLM11" s="256" t="s">
        <v>79</v>
      </c>
      <c r="HLN11" s="256" t="s">
        <v>80</v>
      </c>
      <c r="HLO11" s="256" t="s">
        <v>81</v>
      </c>
      <c r="HLP11" s="283"/>
      <c r="HLQ11" s="259" t="s">
        <v>55</v>
      </c>
      <c r="HLR11" s="256" t="s">
        <v>76</v>
      </c>
      <c r="HLS11" s="256" t="s">
        <v>77</v>
      </c>
      <c r="HLT11" s="256" t="s">
        <v>78</v>
      </c>
      <c r="HLU11" s="256" t="s">
        <v>79</v>
      </c>
      <c r="HLV11" s="256" t="s">
        <v>80</v>
      </c>
      <c r="HLW11" s="58" t="s">
        <v>81</v>
      </c>
      <c r="HLX11" s="284"/>
      <c r="HLY11" s="259" t="s">
        <v>55</v>
      </c>
      <c r="HLZ11" s="256" t="s">
        <v>76</v>
      </c>
      <c r="HMA11" s="256" t="s">
        <v>77</v>
      </c>
      <c r="HMB11" s="256" t="s">
        <v>78</v>
      </c>
      <c r="HMC11" s="256" t="s">
        <v>79</v>
      </c>
      <c r="HMD11" s="256" t="s">
        <v>80</v>
      </c>
      <c r="HME11" s="256" t="s">
        <v>81</v>
      </c>
      <c r="HMF11" s="283"/>
      <c r="HMG11" s="259" t="s">
        <v>55</v>
      </c>
      <c r="HMH11" s="256" t="s">
        <v>76</v>
      </c>
      <c r="HMI11" s="256" t="s">
        <v>77</v>
      </c>
      <c r="HMJ11" s="256" t="s">
        <v>78</v>
      </c>
      <c r="HMK11" s="256" t="s">
        <v>79</v>
      </c>
      <c r="HML11" s="256" t="s">
        <v>80</v>
      </c>
      <c r="HMM11" s="58" t="s">
        <v>81</v>
      </c>
      <c r="HMN11" s="284"/>
      <c r="HMO11" s="259" t="s">
        <v>55</v>
      </c>
      <c r="HMP11" s="256" t="s">
        <v>76</v>
      </c>
      <c r="HMQ11" s="256" t="s">
        <v>77</v>
      </c>
      <c r="HMR11" s="256" t="s">
        <v>78</v>
      </c>
      <c r="HMS11" s="256" t="s">
        <v>79</v>
      </c>
      <c r="HMT11" s="256" t="s">
        <v>80</v>
      </c>
      <c r="HMU11" s="256" t="s">
        <v>81</v>
      </c>
      <c r="HMV11" s="283"/>
      <c r="HMW11" s="259" t="s">
        <v>55</v>
      </c>
      <c r="HMX11" s="256" t="s">
        <v>76</v>
      </c>
      <c r="HMY11" s="256" t="s">
        <v>77</v>
      </c>
      <c r="HMZ11" s="256" t="s">
        <v>78</v>
      </c>
      <c r="HNA11" s="256" t="s">
        <v>79</v>
      </c>
      <c r="HNB11" s="256" t="s">
        <v>80</v>
      </c>
      <c r="HNC11" s="58" t="s">
        <v>81</v>
      </c>
      <c r="HND11" s="284"/>
      <c r="HNE11" s="259" t="s">
        <v>55</v>
      </c>
      <c r="HNF11" s="256" t="s">
        <v>76</v>
      </c>
      <c r="HNG11" s="256" t="s">
        <v>77</v>
      </c>
      <c r="HNH11" s="256" t="s">
        <v>78</v>
      </c>
      <c r="HNI11" s="256" t="s">
        <v>79</v>
      </c>
      <c r="HNJ11" s="256" t="s">
        <v>80</v>
      </c>
      <c r="HNK11" s="256" t="s">
        <v>81</v>
      </c>
      <c r="HNL11" s="283"/>
      <c r="HNM11" s="259" t="s">
        <v>55</v>
      </c>
      <c r="HNN11" s="256" t="s">
        <v>76</v>
      </c>
      <c r="HNO11" s="256" t="s">
        <v>77</v>
      </c>
      <c r="HNP11" s="256" t="s">
        <v>78</v>
      </c>
      <c r="HNQ11" s="256" t="s">
        <v>79</v>
      </c>
      <c r="HNR11" s="256" t="s">
        <v>80</v>
      </c>
      <c r="HNS11" s="58" t="s">
        <v>81</v>
      </c>
      <c r="HNT11" s="284"/>
      <c r="HNU11" s="259" t="s">
        <v>55</v>
      </c>
      <c r="HNV11" s="256" t="s">
        <v>76</v>
      </c>
      <c r="HNW11" s="256" t="s">
        <v>77</v>
      </c>
      <c r="HNX11" s="256" t="s">
        <v>78</v>
      </c>
      <c r="HNY11" s="256" t="s">
        <v>79</v>
      </c>
      <c r="HNZ11" s="256" t="s">
        <v>80</v>
      </c>
      <c r="HOA11" s="256" t="s">
        <v>81</v>
      </c>
      <c r="HOB11" s="283"/>
      <c r="HOC11" s="259" t="s">
        <v>55</v>
      </c>
      <c r="HOD11" s="256" t="s">
        <v>76</v>
      </c>
      <c r="HOE11" s="256" t="s">
        <v>77</v>
      </c>
      <c r="HOF11" s="256" t="s">
        <v>78</v>
      </c>
      <c r="HOG11" s="256" t="s">
        <v>79</v>
      </c>
      <c r="HOH11" s="256" t="s">
        <v>80</v>
      </c>
      <c r="HOI11" s="58" t="s">
        <v>81</v>
      </c>
      <c r="HOJ11" s="284"/>
      <c r="HOK11" s="259" t="s">
        <v>55</v>
      </c>
      <c r="HOL11" s="256" t="s">
        <v>76</v>
      </c>
      <c r="HOM11" s="256" t="s">
        <v>77</v>
      </c>
      <c r="HON11" s="256" t="s">
        <v>78</v>
      </c>
      <c r="HOO11" s="256" t="s">
        <v>79</v>
      </c>
      <c r="HOP11" s="256" t="s">
        <v>80</v>
      </c>
      <c r="HOQ11" s="256" t="s">
        <v>81</v>
      </c>
      <c r="HOR11" s="283"/>
      <c r="HOS11" s="259" t="s">
        <v>55</v>
      </c>
      <c r="HOT11" s="256" t="s">
        <v>76</v>
      </c>
      <c r="HOU11" s="256" t="s">
        <v>77</v>
      </c>
      <c r="HOV11" s="256" t="s">
        <v>78</v>
      </c>
      <c r="HOW11" s="256" t="s">
        <v>79</v>
      </c>
      <c r="HOX11" s="256" t="s">
        <v>80</v>
      </c>
      <c r="HOY11" s="58" t="s">
        <v>81</v>
      </c>
      <c r="HOZ11" s="284"/>
      <c r="HPA11" s="259" t="s">
        <v>55</v>
      </c>
      <c r="HPB11" s="256" t="s">
        <v>76</v>
      </c>
      <c r="HPC11" s="256" t="s">
        <v>77</v>
      </c>
      <c r="HPD11" s="256" t="s">
        <v>78</v>
      </c>
      <c r="HPE11" s="256" t="s">
        <v>79</v>
      </c>
      <c r="HPF11" s="256" t="s">
        <v>80</v>
      </c>
      <c r="HPG11" s="256" t="s">
        <v>81</v>
      </c>
      <c r="HPH11" s="283"/>
      <c r="HPI11" s="259" t="s">
        <v>55</v>
      </c>
      <c r="HPJ11" s="256" t="s">
        <v>76</v>
      </c>
      <c r="HPK11" s="256" t="s">
        <v>77</v>
      </c>
      <c r="HPL11" s="256" t="s">
        <v>78</v>
      </c>
      <c r="HPM11" s="256" t="s">
        <v>79</v>
      </c>
      <c r="HPN11" s="256" t="s">
        <v>80</v>
      </c>
      <c r="HPO11" s="58" t="s">
        <v>81</v>
      </c>
      <c r="HPP11" s="284"/>
      <c r="HPQ11" s="259" t="s">
        <v>55</v>
      </c>
      <c r="HPR11" s="256" t="s">
        <v>76</v>
      </c>
      <c r="HPS11" s="256" t="s">
        <v>77</v>
      </c>
      <c r="HPT11" s="256" t="s">
        <v>78</v>
      </c>
      <c r="HPU11" s="256" t="s">
        <v>79</v>
      </c>
      <c r="HPV11" s="256" t="s">
        <v>80</v>
      </c>
      <c r="HPW11" s="256" t="s">
        <v>81</v>
      </c>
      <c r="HPX11" s="283"/>
      <c r="HPY11" s="259" t="s">
        <v>55</v>
      </c>
      <c r="HPZ11" s="256" t="s">
        <v>76</v>
      </c>
      <c r="HQA11" s="256" t="s">
        <v>77</v>
      </c>
      <c r="HQB11" s="256" t="s">
        <v>78</v>
      </c>
      <c r="HQC11" s="256" t="s">
        <v>79</v>
      </c>
      <c r="HQD11" s="256" t="s">
        <v>80</v>
      </c>
      <c r="HQE11" s="58" t="s">
        <v>81</v>
      </c>
      <c r="HQF11" s="284"/>
      <c r="HQG11" s="259" t="s">
        <v>55</v>
      </c>
      <c r="HQH11" s="256" t="s">
        <v>76</v>
      </c>
      <c r="HQI11" s="256" t="s">
        <v>77</v>
      </c>
      <c r="HQJ11" s="256" t="s">
        <v>78</v>
      </c>
      <c r="HQK11" s="256" t="s">
        <v>79</v>
      </c>
      <c r="HQL11" s="256" t="s">
        <v>80</v>
      </c>
      <c r="HQM11" s="256" t="s">
        <v>81</v>
      </c>
      <c r="HQN11" s="283"/>
      <c r="HQO11" s="259" t="s">
        <v>55</v>
      </c>
      <c r="HQP11" s="256" t="s">
        <v>76</v>
      </c>
      <c r="HQQ11" s="256" t="s">
        <v>77</v>
      </c>
      <c r="HQR11" s="256" t="s">
        <v>78</v>
      </c>
      <c r="HQS11" s="256" t="s">
        <v>79</v>
      </c>
      <c r="HQT11" s="256" t="s">
        <v>80</v>
      </c>
      <c r="HQU11" s="58" t="s">
        <v>81</v>
      </c>
      <c r="HQV11" s="284"/>
      <c r="HQW11" s="259" t="s">
        <v>55</v>
      </c>
      <c r="HQX11" s="256" t="s">
        <v>76</v>
      </c>
      <c r="HQY11" s="256" t="s">
        <v>77</v>
      </c>
      <c r="HQZ11" s="256" t="s">
        <v>78</v>
      </c>
      <c r="HRA11" s="256" t="s">
        <v>79</v>
      </c>
      <c r="HRB11" s="256" t="s">
        <v>80</v>
      </c>
      <c r="HRC11" s="256" t="s">
        <v>81</v>
      </c>
      <c r="HRD11" s="283"/>
      <c r="HRE11" s="259" t="s">
        <v>55</v>
      </c>
      <c r="HRF11" s="256" t="s">
        <v>76</v>
      </c>
      <c r="HRG11" s="256" t="s">
        <v>77</v>
      </c>
      <c r="HRH11" s="256" t="s">
        <v>78</v>
      </c>
      <c r="HRI11" s="256" t="s">
        <v>79</v>
      </c>
      <c r="HRJ11" s="256" t="s">
        <v>80</v>
      </c>
      <c r="HRK11" s="58" t="s">
        <v>81</v>
      </c>
      <c r="HRL11" s="284"/>
      <c r="HRM11" s="259" t="s">
        <v>55</v>
      </c>
      <c r="HRN11" s="256" t="s">
        <v>76</v>
      </c>
      <c r="HRO11" s="256" t="s">
        <v>77</v>
      </c>
      <c r="HRP11" s="256" t="s">
        <v>78</v>
      </c>
      <c r="HRQ11" s="256" t="s">
        <v>79</v>
      </c>
      <c r="HRR11" s="256" t="s">
        <v>80</v>
      </c>
      <c r="HRS11" s="256" t="s">
        <v>81</v>
      </c>
      <c r="HRT11" s="283"/>
      <c r="HRU11" s="259" t="s">
        <v>55</v>
      </c>
      <c r="HRV11" s="256" t="s">
        <v>76</v>
      </c>
      <c r="HRW11" s="256" t="s">
        <v>77</v>
      </c>
      <c r="HRX11" s="256" t="s">
        <v>78</v>
      </c>
      <c r="HRY11" s="256" t="s">
        <v>79</v>
      </c>
      <c r="HRZ11" s="256" t="s">
        <v>80</v>
      </c>
      <c r="HSA11" s="58" t="s">
        <v>81</v>
      </c>
      <c r="HSB11" s="284"/>
      <c r="HSC11" s="259" t="s">
        <v>55</v>
      </c>
      <c r="HSD11" s="256" t="s">
        <v>76</v>
      </c>
      <c r="HSE11" s="256" t="s">
        <v>77</v>
      </c>
      <c r="HSF11" s="256" t="s">
        <v>78</v>
      </c>
      <c r="HSG11" s="256" t="s">
        <v>79</v>
      </c>
      <c r="HSH11" s="256" t="s">
        <v>80</v>
      </c>
      <c r="HSI11" s="256" t="s">
        <v>81</v>
      </c>
      <c r="HSJ11" s="283"/>
      <c r="HSK11" s="259" t="s">
        <v>55</v>
      </c>
      <c r="HSL11" s="256" t="s">
        <v>76</v>
      </c>
      <c r="HSM11" s="256" t="s">
        <v>77</v>
      </c>
      <c r="HSN11" s="256" t="s">
        <v>78</v>
      </c>
      <c r="HSO11" s="256" t="s">
        <v>79</v>
      </c>
      <c r="HSP11" s="256" t="s">
        <v>80</v>
      </c>
      <c r="HSQ11" s="58" t="s">
        <v>81</v>
      </c>
      <c r="HSR11" s="284"/>
      <c r="HSS11" s="259" t="s">
        <v>55</v>
      </c>
      <c r="HST11" s="256" t="s">
        <v>76</v>
      </c>
      <c r="HSU11" s="256" t="s">
        <v>77</v>
      </c>
      <c r="HSV11" s="256" t="s">
        <v>78</v>
      </c>
      <c r="HSW11" s="256" t="s">
        <v>79</v>
      </c>
      <c r="HSX11" s="256" t="s">
        <v>80</v>
      </c>
      <c r="HSY11" s="256" t="s">
        <v>81</v>
      </c>
      <c r="HSZ11" s="283"/>
      <c r="HTA11" s="259" t="s">
        <v>55</v>
      </c>
      <c r="HTB11" s="256" t="s">
        <v>76</v>
      </c>
      <c r="HTC11" s="256" t="s">
        <v>77</v>
      </c>
      <c r="HTD11" s="256" t="s">
        <v>78</v>
      </c>
      <c r="HTE11" s="256" t="s">
        <v>79</v>
      </c>
      <c r="HTF11" s="256" t="s">
        <v>80</v>
      </c>
      <c r="HTG11" s="58" t="s">
        <v>81</v>
      </c>
      <c r="HTH11" s="284"/>
      <c r="HTI11" s="259" t="s">
        <v>55</v>
      </c>
      <c r="HTJ11" s="256" t="s">
        <v>76</v>
      </c>
      <c r="HTK11" s="256" t="s">
        <v>77</v>
      </c>
      <c r="HTL11" s="256" t="s">
        <v>78</v>
      </c>
      <c r="HTM11" s="256" t="s">
        <v>79</v>
      </c>
      <c r="HTN11" s="256" t="s">
        <v>80</v>
      </c>
      <c r="HTO11" s="256" t="s">
        <v>81</v>
      </c>
      <c r="HTP11" s="283"/>
      <c r="HTQ11" s="259" t="s">
        <v>55</v>
      </c>
      <c r="HTR11" s="256" t="s">
        <v>76</v>
      </c>
      <c r="HTS11" s="256" t="s">
        <v>77</v>
      </c>
      <c r="HTT11" s="256" t="s">
        <v>78</v>
      </c>
      <c r="HTU11" s="256" t="s">
        <v>79</v>
      </c>
      <c r="HTV11" s="256" t="s">
        <v>80</v>
      </c>
      <c r="HTW11" s="58" t="s">
        <v>81</v>
      </c>
      <c r="HTX11" s="284"/>
      <c r="HTY11" s="259" t="s">
        <v>55</v>
      </c>
      <c r="HTZ11" s="256" t="s">
        <v>76</v>
      </c>
      <c r="HUA11" s="256" t="s">
        <v>77</v>
      </c>
      <c r="HUB11" s="256" t="s">
        <v>78</v>
      </c>
      <c r="HUC11" s="256" t="s">
        <v>79</v>
      </c>
      <c r="HUD11" s="256" t="s">
        <v>80</v>
      </c>
      <c r="HUE11" s="256" t="s">
        <v>81</v>
      </c>
      <c r="HUF11" s="283"/>
      <c r="HUG11" s="259" t="s">
        <v>55</v>
      </c>
      <c r="HUH11" s="256" t="s">
        <v>76</v>
      </c>
      <c r="HUI11" s="256" t="s">
        <v>77</v>
      </c>
      <c r="HUJ11" s="256" t="s">
        <v>78</v>
      </c>
      <c r="HUK11" s="256" t="s">
        <v>79</v>
      </c>
      <c r="HUL11" s="256" t="s">
        <v>80</v>
      </c>
      <c r="HUM11" s="58" t="s">
        <v>81</v>
      </c>
      <c r="HUN11" s="284"/>
      <c r="HUO11" s="259" t="s">
        <v>55</v>
      </c>
      <c r="HUP11" s="256" t="s">
        <v>76</v>
      </c>
      <c r="HUQ11" s="256" t="s">
        <v>77</v>
      </c>
      <c r="HUR11" s="256" t="s">
        <v>78</v>
      </c>
      <c r="HUS11" s="256" t="s">
        <v>79</v>
      </c>
      <c r="HUT11" s="256" t="s">
        <v>80</v>
      </c>
      <c r="HUU11" s="256" t="s">
        <v>81</v>
      </c>
      <c r="HUV11" s="283"/>
      <c r="HUW11" s="259" t="s">
        <v>55</v>
      </c>
      <c r="HUX11" s="256" t="s">
        <v>76</v>
      </c>
      <c r="HUY11" s="256" t="s">
        <v>77</v>
      </c>
      <c r="HUZ11" s="256" t="s">
        <v>78</v>
      </c>
      <c r="HVA11" s="256" t="s">
        <v>79</v>
      </c>
      <c r="HVB11" s="256" t="s">
        <v>80</v>
      </c>
      <c r="HVC11" s="58" t="s">
        <v>81</v>
      </c>
      <c r="HVD11" s="284"/>
      <c r="HVE11" s="259" t="s">
        <v>55</v>
      </c>
      <c r="HVF11" s="256" t="s">
        <v>76</v>
      </c>
      <c r="HVG11" s="256" t="s">
        <v>77</v>
      </c>
      <c r="HVH11" s="256" t="s">
        <v>78</v>
      </c>
      <c r="HVI11" s="256" t="s">
        <v>79</v>
      </c>
      <c r="HVJ11" s="256" t="s">
        <v>80</v>
      </c>
      <c r="HVK11" s="256" t="s">
        <v>81</v>
      </c>
      <c r="HVL11" s="283"/>
      <c r="HVM11" s="259" t="s">
        <v>55</v>
      </c>
      <c r="HVN11" s="256" t="s">
        <v>76</v>
      </c>
      <c r="HVO11" s="256" t="s">
        <v>77</v>
      </c>
      <c r="HVP11" s="256" t="s">
        <v>78</v>
      </c>
      <c r="HVQ11" s="256" t="s">
        <v>79</v>
      </c>
      <c r="HVR11" s="256" t="s">
        <v>80</v>
      </c>
      <c r="HVS11" s="58" t="s">
        <v>81</v>
      </c>
      <c r="HVT11" s="284"/>
      <c r="HVU11" s="259" t="s">
        <v>55</v>
      </c>
      <c r="HVV11" s="256" t="s">
        <v>76</v>
      </c>
      <c r="HVW11" s="256" t="s">
        <v>77</v>
      </c>
      <c r="HVX11" s="256" t="s">
        <v>78</v>
      </c>
      <c r="HVY11" s="256" t="s">
        <v>79</v>
      </c>
      <c r="HVZ11" s="256" t="s">
        <v>80</v>
      </c>
      <c r="HWA11" s="256" t="s">
        <v>81</v>
      </c>
      <c r="HWB11" s="283"/>
      <c r="HWC11" s="259" t="s">
        <v>55</v>
      </c>
      <c r="HWD11" s="256" t="s">
        <v>76</v>
      </c>
      <c r="HWE11" s="256" t="s">
        <v>77</v>
      </c>
      <c r="HWF11" s="256" t="s">
        <v>78</v>
      </c>
      <c r="HWG11" s="256" t="s">
        <v>79</v>
      </c>
      <c r="HWH11" s="256" t="s">
        <v>80</v>
      </c>
      <c r="HWI11" s="58" t="s">
        <v>81</v>
      </c>
      <c r="HWJ11" s="284"/>
      <c r="HWK11" s="259" t="s">
        <v>55</v>
      </c>
      <c r="HWL11" s="256" t="s">
        <v>76</v>
      </c>
      <c r="HWM11" s="256" t="s">
        <v>77</v>
      </c>
      <c r="HWN11" s="256" t="s">
        <v>78</v>
      </c>
      <c r="HWO11" s="256" t="s">
        <v>79</v>
      </c>
      <c r="HWP11" s="256" t="s">
        <v>80</v>
      </c>
      <c r="HWQ11" s="256" t="s">
        <v>81</v>
      </c>
      <c r="HWR11" s="283"/>
      <c r="HWS11" s="259" t="s">
        <v>55</v>
      </c>
      <c r="HWT11" s="256" t="s">
        <v>76</v>
      </c>
      <c r="HWU11" s="256" t="s">
        <v>77</v>
      </c>
      <c r="HWV11" s="256" t="s">
        <v>78</v>
      </c>
      <c r="HWW11" s="256" t="s">
        <v>79</v>
      </c>
      <c r="HWX11" s="256" t="s">
        <v>80</v>
      </c>
      <c r="HWY11" s="58" t="s">
        <v>81</v>
      </c>
      <c r="HWZ11" s="284"/>
      <c r="HXA11" s="259" t="s">
        <v>55</v>
      </c>
      <c r="HXB11" s="256" t="s">
        <v>76</v>
      </c>
      <c r="HXC11" s="256" t="s">
        <v>77</v>
      </c>
      <c r="HXD11" s="256" t="s">
        <v>78</v>
      </c>
      <c r="HXE11" s="256" t="s">
        <v>79</v>
      </c>
      <c r="HXF11" s="256" t="s">
        <v>80</v>
      </c>
      <c r="HXG11" s="256" t="s">
        <v>81</v>
      </c>
      <c r="HXH11" s="283"/>
      <c r="HXI11" s="259" t="s">
        <v>55</v>
      </c>
      <c r="HXJ11" s="256" t="s">
        <v>76</v>
      </c>
      <c r="HXK11" s="256" t="s">
        <v>77</v>
      </c>
      <c r="HXL11" s="256" t="s">
        <v>78</v>
      </c>
      <c r="HXM11" s="256" t="s">
        <v>79</v>
      </c>
      <c r="HXN11" s="256" t="s">
        <v>80</v>
      </c>
      <c r="HXO11" s="58" t="s">
        <v>81</v>
      </c>
      <c r="HXP11" s="284"/>
      <c r="HXQ11" s="259" t="s">
        <v>55</v>
      </c>
      <c r="HXR11" s="256" t="s">
        <v>76</v>
      </c>
      <c r="HXS11" s="256" t="s">
        <v>77</v>
      </c>
      <c r="HXT11" s="256" t="s">
        <v>78</v>
      </c>
      <c r="HXU11" s="256" t="s">
        <v>79</v>
      </c>
      <c r="HXV11" s="256" t="s">
        <v>80</v>
      </c>
      <c r="HXW11" s="256" t="s">
        <v>81</v>
      </c>
      <c r="HXX11" s="283"/>
      <c r="HXY11" s="259" t="s">
        <v>55</v>
      </c>
      <c r="HXZ11" s="256" t="s">
        <v>76</v>
      </c>
      <c r="HYA11" s="256" t="s">
        <v>77</v>
      </c>
      <c r="HYB11" s="256" t="s">
        <v>78</v>
      </c>
      <c r="HYC11" s="256" t="s">
        <v>79</v>
      </c>
      <c r="HYD11" s="256" t="s">
        <v>80</v>
      </c>
      <c r="HYE11" s="58" t="s">
        <v>81</v>
      </c>
      <c r="HYF11" s="284"/>
      <c r="HYG11" s="259" t="s">
        <v>55</v>
      </c>
      <c r="HYH11" s="256" t="s">
        <v>76</v>
      </c>
      <c r="HYI11" s="256" t="s">
        <v>77</v>
      </c>
      <c r="HYJ11" s="256" t="s">
        <v>78</v>
      </c>
      <c r="HYK11" s="256" t="s">
        <v>79</v>
      </c>
      <c r="HYL11" s="256" t="s">
        <v>80</v>
      </c>
      <c r="HYM11" s="256" t="s">
        <v>81</v>
      </c>
      <c r="HYN11" s="283"/>
      <c r="HYO11" s="259" t="s">
        <v>55</v>
      </c>
      <c r="HYP11" s="256" t="s">
        <v>76</v>
      </c>
      <c r="HYQ11" s="256" t="s">
        <v>77</v>
      </c>
      <c r="HYR11" s="256" t="s">
        <v>78</v>
      </c>
      <c r="HYS11" s="256" t="s">
        <v>79</v>
      </c>
      <c r="HYT11" s="256" t="s">
        <v>80</v>
      </c>
      <c r="HYU11" s="58" t="s">
        <v>81</v>
      </c>
      <c r="HYV11" s="284"/>
      <c r="HYW11" s="259" t="s">
        <v>55</v>
      </c>
      <c r="HYX11" s="256" t="s">
        <v>76</v>
      </c>
      <c r="HYY11" s="256" t="s">
        <v>77</v>
      </c>
      <c r="HYZ11" s="256" t="s">
        <v>78</v>
      </c>
      <c r="HZA11" s="256" t="s">
        <v>79</v>
      </c>
      <c r="HZB11" s="256" t="s">
        <v>80</v>
      </c>
      <c r="HZC11" s="256" t="s">
        <v>81</v>
      </c>
      <c r="HZD11" s="283"/>
      <c r="HZE11" s="259" t="s">
        <v>55</v>
      </c>
      <c r="HZF11" s="256" t="s">
        <v>76</v>
      </c>
      <c r="HZG11" s="256" t="s">
        <v>77</v>
      </c>
      <c r="HZH11" s="256" t="s">
        <v>78</v>
      </c>
      <c r="HZI11" s="256" t="s">
        <v>79</v>
      </c>
      <c r="HZJ11" s="256" t="s">
        <v>80</v>
      </c>
      <c r="HZK11" s="58" t="s">
        <v>81</v>
      </c>
      <c r="HZL11" s="284"/>
      <c r="HZM11" s="259" t="s">
        <v>55</v>
      </c>
      <c r="HZN11" s="256" t="s">
        <v>76</v>
      </c>
      <c r="HZO11" s="256" t="s">
        <v>77</v>
      </c>
      <c r="HZP11" s="256" t="s">
        <v>78</v>
      </c>
      <c r="HZQ11" s="256" t="s">
        <v>79</v>
      </c>
      <c r="HZR11" s="256" t="s">
        <v>80</v>
      </c>
      <c r="HZS11" s="256" t="s">
        <v>81</v>
      </c>
      <c r="HZT11" s="283"/>
      <c r="HZU11" s="259" t="s">
        <v>55</v>
      </c>
      <c r="HZV11" s="256" t="s">
        <v>76</v>
      </c>
      <c r="HZW11" s="256" t="s">
        <v>77</v>
      </c>
      <c r="HZX11" s="256" t="s">
        <v>78</v>
      </c>
      <c r="HZY11" s="256" t="s">
        <v>79</v>
      </c>
      <c r="HZZ11" s="256" t="s">
        <v>80</v>
      </c>
      <c r="IAA11" s="58" t="s">
        <v>81</v>
      </c>
      <c r="IAB11" s="284"/>
      <c r="IAC11" s="259" t="s">
        <v>55</v>
      </c>
      <c r="IAD11" s="256" t="s">
        <v>76</v>
      </c>
      <c r="IAE11" s="256" t="s">
        <v>77</v>
      </c>
      <c r="IAF11" s="256" t="s">
        <v>78</v>
      </c>
      <c r="IAG11" s="256" t="s">
        <v>79</v>
      </c>
      <c r="IAH11" s="256" t="s">
        <v>80</v>
      </c>
      <c r="IAI11" s="256" t="s">
        <v>81</v>
      </c>
      <c r="IAJ11" s="283"/>
      <c r="IAK11" s="259" t="s">
        <v>55</v>
      </c>
      <c r="IAL11" s="256" t="s">
        <v>76</v>
      </c>
      <c r="IAM11" s="256" t="s">
        <v>77</v>
      </c>
      <c r="IAN11" s="256" t="s">
        <v>78</v>
      </c>
      <c r="IAO11" s="256" t="s">
        <v>79</v>
      </c>
      <c r="IAP11" s="256" t="s">
        <v>80</v>
      </c>
      <c r="IAQ11" s="58" t="s">
        <v>81</v>
      </c>
      <c r="IAR11" s="284"/>
      <c r="IAS11" s="259" t="s">
        <v>55</v>
      </c>
      <c r="IAT11" s="256" t="s">
        <v>76</v>
      </c>
      <c r="IAU11" s="256" t="s">
        <v>77</v>
      </c>
      <c r="IAV11" s="256" t="s">
        <v>78</v>
      </c>
      <c r="IAW11" s="256" t="s">
        <v>79</v>
      </c>
      <c r="IAX11" s="256" t="s">
        <v>80</v>
      </c>
      <c r="IAY11" s="256" t="s">
        <v>81</v>
      </c>
      <c r="IAZ11" s="283"/>
      <c r="IBA11" s="259" t="s">
        <v>55</v>
      </c>
      <c r="IBB11" s="256" t="s">
        <v>76</v>
      </c>
      <c r="IBC11" s="256" t="s">
        <v>77</v>
      </c>
      <c r="IBD11" s="256" t="s">
        <v>78</v>
      </c>
      <c r="IBE11" s="256" t="s">
        <v>79</v>
      </c>
      <c r="IBF11" s="256" t="s">
        <v>80</v>
      </c>
      <c r="IBG11" s="58" t="s">
        <v>81</v>
      </c>
      <c r="IBH11" s="284"/>
      <c r="IBI11" s="259" t="s">
        <v>55</v>
      </c>
      <c r="IBJ11" s="256" t="s">
        <v>76</v>
      </c>
      <c r="IBK11" s="256" t="s">
        <v>77</v>
      </c>
      <c r="IBL11" s="256" t="s">
        <v>78</v>
      </c>
      <c r="IBM11" s="256" t="s">
        <v>79</v>
      </c>
      <c r="IBN11" s="256" t="s">
        <v>80</v>
      </c>
      <c r="IBO11" s="256" t="s">
        <v>81</v>
      </c>
      <c r="IBP11" s="283"/>
      <c r="IBQ11" s="259" t="s">
        <v>55</v>
      </c>
      <c r="IBR11" s="256" t="s">
        <v>76</v>
      </c>
      <c r="IBS11" s="256" t="s">
        <v>77</v>
      </c>
      <c r="IBT11" s="256" t="s">
        <v>78</v>
      </c>
      <c r="IBU11" s="256" t="s">
        <v>79</v>
      </c>
      <c r="IBV11" s="256" t="s">
        <v>80</v>
      </c>
      <c r="IBW11" s="58" t="s">
        <v>81</v>
      </c>
      <c r="IBX11" s="284"/>
      <c r="IBY11" s="259" t="s">
        <v>55</v>
      </c>
      <c r="IBZ11" s="256" t="s">
        <v>76</v>
      </c>
      <c r="ICA11" s="256" t="s">
        <v>77</v>
      </c>
      <c r="ICB11" s="256" t="s">
        <v>78</v>
      </c>
      <c r="ICC11" s="256" t="s">
        <v>79</v>
      </c>
      <c r="ICD11" s="256" t="s">
        <v>80</v>
      </c>
      <c r="ICE11" s="256" t="s">
        <v>81</v>
      </c>
      <c r="ICF11" s="283"/>
      <c r="ICG11" s="259" t="s">
        <v>55</v>
      </c>
      <c r="ICH11" s="256" t="s">
        <v>76</v>
      </c>
      <c r="ICI11" s="256" t="s">
        <v>77</v>
      </c>
      <c r="ICJ11" s="256" t="s">
        <v>78</v>
      </c>
      <c r="ICK11" s="256" t="s">
        <v>79</v>
      </c>
      <c r="ICL11" s="256" t="s">
        <v>80</v>
      </c>
      <c r="ICM11" s="58" t="s">
        <v>81</v>
      </c>
      <c r="ICN11" s="284"/>
      <c r="ICO11" s="259" t="s">
        <v>55</v>
      </c>
      <c r="ICP11" s="256" t="s">
        <v>76</v>
      </c>
      <c r="ICQ11" s="256" t="s">
        <v>77</v>
      </c>
      <c r="ICR11" s="256" t="s">
        <v>78</v>
      </c>
      <c r="ICS11" s="256" t="s">
        <v>79</v>
      </c>
      <c r="ICT11" s="256" t="s">
        <v>80</v>
      </c>
      <c r="ICU11" s="256" t="s">
        <v>81</v>
      </c>
      <c r="ICV11" s="283"/>
      <c r="ICW11" s="259" t="s">
        <v>55</v>
      </c>
      <c r="ICX11" s="256" t="s">
        <v>76</v>
      </c>
      <c r="ICY11" s="256" t="s">
        <v>77</v>
      </c>
      <c r="ICZ11" s="256" t="s">
        <v>78</v>
      </c>
      <c r="IDA11" s="256" t="s">
        <v>79</v>
      </c>
      <c r="IDB11" s="256" t="s">
        <v>80</v>
      </c>
      <c r="IDC11" s="58" t="s">
        <v>81</v>
      </c>
      <c r="IDD11" s="284"/>
      <c r="IDE11" s="259" t="s">
        <v>55</v>
      </c>
      <c r="IDF11" s="256" t="s">
        <v>76</v>
      </c>
      <c r="IDG11" s="256" t="s">
        <v>77</v>
      </c>
      <c r="IDH11" s="256" t="s">
        <v>78</v>
      </c>
      <c r="IDI11" s="256" t="s">
        <v>79</v>
      </c>
      <c r="IDJ11" s="256" t="s">
        <v>80</v>
      </c>
      <c r="IDK11" s="256" t="s">
        <v>81</v>
      </c>
      <c r="IDL11" s="283"/>
      <c r="IDM11" s="259" t="s">
        <v>55</v>
      </c>
      <c r="IDN11" s="256" t="s">
        <v>76</v>
      </c>
      <c r="IDO11" s="256" t="s">
        <v>77</v>
      </c>
      <c r="IDP11" s="256" t="s">
        <v>78</v>
      </c>
      <c r="IDQ11" s="256" t="s">
        <v>79</v>
      </c>
      <c r="IDR11" s="256" t="s">
        <v>80</v>
      </c>
      <c r="IDS11" s="58" t="s">
        <v>81</v>
      </c>
      <c r="IDT11" s="284"/>
      <c r="IDU11" s="259" t="s">
        <v>55</v>
      </c>
      <c r="IDV11" s="256" t="s">
        <v>76</v>
      </c>
      <c r="IDW11" s="256" t="s">
        <v>77</v>
      </c>
      <c r="IDX11" s="256" t="s">
        <v>78</v>
      </c>
      <c r="IDY11" s="256" t="s">
        <v>79</v>
      </c>
      <c r="IDZ11" s="256" t="s">
        <v>80</v>
      </c>
      <c r="IEA11" s="256" t="s">
        <v>81</v>
      </c>
      <c r="IEB11" s="283"/>
      <c r="IEC11" s="259" t="s">
        <v>55</v>
      </c>
      <c r="IED11" s="256" t="s">
        <v>76</v>
      </c>
      <c r="IEE11" s="256" t="s">
        <v>77</v>
      </c>
      <c r="IEF11" s="256" t="s">
        <v>78</v>
      </c>
      <c r="IEG11" s="256" t="s">
        <v>79</v>
      </c>
      <c r="IEH11" s="256" t="s">
        <v>80</v>
      </c>
      <c r="IEI11" s="58" t="s">
        <v>81</v>
      </c>
      <c r="IEJ11" s="284"/>
      <c r="IEK11" s="259" t="s">
        <v>55</v>
      </c>
      <c r="IEL11" s="256" t="s">
        <v>76</v>
      </c>
      <c r="IEM11" s="256" t="s">
        <v>77</v>
      </c>
      <c r="IEN11" s="256" t="s">
        <v>78</v>
      </c>
      <c r="IEO11" s="256" t="s">
        <v>79</v>
      </c>
      <c r="IEP11" s="256" t="s">
        <v>80</v>
      </c>
      <c r="IEQ11" s="256" t="s">
        <v>81</v>
      </c>
      <c r="IER11" s="283"/>
      <c r="IES11" s="259" t="s">
        <v>55</v>
      </c>
      <c r="IET11" s="256" t="s">
        <v>76</v>
      </c>
      <c r="IEU11" s="256" t="s">
        <v>77</v>
      </c>
      <c r="IEV11" s="256" t="s">
        <v>78</v>
      </c>
      <c r="IEW11" s="256" t="s">
        <v>79</v>
      </c>
      <c r="IEX11" s="256" t="s">
        <v>80</v>
      </c>
      <c r="IEY11" s="58" t="s">
        <v>81</v>
      </c>
      <c r="IEZ11" s="284"/>
      <c r="IFA11" s="259" t="s">
        <v>55</v>
      </c>
      <c r="IFB11" s="256" t="s">
        <v>76</v>
      </c>
      <c r="IFC11" s="256" t="s">
        <v>77</v>
      </c>
      <c r="IFD11" s="256" t="s">
        <v>78</v>
      </c>
      <c r="IFE11" s="256" t="s">
        <v>79</v>
      </c>
      <c r="IFF11" s="256" t="s">
        <v>80</v>
      </c>
      <c r="IFG11" s="256" t="s">
        <v>81</v>
      </c>
      <c r="IFH11" s="283"/>
      <c r="IFI11" s="259" t="s">
        <v>55</v>
      </c>
      <c r="IFJ11" s="256" t="s">
        <v>76</v>
      </c>
      <c r="IFK11" s="256" t="s">
        <v>77</v>
      </c>
      <c r="IFL11" s="256" t="s">
        <v>78</v>
      </c>
      <c r="IFM11" s="256" t="s">
        <v>79</v>
      </c>
      <c r="IFN11" s="256" t="s">
        <v>80</v>
      </c>
      <c r="IFO11" s="58" t="s">
        <v>81</v>
      </c>
      <c r="IFP11" s="284"/>
      <c r="IFQ11" s="259" t="s">
        <v>55</v>
      </c>
      <c r="IFR11" s="256" t="s">
        <v>76</v>
      </c>
      <c r="IFS11" s="256" t="s">
        <v>77</v>
      </c>
      <c r="IFT11" s="256" t="s">
        <v>78</v>
      </c>
      <c r="IFU11" s="256" t="s">
        <v>79</v>
      </c>
      <c r="IFV11" s="256" t="s">
        <v>80</v>
      </c>
      <c r="IFW11" s="256" t="s">
        <v>81</v>
      </c>
      <c r="IFX11" s="283"/>
      <c r="IFY11" s="259" t="s">
        <v>55</v>
      </c>
      <c r="IFZ11" s="256" t="s">
        <v>76</v>
      </c>
      <c r="IGA11" s="256" t="s">
        <v>77</v>
      </c>
      <c r="IGB11" s="256" t="s">
        <v>78</v>
      </c>
      <c r="IGC11" s="256" t="s">
        <v>79</v>
      </c>
      <c r="IGD11" s="256" t="s">
        <v>80</v>
      </c>
      <c r="IGE11" s="58" t="s">
        <v>81</v>
      </c>
      <c r="IGF11" s="284"/>
      <c r="IGG11" s="259" t="s">
        <v>55</v>
      </c>
      <c r="IGH11" s="256" t="s">
        <v>76</v>
      </c>
      <c r="IGI11" s="256" t="s">
        <v>77</v>
      </c>
      <c r="IGJ11" s="256" t="s">
        <v>78</v>
      </c>
      <c r="IGK11" s="256" t="s">
        <v>79</v>
      </c>
      <c r="IGL11" s="256" t="s">
        <v>80</v>
      </c>
      <c r="IGM11" s="256" t="s">
        <v>81</v>
      </c>
      <c r="IGN11" s="283"/>
      <c r="IGO11" s="259" t="s">
        <v>55</v>
      </c>
      <c r="IGP11" s="256" t="s">
        <v>76</v>
      </c>
      <c r="IGQ11" s="256" t="s">
        <v>77</v>
      </c>
      <c r="IGR11" s="256" t="s">
        <v>78</v>
      </c>
      <c r="IGS11" s="256" t="s">
        <v>79</v>
      </c>
      <c r="IGT11" s="256" t="s">
        <v>80</v>
      </c>
      <c r="IGU11" s="58" t="s">
        <v>81</v>
      </c>
      <c r="IGV11" s="284"/>
      <c r="IGW11" s="259" t="s">
        <v>55</v>
      </c>
      <c r="IGX11" s="256" t="s">
        <v>76</v>
      </c>
      <c r="IGY11" s="256" t="s">
        <v>77</v>
      </c>
      <c r="IGZ11" s="256" t="s">
        <v>78</v>
      </c>
      <c r="IHA11" s="256" t="s">
        <v>79</v>
      </c>
      <c r="IHB11" s="256" t="s">
        <v>80</v>
      </c>
      <c r="IHC11" s="256" t="s">
        <v>81</v>
      </c>
      <c r="IHD11" s="283"/>
      <c r="IHE11" s="259" t="s">
        <v>55</v>
      </c>
      <c r="IHF11" s="256" t="s">
        <v>76</v>
      </c>
      <c r="IHG11" s="256" t="s">
        <v>77</v>
      </c>
      <c r="IHH11" s="256" t="s">
        <v>78</v>
      </c>
      <c r="IHI11" s="256" t="s">
        <v>79</v>
      </c>
      <c r="IHJ11" s="256" t="s">
        <v>80</v>
      </c>
      <c r="IHK11" s="58" t="s">
        <v>81</v>
      </c>
      <c r="IHL11" s="284"/>
      <c r="IHM11" s="259" t="s">
        <v>55</v>
      </c>
      <c r="IHN11" s="256" t="s">
        <v>76</v>
      </c>
      <c r="IHO11" s="256" t="s">
        <v>77</v>
      </c>
      <c r="IHP11" s="256" t="s">
        <v>78</v>
      </c>
      <c r="IHQ11" s="256" t="s">
        <v>79</v>
      </c>
      <c r="IHR11" s="256" t="s">
        <v>80</v>
      </c>
      <c r="IHS11" s="256" t="s">
        <v>81</v>
      </c>
      <c r="IHT11" s="283"/>
      <c r="IHU11" s="259" t="s">
        <v>55</v>
      </c>
      <c r="IHV11" s="256" t="s">
        <v>76</v>
      </c>
      <c r="IHW11" s="256" t="s">
        <v>77</v>
      </c>
      <c r="IHX11" s="256" t="s">
        <v>78</v>
      </c>
      <c r="IHY11" s="256" t="s">
        <v>79</v>
      </c>
      <c r="IHZ11" s="256" t="s">
        <v>80</v>
      </c>
      <c r="IIA11" s="58" t="s">
        <v>81</v>
      </c>
      <c r="IIB11" s="284"/>
      <c r="IIC11" s="259" t="s">
        <v>55</v>
      </c>
      <c r="IID11" s="256" t="s">
        <v>76</v>
      </c>
      <c r="IIE11" s="256" t="s">
        <v>77</v>
      </c>
      <c r="IIF11" s="256" t="s">
        <v>78</v>
      </c>
      <c r="IIG11" s="256" t="s">
        <v>79</v>
      </c>
      <c r="IIH11" s="256" t="s">
        <v>80</v>
      </c>
      <c r="III11" s="256" t="s">
        <v>81</v>
      </c>
      <c r="IIJ11" s="283"/>
      <c r="IIK11" s="259" t="s">
        <v>55</v>
      </c>
      <c r="IIL11" s="256" t="s">
        <v>76</v>
      </c>
      <c r="IIM11" s="256" t="s">
        <v>77</v>
      </c>
      <c r="IIN11" s="256" t="s">
        <v>78</v>
      </c>
      <c r="IIO11" s="256" t="s">
        <v>79</v>
      </c>
      <c r="IIP11" s="256" t="s">
        <v>80</v>
      </c>
      <c r="IIQ11" s="58" t="s">
        <v>81</v>
      </c>
      <c r="IIR11" s="284"/>
      <c r="IIS11" s="259" t="s">
        <v>55</v>
      </c>
      <c r="IIT11" s="256" t="s">
        <v>76</v>
      </c>
      <c r="IIU11" s="256" t="s">
        <v>77</v>
      </c>
      <c r="IIV11" s="256" t="s">
        <v>78</v>
      </c>
      <c r="IIW11" s="256" t="s">
        <v>79</v>
      </c>
      <c r="IIX11" s="256" t="s">
        <v>80</v>
      </c>
      <c r="IIY11" s="256" t="s">
        <v>81</v>
      </c>
      <c r="IIZ11" s="283"/>
      <c r="IJA11" s="259" t="s">
        <v>55</v>
      </c>
      <c r="IJB11" s="256" t="s">
        <v>76</v>
      </c>
      <c r="IJC11" s="256" t="s">
        <v>77</v>
      </c>
      <c r="IJD11" s="256" t="s">
        <v>78</v>
      </c>
      <c r="IJE11" s="256" t="s">
        <v>79</v>
      </c>
      <c r="IJF11" s="256" t="s">
        <v>80</v>
      </c>
      <c r="IJG11" s="58" t="s">
        <v>81</v>
      </c>
      <c r="IJH11" s="284"/>
      <c r="IJI11" s="259" t="s">
        <v>55</v>
      </c>
      <c r="IJJ11" s="256" t="s">
        <v>76</v>
      </c>
      <c r="IJK11" s="256" t="s">
        <v>77</v>
      </c>
      <c r="IJL11" s="256" t="s">
        <v>78</v>
      </c>
      <c r="IJM11" s="256" t="s">
        <v>79</v>
      </c>
      <c r="IJN11" s="256" t="s">
        <v>80</v>
      </c>
      <c r="IJO11" s="256" t="s">
        <v>81</v>
      </c>
      <c r="IJP11" s="283"/>
      <c r="IJQ11" s="259" t="s">
        <v>55</v>
      </c>
      <c r="IJR11" s="256" t="s">
        <v>76</v>
      </c>
      <c r="IJS11" s="256" t="s">
        <v>77</v>
      </c>
      <c r="IJT11" s="256" t="s">
        <v>78</v>
      </c>
      <c r="IJU11" s="256" t="s">
        <v>79</v>
      </c>
      <c r="IJV11" s="256" t="s">
        <v>80</v>
      </c>
      <c r="IJW11" s="58" t="s">
        <v>81</v>
      </c>
      <c r="IJX11" s="284"/>
      <c r="IJY11" s="259" t="s">
        <v>55</v>
      </c>
      <c r="IJZ11" s="256" t="s">
        <v>76</v>
      </c>
      <c r="IKA11" s="256" t="s">
        <v>77</v>
      </c>
      <c r="IKB11" s="256" t="s">
        <v>78</v>
      </c>
      <c r="IKC11" s="256" t="s">
        <v>79</v>
      </c>
      <c r="IKD11" s="256" t="s">
        <v>80</v>
      </c>
      <c r="IKE11" s="256" t="s">
        <v>81</v>
      </c>
      <c r="IKF11" s="283"/>
      <c r="IKG11" s="259" t="s">
        <v>55</v>
      </c>
      <c r="IKH11" s="256" t="s">
        <v>76</v>
      </c>
      <c r="IKI11" s="256" t="s">
        <v>77</v>
      </c>
      <c r="IKJ11" s="256" t="s">
        <v>78</v>
      </c>
      <c r="IKK11" s="256" t="s">
        <v>79</v>
      </c>
      <c r="IKL11" s="256" t="s">
        <v>80</v>
      </c>
      <c r="IKM11" s="58" t="s">
        <v>81</v>
      </c>
      <c r="IKN11" s="284"/>
      <c r="IKO11" s="259" t="s">
        <v>55</v>
      </c>
      <c r="IKP11" s="256" t="s">
        <v>76</v>
      </c>
      <c r="IKQ11" s="256" t="s">
        <v>77</v>
      </c>
      <c r="IKR11" s="256" t="s">
        <v>78</v>
      </c>
      <c r="IKS11" s="256" t="s">
        <v>79</v>
      </c>
      <c r="IKT11" s="256" t="s">
        <v>80</v>
      </c>
      <c r="IKU11" s="256" t="s">
        <v>81</v>
      </c>
      <c r="IKV11" s="283"/>
      <c r="IKW11" s="259" t="s">
        <v>55</v>
      </c>
      <c r="IKX11" s="256" t="s">
        <v>76</v>
      </c>
      <c r="IKY11" s="256" t="s">
        <v>77</v>
      </c>
      <c r="IKZ11" s="256" t="s">
        <v>78</v>
      </c>
      <c r="ILA11" s="256" t="s">
        <v>79</v>
      </c>
      <c r="ILB11" s="256" t="s">
        <v>80</v>
      </c>
      <c r="ILC11" s="58" t="s">
        <v>81</v>
      </c>
      <c r="ILD11" s="284"/>
      <c r="ILE11" s="259" t="s">
        <v>55</v>
      </c>
      <c r="ILF11" s="256" t="s">
        <v>76</v>
      </c>
      <c r="ILG11" s="256" t="s">
        <v>77</v>
      </c>
      <c r="ILH11" s="256" t="s">
        <v>78</v>
      </c>
      <c r="ILI11" s="256" t="s">
        <v>79</v>
      </c>
      <c r="ILJ11" s="256" t="s">
        <v>80</v>
      </c>
      <c r="ILK11" s="256" t="s">
        <v>81</v>
      </c>
      <c r="ILL11" s="283"/>
      <c r="ILM11" s="259" t="s">
        <v>55</v>
      </c>
      <c r="ILN11" s="256" t="s">
        <v>76</v>
      </c>
      <c r="ILO11" s="256" t="s">
        <v>77</v>
      </c>
      <c r="ILP11" s="256" t="s">
        <v>78</v>
      </c>
      <c r="ILQ11" s="256" t="s">
        <v>79</v>
      </c>
      <c r="ILR11" s="256" t="s">
        <v>80</v>
      </c>
      <c r="ILS11" s="58" t="s">
        <v>81</v>
      </c>
      <c r="ILT11" s="284"/>
      <c r="ILU11" s="259" t="s">
        <v>55</v>
      </c>
      <c r="ILV11" s="256" t="s">
        <v>76</v>
      </c>
      <c r="ILW11" s="256" t="s">
        <v>77</v>
      </c>
      <c r="ILX11" s="256" t="s">
        <v>78</v>
      </c>
      <c r="ILY11" s="256" t="s">
        <v>79</v>
      </c>
      <c r="ILZ11" s="256" t="s">
        <v>80</v>
      </c>
      <c r="IMA11" s="256" t="s">
        <v>81</v>
      </c>
      <c r="IMB11" s="283"/>
      <c r="IMC11" s="259" t="s">
        <v>55</v>
      </c>
      <c r="IMD11" s="256" t="s">
        <v>76</v>
      </c>
      <c r="IME11" s="256" t="s">
        <v>77</v>
      </c>
      <c r="IMF11" s="256" t="s">
        <v>78</v>
      </c>
      <c r="IMG11" s="256" t="s">
        <v>79</v>
      </c>
      <c r="IMH11" s="256" t="s">
        <v>80</v>
      </c>
      <c r="IMI11" s="58" t="s">
        <v>81</v>
      </c>
      <c r="IMJ11" s="284"/>
      <c r="IMK11" s="259" t="s">
        <v>55</v>
      </c>
      <c r="IML11" s="256" t="s">
        <v>76</v>
      </c>
      <c r="IMM11" s="256" t="s">
        <v>77</v>
      </c>
      <c r="IMN11" s="256" t="s">
        <v>78</v>
      </c>
      <c r="IMO11" s="256" t="s">
        <v>79</v>
      </c>
      <c r="IMP11" s="256" t="s">
        <v>80</v>
      </c>
      <c r="IMQ11" s="256" t="s">
        <v>81</v>
      </c>
      <c r="IMR11" s="283"/>
      <c r="IMS11" s="259" t="s">
        <v>55</v>
      </c>
      <c r="IMT11" s="256" t="s">
        <v>76</v>
      </c>
      <c r="IMU11" s="256" t="s">
        <v>77</v>
      </c>
      <c r="IMV11" s="256" t="s">
        <v>78</v>
      </c>
      <c r="IMW11" s="256" t="s">
        <v>79</v>
      </c>
      <c r="IMX11" s="256" t="s">
        <v>80</v>
      </c>
      <c r="IMY11" s="58" t="s">
        <v>81</v>
      </c>
      <c r="IMZ11" s="284"/>
      <c r="INA11" s="259" t="s">
        <v>55</v>
      </c>
      <c r="INB11" s="256" t="s">
        <v>76</v>
      </c>
      <c r="INC11" s="256" t="s">
        <v>77</v>
      </c>
      <c r="IND11" s="256" t="s">
        <v>78</v>
      </c>
      <c r="INE11" s="256" t="s">
        <v>79</v>
      </c>
      <c r="INF11" s="256" t="s">
        <v>80</v>
      </c>
      <c r="ING11" s="256" t="s">
        <v>81</v>
      </c>
      <c r="INH11" s="283"/>
      <c r="INI11" s="259" t="s">
        <v>55</v>
      </c>
      <c r="INJ11" s="256" t="s">
        <v>76</v>
      </c>
      <c r="INK11" s="256" t="s">
        <v>77</v>
      </c>
      <c r="INL11" s="256" t="s">
        <v>78</v>
      </c>
      <c r="INM11" s="256" t="s">
        <v>79</v>
      </c>
      <c r="INN11" s="256" t="s">
        <v>80</v>
      </c>
      <c r="INO11" s="58" t="s">
        <v>81</v>
      </c>
      <c r="INP11" s="284"/>
      <c r="INQ11" s="259" t="s">
        <v>55</v>
      </c>
      <c r="INR11" s="256" t="s">
        <v>76</v>
      </c>
      <c r="INS11" s="256" t="s">
        <v>77</v>
      </c>
      <c r="INT11" s="256" t="s">
        <v>78</v>
      </c>
      <c r="INU11" s="256" t="s">
        <v>79</v>
      </c>
      <c r="INV11" s="256" t="s">
        <v>80</v>
      </c>
      <c r="INW11" s="256" t="s">
        <v>81</v>
      </c>
      <c r="INX11" s="283"/>
      <c r="INY11" s="259" t="s">
        <v>55</v>
      </c>
      <c r="INZ11" s="256" t="s">
        <v>76</v>
      </c>
      <c r="IOA11" s="256" t="s">
        <v>77</v>
      </c>
      <c r="IOB11" s="256" t="s">
        <v>78</v>
      </c>
      <c r="IOC11" s="256" t="s">
        <v>79</v>
      </c>
      <c r="IOD11" s="256" t="s">
        <v>80</v>
      </c>
      <c r="IOE11" s="58" t="s">
        <v>81</v>
      </c>
      <c r="IOF11" s="284"/>
      <c r="IOG11" s="259" t="s">
        <v>55</v>
      </c>
      <c r="IOH11" s="256" t="s">
        <v>76</v>
      </c>
      <c r="IOI11" s="256" t="s">
        <v>77</v>
      </c>
      <c r="IOJ11" s="256" t="s">
        <v>78</v>
      </c>
      <c r="IOK11" s="256" t="s">
        <v>79</v>
      </c>
      <c r="IOL11" s="256" t="s">
        <v>80</v>
      </c>
      <c r="IOM11" s="256" t="s">
        <v>81</v>
      </c>
      <c r="ION11" s="283"/>
      <c r="IOO11" s="259" t="s">
        <v>55</v>
      </c>
      <c r="IOP11" s="256" t="s">
        <v>76</v>
      </c>
      <c r="IOQ11" s="256" t="s">
        <v>77</v>
      </c>
      <c r="IOR11" s="256" t="s">
        <v>78</v>
      </c>
      <c r="IOS11" s="256" t="s">
        <v>79</v>
      </c>
      <c r="IOT11" s="256" t="s">
        <v>80</v>
      </c>
      <c r="IOU11" s="58" t="s">
        <v>81</v>
      </c>
      <c r="IOV11" s="284"/>
      <c r="IOW11" s="259" t="s">
        <v>55</v>
      </c>
      <c r="IOX11" s="256" t="s">
        <v>76</v>
      </c>
      <c r="IOY11" s="256" t="s">
        <v>77</v>
      </c>
      <c r="IOZ11" s="256" t="s">
        <v>78</v>
      </c>
      <c r="IPA11" s="256" t="s">
        <v>79</v>
      </c>
      <c r="IPB11" s="256" t="s">
        <v>80</v>
      </c>
      <c r="IPC11" s="256" t="s">
        <v>81</v>
      </c>
      <c r="IPD11" s="283"/>
      <c r="IPE11" s="259" t="s">
        <v>55</v>
      </c>
      <c r="IPF11" s="256" t="s">
        <v>76</v>
      </c>
      <c r="IPG11" s="256" t="s">
        <v>77</v>
      </c>
      <c r="IPH11" s="256" t="s">
        <v>78</v>
      </c>
      <c r="IPI11" s="256" t="s">
        <v>79</v>
      </c>
      <c r="IPJ11" s="256" t="s">
        <v>80</v>
      </c>
      <c r="IPK11" s="58" t="s">
        <v>81</v>
      </c>
      <c r="IPL11" s="284"/>
      <c r="IPM11" s="259" t="s">
        <v>55</v>
      </c>
      <c r="IPN11" s="256" t="s">
        <v>76</v>
      </c>
      <c r="IPO11" s="256" t="s">
        <v>77</v>
      </c>
      <c r="IPP11" s="256" t="s">
        <v>78</v>
      </c>
      <c r="IPQ11" s="256" t="s">
        <v>79</v>
      </c>
      <c r="IPR11" s="256" t="s">
        <v>80</v>
      </c>
      <c r="IPS11" s="256" t="s">
        <v>81</v>
      </c>
      <c r="IPT11" s="283"/>
      <c r="IPU11" s="259" t="s">
        <v>55</v>
      </c>
      <c r="IPV11" s="256" t="s">
        <v>76</v>
      </c>
      <c r="IPW11" s="256" t="s">
        <v>77</v>
      </c>
      <c r="IPX11" s="256" t="s">
        <v>78</v>
      </c>
      <c r="IPY11" s="256" t="s">
        <v>79</v>
      </c>
      <c r="IPZ11" s="256" t="s">
        <v>80</v>
      </c>
      <c r="IQA11" s="58" t="s">
        <v>81</v>
      </c>
      <c r="IQB11" s="284"/>
      <c r="IQC11" s="259" t="s">
        <v>55</v>
      </c>
      <c r="IQD11" s="256" t="s">
        <v>76</v>
      </c>
      <c r="IQE11" s="256" t="s">
        <v>77</v>
      </c>
      <c r="IQF11" s="256" t="s">
        <v>78</v>
      </c>
      <c r="IQG11" s="256" t="s">
        <v>79</v>
      </c>
      <c r="IQH11" s="256" t="s">
        <v>80</v>
      </c>
      <c r="IQI11" s="256" t="s">
        <v>81</v>
      </c>
      <c r="IQJ11" s="283"/>
      <c r="IQK11" s="259" t="s">
        <v>55</v>
      </c>
      <c r="IQL11" s="256" t="s">
        <v>76</v>
      </c>
      <c r="IQM11" s="256" t="s">
        <v>77</v>
      </c>
      <c r="IQN11" s="256" t="s">
        <v>78</v>
      </c>
      <c r="IQO11" s="256" t="s">
        <v>79</v>
      </c>
      <c r="IQP11" s="256" t="s">
        <v>80</v>
      </c>
      <c r="IQQ11" s="58" t="s">
        <v>81</v>
      </c>
      <c r="IQR11" s="284"/>
      <c r="IQS11" s="259" t="s">
        <v>55</v>
      </c>
      <c r="IQT11" s="256" t="s">
        <v>76</v>
      </c>
      <c r="IQU11" s="256" t="s">
        <v>77</v>
      </c>
      <c r="IQV11" s="256" t="s">
        <v>78</v>
      </c>
      <c r="IQW11" s="256" t="s">
        <v>79</v>
      </c>
      <c r="IQX11" s="256" t="s">
        <v>80</v>
      </c>
      <c r="IQY11" s="256" t="s">
        <v>81</v>
      </c>
      <c r="IQZ11" s="283"/>
      <c r="IRA11" s="259" t="s">
        <v>55</v>
      </c>
      <c r="IRB11" s="256" t="s">
        <v>76</v>
      </c>
      <c r="IRC11" s="256" t="s">
        <v>77</v>
      </c>
      <c r="IRD11" s="256" t="s">
        <v>78</v>
      </c>
      <c r="IRE11" s="256" t="s">
        <v>79</v>
      </c>
      <c r="IRF11" s="256" t="s">
        <v>80</v>
      </c>
      <c r="IRG11" s="58" t="s">
        <v>81</v>
      </c>
      <c r="IRH11" s="284"/>
      <c r="IRI11" s="259" t="s">
        <v>55</v>
      </c>
      <c r="IRJ11" s="256" t="s">
        <v>76</v>
      </c>
      <c r="IRK11" s="256" t="s">
        <v>77</v>
      </c>
      <c r="IRL11" s="256" t="s">
        <v>78</v>
      </c>
      <c r="IRM11" s="256" t="s">
        <v>79</v>
      </c>
      <c r="IRN11" s="256" t="s">
        <v>80</v>
      </c>
      <c r="IRO11" s="256" t="s">
        <v>81</v>
      </c>
      <c r="IRP11" s="283"/>
      <c r="IRQ11" s="259" t="s">
        <v>55</v>
      </c>
      <c r="IRR11" s="256" t="s">
        <v>76</v>
      </c>
      <c r="IRS11" s="256" t="s">
        <v>77</v>
      </c>
      <c r="IRT11" s="256" t="s">
        <v>78</v>
      </c>
      <c r="IRU11" s="256" t="s">
        <v>79</v>
      </c>
      <c r="IRV11" s="256" t="s">
        <v>80</v>
      </c>
      <c r="IRW11" s="58" t="s">
        <v>81</v>
      </c>
      <c r="IRX11" s="284"/>
      <c r="IRY11" s="259" t="s">
        <v>55</v>
      </c>
      <c r="IRZ11" s="256" t="s">
        <v>76</v>
      </c>
      <c r="ISA11" s="256" t="s">
        <v>77</v>
      </c>
      <c r="ISB11" s="256" t="s">
        <v>78</v>
      </c>
      <c r="ISC11" s="256" t="s">
        <v>79</v>
      </c>
      <c r="ISD11" s="256" t="s">
        <v>80</v>
      </c>
      <c r="ISE11" s="256" t="s">
        <v>81</v>
      </c>
      <c r="ISF11" s="283"/>
      <c r="ISG11" s="259" t="s">
        <v>55</v>
      </c>
      <c r="ISH11" s="256" t="s">
        <v>76</v>
      </c>
      <c r="ISI11" s="256" t="s">
        <v>77</v>
      </c>
      <c r="ISJ11" s="256" t="s">
        <v>78</v>
      </c>
      <c r="ISK11" s="256" t="s">
        <v>79</v>
      </c>
      <c r="ISL11" s="256" t="s">
        <v>80</v>
      </c>
      <c r="ISM11" s="58" t="s">
        <v>81</v>
      </c>
      <c r="ISN11" s="284"/>
      <c r="ISO11" s="259" t="s">
        <v>55</v>
      </c>
      <c r="ISP11" s="256" t="s">
        <v>76</v>
      </c>
      <c r="ISQ11" s="256" t="s">
        <v>77</v>
      </c>
      <c r="ISR11" s="256" t="s">
        <v>78</v>
      </c>
      <c r="ISS11" s="256" t="s">
        <v>79</v>
      </c>
      <c r="IST11" s="256" t="s">
        <v>80</v>
      </c>
      <c r="ISU11" s="256" t="s">
        <v>81</v>
      </c>
      <c r="ISV11" s="283"/>
      <c r="ISW11" s="259" t="s">
        <v>55</v>
      </c>
      <c r="ISX11" s="256" t="s">
        <v>76</v>
      </c>
      <c r="ISY11" s="256" t="s">
        <v>77</v>
      </c>
      <c r="ISZ11" s="256" t="s">
        <v>78</v>
      </c>
      <c r="ITA11" s="256" t="s">
        <v>79</v>
      </c>
      <c r="ITB11" s="256" t="s">
        <v>80</v>
      </c>
      <c r="ITC11" s="58" t="s">
        <v>81</v>
      </c>
      <c r="ITD11" s="284"/>
      <c r="ITE11" s="259" t="s">
        <v>55</v>
      </c>
      <c r="ITF11" s="256" t="s">
        <v>76</v>
      </c>
      <c r="ITG11" s="256" t="s">
        <v>77</v>
      </c>
      <c r="ITH11" s="256" t="s">
        <v>78</v>
      </c>
      <c r="ITI11" s="256" t="s">
        <v>79</v>
      </c>
      <c r="ITJ11" s="256" t="s">
        <v>80</v>
      </c>
      <c r="ITK11" s="256" t="s">
        <v>81</v>
      </c>
      <c r="ITL11" s="283"/>
      <c r="ITM11" s="259" t="s">
        <v>55</v>
      </c>
      <c r="ITN11" s="256" t="s">
        <v>76</v>
      </c>
      <c r="ITO11" s="256" t="s">
        <v>77</v>
      </c>
      <c r="ITP11" s="256" t="s">
        <v>78</v>
      </c>
      <c r="ITQ11" s="256" t="s">
        <v>79</v>
      </c>
      <c r="ITR11" s="256" t="s">
        <v>80</v>
      </c>
      <c r="ITS11" s="58" t="s">
        <v>81</v>
      </c>
      <c r="ITT11" s="284"/>
      <c r="ITU11" s="259" t="s">
        <v>55</v>
      </c>
      <c r="ITV11" s="256" t="s">
        <v>76</v>
      </c>
      <c r="ITW11" s="256" t="s">
        <v>77</v>
      </c>
      <c r="ITX11" s="256" t="s">
        <v>78</v>
      </c>
      <c r="ITY11" s="256" t="s">
        <v>79</v>
      </c>
      <c r="ITZ11" s="256" t="s">
        <v>80</v>
      </c>
      <c r="IUA11" s="256" t="s">
        <v>81</v>
      </c>
      <c r="IUB11" s="283"/>
      <c r="IUC11" s="259" t="s">
        <v>55</v>
      </c>
      <c r="IUD11" s="256" t="s">
        <v>76</v>
      </c>
      <c r="IUE11" s="256" t="s">
        <v>77</v>
      </c>
      <c r="IUF11" s="256" t="s">
        <v>78</v>
      </c>
      <c r="IUG11" s="256" t="s">
        <v>79</v>
      </c>
      <c r="IUH11" s="256" t="s">
        <v>80</v>
      </c>
      <c r="IUI11" s="58" t="s">
        <v>81</v>
      </c>
      <c r="IUJ11" s="284"/>
      <c r="IUK11" s="259" t="s">
        <v>55</v>
      </c>
      <c r="IUL11" s="256" t="s">
        <v>76</v>
      </c>
      <c r="IUM11" s="256" t="s">
        <v>77</v>
      </c>
      <c r="IUN11" s="256" t="s">
        <v>78</v>
      </c>
      <c r="IUO11" s="256" t="s">
        <v>79</v>
      </c>
      <c r="IUP11" s="256" t="s">
        <v>80</v>
      </c>
      <c r="IUQ11" s="256" t="s">
        <v>81</v>
      </c>
      <c r="IUR11" s="283"/>
      <c r="IUS11" s="259" t="s">
        <v>55</v>
      </c>
      <c r="IUT11" s="256" t="s">
        <v>76</v>
      </c>
      <c r="IUU11" s="256" t="s">
        <v>77</v>
      </c>
      <c r="IUV11" s="256" t="s">
        <v>78</v>
      </c>
      <c r="IUW11" s="256" t="s">
        <v>79</v>
      </c>
      <c r="IUX11" s="256" t="s">
        <v>80</v>
      </c>
      <c r="IUY11" s="58" t="s">
        <v>81</v>
      </c>
      <c r="IUZ11" s="284"/>
      <c r="IVA11" s="259" t="s">
        <v>55</v>
      </c>
      <c r="IVB11" s="256" t="s">
        <v>76</v>
      </c>
      <c r="IVC11" s="256" t="s">
        <v>77</v>
      </c>
      <c r="IVD11" s="256" t="s">
        <v>78</v>
      </c>
      <c r="IVE11" s="256" t="s">
        <v>79</v>
      </c>
      <c r="IVF11" s="256" t="s">
        <v>80</v>
      </c>
      <c r="IVG11" s="256" t="s">
        <v>81</v>
      </c>
      <c r="IVH11" s="283"/>
      <c r="IVI11" s="259" t="s">
        <v>55</v>
      </c>
      <c r="IVJ11" s="256" t="s">
        <v>76</v>
      </c>
      <c r="IVK11" s="256" t="s">
        <v>77</v>
      </c>
      <c r="IVL11" s="256" t="s">
        <v>78</v>
      </c>
      <c r="IVM11" s="256" t="s">
        <v>79</v>
      </c>
      <c r="IVN11" s="256" t="s">
        <v>80</v>
      </c>
      <c r="IVO11" s="58" t="s">
        <v>81</v>
      </c>
      <c r="IVP11" s="284"/>
      <c r="IVQ11" s="259" t="s">
        <v>55</v>
      </c>
      <c r="IVR11" s="256" t="s">
        <v>76</v>
      </c>
      <c r="IVS11" s="256" t="s">
        <v>77</v>
      </c>
      <c r="IVT11" s="256" t="s">
        <v>78</v>
      </c>
      <c r="IVU11" s="256" t="s">
        <v>79</v>
      </c>
      <c r="IVV11" s="256" t="s">
        <v>80</v>
      </c>
      <c r="IVW11" s="256" t="s">
        <v>81</v>
      </c>
      <c r="IVX11" s="283"/>
      <c r="IVY11" s="259" t="s">
        <v>55</v>
      </c>
      <c r="IVZ11" s="256" t="s">
        <v>76</v>
      </c>
      <c r="IWA11" s="256" t="s">
        <v>77</v>
      </c>
      <c r="IWB11" s="256" t="s">
        <v>78</v>
      </c>
      <c r="IWC11" s="256" t="s">
        <v>79</v>
      </c>
      <c r="IWD11" s="256" t="s">
        <v>80</v>
      </c>
      <c r="IWE11" s="58" t="s">
        <v>81</v>
      </c>
      <c r="IWF11" s="284"/>
      <c r="IWG11" s="259" t="s">
        <v>55</v>
      </c>
      <c r="IWH11" s="256" t="s">
        <v>76</v>
      </c>
      <c r="IWI11" s="256" t="s">
        <v>77</v>
      </c>
      <c r="IWJ11" s="256" t="s">
        <v>78</v>
      </c>
      <c r="IWK11" s="256" t="s">
        <v>79</v>
      </c>
      <c r="IWL11" s="256" t="s">
        <v>80</v>
      </c>
      <c r="IWM11" s="256" t="s">
        <v>81</v>
      </c>
      <c r="IWN11" s="283"/>
      <c r="IWO11" s="259" t="s">
        <v>55</v>
      </c>
      <c r="IWP11" s="256" t="s">
        <v>76</v>
      </c>
      <c r="IWQ11" s="256" t="s">
        <v>77</v>
      </c>
      <c r="IWR11" s="256" t="s">
        <v>78</v>
      </c>
      <c r="IWS11" s="256" t="s">
        <v>79</v>
      </c>
      <c r="IWT11" s="256" t="s">
        <v>80</v>
      </c>
      <c r="IWU11" s="58" t="s">
        <v>81</v>
      </c>
      <c r="IWV11" s="284"/>
      <c r="IWW11" s="259" t="s">
        <v>55</v>
      </c>
      <c r="IWX11" s="256" t="s">
        <v>76</v>
      </c>
      <c r="IWY11" s="256" t="s">
        <v>77</v>
      </c>
      <c r="IWZ11" s="256" t="s">
        <v>78</v>
      </c>
      <c r="IXA11" s="256" t="s">
        <v>79</v>
      </c>
      <c r="IXB11" s="256" t="s">
        <v>80</v>
      </c>
      <c r="IXC11" s="256" t="s">
        <v>81</v>
      </c>
      <c r="IXD11" s="283"/>
      <c r="IXE11" s="259" t="s">
        <v>55</v>
      </c>
      <c r="IXF11" s="256" t="s">
        <v>76</v>
      </c>
      <c r="IXG11" s="256" t="s">
        <v>77</v>
      </c>
      <c r="IXH11" s="256" t="s">
        <v>78</v>
      </c>
      <c r="IXI11" s="256" t="s">
        <v>79</v>
      </c>
      <c r="IXJ11" s="256" t="s">
        <v>80</v>
      </c>
      <c r="IXK11" s="58" t="s">
        <v>81</v>
      </c>
      <c r="IXL11" s="284"/>
      <c r="IXM11" s="259" t="s">
        <v>55</v>
      </c>
      <c r="IXN11" s="256" t="s">
        <v>76</v>
      </c>
      <c r="IXO11" s="256" t="s">
        <v>77</v>
      </c>
      <c r="IXP11" s="256" t="s">
        <v>78</v>
      </c>
      <c r="IXQ11" s="256" t="s">
        <v>79</v>
      </c>
      <c r="IXR11" s="256" t="s">
        <v>80</v>
      </c>
      <c r="IXS11" s="256" t="s">
        <v>81</v>
      </c>
      <c r="IXT11" s="283"/>
      <c r="IXU11" s="259" t="s">
        <v>55</v>
      </c>
      <c r="IXV11" s="256" t="s">
        <v>76</v>
      </c>
      <c r="IXW11" s="256" t="s">
        <v>77</v>
      </c>
      <c r="IXX11" s="256" t="s">
        <v>78</v>
      </c>
      <c r="IXY11" s="256" t="s">
        <v>79</v>
      </c>
      <c r="IXZ11" s="256" t="s">
        <v>80</v>
      </c>
      <c r="IYA11" s="58" t="s">
        <v>81</v>
      </c>
      <c r="IYB11" s="284"/>
      <c r="IYC11" s="259" t="s">
        <v>55</v>
      </c>
      <c r="IYD11" s="256" t="s">
        <v>76</v>
      </c>
      <c r="IYE11" s="256" t="s">
        <v>77</v>
      </c>
      <c r="IYF11" s="256" t="s">
        <v>78</v>
      </c>
      <c r="IYG11" s="256" t="s">
        <v>79</v>
      </c>
      <c r="IYH11" s="256" t="s">
        <v>80</v>
      </c>
      <c r="IYI11" s="256" t="s">
        <v>81</v>
      </c>
      <c r="IYJ11" s="283"/>
      <c r="IYK11" s="259" t="s">
        <v>55</v>
      </c>
      <c r="IYL11" s="256" t="s">
        <v>76</v>
      </c>
      <c r="IYM11" s="256" t="s">
        <v>77</v>
      </c>
      <c r="IYN11" s="256" t="s">
        <v>78</v>
      </c>
      <c r="IYO11" s="256" t="s">
        <v>79</v>
      </c>
      <c r="IYP11" s="256" t="s">
        <v>80</v>
      </c>
      <c r="IYQ11" s="58" t="s">
        <v>81</v>
      </c>
      <c r="IYR11" s="284"/>
      <c r="IYS11" s="259" t="s">
        <v>55</v>
      </c>
      <c r="IYT11" s="256" t="s">
        <v>76</v>
      </c>
      <c r="IYU11" s="256" t="s">
        <v>77</v>
      </c>
      <c r="IYV11" s="256" t="s">
        <v>78</v>
      </c>
      <c r="IYW11" s="256" t="s">
        <v>79</v>
      </c>
      <c r="IYX11" s="256" t="s">
        <v>80</v>
      </c>
      <c r="IYY11" s="256" t="s">
        <v>81</v>
      </c>
      <c r="IYZ11" s="283"/>
      <c r="IZA11" s="259" t="s">
        <v>55</v>
      </c>
      <c r="IZB11" s="256" t="s">
        <v>76</v>
      </c>
      <c r="IZC11" s="256" t="s">
        <v>77</v>
      </c>
      <c r="IZD11" s="256" t="s">
        <v>78</v>
      </c>
      <c r="IZE11" s="256" t="s">
        <v>79</v>
      </c>
      <c r="IZF11" s="256" t="s">
        <v>80</v>
      </c>
      <c r="IZG11" s="58" t="s">
        <v>81</v>
      </c>
      <c r="IZH11" s="284"/>
      <c r="IZI11" s="259" t="s">
        <v>55</v>
      </c>
      <c r="IZJ11" s="256" t="s">
        <v>76</v>
      </c>
      <c r="IZK11" s="256" t="s">
        <v>77</v>
      </c>
      <c r="IZL11" s="256" t="s">
        <v>78</v>
      </c>
      <c r="IZM11" s="256" t="s">
        <v>79</v>
      </c>
      <c r="IZN11" s="256" t="s">
        <v>80</v>
      </c>
      <c r="IZO11" s="256" t="s">
        <v>81</v>
      </c>
      <c r="IZP11" s="283"/>
      <c r="IZQ11" s="259" t="s">
        <v>55</v>
      </c>
      <c r="IZR11" s="256" t="s">
        <v>76</v>
      </c>
      <c r="IZS11" s="256" t="s">
        <v>77</v>
      </c>
      <c r="IZT11" s="256" t="s">
        <v>78</v>
      </c>
      <c r="IZU11" s="256" t="s">
        <v>79</v>
      </c>
      <c r="IZV11" s="256" t="s">
        <v>80</v>
      </c>
      <c r="IZW11" s="58" t="s">
        <v>81</v>
      </c>
      <c r="IZX11" s="284"/>
      <c r="IZY11" s="259" t="s">
        <v>55</v>
      </c>
      <c r="IZZ11" s="256" t="s">
        <v>76</v>
      </c>
      <c r="JAA11" s="256" t="s">
        <v>77</v>
      </c>
      <c r="JAB11" s="256" t="s">
        <v>78</v>
      </c>
      <c r="JAC11" s="256" t="s">
        <v>79</v>
      </c>
      <c r="JAD11" s="256" t="s">
        <v>80</v>
      </c>
      <c r="JAE11" s="256" t="s">
        <v>81</v>
      </c>
      <c r="JAF11" s="283"/>
      <c r="JAG11" s="259" t="s">
        <v>55</v>
      </c>
      <c r="JAH11" s="256" t="s">
        <v>76</v>
      </c>
      <c r="JAI11" s="256" t="s">
        <v>77</v>
      </c>
      <c r="JAJ11" s="256" t="s">
        <v>78</v>
      </c>
      <c r="JAK11" s="256" t="s">
        <v>79</v>
      </c>
      <c r="JAL11" s="256" t="s">
        <v>80</v>
      </c>
      <c r="JAM11" s="58" t="s">
        <v>81</v>
      </c>
      <c r="JAN11" s="284"/>
      <c r="JAO11" s="259" t="s">
        <v>55</v>
      </c>
      <c r="JAP11" s="256" t="s">
        <v>76</v>
      </c>
      <c r="JAQ11" s="256" t="s">
        <v>77</v>
      </c>
      <c r="JAR11" s="256" t="s">
        <v>78</v>
      </c>
      <c r="JAS11" s="256" t="s">
        <v>79</v>
      </c>
      <c r="JAT11" s="256" t="s">
        <v>80</v>
      </c>
      <c r="JAU11" s="256" t="s">
        <v>81</v>
      </c>
      <c r="JAV11" s="283"/>
      <c r="JAW11" s="259" t="s">
        <v>55</v>
      </c>
      <c r="JAX11" s="256" t="s">
        <v>76</v>
      </c>
      <c r="JAY11" s="256" t="s">
        <v>77</v>
      </c>
      <c r="JAZ11" s="256" t="s">
        <v>78</v>
      </c>
      <c r="JBA11" s="256" t="s">
        <v>79</v>
      </c>
      <c r="JBB11" s="256" t="s">
        <v>80</v>
      </c>
      <c r="JBC11" s="58" t="s">
        <v>81</v>
      </c>
      <c r="JBD11" s="284"/>
      <c r="JBE11" s="259" t="s">
        <v>55</v>
      </c>
      <c r="JBF11" s="256" t="s">
        <v>76</v>
      </c>
      <c r="JBG11" s="256" t="s">
        <v>77</v>
      </c>
      <c r="JBH11" s="256" t="s">
        <v>78</v>
      </c>
      <c r="JBI11" s="256" t="s">
        <v>79</v>
      </c>
      <c r="JBJ11" s="256" t="s">
        <v>80</v>
      </c>
      <c r="JBK11" s="256" t="s">
        <v>81</v>
      </c>
      <c r="JBL11" s="283"/>
      <c r="JBM11" s="259" t="s">
        <v>55</v>
      </c>
      <c r="JBN11" s="256" t="s">
        <v>76</v>
      </c>
      <c r="JBO11" s="256" t="s">
        <v>77</v>
      </c>
      <c r="JBP11" s="256" t="s">
        <v>78</v>
      </c>
      <c r="JBQ11" s="256" t="s">
        <v>79</v>
      </c>
      <c r="JBR11" s="256" t="s">
        <v>80</v>
      </c>
      <c r="JBS11" s="58" t="s">
        <v>81</v>
      </c>
      <c r="JBT11" s="284"/>
      <c r="JBU11" s="259" t="s">
        <v>55</v>
      </c>
      <c r="JBV11" s="256" t="s">
        <v>76</v>
      </c>
      <c r="JBW11" s="256" t="s">
        <v>77</v>
      </c>
      <c r="JBX11" s="256" t="s">
        <v>78</v>
      </c>
      <c r="JBY11" s="256" t="s">
        <v>79</v>
      </c>
      <c r="JBZ11" s="256" t="s">
        <v>80</v>
      </c>
      <c r="JCA11" s="256" t="s">
        <v>81</v>
      </c>
      <c r="JCB11" s="283"/>
      <c r="JCC11" s="259" t="s">
        <v>55</v>
      </c>
      <c r="JCD11" s="256" t="s">
        <v>76</v>
      </c>
      <c r="JCE11" s="256" t="s">
        <v>77</v>
      </c>
      <c r="JCF11" s="256" t="s">
        <v>78</v>
      </c>
      <c r="JCG11" s="256" t="s">
        <v>79</v>
      </c>
      <c r="JCH11" s="256" t="s">
        <v>80</v>
      </c>
      <c r="JCI11" s="58" t="s">
        <v>81</v>
      </c>
      <c r="JCJ11" s="284"/>
      <c r="JCK11" s="259" t="s">
        <v>55</v>
      </c>
      <c r="JCL11" s="256" t="s">
        <v>76</v>
      </c>
      <c r="JCM11" s="256" t="s">
        <v>77</v>
      </c>
      <c r="JCN11" s="256" t="s">
        <v>78</v>
      </c>
      <c r="JCO11" s="256" t="s">
        <v>79</v>
      </c>
      <c r="JCP11" s="256" t="s">
        <v>80</v>
      </c>
      <c r="JCQ11" s="256" t="s">
        <v>81</v>
      </c>
      <c r="JCR11" s="283"/>
      <c r="JCS11" s="259" t="s">
        <v>55</v>
      </c>
      <c r="JCT11" s="256" t="s">
        <v>76</v>
      </c>
      <c r="JCU11" s="256" t="s">
        <v>77</v>
      </c>
      <c r="JCV11" s="256" t="s">
        <v>78</v>
      </c>
      <c r="JCW11" s="256" t="s">
        <v>79</v>
      </c>
      <c r="JCX11" s="256" t="s">
        <v>80</v>
      </c>
      <c r="JCY11" s="58" t="s">
        <v>81</v>
      </c>
      <c r="JCZ11" s="284"/>
      <c r="JDA11" s="259" t="s">
        <v>55</v>
      </c>
      <c r="JDB11" s="256" t="s">
        <v>76</v>
      </c>
      <c r="JDC11" s="256" t="s">
        <v>77</v>
      </c>
      <c r="JDD11" s="256" t="s">
        <v>78</v>
      </c>
      <c r="JDE11" s="256" t="s">
        <v>79</v>
      </c>
      <c r="JDF11" s="256" t="s">
        <v>80</v>
      </c>
      <c r="JDG11" s="256" t="s">
        <v>81</v>
      </c>
      <c r="JDH11" s="283"/>
      <c r="JDI11" s="259" t="s">
        <v>55</v>
      </c>
      <c r="JDJ11" s="256" t="s">
        <v>76</v>
      </c>
      <c r="JDK11" s="256" t="s">
        <v>77</v>
      </c>
      <c r="JDL11" s="256" t="s">
        <v>78</v>
      </c>
      <c r="JDM11" s="256" t="s">
        <v>79</v>
      </c>
      <c r="JDN11" s="256" t="s">
        <v>80</v>
      </c>
      <c r="JDO11" s="58" t="s">
        <v>81</v>
      </c>
      <c r="JDP11" s="284"/>
      <c r="JDQ11" s="259" t="s">
        <v>55</v>
      </c>
      <c r="JDR11" s="256" t="s">
        <v>76</v>
      </c>
      <c r="JDS11" s="256" t="s">
        <v>77</v>
      </c>
      <c r="JDT11" s="256" t="s">
        <v>78</v>
      </c>
      <c r="JDU11" s="256" t="s">
        <v>79</v>
      </c>
      <c r="JDV11" s="256" t="s">
        <v>80</v>
      </c>
      <c r="JDW11" s="256" t="s">
        <v>81</v>
      </c>
      <c r="JDX11" s="283"/>
      <c r="JDY11" s="259" t="s">
        <v>55</v>
      </c>
      <c r="JDZ11" s="256" t="s">
        <v>76</v>
      </c>
      <c r="JEA11" s="256" t="s">
        <v>77</v>
      </c>
      <c r="JEB11" s="256" t="s">
        <v>78</v>
      </c>
      <c r="JEC11" s="256" t="s">
        <v>79</v>
      </c>
      <c r="JED11" s="256" t="s">
        <v>80</v>
      </c>
      <c r="JEE11" s="58" t="s">
        <v>81</v>
      </c>
      <c r="JEF11" s="284"/>
      <c r="JEG11" s="259" t="s">
        <v>55</v>
      </c>
      <c r="JEH11" s="256" t="s">
        <v>76</v>
      </c>
      <c r="JEI11" s="256" t="s">
        <v>77</v>
      </c>
      <c r="JEJ11" s="256" t="s">
        <v>78</v>
      </c>
      <c r="JEK11" s="256" t="s">
        <v>79</v>
      </c>
      <c r="JEL11" s="256" t="s">
        <v>80</v>
      </c>
      <c r="JEM11" s="256" t="s">
        <v>81</v>
      </c>
      <c r="JEN11" s="283"/>
      <c r="JEO11" s="259" t="s">
        <v>55</v>
      </c>
      <c r="JEP11" s="256" t="s">
        <v>76</v>
      </c>
      <c r="JEQ11" s="256" t="s">
        <v>77</v>
      </c>
      <c r="JER11" s="256" t="s">
        <v>78</v>
      </c>
      <c r="JES11" s="256" t="s">
        <v>79</v>
      </c>
      <c r="JET11" s="256" t="s">
        <v>80</v>
      </c>
      <c r="JEU11" s="58" t="s">
        <v>81</v>
      </c>
      <c r="JEV11" s="284"/>
      <c r="JEW11" s="259" t="s">
        <v>55</v>
      </c>
      <c r="JEX11" s="256" t="s">
        <v>76</v>
      </c>
      <c r="JEY11" s="256" t="s">
        <v>77</v>
      </c>
      <c r="JEZ11" s="256" t="s">
        <v>78</v>
      </c>
      <c r="JFA11" s="256" t="s">
        <v>79</v>
      </c>
      <c r="JFB11" s="256" t="s">
        <v>80</v>
      </c>
      <c r="JFC11" s="256" t="s">
        <v>81</v>
      </c>
      <c r="JFD11" s="283"/>
      <c r="JFE11" s="259" t="s">
        <v>55</v>
      </c>
      <c r="JFF11" s="256" t="s">
        <v>76</v>
      </c>
      <c r="JFG11" s="256" t="s">
        <v>77</v>
      </c>
      <c r="JFH11" s="256" t="s">
        <v>78</v>
      </c>
      <c r="JFI11" s="256" t="s">
        <v>79</v>
      </c>
      <c r="JFJ11" s="256" t="s">
        <v>80</v>
      </c>
      <c r="JFK11" s="58" t="s">
        <v>81</v>
      </c>
      <c r="JFL11" s="284"/>
      <c r="JFM11" s="259" t="s">
        <v>55</v>
      </c>
      <c r="JFN11" s="256" t="s">
        <v>76</v>
      </c>
      <c r="JFO11" s="256" t="s">
        <v>77</v>
      </c>
      <c r="JFP11" s="256" t="s">
        <v>78</v>
      </c>
      <c r="JFQ11" s="256" t="s">
        <v>79</v>
      </c>
      <c r="JFR11" s="256" t="s">
        <v>80</v>
      </c>
      <c r="JFS11" s="256" t="s">
        <v>81</v>
      </c>
      <c r="JFT11" s="283"/>
      <c r="JFU11" s="259" t="s">
        <v>55</v>
      </c>
      <c r="JFV11" s="256" t="s">
        <v>76</v>
      </c>
      <c r="JFW11" s="256" t="s">
        <v>77</v>
      </c>
      <c r="JFX11" s="256" t="s">
        <v>78</v>
      </c>
      <c r="JFY11" s="256" t="s">
        <v>79</v>
      </c>
      <c r="JFZ11" s="256" t="s">
        <v>80</v>
      </c>
      <c r="JGA11" s="58" t="s">
        <v>81</v>
      </c>
      <c r="JGB11" s="284"/>
      <c r="JGC11" s="259" t="s">
        <v>55</v>
      </c>
      <c r="JGD11" s="256" t="s">
        <v>76</v>
      </c>
      <c r="JGE11" s="256" t="s">
        <v>77</v>
      </c>
      <c r="JGF11" s="256" t="s">
        <v>78</v>
      </c>
      <c r="JGG11" s="256" t="s">
        <v>79</v>
      </c>
      <c r="JGH11" s="256" t="s">
        <v>80</v>
      </c>
      <c r="JGI11" s="256" t="s">
        <v>81</v>
      </c>
      <c r="JGJ11" s="283"/>
      <c r="JGK11" s="259" t="s">
        <v>55</v>
      </c>
      <c r="JGL11" s="256" t="s">
        <v>76</v>
      </c>
      <c r="JGM11" s="256" t="s">
        <v>77</v>
      </c>
      <c r="JGN11" s="256" t="s">
        <v>78</v>
      </c>
      <c r="JGO11" s="256" t="s">
        <v>79</v>
      </c>
      <c r="JGP11" s="256" t="s">
        <v>80</v>
      </c>
      <c r="JGQ11" s="58" t="s">
        <v>81</v>
      </c>
      <c r="JGR11" s="284"/>
      <c r="JGS11" s="259" t="s">
        <v>55</v>
      </c>
      <c r="JGT11" s="256" t="s">
        <v>76</v>
      </c>
      <c r="JGU11" s="256" t="s">
        <v>77</v>
      </c>
      <c r="JGV11" s="256" t="s">
        <v>78</v>
      </c>
      <c r="JGW11" s="256" t="s">
        <v>79</v>
      </c>
      <c r="JGX11" s="256" t="s">
        <v>80</v>
      </c>
      <c r="JGY11" s="256" t="s">
        <v>81</v>
      </c>
      <c r="JGZ11" s="283"/>
      <c r="JHA11" s="259" t="s">
        <v>55</v>
      </c>
      <c r="JHB11" s="256" t="s">
        <v>76</v>
      </c>
      <c r="JHC11" s="256" t="s">
        <v>77</v>
      </c>
      <c r="JHD11" s="256" t="s">
        <v>78</v>
      </c>
      <c r="JHE11" s="256" t="s">
        <v>79</v>
      </c>
      <c r="JHF11" s="256" t="s">
        <v>80</v>
      </c>
      <c r="JHG11" s="58" t="s">
        <v>81</v>
      </c>
      <c r="JHH11" s="284"/>
      <c r="JHI11" s="259" t="s">
        <v>55</v>
      </c>
      <c r="JHJ11" s="256" t="s">
        <v>76</v>
      </c>
      <c r="JHK11" s="256" t="s">
        <v>77</v>
      </c>
      <c r="JHL11" s="256" t="s">
        <v>78</v>
      </c>
      <c r="JHM11" s="256" t="s">
        <v>79</v>
      </c>
      <c r="JHN11" s="256" t="s">
        <v>80</v>
      </c>
      <c r="JHO11" s="256" t="s">
        <v>81</v>
      </c>
      <c r="JHP11" s="283"/>
      <c r="JHQ11" s="259" t="s">
        <v>55</v>
      </c>
      <c r="JHR11" s="256" t="s">
        <v>76</v>
      </c>
      <c r="JHS11" s="256" t="s">
        <v>77</v>
      </c>
      <c r="JHT11" s="256" t="s">
        <v>78</v>
      </c>
      <c r="JHU11" s="256" t="s">
        <v>79</v>
      </c>
      <c r="JHV11" s="256" t="s">
        <v>80</v>
      </c>
      <c r="JHW11" s="58" t="s">
        <v>81</v>
      </c>
      <c r="JHX11" s="284"/>
      <c r="JHY11" s="259" t="s">
        <v>55</v>
      </c>
      <c r="JHZ11" s="256" t="s">
        <v>76</v>
      </c>
      <c r="JIA11" s="256" t="s">
        <v>77</v>
      </c>
      <c r="JIB11" s="256" t="s">
        <v>78</v>
      </c>
      <c r="JIC11" s="256" t="s">
        <v>79</v>
      </c>
      <c r="JID11" s="256" t="s">
        <v>80</v>
      </c>
      <c r="JIE11" s="256" t="s">
        <v>81</v>
      </c>
      <c r="JIF11" s="283"/>
      <c r="JIG11" s="259" t="s">
        <v>55</v>
      </c>
      <c r="JIH11" s="256" t="s">
        <v>76</v>
      </c>
      <c r="JII11" s="256" t="s">
        <v>77</v>
      </c>
      <c r="JIJ11" s="256" t="s">
        <v>78</v>
      </c>
      <c r="JIK11" s="256" t="s">
        <v>79</v>
      </c>
      <c r="JIL11" s="256" t="s">
        <v>80</v>
      </c>
      <c r="JIM11" s="58" t="s">
        <v>81</v>
      </c>
      <c r="JIN11" s="284"/>
      <c r="JIO11" s="259" t="s">
        <v>55</v>
      </c>
      <c r="JIP11" s="256" t="s">
        <v>76</v>
      </c>
      <c r="JIQ11" s="256" t="s">
        <v>77</v>
      </c>
      <c r="JIR11" s="256" t="s">
        <v>78</v>
      </c>
      <c r="JIS11" s="256" t="s">
        <v>79</v>
      </c>
      <c r="JIT11" s="256" t="s">
        <v>80</v>
      </c>
      <c r="JIU11" s="256" t="s">
        <v>81</v>
      </c>
      <c r="JIV11" s="283"/>
      <c r="JIW11" s="259" t="s">
        <v>55</v>
      </c>
      <c r="JIX11" s="256" t="s">
        <v>76</v>
      </c>
      <c r="JIY11" s="256" t="s">
        <v>77</v>
      </c>
      <c r="JIZ11" s="256" t="s">
        <v>78</v>
      </c>
      <c r="JJA11" s="256" t="s">
        <v>79</v>
      </c>
      <c r="JJB11" s="256" t="s">
        <v>80</v>
      </c>
      <c r="JJC11" s="58" t="s">
        <v>81</v>
      </c>
      <c r="JJD11" s="284"/>
      <c r="JJE11" s="259" t="s">
        <v>55</v>
      </c>
      <c r="JJF11" s="256" t="s">
        <v>76</v>
      </c>
      <c r="JJG11" s="256" t="s">
        <v>77</v>
      </c>
      <c r="JJH11" s="256" t="s">
        <v>78</v>
      </c>
      <c r="JJI11" s="256" t="s">
        <v>79</v>
      </c>
      <c r="JJJ11" s="256" t="s">
        <v>80</v>
      </c>
      <c r="JJK11" s="256" t="s">
        <v>81</v>
      </c>
      <c r="JJL11" s="283"/>
      <c r="JJM11" s="259" t="s">
        <v>55</v>
      </c>
      <c r="JJN11" s="256" t="s">
        <v>76</v>
      </c>
      <c r="JJO11" s="256" t="s">
        <v>77</v>
      </c>
      <c r="JJP11" s="256" t="s">
        <v>78</v>
      </c>
      <c r="JJQ11" s="256" t="s">
        <v>79</v>
      </c>
      <c r="JJR11" s="256" t="s">
        <v>80</v>
      </c>
      <c r="JJS11" s="58" t="s">
        <v>81</v>
      </c>
      <c r="JJT11" s="284"/>
      <c r="JJU11" s="259" t="s">
        <v>55</v>
      </c>
      <c r="JJV11" s="256" t="s">
        <v>76</v>
      </c>
      <c r="JJW11" s="256" t="s">
        <v>77</v>
      </c>
      <c r="JJX11" s="256" t="s">
        <v>78</v>
      </c>
      <c r="JJY11" s="256" t="s">
        <v>79</v>
      </c>
      <c r="JJZ11" s="256" t="s">
        <v>80</v>
      </c>
      <c r="JKA11" s="256" t="s">
        <v>81</v>
      </c>
      <c r="JKB11" s="283"/>
      <c r="JKC11" s="259" t="s">
        <v>55</v>
      </c>
      <c r="JKD11" s="256" t="s">
        <v>76</v>
      </c>
      <c r="JKE11" s="256" t="s">
        <v>77</v>
      </c>
      <c r="JKF11" s="256" t="s">
        <v>78</v>
      </c>
      <c r="JKG11" s="256" t="s">
        <v>79</v>
      </c>
      <c r="JKH11" s="256" t="s">
        <v>80</v>
      </c>
      <c r="JKI11" s="58" t="s">
        <v>81</v>
      </c>
      <c r="JKJ11" s="284"/>
      <c r="JKK11" s="259" t="s">
        <v>55</v>
      </c>
      <c r="JKL11" s="256" t="s">
        <v>76</v>
      </c>
      <c r="JKM11" s="256" t="s">
        <v>77</v>
      </c>
      <c r="JKN11" s="256" t="s">
        <v>78</v>
      </c>
      <c r="JKO11" s="256" t="s">
        <v>79</v>
      </c>
      <c r="JKP11" s="256" t="s">
        <v>80</v>
      </c>
      <c r="JKQ11" s="256" t="s">
        <v>81</v>
      </c>
      <c r="JKR11" s="283"/>
      <c r="JKS11" s="259" t="s">
        <v>55</v>
      </c>
      <c r="JKT11" s="256" t="s">
        <v>76</v>
      </c>
      <c r="JKU11" s="256" t="s">
        <v>77</v>
      </c>
      <c r="JKV11" s="256" t="s">
        <v>78</v>
      </c>
      <c r="JKW11" s="256" t="s">
        <v>79</v>
      </c>
      <c r="JKX11" s="256" t="s">
        <v>80</v>
      </c>
      <c r="JKY11" s="58" t="s">
        <v>81</v>
      </c>
      <c r="JKZ11" s="284"/>
      <c r="JLA11" s="259" t="s">
        <v>55</v>
      </c>
      <c r="JLB11" s="256" t="s">
        <v>76</v>
      </c>
      <c r="JLC11" s="256" t="s">
        <v>77</v>
      </c>
      <c r="JLD11" s="256" t="s">
        <v>78</v>
      </c>
      <c r="JLE11" s="256" t="s">
        <v>79</v>
      </c>
      <c r="JLF11" s="256" t="s">
        <v>80</v>
      </c>
      <c r="JLG11" s="256" t="s">
        <v>81</v>
      </c>
      <c r="JLH11" s="283"/>
      <c r="JLI11" s="259" t="s">
        <v>55</v>
      </c>
      <c r="JLJ11" s="256" t="s">
        <v>76</v>
      </c>
      <c r="JLK11" s="256" t="s">
        <v>77</v>
      </c>
      <c r="JLL11" s="256" t="s">
        <v>78</v>
      </c>
      <c r="JLM11" s="256" t="s">
        <v>79</v>
      </c>
      <c r="JLN11" s="256" t="s">
        <v>80</v>
      </c>
      <c r="JLO11" s="58" t="s">
        <v>81</v>
      </c>
      <c r="JLP11" s="284"/>
      <c r="JLQ11" s="259" t="s">
        <v>55</v>
      </c>
      <c r="JLR11" s="256" t="s">
        <v>76</v>
      </c>
      <c r="JLS11" s="256" t="s">
        <v>77</v>
      </c>
      <c r="JLT11" s="256" t="s">
        <v>78</v>
      </c>
      <c r="JLU11" s="256" t="s">
        <v>79</v>
      </c>
      <c r="JLV11" s="256" t="s">
        <v>80</v>
      </c>
      <c r="JLW11" s="256" t="s">
        <v>81</v>
      </c>
      <c r="JLX11" s="283"/>
      <c r="JLY11" s="259" t="s">
        <v>55</v>
      </c>
      <c r="JLZ11" s="256" t="s">
        <v>76</v>
      </c>
      <c r="JMA11" s="256" t="s">
        <v>77</v>
      </c>
      <c r="JMB11" s="256" t="s">
        <v>78</v>
      </c>
      <c r="JMC11" s="256" t="s">
        <v>79</v>
      </c>
      <c r="JMD11" s="256" t="s">
        <v>80</v>
      </c>
      <c r="JME11" s="58" t="s">
        <v>81</v>
      </c>
      <c r="JMF11" s="284"/>
      <c r="JMG11" s="259" t="s">
        <v>55</v>
      </c>
      <c r="JMH11" s="256" t="s">
        <v>76</v>
      </c>
      <c r="JMI11" s="256" t="s">
        <v>77</v>
      </c>
      <c r="JMJ11" s="256" t="s">
        <v>78</v>
      </c>
      <c r="JMK11" s="256" t="s">
        <v>79</v>
      </c>
      <c r="JML11" s="256" t="s">
        <v>80</v>
      </c>
      <c r="JMM11" s="256" t="s">
        <v>81</v>
      </c>
      <c r="JMN11" s="283"/>
      <c r="JMO11" s="259" t="s">
        <v>55</v>
      </c>
      <c r="JMP11" s="256" t="s">
        <v>76</v>
      </c>
      <c r="JMQ11" s="256" t="s">
        <v>77</v>
      </c>
      <c r="JMR11" s="256" t="s">
        <v>78</v>
      </c>
      <c r="JMS11" s="256" t="s">
        <v>79</v>
      </c>
      <c r="JMT11" s="256" t="s">
        <v>80</v>
      </c>
      <c r="JMU11" s="58" t="s">
        <v>81</v>
      </c>
      <c r="JMV11" s="284"/>
      <c r="JMW11" s="259" t="s">
        <v>55</v>
      </c>
      <c r="JMX11" s="256" t="s">
        <v>76</v>
      </c>
      <c r="JMY11" s="256" t="s">
        <v>77</v>
      </c>
      <c r="JMZ11" s="256" t="s">
        <v>78</v>
      </c>
      <c r="JNA11" s="256" t="s">
        <v>79</v>
      </c>
      <c r="JNB11" s="256" t="s">
        <v>80</v>
      </c>
      <c r="JNC11" s="256" t="s">
        <v>81</v>
      </c>
      <c r="JND11" s="283"/>
      <c r="JNE11" s="259" t="s">
        <v>55</v>
      </c>
      <c r="JNF11" s="256" t="s">
        <v>76</v>
      </c>
      <c r="JNG11" s="256" t="s">
        <v>77</v>
      </c>
      <c r="JNH11" s="256" t="s">
        <v>78</v>
      </c>
      <c r="JNI11" s="256" t="s">
        <v>79</v>
      </c>
      <c r="JNJ11" s="256" t="s">
        <v>80</v>
      </c>
      <c r="JNK11" s="58" t="s">
        <v>81</v>
      </c>
      <c r="JNL11" s="284"/>
      <c r="JNM11" s="259" t="s">
        <v>55</v>
      </c>
      <c r="JNN11" s="256" t="s">
        <v>76</v>
      </c>
      <c r="JNO11" s="256" t="s">
        <v>77</v>
      </c>
      <c r="JNP11" s="256" t="s">
        <v>78</v>
      </c>
      <c r="JNQ11" s="256" t="s">
        <v>79</v>
      </c>
      <c r="JNR11" s="256" t="s">
        <v>80</v>
      </c>
      <c r="JNS11" s="256" t="s">
        <v>81</v>
      </c>
      <c r="JNT11" s="283"/>
      <c r="JNU11" s="259" t="s">
        <v>55</v>
      </c>
      <c r="JNV11" s="256" t="s">
        <v>76</v>
      </c>
      <c r="JNW11" s="256" t="s">
        <v>77</v>
      </c>
      <c r="JNX11" s="256" t="s">
        <v>78</v>
      </c>
      <c r="JNY11" s="256" t="s">
        <v>79</v>
      </c>
      <c r="JNZ11" s="256" t="s">
        <v>80</v>
      </c>
      <c r="JOA11" s="58" t="s">
        <v>81</v>
      </c>
      <c r="JOB11" s="284"/>
      <c r="JOC11" s="259" t="s">
        <v>55</v>
      </c>
      <c r="JOD11" s="256" t="s">
        <v>76</v>
      </c>
      <c r="JOE11" s="256" t="s">
        <v>77</v>
      </c>
      <c r="JOF11" s="256" t="s">
        <v>78</v>
      </c>
      <c r="JOG11" s="256" t="s">
        <v>79</v>
      </c>
      <c r="JOH11" s="256" t="s">
        <v>80</v>
      </c>
      <c r="JOI11" s="256" t="s">
        <v>81</v>
      </c>
      <c r="JOJ11" s="283"/>
      <c r="JOK11" s="259" t="s">
        <v>55</v>
      </c>
      <c r="JOL11" s="256" t="s">
        <v>76</v>
      </c>
      <c r="JOM11" s="256" t="s">
        <v>77</v>
      </c>
      <c r="JON11" s="256" t="s">
        <v>78</v>
      </c>
      <c r="JOO11" s="256" t="s">
        <v>79</v>
      </c>
      <c r="JOP11" s="256" t="s">
        <v>80</v>
      </c>
      <c r="JOQ11" s="58" t="s">
        <v>81</v>
      </c>
      <c r="JOR11" s="284"/>
      <c r="JOS11" s="259" t="s">
        <v>55</v>
      </c>
      <c r="JOT11" s="256" t="s">
        <v>76</v>
      </c>
      <c r="JOU11" s="256" t="s">
        <v>77</v>
      </c>
      <c r="JOV11" s="256" t="s">
        <v>78</v>
      </c>
      <c r="JOW11" s="256" t="s">
        <v>79</v>
      </c>
      <c r="JOX11" s="256" t="s">
        <v>80</v>
      </c>
      <c r="JOY11" s="256" t="s">
        <v>81</v>
      </c>
      <c r="JOZ11" s="283"/>
      <c r="JPA11" s="259" t="s">
        <v>55</v>
      </c>
      <c r="JPB11" s="256" t="s">
        <v>76</v>
      </c>
      <c r="JPC11" s="256" t="s">
        <v>77</v>
      </c>
      <c r="JPD11" s="256" t="s">
        <v>78</v>
      </c>
      <c r="JPE11" s="256" t="s">
        <v>79</v>
      </c>
      <c r="JPF11" s="256" t="s">
        <v>80</v>
      </c>
      <c r="JPG11" s="58" t="s">
        <v>81</v>
      </c>
      <c r="JPH11" s="284"/>
      <c r="JPI11" s="259" t="s">
        <v>55</v>
      </c>
      <c r="JPJ11" s="256" t="s">
        <v>76</v>
      </c>
      <c r="JPK11" s="256" t="s">
        <v>77</v>
      </c>
      <c r="JPL11" s="256" t="s">
        <v>78</v>
      </c>
      <c r="JPM11" s="256" t="s">
        <v>79</v>
      </c>
      <c r="JPN11" s="256" t="s">
        <v>80</v>
      </c>
      <c r="JPO11" s="256" t="s">
        <v>81</v>
      </c>
      <c r="JPP11" s="283"/>
      <c r="JPQ11" s="259" t="s">
        <v>55</v>
      </c>
      <c r="JPR11" s="256" t="s">
        <v>76</v>
      </c>
      <c r="JPS11" s="256" t="s">
        <v>77</v>
      </c>
      <c r="JPT11" s="256" t="s">
        <v>78</v>
      </c>
      <c r="JPU11" s="256" t="s">
        <v>79</v>
      </c>
      <c r="JPV11" s="256" t="s">
        <v>80</v>
      </c>
      <c r="JPW11" s="58" t="s">
        <v>81</v>
      </c>
      <c r="JPX11" s="284"/>
      <c r="JPY11" s="259" t="s">
        <v>55</v>
      </c>
      <c r="JPZ11" s="256" t="s">
        <v>76</v>
      </c>
      <c r="JQA11" s="256" t="s">
        <v>77</v>
      </c>
      <c r="JQB11" s="256" t="s">
        <v>78</v>
      </c>
      <c r="JQC11" s="256" t="s">
        <v>79</v>
      </c>
      <c r="JQD11" s="256" t="s">
        <v>80</v>
      </c>
      <c r="JQE11" s="256" t="s">
        <v>81</v>
      </c>
      <c r="JQF11" s="283"/>
      <c r="JQG11" s="259" t="s">
        <v>55</v>
      </c>
      <c r="JQH11" s="256" t="s">
        <v>76</v>
      </c>
      <c r="JQI11" s="256" t="s">
        <v>77</v>
      </c>
      <c r="JQJ11" s="256" t="s">
        <v>78</v>
      </c>
      <c r="JQK11" s="256" t="s">
        <v>79</v>
      </c>
      <c r="JQL11" s="256" t="s">
        <v>80</v>
      </c>
      <c r="JQM11" s="58" t="s">
        <v>81</v>
      </c>
      <c r="JQN11" s="284"/>
      <c r="JQO11" s="259" t="s">
        <v>55</v>
      </c>
      <c r="JQP11" s="256" t="s">
        <v>76</v>
      </c>
      <c r="JQQ11" s="256" t="s">
        <v>77</v>
      </c>
      <c r="JQR11" s="256" t="s">
        <v>78</v>
      </c>
      <c r="JQS11" s="256" t="s">
        <v>79</v>
      </c>
      <c r="JQT11" s="256" t="s">
        <v>80</v>
      </c>
      <c r="JQU11" s="256" t="s">
        <v>81</v>
      </c>
      <c r="JQV11" s="283"/>
      <c r="JQW11" s="259" t="s">
        <v>55</v>
      </c>
      <c r="JQX11" s="256" t="s">
        <v>76</v>
      </c>
      <c r="JQY11" s="256" t="s">
        <v>77</v>
      </c>
      <c r="JQZ11" s="256" t="s">
        <v>78</v>
      </c>
      <c r="JRA11" s="256" t="s">
        <v>79</v>
      </c>
      <c r="JRB11" s="256" t="s">
        <v>80</v>
      </c>
      <c r="JRC11" s="58" t="s">
        <v>81</v>
      </c>
      <c r="JRD11" s="284"/>
      <c r="JRE11" s="259" t="s">
        <v>55</v>
      </c>
      <c r="JRF11" s="256" t="s">
        <v>76</v>
      </c>
      <c r="JRG11" s="256" t="s">
        <v>77</v>
      </c>
      <c r="JRH11" s="256" t="s">
        <v>78</v>
      </c>
      <c r="JRI11" s="256" t="s">
        <v>79</v>
      </c>
      <c r="JRJ11" s="256" t="s">
        <v>80</v>
      </c>
      <c r="JRK11" s="256" t="s">
        <v>81</v>
      </c>
      <c r="JRL11" s="283"/>
      <c r="JRM11" s="259" t="s">
        <v>55</v>
      </c>
      <c r="JRN11" s="256" t="s">
        <v>76</v>
      </c>
      <c r="JRO11" s="256" t="s">
        <v>77</v>
      </c>
      <c r="JRP11" s="256" t="s">
        <v>78</v>
      </c>
      <c r="JRQ11" s="256" t="s">
        <v>79</v>
      </c>
      <c r="JRR11" s="256" t="s">
        <v>80</v>
      </c>
      <c r="JRS11" s="58" t="s">
        <v>81</v>
      </c>
      <c r="JRT11" s="284"/>
      <c r="JRU11" s="259" t="s">
        <v>55</v>
      </c>
      <c r="JRV11" s="256" t="s">
        <v>76</v>
      </c>
      <c r="JRW11" s="256" t="s">
        <v>77</v>
      </c>
      <c r="JRX11" s="256" t="s">
        <v>78</v>
      </c>
      <c r="JRY11" s="256" t="s">
        <v>79</v>
      </c>
      <c r="JRZ11" s="256" t="s">
        <v>80</v>
      </c>
      <c r="JSA11" s="256" t="s">
        <v>81</v>
      </c>
      <c r="JSB11" s="283"/>
      <c r="JSC11" s="259" t="s">
        <v>55</v>
      </c>
      <c r="JSD11" s="256" t="s">
        <v>76</v>
      </c>
      <c r="JSE11" s="256" t="s">
        <v>77</v>
      </c>
      <c r="JSF11" s="256" t="s">
        <v>78</v>
      </c>
      <c r="JSG11" s="256" t="s">
        <v>79</v>
      </c>
      <c r="JSH11" s="256" t="s">
        <v>80</v>
      </c>
      <c r="JSI11" s="58" t="s">
        <v>81</v>
      </c>
      <c r="JSJ11" s="284"/>
      <c r="JSK11" s="259" t="s">
        <v>55</v>
      </c>
      <c r="JSL11" s="256" t="s">
        <v>76</v>
      </c>
      <c r="JSM11" s="256" t="s">
        <v>77</v>
      </c>
      <c r="JSN11" s="256" t="s">
        <v>78</v>
      </c>
      <c r="JSO11" s="256" t="s">
        <v>79</v>
      </c>
      <c r="JSP11" s="256" t="s">
        <v>80</v>
      </c>
      <c r="JSQ11" s="256" t="s">
        <v>81</v>
      </c>
      <c r="JSR11" s="283"/>
      <c r="JSS11" s="259" t="s">
        <v>55</v>
      </c>
      <c r="JST11" s="256" t="s">
        <v>76</v>
      </c>
      <c r="JSU11" s="256" t="s">
        <v>77</v>
      </c>
      <c r="JSV11" s="256" t="s">
        <v>78</v>
      </c>
      <c r="JSW11" s="256" t="s">
        <v>79</v>
      </c>
      <c r="JSX11" s="256" t="s">
        <v>80</v>
      </c>
      <c r="JSY11" s="58" t="s">
        <v>81</v>
      </c>
      <c r="JSZ11" s="284"/>
      <c r="JTA11" s="259" t="s">
        <v>55</v>
      </c>
      <c r="JTB11" s="256" t="s">
        <v>76</v>
      </c>
      <c r="JTC11" s="256" t="s">
        <v>77</v>
      </c>
      <c r="JTD11" s="256" t="s">
        <v>78</v>
      </c>
      <c r="JTE11" s="256" t="s">
        <v>79</v>
      </c>
      <c r="JTF11" s="256" t="s">
        <v>80</v>
      </c>
      <c r="JTG11" s="256" t="s">
        <v>81</v>
      </c>
      <c r="JTH11" s="283"/>
      <c r="JTI11" s="259" t="s">
        <v>55</v>
      </c>
      <c r="JTJ11" s="256" t="s">
        <v>76</v>
      </c>
      <c r="JTK11" s="256" t="s">
        <v>77</v>
      </c>
      <c r="JTL11" s="256" t="s">
        <v>78</v>
      </c>
      <c r="JTM11" s="256" t="s">
        <v>79</v>
      </c>
      <c r="JTN11" s="256" t="s">
        <v>80</v>
      </c>
      <c r="JTO11" s="58" t="s">
        <v>81</v>
      </c>
      <c r="JTP11" s="284"/>
      <c r="JTQ11" s="259" t="s">
        <v>55</v>
      </c>
      <c r="JTR11" s="256" t="s">
        <v>76</v>
      </c>
      <c r="JTS11" s="256" t="s">
        <v>77</v>
      </c>
      <c r="JTT11" s="256" t="s">
        <v>78</v>
      </c>
      <c r="JTU11" s="256" t="s">
        <v>79</v>
      </c>
      <c r="JTV11" s="256" t="s">
        <v>80</v>
      </c>
      <c r="JTW11" s="256" t="s">
        <v>81</v>
      </c>
      <c r="JTX11" s="283"/>
      <c r="JTY11" s="259" t="s">
        <v>55</v>
      </c>
      <c r="JTZ11" s="256" t="s">
        <v>76</v>
      </c>
      <c r="JUA11" s="256" t="s">
        <v>77</v>
      </c>
      <c r="JUB11" s="256" t="s">
        <v>78</v>
      </c>
      <c r="JUC11" s="256" t="s">
        <v>79</v>
      </c>
      <c r="JUD11" s="256" t="s">
        <v>80</v>
      </c>
      <c r="JUE11" s="58" t="s">
        <v>81</v>
      </c>
      <c r="JUF11" s="284"/>
      <c r="JUG11" s="259" t="s">
        <v>55</v>
      </c>
      <c r="JUH11" s="256" t="s">
        <v>76</v>
      </c>
      <c r="JUI11" s="256" t="s">
        <v>77</v>
      </c>
      <c r="JUJ11" s="256" t="s">
        <v>78</v>
      </c>
      <c r="JUK11" s="256" t="s">
        <v>79</v>
      </c>
      <c r="JUL11" s="256" t="s">
        <v>80</v>
      </c>
      <c r="JUM11" s="256" t="s">
        <v>81</v>
      </c>
      <c r="JUN11" s="283"/>
      <c r="JUO11" s="259" t="s">
        <v>55</v>
      </c>
      <c r="JUP11" s="256" t="s">
        <v>76</v>
      </c>
      <c r="JUQ11" s="256" t="s">
        <v>77</v>
      </c>
      <c r="JUR11" s="256" t="s">
        <v>78</v>
      </c>
      <c r="JUS11" s="256" t="s">
        <v>79</v>
      </c>
      <c r="JUT11" s="256" t="s">
        <v>80</v>
      </c>
      <c r="JUU11" s="58" t="s">
        <v>81</v>
      </c>
      <c r="JUV11" s="284"/>
      <c r="JUW11" s="259" t="s">
        <v>55</v>
      </c>
      <c r="JUX11" s="256" t="s">
        <v>76</v>
      </c>
      <c r="JUY11" s="256" t="s">
        <v>77</v>
      </c>
      <c r="JUZ11" s="256" t="s">
        <v>78</v>
      </c>
      <c r="JVA11" s="256" t="s">
        <v>79</v>
      </c>
      <c r="JVB11" s="256" t="s">
        <v>80</v>
      </c>
      <c r="JVC11" s="256" t="s">
        <v>81</v>
      </c>
      <c r="JVD11" s="283"/>
      <c r="JVE11" s="259" t="s">
        <v>55</v>
      </c>
      <c r="JVF11" s="256" t="s">
        <v>76</v>
      </c>
      <c r="JVG11" s="256" t="s">
        <v>77</v>
      </c>
      <c r="JVH11" s="256" t="s">
        <v>78</v>
      </c>
      <c r="JVI11" s="256" t="s">
        <v>79</v>
      </c>
      <c r="JVJ11" s="256" t="s">
        <v>80</v>
      </c>
      <c r="JVK11" s="58" t="s">
        <v>81</v>
      </c>
      <c r="JVL11" s="284"/>
      <c r="JVM11" s="259" t="s">
        <v>55</v>
      </c>
      <c r="JVN11" s="256" t="s">
        <v>76</v>
      </c>
      <c r="JVO11" s="256" t="s">
        <v>77</v>
      </c>
      <c r="JVP11" s="256" t="s">
        <v>78</v>
      </c>
      <c r="JVQ11" s="256" t="s">
        <v>79</v>
      </c>
      <c r="JVR11" s="256" t="s">
        <v>80</v>
      </c>
      <c r="JVS11" s="256" t="s">
        <v>81</v>
      </c>
      <c r="JVT11" s="283"/>
      <c r="JVU11" s="259" t="s">
        <v>55</v>
      </c>
      <c r="JVV11" s="256" t="s">
        <v>76</v>
      </c>
      <c r="JVW11" s="256" t="s">
        <v>77</v>
      </c>
      <c r="JVX11" s="256" t="s">
        <v>78</v>
      </c>
      <c r="JVY11" s="256" t="s">
        <v>79</v>
      </c>
      <c r="JVZ11" s="256" t="s">
        <v>80</v>
      </c>
      <c r="JWA11" s="58" t="s">
        <v>81</v>
      </c>
      <c r="JWB11" s="284"/>
      <c r="JWC11" s="259" t="s">
        <v>55</v>
      </c>
      <c r="JWD11" s="256" t="s">
        <v>76</v>
      </c>
      <c r="JWE11" s="256" t="s">
        <v>77</v>
      </c>
      <c r="JWF11" s="256" t="s">
        <v>78</v>
      </c>
      <c r="JWG11" s="256" t="s">
        <v>79</v>
      </c>
      <c r="JWH11" s="256" t="s">
        <v>80</v>
      </c>
      <c r="JWI11" s="256" t="s">
        <v>81</v>
      </c>
      <c r="JWJ11" s="283"/>
      <c r="JWK11" s="259" t="s">
        <v>55</v>
      </c>
      <c r="JWL11" s="256" t="s">
        <v>76</v>
      </c>
      <c r="JWM11" s="256" t="s">
        <v>77</v>
      </c>
      <c r="JWN11" s="256" t="s">
        <v>78</v>
      </c>
      <c r="JWO11" s="256" t="s">
        <v>79</v>
      </c>
      <c r="JWP11" s="256" t="s">
        <v>80</v>
      </c>
      <c r="JWQ11" s="58" t="s">
        <v>81</v>
      </c>
      <c r="JWR11" s="284"/>
      <c r="JWS11" s="259" t="s">
        <v>55</v>
      </c>
      <c r="JWT11" s="256" t="s">
        <v>76</v>
      </c>
      <c r="JWU11" s="256" t="s">
        <v>77</v>
      </c>
      <c r="JWV11" s="256" t="s">
        <v>78</v>
      </c>
      <c r="JWW11" s="256" t="s">
        <v>79</v>
      </c>
      <c r="JWX11" s="256" t="s">
        <v>80</v>
      </c>
      <c r="JWY11" s="256" t="s">
        <v>81</v>
      </c>
      <c r="JWZ11" s="283"/>
      <c r="JXA11" s="259" t="s">
        <v>55</v>
      </c>
      <c r="JXB11" s="256" t="s">
        <v>76</v>
      </c>
      <c r="JXC11" s="256" t="s">
        <v>77</v>
      </c>
      <c r="JXD11" s="256" t="s">
        <v>78</v>
      </c>
      <c r="JXE11" s="256" t="s">
        <v>79</v>
      </c>
      <c r="JXF11" s="256" t="s">
        <v>80</v>
      </c>
      <c r="JXG11" s="58" t="s">
        <v>81</v>
      </c>
      <c r="JXH11" s="284"/>
      <c r="JXI11" s="259" t="s">
        <v>55</v>
      </c>
      <c r="JXJ11" s="256" t="s">
        <v>76</v>
      </c>
      <c r="JXK11" s="256" t="s">
        <v>77</v>
      </c>
      <c r="JXL11" s="256" t="s">
        <v>78</v>
      </c>
      <c r="JXM11" s="256" t="s">
        <v>79</v>
      </c>
      <c r="JXN11" s="256" t="s">
        <v>80</v>
      </c>
      <c r="JXO11" s="256" t="s">
        <v>81</v>
      </c>
      <c r="JXP11" s="283"/>
      <c r="JXQ11" s="259" t="s">
        <v>55</v>
      </c>
      <c r="JXR11" s="256" t="s">
        <v>76</v>
      </c>
      <c r="JXS11" s="256" t="s">
        <v>77</v>
      </c>
      <c r="JXT11" s="256" t="s">
        <v>78</v>
      </c>
      <c r="JXU11" s="256" t="s">
        <v>79</v>
      </c>
      <c r="JXV11" s="256" t="s">
        <v>80</v>
      </c>
      <c r="JXW11" s="58" t="s">
        <v>81</v>
      </c>
      <c r="JXX11" s="284"/>
      <c r="JXY11" s="259" t="s">
        <v>55</v>
      </c>
      <c r="JXZ11" s="256" t="s">
        <v>76</v>
      </c>
      <c r="JYA11" s="256" t="s">
        <v>77</v>
      </c>
      <c r="JYB11" s="256" t="s">
        <v>78</v>
      </c>
      <c r="JYC11" s="256" t="s">
        <v>79</v>
      </c>
      <c r="JYD11" s="256" t="s">
        <v>80</v>
      </c>
      <c r="JYE11" s="256" t="s">
        <v>81</v>
      </c>
      <c r="JYF11" s="283"/>
      <c r="JYG11" s="259" t="s">
        <v>55</v>
      </c>
      <c r="JYH11" s="256" t="s">
        <v>76</v>
      </c>
      <c r="JYI11" s="256" t="s">
        <v>77</v>
      </c>
      <c r="JYJ11" s="256" t="s">
        <v>78</v>
      </c>
      <c r="JYK11" s="256" t="s">
        <v>79</v>
      </c>
      <c r="JYL11" s="256" t="s">
        <v>80</v>
      </c>
      <c r="JYM11" s="58" t="s">
        <v>81</v>
      </c>
      <c r="JYN11" s="284"/>
      <c r="JYO11" s="259" t="s">
        <v>55</v>
      </c>
      <c r="JYP11" s="256" t="s">
        <v>76</v>
      </c>
      <c r="JYQ11" s="256" t="s">
        <v>77</v>
      </c>
      <c r="JYR11" s="256" t="s">
        <v>78</v>
      </c>
      <c r="JYS11" s="256" t="s">
        <v>79</v>
      </c>
      <c r="JYT11" s="256" t="s">
        <v>80</v>
      </c>
      <c r="JYU11" s="256" t="s">
        <v>81</v>
      </c>
      <c r="JYV11" s="283"/>
      <c r="JYW11" s="259" t="s">
        <v>55</v>
      </c>
      <c r="JYX11" s="256" t="s">
        <v>76</v>
      </c>
      <c r="JYY11" s="256" t="s">
        <v>77</v>
      </c>
      <c r="JYZ11" s="256" t="s">
        <v>78</v>
      </c>
      <c r="JZA11" s="256" t="s">
        <v>79</v>
      </c>
      <c r="JZB11" s="256" t="s">
        <v>80</v>
      </c>
      <c r="JZC11" s="58" t="s">
        <v>81</v>
      </c>
      <c r="JZD11" s="284"/>
      <c r="JZE11" s="259" t="s">
        <v>55</v>
      </c>
      <c r="JZF11" s="256" t="s">
        <v>76</v>
      </c>
      <c r="JZG11" s="256" t="s">
        <v>77</v>
      </c>
      <c r="JZH11" s="256" t="s">
        <v>78</v>
      </c>
      <c r="JZI11" s="256" t="s">
        <v>79</v>
      </c>
      <c r="JZJ11" s="256" t="s">
        <v>80</v>
      </c>
      <c r="JZK11" s="256" t="s">
        <v>81</v>
      </c>
      <c r="JZL11" s="283"/>
      <c r="JZM11" s="259" t="s">
        <v>55</v>
      </c>
      <c r="JZN11" s="256" t="s">
        <v>76</v>
      </c>
      <c r="JZO11" s="256" t="s">
        <v>77</v>
      </c>
      <c r="JZP11" s="256" t="s">
        <v>78</v>
      </c>
      <c r="JZQ11" s="256" t="s">
        <v>79</v>
      </c>
      <c r="JZR11" s="256" t="s">
        <v>80</v>
      </c>
      <c r="JZS11" s="58" t="s">
        <v>81</v>
      </c>
      <c r="JZT11" s="284"/>
      <c r="JZU11" s="259" t="s">
        <v>55</v>
      </c>
      <c r="JZV11" s="256" t="s">
        <v>76</v>
      </c>
      <c r="JZW11" s="256" t="s">
        <v>77</v>
      </c>
      <c r="JZX11" s="256" t="s">
        <v>78</v>
      </c>
      <c r="JZY11" s="256" t="s">
        <v>79</v>
      </c>
      <c r="JZZ11" s="256" t="s">
        <v>80</v>
      </c>
      <c r="KAA11" s="256" t="s">
        <v>81</v>
      </c>
      <c r="KAB11" s="283"/>
      <c r="KAC11" s="259" t="s">
        <v>55</v>
      </c>
      <c r="KAD11" s="256" t="s">
        <v>76</v>
      </c>
      <c r="KAE11" s="256" t="s">
        <v>77</v>
      </c>
      <c r="KAF11" s="256" t="s">
        <v>78</v>
      </c>
      <c r="KAG11" s="256" t="s">
        <v>79</v>
      </c>
      <c r="KAH11" s="256" t="s">
        <v>80</v>
      </c>
      <c r="KAI11" s="58" t="s">
        <v>81</v>
      </c>
      <c r="KAJ11" s="284"/>
      <c r="KAK11" s="259" t="s">
        <v>55</v>
      </c>
      <c r="KAL11" s="256" t="s">
        <v>76</v>
      </c>
      <c r="KAM11" s="256" t="s">
        <v>77</v>
      </c>
      <c r="KAN11" s="256" t="s">
        <v>78</v>
      </c>
      <c r="KAO11" s="256" t="s">
        <v>79</v>
      </c>
      <c r="KAP11" s="256" t="s">
        <v>80</v>
      </c>
      <c r="KAQ11" s="256" t="s">
        <v>81</v>
      </c>
      <c r="KAR11" s="283"/>
      <c r="KAS11" s="259" t="s">
        <v>55</v>
      </c>
      <c r="KAT11" s="256" t="s">
        <v>76</v>
      </c>
      <c r="KAU11" s="256" t="s">
        <v>77</v>
      </c>
      <c r="KAV11" s="256" t="s">
        <v>78</v>
      </c>
      <c r="KAW11" s="256" t="s">
        <v>79</v>
      </c>
      <c r="KAX11" s="256" t="s">
        <v>80</v>
      </c>
      <c r="KAY11" s="58" t="s">
        <v>81</v>
      </c>
      <c r="KAZ11" s="284"/>
      <c r="KBA11" s="259" t="s">
        <v>55</v>
      </c>
      <c r="KBB11" s="256" t="s">
        <v>76</v>
      </c>
      <c r="KBC11" s="256" t="s">
        <v>77</v>
      </c>
      <c r="KBD11" s="256" t="s">
        <v>78</v>
      </c>
      <c r="KBE11" s="256" t="s">
        <v>79</v>
      </c>
      <c r="KBF11" s="256" t="s">
        <v>80</v>
      </c>
      <c r="KBG11" s="256" t="s">
        <v>81</v>
      </c>
      <c r="KBH11" s="283"/>
      <c r="KBI11" s="259" t="s">
        <v>55</v>
      </c>
      <c r="KBJ11" s="256" t="s">
        <v>76</v>
      </c>
      <c r="KBK11" s="256" t="s">
        <v>77</v>
      </c>
      <c r="KBL11" s="256" t="s">
        <v>78</v>
      </c>
      <c r="KBM11" s="256" t="s">
        <v>79</v>
      </c>
      <c r="KBN11" s="256" t="s">
        <v>80</v>
      </c>
      <c r="KBO11" s="58" t="s">
        <v>81</v>
      </c>
      <c r="KBP11" s="284"/>
      <c r="KBQ11" s="259" t="s">
        <v>55</v>
      </c>
      <c r="KBR11" s="256" t="s">
        <v>76</v>
      </c>
      <c r="KBS11" s="256" t="s">
        <v>77</v>
      </c>
      <c r="KBT11" s="256" t="s">
        <v>78</v>
      </c>
      <c r="KBU11" s="256" t="s">
        <v>79</v>
      </c>
      <c r="KBV11" s="256" t="s">
        <v>80</v>
      </c>
      <c r="KBW11" s="256" t="s">
        <v>81</v>
      </c>
      <c r="KBX11" s="283"/>
      <c r="KBY11" s="259" t="s">
        <v>55</v>
      </c>
      <c r="KBZ11" s="256" t="s">
        <v>76</v>
      </c>
      <c r="KCA11" s="256" t="s">
        <v>77</v>
      </c>
      <c r="KCB11" s="256" t="s">
        <v>78</v>
      </c>
      <c r="KCC11" s="256" t="s">
        <v>79</v>
      </c>
      <c r="KCD11" s="256" t="s">
        <v>80</v>
      </c>
      <c r="KCE11" s="58" t="s">
        <v>81</v>
      </c>
      <c r="KCF11" s="284"/>
      <c r="KCG11" s="259" t="s">
        <v>55</v>
      </c>
      <c r="KCH11" s="256" t="s">
        <v>76</v>
      </c>
      <c r="KCI11" s="256" t="s">
        <v>77</v>
      </c>
      <c r="KCJ11" s="256" t="s">
        <v>78</v>
      </c>
      <c r="KCK11" s="256" t="s">
        <v>79</v>
      </c>
      <c r="KCL11" s="256" t="s">
        <v>80</v>
      </c>
      <c r="KCM11" s="256" t="s">
        <v>81</v>
      </c>
      <c r="KCN11" s="283"/>
      <c r="KCO11" s="259" t="s">
        <v>55</v>
      </c>
      <c r="KCP11" s="256" t="s">
        <v>76</v>
      </c>
      <c r="KCQ11" s="256" t="s">
        <v>77</v>
      </c>
      <c r="KCR11" s="256" t="s">
        <v>78</v>
      </c>
      <c r="KCS11" s="256" t="s">
        <v>79</v>
      </c>
      <c r="KCT11" s="256" t="s">
        <v>80</v>
      </c>
      <c r="KCU11" s="58" t="s">
        <v>81</v>
      </c>
      <c r="KCV11" s="284"/>
      <c r="KCW11" s="259" t="s">
        <v>55</v>
      </c>
      <c r="KCX11" s="256" t="s">
        <v>76</v>
      </c>
      <c r="KCY11" s="256" t="s">
        <v>77</v>
      </c>
      <c r="KCZ11" s="256" t="s">
        <v>78</v>
      </c>
      <c r="KDA11" s="256" t="s">
        <v>79</v>
      </c>
      <c r="KDB11" s="256" t="s">
        <v>80</v>
      </c>
      <c r="KDC11" s="256" t="s">
        <v>81</v>
      </c>
      <c r="KDD11" s="283"/>
      <c r="KDE11" s="259" t="s">
        <v>55</v>
      </c>
      <c r="KDF11" s="256" t="s">
        <v>76</v>
      </c>
      <c r="KDG11" s="256" t="s">
        <v>77</v>
      </c>
      <c r="KDH11" s="256" t="s">
        <v>78</v>
      </c>
      <c r="KDI11" s="256" t="s">
        <v>79</v>
      </c>
      <c r="KDJ11" s="256" t="s">
        <v>80</v>
      </c>
      <c r="KDK11" s="58" t="s">
        <v>81</v>
      </c>
      <c r="KDL11" s="284"/>
      <c r="KDM11" s="259" t="s">
        <v>55</v>
      </c>
      <c r="KDN11" s="256" t="s">
        <v>76</v>
      </c>
      <c r="KDO11" s="256" t="s">
        <v>77</v>
      </c>
      <c r="KDP11" s="256" t="s">
        <v>78</v>
      </c>
      <c r="KDQ11" s="256" t="s">
        <v>79</v>
      </c>
      <c r="KDR11" s="256" t="s">
        <v>80</v>
      </c>
      <c r="KDS11" s="256" t="s">
        <v>81</v>
      </c>
      <c r="KDT11" s="283"/>
      <c r="KDU11" s="259" t="s">
        <v>55</v>
      </c>
      <c r="KDV11" s="256" t="s">
        <v>76</v>
      </c>
      <c r="KDW11" s="256" t="s">
        <v>77</v>
      </c>
      <c r="KDX11" s="256" t="s">
        <v>78</v>
      </c>
      <c r="KDY11" s="256" t="s">
        <v>79</v>
      </c>
      <c r="KDZ11" s="256" t="s">
        <v>80</v>
      </c>
      <c r="KEA11" s="58" t="s">
        <v>81</v>
      </c>
      <c r="KEB11" s="284"/>
      <c r="KEC11" s="259" t="s">
        <v>55</v>
      </c>
      <c r="KED11" s="256" t="s">
        <v>76</v>
      </c>
      <c r="KEE11" s="256" t="s">
        <v>77</v>
      </c>
      <c r="KEF11" s="256" t="s">
        <v>78</v>
      </c>
      <c r="KEG11" s="256" t="s">
        <v>79</v>
      </c>
      <c r="KEH11" s="256" t="s">
        <v>80</v>
      </c>
      <c r="KEI11" s="256" t="s">
        <v>81</v>
      </c>
      <c r="KEJ11" s="283"/>
      <c r="KEK11" s="259" t="s">
        <v>55</v>
      </c>
      <c r="KEL11" s="256" t="s">
        <v>76</v>
      </c>
      <c r="KEM11" s="256" t="s">
        <v>77</v>
      </c>
      <c r="KEN11" s="256" t="s">
        <v>78</v>
      </c>
      <c r="KEO11" s="256" t="s">
        <v>79</v>
      </c>
      <c r="KEP11" s="256" t="s">
        <v>80</v>
      </c>
      <c r="KEQ11" s="58" t="s">
        <v>81</v>
      </c>
      <c r="KER11" s="284"/>
      <c r="KES11" s="259" t="s">
        <v>55</v>
      </c>
      <c r="KET11" s="256" t="s">
        <v>76</v>
      </c>
      <c r="KEU11" s="256" t="s">
        <v>77</v>
      </c>
      <c r="KEV11" s="256" t="s">
        <v>78</v>
      </c>
      <c r="KEW11" s="256" t="s">
        <v>79</v>
      </c>
      <c r="KEX11" s="256" t="s">
        <v>80</v>
      </c>
      <c r="KEY11" s="256" t="s">
        <v>81</v>
      </c>
      <c r="KEZ11" s="283"/>
      <c r="KFA11" s="259" t="s">
        <v>55</v>
      </c>
      <c r="KFB11" s="256" t="s">
        <v>76</v>
      </c>
      <c r="KFC11" s="256" t="s">
        <v>77</v>
      </c>
      <c r="KFD11" s="256" t="s">
        <v>78</v>
      </c>
      <c r="KFE11" s="256" t="s">
        <v>79</v>
      </c>
      <c r="KFF11" s="256" t="s">
        <v>80</v>
      </c>
      <c r="KFG11" s="58" t="s">
        <v>81</v>
      </c>
      <c r="KFH11" s="284"/>
      <c r="KFI11" s="259" t="s">
        <v>55</v>
      </c>
      <c r="KFJ11" s="256" t="s">
        <v>76</v>
      </c>
      <c r="KFK11" s="256" t="s">
        <v>77</v>
      </c>
      <c r="KFL11" s="256" t="s">
        <v>78</v>
      </c>
      <c r="KFM11" s="256" t="s">
        <v>79</v>
      </c>
      <c r="KFN11" s="256" t="s">
        <v>80</v>
      </c>
      <c r="KFO11" s="256" t="s">
        <v>81</v>
      </c>
      <c r="KFP11" s="283"/>
      <c r="KFQ11" s="259" t="s">
        <v>55</v>
      </c>
      <c r="KFR11" s="256" t="s">
        <v>76</v>
      </c>
      <c r="KFS11" s="256" t="s">
        <v>77</v>
      </c>
      <c r="KFT11" s="256" t="s">
        <v>78</v>
      </c>
      <c r="KFU11" s="256" t="s">
        <v>79</v>
      </c>
      <c r="KFV11" s="256" t="s">
        <v>80</v>
      </c>
      <c r="KFW11" s="58" t="s">
        <v>81</v>
      </c>
      <c r="KFX11" s="284"/>
      <c r="KFY11" s="259" t="s">
        <v>55</v>
      </c>
      <c r="KFZ11" s="256" t="s">
        <v>76</v>
      </c>
      <c r="KGA11" s="256" t="s">
        <v>77</v>
      </c>
      <c r="KGB11" s="256" t="s">
        <v>78</v>
      </c>
      <c r="KGC11" s="256" t="s">
        <v>79</v>
      </c>
      <c r="KGD11" s="256" t="s">
        <v>80</v>
      </c>
      <c r="KGE11" s="256" t="s">
        <v>81</v>
      </c>
      <c r="KGF11" s="283"/>
      <c r="KGG11" s="259" t="s">
        <v>55</v>
      </c>
      <c r="KGH11" s="256" t="s">
        <v>76</v>
      </c>
      <c r="KGI11" s="256" t="s">
        <v>77</v>
      </c>
      <c r="KGJ11" s="256" t="s">
        <v>78</v>
      </c>
      <c r="KGK11" s="256" t="s">
        <v>79</v>
      </c>
      <c r="KGL11" s="256" t="s">
        <v>80</v>
      </c>
      <c r="KGM11" s="58" t="s">
        <v>81</v>
      </c>
      <c r="KGN11" s="284"/>
      <c r="KGO11" s="259" t="s">
        <v>55</v>
      </c>
      <c r="KGP11" s="256" t="s">
        <v>76</v>
      </c>
      <c r="KGQ11" s="256" t="s">
        <v>77</v>
      </c>
      <c r="KGR11" s="256" t="s">
        <v>78</v>
      </c>
      <c r="KGS11" s="256" t="s">
        <v>79</v>
      </c>
      <c r="KGT11" s="256" t="s">
        <v>80</v>
      </c>
      <c r="KGU11" s="256" t="s">
        <v>81</v>
      </c>
      <c r="KGV11" s="283"/>
      <c r="KGW11" s="259" t="s">
        <v>55</v>
      </c>
      <c r="KGX11" s="256" t="s">
        <v>76</v>
      </c>
      <c r="KGY11" s="256" t="s">
        <v>77</v>
      </c>
      <c r="KGZ11" s="256" t="s">
        <v>78</v>
      </c>
      <c r="KHA11" s="256" t="s">
        <v>79</v>
      </c>
      <c r="KHB11" s="256" t="s">
        <v>80</v>
      </c>
      <c r="KHC11" s="58" t="s">
        <v>81</v>
      </c>
      <c r="KHD11" s="284"/>
      <c r="KHE11" s="259" t="s">
        <v>55</v>
      </c>
      <c r="KHF11" s="256" t="s">
        <v>76</v>
      </c>
      <c r="KHG11" s="256" t="s">
        <v>77</v>
      </c>
      <c r="KHH11" s="256" t="s">
        <v>78</v>
      </c>
      <c r="KHI11" s="256" t="s">
        <v>79</v>
      </c>
      <c r="KHJ11" s="256" t="s">
        <v>80</v>
      </c>
      <c r="KHK11" s="256" t="s">
        <v>81</v>
      </c>
      <c r="KHL11" s="283"/>
      <c r="KHM11" s="259" t="s">
        <v>55</v>
      </c>
      <c r="KHN11" s="256" t="s">
        <v>76</v>
      </c>
      <c r="KHO11" s="256" t="s">
        <v>77</v>
      </c>
      <c r="KHP11" s="256" t="s">
        <v>78</v>
      </c>
      <c r="KHQ11" s="256" t="s">
        <v>79</v>
      </c>
      <c r="KHR11" s="256" t="s">
        <v>80</v>
      </c>
      <c r="KHS11" s="58" t="s">
        <v>81</v>
      </c>
      <c r="KHT11" s="284"/>
      <c r="KHU11" s="259" t="s">
        <v>55</v>
      </c>
      <c r="KHV11" s="256" t="s">
        <v>76</v>
      </c>
      <c r="KHW11" s="256" t="s">
        <v>77</v>
      </c>
      <c r="KHX11" s="256" t="s">
        <v>78</v>
      </c>
      <c r="KHY11" s="256" t="s">
        <v>79</v>
      </c>
      <c r="KHZ11" s="256" t="s">
        <v>80</v>
      </c>
      <c r="KIA11" s="256" t="s">
        <v>81</v>
      </c>
      <c r="KIB11" s="283"/>
      <c r="KIC11" s="259" t="s">
        <v>55</v>
      </c>
      <c r="KID11" s="256" t="s">
        <v>76</v>
      </c>
      <c r="KIE11" s="256" t="s">
        <v>77</v>
      </c>
      <c r="KIF11" s="256" t="s">
        <v>78</v>
      </c>
      <c r="KIG11" s="256" t="s">
        <v>79</v>
      </c>
      <c r="KIH11" s="256" t="s">
        <v>80</v>
      </c>
      <c r="KII11" s="58" t="s">
        <v>81</v>
      </c>
      <c r="KIJ11" s="284"/>
      <c r="KIK11" s="259" t="s">
        <v>55</v>
      </c>
      <c r="KIL11" s="256" t="s">
        <v>76</v>
      </c>
      <c r="KIM11" s="256" t="s">
        <v>77</v>
      </c>
      <c r="KIN11" s="256" t="s">
        <v>78</v>
      </c>
      <c r="KIO11" s="256" t="s">
        <v>79</v>
      </c>
      <c r="KIP11" s="256" t="s">
        <v>80</v>
      </c>
      <c r="KIQ11" s="256" t="s">
        <v>81</v>
      </c>
      <c r="KIR11" s="283"/>
      <c r="KIS11" s="259" t="s">
        <v>55</v>
      </c>
      <c r="KIT11" s="256" t="s">
        <v>76</v>
      </c>
      <c r="KIU11" s="256" t="s">
        <v>77</v>
      </c>
      <c r="KIV11" s="256" t="s">
        <v>78</v>
      </c>
      <c r="KIW11" s="256" t="s">
        <v>79</v>
      </c>
      <c r="KIX11" s="256" t="s">
        <v>80</v>
      </c>
      <c r="KIY11" s="58" t="s">
        <v>81</v>
      </c>
      <c r="KIZ11" s="284"/>
      <c r="KJA11" s="259" t="s">
        <v>55</v>
      </c>
      <c r="KJB11" s="256" t="s">
        <v>76</v>
      </c>
      <c r="KJC11" s="256" t="s">
        <v>77</v>
      </c>
      <c r="KJD11" s="256" t="s">
        <v>78</v>
      </c>
      <c r="KJE11" s="256" t="s">
        <v>79</v>
      </c>
      <c r="KJF11" s="256" t="s">
        <v>80</v>
      </c>
      <c r="KJG11" s="256" t="s">
        <v>81</v>
      </c>
      <c r="KJH11" s="283"/>
      <c r="KJI11" s="259" t="s">
        <v>55</v>
      </c>
      <c r="KJJ11" s="256" t="s">
        <v>76</v>
      </c>
      <c r="KJK11" s="256" t="s">
        <v>77</v>
      </c>
      <c r="KJL11" s="256" t="s">
        <v>78</v>
      </c>
      <c r="KJM11" s="256" t="s">
        <v>79</v>
      </c>
      <c r="KJN11" s="256" t="s">
        <v>80</v>
      </c>
      <c r="KJO11" s="58" t="s">
        <v>81</v>
      </c>
      <c r="KJP11" s="284"/>
      <c r="KJQ11" s="259" t="s">
        <v>55</v>
      </c>
      <c r="KJR11" s="256" t="s">
        <v>76</v>
      </c>
      <c r="KJS11" s="256" t="s">
        <v>77</v>
      </c>
      <c r="KJT11" s="256" t="s">
        <v>78</v>
      </c>
      <c r="KJU11" s="256" t="s">
        <v>79</v>
      </c>
      <c r="KJV11" s="256" t="s">
        <v>80</v>
      </c>
      <c r="KJW11" s="256" t="s">
        <v>81</v>
      </c>
      <c r="KJX11" s="283"/>
      <c r="KJY11" s="259" t="s">
        <v>55</v>
      </c>
      <c r="KJZ11" s="256" t="s">
        <v>76</v>
      </c>
      <c r="KKA11" s="256" t="s">
        <v>77</v>
      </c>
      <c r="KKB11" s="256" t="s">
        <v>78</v>
      </c>
      <c r="KKC11" s="256" t="s">
        <v>79</v>
      </c>
      <c r="KKD11" s="256" t="s">
        <v>80</v>
      </c>
      <c r="KKE11" s="58" t="s">
        <v>81</v>
      </c>
      <c r="KKF11" s="284"/>
      <c r="KKG11" s="259" t="s">
        <v>55</v>
      </c>
      <c r="KKH11" s="256" t="s">
        <v>76</v>
      </c>
      <c r="KKI11" s="256" t="s">
        <v>77</v>
      </c>
      <c r="KKJ11" s="256" t="s">
        <v>78</v>
      </c>
      <c r="KKK11" s="256" t="s">
        <v>79</v>
      </c>
      <c r="KKL11" s="256" t="s">
        <v>80</v>
      </c>
      <c r="KKM11" s="256" t="s">
        <v>81</v>
      </c>
      <c r="KKN11" s="283"/>
      <c r="KKO11" s="259" t="s">
        <v>55</v>
      </c>
      <c r="KKP11" s="256" t="s">
        <v>76</v>
      </c>
      <c r="KKQ11" s="256" t="s">
        <v>77</v>
      </c>
      <c r="KKR11" s="256" t="s">
        <v>78</v>
      </c>
      <c r="KKS11" s="256" t="s">
        <v>79</v>
      </c>
      <c r="KKT11" s="256" t="s">
        <v>80</v>
      </c>
      <c r="KKU11" s="58" t="s">
        <v>81</v>
      </c>
      <c r="KKV11" s="284"/>
      <c r="KKW11" s="259" t="s">
        <v>55</v>
      </c>
      <c r="KKX11" s="256" t="s">
        <v>76</v>
      </c>
      <c r="KKY11" s="256" t="s">
        <v>77</v>
      </c>
      <c r="KKZ11" s="256" t="s">
        <v>78</v>
      </c>
      <c r="KLA11" s="256" t="s">
        <v>79</v>
      </c>
      <c r="KLB11" s="256" t="s">
        <v>80</v>
      </c>
      <c r="KLC11" s="256" t="s">
        <v>81</v>
      </c>
      <c r="KLD11" s="283"/>
      <c r="KLE11" s="259" t="s">
        <v>55</v>
      </c>
      <c r="KLF11" s="256" t="s">
        <v>76</v>
      </c>
      <c r="KLG11" s="256" t="s">
        <v>77</v>
      </c>
      <c r="KLH11" s="256" t="s">
        <v>78</v>
      </c>
      <c r="KLI11" s="256" t="s">
        <v>79</v>
      </c>
      <c r="KLJ11" s="256" t="s">
        <v>80</v>
      </c>
      <c r="KLK11" s="58" t="s">
        <v>81</v>
      </c>
      <c r="KLL11" s="284"/>
      <c r="KLM11" s="259" t="s">
        <v>55</v>
      </c>
      <c r="KLN11" s="256" t="s">
        <v>76</v>
      </c>
      <c r="KLO11" s="256" t="s">
        <v>77</v>
      </c>
      <c r="KLP11" s="256" t="s">
        <v>78</v>
      </c>
      <c r="KLQ11" s="256" t="s">
        <v>79</v>
      </c>
      <c r="KLR11" s="256" t="s">
        <v>80</v>
      </c>
      <c r="KLS11" s="256" t="s">
        <v>81</v>
      </c>
      <c r="KLT11" s="283"/>
      <c r="KLU11" s="259" t="s">
        <v>55</v>
      </c>
      <c r="KLV11" s="256" t="s">
        <v>76</v>
      </c>
      <c r="KLW11" s="256" t="s">
        <v>77</v>
      </c>
      <c r="KLX11" s="256" t="s">
        <v>78</v>
      </c>
      <c r="KLY11" s="256" t="s">
        <v>79</v>
      </c>
      <c r="KLZ11" s="256" t="s">
        <v>80</v>
      </c>
      <c r="KMA11" s="58" t="s">
        <v>81</v>
      </c>
      <c r="KMB11" s="284"/>
      <c r="KMC11" s="259" t="s">
        <v>55</v>
      </c>
      <c r="KMD11" s="256" t="s">
        <v>76</v>
      </c>
      <c r="KME11" s="256" t="s">
        <v>77</v>
      </c>
      <c r="KMF11" s="256" t="s">
        <v>78</v>
      </c>
      <c r="KMG11" s="256" t="s">
        <v>79</v>
      </c>
      <c r="KMH11" s="256" t="s">
        <v>80</v>
      </c>
      <c r="KMI11" s="256" t="s">
        <v>81</v>
      </c>
      <c r="KMJ11" s="283"/>
      <c r="KMK11" s="259" t="s">
        <v>55</v>
      </c>
      <c r="KML11" s="256" t="s">
        <v>76</v>
      </c>
      <c r="KMM11" s="256" t="s">
        <v>77</v>
      </c>
      <c r="KMN11" s="256" t="s">
        <v>78</v>
      </c>
      <c r="KMO11" s="256" t="s">
        <v>79</v>
      </c>
      <c r="KMP11" s="256" t="s">
        <v>80</v>
      </c>
      <c r="KMQ11" s="58" t="s">
        <v>81</v>
      </c>
      <c r="KMR11" s="284"/>
      <c r="KMS11" s="259" t="s">
        <v>55</v>
      </c>
      <c r="KMT11" s="256" t="s">
        <v>76</v>
      </c>
      <c r="KMU11" s="256" t="s">
        <v>77</v>
      </c>
      <c r="KMV11" s="256" t="s">
        <v>78</v>
      </c>
      <c r="KMW11" s="256" t="s">
        <v>79</v>
      </c>
      <c r="KMX11" s="256" t="s">
        <v>80</v>
      </c>
      <c r="KMY11" s="256" t="s">
        <v>81</v>
      </c>
      <c r="KMZ11" s="283"/>
      <c r="KNA11" s="259" t="s">
        <v>55</v>
      </c>
      <c r="KNB11" s="256" t="s">
        <v>76</v>
      </c>
      <c r="KNC11" s="256" t="s">
        <v>77</v>
      </c>
      <c r="KND11" s="256" t="s">
        <v>78</v>
      </c>
      <c r="KNE11" s="256" t="s">
        <v>79</v>
      </c>
      <c r="KNF11" s="256" t="s">
        <v>80</v>
      </c>
      <c r="KNG11" s="58" t="s">
        <v>81</v>
      </c>
      <c r="KNH11" s="284"/>
      <c r="KNI11" s="259" t="s">
        <v>55</v>
      </c>
      <c r="KNJ11" s="256" t="s">
        <v>76</v>
      </c>
      <c r="KNK11" s="256" t="s">
        <v>77</v>
      </c>
      <c r="KNL11" s="256" t="s">
        <v>78</v>
      </c>
      <c r="KNM11" s="256" t="s">
        <v>79</v>
      </c>
      <c r="KNN11" s="256" t="s">
        <v>80</v>
      </c>
      <c r="KNO11" s="256" t="s">
        <v>81</v>
      </c>
      <c r="KNP11" s="283"/>
      <c r="KNQ11" s="259" t="s">
        <v>55</v>
      </c>
      <c r="KNR11" s="256" t="s">
        <v>76</v>
      </c>
      <c r="KNS11" s="256" t="s">
        <v>77</v>
      </c>
      <c r="KNT11" s="256" t="s">
        <v>78</v>
      </c>
      <c r="KNU11" s="256" t="s">
        <v>79</v>
      </c>
      <c r="KNV11" s="256" t="s">
        <v>80</v>
      </c>
      <c r="KNW11" s="58" t="s">
        <v>81</v>
      </c>
      <c r="KNX11" s="284"/>
      <c r="KNY11" s="259" t="s">
        <v>55</v>
      </c>
      <c r="KNZ11" s="256" t="s">
        <v>76</v>
      </c>
      <c r="KOA11" s="256" t="s">
        <v>77</v>
      </c>
      <c r="KOB11" s="256" t="s">
        <v>78</v>
      </c>
      <c r="KOC11" s="256" t="s">
        <v>79</v>
      </c>
      <c r="KOD11" s="256" t="s">
        <v>80</v>
      </c>
      <c r="KOE11" s="256" t="s">
        <v>81</v>
      </c>
      <c r="KOF11" s="283"/>
      <c r="KOG11" s="259" t="s">
        <v>55</v>
      </c>
      <c r="KOH11" s="256" t="s">
        <v>76</v>
      </c>
      <c r="KOI11" s="256" t="s">
        <v>77</v>
      </c>
      <c r="KOJ11" s="256" t="s">
        <v>78</v>
      </c>
      <c r="KOK11" s="256" t="s">
        <v>79</v>
      </c>
      <c r="KOL11" s="256" t="s">
        <v>80</v>
      </c>
      <c r="KOM11" s="58" t="s">
        <v>81</v>
      </c>
      <c r="KON11" s="284"/>
      <c r="KOO11" s="259" t="s">
        <v>55</v>
      </c>
      <c r="KOP11" s="256" t="s">
        <v>76</v>
      </c>
      <c r="KOQ11" s="256" t="s">
        <v>77</v>
      </c>
      <c r="KOR11" s="256" t="s">
        <v>78</v>
      </c>
      <c r="KOS11" s="256" t="s">
        <v>79</v>
      </c>
      <c r="KOT11" s="256" t="s">
        <v>80</v>
      </c>
      <c r="KOU11" s="256" t="s">
        <v>81</v>
      </c>
      <c r="KOV11" s="283"/>
      <c r="KOW11" s="259" t="s">
        <v>55</v>
      </c>
      <c r="KOX11" s="256" t="s">
        <v>76</v>
      </c>
      <c r="KOY11" s="256" t="s">
        <v>77</v>
      </c>
      <c r="KOZ11" s="256" t="s">
        <v>78</v>
      </c>
      <c r="KPA11" s="256" t="s">
        <v>79</v>
      </c>
      <c r="KPB11" s="256" t="s">
        <v>80</v>
      </c>
      <c r="KPC11" s="58" t="s">
        <v>81</v>
      </c>
      <c r="KPD11" s="284"/>
      <c r="KPE11" s="259" t="s">
        <v>55</v>
      </c>
      <c r="KPF11" s="256" t="s">
        <v>76</v>
      </c>
      <c r="KPG11" s="256" t="s">
        <v>77</v>
      </c>
      <c r="KPH11" s="256" t="s">
        <v>78</v>
      </c>
      <c r="KPI11" s="256" t="s">
        <v>79</v>
      </c>
      <c r="KPJ11" s="256" t="s">
        <v>80</v>
      </c>
      <c r="KPK11" s="256" t="s">
        <v>81</v>
      </c>
      <c r="KPL11" s="283"/>
      <c r="KPM11" s="259" t="s">
        <v>55</v>
      </c>
      <c r="KPN11" s="256" t="s">
        <v>76</v>
      </c>
      <c r="KPO11" s="256" t="s">
        <v>77</v>
      </c>
      <c r="KPP11" s="256" t="s">
        <v>78</v>
      </c>
      <c r="KPQ11" s="256" t="s">
        <v>79</v>
      </c>
      <c r="KPR11" s="256" t="s">
        <v>80</v>
      </c>
      <c r="KPS11" s="58" t="s">
        <v>81</v>
      </c>
      <c r="KPT11" s="284"/>
      <c r="KPU11" s="259" t="s">
        <v>55</v>
      </c>
      <c r="KPV11" s="256" t="s">
        <v>76</v>
      </c>
      <c r="KPW11" s="256" t="s">
        <v>77</v>
      </c>
      <c r="KPX11" s="256" t="s">
        <v>78</v>
      </c>
      <c r="KPY11" s="256" t="s">
        <v>79</v>
      </c>
      <c r="KPZ11" s="256" t="s">
        <v>80</v>
      </c>
      <c r="KQA11" s="256" t="s">
        <v>81</v>
      </c>
      <c r="KQB11" s="283"/>
      <c r="KQC11" s="259" t="s">
        <v>55</v>
      </c>
      <c r="KQD11" s="256" t="s">
        <v>76</v>
      </c>
      <c r="KQE11" s="256" t="s">
        <v>77</v>
      </c>
      <c r="KQF11" s="256" t="s">
        <v>78</v>
      </c>
      <c r="KQG11" s="256" t="s">
        <v>79</v>
      </c>
      <c r="KQH11" s="256" t="s">
        <v>80</v>
      </c>
      <c r="KQI11" s="58" t="s">
        <v>81</v>
      </c>
      <c r="KQJ11" s="284"/>
      <c r="KQK11" s="259" t="s">
        <v>55</v>
      </c>
      <c r="KQL11" s="256" t="s">
        <v>76</v>
      </c>
      <c r="KQM11" s="256" t="s">
        <v>77</v>
      </c>
      <c r="KQN11" s="256" t="s">
        <v>78</v>
      </c>
      <c r="KQO11" s="256" t="s">
        <v>79</v>
      </c>
      <c r="KQP11" s="256" t="s">
        <v>80</v>
      </c>
      <c r="KQQ11" s="256" t="s">
        <v>81</v>
      </c>
      <c r="KQR11" s="283"/>
      <c r="KQS11" s="259" t="s">
        <v>55</v>
      </c>
      <c r="KQT11" s="256" t="s">
        <v>76</v>
      </c>
      <c r="KQU11" s="256" t="s">
        <v>77</v>
      </c>
      <c r="KQV11" s="256" t="s">
        <v>78</v>
      </c>
      <c r="KQW11" s="256" t="s">
        <v>79</v>
      </c>
      <c r="KQX11" s="256" t="s">
        <v>80</v>
      </c>
      <c r="KQY11" s="58" t="s">
        <v>81</v>
      </c>
      <c r="KQZ11" s="284"/>
      <c r="KRA11" s="259" t="s">
        <v>55</v>
      </c>
      <c r="KRB11" s="256" t="s">
        <v>76</v>
      </c>
      <c r="KRC11" s="256" t="s">
        <v>77</v>
      </c>
      <c r="KRD11" s="256" t="s">
        <v>78</v>
      </c>
      <c r="KRE11" s="256" t="s">
        <v>79</v>
      </c>
      <c r="KRF11" s="256" t="s">
        <v>80</v>
      </c>
      <c r="KRG11" s="256" t="s">
        <v>81</v>
      </c>
      <c r="KRH11" s="283"/>
      <c r="KRI11" s="259" t="s">
        <v>55</v>
      </c>
      <c r="KRJ11" s="256" t="s">
        <v>76</v>
      </c>
      <c r="KRK11" s="256" t="s">
        <v>77</v>
      </c>
      <c r="KRL11" s="256" t="s">
        <v>78</v>
      </c>
      <c r="KRM11" s="256" t="s">
        <v>79</v>
      </c>
      <c r="KRN11" s="256" t="s">
        <v>80</v>
      </c>
      <c r="KRO11" s="58" t="s">
        <v>81</v>
      </c>
      <c r="KRP11" s="284"/>
      <c r="KRQ11" s="259" t="s">
        <v>55</v>
      </c>
      <c r="KRR11" s="256" t="s">
        <v>76</v>
      </c>
      <c r="KRS11" s="256" t="s">
        <v>77</v>
      </c>
      <c r="KRT11" s="256" t="s">
        <v>78</v>
      </c>
      <c r="KRU11" s="256" t="s">
        <v>79</v>
      </c>
      <c r="KRV11" s="256" t="s">
        <v>80</v>
      </c>
      <c r="KRW11" s="256" t="s">
        <v>81</v>
      </c>
      <c r="KRX11" s="283"/>
      <c r="KRY11" s="259" t="s">
        <v>55</v>
      </c>
      <c r="KRZ11" s="256" t="s">
        <v>76</v>
      </c>
      <c r="KSA11" s="256" t="s">
        <v>77</v>
      </c>
      <c r="KSB11" s="256" t="s">
        <v>78</v>
      </c>
      <c r="KSC11" s="256" t="s">
        <v>79</v>
      </c>
      <c r="KSD11" s="256" t="s">
        <v>80</v>
      </c>
      <c r="KSE11" s="58" t="s">
        <v>81</v>
      </c>
      <c r="KSF11" s="284"/>
      <c r="KSG11" s="259" t="s">
        <v>55</v>
      </c>
      <c r="KSH11" s="256" t="s">
        <v>76</v>
      </c>
      <c r="KSI11" s="256" t="s">
        <v>77</v>
      </c>
      <c r="KSJ11" s="256" t="s">
        <v>78</v>
      </c>
      <c r="KSK11" s="256" t="s">
        <v>79</v>
      </c>
      <c r="KSL11" s="256" t="s">
        <v>80</v>
      </c>
      <c r="KSM11" s="256" t="s">
        <v>81</v>
      </c>
      <c r="KSN11" s="283"/>
      <c r="KSO11" s="259" t="s">
        <v>55</v>
      </c>
      <c r="KSP11" s="256" t="s">
        <v>76</v>
      </c>
      <c r="KSQ11" s="256" t="s">
        <v>77</v>
      </c>
      <c r="KSR11" s="256" t="s">
        <v>78</v>
      </c>
      <c r="KSS11" s="256" t="s">
        <v>79</v>
      </c>
      <c r="KST11" s="256" t="s">
        <v>80</v>
      </c>
      <c r="KSU11" s="58" t="s">
        <v>81</v>
      </c>
      <c r="KSV11" s="284"/>
      <c r="KSW11" s="259" t="s">
        <v>55</v>
      </c>
      <c r="KSX11" s="256" t="s">
        <v>76</v>
      </c>
      <c r="KSY11" s="256" t="s">
        <v>77</v>
      </c>
      <c r="KSZ11" s="256" t="s">
        <v>78</v>
      </c>
      <c r="KTA11" s="256" t="s">
        <v>79</v>
      </c>
      <c r="KTB11" s="256" t="s">
        <v>80</v>
      </c>
      <c r="KTC11" s="256" t="s">
        <v>81</v>
      </c>
      <c r="KTD11" s="283"/>
      <c r="KTE11" s="259" t="s">
        <v>55</v>
      </c>
      <c r="KTF11" s="256" t="s">
        <v>76</v>
      </c>
      <c r="KTG11" s="256" t="s">
        <v>77</v>
      </c>
      <c r="KTH11" s="256" t="s">
        <v>78</v>
      </c>
      <c r="KTI11" s="256" t="s">
        <v>79</v>
      </c>
      <c r="KTJ11" s="256" t="s">
        <v>80</v>
      </c>
      <c r="KTK11" s="58" t="s">
        <v>81</v>
      </c>
      <c r="KTL11" s="284"/>
      <c r="KTM11" s="259" t="s">
        <v>55</v>
      </c>
      <c r="KTN11" s="256" t="s">
        <v>76</v>
      </c>
      <c r="KTO11" s="256" t="s">
        <v>77</v>
      </c>
      <c r="KTP11" s="256" t="s">
        <v>78</v>
      </c>
      <c r="KTQ11" s="256" t="s">
        <v>79</v>
      </c>
      <c r="KTR11" s="256" t="s">
        <v>80</v>
      </c>
      <c r="KTS11" s="256" t="s">
        <v>81</v>
      </c>
      <c r="KTT11" s="283"/>
      <c r="KTU11" s="259" t="s">
        <v>55</v>
      </c>
      <c r="KTV11" s="256" t="s">
        <v>76</v>
      </c>
      <c r="KTW11" s="256" t="s">
        <v>77</v>
      </c>
      <c r="KTX11" s="256" t="s">
        <v>78</v>
      </c>
      <c r="KTY11" s="256" t="s">
        <v>79</v>
      </c>
      <c r="KTZ11" s="256" t="s">
        <v>80</v>
      </c>
      <c r="KUA11" s="58" t="s">
        <v>81</v>
      </c>
      <c r="KUB11" s="284"/>
      <c r="KUC11" s="259" t="s">
        <v>55</v>
      </c>
      <c r="KUD11" s="256" t="s">
        <v>76</v>
      </c>
      <c r="KUE11" s="256" t="s">
        <v>77</v>
      </c>
      <c r="KUF11" s="256" t="s">
        <v>78</v>
      </c>
      <c r="KUG11" s="256" t="s">
        <v>79</v>
      </c>
      <c r="KUH11" s="256" t="s">
        <v>80</v>
      </c>
      <c r="KUI11" s="256" t="s">
        <v>81</v>
      </c>
      <c r="KUJ11" s="283"/>
      <c r="KUK11" s="259" t="s">
        <v>55</v>
      </c>
      <c r="KUL11" s="256" t="s">
        <v>76</v>
      </c>
      <c r="KUM11" s="256" t="s">
        <v>77</v>
      </c>
      <c r="KUN11" s="256" t="s">
        <v>78</v>
      </c>
      <c r="KUO11" s="256" t="s">
        <v>79</v>
      </c>
      <c r="KUP11" s="256" t="s">
        <v>80</v>
      </c>
      <c r="KUQ11" s="58" t="s">
        <v>81</v>
      </c>
      <c r="KUR11" s="284"/>
      <c r="KUS11" s="259" t="s">
        <v>55</v>
      </c>
      <c r="KUT11" s="256" t="s">
        <v>76</v>
      </c>
      <c r="KUU11" s="256" t="s">
        <v>77</v>
      </c>
      <c r="KUV11" s="256" t="s">
        <v>78</v>
      </c>
      <c r="KUW11" s="256" t="s">
        <v>79</v>
      </c>
      <c r="KUX11" s="256" t="s">
        <v>80</v>
      </c>
      <c r="KUY11" s="256" t="s">
        <v>81</v>
      </c>
      <c r="KUZ11" s="283"/>
      <c r="KVA11" s="259" t="s">
        <v>55</v>
      </c>
      <c r="KVB11" s="256" t="s">
        <v>76</v>
      </c>
      <c r="KVC11" s="256" t="s">
        <v>77</v>
      </c>
      <c r="KVD11" s="256" t="s">
        <v>78</v>
      </c>
      <c r="KVE11" s="256" t="s">
        <v>79</v>
      </c>
      <c r="KVF11" s="256" t="s">
        <v>80</v>
      </c>
      <c r="KVG11" s="58" t="s">
        <v>81</v>
      </c>
      <c r="KVH11" s="284"/>
      <c r="KVI11" s="259" t="s">
        <v>55</v>
      </c>
      <c r="KVJ11" s="256" t="s">
        <v>76</v>
      </c>
      <c r="KVK11" s="256" t="s">
        <v>77</v>
      </c>
      <c r="KVL11" s="256" t="s">
        <v>78</v>
      </c>
      <c r="KVM11" s="256" t="s">
        <v>79</v>
      </c>
      <c r="KVN11" s="256" t="s">
        <v>80</v>
      </c>
      <c r="KVO11" s="256" t="s">
        <v>81</v>
      </c>
      <c r="KVP11" s="283"/>
      <c r="KVQ11" s="259" t="s">
        <v>55</v>
      </c>
      <c r="KVR11" s="256" t="s">
        <v>76</v>
      </c>
      <c r="KVS11" s="256" t="s">
        <v>77</v>
      </c>
      <c r="KVT11" s="256" t="s">
        <v>78</v>
      </c>
      <c r="KVU11" s="256" t="s">
        <v>79</v>
      </c>
      <c r="KVV11" s="256" t="s">
        <v>80</v>
      </c>
      <c r="KVW11" s="58" t="s">
        <v>81</v>
      </c>
      <c r="KVX11" s="284"/>
      <c r="KVY11" s="259" t="s">
        <v>55</v>
      </c>
      <c r="KVZ11" s="256" t="s">
        <v>76</v>
      </c>
      <c r="KWA11" s="256" t="s">
        <v>77</v>
      </c>
      <c r="KWB11" s="256" t="s">
        <v>78</v>
      </c>
      <c r="KWC11" s="256" t="s">
        <v>79</v>
      </c>
      <c r="KWD11" s="256" t="s">
        <v>80</v>
      </c>
      <c r="KWE11" s="256" t="s">
        <v>81</v>
      </c>
      <c r="KWF11" s="283"/>
      <c r="KWG11" s="259" t="s">
        <v>55</v>
      </c>
      <c r="KWH11" s="256" t="s">
        <v>76</v>
      </c>
      <c r="KWI11" s="256" t="s">
        <v>77</v>
      </c>
      <c r="KWJ11" s="256" t="s">
        <v>78</v>
      </c>
      <c r="KWK11" s="256" t="s">
        <v>79</v>
      </c>
      <c r="KWL11" s="256" t="s">
        <v>80</v>
      </c>
      <c r="KWM11" s="58" t="s">
        <v>81</v>
      </c>
      <c r="KWN11" s="284"/>
      <c r="KWO11" s="259" t="s">
        <v>55</v>
      </c>
      <c r="KWP11" s="256" t="s">
        <v>76</v>
      </c>
      <c r="KWQ11" s="256" t="s">
        <v>77</v>
      </c>
      <c r="KWR11" s="256" t="s">
        <v>78</v>
      </c>
      <c r="KWS11" s="256" t="s">
        <v>79</v>
      </c>
      <c r="KWT11" s="256" t="s">
        <v>80</v>
      </c>
      <c r="KWU11" s="256" t="s">
        <v>81</v>
      </c>
      <c r="KWV11" s="283"/>
      <c r="KWW11" s="259" t="s">
        <v>55</v>
      </c>
      <c r="KWX11" s="256" t="s">
        <v>76</v>
      </c>
      <c r="KWY11" s="256" t="s">
        <v>77</v>
      </c>
      <c r="KWZ11" s="256" t="s">
        <v>78</v>
      </c>
      <c r="KXA11" s="256" t="s">
        <v>79</v>
      </c>
      <c r="KXB11" s="256" t="s">
        <v>80</v>
      </c>
      <c r="KXC11" s="58" t="s">
        <v>81</v>
      </c>
      <c r="KXD11" s="284"/>
      <c r="KXE11" s="259" t="s">
        <v>55</v>
      </c>
      <c r="KXF11" s="256" t="s">
        <v>76</v>
      </c>
      <c r="KXG11" s="256" t="s">
        <v>77</v>
      </c>
      <c r="KXH11" s="256" t="s">
        <v>78</v>
      </c>
      <c r="KXI11" s="256" t="s">
        <v>79</v>
      </c>
      <c r="KXJ11" s="256" t="s">
        <v>80</v>
      </c>
      <c r="KXK11" s="256" t="s">
        <v>81</v>
      </c>
      <c r="KXL11" s="283"/>
      <c r="KXM11" s="259" t="s">
        <v>55</v>
      </c>
      <c r="KXN11" s="256" t="s">
        <v>76</v>
      </c>
      <c r="KXO11" s="256" t="s">
        <v>77</v>
      </c>
      <c r="KXP11" s="256" t="s">
        <v>78</v>
      </c>
      <c r="KXQ11" s="256" t="s">
        <v>79</v>
      </c>
      <c r="KXR11" s="256" t="s">
        <v>80</v>
      </c>
      <c r="KXS11" s="58" t="s">
        <v>81</v>
      </c>
      <c r="KXT11" s="284"/>
      <c r="KXU11" s="259" t="s">
        <v>55</v>
      </c>
      <c r="KXV11" s="256" t="s">
        <v>76</v>
      </c>
      <c r="KXW11" s="256" t="s">
        <v>77</v>
      </c>
      <c r="KXX11" s="256" t="s">
        <v>78</v>
      </c>
      <c r="KXY11" s="256" t="s">
        <v>79</v>
      </c>
      <c r="KXZ11" s="256" t="s">
        <v>80</v>
      </c>
      <c r="KYA11" s="256" t="s">
        <v>81</v>
      </c>
      <c r="KYB11" s="283"/>
      <c r="KYC11" s="259" t="s">
        <v>55</v>
      </c>
      <c r="KYD11" s="256" t="s">
        <v>76</v>
      </c>
      <c r="KYE11" s="256" t="s">
        <v>77</v>
      </c>
      <c r="KYF11" s="256" t="s">
        <v>78</v>
      </c>
      <c r="KYG11" s="256" t="s">
        <v>79</v>
      </c>
      <c r="KYH11" s="256" t="s">
        <v>80</v>
      </c>
      <c r="KYI11" s="58" t="s">
        <v>81</v>
      </c>
      <c r="KYJ11" s="284"/>
      <c r="KYK11" s="259" t="s">
        <v>55</v>
      </c>
      <c r="KYL11" s="256" t="s">
        <v>76</v>
      </c>
      <c r="KYM11" s="256" t="s">
        <v>77</v>
      </c>
      <c r="KYN11" s="256" t="s">
        <v>78</v>
      </c>
      <c r="KYO11" s="256" t="s">
        <v>79</v>
      </c>
      <c r="KYP11" s="256" t="s">
        <v>80</v>
      </c>
      <c r="KYQ11" s="256" t="s">
        <v>81</v>
      </c>
      <c r="KYR11" s="283"/>
      <c r="KYS11" s="259" t="s">
        <v>55</v>
      </c>
      <c r="KYT11" s="256" t="s">
        <v>76</v>
      </c>
      <c r="KYU11" s="256" t="s">
        <v>77</v>
      </c>
      <c r="KYV11" s="256" t="s">
        <v>78</v>
      </c>
      <c r="KYW11" s="256" t="s">
        <v>79</v>
      </c>
      <c r="KYX11" s="256" t="s">
        <v>80</v>
      </c>
      <c r="KYY11" s="58" t="s">
        <v>81</v>
      </c>
      <c r="KYZ11" s="284"/>
      <c r="KZA11" s="259" t="s">
        <v>55</v>
      </c>
      <c r="KZB11" s="256" t="s">
        <v>76</v>
      </c>
      <c r="KZC11" s="256" t="s">
        <v>77</v>
      </c>
      <c r="KZD11" s="256" t="s">
        <v>78</v>
      </c>
      <c r="KZE11" s="256" t="s">
        <v>79</v>
      </c>
      <c r="KZF11" s="256" t="s">
        <v>80</v>
      </c>
      <c r="KZG11" s="256" t="s">
        <v>81</v>
      </c>
      <c r="KZH11" s="283"/>
      <c r="KZI11" s="259" t="s">
        <v>55</v>
      </c>
      <c r="KZJ11" s="256" t="s">
        <v>76</v>
      </c>
      <c r="KZK11" s="256" t="s">
        <v>77</v>
      </c>
      <c r="KZL11" s="256" t="s">
        <v>78</v>
      </c>
      <c r="KZM11" s="256" t="s">
        <v>79</v>
      </c>
      <c r="KZN11" s="256" t="s">
        <v>80</v>
      </c>
      <c r="KZO11" s="58" t="s">
        <v>81</v>
      </c>
      <c r="KZP11" s="284"/>
      <c r="KZQ11" s="259" t="s">
        <v>55</v>
      </c>
      <c r="KZR11" s="256" t="s">
        <v>76</v>
      </c>
      <c r="KZS11" s="256" t="s">
        <v>77</v>
      </c>
      <c r="KZT11" s="256" t="s">
        <v>78</v>
      </c>
      <c r="KZU11" s="256" t="s">
        <v>79</v>
      </c>
      <c r="KZV11" s="256" t="s">
        <v>80</v>
      </c>
      <c r="KZW11" s="256" t="s">
        <v>81</v>
      </c>
      <c r="KZX11" s="283"/>
      <c r="KZY11" s="259" t="s">
        <v>55</v>
      </c>
      <c r="KZZ11" s="256" t="s">
        <v>76</v>
      </c>
      <c r="LAA11" s="256" t="s">
        <v>77</v>
      </c>
      <c r="LAB11" s="256" t="s">
        <v>78</v>
      </c>
      <c r="LAC11" s="256" t="s">
        <v>79</v>
      </c>
      <c r="LAD11" s="256" t="s">
        <v>80</v>
      </c>
      <c r="LAE11" s="58" t="s">
        <v>81</v>
      </c>
      <c r="LAF11" s="284"/>
      <c r="LAG11" s="259" t="s">
        <v>55</v>
      </c>
      <c r="LAH11" s="256" t="s">
        <v>76</v>
      </c>
      <c r="LAI11" s="256" t="s">
        <v>77</v>
      </c>
      <c r="LAJ11" s="256" t="s">
        <v>78</v>
      </c>
      <c r="LAK11" s="256" t="s">
        <v>79</v>
      </c>
      <c r="LAL11" s="256" t="s">
        <v>80</v>
      </c>
      <c r="LAM11" s="256" t="s">
        <v>81</v>
      </c>
      <c r="LAN11" s="283"/>
      <c r="LAO11" s="259" t="s">
        <v>55</v>
      </c>
      <c r="LAP11" s="256" t="s">
        <v>76</v>
      </c>
      <c r="LAQ11" s="256" t="s">
        <v>77</v>
      </c>
      <c r="LAR11" s="256" t="s">
        <v>78</v>
      </c>
      <c r="LAS11" s="256" t="s">
        <v>79</v>
      </c>
      <c r="LAT11" s="256" t="s">
        <v>80</v>
      </c>
      <c r="LAU11" s="58" t="s">
        <v>81</v>
      </c>
      <c r="LAV11" s="284"/>
      <c r="LAW11" s="259" t="s">
        <v>55</v>
      </c>
      <c r="LAX11" s="256" t="s">
        <v>76</v>
      </c>
      <c r="LAY11" s="256" t="s">
        <v>77</v>
      </c>
      <c r="LAZ11" s="256" t="s">
        <v>78</v>
      </c>
      <c r="LBA11" s="256" t="s">
        <v>79</v>
      </c>
      <c r="LBB11" s="256" t="s">
        <v>80</v>
      </c>
      <c r="LBC11" s="256" t="s">
        <v>81</v>
      </c>
      <c r="LBD11" s="283"/>
      <c r="LBE11" s="259" t="s">
        <v>55</v>
      </c>
      <c r="LBF11" s="256" t="s">
        <v>76</v>
      </c>
      <c r="LBG11" s="256" t="s">
        <v>77</v>
      </c>
      <c r="LBH11" s="256" t="s">
        <v>78</v>
      </c>
      <c r="LBI11" s="256" t="s">
        <v>79</v>
      </c>
      <c r="LBJ11" s="256" t="s">
        <v>80</v>
      </c>
      <c r="LBK11" s="58" t="s">
        <v>81</v>
      </c>
      <c r="LBL11" s="284"/>
      <c r="LBM11" s="259" t="s">
        <v>55</v>
      </c>
      <c r="LBN11" s="256" t="s">
        <v>76</v>
      </c>
      <c r="LBO11" s="256" t="s">
        <v>77</v>
      </c>
      <c r="LBP11" s="256" t="s">
        <v>78</v>
      </c>
      <c r="LBQ11" s="256" t="s">
        <v>79</v>
      </c>
      <c r="LBR11" s="256" t="s">
        <v>80</v>
      </c>
      <c r="LBS11" s="256" t="s">
        <v>81</v>
      </c>
      <c r="LBT11" s="283"/>
      <c r="LBU11" s="259" t="s">
        <v>55</v>
      </c>
      <c r="LBV11" s="256" t="s">
        <v>76</v>
      </c>
      <c r="LBW11" s="256" t="s">
        <v>77</v>
      </c>
      <c r="LBX11" s="256" t="s">
        <v>78</v>
      </c>
      <c r="LBY11" s="256" t="s">
        <v>79</v>
      </c>
      <c r="LBZ11" s="256" t="s">
        <v>80</v>
      </c>
      <c r="LCA11" s="58" t="s">
        <v>81</v>
      </c>
      <c r="LCB11" s="284"/>
      <c r="LCC11" s="259" t="s">
        <v>55</v>
      </c>
      <c r="LCD11" s="256" t="s">
        <v>76</v>
      </c>
      <c r="LCE11" s="256" t="s">
        <v>77</v>
      </c>
      <c r="LCF11" s="256" t="s">
        <v>78</v>
      </c>
      <c r="LCG11" s="256" t="s">
        <v>79</v>
      </c>
      <c r="LCH11" s="256" t="s">
        <v>80</v>
      </c>
      <c r="LCI11" s="256" t="s">
        <v>81</v>
      </c>
      <c r="LCJ11" s="283"/>
      <c r="LCK11" s="259" t="s">
        <v>55</v>
      </c>
      <c r="LCL11" s="256" t="s">
        <v>76</v>
      </c>
      <c r="LCM11" s="256" t="s">
        <v>77</v>
      </c>
      <c r="LCN11" s="256" t="s">
        <v>78</v>
      </c>
      <c r="LCO11" s="256" t="s">
        <v>79</v>
      </c>
      <c r="LCP11" s="256" t="s">
        <v>80</v>
      </c>
      <c r="LCQ11" s="58" t="s">
        <v>81</v>
      </c>
      <c r="LCR11" s="284"/>
      <c r="LCS11" s="259" t="s">
        <v>55</v>
      </c>
      <c r="LCT11" s="256" t="s">
        <v>76</v>
      </c>
      <c r="LCU11" s="256" t="s">
        <v>77</v>
      </c>
      <c r="LCV11" s="256" t="s">
        <v>78</v>
      </c>
      <c r="LCW11" s="256" t="s">
        <v>79</v>
      </c>
      <c r="LCX11" s="256" t="s">
        <v>80</v>
      </c>
      <c r="LCY11" s="256" t="s">
        <v>81</v>
      </c>
      <c r="LCZ11" s="283"/>
      <c r="LDA11" s="259" t="s">
        <v>55</v>
      </c>
      <c r="LDB11" s="256" t="s">
        <v>76</v>
      </c>
      <c r="LDC11" s="256" t="s">
        <v>77</v>
      </c>
      <c r="LDD11" s="256" t="s">
        <v>78</v>
      </c>
      <c r="LDE11" s="256" t="s">
        <v>79</v>
      </c>
      <c r="LDF11" s="256" t="s">
        <v>80</v>
      </c>
      <c r="LDG11" s="58" t="s">
        <v>81</v>
      </c>
      <c r="LDH11" s="284"/>
      <c r="LDI11" s="259" t="s">
        <v>55</v>
      </c>
      <c r="LDJ11" s="256" t="s">
        <v>76</v>
      </c>
      <c r="LDK11" s="256" t="s">
        <v>77</v>
      </c>
      <c r="LDL11" s="256" t="s">
        <v>78</v>
      </c>
      <c r="LDM11" s="256" t="s">
        <v>79</v>
      </c>
      <c r="LDN11" s="256" t="s">
        <v>80</v>
      </c>
      <c r="LDO11" s="256" t="s">
        <v>81</v>
      </c>
      <c r="LDP11" s="283"/>
      <c r="LDQ11" s="259" t="s">
        <v>55</v>
      </c>
      <c r="LDR11" s="256" t="s">
        <v>76</v>
      </c>
      <c r="LDS11" s="256" t="s">
        <v>77</v>
      </c>
      <c r="LDT11" s="256" t="s">
        <v>78</v>
      </c>
      <c r="LDU11" s="256" t="s">
        <v>79</v>
      </c>
      <c r="LDV11" s="256" t="s">
        <v>80</v>
      </c>
      <c r="LDW11" s="58" t="s">
        <v>81</v>
      </c>
      <c r="LDX11" s="284"/>
      <c r="LDY11" s="259" t="s">
        <v>55</v>
      </c>
      <c r="LDZ11" s="256" t="s">
        <v>76</v>
      </c>
      <c r="LEA11" s="256" t="s">
        <v>77</v>
      </c>
      <c r="LEB11" s="256" t="s">
        <v>78</v>
      </c>
      <c r="LEC11" s="256" t="s">
        <v>79</v>
      </c>
      <c r="LED11" s="256" t="s">
        <v>80</v>
      </c>
      <c r="LEE11" s="256" t="s">
        <v>81</v>
      </c>
      <c r="LEF11" s="283"/>
      <c r="LEG11" s="259" t="s">
        <v>55</v>
      </c>
      <c r="LEH11" s="256" t="s">
        <v>76</v>
      </c>
      <c r="LEI11" s="256" t="s">
        <v>77</v>
      </c>
      <c r="LEJ11" s="256" t="s">
        <v>78</v>
      </c>
      <c r="LEK11" s="256" t="s">
        <v>79</v>
      </c>
      <c r="LEL11" s="256" t="s">
        <v>80</v>
      </c>
      <c r="LEM11" s="58" t="s">
        <v>81</v>
      </c>
      <c r="LEN11" s="284"/>
      <c r="LEO11" s="259" t="s">
        <v>55</v>
      </c>
      <c r="LEP11" s="256" t="s">
        <v>76</v>
      </c>
      <c r="LEQ11" s="256" t="s">
        <v>77</v>
      </c>
      <c r="LER11" s="256" t="s">
        <v>78</v>
      </c>
      <c r="LES11" s="256" t="s">
        <v>79</v>
      </c>
      <c r="LET11" s="256" t="s">
        <v>80</v>
      </c>
      <c r="LEU11" s="256" t="s">
        <v>81</v>
      </c>
      <c r="LEV11" s="283"/>
      <c r="LEW11" s="259" t="s">
        <v>55</v>
      </c>
      <c r="LEX11" s="256" t="s">
        <v>76</v>
      </c>
      <c r="LEY11" s="256" t="s">
        <v>77</v>
      </c>
      <c r="LEZ11" s="256" t="s">
        <v>78</v>
      </c>
      <c r="LFA11" s="256" t="s">
        <v>79</v>
      </c>
      <c r="LFB11" s="256" t="s">
        <v>80</v>
      </c>
      <c r="LFC11" s="58" t="s">
        <v>81</v>
      </c>
      <c r="LFD11" s="284"/>
      <c r="LFE11" s="259" t="s">
        <v>55</v>
      </c>
      <c r="LFF11" s="256" t="s">
        <v>76</v>
      </c>
      <c r="LFG11" s="256" t="s">
        <v>77</v>
      </c>
      <c r="LFH11" s="256" t="s">
        <v>78</v>
      </c>
      <c r="LFI11" s="256" t="s">
        <v>79</v>
      </c>
      <c r="LFJ11" s="256" t="s">
        <v>80</v>
      </c>
      <c r="LFK11" s="256" t="s">
        <v>81</v>
      </c>
      <c r="LFL11" s="283"/>
      <c r="LFM11" s="259" t="s">
        <v>55</v>
      </c>
      <c r="LFN11" s="256" t="s">
        <v>76</v>
      </c>
      <c r="LFO11" s="256" t="s">
        <v>77</v>
      </c>
      <c r="LFP11" s="256" t="s">
        <v>78</v>
      </c>
      <c r="LFQ11" s="256" t="s">
        <v>79</v>
      </c>
      <c r="LFR11" s="256" t="s">
        <v>80</v>
      </c>
      <c r="LFS11" s="58" t="s">
        <v>81</v>
      </c>
      <c r="LFT11" s="284"/>
      <c r="LFU11" s="259" t="s">
        <v>55</v>
      </c>
      <c r="LFV11" s="256" t="s">
        <v>76</v>
      </c>
      <c r="LFW11" s="256" t="s">
        <v>77</v>
      </c>
      <c r="LFX11" s="256" t="s">
        <v>78</v>
      </c>
      <c r="LFY11" s="256" t="s">
        <v>79</v>
      </c>
      <c r="LFZ11" s="256" t="s">
        <v>80</v>
      </c>
      <c r="LGA11" s="256" t="s">
        <v>81</v>
      </c>
      <c r="LGB11" s="283"/>
      <c r="LGC11" s="259" t="s">
        <v>55</v>
      </c>
      <c r="LGD11" s="256" t="s">
        <v>76</v>
      </c>
      <c r="LGE11" s="256" t="s">
        <v>77</v>
      </c>
      <c r="LGF11" s="256" t="s">
        <v>78</v>
      </c>
      <c r="LGG11" s="256" t="s">
        <v>79</v>
      </c>
      <c r="LGH11" s="256" t="s">
        <v>80</v>
      </c>
      <c r="LGI11" s="58" t="s">
        <v>81</v>
      </c>
      <c r="LGJ11" s="284"/>
      <c r="LGK11" s="259" t="s">
        <v>55</v>
      </c>
      <c r="LGL11" s="256" t="s">
        <v>76</v>
      </c>
      <c r="LGM11" s="256" t="s">
        <v>77</v>
      </c>
      <c r="LGN11" s="256" t="s">
        <v>78</v>
      </c>
      <c r="LGO11" s="256" t="s">
        <v>79</v>
      </c>
      <c r="LGP11" s="256" t="s">
        <v>80</v>
      </c>
      <c r="LGQ11" s="256" t="s">
        <v>81</v>
      </c>
      <c r="LGR11" s="283"/>
      <c r="LGS11" s="259" t="s">
        <v>55</v>
      </c>
      <c r="LGT11" s="256" t="s">
        <v>76</v>
      </c>
      <c r="LGU11" s="256" t="s">
        <v>77</v>
      </c>
      <c r="LGV11" s="256" t="s">
        <v>78</v>
      </c>
      <c r="LGW11" s="256" t="s">
        <v>79</v>
      </c>
      <c r="LGX11" s="256" t="s">
        <v>80</v>
      </c>
      <c r="LGY11" s="58" t="s">
        <v>81</v>
      </c>
      <c r="LGZ11" s="284"/>
      <c r="LHA11" s="259" t="s">
        <v>55</v>
      </c>
      <c r="LHB11" s="256" t="s">
        <v>76</v>
      </c>
      <c r="LHC11" s="256" t="s">
        <v>77</v>
      </c>
      <c r="LHD11" s="256" t="s">
        <v>78</v>
      </c>
      <c r="LHE11" s="256" t="s">
        <v>79</v>
      </c>
      <c r="LHF11" s="256" t="s">
        <v>80</v>
      </c>
      <c r="LHG11" s="256" t="s">
        <v>81</v>
      </c>
      <c r="LHH11" s="283"/>
      <c r="LHI11" s="259" t="s">
        <v>55</v>
      </c>
      <c r="LHJ11" s="256" t="s">
        <v>76</v>
      </c>
      <c r="LHK11" s="256" t="s">
        <v>77</v>
      </c>
      <c r="LHL11" s="256" t="s">
        <v>78</v>
      </c>
      <c r="LHM11" s="256" t="s">
        <v>79</v>
      </c>
      <c r="LHN11" s="256" t="s">
        <v>80</v>
      </c>
      <c r="LHO11" s="58" t="s">
        <v>81</v>
      </c>
      <c r="LHP11" s="284"/>
      <c r="LHQ11" s="259" t="s">
        <v>55</v>
      </c>
      <c r="LHR11" s="256" t="s">
        <v>76</v>
      </c>
      <c r="LHS11" s="256" t="s">
        <v>77</v>
      </c>
      <c r="LHT11" s="256" t="s">
        <v>78</v>
      </c>
      <c r="LHU11" s="256" t="s">
        <v>79</v>
      </c>
      <c r="LHV11" s="256" t="s">
        <v>80</v>
      </c>
      <c r="LHW11" s="256" t="s">
        <v>81</v>
      </c>
      <c r="LHX11" s="283"/>
      <c r="LHY11" s="259" t="s">
        <v>55</v>
      </c>
      <c r="LHZ11" s="256" t="s">
        <v>76</v>
      </c>
      <c r="LIA11" s="256" t="s">
        <v>77</v>
      </c>
      <c r="LIB11" s="256" t="s">
        <v>78</v>
      </c>
      <c r="LIC11" s="256" t="s">
        <v>79</v>
      </c>
      <c r="LID11" s="256" t="s">
        <v>80</v>
      </c>
      <c r="LIE11" s="58" t="s">
        <v>81</v>
      </c>
      <c r="LIF11" s="284"/>
      <c r="LIG11" s="259" t="s">
        <v>55</v>
      </c>
      <c r="LIH11" s="256" t="s">
        <v>76</v>
      </c>
      <c r="LII11" s="256" t="s">
        <v>77</v>
      </c>
      <c r="LIJ11" s="256" t="s">
        <v>78</v>
      </c>
      <c r="LIK11" s="256" t="s">
        <v>79</v>
      </c>
      <c r="LIL11" s="256" t="s">
        <v>80</v>
      </c>
      <c r="LIM11" s="256" t="s">
        <v>81</v>
      </c>
      <c r="LIN11" s="283"/>
      <c r="LIO11" s="259" t="s">
        <v>55</v>
      </c>
      <c r="LIP11" s="256" t="s">
        <v>76</v>
      </c>
      <c r="LIQ11" s="256" t="s">
        <v>77</v>
      </c>
      <c r="LIR11" s="256" t="s">
        <v>78</v>
      </c>
      <c r="LIS11" s="256" t="s">
        <v>79</v>
      </c>
      <c r="LIT11" s="256" t="s">
        <v>80</v>
      </c>
      <c r="LIU11" s="58" t="s">
        <v>81</v>
      </c>
      <c r="LIV11" s="284"/>
      <c r="LIW11" s="259" t="s">
        <v>55</v>
      </c>
      <c r="LIX11" s="256" t="s">
        <v>76</v>
      </c>
      <c r="LIY11" s="256" t="s">
        <v>77</v>
      </c>
      <c r="LIZ11" s="256" t="s">
        <v>78</v>
      </c>
      <c r="LJA11" s="256" t="s">
        <v>79</v>
      </c>
      <c r="LJB11" s="256" t="s">
        <v>80</v>
      </c>
      <c r="LJC11" s="256" t="s">
        <v>81</v>
      </c>
      <c r="LJD11" s="283"/>
      <c r="LJE11" s="259" t="s">
        <v>55</v>
      </c>
      <c r="LJF11" s="256" t="s">
        <v>76</v>
      </c>
      <c r="LJG11" s="256" t="s">
        <v>77</v>
      </c>
      <c r="LJH11" s="256" t="s">
        <v>78</v>
      </c>
      <c r="LJI11" s="256" t="s">
        <v>79</v>
      </c>
      <c r="LJJ11" s="256" t="s">
        <v>80</v>
      </c>
      <c r="LJK11" s="58" t="s">
        <v>81</v>
      </c>
      <c r="LJL11" s="284"/>
      <c r="LJM11" s="259" t="s">
        <v>55</v>
      </c>
      <c r="LJN11" s="256" t="s">
        <v>76</v>
      </c>
      <c r="LJO11" s="256" t="s">
        <v>77</v>
      </c>
      <c r="LJP11" s="256" t="s">
        <v>78</v>
      </c>
      <c r="LJQ11" s="256" t="s">
        <v>79</v>
      </c>
      <c r="LJR11" s="256" t="s">
        <v>80</v>
      </c>
      <c r="LJS11" s="256" t="s">
        <v>81</v>
      </c>
      <c r="LJT11" s="283"/>
      <c r="LJU11" s="259" t="s">
        <v>55</v>
      </c>
      <c r="LJV11" s="256" t="s">
        <v>76</v>
      </c>
      <c r="LJW11" s="256" t="s">
        <v>77</v>
      </c>
      <c r="LJX11" s="256" t="s">
        <v>78</v>
      </c>
      <c r="LJY11" s="256" t="s">
        <v>79</v>
      </c>
      <c r="LJZ11" s="256" t="s">
        <v>80</v>
      </c>
      <c r="LKA11" s="58" t="s">
        <v>81</v>
      </c>
      <c r="LKB11" s="284"/>
      <c r="LKC11" s="259" t="s">
        <v>55</v>
      </c>
      <c r="LKD11" s="256" t="s">
        <v>76</v>
      </c>
      <c r="LKE11" s="256" t="s">
        <v>77</v>
      </c>
      <c r="LKF11" s="256" t="s">
        <v>78</v>
      </c>
      <c r="LKG11" s="256" t="s">
        <v>79</v>
      </c>
      <c r="LKH11" s="256" t="s">
        <v>80</v>
      </c>
      <c r="LKI11" s="256" t="s">
        <v>81</v>
      </c>
      <c r="LKJ11" s="283"/>
      <c r="LKK11" s="259" t="s">
        <v>55</v>
      </c>
      <c r="LKL11" s="256" t="s">
        <v>76</v>
      </c>
      <c r="LKM11" s="256" t="s">
        <v>77</v>
      </c>
      <c r="LKN11" s="256" t="s">
        <v>78</v>
      </c>
      <c r="LKO11" s="256" t="s">
        <v>79</v>
      </c>
      <c r="LKP11" s="256" t="s">
        <v>80</v>
      </c>
      <c r="LKQ11" s="58" t="s">
        <v>81</v>
      </c>
      <c r="LKR11" s="284"/>
      <c r="LKS11" s="259" t="s">
        <v>55</v>
      </c>
      <c r="LKT11" s="256" t="s">
        <v>76</v>
      </c>
      <c r="LKU11" s="256" t="s">
        <v>77</v>
      </c>
      <c r="LKV11" s="256" t="s">
        <v>78</v>
      </c>
      <c r="LKW11" s="256" t="s">
        <v>79</v>
      </c>
      <c r="LKX11" s="256" t="s">
        <v>80</v>
      </c>
      <c r="LKY11" s="256" t="s">
        <v>81</v>
      </c>
      <c r="LKZ11" s="283"/>
      <c r="LLA11" s="259" t="s">
        <v>55</v>
      </c>
      <c r="LLB11" s="256" t="s">
        <v>76</v>
      </c>
      <c r="LLC11" s="256" t="s">
        <v>77</v>
      </c>
      <c r="LLD11" s="256" t="s">
        <v>78</v>
      </c>
      <c r="LLE11" s="256" t="s">
        <v>79</v>
      </c>
      <c r="LLF11" s="256" t="s">
        <v>80</v>
      </c>
      <c r="LLG11" s="58" t="s">
        <v>81</v>
      </c>
      <c r="LLH11" s="284"/>
      <c r="LLI11" s="259" t="s">
        <v>55</v>
      </c>
      <c r="LLJ11" s="256" t="s">
        <v>76</v>
      </c>
      <c r="LLK11" s="256" t="s">
        <v>77</v>
      </c>
      <c r="LLL11" s="256" t="s">
        <v>78</v>
      </c>
      <c r="LLM11" s="256" t="s">
        <v>79</v>
      </c>
      <c r="LLN11" s="256" t="s">
        <v>80</v>
      </c>
      <c r="LLO11" s="256" t="s">
        <v>81</v>
      </c>
      <c r="LLP11" s="283"/>
      <c r="LLQ11" s="259" t="s">
        <v>55</v>
      </c>
      <c r="LLR11" s="256" t="s">
        <v>76</v>
      </c>
      <c r="LLS11" s="256" t="s">
        <v>77</v>
      </c>
      <c r="LLT11" s="256" t="s">
        <v>78</v>
      </c>
      <c r="LLU11" s="256" t="s">
        <v>79</v>
      </c>
      <c r="LLV11" s="256" t="s">
        <v>80</v>
      </c>
      <c r="LLW11" s="58" t="s">
        <v>81</v>
      </c>
      <c r="LLX11" s="284"/>
      <c r="LLY11" s="259" t="s">
        <v>55</v>
      </c>
      <c r="LLZ11" s="256" t="s">
        <v>76</v>
      </c>
      <c r="LMA11" s="256" t="s">
        <v>77</v>
      </c>
      <c r="LMB11" s="256" t="s">
        <v>78</v>
      </c>
      <c r="LMC11" s="256" t="s">
        <v>79</v>
      </c>
      <c r="LMD11" s="256" t="s">
        <v>80</v>
      </c>
      <c r="LME11" s="256" t="s">
        <v>81</v>
      </c>
      <c r="LMF11" s="283"/>
      <c r="LMG11" s="259" t="s">
        <v>55</v>
      </c>
      <c r="LMH11" s="256" t="s">
        <v>76</v>
      </c>
      <c r="LMI11" s="256" t="s">
        <v>77</v>
      </c>
      <c r="LMJ11" s="256" t="s">
        <v>78</v>
      </c>
      <c r="LMK11" s="256" t="s">
        <v>79</v>
      </c>
      <c r="LML11" s="256" t="s">
        <v>80</v>
      </c>
      <c r="LMM11" s="58" t="s">
        <v>81</v>
      </c>
      <c r="LMN11" s="284"/>
      <c r="LMO11" s="259" t="s">
        <v>55</v>
      </c>
      <c r="LMP11" s="256" t="s">
        <v>76</v>
      </c>
      <c r="LMQ11" s="256" t="s">
        <v>77</v>
      </c>
      <c r="LMR11" s="256" t="s">
        <v>78</v>
      </c>
      <c r="LMS11" s="256" t="s">
        <v>79</v>
      </c>
      <c r="LMT11" s="256" t="s">
        <v>80</v>
      </c>
      <c r="LMU11" s="256" t="s">
        <v>81</v>
      </c>
      <c r="LMV11" s="283"/>
      <c r="LMW11" s="259" t="s">
        <v>55</v>
      </c>
      <c r="LMX11" s="256" t="s">
        <v>76</v>
      </c>
      <c r="LMY11" s="256" t="s">
        <v>77</v>
      </c>
      <c r="LMZ11" s="256" t="s">
        <v>78</v>
      </c>
      <c r="LNA11" s="256" t="s">
        <v>79</v>
      </c>
      <c r="LNB11" s="256" t="s">
        <v>80</v>
      </c>
      <c r="LNC11" s="58" t="s">
        <v>81</v>
      </c>
      <c r="LND11" s="284"/>
      <c r="LNE11" s="259" t="s">
        <v>55</v>
      </c>
      <c r="LNF11" s="256" t="s">
        <v>76</v>
      </c>
      <c r="LNG11" s="256" t="s">
        <v>77</v>
      </c>
      <c r="LNH11" s="256" t="s">
        <v>78</v>
      </c>
      <c r="LNI11" s="256" t="s">
        <v>79</v>
      </c>
      <c r="LNJ11" s="256" t="s">
        <v>80</v>
      </c>
      <c r="LNK11" s="256" t="s">
        <v>81</v>
      </c>
      <c r="LNL11" s="283"/>
      <c r="LNM11" s="259" t="s">
        <v>55</v>
      </c>
      <c r="LNN11" s="256" t="s">
        <v>76</v>
      </c>
      <c r="LNO11" s="256" t="s">
        <v>77</v>
      </c>
      <c r="LNP11" s="256" t="s">
        <v>78</v>
      </c>
      <c r="LNQ11" s="256" t="s">
        <v>79</v>
      </c>
      <c r="LNR11" s="256" t="s">
        <v>80</v>
      </c>
      <c r="LNS11" s="58" t="s">
        <v>81</v>
      </c>
      <c r="LNT11" s="284"/>
      <c r="LNU11" s="259" t="s">
        <v>55</v>
      </c>
      <c r="LNV11" s="256" t="s">
        <v>76</v>
      </c>
      <c r="LNW11" s="256" t="s">
        <v>77</v>
      </c>
      <c r="LNX11" s="256" t="s">
        <v>78</v>
      </c>
      <c r="LNY11" s="256" t="s">
        <v>79</v>
      </c>
      <c r="LNZ11" s="256" t="s">
        <v>80</v>
      </c>
      <c r="LOA11" s="256" t="s">
        <v>81</v>
      </c>
      <c r="LOB11" s="283"/>
      <c r="LOC11" s="259" t="s">
        <v>55</v>
      </c>
      <c r="LOD11" s="256" t="s">
        <v>76</v>
      </c>
      <c r="LOE11" s="256" t="s">
        <v>77</v>
      </c>
      <c r="LOF11" s="256" t="s">
        <v>78</v>
      </c>
      <c r="LOG11" s="256" t="s">
        <v>79</v>
      </c>
      <c r="LOH11" s="256" t="s">
        <v>80</v>
      </c>
      <c r="LOI11" s="58" t="s">
        <v>81</v>
      </c>
      <c r="LOJ11" s="284"/>
      <c r="LOK11" s="259" t="s">
        <v>55</v>
      </c>
      <c r="LOL11" s="256" t="s">
        <v>76</v>
      </c>
      <c r="LOM11" s="256" t="s">
        <v>77</v>
      </c>
      <c r="LON11" s="256" t="s">
        <v>78</v>
      </c>
      <c r="LOO11" s="256" t="s">
        <v>79</v>
      </c>
      <c r="LOP11" s="256" t="s">
        <v>80</v>
      </c>
      <c r="LOQ11" s="256" t="s">
        <v>81</v>
      </c>
      <c r="LOR11" s="283"/>
      <c r="LOS11" s="259" t="s">
        <v>55</v>
      </c>
      <c r="LOT11" s="256" t="s">
        <v>76</v>
      </c>
      <c r="LOU11" s="256" t="s">
        <v>77</v>
      </c>
      <c r="LOV11" s="256" t="s">
        <v>78</v>
      </c>
      <c r="LOW11" s="256" t="s">
        <v>79</v>
      </c>
      <c r="LOX11" s="256" t="s">
        <v>80</v>
      </c>
      <c r="LOY11" s="58" t="s">
        <v>81</v>
      </c>
      <c r="LOZ11" s="284"/>
      <c r="LPA11" s="259" t="s">
        <v>55</v>
      </c>
      <c r="LPB11" s="256" t="s">
        <v>76</v>
      </c>
      <c r="LPC11" s="256" t="s">
        <v>77</v>
      </c>
      <c r="LPD11" s="256" t="s">
        <v>78</v>
      </c>
      <c r="LPE11" s="256" t="s">
        <v>79</v>
      </c>
      <c r="LPF11" s="256" t="s">
        <v>80</v>
      </c>
      <c r="LPG11" s="256" t="s">
        <v>81</v>
      </c>
      <c r="LPH11" s="283"/>
      <c r="LPI11" s="259" t="s">
        <v>55</v>
      </c>
      <c r="LPJ11" s="256" t="s">
        <v>76</v>
      </c>
      <c r="LPK11" s="256" t="s">
        <v>77</v>
      </c>
      <c r="LPL11" s="256" t="s">
        <v>78</v>
      </c>
      <c r="LPM11" s="256" t="s">
        <v>79</v>
      </c>
      <c r="LPN11" s="256" t="s">
        <v>80</v>
      </c>
      <c r="LPO11" s="58" t="s">
        <v>81</v>
      </c>
      <c r="LPP11" s="284"/>
      <c r="LPQ11" s="259" t="s">
        <v>55</v>
      </c>
      <c r="LPR11" s="256" t="s">
        <v>76</v>
      </c>
      <c r="LPS11" s="256" t="s">
        <v>77</v>
      </c>
      <c r="LPT11" s="256" t="s">
        <v>78</v>
      </c>
      <c r="LPU11" s="256" t="s">
        <v>79</v>
      </c>
      <c r="LPV11" s="256" t="s">
        <v>80</v>
      </c>
      <c r="LPW11" s="256" t="s">
        <v>81</v>
      </c>
      <c r="LPX11" s="283"/>
      <c r="LPY11" s="259" t="s">
        <v>55</v>
      </c>
      <c r="LPZ11" s="256" t="s">
        <v>76</v>
      </c>
      <c r="LQA11" s="256" t="s">
        <v>77</v>
      </c>
      <c r="LQB11" s="256" t="s">
        <v>78</v>
      </c>
      <c r="LQC11" s="256" t="s">
        <v>79</v>
      </c>
      <c r="LQD11" s="256" t="s">
        <v>80</v>
      </c>
      <c r="LQE11" s="58" t="s">
        <v>81</v>
      </c>
      <c r="LQF11" s="284"/>
      <c r="LQG11" s="259" t="s">
        <v>55</v>
      </c>
      <c r="LQH11" s="256" t="s">
        <v>76</v>
      </c>
      <c r="LQI11" s="256" t="s">
        <v>77</v>
      </c>
      <c r="LQJ11" s="256" t="s">
        <v>78</v>
      </c>
      <c r="LQK11" s="256" t="s">
        <v>79</v>
      </c>
      <c r="LQL11" s="256" t="s">
        <v>80</v>
      </c>
      <c r="LQM11" s="256" t="s">
        <v>81</v>
      </c>
      <c r="LQN11" s="283"/>
      <c r="LQO11" s="259" t="s">
        <v>55</v>
      </c>
      <c r="LQP11" s="256" t="s">
        <v>76</v>
      </c>
      <c r="LQQ11" s="256" t="s">
        <v>77</v>
      </c>
      <c r="LQR11" s="256" t="s">
        <v>78</v>
      </c>
      <c r="LQS11" s="256" t="s">
        <v>79</v>
      </c>
      <c r="LQT11" s="256" t="s">
        <v>80</v>
      </c>
      <c r="LQU11" s="58" t="s">
        <v>81</v>
      </c>
      <c r="LQV11" s="284"/>
      <c r="LQW11" s="259" t="s">
        <v>55</v>
      </c>
      <c r="LQX11" s="256" t="s">
        <v>76</v>
      </c>
      <c r="LQY11" s="256" t="s">
        <v>77</v>
      </c>
      <c r="LQZ11" s="256" t="s">
        <v>78</v>
      </c>
      <c r="LRA11" s="256" t="s">
        <v>79</v>
      </c>
      <c r="LRB11" s="256" t="s">
        <v>80</v>
      </c>
      <c r="LRC11" s="256" t="s">
        <v>81</v>
      </c>
      <c r="LRD11" s="283"/>
      <c r="LRE11" s="259" t="s">
        <v>55</v>
      </c>
      <c r="LRF11" s="256" t="s">
        <v>76</v>
      </c>
      <c r="LRG11" s="256" t="s">
        <v>77</v>
      </c>
      <c r="LRH11" s="256" t="s">
        <v>78</v>
      </c>
      <c r="LRI11" s="256" t="s">
        <v>79</v>
      </c>
      <c r="LRJ11" s="256" t="s">
        <v>80</v>
      </c>
      <c r="LRK11" s="58" t="s">
        <v>81</v>
      </c>
      <c r="LRL11" s="284"/>
      <c r="LRM11" s="259" t="s">
        <v>55</v>
      </c>
      <c r="LRN11" s="256" t="s">
        <v>76</v>
      </c>
      <c r="LRO11" s="256" t="s">
        <v>77</v>
      </c>
      <c r="LRP11" s="256" t="s">
        <v>78</v>
      </c>
      <c r="LRQ11" s="256" t="s">
        <v>79</v>
      </c>
      <c r="LRR11" s="256" t="s">
        <v>80</v>
      </c>
      <c r="LRS11" s="256" t="s">
        <v>81</v>
      </c>
      <c r="LRT11" s="283"/>
      <c r="LRU11" s="259" t="s">
        <v>55</v>
      </c>
      <c r="LRV11" s="256" t="s">
        <v>76</v>
      </c>
      <c r="LRW11" s="256" t="s">
        <v>77</v>
      </c>
      <c r="LRX11" s="256" t="s">
        <v>78</v>
      </c>
      <c r="LRY11" s="256" t="s">
        <v>79</v>
      </c>
      <c r="LRZ11" s="256" t="s">
        <v>80</v>
      </c>
      <c r="LSA11" s="58" t="s">
        <v>81</v>
      </c>
      <c r="LSB11" s="284"/>
      <c r="LSC11" s="259" t="s">
        <v>55</v>
      </c>
      <c r="LSD11" s="256" t="s">
        <v>76</v>
      </c>
      <c r="LSE11" s="256" t="s">
        <v>77</v>
      </c>
      <c r="LSF11" s="256" t="s">
        <v>78</v>
      </c>
      <c r="LSG11" s="256" t="s">
        <v>79</v>
      </c>
      <c r="LSH11" s="256" t="s">
        <v>80</v>
      </c>
      <c r="LSI11" s="256" t="s">
        <v>81</v>
      </c>
      <c r="LSJ11" s="283"/>
      <c r="LSK11" s="259" t="s">
        <v>55</v>
      </c>
      <c r="LSL11" s="256" t="s">
        <v>76</v>
      </c>
      <c r="LSM11" s="256" t="s">
        <v>77</v>
      </c>
      <c r="LSN11" s="256" t="s">
        <v>78</v>
      </c>
      <c r="LSO11" s="256" t="s">
        <v>79</v>
      </c>
      <c r="LSP11" s="256" t="s">
        <v>80</v>
      </c>
      <c r="LSQ11" s="58" t="s">
        <v>81</v>
      </c>
      <c r="LSR11" s="284"/>
      <c r="LSS11" s="259" t="s">
        <v>55</v>
      </c>
      <c r="LST11" s="256" t="s">
        <v>76</v>
      </c>
      <c r="LSU11" s="256" t="s">
        <v>77</v>
      </c>
      <c r="LSV11" s="256" t="s">
        <v>78</v>
      </c>
      <c r="LSW11" s="256" t="s">
        <v>79</v>
      </c>
      <c r="LSX11" s="256" t="s">
        <v>80</v>
      </c>
      <c r="LSY11" s="256" t="s">
        <v>81</v>
      </c>
      <c r="LSZ11" s="283"/>
      <c r="LTA11" s="259" t="s">
        <v>55</v>
      </c>
      <c r="LTB11" s="256" t="s">
        <v>76</v>
      </c>
      <c r="LTC11" s="256" t="s">
        <v>77</v>
      </c>
      <c r="LTD11" s="256" t="s">
        <v>78</v>
      </c>
      <c r="LTE11" s="256" t="s">
        <v>79</v>
      </c>
      <c r="LTF11" s="256" t="s">
        <v>80</v>
      </c>
      <c r="LTG11" s="58" t="s">
        <v>81</v>
      </c>
      <c r="LTH11" s="284"/>
      <c r="LTI11" s="259" t="s">
        <v>55</v>
      </c>
      <c r="LTJ11" s="256" t="s">
        <v>76</v>
      </c>
      <c r="LTK11" s="256" t="s">
        <v>77</v>
      </c>
      <c r="LTL11" s="256" t="s">
        <v>78</v>
      </c>
      <c r="LTM11" s="256" t="s">
        <v>79</v>
      </c>
      <c r="LTN11" s="256" t="s">
        <v>80</v>
      </c>
      <c r="LTO11" s="256" t="s">
        <v>81</v>
      </c>
      <c r="LTP11" s="283"/>
      <c r="LTQ11" s="259" t="s">
        <v>55</v>
      </c>
      <c r="LTR11" s="256" t="s">
        <v>76</v>
      </c>
      <c r="LTS11" s="256" t="s">
        <v>77</v>
      </c>
      <c r="LTT11" s="256" t="s">
        <v>78</v>
      </c>
      <c r="LTU11" s="256" t="s">
        <v>79</v>
      </c>
      <c r="LTV11" s="256" t="s">
        <v>80</v>
      </c>
      <c r="LTW11" s="58" t="s">
        <v>81</v>
      </c>
      <c r="LTX11" s="284"/>
      <c r="LTY11" s="259" t="s">
        <v>55</v>
      </c>
      <c r="LTZ11" s="256" t="s">
        <v>76</v>
      </c>
      <c r="LUA11" s="256" t="s">
        <v>77</v>
      </c>
      <c r="LUB11" s="256" t="s">
        <v>78</v>
      </c>
      <c r="LUC11" s="256" t="s">
        <v>79</v>
      </c>
      <c r="LUD11" s="256" t="s">
        <v>80</v>
      </c>
      <c r="LUE11" s="256" t="s">
        <v>81</v>
      </c>
      <c r="LUF11" s="283"/>
      <c r="LUG11" s="259" t="s">
        <v>55</v>
      </c>
      <c r="LUH11" s="256" t="s">
        <v>76</v>
      </c>
      <c r="LUI11" s="256" t="s">
        <v>77</v>
      </c>
      <c r="LUJ11" s="256" t="s">
        <v>78</v>
      </c>
      <c r="LUK11" s="256" t="s">
        <v>79</v>
      </c>
      <c r="LUL11" s="256" t="s">
        <v>80</v>
      </c>
      <c r="LUM11" s="58" t="s">
        <v>81</v>
      </c>
      <c r="LUN11" s="284"/>
      <c r="LUO11" s="259" t="s">
        <v>55</v>
      </c>
      <c r="LUP11" s="256" t="s">
        <v>76</v>
      </c>
      <c r="LUQ11" s="256" t="s">
        <v>77</v>
      </c>
      <c r="LUR11" s="256" t="s">
        <v>78</v>
      </c>
      <c r="LUS11" s="256" t="s">
        <v>79</v>
      </c>
      <c r="LUT11" s="256" t="s">
        <v>80</v>
      </c>
      <c r="LUU11" s="256" t="s">
        <v>81</v>
      </c>
      <c r="LUV11" s="283"/>
      <c r="LUW11" s="259" t="s">
        <v>55</v>
      </c>
      <c r="LUX11" s="256" t="s">
        <v>76</v>
      </c>
      <c r="LUY11" s="256" t="s">
        <v>77</v>
      </c>
      <c r="LUZ11" s="256" t="s">
        <v>78</v>
      </c>
      <c r="LVA11" s="256" t="s">
        <v>79</v>
      </c>
      <c r="LVB11" s="256" t="s">
        <v>80</v>
      </c>
      <c r="LVC11" s="58" t="s">
        <v>81</v>
      </c>
      <c r="LVD11" s="284"/>
      <c r="LVE11" s="259" t="s">
        <v>55</v>
      </c>
      <c r="LVF11" s="256" t="s">
        <v>76</v>
      </c>
      <c r="LVG11" s="256" t="s">
        <v>77</v>
      </c>
      <c r="LVH11" s="256" t="s">
        <v>78</v>
      </c>
      <c r="LVI11" s="256" t="s">
        <v>79</v>
      </c>
      <c r="LVJ11" s="256" t="s">
        <v>80</v>
      </c>
      <c r="LVK11" s="256" t="s">
        <v>81</v>
      </c>
      <c r="LVL11" s="283"/>
      <c r="LVM11" s="259" t="s">
        <v>55</v>
      </c>
      <c r="LVN11" s="256" t="s">
        <v>76</v>
      </c>
      <c r="LVO11" s="256" t="s">
        <v>77</v>
      </c>
      <c r="LVP11" s="256" t="s">
        <v>78</v>
      </c>
      <c r="LVQ11" s="256" t="s">
        <v>79</v>
      </c>
      <c r="LVR11" s="256" t="s">
        <v>80</v>
      </c>
      <c r="LVS11" s="58" t="s">
        <v>81</v>
      </c>
      <c r="LVT11" s="284"/>
      <c r="LVU11" s="259" t="s">
        <v>55</v>
      </c>
      <c r="LVV11" s="256" t="s">
        <v>76</v>
      </c>
      <c r="LVW11" s="256" t="s">
        <v>77</v>
      </c>
      <c r="LVX11" s="256" t="s">
        <v>78</v>
      </c>
      <c r="LVY11" s="256" t="s">
        <v>79</v>
      </c>
      <c r="LVZ11" s="256" t="s">
        <v>80</v>
      </c>
      <c r="LWA11" s="256" t="s">
        <v>81</v>
      </c>
      <c r="LWB11" s="283"/>
      <c r="LWC11" s="259" t="s">
        <v>55</v>
      </c>
      <c r="LWD11" s="256" t="s">
        <v>76</v>
      </c>
      <c r="LWE11" s="256" t="s">
        <v>77</v>
      </c>
      <c r="LWF11" s="256" t="s">
        <v>78</v>
      </c>
      <c r="LWG11" s="256" t="s">
        <v>79</v>
      </c>
      <c r="LWH11" s="256" t="s">
        <v>80</v>
      </c>
      <c r="LWI11" s="58" t="s">
        <v>81</v>
      </c>
      <c r="LWJ11" s="284"/>
      <c r="LWK11" s="259" t="s">
        <v>55</v>
      </c>
      <c r="LWL11" s="256" t="s">
        <v>76</v>
      </c>
      <c r="LWM11" s="256" t="s">
        <v>77</v>
      </c>
      <c r="LWN11" s="256" t="s">
        <v>78</v>
      </c>
      <c r="LWO11" s="256" t="s">
        <v>79</v>
      </c>
      <c r="LWP11" s="256" t="s">
        <v>80</v>
      </c>
      <c r="LWQ11" s="256" t="s">
        <v>81</v>
      </c>
      <c r="LWR11" s="283"/>
      <c r="LWS11" s="259" t="s">
        <v>55</v>
      </c>
      <c r="LWT11" s="256" t="s">
        <v>76</v>
      </c>
      <c r="LWU11" s="256" t="s">
        <v>77</v>
      </c>
      <c r="LWV11" s="256" t="s">
        <v>78</v>
      </c>
      <c r="LWW11" s="256" t="s">
        <v>79</v>
      </c>
      <c r="LWX11" s="256" t="s">
        <v>80</v>
      </c>
      <c r="LWY11" s="58" t="s">
        <v>81</v>
      </c>
      <c r="LWZ11" s="284"/>
      <c r="LXA11" s="259" t="s">
        <v>55</v>
      </c>
      <c r="LXB11" s="256" t="s">
        <v>76</v>
      </c>
      <c r="LXC11" s="256" t="s">
        <v>77</v>
      </c>
      <c r="LXD11" s="256" t="s">
        <v>78</v>
      </c>
      <c r="LXE11" s="256" t="s">
        <v>79</v>
      </c>
      <c r="LXF11" s="256" t="s">
        <v>80</v>
      </c>
      <c r="LXG11" s="256" t="s">
        <v>81</v>
      </c>
      <c r="LXH11" s="283"/>
      <c r="LXI11" s="259" t="s">
        <v>55</v>
      </c>
      <c r="LXJ11" s="256" t="s">
        <v>76</v>
      </c>
      <c r="LXK11" s="256" t="s">
        <v>77</v>
      </c>
      <c r="LXL11" s="256" t="s">
        <v>78</v>
      </c>
      <c r="LXM11" s="256" t="s">
        <v>79</v>
      </c>
      <c r="LXN11" s="256" t="s">
        <v>80</v>
      </c>
      <c r="LXO11" s="58" t="s">
        <v>81</v>
      </c>
      <c r="LXP11" s="284"/>
      <c r="LXQ11" s="259" t="s">
        <v>55</v>
      </c>
      <c r="LXR11" s="256" t="s">
        <v>76</v>
      </c>
      <c r="LXS11" s="256" t="s">
        <v>77</v>
      </c>
      <c r="LXT11" s="256" t="s">
        <v>78</v>
      </c>
      <c r="LXU11" s="256" t="s">
        <v>79</v>
      </c>
      <c r="LXV11" s="256" t="s">
        <v>80</v>
      </c>
      <c r="LXW11" s="256" t="s">
        <v>81</v>
      </c>
      <c r="LXX11" s="283"/>
      <c r="LXY11" s="259" t="s">
        <v>55</v>
      </c>
      <c r="LXZ11" s="256" t="s">
        <v>76</v>
      </c>
      <c r="LYA11" s="256" t="s">
        <v>77</v>
      </c>
      <c r="LYB11" s="256" t="s">
        <v>78</v>
      </c>
      <c r="LYC11" s="256" t="s">
        <v>79</v>
      </c>
      <c r="LYD11" s="256" t="s">
        <v>80</v>
      </c>
      <c r="LYE11" s="58" t="s">
        <v>81</v>
      </c>
      <c r="LYF11" s="284"/>
      <c r="LYG11" s="259" t="s">
        <v>55</v>
      </c>
      <c r="LYH11" s="256" t="s">
        <v>76</v>
      </c>
      <c r="LYI11" s="256" t="s">
        <v>77</v>
      </c>
      <c r="LYJ11" s="256" t="s">
        <v>78</v>
      </c>
      <c r="LYK11" s="256" t="s">
        <v>79</v>
      </c>
      <c r="LYL11" s="256" t="s">
        <v>80</v>
      </c>
      <c r="LYM11" s="256" t="s">
        <v>81</v>
      </c>
      <c r="LYN11" s="283"/>
      <c r="LYO11" s="259" t="s">
        <v>55</v>
      </c>
      <c r="LYP11" s="256" t="s">
        <v>76</v>
      </c>
      <c r="LYQ11" s="256" t="s">
        <v>77</v>
      </c>
      <c r="LYR11" s="256" t="s">
        <v>78</v>
      </c>
      <c r="LYS11" s="256" t="s">
        <v>79</v>
      </c>
      <c r="LYT11" s="256" t="s">
        <v>80</v>
      </c>
      <c r="LYU11" s="58" t="s">
        <v>81</v>
      </c>
      <c r="LYV11" s="284"/>
      <c r="LYW11" s="259" t="s">
        <v>55</v>
      </c>
      <c r="LYX11" s="256" t="s">
        <v>76</v>
      </c>
      <c r="LYY11" s="256" t="s">
        <v>77</v>
      </c>
      <c r="LYZ11" s="256" t="s">
        <v>78</v>
      </c>
      <c r="LZA11" s="256" t="s">
        <v>79</v>
      </c>
      <c r="LZB11" s="256" t="s">
        <v>80</v>
      </c>
      <c r="LZC11" s="256" t="s">
        <v>81</v>
      </c>
      <c r="LZD11" s="283"/>
      <c r="LZE11" s="259" t="s">
        <v>55</v>
      </c>
      <c r="LZF11" s="256" t="s">
        <v>76</v>
      </c>
      <c r="LZG11" s="256" t="s">
        <v>77</v>
      </c>
      <c r="LZH11" s="256" t="s">
        <v>78</v>
      </c>
      <c r="LZI11" s="256" t="s">
        <v>79</v>
      </c>
      <c r="LZJ11" s="256" t="s">
        <v>80</v>
      </c>
      <c r="LZK11" s="58" t="s">
        <v>81</v>
      </c>
      <c r="LZL11" s="284"/>
      <c r="LZM11" s="259" t="s">
        <v>55</v>
      </c>
      <c r="LZN11" s="256" t="s">
        <v>76</v>
      </c>
      <c r="LZO11" s="256" t="s">
        <v>77</v>
      </c>
      <c r="LZP11" s="256" t="s">
        <v>78</v>
      </c>
      <c r="LZQ11" s="256" t="s">
        <v>79</v>
      </c>
      <c r="LZR11" s="256" t="s">
        <v>80</v>
      </c>
      <c r="LZS11" s="256" t="s">
        <v>81</v>
      </c>
      <c r="LZT11" s="283"/>
      <c r="LZU11" s="259" t="s">
        <v>55</v>
      </c>
      <c r="LZV11" s="256" t="s">
        <v>76</v>
      </c>
      <c r="LZW11" s="256" t="s">
        <v>77</v>
      </c>
      <c r="LZX11" s="256" t="s">
        <v>78</v>
      </c>
      <c r="LZY11" s="256" t="s">
        <v>79</v>
      </c>
      <c r="LZZ11" s="256" t="s">
        <v>80</v>
      </c>
      <c r="MAA11" s="58" t="s">
        <v>81</v>
      </c>
      <c r="MAB11" s="284"/>
      <c r="MAC11" s="259" t="s">
        <v>55</v>
      </c>
      <c r="MAD11" s="256" t="s">
        <v>76</v>
      </c>
      <c r="MAE11" s="256" t="s">
        <v>77</v>
      </c>
      <c r="MAF11" s="256" t="s">
        <v>78</v>
      </c>
      <c r="MAG11" s="256" t="s">
        <v>79</v>
      </c>
      <c r="MAH11" s="256" t="s">
        <v>80</v>
      </c>
      <c r="MAI11" s="256" t="s">
        <v>81</v>
      </c>
      <c r="MAJ11" s="283"/>
      <c r="MAK11" s="259" t="s">
        <v>55</v>
      </c>
      <c r="MAL11" s="256" t="s">
        <v>76</v>
      </c>
      <c r="MAM11" s="256" t="s">
        <v>77</v>
      </c>
      <c r="MAN11" s="256" t="s">
        <v>78</v>
      </c>
      <c r="MAO11" s="256" t="s">
        <v>79</v>
      </c>
      <c r="MAP11" s="256" t="s">
        <v>80</v>
      </c>
      <c r="MAQ11" s="58" t="s">
        <v>81</v>
      </c>
      <c r="MAR11" s="284"/>
      <c r="MAS11" s="259" t="s">
        <v>55</v>
      </c>
      <c r="MAT11" s="256" t="s">
        <v>76</v>
      </c>
      <c r="MAU11" s="256" t="s">
        <v>77</v>
      </c>
      <c r="MAV11" s="256" t="s">
        <v>78</v>
      </c>
      <c r="MAW11" s="256" t="s">
        <v>79</v>
      </c>
      <c r="MAX11" s="256" t="s">
        <v>80</v>
      </c>
      <c r="MAY11" s="256" t="s">
        <v>81</v>
      </c>
      <c r="MAZ11" s="283"/>
      <c r="MBA11" s="259" t="s">
        <v>55</v>
      </c>
      <c r="MBB11" s="256" t="s">
        <v>76</v>
      </c>
      <c r="MBC11" s="256" t="s">
        <v>77</v>
      </c>
      <c r="MBD11" s="256" t="s">
        <v>78</v>
      </c>
      <c r="MBE11" s="256" t="s">
        <v>79</v>
      </c>
      <c r="MBF11" s="256" t="s">
        <v>80</v>
      </c>
      <c r="MBG11" s="58" t="s">
        <v>81</v>
      </c>
      <c r="MBH11" s="284"/>
      <c r="MBI11" s="259" t="s">
        <v>55</v>
      </c>
      <c r="MBJ11" s="256" t="s">
        <v>76</v>
      </c>
      <c r="MBK11" s="256" t="s">
        <v>77</v>
      </c>
      <c r="MBL11" s="256" t="s">
        <v>78</v>
      </c>
      <c r="MBM11" s="256" t="s">
        <v>79</v>
      </c>
      <c r="MBN11" s="256" t="s">
        <v>80</v>
      </c>
      <c r="MBO11" s="256" t="s">
        <v>81</v>
      </c>
      <c r="MBP11" s="283"/>
      <c r="MBQ11" s="259" t="s">
        <v>55</v>
      </c>
      <c r="MBR11" s="256" t="s">
        <v>76</v>
      </c>
      <c r="MBS11" s="256" t="s">
        <v>77</v>
      </c>
      <c r="MBT11" s="256" t="s">
        <v>78</v>
      </c>
      <c r="MBU11" s="256" t="s">
        <v>79</v>
      </c>
      <c r="MBV11" s="256" t="s">
        <v>80</v>
      </c>
      <c r="MBW11" s="58" t="s">
        <v>81</v>
      </c>
      <c r="MBX11" s="284"/>
      <c r="MBY11" s="259" t="s">
        <v>55</v>
      </c>
      <c r="MBZ11" s="256" t="s">
        <v>76</v>
      </c>
      <c r="MCA11" s="256" t="s">
        <v>77</v>
      </c>
      <c r="MCB11" s="256" t="s">
        <v>78</v>
      </c>
      <c r="MCC11" s="256" t="s">
        <v>79</v>
      </c>
      <c r="MCD11" s="256" t="s">
        <v>80</v>
      </c>
      <c r="MCE11" s="256" t="s">
        <v>81</v>
      </c>
      <c r="MCF11" s="283"/>
      <c r="MCG11" s="259" t="s">
        <v>55</v>
      </c>
      <c r="MCH11" s="256" t="s">
        <v>76</v>
      </c>
      <c r="MCI11" s="256" t="s">
        <v>77</v>
      </c>
      <c r="MCJ11" s="256" t="s">
        <v>78</v>
      </c>
      <c r="MCK11" s="256" t="s">
        <v>79</v>
      </c>
      <c r="MCL11" s="256" t="s">
        <v>80</v>
      </c>
      <c r="MCM11" s="58" t="s">
        <v>81</v>
      </c>
      <c r="MCN11" s="284"/>
      <c r="MCO11" s="259" t="s">
        <v>55</v>
      </c>
      <c r="MCP11" s="256" t="s">
        <v>76</v>
      </c>
      <c r="MCQ11" s="256" t="s">
        <v>77</v>
      </c>
      <c r="MCR11" s="256" t="s">
        <v>78</v>
      </c>
      <c r="MCS11" s="256" t="s">
        <v>79</v>
      </c>
      <c r="MCT11" s="256" t="s">
        <v>80</v>
      </c>
      <c r="MCU11" s="256" t="s">
        <v>81</v>
      </c>
      <c r="MCV11" s="283"/>
      <c r="MCW11" s="259" t="s">
        <v>55</v>
      </c>
      <c r="MCX11" s="256" t="s">
        <v>76</v>
      </c>
      <c r="MCY11" s="256" t="s">
        <v>77</v>
      </c>
      <c r="MCZ11" s="256" t="s">
        <v>78</v>
      </c>
      <c r="MDA11" s="256" t="s">
        <v>79</v>
      </c>
      <c r="MDB11" s="256" t="s">
        <v>80</v>
      </c>
      <c r="MDC11" s="58" t="s">
        <v>81</v>
      </c>
      <c r="MDD11" s="284"/>
      <c r="MDE11" s="259" t="s">
        <v>55</v>
      </c>
      <c r="MDF11" s="256" t="s">
        <v>76</v>
      </c>
      <c r="MDG11" s="256" t="s">
        <v>77</v>
      </c>
      <c r="MDH11" s="256" t="s">
        <v>78</v>
      </c>
      <c r="MDI11" s="256" t="s">
        <v>79</v>
      </c>
      <c r="MDJ11" s="256" t="s">
        <v>80</v>
      </c>
      <c r="MDK11" s="256" t="s">
        <v>81</v>
      </c>
      <c r="MDL11" s="283"/>
      <c r="MDM11" s="259" t="s">
        <v>55</v>
      </c>
      <c r="MDN11" s="256" t="s">
        <v>76</v>
      </c>
      <c r="MDO11" s="256" t="s">
        <v>77</v>
      </c>
      <c r="MDP11" s="256" t="s">
        <v>78</v>
      </c>
      <c r="MDQ11" s="256" t="s">
        <v>79</v>
      </c>
      <c r="MDR11" s="256" t="s">
        <v>80</v>
      </c>
      <c r="MDS11" s="58" t="s">
        <v>81</v>
      </c>
      <c r="MDT11" s="284"/>
      <c r="MDU11" s="259" t="s">
        <v>55</v>
      </c>
      <c r="MDV11" s="256" t="s">
        <v>76</v>
      </c>
      <c r="MDW11" s="256" t="s">
        <v>77</v>
      </c>
      <c r="MDX11" s="256" t="s">
        <v>78</v>
      </c>
      <c r="MDY11" s="256" t="s">
        <v>79</v>
      </c>
      <c r="MDZ11" s="256" t="s">
        <v>80</v>
      </c>
      <c r="MEA11" s="256" t="s">
        <v>81</v>
      </c>
      <c r="MEB11" s="283"/>
      <c r="MEC11" s="259" t="s">
        <v>55</v>
      </c>
      <c r="MED11" s="256" t="s">
        <v>76</v>
      </c>
      <c r="MEE11" s="256" t="s">
        <v>77</v>
      </c>
      <c r="MEF11" s="256" t="s">
        <v>78</v>
      </c>
      <c r="MEG11" s="256" t="s">
        <v>79</v>
      </c>
      <c r="MEH11" s="256" t="s">
        <v>80</v>
      </c>
      <c r="MEI11" s="58" t="s">
        <v>81</v>
      </c>
      <c r="MEJ11" s="284"/>
      <c r="MEK11" s="259" t="s">
        <v>55</v>
      </c>
      <c r="MEL11" s="256" t="s">
        <v>76</v>
      </c>
      <c r="MEM11" s="256" t="s">
        <v>77</v>
      </c>
      <c r="MEN11" s="256" t="s">
        <v>78</v>
      </c>
      <c r="MEO11" s="256" t="s">
        <v>79</v>
      </c>
      <c r="MEP11" s="256" t="s">
        <v>80</v>
      </c>
      <c r="MEQ11" s="256" t="s">
        <v>81</v>
      </c>
      <c r="MER11" s="283"/>
      <c r="MES11" s="259" t="s">
        <v>55</v>
      </c>
      <c r="MET11" s="256" t="s">
        <v>76</v>
      </c>
      <c r="MEU11" s="256" t="s">
        <v>77</v>
      </c>
      <c r="MEV11" s="256" t="s">
        <v>78</v>
      </c>
      <c r="MEW11" s="256" t="s">
        <v>79</v>
      </c>
      <c r="MEX11" s="256" t="s">
        <v>80</v>
      </c>
      <c r="MEY11" s="58" t="s">
        <v>81</v>
      </c>
      <c r="MEZ11" s="284"/>
      <c r="MFA11" s="259" t="s">
        <v>55</v>
      </c>
      <c r="MFB11" s="256" t="s">
        <v>76</v>
      </c>
      <c r="MFC11" s="256" t="s">
        <v>77</v>
      </c>
      <c r="MFD11" s="256" t="s">
        <v>78</v>
      </c>
      <c r="MFE11" s="256" t="s">
        <v>79</v>
      </c>
      <c r="MFF11" s="256" t="s">
        <v>80</v>
      </c>
      <c r="MFG11" s="256" t="s">
        <v>81</v>
      </c>
      <c r="MFH11" s="283"/>
      <c r="MFI11" s="259" t="s">
        <v>55</v>
      </c>
      <c r="MFJ11" s="256" t="s">
        <v>76</v>
      </c>
      <c r="MFK11" s="256" t="s">
        <v>77</v>
      </c>
      <c r="MFL11" s="256" t="s">
        <v>78</v>
      </c>
      <c r="MFM11" s="256" t="s">
        <v>79</v>
      </c>
      <c r="MFN11" s="256" t="s">
        <v>80</v>
      </c>
      <c r="MFO11" s="58" t="s">
        <v>81</v>
      </c>
      <c r="MFP11" s="284"/>
      <c r="MFQ11" s="259" t="s">
        <v>55</v>
      </c>
      <c r="MFR11" s="256" t="s">
        <v>76</v>
      </c>
      <c r="MFS11" s="256" t="s">
        <v>77</v>
      </c>
      <c r="MFT11" s="256" t="s">
        <v>78</v>
      </c>
      <c r="MFU11" s="256" t="s">
        <v>79</v>
      </c>
      <c r="MFV11" s="256" t="s">
        <v>80</v>
      </c>
      <c r="MFW11" s="256" t="s">
        <v>81</v>
      </c>
      <c r="MFX11" s="283"/>
      <c r="MFY11" s="259" t="s">
        <v>55</v>
      </c>
      <c r="MFZ11" s="256" t="s">
        <v>76</v>
      </c>
      <c r="MGA11" s="256" t="s">
        <v>77</v>
      </c>
      <c r="MGB11" s="256" t="s">
        <v>78</v>
      </c>
      <c r="MGC11" s="256" t="s">
        <v>79</v>
      </c>
      <c r="MGD11" s="256" t="s">
        <v>80</v>
      </c>
      <c r="MGE11" s="58" t="s">
        <v>81</v>
      </c>
      <c r="MGF11" s="284"/>
      <c r="MGG11" s="259" t="s">
        <v>55</v>
      </c>
      <c r="MGH11" s="256" t="s">
        <v>76</v>
      </c>
      <c r="MGI11" s="256" t="s">
        <v>77</v>
      </c>
      <c r="MGJ11" s="256" t="s">
        <v>78</v>
      </c>
      <c r="MGK11" s="256" t="s">
        <v>79</v>
      </c>
      <c r="MGL11" s="256" t="s">
        <v>80</v>
      </c>
      <c r="MGM11" s="256" t="s">
        <v>81</v>
      </c>
      <c r="MGN11" s="283"/>
      <c r="MGO11" s="259" t="s">
        <v>55</v>
      </c>
      <c r="MGP11" s="256" t="s">
        <v>76</v>
      </c>
      <c r="MGQ11" s="256" t="s">
        <v>77</v>
      </c>
      <c r="MGR11" s="256" t="s">
        <v>78</v>
      </c>
      <c r="MGS11" s="256" t="s">
        <v>79</v>
      </c>
      <c r="MGT11" s="256" t="s">
        <v>80</v>
      </c>
      <c r="MGU11" s="58" t="s">
        <v>81</v>
      </c>
      <c r="MGV11" s="284"/>
      <c r="MGW11" s="259" t="s">
        <v>55</v>
      </c>
      <c r="MGX11" s="256" t="s">
        <v>76</v>
      </c>
      <c r="MGY11" s="256" t="s">
        <v>77</v>
      </c>
      <c r="MGZ11" s="256" t="s">
        <v>78</v>
      </c>
      <c r="MHA11" s="256" t="s">
        <v>79</v>
      </c>
      <c r="MHB11" s="256" t="s">
        <v>80</v>
      </c>
      <c r="MHC11" s="256" t="s">
        <v>81</v>
      </c>
      <c r="MHD11" s="283"/>
      <c r="MHE11" s="259" t="s">
        <v>55</v>
      </c>
      <c r="MHF11" s="256" t="s">
        <v>76</v>
      </c>
      <c r="MHG11" s="256" t="s">
        <v>77</v>
      </c>
      <c r="MHH11" s="256" t="s">
        <v>78</v>
      </c>
      <c r="MHI11" s="256" t="s">
        <v>79</v>
      </c>
      <c r="MHJ11" s="256" t="s">
        <v>80</v>
      </c>
      <c r="MHK11" s="58" t="s">
        <v>81</v>
      </c>
      <c r="MHL11" s="284"/>
      <c r="MHM11" s="259" t="s">
        <v>55</v>
      </c>
      <c r="MHN11" s="256" t="s">
        <v>76</v>
      </c>
      <c r="MHO11" s="256" t="s">
        <v>77</v>
      </c>
      <c r="MHP11" s="256" t="s">
        <v>78</v>
      </c>
      <c r="MHQ11" s="256" t="s">
        <v>79</v>
      </c>
      <c r="MHR11" s="256" t="s">
        <v>80</v>
      </c>
      <c r="MHS11" s="256" t="s">
        <v>81</v>
      </c>
      <c r="MHT11" s="283"/>
      <c r="MHU11" s="259" t="s">
        <v>55</v>
      </c>
      <c r="MHV11" s="256" t="s">
        <v>76</v>
      </c>
      <c r="MHW11" s="256" t="s">
        <v>77</v>
      </c>
      <c r="MHX11" s="256" t="s">
        <v>78</v>
      </c>
      <c r="MHY11" s="256" t="s">
        <v>79</v>
      </c>
      <c r="MHZ11" s="256" t="s">
        <v>80</v>
      </c>
      <c r="MIA11" s="58" t="s">
        <v>81</v>
      </c>
      <c r="MIB11" s="284"/>
      <c r="MIC11" s="259" t="s">
        <v>55</v>
      </c>
      <c r="MID11" s="256" t="s">
        <v>76</v>
      </c>
      <c r="MIE11" s="256" t="s">
        <v>77</v>
      </c>
      <c r="MIF11" s="256" t="s">
        <v>78</v>
      </c>
      <c r="MIG11" s="256" t="s">
        <v>79</v>
      </c>
      <c r="MIH11" s="256" t="s">
        <v>80</v>
      </c>
      <c r="MII11" s="256" t="s">
        <v>81</v>
      </c>
      <c r="MIJ11" s="283"/>
      <c r="MIK11" s="259" t="s">
        <v>55</v>
      </c>
      <c r="MIL11" s="256" t="s">
        <v>76</v>
      </c>
      <c r="MIM11" s="256" t="s">
        <v>77</v>
      </c>
      <c r="MIN11" s="256" t="s">
        <v>78</v>
      </c>
      <c r="MIO11" s="256" t="s">
        <v>79</v>
      </c>
      <c r="MIP11" s="256" t="s">
        <v>80</v>
      </c>
      <c r="MIQ11" s="58" t="s">
        <v>81</v>
      </c>
      <c r="MIR11" s="284"/>
      <c r="MIS11" s="259" t="s">
        <v>55</v>
      </c>
      <c r="MIT11" s="256" t="s">
        <v>76</v>
      </c>
      <c r="MIU11" s="256" t="s">
        <v>77</v>
      </c>
      <c r="MIV11" s="256" t="s">
        <v>78</v>
      </c>
      <c r="MIW11" s="256" t="s">
        <v>79</v>
      </c>
      <c r="MIX11" s="256" t="s">
        <v>80</v>
      </c>
      <c r="MIY11" s="256" t="s">
        <v>81</v>
      </c>
      <c r="MIZ11" s="283"/>
      <c r="MJA11" s="259" t="s">
        <v>55</v>
      </c>
      <c r="MJB11" s="256" t="s">
        <v>76</v>
      </c>
      <c r="MJC11" s="256" t="s">
        <v>77</v>
      </c>
      <c r="MJD11" s="256" t="s">
        <v>78</v>
      </c>
      <c r="MJE11" s="256" t="s">
        <v>79</v>
      </c>
      <c r="MJF11" s="256" t="s">
        <v>80</v>
      </c>
      <c r="MJG11" s="58" t="s">
        <v>81</v>
      </c>
      <c r="MJH11" s="284"/>
      <c r="MJI11" s="259" t="s">
        <v>55</v>
      </c>
      <c r="MJJ11" s="256" t="s">
        <v>76</v>
      </c>
      <c r="MJK11" s="256" t="s">
        <v>77</v>
      </c>
      <c r="MJL11" s="256" t="s">
        <v>78</v>
      </c>
      <c r="MJM11" s="256" t="s">
        <v>79</v>
      </c>
      <c r="MJN11" s="256" t="s">
        <v>80</v>
      </c>
      <c r="MJO11" s="256" t="s">
        <v>81</v>
      </c>
      <c r="MJP11" s="283"/>
      <c r="MJQ11" s="259" t="s">
        <v>55</v>
      </c>
      <c r="MJR11" s="256" t="s">
        <v>76</v>
      </c>
      <c r="MJS11" s="256" t="s">
        <v>77</v>
      </c>
      <c r="MJT11" s="256" t="s">
        <v>78</v>
      </c>
      <c r="MJU11" s="256" t="s">
        <v>79</v>
      </c>
      <c r="MJV11" s="256" t="s">
        <v>80</v>
      </c>
      <c r="MJW11" s="58" t="s">
        <v>81</v>
      </c>
      <c r="MJX11" s="284"/>
      <c r="MJY11" s="259" t="s">
        <v>55</v>
      </c>
      <c r="MJZ11" s="256" t="s">
        <v>76</v>
      </c>
      <c r="MKA11" s="256" t="s">
        <v>77</v>
      </c>
      <c r="MKB11" s="256" t="s">
        <v>78</v>
      </c>
      <c r="MKC11" s="256" t="s">
        <v>79</v>
      </c>
      <c r="MKD11" s="256" t="s">
        <v>80</v>
      </c>
      <c r="MKE11" s="256" t="s">
        <v>81</v>
      </c>
      <c r="MKF11" s="283"/>
      <c r="MKG11" s="259" t="s">
        <v>55</v>
      </c>
      <c r="MKH11" s="256" t="s">
        <v>76</v>
      </c>
      <c r="MKI11" s="256" t="s">
        <v>77</v>
      </c>
      <c r="MKJ11" s="256" t="s">
        <v>78</v>
      </c>
      <c r="MKK11" s="256" t="s">
        <v>79</v>
      </c>
      <c r="MKL11" s="256" t="s">
        <v>80</v>
      </c>
      <c r="MKM11" s="58" t="s">
        <v>81</v>
      </c>
      <c r="MKN11" s="284"/>
      <c r="MKO11" s="259" t="s">
        <v>55</v>
      </c>
      <c r="MKP11" s="256" t="s">
        <v>76</v>
      </c>
      <c r="MKQ11" s="256" t="s">
        <v>77</v>
      </c>
      <c r="MKR11" s="256" t="s">
        <v>78</v>
      </c>
      <c r="MKS11" s="256" t="s">
        <v>79</v>
      </c>
      <c r="MKT11" s="256" t="s">
        <v>80</v>
      </c>
      <c r="MKU11" s="256" t="s">
        <v>81</v>
      </c>
      <c r="MKV11" s="283"/>
      <c r="MKW11" s="259" t="s">
        <v>55</v>
      </c>
      <c r="MKX11" s="256" t="s">
        <v>76</v>
      </c>
      <c r="MKY11" s="256" t="s">
        <v>77</v>
      </c>
      <c r="MKZ11" s="256" t="s">
        <v>78</v>
      </c>
      <c r="MLA11" s="256" t="s">
        <v>79</v>
      </c>
      <c r="MLB11" s="256" t="s">
        <v>80</v>
      </c>
      <c r="MLC11" s="58" t="s">
        <v>81</v>
      </c>
      <c r="MLD11" s="284"/>
      <c r="MLE11" s="259" t="s">
        <v>55</v>
      </c>
      <c r="MLF11" s="256" t="s">
        <v>76</v>
      </c>
      <c r="MLG11" s="256" t="s">
        <v>77</v>
      </c>
      <c r="MLH11" s="256" t="s">
        <v>78</v>
      </c>
      <c r="MLI11" s="256" t="s">
        <v>79</v>
      </c>
      <c r="MLJ11" s="256" t="s">
        <v>80</v>
      </c>
      <c r="MLK11" s="256" t="s">
        <v>81</v>
      </c>
      <c r="MLL11" s="283"/>
      <c r="MLM11" s="259" t="s">
        <v>55</v>
      </c>
      <c r="MLN11" s="256" t="s">
        <v>76</v>
      </c>
      <c r="MLO11" s="256" t="s">
        <v>77</v>
      </c>
      <c r="MLP11" s="256" t="s">
        <v>78</v>
      </c>
      <c r="MLQ11" s="256" t="s">
        <v>79</v>
      </c>
      <c r="MLR11" s="256" t="s">
        <v>80</v>
      </c>
      <c r="MLS11" s="58" t="s">
        <v>81</v>
      </c>
      <c r="MLT11" s="284"/>
      <c r="MLU11" s="259" t="s">
        <v>55</v>
      </c>
      <c r="MLV11" s="256" t="s">
        <v>76</v>
      </c>
      <c r="MLW11" s="256" t="s">
        <v>77</v>
      </c>
      <c r="MLX11" s="256" t="s">
        <v>78</v>
      </c>
      <c r="MLY11" s="256" t="s">
        <v>79</v>
      </c>
      <c r="MLZ11" s="256" t="s">
        <v>80</v>
      </c>
      <c r="MMA11" s="256" t="s">
        <v>81</v>
      </c>
      <c r="MMB11" s="283"/>
      <c r="MMC11" s="259" t="s">
        <v>55</v>
      </c>
      <c r="MMD11" s="256" t="s">
        <v>76</v>
      </c>
      <c r="MME11" s="256" t="s">
        <v>77</v>
      </c>
      <c r="MMF11" s="256" t="s">
        <v>78</v>
      </c>
      <c r="MMG11" s="256" t="s">
        <v>79</v>
      </c>
      <c r="MMH11" s="256" t="s">
        <v>80</v>
      </c>
      <c r="MMI11" s="58" t="s">
        <v>81</v>
      </c>
      <c r="MMJ11" s="284"/>
      <c r="MMK11" s="259" t="s">
        <v>55</v>
      </c>
      <c r="MML11" s="256" t="s">
        <v>76</v>
      </c>
      <c r="MMM11" s="256" t="s">
        <v>77</v>
      </c>
      <c r="MMN11" s="256" t="s">
        <v>78</v>
      </c>
      <c r="MMO11" s="256" t="s">
        <v>79</v>
      </c>
      <c r="MMP11" s="256" t="s">
        <v>80</v>
      </c>
      <c r="MMQ11" s="256" t="s">
        <v>81</v>
      </c>
      <c r="MMR11" s="283"/>
      <c r="MMS11" s="259" t="s">
        <v>55</v>
      </c>
      <c r="MMT11" s="256" t="s">
        <v>76</v>
      </c>
      <c r="MMU11" s="256" t="s">
        <v>77</v>
      </c>
      <c r="MMV11" s="256" t="s">
        <v>78</v>
      </c>
      <c r="MMW11" s="256" t="s">
        <v>79</v>
      </c>
      <c r="MMX11" s="256" t="s">
        <v>80</v>
      </c>
      <c r="MMY11" s="58" t="s">
        <v>81</v>
      </c>
      <c r="MMZ11" s="284"/>
      <c r="MNA11" s="259" t="s">
        <v>55</v>
      </c>
      <c r="MNB11" s="256" t="s">
        <v>76</v>
      </c>
      <c r="MNC11" s="256" t="s">
        <v>77</v>
      </c>
      <c r="MND11" s="256" t="s">
        <v>78</v>
      </c>
      <c r="MNE11" s="256" t="s">
        <v>79</v>
      </c>
      <c r="MNF11" s="256" t="s">
        <v>80</v>
      </c>
      <c r="MNG11" s="256" t="s">
        <v>81</v>
      </c>
      <c r="MNH11" s="283"/>
      <c r="MNI11" s="259" t="s">
        <v>55</v>
      </c>
      <c r="MNJ11" s="256" t="s">
        <v>76</v>
      </c>
      <c r="MNK11" s="256" t="s">
        <v>77</v>
      </c>
      <c r="MNL11" s="256" t="s">
        <v>78</v>
      </c>
      <c r="MNM11" s="256" t="s">
        <v>79</v>
      </c>
      <c r="MNN11" s="256" t="s">
        <v>80</v>
      </c>
      <c r="MNO11" s="58" t="s">
        <v>81</v>
      </c>
      <c r="MNP11" s="284"/>
      <c r="MNQ11" s="259" t="s">
        <v>55</v>
      </c>
      <c r="MNR11" s="256" t="s">
        <v>76</v>
      </c>
      <c r="MNS11" s="256" t="s">
        <v>77</v>
      </c>
      <c r="MNT11" s="256" t="s">
        <v>78</v>
      </c>
      <c r="MNU11" s="256" t="s">
        <v>79</v>
      </c>
      <c r="MNV11" s="256" t="s">
        <v>80</v>
      </c>
      <c r="MNW11" s="256" t="s">
        <v>81</v>
      </c>
      <c r="MNX11" s="283"/>
      <c r="MNY11" s="259" t="s">
        <v>55</v>
      </c>
      <c r="MNZ11" s="256" t="s">
        <v>76</v>
      </c>
      <c r="MOA11" s="256" t="s">
        <v>77</v>
      </c>
      <c r="MOB11" s="256" t="s">
        <v>78</v>
      </c>
      <c r="MOC11" s="256" t="s">
        <v>79</v>
      </c>
      <c r="MOD11" s="256" t="s">
        <v>80</v>
      </c>
      <c r="MOE11" s="58" t="s">
        <v>81</v>
      </c>
      <c r="MOF11" s="284"/>
      <c r="MOG11" s="259" t="s">
        <v>55</v>
      </c>
      <c r="MOH11" s="256" t="s">
        <v>76</v>
      </c>
      <c r="MOI11" s="256" t="s">
        <v>77</v>
      </c>
      <c r="MOJ11" s="256" t="s">
        <v>78</v>
      </c>
      <c r="MOK11" s="256" t="s">
        <v>79</v>
      </c>
      <c r="MOL11" s="256" t="s">
        <v>80</v>
      </c>
      <c r="MOM11" s="256" t="s">
        <v>81</v>
      </c>
      <c r="MON11" s="283"/>
      <c r="MOO11" s="259" t="s">
        <v>55</v>
      </c>
      <c r="MOP11" s="256" t="s">
        <v>76</v>
      </c>
      <c r="MOQ11" s="256" t="s">
        <v>77</v>
      </c>
      <c r="MOR11" s="256" t="s">
        <v>78</v>
      </c>
      <c r="MOS11" s="256" t="s">
        <v>79</v>
      </c>
      <c r="MOT11" s="256" t="s">
        <v>80</v>
      </c>
      <c r="MOU11" s="58" t="s">
        <v>81</v>
      </c>
      <c r="MOV11" s="284"/>
      <c r="MOW11" s="259" t="s">
        <v>55</v>
      </c>
      <c r="MOX11" s="256" t="s">
        <v>76</v>
      </c>
      <c r="MOY11" s="256" t="s">
        <v>77</v>
      </c>
      <c r="MOZ11" s="256" t="s">
        <v>78</v>
      </c>
      <c r="MPA11" s="256" t="s">
        <v>79</v>
      </c>
      <c r="MPB11" s="256" t="s">
        <v>80</v>
      </c>
      <c r="MPC11" s="256" t="s">
        <v>81</v>
      </c>
      <c r="MPD11" s="283"/>
      <c r="MPE11" s="259" t="s">
        <v>55</v>
      </c>
      <c r="MPF11" s="256" t="s">
        <v>76</v>
      </c>
      <c r="MPG11" s="256" t="s">
        <v>77</v>
      </c>
      <c r="MPH11" s="256" t="s">
        <v>78</v>
      </c>
      <c r="MPI11" s="256" t="s">
        <v>79</v>
      </c>
      <c r="MPJ11" s="256" t="s">
        <v>80</v>
      </c>
      <c r="MPK11" s="58" t="s">
        <v>81</v>
      </c>
      <c r="MPL11" s="284"/>
      <c r="MPM11" s="259" t="s">
        <v>55</v>
      </c>
      <c r="MPN11" s="256" t="s">
        <v>76</v>
      </c>
      <c r="MPO11" s="256" t="s">
        <v>77</v>
      </c>
      <c r="MPP11" s="256" t="s">
        <v>78</v>
      </c>
      <c r="MPQ11" s="256" t="s">
        <v>79</v>
      </c>
      <c r="MPR11" s="256" t="s">
        <v>80</v>
      </c>
      <c r="MPS11" s="256" t="s">
        <v>81</v>
      </c>
      <c r="MPT11" s="283"/>
      <c r="MPU11" s="259" t="s">
        <v>55</v>
      </c>
      <c r="MPV11" s="256" t="s">
        <v>76</v>
      </c>
      <c r="MPW11" s="256" t="s">
        <v>77</v>
      </c>
      <c r="MPX11" s="256" t="s">
        <v>78</v>
      </c>
      <c r="MPY11" s="256" t="s">
        <v>79</v>
      </c>
      <c r="MPZ11" s="256" t="s">
        <v>80</v>
      </c>
      <c r="MQA11" s="58" t="s">
        <v>81</v>
      </c>
      <c r="MQB11" s="284"/>
      <c r="MQC11" s="259" t="s">
        <v>55</v>
      </c>
      <c r="MQD11" s="256" t="s">
        <v>76</v>
      </c>
      <c r="MQE11" s="256" t="s">
        <v>77</v>
      </c>
      <c r="MQF11" s="256" t="s">
        <v>78</v>
      </c>
      <c r="MQG11" s="256" t="s">
        <v>79</v>
      </c>
      <c r="MQH11" s="256" t="s">
        <v>80</v>
      </c>
      <c r="MQI11" s="256" t="s">
        <v>81</v>
      </c>
      <c r="MQJ11" s="283"/>
      <c r="MQK11" s="259" t="s">
        <v>55</v>
      </c>
      <c r="MQL11" s="256" t="s">
        <v>76</v>
      </c>
      <c r="MQM11" s="256" t="s">
        <v>77</v>
      </c>
      <c r="MQN11" s="256" t="s">
        <v>78</v>
      </c>
      <c r="MQO11" s="256" t="s">
        <v>79</v>
      </c>
      <c r="MQP11" s="256" t="s">
        <v>80</v>
      </c>
      <c r="MQQ11" s="58" t="s">
        <v>81</v>
      </c>
      <c r="MQR11" s="284"/>
      <c r="MQS11" s="259" t="s">
        <v>55</v>
      </c>
      <c r="MQT11" s="256" t="s">
        <v>76</v>
      </c>
      <c r="MQU11" s="256" t="s">
        <v>77</v>
      </c>
      <c r="MQV11" s="256" t="s">
        <v>78</v>
      </c>
      <c r="MQW11" s="256" t="s">
        <v>79</v>
      </c>
      <c r="MQX11" s="256" t="s">
        <v>80</v>
      </c>
      <c r="MQY11" s="256" t="s">
        <v>81</v>
      </c>
      <c r="MQZ11" s="283"/>
      <c r="MRA11" s="259" t="s">
        <v>55</v>
      </c>
      <c r="MRB11" s="256" t="s">
        <v>76</v>
      </c>
      <c r="MRC11" s="256" t="s">
        <v>77</v>
      </c>
      <c r="MRD11" s="256" t="s">
        <v>78</v>
      </c>
      <c r="MRE11" s="256" t="s">
        <v>79</v>
      </c>
      <c r="MRF11" s="256" t="s">
        <v>80</v>
      </c>
      <c r="MRG11" s="58" t="s">
        <v>81</v>
      </c>
      <c r="MRH11" s="284"/>
      <c r="MRI11" s="259" t="s">
        <v>55</v>
      </c>
      <c r="MRJ11" s="256" t="s">
        <v>76</v>
      </c>
      <c r="MRK11" s="256" t="s">
        <v>77</v>
      </c>
      <c r="MRL11" s="256" t="s">
        <v>78</v>
      </c>
      <c r="MRM11" s="256" t="s">
        <v>79</v>
      </c>
      <c r="MRN11" s="256" t="s">
        <v>80</v>
      </c>
      <c r="MRO11" s="256" t="s">
        <v>81</v>
      </c>
      <c r="MRP11" s="283"/>
      <c r="MRQ11" s="259" t="s">
        <v>55</v>
      </c>
      <c r="MRR11" s="256" t="s">
        <v>76</v>
      </c>
      <c r="MRS11" s="256" t="s">
        <v>77</v>
      </c>
      <c r="MRT11" s="256" t="s">
        <v>78</v>
      </c>
      <c r="MRU11" s="256" t="s">
        <v>79</v>
      </c>
      <c r="MRV11" s="256" t="s">
        <v>80</v>
      </c>
      <c r="MRW11" s="58" t="s">
        <v>81</v>
      </c>
      <c r="MRX11" s="284"/>
      <c r="MRY11" s="259" t="s">
        <v>55</v>
      </c>
      <c r="MRZ11" s="256" t="s">
        <v>76</v>
      </c>
      <c r="MSA11" s="256" t="s">
        <v>77</v>
      </c>
      <c r="MSB11" s="256" t="s">
        <v>78</v>
      </c>
      <c r="MSC11" s="256" t="s">
        <v>79</v>
      </c>
      <c r="MSD11" s="256" t="s">
        <v>80</v>
      </c>
      <c r="MSE11" s="256" t="s">
        <v>81</v>
      </c>
      <c r="MSF11" s="283"/>
      <c r="MSG11" s="259" t="s">
        <v>55</v>
      </c>
      <c r="MSH11" s="256" t="s">
        <v>76</v>
      </c>
      <c r="MSI11" s="256" t="s">
        <v>77</v>
      </c>
      <c r="MSJ11" s="256" t="s">
        <v>78</v>
      </c>
      <c r="MSK11" s="256" t="s">
        <v>79</v>
      </c>
      <c r="MSL11" s="256" t="s">
        <v>80</v>
      </c>
      <c r="MSM11" s="58" t="s">
        <v>81</v>
      </c>
      <c r="MSN11" s="284"/>
      <c r="MSO11" s="259" t="s">
        <v>55</v>
      </c>
      <c r="MSP11" s="256" t="s">
        <v>76</v>
      </c>
      <c r="MSQ11" s="256" t="s">
        <v>77</v>
      </c>
      <c r="MSR11" s="256" t="s">
        <v>78</v>
      </c>
      <c r="MSS11" s="256" t="s">
        <v>79</v>
      </c>
      <c r="MST11" s="256" t="s">
        <v>80</v>
      </c>
      <c r="MSU11" s="256" t="s">
        <v>81</v>
      </c>
      <c r="MSV11" s="283"/>
      <c r="MSW11" s="259" t="s">
        <v>55</v>
      </c>
      <c r="MSX11" s="256" t="s">
        <v>76</v>
      </c>
      <c r="MSY11" s="256" t="s">
        <v>77</v>
      </c>
      <c r="MSZ11" s="256" t="s">
        <v>78</v>
      </c>
      <c r="MTA11" s="256" t="s">
        <v>79</v>
      </c>
      <c r="MTB11" s="256" t="s">
        <v>80</v>
      </c>
      <c r="MTC11" s="58" t="s">
        <v>81</v>
      </c>
      <c r="MTD11" s="284"/>
      <c r="MTE11" s="259" t="s">
        <v>55</v>
      </c>
      <c r="MTF11" s="256" t="s">
        <v>76</v>
      </c>
      <c r="MTG11" s="256" t="s">
        <v>77</v>
      </c>
      <c r="MTH11" s="256" t="s">
        <v>78</v>
      </c>
      <c r="MTI11" s="256" t="s">
        <v>79</v>
      </c>
      <c r="MTJ11" s="256" t="s">
        <v>80</v>
      </c>
      <c r="MTK11" s="256" t="s">
        <v>81</v>
      </c>
      <c r="MTL11" s="283"/>
      <c r="MTM11" s="259" t="s">
        <v>55</v>
      </c>
      <c r="MTN11" s="256" t="s">
        <v>76</v>
      </c>
      <c r="MTO11" s="256" t="s">
        <v>77</v>
      </c>
      <c r="MTP11" s="256" t="s">
        <v>78</v>
      </c>
      <c r="MTQ11" s="256" t="s">
        <v>79</v>
      </c>
      <c r="MTR11" s="256" t="s">
        <v>80</v>
      </c>
      <c r="MTS11" s="58" t="s">
        <v>81</v>
      </c>
      <c r="MTT11" s="284"/>
      <c r="MTU11" s="259" t="s">
        <v>55</v>
      </c>
      <c r="MTV11" s="256" t="s">
        <v>76</v>
      </c>
      <c r="MTW11" s="256" t="s">
        <v>77</v>
      </c>
      <c r="MTX11" s="256" t="s">
        <v>78</v>
      </c>
      <c r="MTY11" s="256" t="s">
        <v>79</v>
      </c>
      <c r="MTZ11" s="256" t="s">
        <v>80</v>
      </c>
      <c r="MUA11" s="256" t="s">
        <v>81</v>
      </c>
      <c r="MUB11" s="283"/>
      <c r="MUC11" s="259" t="s">
        <v>55</v>
      </c>
      <c r="MUD11" s="256" t="s">
        <v>76</v>
      </c>
      <c r="MUE11" s="256" t="s">
        <v>77</v>
      </c>
      <c r="MUF11" s="256" t="s">
        <v>78</v>
      </c>
      <c r="MUG11" s="256" t="s">
        <v>79</v>
      </c>
      <c r="MUH11" s="256" t="s">
        <v>80</v>
      </c>
      <c r="MUI11" s="58" t="s">
        <v>81</v>
      </c>
      <c r="MUJ11" s="284"/>
      <c r="MUK11" s="259" t="s">
        <v>55</v>
      </c>
      <c r="MUL11" s="256" t="s">
        <v>76</v>
      </c>
      <c r="MUM11" s="256" t="s">
        <v>77</v>
      </c>
      <c r="MUN11" s="256" t="s">
        <v>78</v>
      </c>
      <c r="MUO11" s="256" t="s">
        <v>79</v>
      </c>
      <c r="MUP11" s="256" t="s">
        <v>80</v>
      </c>
      <c r="MUQ11" s="256" t="s">
        <v>81</v>
      </c>
      <c r="MUR11" s="283"/>
      <c r="MUS11" s="259" t="s">
        <v>55</v>
      </c>
      <c r="MUT11" s="256" t="s">
        <v>76</v>
      </c>
      <c r="MUU11" s="256" t="s">
        <v>77</v>
      </c>
      <c r="MUV11" s="256" t="s">
        <v>78</v>
      </c>
      <c r="MUW11" s="256" t="s">
        <v>79</v>
      </c>
      <c r="MUX11" s="256" t="s">
        <v>80</v>
      </c>
      <c r="MUY11" s="58" t="s">
        <v>81</v>
      </c>
      <c r="MUZ11" s="284"/>
      <c r="MVA11" s="259" t="s">
        <v>55</v>
      </c>
      <c r="MVB11" s="256" t="s">
        <v>76</v>
      </c>
      <c r="MVC11" s="256" t="s">
        <v>77</v>
      </c>
      <c r="MVD11" s="256" t="s">
        <v>78</v>
      </c>
      <c r="MVE11" s="256" t="s">
        <v>79</v>
      </c>
      <c r="MVF11" s="256" t="s">
        <v>80</v>
      </c>
      <c r="MVG11" s="256" t="s">
        <v>81</v>
      </c>
      <c r="MVH11" s="283"/>
      <c r="MVI11" s="259" t="s">
        <v>55</v>
      </c>
      <c r="MVJ11" s="256" t="s">
        <v>76</v>
      </c>
      <c r="MVK11" s="256" t="s">
        <v>77</v>
      </c>
      <c r="MVL11" s="256" t="s">
        <v>78</v>
      </c>
      <c r="MVM11" s="256" t="s">
        <v>79</v>
      </c>
      <c r="MVN11" s="256" t="s">
        <v>80</v>
      </c>
      <c r="MVO11" s="58" t="s">
        <v>81</v>
      </c>
      <c r="MVP11" s="284"/>
      <c r="MVQ11" s="259" t="s">
        <v>55</v>
      </c>
      <c r="MVR11" s="256" t="s">
        <v>76</v>
      </c>
      <c r="MVS11" s="256" t="s">
        <v>77</v>
      </c>
      <c r="MVT11" s="256" t="s">
        <v>78</v>
      </c>
      <c r="MVU11" s="256" t="s">
        <v>79</v>
      </c>
      <c r="MVV11" s="256" t="s">
        <v>80</v>
      </c>
      <c r="MVW11" s="256" t="s">
        <v>81</v>
      </c>
      <c r="MVX11" s="283"/>
      <c r="MVY11" s="259" t="s">
        <v>55</v>
      </c>
      <c r="MVZ11" s="256" t="s">
        <v>76</v>
      </c>
      <c r="MWA11" s="256" t="s">
        <v>77</v>
      </c>
      <c r="MWB11" s="256" t="s">
        <v>78</v>
      </c>
      <c r="MWC11" s="256" t="s">
        <v>79</v>
      </c>
      <c r="MWD11" s="256" t="s">
        <v>80</v>
      </c>
      <c r="MWE11" s="58" t="s">
        <v>81</v>
      </c>
      <c r="MWF11" s="284"/>
      <c r="MWG11" s="259" t="s">
        <v>55</v>
      </c>
      <c r="MWH11" s="256" t="s">
        <v>76</v>
      </c>
      <c r="MWI11" s="256" t="s">
        <v>77</v>
      </c>
      <c r="MWJ11" s="256" t="s">
        <v>78</v>
      </c>
      <c r="MWK11" s="256" t="s">
        <v>79</v>
      </c>
      <c r="MWL11" s="256" t="s">
        <v>80</v>
      </c>
      <c r="MWM11" s="256" t="s">
        <v>81</v>
      </c>
      <c r="MWN11" s="283"/>
      <c r="MWO11" s="259" t="s">
        <v>55</v>
      </c>
      <c r="MWP11" s="256" t="s">
        <v>76</v>
      </c>
      <c r="MWQ11" s="256" t="s">
        <v>77</v>
      </c>
      <c r="MWR11" s="256" t="s">
        <v>78</v>
      </c>
      <c r="MWS11" s="256" t="s">
        <v>79</v>
      </c>
      <c r="MWT11" s="256" t="s">
        <v>80</v>
      </c>
      <c r="MWU11" s="58" t="s">
        <v>81</v>
      </c>
      <c r="MWV11" s="284"/>
      <c r="MWW11" s="259" t="s">
        <v>55</v>
      </c>
      <c r="MWX11" s="256" t="s">
        <v>76</v>
      </c>
      <c r="MWY11" s="256" t="s">
        <v>77</v>
      </c>
      <c r="MWZ11" s="256" t="s">
        <v>78</v>
      </c>
      <c r="MXA11" s="256" t="s">
        <v>79</v>
      </c>
      <c r="MXB11" s="256" t="s">
        <v>80</v>
      </c>
      <c r="MXC11" s="256" t="s">
        <v>81</v>
      </c>
      <c r="MXD11" s="283"/>
      <c r="MXE11" s="259" t="s">
        <v>55</v>
      </c>
      <c r="MXF11" s="256" t="s">
        <v>76</v>
      </c>
      <c r="MXG11" s="256" t="s">
        <v>77</v>
      </c>
      <c r="MXH11" s="256" t="s">
        <v>78</v>
      </c>
      <c r="MXI11" s="256" t="s">
        <v>79</v>
      </c>
      <c r="MXJ11" s="256" t="s">
        <v>80</v>
      </c>
      <c r="MXK11" s="58" t="s">
        <v>81</v>
      </c>
      <c r="MXL11" s="284"/>
      <c r="MXM11" s="259" t="s">
        <v>55</v>
      </c>
      <c r="MXN11" s="256" t="s">
        <v>76</v>
      </c>
      <c r="MXO11" s="256" t="s">
        <v>77</v>
      </c>
      <c r="MXP11" s="256" t="s">
        <v>78</v>
      </c>
      <c r="MXQ11" s="256" t="s">
        <v>79</v>
      </c>
      <c r="MXR11" s="256" t="s">
        <v>80</v>
      </c>
      <c r="MXS11" s="256" t="s">
        <v>81</v>
      </c>
      <c r="MXT11" s="283"/>
      <c r="MXU11" s="259" t="s">
        <v>55</v>
      </c>
      <c r="MXV11" s="256" t="s">
        <v>76</v>
      </c>
      <c r="MXW11" s="256" t="s">
        <v>77</v>
      </c>
      <c r="MXX11" s="256" t="s">
        <v>78</v>
      </c>
      <c r="MXY11" s="256" t="s">
        <v>79</v>
      </c>
      <c r="MXZ11" s="256" t="s">
        <v>80</v>
      </c>
      <c r="MYA11" s="58" t="s">
        <v>81</v>
      </c>
      <c r="MYB11" s="284"/>
      <c r="MYC11" s="259" t="s">
        <v>55</v>
      </c>
      <c r="MYD11" s="256" t="s">
        <v>76</v>
      </c>
      <c r="MYE11" s="256" t="s">
        <v>77</v>
      </c>
      <c r="MYF11" s="256" t="s">
        <v>78</v>
      </c>
      <c r="MYG11" s="256" t="s">
        <v>79</v>
      </c>
      <c r="MYH11" s="256" t="s">
        <v>80</v>
      </c>
      <c r="MYI11" s="256" t="s">
        <v>81</v>
      </c>
      <c r="MYJ11" s="283"/>
      <c r="MYK11" s="259" t="s">
        <v>55</v>
      </c>
      <c r="MYL11" s="256" t="s">
        <v>76</v>
      </c>
      <c r="MYM11" s="256" t="s">
        <v>77</v>
      </c>
      <c r="MYN11" s="256" t="s">
        <v>78</v>
      </c>
      <c r="MYO11" s="256" t="s">
        <v>79</v>
      </c>
      <c r="MYP11" s="256" t="s">
        <v>80</v>
      </c>
      <c r="MYQ11" s="58" t="s">
        <v>81</v>
      </c>
      <c r="MYR11" s="284"/>
      <c r="MYS11" s="259" t="s">
        <v>55</v>
      </c>
      <c r="MYT11" s="256" t="s">
        <v>76</v>
      </c>
      <c r="MYU11" s="256" t="s">
        <v>77</v>
      </c>
      <c r="MYV11" s="256" t="s">
        <v>78</v>
      </c>
      <c r="MYW11" s="256" t="s">
        <v>79</v>
      </c>
      <c r="MYX11" s="256" t="s">
        <v>80</v>
      </c>
      <c r="MYY11" s="256" t="s">
        <v>81</v>
      </c>
      <c r="MYZ11" s="283"/>
      <c r="MZA11" s="259" t="s">
        <v>55</v>
      </c>
      <c r="MZB11" s="256" t="s">
        <v>76</v>
      </c>
      <c r="MZC11" s="256" t="s">
        <v>77</v>
      </c>
      <c r="MZD11" s="256" t="s">
        <v>78</v>
      </c>
      <c r="MZE11" s="256" t="s">
        <v>79</v>
      </c>
      <c r="MZF11" s="256" t="s">
        <v>80</v>
      </c>
      <c r="MZG11" s="58" t="s">
        <v>81</v>
      </c>
      <c r="MZH11" s="284"/>
      <c r="MZI11" s="259" t="s">
        <v>55</v>
      </c>
      <c r="MZJ11" s="256" t="s">
        <v>76</v>
      </c>
      <c r="MZK11" s="256" t="s">
        <v>77</v>
      </c>
      <c r="MZL11" s="256" t="s">
        <v>78</v>
      </c>
      <c r="MZM11" s="256" t="s">
        <v>79</v>
      </c>
      <c r="MZN11" s="256" t="s">
        <v>80</v>
      </c>
      <c r="MZO11" s="256" t="s">
        <v>81</v>
      </c>
      <c r="MZP11" s="283"/>
      <c r="MZQ11" s="259" t="s">
        <v>55</v>
      </c>
      <c r="MZR11" s="256" t="s">
        <v>76</v>
      </c>
      <c r="MZS11" s="256" t="s">
        <v>77</v>
      </c>
      <c r="MZT11" s="256" t="s">
        <v>78</v>
      </c>
      <c r="MZU11" s="256" t="s">
        <v>79</v>
      </c>
      <c r="MZV11" s="256" t="s">
        <v>80</v>
      </c>
      <c r="MZW11" s="58" t="s">
        <v>81</v>
      </c>
      <c r="MZX11" s="284"/>
      <c r="MZY11" s="259" t="s">
        <v>55</v>
      </c>
      <c r="MZZ11" s="256" t="s">
        <v>76</v>
      </c>
      <c r="NAA11" s="256" t="s">
        <v>77</v>
      </c>
      <c r="NAB11" s="256" t="s">
        <v>78</v>
      </c>
      <c r="NAC11" s="256" t="s">
        <v>79</v>
      </c>
      <c r="NAD11" s="256" t="s">
        <v>80</v>
      </c>
      <c r="NAE11" s="256" t="s">
        <v>81</v>
      </c>
      <c r="NAF11" s="283"/>
      <c r="NAG11" s="259" t="s">
        <v>55</v>
      </c>
      <c r="NAH11" s="256" t="s">
        <v>76</v>
      </c>
      <c r="NAI11" s="256" t="s">
        <v>77</v>
      </c>
      <c r="NAJ11" s="256" t="s">
        <v>78</v>
      </c>
      <c r="NAK11" s="256" t="s">
        <v>79</v>
      </c>
      <c r="NAL11" s="256" t="s">
        <v>80</v>
      </c>
      <c r="NAM11" s="58" t="s">
        <v>81</v>
      </c>
      <c r="NAN11" s="284"/>
      <c r="NAO11" s="259" t="s">
        <v>55</v>
      </c>
      <c r="NAP11" s="256" t="s">
        <v>76</v>
      </c>
      <c r="NAQ11" s="256" t="s">
        <v>77</v>
      </c>
      <c r="NAR11" s="256" t="s">
        <v>78</v>
      </c>
      <c r="NAS11" s="256" t="s">
        <v>79</v>
      </c>
      <c r="NAT11" s="256" t="s">
        <v>80</v>
      </c>
      <c r="NAU11" s="256" t="s">
        <v>81</v>
      </c>
      <c r="NAV11" s="283"/>
      <c r="NAW11" s="259" t="s">
        <v>55</v>
      </c>
      <c r="NAX11" s="256" t="s">
        <v>76</v>
      </c>
      <c r="NAY11" s="256" t="s">
        <v>77</v>
      </c>
      <c r="NAZ11" s="256" t="s">
        <v>78</v>
      </c>
      <c r="NBA11" s="256" t="s">
        <v>79</v>
      </c>
      <c r="NBB11" s="256" t="s">
        <v>80</v>
      </c>
      <c r="NBC11" s="58" t="s">
        <v>81</v>
      </c>
      <c r="NBD11" s="284"/>
      <c r="NBE11" s="259" t="s">
        <v>55</v>
      </c>
      <c r="NBF11" s="256" t="s">
        <v>76</v>
      </c>
      <c r="NBG11" s="256" t="s">
        <v>77</v>
      </c>
      <c r="NBH11" s="256" t="s">
        <v>78</v>
      </c>
      <c r="NBI11" s="256" t="s">
        <v>79</v>
      </c>
      <c r="NBJ11" s="256" t="s">
        <v>80</v>
      </c>
      <c r="NBK11" s="256" t="s">
        <v>81</v>
      </c>
      <c r="NBL11" s="283"/>
      <c r="NBM11" s="259" t="s">
        <v>55</v>
      </c>
      <c r="NBN11" s="256" t="s">
        <v>76</v>
      </c>
      <c r="NBO11" s="256" t="s">
        <v>77</v>
      </c>
      <c r="NBP11" s="256" t="s">
        <v>78</v>
      </c>
      <c r="NBQ11" s="256" t="s">
        <v>79</v>
      </c>
      <c r="NBR11" s="256" t="s">
        <v>80</v>
      </c>
      <c r="NBS11" s="58" t="s">
        <v>81</v>
      </c>
      <c r="NBT11" s="284"/>
      <c r="NBU11" s="259" t="s">
        <v>55</v>
      </c>
      <c r="NBV11" s="256" t="s">
        <v>76</v>
      </c>
      <c r="NBW11" s="256" t="s">
        <v>77</v>
      </c>
      <c r="NBX11" s="256" t="s">
        <v>78</v>
      </c>
      <c r="NBY11" s="256" t="s">
        <v>79</v>
      </c>
      <c r="NBZ11" s="256" t="s">
        <v>80</v>
      </c>
      <c r="NCA11" s="256" t="s">
        <v>81</v>
      </c>
      <c r="NCB11" s="283"/>
      <c r="NCC11" s="259" t="s">
        <v>55</v>
      </c>
      <c r="NCD11" s="256" t="s">
        <v>76</v>
      </c>
      <c r="NCE11" s="256" t="s">
        <v>77</v>
      </c>
      <c r="NCF11" s="256" t="s">
        <v>78</v>
      </c>
      <c r="NCG11" s="256" t="s">
        <v>79</v>
      </c>
      <c r="NCH11" s="256" t="s">
        <v>80</v>
      </c>
      <c r="NCI11" s="58" t="s">
        <v>81</v>
      </c>
      <c r="NCJ11" s="284"/>
      <c r="NCK11" s="259" t="s">
        <v>55</v>
      </c>
      <c r="NCL11" s="256" t="s">
        <v>76</v>
      </c>
      <c r="NCM11" s="256" t="s">
        <v>77</v>
      </c>
      <c r="NCN11" s="256" t="s">
        <v>78</v>
      </c>
      <c r="NCO11" s="256" t="s">
        <v>79</v>
      </c>
      <c r="NCP11" s="256" t="s">
        <v>80</v>
      </c>
      <c r="NCQ11" s="256" t="s">
        <v>81</v>
      </c>
      <c r="NCR11" s="283"/>
      <c r="NCS11" s="259" t="s">
        <v>55</v>
      </c>
      <c r="NCT11" s="256" t="s">
        <v>76</v>
      </c>
      <c r="NCU11" s="256" t="s">
        <v>77</v>
      </c>
      <c r="NCV11" s="256" t="s">
        <v>78</v>
      </c>
      <c r="NCW11" s="256" t="s">
        <v>79</v>
      </c>
      <c r="NCX11" s="256" t="s">
        <v>80</v>
      </c>
      <c r="NCY11" s="58" t="s">
        <v>81</v>
      </c>
      <c r="NCZ11" s="284"/>
      <c r="NDA11" s="259" t="s">
        <v>55</v>
      </c>
      <c r="NDB11" s="256" t="s">
        <v>76</v>
      </c>
      <c r="NDC11" s="256" t="s">
        <v>77</v>
      </c>
      <c r="NDD11" s="256" t="s">
        <v>78</v>
      </c>
      <c r="NDE11" s="256" t="s">
        <v>79</v>
      </c>
      <c r="NDF11" s="256" t="s">
        <v>80</v>
      </c>
      <c r="NDG11" s="256" t="s">
        <v>81</v>
      </c>
      <c r="NDH11" s="283"/>
      <c r="NDI11" s="259" t="s">
        <v>55</v>
      </c>
      <c r="NDJ11" s="256" t="s">
        <v>76</v>
      </c>
      <c r="NDK11" s="256" t="s">
        <v>77</v>
      </c>
      <c r="NDL11" s="256" t="s">
        <v>78</v>
      </c>
      <c r="NDM11" s="256" t="s">
        <v>79</v>
      </c>
      <c r="NDN11" s="256" t="s">
        <v>80</v>
      </c>
      <c r="NDO11" s="58" t="s">
        <v>81</v>
      </c>
      <c r="NDP11" s="284"/>
      <c r="NDQ11" s="259" t="s">
        <v>55</v>
      </c>
      <c r="NDR11" s="256" t="s">
        <v>76</v>
      </c>
      <c r="NDS11" s="256" t="s">
        <v>77</v>
      </c>
      <c r="NDT11" s="256" t="s">
        <v>78</v>
      </c>
      <c r="NDU11" s="256" t="s">
        <v>79</v>
      </c>
      <c r="NDV11" s="256" t="s">
        <v>80</v>
      </c>
      <c r="NDW11" s="256" t="s">
        <v>81</v>
      </c>
      <c r="NDX11" s="283"/>
      <c r="NDY11" s="259" t="s">
        <v>55</v>
      </c>
      <c r="NDZ11" s="256" t="s">
        <v>76</v>
      </c>
      <c r="NEA11" s="256" t="s">
        <v>77</v>
      </c>
      <c r="NEB11" s="256" t="s">
        <v>78</v>
      </c>
      <c r="NEC11" s="256" t="s">
        <v>79</v>
      </c>
      <c r="NED11" s="256" t="s">
        <v>80</v>
      </c>
      <c r="NEE11" s="58" t="s">
        <v>81</v>
      </c>
      <c r="NEF11" s="284"/>
      <c r="NEG11" s="259" t="s">
        <v>55</v>
      </c>
      <c r="NEH11" s="256" t="s">
        <v>76</v>
      </c>
      <c r="NEI11" s="256" t="s">
        <v>77</v>
      </c>
      <c r="NEJ11" s="256" t="s">
        <v>78</v>
      </c>
      <c r="NEK11" s="256" t="s">
        <v>79</v>
      </c>
      <c r="NEL11" s="256" t="s">
        <v>80</v>
      </c>
      <c r="NEM11" s="256" t="s">
        <v>81</v>
      </c>
      <c r="NEN11" s="283"/>
      <c r="NEO11" s="259" t="s">
        <v>55</v>
      </c>
      <c r="NEP11" s="256" t="s">
        <v>76</v>
      </c>
      <c r="NEQ11" s="256" t="s">
        <v>77</v>
      </c>
      <c r="NER11" s="256" t="s">
        <v>78</v>
      </c>
      <c r="NES11" s="256" t="s">
        <v>79</v>
      </c>
      <c r="NET11" s="256" t="s">
        <v>80</v>
      </c>
      <c r="NEU11" s="58" t="s">
        <v>81</v>
      </c>
      <c r="NEV11" s="284"/>
      <c r="NEW11" s="259" t="s">
        <v>55</v>
      </c>
      <c r="NEX11" s="256" t="s">
        <v>76</v>
      </c>
      <c r="NEY11" s="256" t="s">
        <v>77</v>
      </c>
      <c r="NEZ11" s="256" t="s">
        <v>78</v>
      </c>
      <c r="NFA11" s="256" t="s">
        <v>79</v>
      </c>
      <c r="NFB11" s="256" t="s">
        <v>80</v>
      </c>
      <c r="NFC11" s="256" t="s">
        <v>81</v>
      </c>
      <c r="NFD11" s="283"/>
      <c r="NFE11" s="259" t="s">
        <v>55</v>
      </c>
      <c r="NFF11" s="256" t="s">
        <v>76</v>
      </c>
      <c r="NFG11" s="256" t="s">
        <v>77</v>
      </c>
      <c r="NFH11" s="256" t="s">
        <v>78</v>
      </c>
      <c r="NFI11" s="256" t="s">
        <v>79</v>
      </c>
      <c r="NFJ11" s="256" t="s">
        <v>80</v>
      </c>
      <c r="NFK11" s="58" t="s">
        <v>81</v>
      </c>
      <c r="NFL11" s="284"/>
      <c r="NFM11" s="259" t="s">
        <v>55</v>
      </c>
      <c r="NFN11" s="256" t="s">
        <v>76</v>
      </c>
      <c r="NFO11" s="256" t="s">
        <v>77</v>
      </c>
      <c r="NFP11" s="256" t="s">
        <v>78</v>
      </c>
      <c r="NFQ11" s="256" t="s">
        <v>79</v>
      </c>
      <c r="NFR11" s="256" t="s">
        <v>80</v>
      </c>
      <c r="NFS11" s="256" t="s">
        <v>81</v>
      </c>
      <c r="NFT11" s="283"/>
      <c r="NFU11" s="259" t="s">
        <v>55</v>
      </c>
      <c r="NFV11" s="256" t="s">
        <v>76</v>
      </c>
      <c r="NFW11" s="256" t="s">
        <v>77</v>
      </c>
      <c r="NFX11" s="256" t="s">
        <v>78</v>
      </c>
      <c r="NFY11" s="256" t="s">
        <v>79</v>
      </c>
      <c r="NFZ11" s="256" t="s">
        <v>80</v>
      </c>
      <c r="NGA11" s="58" t="s">
        <v>81</v>
      </c>
      <c r="NGB11" s="284"/>
      <c r="NGC11" s="259" t="s">
        <v>55</v>
      </c>
      <c r="NGD11" s="256" t="s">
        <v>76</v>
      </c>
      <c r="NGE11" s="256" t="s">
        <v>77</v>
      </c>
      <c r="NGF11" s="256" t="s">
        <v>78</v>
      </c>
      <c r="NGG11" s="256" t="s">
        <v>79</v>
      </c>
      <c r="NGH11" s="256" t="s">
        <v>80</v>
      </c>
      <c r="NGI11" s="256" t="s">
        <v>81</v>
      </c>
      <c r="NGJ11" s="283"/>
      <c r="NGK11" s="259" t="s">
        <v>55</v>
      </c>
      <c r="NGL11" s="256" t="s">
        <v>76</v>
      </c>
      <c r="NGM11" s="256" t="s">
        <v>77</v>
      </c>
      <c r="NGN11" s="256" t="s">
        <v>78</v>
      </c>
      <c r="NGO11" s="256" t="s">
        <v>79</v>
      </c>
      <c r="NGP11" s="256" t="s">
        <v>80</v>
      </c>
      <c r="NGQ11" s="58" t="s">
        <v>81</v>
      </c>
      <c r="NGR11" s="284"/>
      <c r="NGS11" s="259" t="s">
        <v>55</v>
      </c>
      <c r="NGT11" s="256" t="s">
        <v>76</v>
      </c>
      <c r="NGU11" s="256" t="s">
        <v>77</v>
      </c>
      <c r="NGV11" s="256" t="s">
        <v>78</v>
      </c>
      <c r="NGW11" s="256" t="s">
        <v>79</v>
      </c>
      <c r="NGX11" s="256" t="s">
        <v>80</v>
      </c>
      <c r="NGY11" s="256" t="s">
        <v>81</v>
      </c>
      <c r="NGZ11" s="283"/>
      <c r="NHA11" s="259" t="s">
        <v>55</v>
      </c>
      <c r="NHB11" s="256" t="s">
        <v>76</v>
      </c>
      <c r="NHC11" s="256" t="s">
        <v>77</v>
      </c>
      <c r="NHD11" s="256" t="s">
        <v>78</v>
      </c>
      <c r="NHE11" s="256" t="s">
        <v>79</v>
      </c>
      <c r="NHF11" s="256" t="s">
        <v>80</v>
      </c>
      <c r="NHG11" s="58" t="s">
        <v>81</v>
      </c>
      <c r="NHH11" s="284"/>
      <c r="NHI11" s="259" t="s">
        <v>55</v>
      </c>
      <c r="NHJ11" s="256" t="s">
        <v>76</v>
      </c>
      <c r="NHK11" s="256" t="s">
        <v>77</v>
      </c>
      <c r="NHL11" s="256" t="s">
        <v>78</v>
      </c>
      <c r="NHM11" s="256" t="s">
        <v>79</v>
      </c>
      <c r="NHN11" s="256" t="s">
        <v>80</v>
      </c>
      <c r="NHO11" s="256" t="s">
        <v>81</v>
      </c>
      <c r="NHP11" s="283"/>
      <c r="NHQ11" s="259" t="s">
        <v>55</v>
      </c>
      <c r="NHR11" s="256" t="s">
        <v>76</v>
      </c>
      <c r="NHS11" s="256" t="s">
        <v>77</v>
      </c>
      <c r="NHT11" s="256" t="s">
        <v>78</v>
      </c>
      <c r="NHU11" s="256" t="s">
        <v>79</v>
      </c>
      <c r="NHV11" s="256" t="s">
        <v>80</v>
      </c>
      <c r="NHW11" s="58" t="s">
        <v>81</v>
      </c>
      <c r="NHX11" s="284"/>
      <c r="NHY11" s="259" t="s">
        <v>55</v>
      </c>
      <c r="NHZ11" s="256" t="s">
        <v>76</v>
      </c>
      <c r="NIA11" s="256" t="s">
        <v>77</v>
      </c>
      <c r="NIB11" s="256" t="s">
        <v>78</v>
      </c>
      <c r="NIC11" s="256" t="s">
        <v>79</v>
      </c>
      <c r="NID11" s="256" t="s">
        <v>80</v>
      </c>
      <c r="NIE11" s="256" t="s">
        <v>81</v>
      </c>
      <c r="NIF11" s="283"/>
      <c r="NIG11" s="259" t="s">
        <v>55</v>
      </c>
      <c r="NIH11" s="256" t="s">
        <v>76</v>
      </c>
      <c r="NII11" s="256" t="s">
        <v>77</v>
      </c>
      <c r="NIJ11" s="256" t="s">
        <v>78</v>
      </c>
      <c r="NIK11" s="256" t="s">
        <v>79</v>
      </c>
      <c r="NIL11" s="256" t="s">
        <v>80</v>
      </c>
      <c r="NIM11" s="58" t="s">
        <v>81</v>
      </c>
      <c r="NIN11" s="284"/>
      <c r="NIO11" s="259" t="s">
        <v>55</v>
      </c>
      <c r="NIP11" s="256" t="s">
        <v>76</v>
      </c>
      <c r="NIQ11" s="256" t="s">
        <v>77</v>
      </c>
      <c r="NIR11" s="256" t="s">
        <v>78</v>
      </c>
      <c r="NIS11" s="256" t="s">
        <v>79</v>
      </c>
      <c r="NIT11" s="256" t="s">
        <v>80</v>
      </c>
      <c r="NIU11" s="256" t="s">
        <v>81</v>
      </c>
      <c r="NIV11" s="283"/>
      <c r="NIW11" s="259" t="s">
        <v>55</v>
      </c>
      <c r="NIX11" s="256" t="s">
        <v>76</v>
      </c>
      <c r="NIY11" s="256" t="s">
        <v>77</v>
      </c>
      <c r="NIZ11" s="256" t="s">
        <v>78</v>
      </c>
      <c r="NJA11" s="256" t="s">
        <v>79</v>
      </c>
      <c r="NJB11" s="256" t="s">
        <v>80</v>
      </c>
      <c r="NJC11" s="58" t="s">
        <v>81</v>
      </c>
      <c r="NJD11" s="284"/>
      <c r="NJE11" s="259" t="s">
        <v>55</v>
      </c>
      <c r="NJF11" s="256" t="s">
        <v>76</v>
      </c>
      <c r="NJG11" s="256" t="s">
        <v>77</v>
      </c>
      <c r="NJH11" s="256" t="s">
        <v>78</v>
      </c>
      <c r="NJI11" s="256" t="s">
        <v>79</v>
      </c>
      <c r="NJJ11" s="256" t="s">
        <v>80</v>
      </c>
      <c r="NJK11" s="256" t="s">
        <v>81</v>
      </c>
      <c r="NJL11" s="283"/>
      <c r="NJM11" s="259" t="s">
        <v>55</v>
      </c>
      <c r="NJN11" s="256" t="s">
        <v>76</v>
      </c>
      <c r="NJO11" s="256" t="s">
        <v>77</v>
      </c>
      <c r="NJP11" s="256" t="s">
        <v>78</v>
      </c>
      <c r="NJQ11" s="256" t="s">
        <v>79</v>
      </c>
      <c r="NJR11" s="256" t="s">
        <v>80</v>
      </c>
      <c r="NJS11" s="58" t="s">
        <v>81</v>
      </c>
      <c r="NJT11" s="284"/>
      <c r="NJU11" s="259" t="s">
        <v>55</v>
      </c>
      <c r="NJV11" s="256" t="s">
        <v>76</v>
      </c>
      <c r="NJW11" s="256" t="s">
        <v>77</v>
      </c>
      <c r="NJX11" s="256" t="s">
        <v>78</v>
      </c>
      <c r="NJY11" s="256" t="s">
        <v>79</v>
      </c>
      <c r="NJZ11" s="256" t="s">
        <v>80</v>
      </c>
      <c r="NKA11" s="256" t="s">
        <v>81</v>
      </c>
      <c r="NKB11" s="283"/>
      <c r="NKC11" s="259" t="s">
        <v>55</v>
      </c>
      <c r="NKD11" s="256" t="s">
        <v>76</v>
      </c>
      <c r="NKE11" s="256" t="s">
        <v>77</v>
      </c>
      <c r="NKF11" s="256" t="s">
        <v>78</v>
      </c>
      <c r="NKG11" s="256" t="s">
        <v>79</v>
      </c>
      <c r="NKH11" s="256" t="s">
        <v>80</v>
      </c>
      <c r="NKI11" s="58" t="s">
        <v>81</v>
      </c>
      <c r="NKJ11" s="284"/>
      <c r="NKK11" s="259" t="s">
        <v>55</v>
      </c>
      <c r="NKL11" s="256" t="s">
        <v>76</v>
      </c>
      <c r="NKM11" s="256" t="s">
        <v>77</v>
      </c>
      <c r="NKN11" s="256" t="s">
        <v>78</v>
      </c>
      <c r="NKO11" s="256" t="s">
        <v>79</v>
      </c>
      <c r="NKP11" s="256" t="s">
        <v>80</v>
      </c>
      <c r="NKQ11" s="256" t="s">
        <v>81</v>
      </c>
      <c r="NKR11" s="283"/>
      <c r="NKS11" s="259" t="s">
        <v>55</v>
      </c>
      <c r="NKT11" s="256" t="s">
        <v>76</v>
      </c>
      <c r="NKU11" s="256" t="s">
        <v>77</v>
      </c>
      <c r="NKV11" s="256" t="s">
        <v>78</v>
      </c>
      <c r="NKW11" s="256" t="s">
        <v>79</v>
      </c>
      <c r="NKX11" s="256" t="s">
        <v>80</v>
      </c>
      <c r="NKY11" s="58" t="s">
        <v>81</v>
      </c>
      <c r="NKZ11" s="284"/>
      <c r="NLA11" s="259" t="s">
        <v>55</v>
      </c>
      <c r="NLB11" s="256" t="s">
        <v>76</v>
      </c>
      <c r="NLC11" s="256" t="s">
        <v>77</v>
      </c>
      <c r="NLD11" s="256" t="s">
        <v>78</v>
      </c>
      <c r="NLE11" s="256" t="s">
        <v>79</v>
      </c>
      <c r="NLF11" s="256" t="s">
        <v>80</v>
      </c>
      <c r="NLG11" s="256" t="s">
        <v>81</v>
      </c>
      <c r="NLH11" s="283"/>
      <c r="NLI11" s="259" t="s">
        <v>55</v>
      </c>
      <c r="NLJ11" s="256" t="s">
        <v>76</v>
      </c>
      <c r="NLK11" s="256" t="s">
        <v>77</v>
      </c>
      <c r="NLL11" s="256" t="s">
        <v>78</v>
      </c>
      <c r="NLM11" s="256" t="s">
        <v>79</v>
      </c>
      <c r="NLN11" s="256" t="s">
        <v>80</v>
      </c>
      <c r="NLO11" s="58" t="s">
        <v>81</v>
      </c>
      <c r="NLP11" s="284"/>
      <c r="NLQ11" s="259" t="s">
        <v>55</v>
      </c>
      <c r="NLR11" s="256" t="s">
        <v>76</v>
      </c>
      <c r="NLS11" s="256" t="s">
        <v>77</v>
      </c>
      <c r="NLT11" s="256" t="s">
        <v>78</v>
      </c>
      <c r="NLU11" s="256" t="s">
        <v>79</v>
      </c>
      <c r="NLV11" s="256" t="s">
        <v>80</v>
      </c>
      <c r="NLW11" s="256" t="s">
        <v>81</v>
      </c>
      <c r="NLX11" s="283"/>
      <c r="NLY11" s="259" t="s">
        <v>55</v>
      </c>
      <c r="NLZ11" s="256" t="s">
        <v>76</v>
      </c>
      <c r="NMA11" s="256" t="s">
        <v>77</v>
      </c>
      <c r="NMB11" s="256" t="s">
        <v>78</v>
      </c>
      <c r="NMC11" s="256" t="s">
        <v>79</v>
      </c>
      <c r="NMD11" s="256" t="s">
        <v>80</v>
      </c>
      <c r="NME11" s="58" t="s">
        <v>81</v>
      </c>
      <c r="NMF11" s="284"/>
      <c r="NMG11" s="259" t="s">
        <v>55</v>
      </c>
      <c r="NMH11" s="256" t="s">
        <v>76</v>
      </c>
      <c r="NMI11" s="256" t="s">
        <v>77</v>
      </c>
      <c r="NMJ11" s="256" t="s">
        <v>78</v>
      </c>
      <c r="NMK11" s="256" t="s">
        <v>79</v>
      </c>
      <c r="NML11" s="256" t="s">
        <v>80</v>
      </c>
      <c r="NMM11" s="256" t="s">
        <v>81</v>
      </c>
      <c r="NMN11" s="283"/>
      <c r="NMO11" s="259" t="s">
        <v>55</v>
      </c>
      <c r="NMP11" s="256" t="s">
        <v>76</v>
      </c>
      <c r="NMQ11" s="256" t="s">
        <v>77</v>
      </c>
      <c r="NMR11" s="256" t="s">
        <v>78</v>
      </c>
      <c r="NMS11" s="256" t="s">
        <v>79</v>
      </c>
      <c r="NMT11" s="256" t="s">
        <v>80</v>
      </c>
      <c r="NMU11" s="58" t="s">
        <v>81</v>
      </c>
      <c r="NMV11" s="284"/>
      <c r="NMW11" s="259" t="s">
        <v>55</v>
      </c>
      <c r="NMX11" s="256" t="s">
        <v>76</v>
      </c>
      <c r="NMY11" s="256" t="s">
        <v>77</v>
      </c>
      <c r="NMZ11" s="256" t="s">
        <v>78</v>
      </c>
      <c r="NNA11" s="256" t="s">
        <v>79</v>
      </c>
      <c r="NNB11" s="256" t="s">
        <v>80</v>
      </c>
      <c r="NNC11" s="256" t="s">
        <v>81</v>
      </c>
      <c r="NND11" s="283"/>
      <c r="NNE11" s="259" t="s">
        <v>55</v>
      </c>
      <c r="NNF11" s="256" t="s">
        <v>76</v>
      </c>
      <c r="NNG11" s="256" t="s">
        <v>77</v>
      </c>
      <c r="NNH11" s="256" t="s">
        <v>78</v>
      </c>
      <c r="NNI11" s="256" t="s">
        <v>79</v>
      </c>
      <c r="NNJ11" s="256" t="s">
        <v>80</v>
      </c>
      <c r="NNK11" s="58" t="s">
        <v>81</v>
      </c>
      <c r="NNL11" s="284"/>
      <c r="NNM11" s="259" t="s">
        <v>55</v>
      </c>
      <c r="NNN11" s="256" t="s">
        <v>76</v>
      </c>
      <c r="NNO11" s="256" t="s">
        <v>77</v>
      </c>
      <c r="NNP11" s="256" t="s">
        <v>78</v>
      </c>
      <c r="NNQ11" s="256" t="s">
        <v>79</v>
      </c>
      <c r="NNR11" s="256" t="s">
        <v>80</v>
      </c>
      <c r="NNS11" s="256" t="s">
        <v>81</v>
      </c>
      <c r="NNT11" s="283"/>
      <c r="NNU11" s="259" t="s">
        <v>55</v>
      </c>
      <c r="NNV11" s="256" t="s">
        <v>76</v>
      </c>
      <c r="NNW11" s="256" t="s">
        <v>77</v>
      </c>
      <c r="NNX11" s="256" t="s">
        <v>78</v>
      </c>
      <c r="NNY11" s="256" t="s">
        <v>79</v>
      </c>
      <c r="NNZ11" s="256" t="s">
        <v>80</v>
      </c>
      <c r="NOA11" s="58" t="s">
        <v>81</v>
      </c>
      <c r="NOB11" s="284"/>
      <c r="NOC11" s="259" t="s">
        <v>55</v>
      </c>
      <c r="NOD11" s="256" t="s">
        <v>76</v>
      </c>
      <c r="NOE11" s="256" t="s">
        <v>77</v>
      </c>
      <c r="NOF11" s="256" t="s">
        <v>78</v>
      </c>
      <c r="NOG11" s="256" t="s">
        <v>79</v>
      </c>
      <c r="NOH11" s="256" t="s">
        <v>80</v>
      </c>
      <c r="NOI11" s="256" t="s">
        <v>81</v>
      </c>
      <c r="NOJ11" s="283"/>
      <c r="NOK11" s="259" t="s">
        <v>55</v>
      </c>
      <c r="NOL11" s="256" t="s">
        <v>76</v>
      </c>
      <c r="NOM11" s="256" t="s">
        <v>77</v>
      </c>
      <c r="NON11" s="256" t="s">
        <v>78</v>
      </c>
      <c r="NOO11" s="256" t="s">
        <v>79</v>
      </c>
      <c r="NOP11" s="256" t="s">
        <v>80</v>
      </c>
      <c r="NOQ11" s="58" t="s">
        <v>81</v>
      </c>
      <c r="NOR11" s="284"/>
      <c r="NOS11" s="259" t="s">
        <v>55</v>
      </c>
      <c r="NOT11" s="256" t="s">
        <v>76</v>
      </c>
      <c r="NOU11" s="256" t="s">
        <v>77</v>
      </c>
      <c r="NOV11" s="256" t="s">
        <v>78</v>
      </c>
      <c r="NOW11" s="256" t="s">
        <v>79</v>
      </c>
      <c r="NOX11" s="256" t="s">
        <v>80</v>
      </c>
      <c r="NOY11" s="256" t="s">
        <v>81</v>
      </c>
      <c r="NOZ11" s="283"/>
      <c r="NPA11" s="259" t="s">
        <v>55</v>
      </c>
      <c r="NPB11" s="256" t="s">
        <v>76</v>
      </c>
      <c r="NPC11" s="256" t="s">
        <v>77</v>
      </c>
      <c r="NPD11" s="256" t="s">
        <v>78</v>
      </c>
      <c r="NPE11" s="256" t="s">
        <v>79</v>
      </c>
      <c r="NPF11" s="256" t="s">
        <v>80</v>
      </c>
      <c r="NPG11" s="58" t="s">
        <v>81</v>
      </c>
      <c r="NPH11" s="284"/>
      <c r="NPI11" s="259" t="s">
        <v>55</v>
      </c>
      <c r="NPJ11" s="256" t="s">
        <v>76</v>
      </c>
      <c r="NPK11" s="256" t="s">
        <v>77</v>
      </c>
      <c r="NPL11" s="256" t="s">
        <v>78</v>
      </c>
      <c r="NPM11" s="256" t="s">
        <v>79</v>
      </c>
      <c r="NPN11" s="256" t="s">
        <v>80</v>
      </c>
      <c r="NPO11" s="256" t="s">
        <v>81</v>
      </c>
      <c r="NPP11" s="283"/>
      <c r="NPQ11" s="259" t="s">
        <v>55</v>
      </c>
      <c r="NPR11" s="256" t="s">
        <v>76</v>
      </c>
      <c r="NPS11" s="256" t="s">
        <v>77</v>
      </c>
      <c r="NPT11" s="256" t="s">
        <v>78</v>
      </c>
      <c r="NPU11" s="256" t="s">
        <v>79</v>
      </c>
      <c r="NPV11" s="256" t="s">
        <v>80</v>
      </c>
      <c r="NPW11" s="58" t="s">
        <v>81</v>
      </c>
      <c r="NPX11" s="284"/>
      <c r="NPY11" s="259" t="s">
        <v>55</v>
      </c>
      <c r="NPZ11" s="256" t="s">
        <v>76</v>
      </c>
      <c r="NQA11" s="256" t="s">
        <v>77</v>
      </c>
      <c r="NQB11" s="256" t="s">
        <v>78</v>
      </c>
      <c r="NQC11" s="256" t="s">
        <v>79</v>
      </c>
      <c r="NQD11" s="256" t="s">
        <v>80</v>
      </c>
      <c r="NQE11" s="256" t="s">
        <v>81</v>
      </c>
      <c r="NQF11" s="283"/>
      <c r="NQG11" s="259" t="s">
        <v>55</v>
      </c>
      <c r="NQH11" s="256" t="s">
        <v>76</v>
      </c>
      <c r="NQI11" s="256" t="s">
        <v>77</v>
      </c>
      <c r="NQJ11" s="256" t="s">
        <v>78</v>
      </c>
      <c r="NQK11" s="256" t="s">
        <v>79</v>
      </c>
      <c r="NQL11" s="256" t="s">
        <v>80</v>
      </c>
      <c r="NQM11" s="58" t="s">
        <v>81</v>
      </c>
      <c r="NQN11" s="284"/>
      <c r="NQO11" s="259" t="s">
        <v>55</v>
      </c>
      <c r="NQP11" s="256" t="s">
        <v>76</v>
      </c>
      <c r="NQQ11" s="256" t="s">
        <v>77</v>
      </c>
      <c r="NQR11" s="256" t="s">
        <v>78</v>
      </c>
      <c r="NQS11" s="256" t="s">
        <v>79</v>
      </c>
      <c r="NQT11" s="256" t="s">
        <v>80</v>
      </c>
      <c r="NQU11" s="256" t="s">
        <v>81</v>
      </c>
      <c r="NQV11" s="283"/>
      <c r="NQW11" s="259" t="s">
        <v>55</v>
      </c>
      <c r="NQX11" s="256" t="s">
        <v>76</v>
      </c>
      <c r="NQY11" s="256" t="s">
        <v>77</v>
      </c>
      <c r="NQZ11" s="256" t="s">
        <v>78</v>
      </c>
      <c r="NRA11" s="256" t="s">
        <v>79</v>
      </c>
      <c r="NRB11" s="256" t="s">
        <v>80</v>
      </c>
      <c r="NRC11" s="58" t="s">
        <v>81</v>
      </c>
      <c r="NRD11" s="284"/>
      <c r="NRE11" s="259" t="s">
        <v>55</v>
      </c>
      <c r="NRF11" s="256" t="s">
        <v>76</v>
      </c>
      <c r="NRG11" s="256" t="s">
        <v>77</v>
      </c>
      <c r="NRH11" s="256" t="s">
        <v>78</v>
      </c>
      <c r="NRI11" s="256" t="s">
        <v>79</v>
      </c>
      <c r="NRJ11" s="256" t="s">
        <v>80</v>
      </c>
      <c r="NRK11" s="256" t="s">
        <v>81</v>
      </c>
      <c r="NRL11" s="283"/>
      <c r="NRM11" s="259" t="s">
        <v>55</v>
      </c>
      <c r="NRN11" s="256" t="s">
        <v>76</v>
      </c>
      <c r="NRO11" s="256" t="s">
        <v>77</v>
      </c>
      <c r="NRP11" s="256" t="s">
        <v>78</v>
      </c>
      <c r="NRQ11" s="256" t="s">
        <v>79</v>
      </c>
      <c r="NRR11" s="256" t="s">
        <v>80</v>
      </c>
      <c r="NRS11" s="58" t="s">
        <v>81</v>
      </c>
      <c r="NRT11" s="284"/>
      <c r="NRU11" s="259" t="s">
        <v>55</v>
      </c>
      <c r="NRV11" s="256" t="s">
        <v>76</v>
      </c>
      <c r="NRW11" s="256" t="s">
        <v>77</v>
      </c>
      <c r="NRX11" s="256" t="s">
        <v>78</v>
      </c>
      <c r="NRY11" s="256" t="s">
        <v>79</v>
      </c>
      <c r="NRZ11" s="256" t="s">
        <v>80</v>
      </c>
      <c r="NSA11" s="256" t="s">
        <v>81</v>
      </c>
      <c r="NSB11" s="283"/>
      <c r="NSC11" s="259" t="s">
        <v>55</v>
      </c>
      <c r="NSD11" s="256" t="s">
        <v>76</v>
      </c>
      <c r="NSE11" s="256" t="s">
        <v>77</v>
      </c>
      <c r="NSF11" s="256" t="s">
        <v>78</v>
      </c>
      <c r="NSG11" s="256" t="s">
        <v>79</v>
      </c>
      <c r="NSH11" s="256" t="s">
        <v>80</v>
      </c>
      <c r="NSI11" s="58" t="s">
        <v>81</v>
      </c>
      <c r="NSJ11" s="284"/>
      <c r="NSK11" s="259" t="s">
        <v>55</v>
      </c>
      <c r="NSL11" s="256" t="s">
        <v>76</v>
      </c>
      <c r="NSM11" s="256" t="s">
        <v>77</v>
      </c>
      <c r="NSN11" s="256" t="s">
        <v>78</v>
      </c>
      <c r="NSO11" s="256" t="s">
        <v>79</v>
      </c>
      <c r="NSP11" s="256" t="s">
        <v>80</v>
      </c>
      <c r="NSQ11" s="256" t="s">
        <v>81</v>
      </c>
      <c r="NSR11" s="283"/>
      <c r="NSS11" s="259" t="s">
        <v>55</v>
      </c>
      <c r="NST11" s="256" t="s">
        <v>76</v>
      </c>
      <c r="NSU11" s="256" t="s">
        <v>77</v>
      </c>
      <c r="NSV11" s="256" t="s">
        <v>78</v>
      </c>
      <c r="NSW11" s="256" t="s">
        <v>79</v>
      </c>
      <c r="NSX11" s="256" t="s">
        <v>80</v>
      </c>
      <c r="NSY11" s="58" t="s">
        <v>81</v>
      </c>
      <c r="NSZ11" s="284"/>
      <c r="NTA11" s="259" t="s">
        <v>55</v>
      </c>
      <c r="NTB11" s="256" t="s">
        <v>76</v>
      </c>
      <c r="NTC11" s="256" t="s">
        <v>77</v>
      </c>
      <c r="NTD11" s="256" t="s">
        <v>78</v>
      </c>
      <c r="NTE11" s="256" t="s">
        <v>79</v>
      </c>
      <c r="NTF11" s="256" t="s">
        <v>80</v>
      </c>
      <c r="NTG11" s="256" t="s">
        <v>81</v>
      </c>
      <c r="NTH11" s="283"/>
      <c r="NTI11" s="259" t="s">
        <v>55</v>
      </c>
      <c r="NTJ11" s="256" t="s">
        <v>76</v>
      </c>
      <c r="NTK11" s="256" t="s">
        <v>77</v>
      </c>
      <c r="NTL11" s="256" t="s">
        <v>78</v>
      </c>
      <c r="NTM11" s="256" t="s">
        <v>79</v>
      </c>
      <c r="NTN11" s="256" t="s">
        <v>80</v>
      </c>
      <c r="NTO11" s="58" t="s">
        <v>81</v>
      </c>
      <c r="NTP11" s="284"/>
      <c r="NTQ11" s="259" t="s">
        <v>55</v>
      </c>
      <c r="NTR11" s="256" t="s">
        <v>76</v>
      </c>
      <c r="NTS11" s="256" t="s">
        <v>77</v>
      </c>
      <c r="NTT11" s="256" t="s">
        <v>78</v>
      </c>
      <c r="NTU11" s="256" t="s">
        <v>79</v>
      </c>
      <c r="NTV11" s="256" t="s">
        <v>80</v>
      </c>
      <c r="NTW11" s="256" t="s">
        <v>81</v>
      </c>
      <c r="NTX11" s="283"/>
      <c r="NTY11" s="259" t="s">
        <v>55</v>
      </c>
      <c r="NTZ11" s="256" t="s">
        <v>76</v>
      </c>
      <c r="NUA11" s="256" t="s">
        <v>77</v>
      </c>
      <c r="NUB11" s="256" t="s">
        <v>78</v>
      </c>
      <c r="NUC11" s="256" t="s">
        <v>79</v>
      </c>
      <c r="NUD11" s="256" t="s">
        <v>80</v>
      </c>
      <c r="NUE11" s="58" t="s">
        <v>81</v>
      </c>
      <c r="NUF11" s="284"/>
      <c r="NUG11" s="259" t="s">
        <v>55</v>
      </c>
      <c r="NUH11" s="256" t="s">
        <v>76</v>
      </c>
      <c r="NUI11" s="256" t="s">
        <v>77</v>
      </c>
      <c r="NUJ11" s="256" t="s">
        <v>78</v>
      </c>
      <c r="NUK11" s="256" t="s">
        <v>79</v>
      </c>
      <c r="NUL11" s="256" t="s">
        <v>80</v>
      </c>
      <c r="NUM11" s="256" t="s">
        <v>81</v>
      </c>
      <c r="NUN11" s="283"/>
      <c r="NUO11" s="259" t="s">
        <v>55</v>
      </c>
      <c r="NUP11" s="256" t="s">
        <v>76</v>
      </c>
      <c r="NUQ11" s="256" t="s">
        <v>77</v>
      </c>
      <c r="NUR11" s="256" t="s">
        <v>78</v>
      </c>
      <c r="NUS11" s="256" t="s">
        <v>79</v>
      </c>
      <c r="NUT11" s="256" t="s">
        <v>80</v>
      </c>
      <c r="NUU11" s="58" t="s">
        <v>81</v>
      </c>
      <c r="NUV11" s="284"/>
      <c r="NUW11" s="259" t="s">
        <v>55</v>
      </c>
      <c r="NUX11" s="256" t="s">
        <v>76</v>
      </c>
      <c r="NUY11" s="256" t="s">
        <v>77</v>
      </c>
      <c r="NUZ11" s="256" t="s">
        <v>78</v>
      </c>
      <c r="NVA11" s="256" t="s">
        <v>79</v>
      </c>
      <c r="NVB11" s="256" t="s">
        <v>80</v>
      </c>
      <c r="NVC11" s="256" t="s">
        <v>81</v>
      </c>
      <c r="NVD11" s="283"/>
      <c r="NVE11" s="259" t="s">
        <v>55</v>
      </c>
      <c r="NVF11" s="256" t="s">
        <v>76</v>
      </c>
      <c r="NVG11" s="256" t="s">
        <v>77</v>
      </c>
      <c r="NVH11" s="256" t="s">
        <v>78</v>
      </c>
      <c r="NVI11" s="256" t="s">
        <v>79</v>
      </c>
      <c r="NVJ11" s="256" t="s">
        <v>80</v>
      </c>
      <c r="NVK11" s="58" t="s">
        <v>81</v>
      </c>
      <c r="NVL11" s="284"/>
      <c r="NVM11" s="259" t="s">
        <v>55</v>
      </c>
      <c r="NVN11" s="256" t="s">
        <v>76</v>
      </c>
      <c r="NVO11" s="256" t="s">
        <v>77</v>
      </c>
      <c r="NVP11" s="256" t="s">
        <v>78</v>
      </c>
      <c r="NVQ11" s="256" t="s">
        <v>79</v>
      </c>
      <c r="NVR11" s="256" t="s">
        <v>80</v>
      </c>
      <c r="NVS11" s="256" t="s">
        <v>81</v>
      </c>
      <c r="NVT11" s="283"/>
      <c r="NVU11" s="259" t="s">
        <v>55</v>
      </c>
      <c r="NVV11" s="256" t="s">
        <v>76</v>
      </c>
      <c r="NVW11" s="256" t="s">
        <v>77</v>
      </c>
      <c r="NVX11" s="256" t="s">
        <v>78</v>
      </c>
      <c r="NVY11" s="256" t="s">
        <v>79</v>
      </c>
      <c r="NVZ11" s="256" t="s">
        <v>80</v>
      </c>
      <c r="NWA11" s="58" t="s">
        <v>81</v>
      </c>
      <c r="NWB11" s="284"/>
      <c r="NWC11" s="259" t="s">
        <v>55</v>
      </c>
      <c r="NWD11" s="256" t="s">
        <v>76</v>
      </c>
      <c r="NWE11" s="256" t="s">
        <v>77</v>
      </c>
      <c r="NWF11" s="256" t="s">
        <v>78</v>
      </c>
      <c r="NWG11" s="256" t="s">
        <v>79</v>
      </c>
      <c r="NWH11" s="256" t="s">
        <v>80</v>
      </c>
      <c r="NWI11" s="256" t="s">
        <v>81</v>
      </c>
      <c r="NWJ11" s="283"/>
      <c r="NWK11" s="259" t="s">
        <v>55</v>
      </c>
      <c r="NWL11" s="256" t="s">
        <v>76</v>
      </c>
      <c r="NWM11" s="256" t="s">
        <v>77</v>
      </c>
      <c r="NWN11" s="256" t="s">
        <v>78</v>
      </c>
      <c r="NWO11" s="256" t="s">
        <v>79</v>
      </c>
      <c r="NWP11" s="256" t="s">
        <v>80</v>
      </c>
      <c r="NWQ11" s="58" t="s">
        <v>81</v>
      </c>
      <c r="NWR11" s="284"/>
      <c r="NWS11" s="259" t="s">
        <v>55</v>
      </c>
      <c r="NWT11" s="256" t="s">
        <v>76</v>
      </c>
      <c r="NWU11" s="256" t="s">
        <v>77</v>
      </c>
      <c r="NWV11" s="256" t="s">
        <v>78</v>
      </c>
      <c r="NWW11" s="256" t="s">
        <v>79</v>
      </c>
      <c r="NWX11" s="256" t="s">
        <v>80</v>
      </c>
      <c r="NWY11" s="256" t="s">
        <v>81</v>
      </c>
      <c r="NWZ11" s="283"/>
      <c r="NXA11" s="259" t="s">
        <v>55</v>
      </c>
      <c r="NXB11" s="256" t="s">
        <v>76</v>
      </c>
      <c r="NXC11" s="256" t="s">
        <v>77</v>
      </c>
      <c r="NXD11" s="256" t="s">
        <v>78</v>
      </c>
      <c r="NXE11" s="256" t="s">
        <v>79</v>
      </c>
      <c r="NXF11" s="256" t="s">
        <v>80</v>
      </c>
      <c r="NXG11" s="58" t="s">
        <v>81</v>
      </c>
      <c r="NXH11" s="284"/>
      <c r="NXI11" s="259" t="s">
        <v>55</v>
      </c>
      <c r="NXJ11" s="256" t="s">
        <v>76</v>
      </c>
      <c r="NXK11" s="256" t="s">
        <v>77</v>
      </c>
      <c r="NXL11" s="256" t="s">
        <v>78</v>
      </c>
      <c r="NXM11" s="256" t="s">
        <v>79</v>
      </c>
      <c r="NXN11" s="256" t="s">
        <v>80</v>
      </c>
      <c r="NXO11" s="256" t="s">
        <v>81</v>
      </c>
      <c r="NXP11" s="283"/>
      <c r="NXQ11" s="259" t="s">
        <v>55</v>
      </c>
      <c r="NXR11" s="256" t="s">
        <v>76</v>
      </c>
      <c r="NXS11" s="256" t="s">
        <v>77</v>
      </c>
      <c r="NXT11" s="256" t="s">
        <v>78</v>
      </c>
      <c r="NXU11" s="256" t="s">
        <v>79</v>
      </c>
      <c r="NXV11" s="256" t="s">
        <v>80</v>
      </c>
      <c r="NXW11" s="58" t="s">
        <v>81</v>
      </c>
      <c r="NXX11" s="284"/>
      <c r="NXY11" s="259" t="s">
        <v>55</v>
      </c>
      <c r="NXZ11" s="256" t="s">
        <v>76</v>
      </c>
      <c r="NYA11" s="256" t="s">
        <v>77</v>
      </c>
      <c r="NYB11" s="256" t="s">
        <v>78</v>
      </c>
      <c r="NYC11" s="256" t="s">
        <v>79</v>
      </c>
      <c r="NYD11" s="256" t="s">
        <v>80</v>
      </c>
      <c r="NYE11" s="256" t="s">
        <v>81</v>
      </c>
      <c r="NYF11" s="283"/>
      <c r="NYG11" s="259" t="s">
        <v>55</v>
      </c>
      <c r="NYH11" s="256" t="s">
        <v>76</v>
      </c>
      <c r="NYI11" s="256" t="s">
        <v>77</v>
      </c>
      <c r="NYJ11" s="256" t="s">
        <v>78</v>
      </c>
      <c r="NYK11" s="256" t="s">
        <v>79</v>
      </c>
      <c r="NYL11" s="256" t="s">
        <v>80</v>
      </c>
      <c r="NYM11" s="58" t="s">
        <v>81</v>
      </c>
      <c r="NYN11" s="284"/>
      <c r="NYO11" s="259" t="s">
        <v>55</v>
      </c>
      <c r="NYP11" s="256" t="s">
        <v>76</v>
      </c>
      <c r="NYQ11" s="256" t="s">
        <v>77</v>
      </c>
      <c r="NYR11" s="256" t="s">
        <v>78</v>
      </c>
      <c r="NYS11" s="256" t="s">
        <v>79</v>
      </c>
      <c r="NYT11" s="256" t="s">
        <v>80</v>
      </c>
      <c r="NYU11" s="256" t="s">
        <v>81</v>
      </c>
      <c r="NYV11" s="283"/>
      <c r="NYW11" s="259" t="s">
        <v>55</v>
      </c>
      <c r="NYX11" s="256" t="s">
        <v>76</v>
      </c>
      <c r="NYY11" s="256" t="s">
        <v>77</v>
      </c>
      <c r="NYZ11" s="256" t="s">
        <v>78</v>
      </c>
      <c r="NZA11" s="256" t="s">
        <v>79</v>
      </c>
      <c r="NZB11" s="256" t="s">
        <v>80</v>
      </c>
      <c r="NZC11" s="58" t="s">
        <v>81</v>
      </c>
      <c r="NZD11" s="284"/>
      <c r="NZE11" s="259" t="s">
        <v>55</v>
      </c>
      <c r="NZF11" s="256" t="s">
        <v>76</v>
      </c>
      <c r="NZG11" s="256" t="s">
        <v>77</v>
      </c>
      <c r="NZH11" s="256" t="s">
        <v>78</v>
      </c>
      <c r="NZI11" s="256" t="s">
        <v>79</v>
      </c>
      <c r="NZJ11" s="256" t="s">
        <v>80</v>
      </c>
      <c r="NZK11" s="256" t="s">
        <v>81</v>
      </c>
      <c r="NZL11" s="283"/>
      <c r="NZM11" s="259" t="s">
        <v>55</v>
      </c>
      <c r="NZN11" s="256" t="s">
        <v>76</v>
      </c>
      <c r="NZO11" s="256" t="s">
        <v>77</v>
      </c>
      <c r="NZP11" s="256" t="s">
        <v>78</v>
      </c>
      <c r="NZQ11" s="256" t="s">
        <v>79</v>
      </c>
      <c r="NZR11" s="256" t="s">
        <v>80</v>
      </c>
      <c r="NZS11" s="58" t="s">
        <v>81</v>
      </c>
      <c r="NZT11" s="284"/>
      <c r="NZU11" s="259" t="s">
        <v>55</v>
      </c>
      <c r="NZV11" s="256" t="s">
        <v>76</v>
      </c>
      <c r="NZW11" s="256" t="s">
        <v>77</v>
      </c>
      <c r="NZX11" s="256" t="s">
        <v>78</v>
      </c>
      <c r="NZY11" s="256" t="s">
        <v>79</v>
      </c>
      <c r="NZZ11" s="256" t="s">
        <v>80</v>
      </c>
      <c r="OAA11" s="256" t="s">
        <v>81</v>
      </c>
      <c r="OAB11" s="283"/>
      <c r="OAC11" s="259" t="s">
        <v>55</v>
      </c>
      <c r="OAD11" s="256" t="s">
        <v>76</v>
      </c>
      <c r="OAE11" s="256" t="s">
        <v>77</v>
      </c>
      <c r="OAF11" s="256" t="s">
        <v>78</v>
      </c>
      <c r="OAG11" s="256" t="s">
        <v>79</v>
      </c>
      <c r="OAH11" s="256" t="s">
        <v>80</v>
      </c>
      <c r="OAI11" s="58" t="s">
        <v>81</v>
      </c>
      <c r="OAJ11" s="284"/>
      <c r="OAK11" s="259" t="s">
        <v>55</v>
      </c>
      <c r="OAL11" s="256" t="s">
        <v>76</v>
      </c>
      <c r="OAM11" s="256" t="s">
        <v>77</v>
      </c>
      <c r="OAN11" s="256" t="s">
        <v>78</v>
      </c>
      <c r="OAO11" s="256" t="s">
        <v>79</v>
      </c>
      <c r="OAP11" s="256" t="s">
        <v>80</v>
      </c>
      <c r="OAQ11" s="256" t="s">
        <v>81</v>
      </c>
      <c r="OAR11" s="283"/>
      <c r="OAS11" s="259" t="s">
        <v>55</v>
      </c>
      <c r="OAT11" s="256" t="s">
        <v>76</v>
      </c>
      <c r="OAU11" s="256" t="s">
        <v>77</v>
      </c>
      <c r="OAV11" s="256" t="s">
        <v>78</v>
      </c>
      <c r="OAW11" s="256" t="s">
        <v>79</v>
      </c>
      <c r="OAX11" s="256" t="s">
        <v>80</v>
      </c>
      <c r="OAY11" s="58" t="s">
        <v>81</v>
      </c>
      <c r="OAZ11" s="284"/>
      <c r="OBA11" s="259" t="s">
        <v>55</v>
      </c>
      <c r="OBB11" s="256" t="s">
        <v>76</v>
      </c>
      <c r="OBC11" s="256" t="s">
        <v>77</v>
      </c>
      <c r="OBD11" s="256" t="s">
        <v>78</v>
      </c>
      <c r="OBE11" s="256" t="s">
        <v>79</v>
      </c>
      <c r="OBF11" s="256" t="s">
        <v>80</v>
      </c>
      <c r="OBG11" s="256" t="s">
        <v>81</v>
      </c>
      <c r="OBH11" s="283"/>
      <c r="OBI11" s="259" t="s">
        <v>55</v>
      </c>
      <c r="OBJ11" s="256" t="s">
        <v>76</v>
      </c>
      <c r="OBK11" s="256" t="s">
        <v>77</v>
      </c>
      <c r="OBL11" s="256" t="s">
        <v>78</v>
      </c>
      <c r="OBM11" s="256" t="s">
        <v>79</v>
      </c>
      <c r="OBN11" s="256" t="s">
        <v>80</v>
      </c>
      <c r="OBO11" s="58" t="s">
        <v>81</v>
      </c>
      <c r="OBP11" s="284"/>
      <c r="OBQ11" s="259" t="s">
        <v>55</v>
      </c>
      <c r="OBR11" s="256" t="s">
        <v>76</v>
      </c>
      <c r="OBS11" s="256" t="s">
        <v>77</v>
      </c>
      <c r="OBT11" s="256" t="s">
        <v>78</v>
      </c>
      <c r="OBU11" s="256" t="s">
        <v>79</v>
      </c>
      <c r="OBV11" s="256" t="s">
        <v>80</v>
      </c>
      <c r="OBW11" s="256" t="s">
        <v>81</v>
      </c>
      <c r="OBX11" s="283"/>
      <c r="OBY11" s="259" t="s">
        <v>55</v>
      </c>
      <c r="OBZ11" s="256" t="s">
        <v>76</v>
      </c>
      <c r="OCA11" s="256" t="s">
        <v>77</v>
      </c>
      <c r="OCB11" s="256" t="s">
        <v>78</v>
      </c>
      <c r="OCC11" s="256" t="s">
        <v>79</v>
      </c>
      <c r="OCD11" s="256" t="s">
        <v>80</v>
      </c>
      <c r="OCE11" s="58" t="s">
        <v>81</v>
      </c>
      <c r="OCF11" s="284"/>
      <c r="OCG11" s="259" t="s">
        <v>55</v>
      </c>
      <c r="OCH11" s="256" t="s">
        <v>76</v>
      </c>
      <c r="OCI11" s="256" t="s">
        <v>77</v>
      </c>
      <c r="OCJ11" s="256" t="s">
        <v>78</v>
      </c>
      <c r="OCK11" s="256" t="s">
        <v>79</v>
      </c>
      <c r="OCL11" s="256" t="s">
        <v>80</v>
      </c>
      <c r="OCM11" s="256" t="s">
        <v>81</v>
      </c>
      <c r="OCN11" s="283"/>
      <c r="OCO11" s="259" t="s">
        <v>55</v>
      </c>
      <c r="OCP11" s="256" t="s">
        <v>76</v>
      </c>
      <c r="OCQ11" s="256" t="s">
        <v>77</v>
      </c>
      <c r="OCR11" s="256" t="s">
        <v>78</v>
      </c>
      <c r="OCS11" s="256" t="s">
        <v>79</v>
      </c>
      <c r="OCT11" s="256" t="s">
        <v>80</v>
      </c>
      <c r="OCU11" s="58" t="s">
        <v>81</v>
      </c>
      <c r="OCV11" s="284"/>
      <c r="OCW11" s="259" t="s">
        <v>55</v>
      </c>
      <c r="OCX11" s="256" t="s">
        <v>76</v>
      </c>
      <c r="OCY11" s="256" t="s">
        <v>77</v>
      </c>
      <c r="OCZ11" s="256" t="s">
        <v>78</v>
      </c>
      <c r="ODA11" s="256" t="s">
        <v>79</v>
      </c>
      <c r="ODB11" s="256" t="s">
        <v>80</v>
      </c>
      <c r="ODC11" s="256" t="s">
        <v>81</v>
      </c>
      <c r="ODD11" s="283"/>
      <c r="ODE11" s="259" t="s">
        <v>55</v>
      </c>
      <c r="ODF11" s="256" t="s">
        <v>76</v>
      </c>
      <c r="ODG11" s="256" t="s">
        <v>77</v>
      </c>
      <c r="ODH11" s="256" t="s">
        <v>78</v>
      </c>
      <c r="ODI11" s="256" t="s">
        <v>79</v>
      </c>
      <c r="ODJ11" s="256" t="s">
        <v>80</v>
      </c>
      <c r="ODK11" s="58" t="s">
        <v>81</v>
      </c>
      <c r="ODL11" s="284"/>
      <c r="ODM11" s="259" t="s">
        <v>55</v>
      </c>
      <c r="ODN11" s="256" t="s">
        <v>76</v>
      </c>
      <c r="ODO11" s="256" t="s">
        <v>77</v>
      </c>
      <c r="ODP11" s="256" t="s">
        <v>78</v>
      </c>
      <c r="ODQ11" s="256" t="s">
        <v>79</v>
      </c>
      <c r="ODR11" s="256" t="s">
        <v>80</v>
      </c>
      <c r="ODS11" s="256" t="s">
        <v>81</v>
      </c>
      <c r="ODT11" s="283"/>
      <c r="ODU11" s="259" t="s">
        <v>55</v>
      </c>
      <c r="ODV11" s="256" t="s">
        <v>76</v>
      </c>
      <c r="ODW11" s="256" t="s">
        <v>77</v>
      </c>
      <c r="ODX11" s="256" t="s">
        <v>78</v>
      </c>
      <c r="ODY11" s="256" t="s">
        <v>79</v>
      </c>
      <c r="ODZ11" s="256" t="s">
        <v>80</v>
      </c>
      <c r="OEA11" s="58" t="s">
        <v>81</v>
      </c>
      <c r="OEB11" s="284"/>
      <c r="OEC11" s="259" t="s">
        <v>55</v>
      </c>
      <c r="OED11" s="256" t="s">
        <v>76</v>
      </c>
      <c r="OEE11" s="256" t="s">
        <v>77</v>
      </c>
      <c r="OEF11" s="256" t="s">
        <v>78</v>
      </c>
      <c r="OEG11" s="256" t="s">
        <v>79</v>
      </c>
      <c r="OEH11" s="256" t="s">
        <v>80</v>
      </c>
      <c r="OEI11" s="256" t="s">
        <v>81</v>
      </c>
      <c r="OEJ11" s="283"/>
      <c r="OEK11" s="259" t="s">
        <v>55</v>
      </c>
      <c r="OEL11" s="256" t="s">
        <v>76</v>
      </c>
      <c r="OEM11" s="256" t="s">
        <v>77</v>
      </c>
      <c r="OEN11" s="256" t="s">
        <v>78</v>
      </c>
      <c r="OEO11" s="256" t="s">
        <v>79</v>
      </c>
      <c r="OEP11" s="256" t="s">
        <v>80</v>
      </c>
      <c r="OEQ11" s="58" t="s">
        <v>81</v>
      </c>
      <c r="OER11" s="284"/>
      <c r="OES11" s="259" t="s">
        <v>55</v>
      </c>
      <c r="OET11" s="256" t="s">
        <v>76</v>
      </c>
      <c r="OEU11" s="256" t="s">
        <v>77</v>
      </c>
      <c r="OEV11" s="256" t="s">
        <v>78</v>
      </c>
      <c r="OEW11" s="256" t="s">
        <v>79</v>
      </c>
      <c r="OEX11" s="256" t="s">
        <v>80</v>
      </c>
      <c r="OEY11" s="256" t="s">
        <v>81</v>
      </c>
      <c r="OEZ11" s="283"/>
      <c r="OFA11" s="259" t="s">
        <v>55</v>
      </c>
      <c r="OFB11" s="256" t="s">
        <v>76</v>
      </c>
      <c r="OFC11" s="256" t="s">
        <v>77</v>
      </c>
      <c r="OFD11" s="256" t="s">
        <v>78</v>
      </c>
      <c r="OFE11" s="256" t="s">
        <v>79</v>
      </c>
      <c r="OFF11" s="256" t="s">
        <v>80</v>
      </c>
      <c r="OFG11" s="58" t="s">
        <v>81</v>
      </c>
      <c r="OFH11" s="284"/>
      <c r="OFI11" s="259" t="s">
        <v>55</v>
      </c>
      <c r="OFJ11" s="256" t="s">
        <v>76</v>
      </c>
      <c r="OFK11" s="256" t="s">
        <v>77</v>
      </c>
      <c r="OFL11" s="256" t="s">
        <v>78</v>
      </c>
      <c r="OFM11" s="256" t="s">
        <v>79</v>
      </c>
      <c r="OFN11" s="256" t="s">
        <v>80</v>
      </c>
      <c r="OFO11" s="256" t="s">
        <v>81</v>
      </c>
      <c r="OFP11" s="283"/>
      <c r="OFQ11" s="259" t="s">
        <v>55</v>
      </c>
      <c r="OFR11" s="256" t="s">
        <v>76</v>
      </c>
      <c r="OFS11" s="256" t="s">
        <v>77</v>
      </c>
      <c r="OFT11" s="256" t="s">
        <v>78</v>
      </c>
      <c r="OFU11" s="256" t="s">
        <v>79</v>
      </c>
      <c r="OFV11" s="256" t="s">
        <v>80</v>
      </c>
      <c r="OFW11" s="58" t="s">
        <v>81</v>
      </c>
      <c r="OFX11" s="284"/>
      <c r="OFY11" s="259" t="s">
        <v>55</v>
      </c>
      <c r="OFZ11" s="256" t="s">
        <v>76</v>
      </c>
      <c r="OGA11" s="256" t="s">
        <v>77</v>
      </c>
      <c r="OGB11" s="256" t="s">
        <v>78</v>
      </c>
      <c r="OGC11" s="256" t="s">
        <v>79</v>
      </c>
      <c r="OGD11" s="256" t="s">
        <v>80</v>
      </c>
      <c r="OGE11" s="256" t="s">
        <v>81</v>
      </c>
      <c r="OGF11" s="283"/>
      <c r="OGG11" s="259" t="s">
        <v>55</v>
      </c>
      <c r="OGH11" s="256" t="s">
        <v>76</v>
      </c>
      <c r="OGI11" s="256" t="s">
        <v>77</v>
      </c>
      <c r="OGJ11" s="256" t="s">
        <v>78</v>
      </c>
      <c r="OGK11" s="256" t="s">
        <v>79</v>
      </c>
      <c r="OGL11" s="256" t="s">
        <v>80</v>
      </c>
      <c r="OGM11" s="58" t="s">
        <v>81</v>
      </c>
      <c r="OGN11" s="284"/>
      <c r="OGO11" s="259" t="s">
        <v>55</v>
      </c>
      <c r="OGP11" s="256" t="s">
        <v>76</v>
      </c>
      <c r="OGQ11" s="256" t="s">
        <v>77</v>
      </c>
      <c r="OGR11" s="256" t="s">
        <v>78</v>
      </c>
      <c r="OGS11" s="256" t="s">
        <v>79</v>
      </c>
      <c r="OGT11" s="256" t="s">
        <v>80</v>
      </c>
      <c r="OGU11" s="256" t="s">
        <v>81</v>
      </c>
      <c r="OGV11" s="283"/>
      <c r="OGW11" s="259" t="s">
        <v>55</v>
      </c>
      <c r="OGX11" s="256" t="s">
        <v>76</v>
      </c>
      <c r="OGY11" s="256" t="s">
        <v>77</v>
      </c>
      <c r="OGZ11" s="256" t="s">
        <v>78</v>
      </c>
      <c r="OHA11" s="256" t="s">
        <v>79</v>
      </c>
      <c r="OHB11" s="256" t="s">
        <v>80</v>
      </c>
      <c r="OHC11" s="58" t="s">
        <v>81</v>
      </c>
      <c r="OHD11" s="284"/>
      <c r="OHE11" s="259" t="s">
        <v>55</v>
      </c>
      <c r="OHF11" s="256" t="s">
        <v>76</v>
      </c>
      <c r="OHG11" s="256" t="s">
        <v>77</v>
      </c>
      <c r="OHH11" s="256" t="s">
        <v>78</v>
      </c>
      <c r="OHI11" s="256" t="s">
        <v>79</v>
      </c>
      <c r="OHJ11" s="256" t="s">
        <v>80</v>
      </c>
      <c r="OHK11" s="256" t="s">
        <v>81</v>
      </c>
      <c r="OHL11" s="283"/>
      <c r="OHM11" s="259" t="s">
        <v>55</v>
      </c>
      <c r="OHN11" s="256" t="s">
        <v>76</v>
      </c>
      <c r="OHO11" s="256" t="s">
        <v>77</v>
      </c>
      <c r="OHP11" s="256" t="s">
        <v>78</v>
      </c>
      <c r="OHQ11" s="256" t="s">
        <v>79</v>
      </c>
      <c r="OHR11" s="256" t="s">
        <v>80</v>
      </c>
      <c r="OHS11" s="58" t="s">
        <v>81</v>
      </c>
      <c r="OHT11" s="284"/>
      <c r="OHU11" s="259" t="s">
        <v>55</v>
      </c>
      <c r="OHV11" s="256" t="s">
        <v>76</v>
      </c>
      <c r="OHW11" s="256" t="s">
        <v>77</v>
      </c>
      <c r="OHX11" s="256" t="s">
        <v>78</v>
      </c>
      <c r="OHY11" s="256" t="s">
        <v>79</v>
      </c>
      <c r="OHZ11" s="256" t="s">
        <v>80</v>
      </c>
      <c r="OIA11" s="256" t="s">
        <v>81</v>
      </c>
      <c r="OIB11" s="283"/>
      <c r="OIC11" s="259" t="s">
        <v>55</v>
      </c>
      <c r="OID11" s="256" t="s">
        <v>76</v>
      </c>
      <c r="OIE11" s="256" t="s">
        <v>77</v>
      </c>
      <c r="OIF11" s="256" t="s">
        <v>78</v>
      </c>
      <c r="OIG11" s="256" t="s">
        <v>79</v>
      </c>
      <c r="OIH11" s="256" t="s">
        <v>80</v>
      </c>
      <c r="OII11" s="58" t="s">
        <v>81</v>
      </c>
      <c r="OIJ11" s="284"/>
      <c r="OIK11" s="259" t="s">
        <v>55</v>
      </c>
      <c r="OIL11" s="256" t="s">
        <v>76</v>
      </c>
      <c r="OIM11" s="256" t="s">
        <v>77</v>
      </c>
      <c r="OIN11" s="256" t="s">
        <v>78</v>
      </c>
      <c r="OIO11" s="256" t="s">
        <v>79</v>
      </c>
      <c r="OIP11" s="256" t="s">
        <v>80</v>
      </c>
      <c r="OIQ11" s="256" t="s">
        <v>81</v>
      </c>
      <c r="OIR11" s="283"/>
      <c r="OIS11" s="259" t="s">
        <v>55</v>
      </c>
      <c r="OIT11" s="256" t="s">
        <v>76</v>
      </c>
      <c r="OIU11" s="256" t="s">
        <v>77</v>
      </c>
      <c r="OIV11" s="256" t="s">
        <v>78</v>
      </c>
      <c r="OIW11" s="256" t="s">
        <v>79</v>
      </c>
      <c r="OIX11" s="256" t="s">
        <v>80</v>
      </c>
      <c r="OIY11" s="58" t="s">
        <v>81</v>
      </c>
      <c r="OIZ11" s="284"/>
      <c r="OJA11" s="259" t="s">
        <v>55</v>
      </c>
      <c r="OJB11" s="256" t="s">
        <v>76</v>
      </c>
      <c r="OJC11" s="256" t="s">
        <v>77</v>
      </c>
      <c r="OJD11" s="256" t="s">
        <v>78</v>
      </c>
      <c r="OJE11" s="256" t="s">
        <v>79</v>
      </c>
      <c r="OJF11" s="256" t="s">
        <v>80</v>
      </c>
      <c r="OJG11" s="256" t="s">
        <v>81</v>
      </c>
      <c r="OJH11" s="283"/>
      <c r="OJI11" s="259" t="s">
        <v>55</v>
      </c>
      <c r="OJJ11" s="256" t="s">
        <v>76</v>
      </c>
      <c r="OJK11" s="256" t="s">
        <v>77</v>
      </c>
      <c r="OJL11" s="256" t="s">
        <v>78</v>
      </c>
      <c r="OJM11" s="256" t="s">
        <v>79</v>
      </c>
      <c r="OJN11" s="256" t="s">
        <v>80</v>
      </c>
      <c r="OJO11" s="58" t="s">
        <v>81</v>
      </c>
      <c r="OJP11" s="284"/>
      <c r="OJQ11" s="259" t="s">
        <v>55</v>
      </c>
      <c r="OJR11" s="256" t="s">
        <v>76</v>
      </c>
      <c r="OJS11" s="256" t="s">
        <v>77</v>
      </c>
      <c r="OJT11" s="256" t="s">
        <v>78</v>
      </c>
      <c r="OJU11" s="256" t="s">
        <v>79</v>
      </c>
      <c r="OJV11" s="256" t="s">
        <v>80</v>
      </c>
      <c r="OJW11" s="256" t="s">
        <v>81</v>
      </c>
      <c r="OJX11" s="283"/>
      <c r="OJY11" s="259" t="s">
        <v>55</v>
      </c>
      <c r="OJZ11" s="256" t="s">
        <v>76</v>
      </c>
      <c r="OKA11" s="256" t="s">
        <v>77</v>
      </c>
      <c r="OKB11" s="256" t="s">
        <v>78</v>
      </c>
      <c r="OKC11" s="256" t="s">
        <v>79</v>
      </c>
      <c r="OKD11" s="256" t="s">
        <v>80</v>
      </c>
      <c r="OKE11" s="58" t="s">
        <v>81</v>
      </c>
      <c r="OKF11" s="284"/>
      <c r="OKG11" s="259" t="s">
        <v>55</v>
      </c>
      <c r="OKH11" s="256" t="s">
        <v>76</v>
      </c>
      <c r="OKI11" s="256" t="s">
        <v>77</v>
      </c>
      <c r="OKJ11" s="256" t="s">
        <v>78</v>
      </c>
      <c r="OKK11" s="256" t="s">
        <v>79</v>
      </c>
      <c r="OKL11" s="256" t="s">
        <v>80</v>
      </c>
      <c r="OKM11" s="256" t="s">
        <v>81</v>
      </c>
      <c r="OKN11" s="283"/>
      <c r="OKO11" s="259" t="s">
        <v>55</v>
      </c>
      <c r="OKP11" s="256" t="s">
        <v>76</v>
      </c>
      <c r="OKQ11" s="256" t="s">
        <v>77</v>
      </c>
      <c r="OKR11" s="256" t="s">
        <v>78</v>
      </c>
      <c r="OKS11" s="256" t="s">
        <v>79</v>
      </c>
      <c r="OKT11" s="256" t="s">
        <v>80</v>
      </c>
      <c r="OKU11" s="58" t="s">
        <v>81</v>
      </c>
      <c r="OKV11" s="284"/>
      <c r="OKW11" s="259" t="s">
        <v>55</v>
      </c>
      <c r="OKX11" s="256" t="s">
        <v>76</v>
      </c>
      <c r="OKY11" s="256" t="s">
        <v>77</v>
      </c>
      <c r="OKZ11" s="256" t="s">
        <v>78</v>
      </c>
      <c r="OLA11" s="256" t="s">
        <v>79</v>
      </c>
      <c r="OLB11" s="256" t="s">
        <v>80</v>
      </c>
      <c r="OLC11" s="256" t="s">
        <v>81</v>
      </c>
      <c r="OLD11" s="283"/>
      <c r="OLE11" s="259" t="s">
        <v>55</v>
      </c>
      <c r="OLF11" s="256" t="s">
        <v>76</v>
      </c>
      <c r="OLG11" s="256" t="s">
        <v>77</v>
      </c>
      <c r="OLH11" s="256" t="s">
        <v>78</v>
      </c>
      <c r="OLI11" s="256" t="s">
        <v>79</v>
      </c>
      <c r="OLJ11" s="256" t="s">
        <v>80</v>
      </c>
      <c r="OLK11" s="58" t="s">
        <v>81</v>
      </c>
      <c r="OLL11" s="284"/>
      <c r="OLM11" s="259" t="s">
        <v>55</v>
      </c>
      <c r="OLN11" s="256" t="s">
        <v>76</v>
      </c>
      <c r="OLO11" s="256" t="s">
        <v>77</v>
      </c>
      <c r="OLP11" s="256" t="s">
        <v>78</v>
      </c>
      <c r="OLQ11" s="256" t="s">
        <v>79</v>
      </c>
      <c r="OLR11" s="256" t="s">
        <v>80</v>
      </c>
      <c r="OLS11" s="256" t="s">
        <v>81</v>
      </c>
      <c r="OLT11" s="283"/>
      <c r="OLU11" s="259" t="s">
        <v>55</v>
      </c>
      <c r="OLV11" s="256" t="s">
        <v>76</v>
      </c>
      <c r="OLW11" s="256" t="s">
        <v>77</v>
      </c>
      <c r="OLX11" s="256" t="s">
        <v>78</v>
      </c>
      <c r="OLY11" s="256" t="s">
        <v>79</v>
      </c>
      <c r="OLZ11" s="256" t="s">
        <v>80</v>
      </c>
      <c r="OMA11" s="58" t="s">
        <v>81</v>
      </c>
      <c r="OMB11" s="284"/>
      <c r="OMC11" s="259" t="s">
        <v>55</v>
      </c>
      <c r="OMD11" s="256" t="s">
        <v>76</v>
      </c>
      <c r="OME11" s="256" t="s">
        <v>77</v>
      </c>
      <c r="OMF11" s="256" t="s">
        <v>78</v>
      </c>
      <c r="OMG11" s="256" t="s">
        <v>79</v>
      </c>
      <c r="OMH11" s="256" t="s">
        <v>80</v>
      </c>
      <c r="OMI11" s="256" t="s">
        <v>81</v>
      </c>
      <c r="OMJ11" s="283"/>
      <c r="OMK11" s="259" t="s">
        <v>55</v>
      </c>
      <c r="OML11" s="256" t="s">
        <v>76</v>
      </c>
      <c r="OMM11" s="256" t="s">
        <v>77</v>
      </c>
      <c r="OMN11" s="256" t="s">
        <v>78</v>
      </c>
      <c r="OMO11" s="256" t="s">
        <v>79</v>
      </c>
      <c r="OMP11" s="256" t="s">
        <v>80</v>
      </c>
      <c r="OMQ11" s="58" t="s">
        <v>81</v>
      </c>
      <c r="OMR11" s="284"/>
      <c r="OMS11" s="259" t="s">
        <v>55</v>
      </c>
      <c r="OMT11" s="256" t="s">
        <v>76</v>
      </c>
      <c r="OMU11" s="256" t="s">
        <v>77</v>
      </c>
      <c r="OMV11" s="256" t="s">
        <v>78</v>
      </c>
      <c r="OMW11" s="256" t="s">
        <v>79</v>
      </c>
      <c r="OMX11" s="256" t="s">
        <v>80</v>
      </c>
      <c r="OMY11" s="256" t="s">
        <v>81</v>
      </c>
      <c r="OMZ11" s="283"/>
      <c r="ONA11" s="259" t="s">
        <v>55</v>
      </c>
      <c r="ONB11" s="256" t="s">
        <v>76</v>
      </c>
      <c r="ONC11" s="256" t="s">
        <v>77</v>
      </c>
      <c r="OND11" s="256" t="s">
        <v>78</v>
      </c>
      <c r="ONE11" s="256" t="s">
        <v>79</v>
      </c>
      <c r="ONF11" s="256" t="s">
        <v>80</v>
      </c>
      <c r="ONG11" s="58" t="s">
        <v>81</v>
      </c>
      <c r="ONH11" s="284"/>
      <c r="ONI11" s="259" t="s">
        <v>55</v>
      </c>
      <c r="ONJ11" s="256" t="s">
        <v>76</v>
      </c>
      <c r="ONK11" s="256" t="s">
        <v>77</v>
      </c>
      <c r="ONL11" s="256" t="s">
        <v>78</v>
      </c>
      <c r="ONM11" s="256" t="s">
        <v>79</v>
      </c>
      <c r="ONN11" s="256" t="s">
        <v>80</v>
      </c>
      <c r="ONO11" s="256" t="s">
        <v>81</v>
      </c>
      <c r="ONP11" s="283"/>
      <c r="ONQ11" s="259" t="s">
        <v>55</v>
      </c>
      <c r="ONR11" s="256" t="s">
        <v>76</v>
      </c>
      <c r="ONS11" s="256" t="s">
        <v>77</v>
      </c>
      <c r="ONT11" s="256" t="s">
        <v>78</v>
      </c>
      <c r="ONU11" s="256" t="s">
        <v>79</v>
      </c>
      <c r="ONV11" s="256" t="s">
        <v>80</v>
      </c>
      <c r="ONW11" s="58" t="s">
        <v>81</v>
      </c>
      <c r="ONX11" s="284"/>
      <c r="ONY11" s="259" t="s">
        <v>55</v>
      </c>
      <c r="ONZ11" s="256" t="s">
        <v>76</v>
      </c>
      <c r="OOA11" s="256" t="s">
        <v>77</v>
      </c>
      <c r="OOB11" s="256" t="s">
        <v>78</v>
      </c>
      <c r="OOC11" s="256" t="s">
        <v>79</v>
      </c>
      <c r="OOD11" s="256" t="s">
        <v>80</v>
      </c>
      <c r="OOE11" s="256" t="s">
        <v>81</v>
      </c>
      <c r="OOF11" s="283"/>
      <c r="OOG11" s="259" t="s">
        <v>55</v>
      </c>
      <c r="OOH11" s="256" t="s">
        <v>76</v>
      </c>
      <c r="OOI11" s="256" t="s">
        <v>77</v>
      </c>
      <c r="OOJ11" s="256" t="s">
        <v>78</v>
      </c>
      <c r="OOK11" s="256" t="s">
        <v>79</v>
      </c>
      <c r="OOL11" s="256" t="s">
        <v>80</v>
      </c>
      <c r="OOM11" s="58" t="s">
        <v>81</v>
      </c>
      <c r="OON11" s="284"/>
      <c r="OOO11" s="259" t="s">
        <v>55</v>
      </c>
      <c r="OOP11" s="256" t="s">
        <v>76</v>
      </c>
      <c r="OOQ11" s="256" t="s">
        <v>77</v>
      </c>
      <c r="OOR11" s="256" t="s">
        <v>78</v>
      </c>
      <c r="OOS11" s="256" t="s">
        <v>79</v>
      </c>
      <c r="OOT11" s="256" t="s">
        <v>80</v>
      </c>
      <c r="OOU11" s="256" t="s">
        <v>81</v>
      </c>
      <c r="OOV11" s="283"/>
      <c r="OOW11" s="259" t="s">
        <v>55</v>
      </c>
      <c r="OOX11" s="256" t="s">
        <v>76</v>
      </c>
      <c r="OOY11" s="256" t="s">
        <v>77</v>
      </c>
      <c r="OOZ11" s="256" t="s">
        <v>78</v>
      </c>
      <c r="OPA11" s="256" t="s">
        <v>79</v>
      </c>
      <c r="OPB11" s="256" t="s">
        <v>80</v>
      </c>
      <c r="OPC11" s="58" t="s">
        <v>81</v>
      </c>
      <c r="OPD11" s="284"/>
      <c r="OPE11" s="259" t="s">
        <v>55</v>
      </c>
      <c r="OPF11" s="256" t="s">
        <v>76</v>
      </c>
      <c r="OPG11" s="256" t="s">
        <v>77</v>
      </c>
      <c r="OPH11" s="256" t="s">
        <v>78</v>
      </c>
      <c r="OPI11" s="256" t="s">
        <v>79</v>
      </c>
      <c r="OPJ11" s="256" t="s">
        <v>80</v>
      </c>
      <c r="OPK11" s="256" t="s">
        <v>81</v>
      </c>
      <c r="OPL11" s="283"/>
      <c r="OPM11" s="259" t="s">
        <v>55</v>
      </c>
      <c r="OPN11" s="256" t="s">
        <v>76</v>
      </c>
      <c r="OPO11" s="256" t="s">
        <v>77</v>
      </c>
      <c r="OPP11" s="256" t="s">
        <v>78</v>
      </c>
      <c r="OPQ11" s="256" t="s">
        <v>79</v>
      </c>
      <c r="OPR11" s="256" t="s">
        <v>80</v>
      </c>
      <c r="OPS11" s="58" t="s">
        <v>81</v>
      </c>
      <c r="OPT11" s="284"/>
      <c r="OPU11" s="259" t="s">
        <v>55</v>
      </c>
      <c r="OPV11" s="256" t="s">
        <v>76</v>
      </c>
      <c r="OPW11" s="256" t="s">
        <v>77</v>
      </c>
      <c r="OPX11" s="256" t="s">
        <v>78</v>
      </c>
      <c r="OPY11" s="256" t="s">
        <v>79</v>
      </c>
      <c r="OPZ11" s="256" t="s">
        <v>80</v>
      </c>
      <c r="OQA11" s="256" t="s">
        <v>81</v>
      </c>
      <c r="OQB11" s="283"/>
      <c r="OQC11" s="259" t="s">
        <v>55</v>
      </c>
      <c r="OQD11" s="256" t="s">
        <v>76</v>
      </c>
      <c r="OQE11" s="256" t="s">
        <v>77</v>
      </c>
      <c r="OQF11" s="256" t="s">
        <v>78</v>
      </c>
      <c r="OQG11" s="256" t="s">
        <v>79</v>
      </c>
      <c r="OQH11" s="256" t="s">
        <v>80</v>
      </c>
      <c r="OQI11" s="58" t="s">
        <v>81</v>
      </c>
      <c r="OQJ11" s="284"/>
      <c r="OQK11" s="259" t="s">
        <v>55</v>
      </c>
      <c r="OQL11" s="256" t="s">
        <v>76</v>
      </c>
      <c r="OQM11" s="256" t="s">
        <v>77</v>
      </c>
      <c r="OQN11" s="256" t="s">
        <v>78</v>
      </c>
      <c r="OQO11" s="256" t="s">
        <v>79</v>
      </c>
      <c r="OQP11" s="256" t="s">
        <v>80</v>
      </c>
      <c r="OQQ11" s="256" t="s">
        <v>81</v>
      </c>
      <c r="OQR11" s="283"/>
      <c r="OQS11" s="259" t="s">
        <v>55</v>
      </c>
      <c r="OQT11" s="256" t="s">
        <v>76</v>
      </c>
      <c r="OQU11" s="256" t="s">
        <v>77</v>
      </c>
      <c r="OQV11" s="256" t="s">
        <v>78</v>
      </c>
      <c r="OQW11" s="256" t="s">
        <v>79</v>
      </c>
      <c r="OQX11" s="256" t="s">
        <v>80</v>
      </c>
      <c r="OQY11" s="58" t="s">
        <v>81</v>
      </c>
      <c r="OQZ11" s="284"/>
      <c r="ORA11" s="259" t="s">
        <v>55</v>
      </c>
      <c r="ORB11" s="256" t="s">
        <v>76</v>
      </c>
      <c r="ORC11" s="256" t="s">
        <v>77</v>
      </c>
      <c r="ORD11" s="256" t="s">
        <v>78</v>
      </c>
      <c r="ORE11" s="256" t="s">
        <v>79</v>
      </c>
      <c r="ORF11" s="256" t="s">
        <v>80</v>
      </c>
      <c r="ORG11" s="256" t="s">
        <v>81</v>
      </c>
      <c r="ORH11" s="283"/>
      <c r="ORI11" s="259" t="s">
        <v>55</v>
      </c>
      <c r="ORJ11" s="256" t="s">
        <v>76</v>
      </c>
      <c r="ORK11" s="256" t="s">
        <v>77</v>
      </c>
      <c r="ORL11" s="256" t="s">
        <v>78</v>
      </c>
      <c r="ORM11" s="256" t="s">
        <v>79</v>
      </c>
      <c r="ORN11" s="256" t="s">
        <v>80</v>
      </c>
      <c r="ORO11" s="58" t="s">
        <v>81</v>
      </c>
      <c r="ORP11" s="284"/>
      <c r="ORQ11" s="259" t="s">
        <v>55</v>
      </c>
      <c r="ORR11" s="256" t="s">
        <v>76</v>
      </c>
      <c r="ORS11" s="256" t="s">
        <v>77</v>
      </c>
      <c r="ORT11" s="256" t="s">
        <v>78</v>
      </c>
      <c r="ORU11" s="256" t="s">
        <v>79</v>
      </c>
      <c r="ORV11" s="256" t="s">
        <v>80</v>
      </c>
      <c r="ORW11" s="256" t="s">
        <v>81</v>
      </c>
      <c r="ORX11" s="283"/>
      <c r="ORY11" s="259" t="s">
        <v>55</v>
      </c>
      <c r="ORZ11" s="256" t="s">
        <v>76</v>
      </c>
      <c r="OSA11" s="256" t="s">
        <v>77</v>
      </c>
      <c r="OSB11" s="256" t="s">
        <v>78</v>
      </c>
      <c r="OSC11" s="256" t="s">
        <v>79</v>
      </c>
      <c r="OSD11" s="256" t="s">
        <v>80</v>
      </c>
      <c r="OSE11" s="58" t="s">
        <v>81</v>
      </c>
      <c r="OSF11" s="284"/>
      <c r="OSG11" s="259" t="s">
        <v>55</v>
      </c>
      <c r="OSH11" s="256" t="s">
        <v>76</v>
      </c>
      <c r="OSI11" s="256" t="s">
        <v>77</v>
      </c>
      <c r="OSJ11" s="256" t="s">
        <v>78</v>
      </c>
      <c r="OSK11" s="256" t="s">
        <v>79</v>
      </c>
      <c r="OSL11" s="256" t="s">
        <v>80</v>
      </c>
      <c r="OSM11" s="256" t="s">
        <v>81</v>
      </c>
      <c r="OSN11" s="283"/>
      <c r="OSO11" s="259" t="s">
        <v>55</v>
      </c>
      <c r="OSP11" s="256" t="s">
        <v>76</v>
      </c>
      <c r="OSQ11" s="256" t="s">
        <v>77</v>
      </c>
      <c r="OSR11" s="256" t="s">
        <v>78</v>
      </c>
      <c r="OSS11" s="256" t="s">
        <v>79</v>
      </c>
      <c r="OST11" s="256" t="s">
        <v>80</v>
      </c>
      <c r="OSU11" s="58" t="s">
        <v>81</v>
      </c>
      <c r="OSV11" s="284"/>
      <c r="OSW11" s="259" t="s">
        <v>55</v>
      </c>
      <c r="OSX11" s="256" t="s">
        <v>76</v>
      </c>
      <c r="OSY11" s="256" t="s">
        <v>77</v>
      </c>
      <c r="OSZ11" s="256" t="s">
        <v>78</v>
      </c>
      <c r="OTA11" s="256" t="s">
        <v>79</v>
      </c>
      <c r="OTB11" s="256" t="s">
        <v>80</v>
      </c>
      <c r="OTC11" s="256" t="s">
        <v>81</v>
      </c>
      <c r="OTD11" s="283"/>
      <c r="OTE11" s="259" t="s">
        <v>55</v>
      </c>
      <c r="OTF11" s="256" t="s">
        <v>76</v>
      </c>
      <c r="OTG11" s="256" t="s">
        <v>77</v>
      </c>
      <c r="OTH11" s="256" t="s">
        <v>78</v>
      </c>
      <c r="OTI11" s="256" t="s">
        <v>79</v>
      </c>
      <c r="OTJ11" s="256" t="s">
        <v>80</v>
      </c>
      <c r="OTK11" s="58" t="s">
        <v>81</v>
      </c>
      <c r="OTL11" s="284"/>
      <c r="OTM11" s="259" t="s">
        <v>55</v>
      </c>
      <c r="OTN11" s="256" t="s">
        <v>76</v>
      </c>
      <c r="OTO11" s="256" t="s">
        <v>77</v>
      </c>
      <c r="OTP11" s="256" t="s">
        <v>78</v>
      </c>
      <c r="OTQ11" s="256" t="s">
        <v>79</v>
      </c>
      <c r="OTR11" s="256" t="s">
        <v>80</v>
      </c>
      <c r="OTS11" s="256" t="s">
        <v>81</v>
      </c>
      <c r="OTT11" s="283"/>
      <c r="OTU11" s="259" t="s">
        <v>55</v>
      </c>
      <c r="OTV11" s="256" t="s">
        <v>76</v>
      </c>
      <c r="OTW11" s="256" t="s">
        <v>77</v>
      </c>
      <c r="OTX11" s="256" t="s">
        <v>78</v>
      </c>
      <c r="OTY11" s="256" t="s">
        <v>79</v>
      </c>
      <c r="OTZ11" s="256" t="s">
        <v>80</v>
      </c>
      <c r="OUA11" s="58" t="s">
        <v>81</v>
      </c>
      <c r="OUB11" s="284"/>
      <c r="OUC11" s="259" t="s">
        <v>55</v>
      </c>
      <c r="OUD11" s="256" t="s">
        <v>76</v>
      </c>
      <c r="OUE11" s="256" t="s">
        <v>77</v>
      </c>
      <c r="OUF11" s="256" t="s">
        <v>78</v>
      </c>
      <c r="OUG11" s="256" t="s">
        <v>79</v>
      </c>
      <c r="OUH11" s="256" t="s">
        <v>80</v>
      </c>
      <c r="OUI11" s="256" t="s">
        <v>81</v>
      </c>
      <c r="OUJ11" s="283"/>
      <c r="OUK11" s="259" t="s">
        <v>55</v>
      </c>
      <c r="OUL11" s="256" t="s">
        <v>76</v>
      </c>
      <c r="OUM11" s="256" t="s">
        <v>77</v>
      </c>
      <c r="OUN11" s="256" t="s">
        <v>78</v>
      </c>
      <c r="OUO11" s="256" t="s">
        <v>79</v>
      </c>
      <c r="OUP11" s="256" t="s">
        <v>80</v>
      </c>
      <c r="OUQ11" s="58" t="s">
        <v>81</v>
      </c>
      <c r="OUR11" s="284"/>
      <c r="OUS11" s="259" t="s">
        <v>55</v>
      </c>
      <c r="OUT11" s="256" t="s">
        <v>76</v>
      </c>
      <c r="OUU11" s="256" t="s">
        <v>77</v>
      </c>
      <c r="OUV11" s="256" t="s">
        <v>78</v>
      </c>
      <c r="OUW11" s="256" t="s">
        <v>79</v>
      </c>
      <c r="OUX11" s="256" t="s">
        <v>80</v>
      </c>
      <c r="OUY11" s="256" t="s">
        <v>81</v>
      </c>
      <c r="OUZ11" s="283"/>
      <c r="OVA11" s="259" t="s">
        <v>55</v>
      </c>
      <c r="OVB11" s="256" t="s">
        <v>76</v>
      </c>
      <c r="OVC11" s="256" t="s">
        <v>77</v>
      </c>
      <c r="OVD11" s="256" t="s">
        <v>78</v>
      </c>
      <c r="OVE11" s="256" t="s">
        <v>79</v>
      </c>
      <c r="OVF11" s="256" t="s">
        <v>80</v>
      </c>
      <c r="OVG11" s="58" t="s">
        <v>81</v>
      </c>
      <c r="OVH11" s="284"/>
      <c r="OVI11" s="259" t="s">
        <v>55</v>
      </c>
      <c r="OVJ11" s="256" t="s">
        <v>76</v>
      </c>
      <c r="OVK11" s="256" t="s">
        <v>77</v>
      </c>
      <c r="OVL11" s="256" t="s">
        <v>78</v>
      </c>
      <c r="OVM11" s="256" t="s">
        <v>79</v>
      </c>
      <c r="OVN11" s="256" t="s">
        <v>80</v>
      </c>
      <c r="OVO11" s="256" t="s">
        <v>81</v>
      </c>
      <c r="OVP11" s="283"/>
      <c r="OVQ11" s="259" t="s">
        <v>55</v>
      </c>
      <c r="OVR11" s="256" t="s">
        <v>76</v>
      </c>
      <c r="OVS11" s="256" t="s">
        <v>77</v>
      </c>
      <c r="OVT11" s="256" t="s">
        <v>78</v>
      </c>
      <c r="OVU11" s="256" t="s">
        <v>79</v>
      </c>
      <c r="OVV11" s="256" t="s">
        <v>80</v>
      </c>
      <c r="OVW11" s="58" t="s">
        <v>81</v>
      </c>
      <c r="OVX11" s="284"/>
      <c r="OVY11" s="259" t="s">
        <v>55</v>
      </c>
      <c r="OVZ11" s="256" t="s">
        <v>76</v>
      </c>
      <c r="OWA11" s="256" t="s">
        <v>77</v>
      </c>
      <c r="OWB11" s="256" t="s">
        <v>78</v>
      </c>
      <c r="OWC11" s="256" t="s">
        <v>79</v>
      </c>
      <c r="OWD11" s="256" t="s">
        <v>80</v>
      </c>
      <c r="OWE11" s="256" t="s">
        <v>81</v>
      </c>
      <c r="OWF11" s="283"/>
      <c r="OWG11" s="259" t="s">
        <v>55</v>
      </c>
      <c r="OWH11" s="256" t="s">
        <v>76</v>
      </c>
      <c r="OWI11" s="256" t="s">
        <v>77</v>
      </c>
      <c r="OWJ11" s="256" t="s">
        <v>78</v>
      </c>
      <c r="OWK11" s="256" t="s">
        <v>79</v>
      </c>
      <c r="OWL11" s="256" t="s">
        <v>80</v>
      </c>
      <c r="OWM11" s="58" t="s">
        <v>81</v>
      </c>
      <c r="OWN11" s="284"/>
      <c r="OWO11" s="259" t="s">
        <v>55</v>
      </c>
      <c r="OWP11" s="256" t="s">
        <v>76</v>
      </c>
      <c r="OWQ11" s="256" t="s">
        <v>77</v>
      </c>
      <c r="OWR11" s="256" t="s">
        <v>78</v>
      </c>
      <c r="OWS11" s="256" t="s">
        <v>79</v>
      </c>
      <c r="OWT11" s="256" t="s">
        <v>80</v>
      </c>
      <c r="OWU11" s="256" t="s">
        <v>81</v>
      </c>
      <c r="OWV11" s="283"/>
      <c r="OWW11" s="259" t="s">
        <v>55</v>
      </c>
      <c r="OWX11" s="256" t="s">
        <v>76</v>
      </c>
      <c r="OWY11" s="256" t="s">
        <v>77</v>
      </c>
      <c r="OWZ11" s="256" t="s">
        <v>78</v>
      </c>
      <c r="OXA11" s="256" t="s">
        <v>79</v>
      </c>
      <c r="OXB11" s="256" t="s">
        <v>80</v>
      </c>
      <c r="OXC11" s="58" t="s">
        <v>81</v>
      </c>
      <c r="OXD11" s="284"/>
      <c r="OXE11" s="259" t="s">
        <v>55</v>
      </c>
      <c r="OXF11" s="256" t="s">
        <v>76</v>
      </c>
      <c r="OXG11" s="256" t="s">
        <v>77</v>
      </c>
      <c r="OXH11" s="256" t="s">
        <v>78</v>
      </c>
      <c r="OXI11" s="256" t="s">
        <v>79</v>
      </c>
      <c r="OXJ11" s="256" t="s">
        <v>80</v>
      </c>
      <c r="OXK11" s="256" t="s">
        <v>81</v>
      </c>
      <c r="OXL11" s="283"/>
      <c r="OXM11" s="259" t="s">
        <v>55</v>
      </c>
      <c r="OXN11" s="256" t="s">
        <v>76</v>
      </c>
      <c r="OXO11" s="256" t="s">
        <v>77</v>
      </c>
      <c r="OXP11" s="256" t="s">
        <v>78</v>
      </c>
      <c r="OXQ11" s="256" t="s">
        <v>79</v>
      </c>
      <c r="OXR11" s="256" t="s">
        <v>80</v>
      </c>
      <c r="OXS11" s="58" t="s">
        <v>81</v>
      </c>
      <c r="OXT11" s="284"/>
      <c r="OXU11" s="259" t="s">
        <v>55</v>
      </c>
      <c r="OXV11" s="256" t="s">
        <v>76</v>
      </c>
      <c r="OXW11" s="256" t="s">
        <v>77</v>
      </c>
      <c r="OXX11" s="256" t="s">
        <v>78</v>
      </c>
      <c r="OXY11" s="256" t="s">
        <v>79</v>
      </c>
      <c r="OXZ11" s="256" t="s">
        <v>80</v>
      </c>
      <c r="OYA11" s="256" t="s">
        <v>81</v>
      </c>
      <c r="OYB11" s="283"/>
      <c r="OYC11" s="259" t="s">
        <v>55</v>
      </c>
      <c r="OYD11" s="256" t="s">
        <v>76</v>
      </c>
      <c r="OYE11" s="256" t="s">
        <v>77</v>
      </c>
      <c r="OYF11" s="256" t="s">
        <v>78</v>
      </c>
      <c r="OYG11" s="256" t="s">
        <v>79</v>
      </c>
      <c r="OYH11" s="256" t="s">
        <v>80</v>
      </c>
      <c r="OYI11" s="58" t="s">
        <v>81</v>
      </c>
      <c r="OYJ11" s="284"/>
      <c r="OYK11" s="259" t="s">
        <v>55</v>
      </c>
      <c r="OYL11" s="256" t="s">
        <v>76</v>
      </c>
      <c r="OYM11" s="256" t="s">
        <v>77</v>
      </c>
      <c r="OYN11" s="256" t="s">
        <v>78</v>
      </c>
      <c r="OYO11" s="256" t="s">
        <v>79</v>
      </c>
      <c r="OYP11" s="256" t="s">
        <v>80</v>
      </c>
      <c r="OYQ11" s="256" t="s">
        <v>81</v>
      </c>
      <c r="OYR11" s="283"/>
      <c r="OYS11" s="259" t="s">
        <v>55</v>
      </c>
      <c r="OYT11" s="256" t="s">
        <v>76</v>
      </c>
      <c r="OYU11" s="256" t="s">
        <v>77</v>
      </c>
      <c r="OYV11" s="256" t="s">
        <v>78</v>
      </c>
      <c r="OYW11" s="256" t="s">
        <v>79</v>
      </c>
      <c r="OYX11" s="256" t="s">
        <v>80</v>
      </c>
      <c r="OYY11" s="58" t="s">
        <v>81</v>
      </c>
      <c r="OYZ11" s="284"/>
      <c r="OZA11" s="259" t="s">
        <v>55</v>
      </c>
      <c r="OZB11" s="256" t="s">
        <v>76</v>
      </c>
      <c r="OZC11" s="256" t="s">
        <v>77</v>
      </c>
      <c r="OZD11" s="256" t="s">
        <v>78</v>
      </c>
      <c r="OZE11" s="256" t="s">
        <v>79</v>
      </c>
      <c r="OZF11" s="256" t="s">
        <v>80</v>
      </c>
      <c r="OZG11" s="256" t="s">
        <v>81</v>
      </c>
      <c r="OZH11" s="283"/>
      <c r="OZI11" s="259" t="s">
        <v>55</v>
      </c>
      <c r="OZJ11" s="256" t="s">
        <v>76</v>
      </c>
      <c r="OZK11" s="256" t="s">
        <v>77</v>
      </c>
      <c r="OZL11" s="256" t="s">
        <v>78</v>
      </c>
      <c r="OZM11" s="256" t="s">
        <v>79</v>
      </c>
      <c r="OZN11" s="256" t="s">
        <v>80</v>
      </c>
      <c r="OZO11" s="58" t="s">
        <v>81</v>
      </c>
      <c r="OZP11" s="284"/>
      <c r="OZQ11" s="259" t="s">
        <v>55</v>
      </c>
      <c r="OZR11" s="256" t="s">
        <v>76</v>
      </c>
      <c r="OZS11" s="256" t="s">
        <v>77</v>
      </c>
      <c r="OZT11" s="256" t="s">
        <v>78</v>
      </c>
      <c r="OZU11" s="256" t="s">
        <v>79</v>
      </c>
      <c r="OZV11" s="256" t="s">
        <v>80</v>
      </c>
      <c r="OZW11" s="256" t="s">
        <v>81</v>
      </c>
      <c r="OZX11" s="283"/>
      <c r="OZY11" s="259" t="s">
        <v>55</v>
      </c>
      <c r="OZZ11" s="256" t="s">
        <v>76</v>
      </c>
      <c r="PAA11" s="256" t="s">
        <v>77</v>
      </c>
      <c r="PAB11" s="256" t="s">
        <v>78</v>
      </c>
      <c r="PAC11" s="256" t="s">
        <v>79</v>
      </c>
      <c r="PAD11" s="256" t="s">
        <v>80</v>
      </c>
      <c r="PAE11" s="58" t="s">
        <v>81</v>
      </c>
      <c r="PAF11" s="284"/>
      <c r="PAG11" s="259" t="s">
        <v>55</v>
      </c>
      <c r="PAH11" s="256" t="s">
        <v>76</v>
      </c>
      <c r="PAI11" s="256" t="s">
        <v>77</v>
      </c>
      <c r="PAJ11" s="256" t="s">
        <v>78</v>
      </c>
      <c r="PAK11" s="256" t="s">
        <v>79</v>
      </c>
      <c r="PAL11" s="256" t="s">
        <v>80</v>
      </c>
      <c r="PAM11" s="256" t="s">
        <v>81</v>
      </c>
      <c r="PAN11" s="283"/>
      <c r="PAO11" s="259" t="s">
        <v>55</v>
      </c>
      <c r="PAP11" s="256" t="s">
        <v>76</v>
      </c>
      <c r="PAQ11" s="256" t="s">
        <v>77</v>
      </c>
      <c r="PAR11" s="256" t="s">
        <v>78</v>
      </c>
      <c r="PAS11" s="256" t="s">
        <v>79</v>
      </c>
      <c r="PAT11" s="256" t="s">
        <v>80</v>
      </c>
      <c r="PAU11" s="58" t="s">
        <v>81</v>
      </c>
      <c r="PAV11" s="284"/>
      <c r="PAW11" s="259" t="s">
        <v>55</v>
      </c>
      <c r="PAX11" s="256" t="s">
        <v>76</v>
      </c>
      <c r="PAY11" s="256" t="s">
        <v>77</v>
      </c>
      <c r="PAZ11" s="256" t="s">
        <v>78</v>
      </c>
      <c r="PBA11" s="256" t="s">
        <v>79</v>
      </c>
      <c r="PBB11" s="256" t="s">
        <v>80</v>
      </c>
      <c r="PBC11" s="256" t="s">
        <v>81</v>
      </c>
      <c r="PBD11" s="283"/>
      <c r="PBE11" s="259" t="s">
        <v>55</v>
      </c>
      <c r="PBF11" s="256" t="s">
        <v>76</v>
      </c>
      <c r="PBG11" s="256" t="s">
        <v>77</v>
      </c>
      <c r="PBH11" s="256" t="s">
        <v>78</v>
      </c>
      <c r="PBI11" s="256" t="s">
        <v>79</v>
      </c>
      <c r="PBJ11" s="256" t="s">
        <v>80</v>
      </c>
      <c r="PBK11" s="58" t="s">
        <v>81</v>
      </c>
      <c r="PBL11" s="284"/>
      <c r="PBM11" s="259" t="s">
        <v>55</v>
      </c>
      <c r="PBN11" s="256" t="s">
        <v>76</v>
      </c>
      <c r="PBO11" s="256" t="s">
        <v>77</v>
      </c>
      <c r="PBP11" s="256" t="s">
        <v>78</v>
      </c>
      <c r="PBQ11" s="256" t="s">
        <v>79</v>
      </c>
      <c r="PBR11" s="256" t="s">
        <v>80</v>
      </c>
      <c r="PBS11" s="256" t="s">
        <v>81</v>
      </c>
      <c r="PBT11" s="283"/>
      <c r="PBU11" s="259" t="s">
        <v>55</v>
      </c>
      <c r="PBV11" s="256" t="s">
        <v>76</v>
      </c>
      <c r="PBW11" s="256" t="s">
        <v>77</v>
      </c>
      <c r="PBX11" s="256" t="s">
        <v>78</v>
      </c>
      <c r="PBY11" s="256" t="s">
        <v>79</v>
      </c>
      <c r="PBZ11" s="256" t="s">
        <v>80</v>
      </c>
      <c r="PCA11" s="58" t="s">
        <v>81</v>
      </c>
      <c r="PCB11" s="284"/>
      <c r="PCC11" s="259" t="s">
        <v>55</v>
      </c>
      <c r="PCD11" s="256" t="s">
        <v>76</v>
      </c>
      <c r="PCE11" s="256" t="s">
        <v>77</v>
      </c>
      <c r="PCF11" s="256" t="s">
        <v>78</v>
      </c>
      <c r="PCG11" s="256" t="s">
        <v>79</v>
      </c>
      <c r="PCH11" s="256" t="s">
        <v>80</v>
      </c>
      <c r="PCI11" s="256" t="s">
        <v>81</v>
      </c>
      <c r="PCJ11" s="283"/>
      <c r="PCK11" s="259" t="s">
        <v>55</v>
      </c>
      <c r="PCL11" s="256" t="s">
        <v>76</v>
      </c>
      <c r="PCM11" s="256" t="s">
        <v>77</v>
      </c>
      <c r="PCN11" s="256" t="s">
        <v>78</v>
      </c>
      <c r="PCO11" s="256" t="s">
        <v>79</v>
      </c>
      <c r="PCP11" s="256" t="s">
        <v>80</v>
      </c>
      <c r="PCQ11" s="58" t="s">
        <v>81</v>
      </c>
      <c r="PCR11" s="284"/>
      <c r="PCS11" s="259" t="s">
        <v>55</v>
      </c>
      <c r="PCT11" s="256" t="s">
        <v>76</v>
      </c>
      <c r="PCU11" s="256" t="s">
        <v>77</v>
      </c>
      <c r="PCV11" s="256" t="s">
        <v>78</v>
      </c>
      <c r="PCW11" s="256" t="s">
        <v>79</v>
      </c>
      <c r="PCX11" s="256" t="s">
        <v>80</v>
      </c>
      <c r="PCY11" s="256" t="s">
        <v>81</v>
      </c>
      <c r="PCZ11" s="283"/>
      <c r="PDA11" s="259" t="s">
        <v>55</v>
      </c>
      <c r="PDB11" s="256" t="s">
        <v>76</v>
      </c>
      <c r="PDC11" s="256" t="s">
        <v>77</v>
      </c>
      <c r="PDD11" s="256" t="s">
        <v>78</v>
      </c>
      <c r="PDE11" s="256" t="s">
        <v>79</v>
      </c>
      <c r="PDF11" s="256" t="s">
        <v>80</v>
      </c>
      <c r="PDG11" s="58" t="s">
        <v>81</v>
      </c>
      <c r="PDH11" s="284"/>
      <c r="PDI11" s="259" t="s">
        <v>55</v>
      </c>
      <c r="PDJ11" s="256" t="s">
        <v>76</v>
      </c>
      <c r="PDK11" s="256" t="s">
        <v>77</v>
      </c>
      <c r="PDL11" s="256" t="s">
        <v>78</v>
      </c>
      <c r="PDM11" s="256" t="s">
        <v>79</v>
      </c>
      <c r="PDN11" s="256" t="s">
        <v>80</v>
      </c>
      <c r="PDO11" s="256" t="s">
        <v>81</v>
      </c>
      <c r="PDP11" s="283"/>
      <c r="PDQ11" s="259" t="s">
        <v>55</v>
      </c>
      <c r="PDR11" s="256" t="s">
        <v>76</v>
      </c>
      <c r="PDS11" s="256" t="s">
        <v>77</v>
      </c>
      <c r="PDT11" s="256" t="s">
        <v>78</v>
      </c>
      <c r="PDU11" s="256" t="s">
        <v>79</v>
      </c>
      <c r="PDV11" s="256" t="s">
        <v>80</v>
      </c>
      <c r="PDW11" s="58" t="s">
        <v>81</v>
      </c>
      <c r="PDX11" s="284"/>
      <c r="PDY11" s="259" t="s">
        <v>55</v>
      </c>
      <c r="PDZ11" s="256" t="s">
        <v>76</v>
      </c>
      <c r="PEA11" s="256" t="s">
        <v>77</v>
      </c>
      <c r="PEB11" s="256" t="s">
        <v>78</v>
      </c>
      <c r="PEC11" s="256" t="s">
        <v>79</v>
      </c>
      <c r="PED11" s="256" t="s">
        <v>80</v>
      </c>
      <c r="PEE11" s="256" t="s">
        <v>81</v>
      </c>
      <c r="PEF11" s="283"/>
      <c r="PEG11" s="259" t="s">
        <v>55</v>
      </c>
      <c r="PEH11" s="256" t="s">
        <v>76</v>
      </c>
      <c r="PEI11" s="256" t="s">
        <v>77</v>
      </c>
      <c r="PEJ11" s="256" t="s">
        <v>78</v>
      </c>
      <c r="PEK11" s="256" t="s">
        <v>79</v>
      </c>
      <c r="PEL11" s="256" t="s">
        <v>80</v>
      </c>
      <c r="PEM11" s="58" t="s">
        <v>81</v>
      </c>
      <c r="PEN11" s="284"/>
      <c r="PEO11" s="259" t="s">
        <v>55</v>
      </c>
      <c r="PEP11" s="256" t="s">
        <v>76</v>
      </c>
      <c r="PEQ11" s="256" t="s">
        <v>77</v>
      </c>
      <c r="PER11" s="256" t="s">
        <v>78</v>
      </c>
      <c r="PES11" s="256" t="s">
        <v>79</v>
      </c>
      <c r="PET11" s="256" t="s">
        <v>80</v>
      </c>
      <c r="PEU11" s="256" t="s">
        <v>81</v>
      </c>
      <c r="PEV11" s="283"/>
      <c r="PEW11" s="259" t="s">
        <v>55</v>
      </c>
      <c r="PEX11" s="256" t="s">
        <v>76</v>
      </c>
      <c r="PEY11" s="256" t="s">
        <v>77</v>
      </c>
      <c r="PEZ11" s="256" t="s">
        <v>78</v>
      </c>
      <c r="PFA11" s="256" t="s">
        <v>79</v>
      </c>
      <c r="PFB11" s="256" t="s">
        <v>80</v>
      </c>
      <c r="PFC11" s="58" t="s">
        <v>81</v>
      </c>
      <c r="PFD11" s="284"/>
      <c r="PFE11" s="259" t="s">
        <v>55</v>
      </c>
      <c r="PFF11" s="256" t="s">
        <v>76</v>
      </c>
      <c r="PFG11" s="256" t="s">
        <v>77</v>
      </c>
      <c r="PFH11" s="256" t="s">
        <v>78</v>
      </c>
      <c r="PFI11" s="256" t="s">
        <v>79</v>
      </c>
      <c r="PFJ11" s="256" t="s">
        <v>80</v>
      </c>
      <c r="PFK11" s="256" t="s">
        <v>81</v>
      </c>
      <c r="PFL11" s="283"/>
      <c r="PFM11" s="259" t="s">
        <v>55</v>
      </c>
      <c r="PFN11" s="256" t="s">
        <v>76</v>
      </c>
      <c r="PFO11" s="256" t="s">
        <v>77</v>
      </c>
      <c r="PFP11" s="256" t="s">
        <v>78</v>
      </c>
      <c r="PFQ11" s="256" t="s">
        <v>79</v>
      </c>
      <c r="PFR11" s="256" t="s">
        <v>80</v>
      </c>
      <c r="PFS11" s="58" t="s">
        <v>81</v>
      </c>
      <c r="PFT11" s="284"/>
      <c r="PFU11" s="259" t="s">
        <v>55</v>
      </c>
      <c r="PFV11" s="256" t="s">
        <v>76</v>
      </c>
      <c r="PFW11" s="256" t="s">
        <v>77</v>
      </c>
      <c r="PFX11" s="256" t="s">
        <v>78</v>
      </c>
      <c r="PFY11" s="256" t="s">
        <v>79</v>
      </c>
      <c r="PFZ11" s="256" t="s">
        <v>80</v>
      </c>
      <c r="PGA11" s="256" t="s">
        <v>81</v>
      </c>
      <c r="PGB11" s="283"/>
      <c r="PGC11" s="259" t="s">
        <v>55</v>
      </c>
      <c r="PGD11" s="256" t="s">
        <v>76</v>
      </c>
      <c r="PGE11" s="256" t="s">
        <v>77</v>
      </c>
      <c r="PGF11" s="256" t="s">
        <v>78</v>
      </c>
      <c r="PGG11" s="256" t="s">
        <v>79</v>
      </c>
      <c r="PGH11" s="256" t="s">
        <v>80</v>
      </c>
      <c r="PGI11" s="58" t="s">
        <v>81</v>
      </c>
      <c r="PGJ11" s="284"/>
      <c r="PGK11" s="259" t="s">
        <v>55</v>
      </c>
      <c r="PGL11" s="256" t="s">
        <v>76</v>
      </c>
      <c r="PGM11" s="256" t="s">
        <v>77</v>
      </c>
      <c r="PGN11" s="256" t="s">
        <v>78</v>
      </c>
      <c r="PGO11" s="256" t="s">
        <v>79</v>
      </c>
      <c r="PGP11" s="256" t="s">
        <v>80</v>
      </c>
      <c r="PGQ11" s="256" t="s">
        <v>81</v>
      </c>
      <c r="PGR11" s="283"/>
      <c r="PGS11" s="259" t="s">
        <v>55</v>
      </c>
      <c r="PGT11" s="256" t="s">
        <v>76</v>
      </c>
      <c r="PGU11" s="256" t="s">
        <v>77</v>
      </c>
      <c r="PGV11" s="256" t="s">
        <v>78</v>
      </c>
      <c r="PGW11" s="256" t="s">
        <v>79</v>
      </c>
      <c r="PGX11" s="256" t="s">
        <v>80</v>
      </c>
      <c r="PGY11" s="58" t="s">
        <v>81</v>
      </c>
      <c r="PGZ11" s="284"/>
      <c r="PHA11" s="259" t="s">
        <v>55</v>
      </c>
      <c r="PHB11" s="256" t="s">
        <v>76</v>
      </c>
      <c r="PHC11" s="256" t="s">
        <v>77</v>
      </c>
      <c r="PHD11" s="256" t="s">
        <v>78</v>
      </c>
      <c r="PHE11" s="256" t="s">
        <v>79</v>
      </c>
      <c r="PHF11" s="256" t="s">
        <v>80</v>
      </c>
      <c r="PHG11" s="256" t="s">
        <v>81</v>
      </c>
      <c r="PHH11" s="283"/>
      <c r="PHI11" s="259" t="s">
        <v>55</v>
      </c>
      <c r="PHJ11" s="256" t="s">
        <v>76</v>
      </c>
      <c r="PHK11" s="256" t="s">
        <v>77</v>
      </c>
      <c r="PHL11" s="256" t="s">
        <v>78</v>
      </c>
      <c r="PHM11" s="256" t="s">
        <v>79</v>
      </c>
      <c r="PHN11" s="256" t="s">
        <v>80</v>
      </c>
      <c r="PHO11" s="58" t="s">
        <v>81</v>
      </c>
      <c r="PHP11" s="284"/>
      <c r="PHQ11" s="259" t="s">
        <v>55</v>
      </c>
      <c r="PHR11" s="256" t="s">
        <v>76</v>
      </c>
      <c r="PHS11" s="256" t="s">
        <v>77</v>
      </c>
      <c r="PHT11" s="256" t="s">
        <v>78</v>
      </c>
      <c r="PHU11" s="256" t="s">
        <v>79</v>
      </c>
      <c r="PHV11" s="256" t="s">
        <v>80</v>
      </c>
      <c r="PHW11" s="256" t="s">
        <v>81</v>
      </c>
      <c r="PHX11" s="283"/>
      <c r="PHY11" s="259" t="s">
        <v>55</v>
      </c>
      <c r="PHZ11" s="256" t="s">
        <v>76</v>
      </c>
      <c r="PIA11" s="256" t="s">
        <v>77</v>
      </c>
      <c r="PIB11" s="256" t="s">
        <v>78</v>
      </c>
      <c r="PIC11" s="256" t="s">
        <v>79</v>
      </c>
      <c r="PID11" s="256" t="s">
        <v>80</v>
      </c>
      <c r="PIE11" s="58" t="s">
        <v>81</v>
      </c>
      <c r="PIF11" s="284"/>
      <c r="PIG11" s="259" t="s">
        <v>55</v>
      </c>
      <c r="PIH11" s="256" t="s">
        <v>76</v>
      </c>
      <c r="PII11" s="256" t="s">
        <v>77</v>
      </c>
      <c r="PIJ11" s="256" t="s">
        <v>78</v>
      </c>
      <c r="PIK11" s="256" t="s">
        <v>79</v>
      </c>
      <c r="PIL11" s="256" t="s">
        <v>80</v>
      </c>
      <c r="PIM11" s="256" t="s">
        <v>81</v>
      </c>
      <c r="PIN11" s="283"/>
      <c r="PIO11" s="259" t="s">
        <v>55</v>
      </c>
      <c r="PIP11" s="256" t="s">
        <v>76</v>
      </c>
      <c r="PIQ11" s="256" t="s">
        <v>77</v>
      </c>
      <c r="PIR11" s="256" t="s">
        <v>78</v>
      </c>
      <c r="PIS11" s="256" t="s">
        <v>79</v>
      </c>
      <c r="PIT11" s="256" t="s">
        <v>80</v>
      </c>
      <c r="PIU11" s="58" t="s">
        <v>81</v>
      </c>
      <c r="PIV11" s="284"/>
      <c r="PIW11" s="259" t="s">
        <v>55</v>
      </c>
      <c r="PIX11" s="256" t="s">
        <v>76</v>
      </c>
      <c r="PIY11" s="256" t="s">
        <v>77</v>
      </c>
      <c r="PIZ11" s="256" t="s">
        <v>78</v>
      </c>
      <c r="PJA11" s="256" t="s">
        <v>79</v>
      </c>
      <c r="PJB11" s="256" t="s">
        <v>80</v>
      </c>
      <c r="PJC11" s="256" t="s">
        <v>81</v>
      </c>
      <c r="PJD11" s="283"/>
      <c r="PJE11" s="259" t="s">
        <v>55</v>
      </c>
      <c r="PJF11" s="256" t="s">
        <v>76</v>
      </c>
      <c r="PJG11" s="256" t="s">
        <v>77</v>
      </c>
      <c r="PJH11" s="256" t="s">
        <v>78</v>
      </c>
      <c r="PJI11" s="256" t="s">
        <v>79</v>
      </c>
      <c r="PJJ11" s="256" t="s">
        <v>80</v>
      </c>
      <c r="PJK11" s="58" t="s">
        <v>81</v>
      </c>
      <c r="PJL11" s="284"/>
      <c r="PJM11" s="259" t="s">
        <v>55</v>
      </c>
      <c r="PJN11" s="256" t="s">
        <v>76</v>
      </c>
      <c r="PJO11" s="256" t="s">
        <v>77</v>
      </c>
      <c r="PJP11" s="256" t="s">
        <v>78</v>
      </c>
      <c r="PJQ11" s="256" t="s">
        <v>79</v>
      </c>
      <c r="PJR11" s="256" t="s">
        <v>80</v>
      </c>
      <c r="PJS11" s="256" t="s">
        <v>81</v>
      </c>
      <c r="PJT11" s="283"/>
      <c r="PJU11" s="259" t="s">
        <v>55</v>
      </c>
      <c r="PJV11" s="256" t="s">
        <v>76</v>
      </c>
      <c r="PJW11" s="256" t="s">
        <v>77</v>
      </c>
      <c r="PJX11" s="256" t="s">
        <v>78</v>
      </c>
      <c r="PJY11" s="256" t="s">
        <v>79</v>
      </c>
      <c r="PJZ11" s="256" t="s">
        <v>80</v>
      </c>
      <c r="PKA11" s="58" t="s">
        <v>81</v>
      </c>
      <c r="PKB11" s="284"/>
      <c r="PKC11" s="259" t="s">
        <v>55</v>
      </c>
      <c r="PKD11" s="256" t="s">
        <v>76</v>
      </c>
      <c r="PKE11" s="256" t="s">
        <v>77</v>
      </c>
      <c r="PKF11" s="256" t="s">
        <v>78</v>
      </c>
      <c r="PKG11" s="256" t="s">
        <v>79</v>
      </c>
      <c r="PKH11" s="256" t="s">
        <v>80</v>
      </c>
      <c r="PKI11" s="256" t="s">
        <v>81</v>
      </c>
      <c r="PKJ11" s="283"/>
      <c r="PKK11" s="259" t="s">
        <v>55</v>
      </c>
      <c r="PKL11" s="256" t="s">
        <v>76</v>
      </c>
      <c r="PKM11" s="256" t="s">
        <v>77</v>
      </c>
      <c r="PKN11" s="256" t="s">
        <v>78</v>
      </c>
      <c r="PKO11" s="256" t="s">
        <v>79</v>
      </c>
      <c r="PKP11" s="256" t="s">
        <v>80</v>
      </c>
      <c r="PKQ11" s="58" t="s">
        <v>81</v>
      </c>
      <c r="PKR11" s="284"/>
      <c r="PKS11" s="259" t="s">
        <v>55</v>
      </c>
      <c r="PKT11" s="256" t="s">
        <v>76</v>
      </c>
      <c r="PKU11" s="256" t="s">
        <v>77</v>
      </c>
      <c r="PKV11" s="256" t="s">
        <v>78</v>
      </c>
      <c r="PKW11" s="256" t="s">
        <v>79</v>
      </c>
      <c r="PKX11" s="256" t="s">
        <v>80</v>
      </c>
      <c r="PKY11" s="256" t="s">
        <v>81</v>
      </c>
      <c r="PKZ11" s="283"/>
      <c r="PLA11" s="259" t="s">
        <v>55</v>
      </c>
      <c r="PLB11" s="256" t="s">
        <v>76</v>
      </c>
      <c r="PLC11" s="256" t="s">
        <v>77</v>
      </c>
      <c r="PLD11" s="256" t="s">
        <v>78</v>
      </c>
      <c r="PLE11" s="256" t="s">
        <v>79</v>
      </c>
      <c r="PLF11" s="256" t="s">
        <v>80</v>
      </c>
      <c r="PLG11" s="58" t="s">
        <v>81</v>
      </c>
      <c r="PLH11" s="284"/>
      <c r="PLI11" s="259" t="s">
        <v>55</v>
      </c>
      <c r="PLJ11" s="256" t="s">
        <v>76</v>
      </c>
      <c r="PLK11" s="256" t="s">
        <v>77</v>
      </c>
      <c r="PLL11" s="256" t="s">
        <v>78</v>
      </c>
      <c r="PLM11" s="256" t="s">
        <v>79</v>
      </c>
      <c r="PLN11" s="256" t="s">
        <v>80</v>
      </c>
      <c r="PLO11" s="256" t="s">
        <v>81</v>
      </c>
      <c r="PLP11" s="283"/>
      <c r="PLQ11" s="259" t="s">
        <v>55</v>
      </c>
      <c r="PLR11" s="256" t="s">
        <v>76</v>
      </c>
      <c r="PLS11" s="256" t="s">
        <v>77</v>
      </c>
      <c r="PLT11" s="256" t="s">
        <v>78</v>
      </c>
      <c r="PLU11" s="256" t="s">
        <v>79</v>
      </c>
      <c r="PLV11" s="256" t="s">
        <v>80</v>
      </c>
      <c r="PLW11" s="58" t="s">
        <v>81</v>
      </c>
      <c r="PLX11" s="284"/>
      <c r="PLY11" s="259" t="s">
        <v>55</v>
      </c>
      <c r="PLZ11" s="256" t="s">
        <v>76</v>
      </c>
      <c r="PMA11" s="256" t="s">
        <v>77</v>
      </c>
      <c r="PMB11" s="256" t="s">
        <v>78</v>
      </c>
      <c r="PMC11" s="256" t="s">
        <v>79</v>
      </c>
      <c r="PMD11" s="256" t="s">
        <v>80</v>
      </c>
      <c r="PME11" s="256" t="s">
        <v>81</v>
      </c>
      <c r="PMF11" s="283"/>
      <c r="PMG11" s="259" t="s">
        <v>55</v>
      </c>
      <c r="PMH11" s="256" t="s">
        <v>76</v>
      </c>
      <c r="PMI11" s="256" t="s">
        <v>77</v>
      </c>
      <c r="PMJ11" s="256" t="s">
        <v>78</v>
      </c>
      <c r="PMK11" s="256" t="s">
        <v>79</v>
      </c>
      <c r="PML11" s="256" t="s">
        <v>80</v>
      </c>
      <c r="PMM11" s="58" t="s">
        <v>81</v>
      </c>
      <c r="PMN11" s="284"/>
      <c r="PMO11" s="259" t="s">
        <v>55</v>
      </c>
      <c r="PMP11" s="256" t="s">
        <v>76</v>
      </c>
      <c r="PMQ11" s="256" t="s">
        <v>77</v>
      </c>
      <c r="PMR11" s="256" t="s">
        <v>78</v>
      </c>
      <c r="PMS11" s="256" t="s">
        <v>79</v>
      </c>
      <c r="PMT11" s="256" t="s">
        <v>80</v>
      </c>
      <c r="PMU11" s="256" t="s">
        <v>81</v>
      </c>
      <c r="PMV11" s="283"/>
      <c r="PMW11" s="259" t="s">
        <v>55</v>
      </c>
      <c r="PMX11" s="256" t="s">
        <v>76</v>
      </c>
      <c r="PMY11" s="256" t="s">
        <v>77</v>
      </c>
      <c r="PMZ11" s="256" t="s">
        <v>78</v>
      </c>
      <c r="PNA11" s="256" t="s">
        <v>79</v>
      </c>
      <c r="PNB11" s="256" t="s">
        <v>80</v>
      </c>
      <c r="PNC11" s="58" t="s">
        <v>81</v>
      </c>
      <c r="PND11" s="284"/>
      <c r="PNE11" s="259" t="s">
        <v>55</v>
      </c>
      <c r="PNF11" s="256" t="s">
        <v>76</v>
      </c>
      <c r="PNG11" s="256" t="s">
        <v>77</v>
      </c>
      <c r="PNH11" s="256" t="s">
        <v>78</v>
      </c>
      <c r="PNI11" s="256" t="s">
        <v>79</v>
      </c>
      <c r="PNJ11" s="256" t="s">
        <v>80</v>
      </c>
      <c r="PNK11" s="256" t="s">
        <v>81</v>
      </c>
      <c r="PNL11" s="283"/>
      <c r="PNM11" s="259" t="s">
        <v>55</v>
      </c>
      <c r="PNN11" s="256" t="s">
        <v>76</v>
      </c>
      <c r="PNO11" s="256" t="s">
        <v>77</v>
      </c>
      <c r="PNP11" s="256" t="s">
        <v>78</v>
      </c>
      <c r="PNQ11" s="256" t="s">
        <v>79</v>
      </c>
      <c r="PNR11" s="256" t="s">
        <v>80</v>
      </c>
      <c r="PNS11" s="58" t="s">
        <v>81</v>
      </c>
      <c r="PNT11" s="284"/>
      <c r="PNU11" s="259" t="s">
        <v>55</v>
      </c>
      <c r="PNV11" s="256" t="s">
        <v>76</v>
      </c>
      <c r="PNW11" s="256" t="s">
        <v>77</v>
      </c>
      <c r="PNX11" s="256" t="s">
        <v>78</v>
      </c>
      <c r="PNY11" s="256" t="s">
        <v>79</v>
      </c>
      <c r="PNZ11" s="256" t="s">
        <v>80</v>
      </c>
      <c r="POA11" s="256" t="s">
        <v>81</v>
      </c>
      <c r="POB11" s="283"/>
      <c r="POC11" s="259" t="s">
        <v>55</v>
      </c>
      <c r="POD11" s="256" t="s">
        <v>76</v>
      </c>
      <c r="POE11" s="256" t="s">
        <v>77</v>
      </c>
      <c r="POF11" s="256" t="s">
        <v>78</v>
      </c>
      <c r="POG11" s="256" t="s">
        <v>79</v>
      </c>
      <c r="POH11" s="256" t="s">
        <v>80</v>
      </c>
      <c r="POI11" s="58" t="s">
        <v>81</v>
      </c>
      <c r="POJ11" s="284"/>
      <c r="POK11" s="259" t="s">
        <v>55</v>
      </c>
      <c r="POL11" s="256" t="s">
        <v>76</v>
      </c>
      <c r="POM11" s="256" t="s">
        <v>77</v>
      </c>
      <c r="PON11" s="256" t="s">
        <v>78</v>
      </c>
      <c r="POO11" s="256" t="s">
        <v>79</v>
      </c>
      <c r="POP11" s="256" t="s">
        <v>80</v>
      </c>
      <c r="POQ11" s="256" t="s">
        <v>81</v>
      </c>
      <c r="POR11" s="283"/>
      <c r="POS11" s="259" t="s">
        <v>55</v>
      </c>
      <c r="POT11" s="256" t="s">
        <v>76</v>
      </c>
      <c r="POU11" s="256" t="s">
        <v>77</v>
      </c>
      <c r="POV11" s="256" t="s">
        <v>78</v>
      </c>
      <c r="POW11" s="256" t="s">
        <v>79</v>
      </c>
      <c r="POX11" s="256" t="s">
        <v>80</v>
      </c>
      <c r="POY11" s="58" t="s">
        <v>81</v>
      </c>
      <c r="POZ11" s="284"/>
      <c r="PPA11" s="259" t="s">
        <v>55</v>
      </c>
      <c r="PPB11" s="256" t="s">
        <v>76</v>
      </c>
      <c r="PPC11" s="256" t="s">
        <v>77</v>
      </c>
      <c r="PPD11" s="256" t="s">
        <v>78</v>
      </c>
      <c r="PPE11" s="256" t="s">
        <v>79</v>
      </c>
      <c r="PPF11" s="256" t="s">
        <v>80</v>
      </c>
      <c r="PPG11" s="256" t="s">
        <v>81</v>
      </c>
      <c r="PPH11" s="283"/>
      <c r="PPI11" s="259" t="s">
        <v>55</v>
      </c>
      <c r="PPJ11" s="256" t="s">
        <v>76</v>
      </c>
      <c r="PPK11" s="256" t="s">
        <v>77</v>
      </c>
      <c r="PPL11" s="256" t="s">
        <v>78</v>
      </c>
      <c r="PPM11" s="256" t="s">
        <v>79</v>
      </c>
      <c r="PPN11" s="256" t="s">
        <v>80</v>
      </c>
      <c r="PPO11" s="58" t="s">
        <v>81</v>
      </c>
      <c r="PPP11" s="284"/>
      <c r="PPQ11" s="259" t="s">
        <v>55</v>
      </c>
      <c r="PPR11" s="256" t="s">
        <v>76</v>
      </c>
      <c r="PPS11" s="256" t="s">
        <v>77</v>
      </c>
      <c r="PPT11" s="256" t="s">
        <v>78</v>
      </c>
      <c r="PPU11" s="256" t="s">
        <v>79</v>
      </c>
      <c r="PPV11" s="256" t="s">
        <v>80</v>
      </c>
      <c r="PPW11" s="256" t="s">
        <v>81</v>
      </c>
      <c r="PPX11" s="283"/>
      <c r="PPY11" s="259" t="s">
        <v>55</v>
      </c>
      <c r="PPZ11" s="256" t="s">
        <v>76</v>
      </c>
      <c r="PQA11" s="256" t="s">
        <v>77</v>
      </c>
      <c r="PQB11" s="256" t="s">
        <v>78</v>
      </c>
      <c r="PQC11" s="256" t="s">
        <v>79</v>
      </c>
      <c r="PQD11" s="256" t="s">
        <v>80</v>
      </c>
      <c r="PQE11" s="58" t="s">
        <v>81</v>
      </c>
      <c r="PQF11" s="284"/>
      <c r="PQG11" s="259" t="s">
        <v>55</v>
      </c>
      <c r="PQH11" s="256" t="s">
        <v>76</v>
      </c>
      <c r="PQI11" s="256" t="s">
        <v>77</v>
      </c>
      <c r="PQJ11" s="256" t="s">
        <v>78</v>
      </c>
      <c r="PQK11" s="256" t="s">
        <v>79</v>
      </c>
      <c r="PQL11" s="256" t="s">
        <v>80</v>
      </c>
      <c r="PQM11" s="256" t="s">
        <v>81</v>
      </c>
      <c r="PQN11" s="283"/>
      <c r="PQO11" s="259" t="s">
        <v>55</v>
      </c>
      <c r="PQP11" s="256" t="s">
        <v>76</v>
      </c>
      <c r="PQQ11" s="256" t="s">
        <v>77</v>
      </c>
      <c r="PQR11" s="256" t="s">
        <v>78</v>
      </c>
      <c r="PQS11" s="256" t="s">
        <v>79</v>
      </c>
      <c r="PQT11" s="256" t="s">
        <v>80</v>
      </c>
      <c r="PQU11" s="58" t="s">
        <v>81</v>
      </c>
      <c r="PQV11" s="284"/>
      <c r="PQW11" s="259" t="s">
        <v>55</v>
      </c>
      <c r="PQX11" s="256" t="s">
        <v>76</v>
      </c>
      <c r="PQY11" s="256" t="s">
        <v>77</v>
      </c>
      <c r="PQZ11" s="256" t="s">
        <v>78</v>
      </c>
      <c r="PRA11" s="256" t="s">
        <v>79</v>
      </c>
      <c r="PRB11" s="256" t="s">
        <v>80</v>
      </c>
      <c r="PRC11" s="256" t="s">
        <v>81</v>
      </c>
      <c r="PRD11" s="283"/>
      <c r="PRE11" s="259" t="s">
        <v>55</v>
      </c>
      <c r="PRF11" s="256" t="s">
        <v>76</v>
      </c>
      <c r="PRG11" s="256" t="s">
        <v>77</v>
      </c>
      <c r="PRH11" s="256" t="s">
        <v>78</v>
      </c>
      <c r="PRI11" s="256" t="s">
        <v>79</v>
      </c>
      <c r="PRJ11" s="256" t="s">
        <v>80</v>
      </c>
      <c r="PRK11" s="58" t="s">
        <v>81</v>
      </c>
      <c r="PRL11" s="284"/>
      <c r="PRM11" s="259" t="s">
        <v>55</v>
      </c>
      <c r="PRN11" s="256" t="s">
        <v>76</v>
      </c>
      <c r="PRO11" s="256" t="s">
        <v>77</v>
      </c>
      <c r="PRP11" s="256" t="s">
        <v>78</v>
      </c>
      <c r="PRQ11" s="256" t="s">
        <v>79</v>
      </c>
      <c r="PRR11" s="256" t="s">
        <v>80</v>
      </c>
      <c r="PRS11" s="256" t="s">
        <v>81</v>
      </c>
      <c r="PRT11" s="283"/>
      <c r="PRU11" s="259" t="s">
        <v>55</v>
      </c>
      <c r="PRV11" s="256" t="s">
        <v>76</v>
      </c>
      <c r="PRW11" s="256" t="s">
        <v>77</v>
      </c>
      <c r="PRX11" s="256" t="s">
        <v>78</v>
      </c>
      <c r="PRY11" s="256" t="s">
        <v>79</v>
      </c>
      <c r="PRZ11" s="256" t="s">
        <v>80</v>
      </c>
      <c r="PSA11" s="58" t="s">
        <v>81</v>
      </c>
      <c r="PSB11" s="284"/>
      <c r="PSC11" s="259" t="s">
        <v>55</v>
      </c>
      <c r="PSD11" s="256" t="s">
        <v>76</v>
      </c>
      <c r="PSE11" s="256" t="s">
        <v>77</v>
      </c>
      <c r="PSF11" s="256" t="s">
        <v>78</v>
      </c>
      <c r="PSG11" s="256" t="s">
        <v>79</v>
      </c>
      <c r="PSH11" s="256" t="s">
        <v>80</v>
      </c>
      <c r="PSI11" s="256" t="s">
        <v>81</v>
      </c>
      <c r="PSJ11" s="283"/>
      <c r="PSK11" s="259" t="s">
        <v>55</v>
      </c>
      <c r="PSL11" s="256" t="s">
        <v>76</v>
      </c>
      <c r="PSM11" s="256" t="s">
        <v>77</v>
      </c>
      <c r="PSN11" s="256" t="s">
        <v>78</v>
      </c>
      <c r="PSO11" s="256" t="s">
        <v>79</v>
      </c>
      <c r="PSP11" s="256" t="s">
        <v>80</v>
      </c>
      <c r="PSQ11" s="58" t="s">
        <v>81</v>
      </c>
      <c r="PSR11" s="284"/>
      <c r="PSS11" s="259" t="s">
        <v>55</v>
      </c>
      <c r="PST11" s="256" t="s">
        <v>76</v>
      </c>
      <c r="PSU11" s="256" t="s">
        <v>77</v>
      </c>
      <c r="PSV11" s="256" t="s">
        <v>78</v>
      </c>
      <c r="PSW11" s="256" t="s">
        <v>79</v>
      </c>
      <c r="PSX11" s="256" t="s">
        <v>80</v>
      </c>
      <c r="PSY11" s="256" t="s">
        <v>81</v>
      </c>
      <c r="PSZ11" s="283"/>
      <c r="PTA11" s="259" t="s">
        <v>55</v>
      </c>
      <c r="PTB11" s="256" t="s">
        <v>76</v>
      </c>
      <c r="PTC11" s="256" t="s">
        <v>77</v>
      </c>
      <c r="PTD11" s="256" t="s">
        <v>78</v>
      </c>
      <c r="PTE11" s="256" t="s">
        <v>79</v>
      </c>
      <c r="PTF11" s="256" t="s">
        <v>80</v>
      </c>
      <c r="PTG11" s="58" t="s">
        <v>81</v>
      </c>
      <c r="PTH11" s="284"/>
      <c r="PTI11" s="259" t="s">
        <v>55</v>
      </c>
      <c r="PTJ11" s="256" t="s">
        <v>76</v>
      </c>
      <c r="PTK11" s="256" t="s">
        <v>77</v>
      </c>
      <c r="PTL11" s="256" t="s">
        <v>78</v>
      </c>
      <c r="PTM11" s="256" t="s">
        <v>79</v>
      </c>
      <c r="PTN11" s="256" t="s">
        <v>80</v>
      </c>
      <c r="PTO11" s="256" t="s">
        <v>81</v>
      </c>
      <c r="PTP11" s="283"/>
      <c r="PTQ11" s="259" t="s">
        <v>55</v>
      </c>
      <c r="PTR11" s="256" t="s">
        <v>76</v>
      </c>
      <c r="PTS11" s="256" t="s">
        <v>77</v>
      </c>
      <c r="PTT11" s="256" t="s">
        <v>78</v>
      </c>
      <c r="PTU11" s="256" t="s">
        <v>79</v>
      </c>
      <c r="PTV11" s="256" t="s">
        <v>80</v>
      </c>
      <c r="PTW11" s="58" t="s">
        <v>81</v>
      </c>
      <c r="PTX11" s="284"/>
      <c r="PTY11" s="259" t="s">
        <v>55</v>
      </c>
      <c r="PTZ11" s="256" t="s">
        <v>76</v>
      </c>
      <c r="PUA11" s="256" t="s">
        <v>77</v>
      </c>
      <c r="PUB11" s="256" t="s">
        <v>78</v>
      </c>
      <c r="PUC11" s="256" t="s">
        <v>79</v>
      </c>
      <c r="PUD11" s="256" t="s">
        <v>80</v>
      </c>
      <c r="PUE11" s="256" t="s">
        <v>81</v>
      </c>
      <c r="PUF11" s="283"/>
      <c r="PUG11" s="259" t="s">
        <v>55</v>
      </c>
      <c r="PUH11" s="256" t="s">
        <v>76</v>
      </c>
      <c r="PUI11" s="256" t="s">
        <v>77</v>
      </c>
      <c r="PUJ11" s="256" t="s">
        <v>78</v>
      </c>
      <c r="PUK11" s="256" t="s">
        <v>79</v>
      </c>
      <c r="PUL11" s="256" t="s">
        <v>80</v>
      </c>
      <c r="PUM11" s="58" t="s">
        <v>81</v>
      </c>
      <c r="PUN11" s="284"/>
      <c r="PUO11" s="259" t="s">
        <v>55</v>
      </c>
      <c r="PUP11" s="256" t="s">
        <v>76</v>
      </c>
      <c r="PUQ11" s="256" t="s">
        <v>77</v>
      </c>
      <c r="PUR11" s="256" t="s">
        <v>78</v>
      </c>
      <c r="PUS11" s="256" t="s">
        <v>79</v>
      </c>
      <c r="PUT11" s="256" t="s">
        <v>80</v>
      </c>
      <c r="PUU11" s="256" t="s">
        <v>81</v>
      </c>
      <c r="PUV11" s="283"/>
      <c r="PUW11" s="259" t="s">
        <v>55</v>
      </c>
      <c r="PUX11" s="256" t="s">
        <v>76</v>
      </c>
      <c r="PUY11" s="256" t="s">
        <v>77</v>
      </c>
      <c r="PUZ11" s="256" t="s">
        <v>78</v>
      </c>
      <c r="PVA11" s="256" t="s">
        <v>79</v>
      </c>
      <c r="PVB11" s="256" t="s">
        <v>80</v>
      </c>
      <c r="PVC11" s="58" t="s">
        <v>81</v>
      </c>
      <c r="PVD11" s="284"/>
      <c r="PVE11" s="259" t="s">
        <v>55</v>
      </c>
      <c r="PVF11" s="256" t="s">
        <v>76</v>
      </c>
      <c r="PVG11" s="256" t="s">
        <v>77</v>
      </c>
      <c r="PVH11" s="256" t="s">
        <v>78</v>
      </c>
      <c r="PVI11" s="256" t="s">
        <v>79</v>
      </c>
      <c r="PVJ11" s="256" t="s">
        <v>80</v>
      </c>
      <c r="PVK11" s="256" t="s">
        <v>81</v>
      </c>
      <c r="PVL11" s="283"/>
      <c r="PVM11" s="259" t="s">
        <v>55</v>
      </c>
      <c r="PVN11" s="256" t="s">
        <v>76</v>
      </c>
      <c r="PVO11" s="256" t="s">
        <v>77</v>
      </c>
      <c r="PVP11" s="256" t="s">
        <v>78</v>
      </c>
      <c r="PVQ11" s="256" t="s">
        <v>79</v>
      </c>
      <c r="PVR11" s="256" t="s">
        <v>80</v>
      </c>
      <c r="PVS11" s="58" t="s">
        <v>81</v>
      </c>
      <c r="PVT11" s="284"/>
      <c r="PVU11" s="259" t="s">
        <v>55</v>
      </c>
      <c r="PVV11" s="256" t="s">
        <v>76</v>
      </c>
      <c r="PVW11" s="256" t="s">
        <v>77</v>
      </c>
      <c r="PVX11" s="256" t="s">
        <v>78</v>
      </c>
      <c r="PVY11" s="256" t="s">
        <v>79</v>
      </c>
      <c r="PVZ11" s="256" t="s">
        <v>80</v>
      </c>
      <c r="PWA11" s="256" t="s">
        <v>81</v>
      </c>
      <c r="PWB11" s="283"/>
      <c r="PWC11" s="259" t="s">
        <v>55</v>
      </c>
      <c r="PWD11" s="256" t="s">
        <v>76</v>
      </c>
      <c r="PWE11" s="256" t="s">
        <v>77</v>
      </c>
      <c r="PWF11" s="256" t="s">
        <v>78</v>
      </c>
      <c r="PWG11" s="256" t="s">
        <v>79</v>
      </c>
      <c r="PWH11" s="256" t="s">
        <v>80</v>
      </c>
      <c r="PWI11" s="58" t="s">
        <v>81</v>
      </c>
      <c r="PWJ11" s="284"/>
      <c r="PWK11" s="259" t="s">
        <v>55</v>
      </c>
      <c r="PWL11" s="256" t="s">
        <v>76</v>
      </c>
      <c r="PWM11" s="256" t="s">
        <v>77</v>
      </c>
      <c r="PWN11" s="256" t="s">
        <v>78</v>
      </c>
      <c r="PWO11" s="256" t="s">
        <v>79</v>
      </c>
      <c r="PWP11" s="256" t="s">
        <v>80</v>
      </c>
      <c r="PWQ11" s="256" t="s">
        <v>81</v>
      </c>
      <c r="PWR11" s="283"/>
      <c r="PWS11" s="259" t="s">
        <v>55</v>
      </c>
      <c r="PWT11" s="256" t="s">
        <v>76</v>
      </c>
      <c r="PWU11" s="256" t="s">
        <v>77</v>
      </c>
      <c r="PWV11" s="256" t="s">
        <v>78</v>
      </c>
      <c r="PWW11" s="256" t="s">
        <v>79</v>
      </c>
      <c r="PWX11" s="256" t="s">
        <v>80</v>
      </c>
      <c r="PWY11" s="58" t="s">
        <v>81</v>
      </c>
      <c r="PWZ11" s="284"/>
      <c r="PXA11" s="259" t="s">
        <v>55</v>
      </c>
      <c r="PXB11" s="256" t="s">
        <v>76</v>
      </c>
      <c r="PXC11" s="256" t="s">
        <v>77</v>
      </c>
      <c r="PXD11" s="256" t="s">
        <v>78</v>
      </c>
      <c r="PXE11" s="256" t="s">
        <v>79</v>
      </c>
      <c r="PXF11" s="256" t="s">
        <v>80</v>
      </c>
      <c r="PXG11" s="256" t="s">
        <v>81</v>
      </c>
      <c r="PXH11" s="283"/>
      <c r="PXI11" s="259" t="s">
        <v>55</v>
      </c>
      <c r="PXJ11" s="256" t="s">
        <v>76</v>
      </c>
      <c r="PXK11" s="256" t="s">
        <v>77</v>
      </c>
      <c r="PXL11" s="256" t="s">
        <v>78</v>
      </c>
      <c r="PXM11" s="256" t="s">
        <v>79</v>
      </c>
      <c r="PXN11" s="256" t="s">
        <v>80</v>
      </c>
      <c r="PXO11" s="58" t="s">
        <v>81</v>
      </c>
      <c r="PXP11" s="284"/>
      <c r="PXQ11" s="259" t="s">
        <v>55</v>
      </c>
      <c r="PXR11" s="256" t="s">
        <v>76</v>
      </c>
      <c r="PXS11" s="256" t="s">
        <v>77</v>
      </c>
      <c r="PXT11" s="256" t="s">
        <v>78</v>
      </c>
      <c r="PXU11" s="256" t="s">
        <v>79</v>
      </c>
      <c r="PXV11" s="256" t="s">
        <v>80</v>
      </c>
      <c r="PXW11" s="256" t="s">
        <v>81</v>
      </c>
      <c r="PXX11" s="283"/>
      <c r="PXY11" s="259" t="s">
        <v>55</v>
      </c>
      <c r="PXZ11" s="256" t="s">
        <v>76</v>
      </c>
      <c r="PYA11" s="256" t="s">
        <v>77</v>
      </c>
      <c r="PYB11" s="256" t="s">
        <v>78</v>
      </c>
      <c r="PYC11" s="256" t="s">
        <v>79</v>
      </c>
      <c r="PYD11" s="256" t="s">
        <v>80</v>
      </c>
      <c r="PYE11" s="58" t="s">
        <v>81</v>
      </c>
      <c r="PYF11" s="284"/>
      <c r="PYG11" s="259" t="s">
        <v>55</v>
      </c>
      <c r="PYH11" s="256" t="s">
        <v>76</v>
      </c>
      <c r="PYI11" s="256" t="s">
        <v>77</v>
      </c>
      <c r="PYJ11" s="256" t="s">
        <v>78</v>
      </c>
      <c r="PYK11" s="256" t="s">
        <v>79</v>
      </c>
      <c r="PYL11" s="256" t="s">
        <v>80</v>
      </c>
      <c r="PYM11" s="256" t="s">
        <v>81</v>
      </c>
      <c r="PYN11" s="283"/>
      <c r="PYO11" s="259" t="s">
        <v>55</v>
      </c>
      <c r="PYP11" s="256" t="s">
        <v>76</v>
      </c>
      <c r="PYQ11" s="256" t="s">
        <v>77</v>
      </c>
      <c r="PYR11" s="256" t="s">
        <v>78</v>
      </c>
      <c r="PYS11" s="256" t="s">
        <v>79</v>
      </c>
      <c r="PYT11" s="256" t="s">
        <v>80</v>
      </c>
      <c r="PYU11" s="58" t="s">
        <v>81</v>
      </c>
      <c r="PYV11" s="284"/>
      <c r="PYW11" s="259" t="s">
        <v>55</v>
      </c>
      <c r="PYX11" s="256" t="s">
        <v>76</v>
      </c>
      <c r="PYY11" s="256" t="s">
        <v>77</v>
      </c>
      <c r="PYZ11" s="256" t="s">
        <v>78</v>
      </c>
      <c r="PZA11" s="256" t="s">
        <v>79</v>
      </c>
      <c r="PZB11" s="256" t="s">
        <v>80</v>
      </c>
      <c r="PZC11" s="256" t="s">
        <v>81</v>
      </c>
      <c r="PZD11" s="283"/>
      <c r="PZE11" s="259" t="s">
        <v>55</v>
      </c>
      <c r="PZF11" s="256" t="s">
        <v>76</v>
      </c>
      <c r="PZG11" s="256" t="s">
        <v>77</v>
      </c>
      <c r="PZH11" s="256" t="s">
        <v>78</v>
      </c>
      <c r="PZI11" s="256" t="s">
        <v>79</v>
      </c>
      <c r="PZJ11" s="256" t="s">
        <v>80</v>
      </c>
      <c r="PZK11" s="58" t="s">
        <v>81</v>
      </c>
      <c r="PZL11" s="284"/>
      <c r="PZM11" s="259" t="s">
        <v>55</v>
      </c>
      <c r="PZN11" s="256" t="s">
        <v>76</v>
      </c>
      <c r="PZO11" s="256" t="s">
        <v>77</v>
      </c>
      <c r="PZP11" s="256" t="s">
        <v>78</v>
      </c>
      <c r="PZQ11" s="256" t="s">
        <v>79</v>
      </c>
      <c r="PZR11" s="256" t="s">
        <v>80</v>
      </c>
      <c r="PZS11" s="256" t="s">
        <v>81</v>
      </c>
      <c r="PZT11" s="283"/>
      <c r="PZU11" s="259" t="s">
        <v>55</v>
      </c>
      <c r="PZV11" s="256" t="s">
        <v>76</v>
      </c>
      <c r="PZW11" s="256" t="s">
        <v>77</v>
      </c>
      <c r="PZX11" s="256" t="s">
        <v>78</v>
      </c>
      <c r="PZY11" s="256" t="s">
        <v>79</v>
      </c>
      <c r="PZZ11" s="256" t="s">
        <v>80</v>
      </c>
      <c r="QAA11" s="58" t="s">
        <v>81</v>
      </c>
      <c r="QAB11" s="284"/>
      <c r="QAC11" s="259" t="s">
        <v>55</v>
      </c>
      <c r="QAD11" s="256" t="s">
        <v>76</v>
      </c>
      <c r="QAE11" s="256" t="s">
        <v>77</v>
      </c>
      <c r="QAF11" s="256" t="s">
        <v>78</v>
      </c>
      <c r="QAG11" s="256" t="s">
        <v>79</v>
      </c>
      <c r="QAH11" s="256" t="s">
        <v>80</v>
      </c>
      <c r="QAI11" s="256" t="s">
        <v>81</v>
      </c>
      <c r="QAJ11" s="283"/>
      <c r="QAK11" s="259" t="s">
        <v>55</v>
      </c>
      <c r="QAL11" s="256" t="s">
        <v>76</v>
      </c>
      <c r="QAM11" s="256" t="s">
        <v>77</v>
      </c>
      <c r="QAN11" s="256" t="s">
        <v>78</v>
      </c>
      <c r="QAO11" s="256" t="s">
        <v>79</v>
      </c>
      <c r="QAP11" s="256" t="s">
        <v>80</v>
      </c>
      <c r="QAQ11" s="58" t="s">
        <v>81</v>
      </c>
      <c r="QAR11" s="284"/>
      <c r="QAS11" s="259" t="s">
        <v>55</v>
      </c>
      <c r="QAT11" s="256" t="s">
        <v>76</v>
      </c>
      <c r="QAU11" s="256" t="s">
        <v>77</v>
      </c>
      <c r="QAV11" s="256" t="s">
        <v>78</v>
      </c>
      <c r="QAW11" s="256" t="s">
        <v>79</v>
      </c>
      <c r="QAX11" s="256" t="s">
        <v>80</v>
      </c>
      <c r="QAY11" s="256" t="s">
        <v>81</v>
      </c>
      <c r="QAZ11" s="283"/>
      <c r="QBA11" s="259" t="s">
        <v>55</v>
      </c>
      <c r="QBB11" s="256" t="s">
        <v>76</v>
      </c>
      <c r="QBC11" s="256" t="s">
        <v>77</v>
      </c>
      <c r="QBD11" s="256" t="s">
        <v>78</v>
      </c>
      <c r="QBE11" s="256" t="s">
        <v>79</v>
      </c>
      <c r="QBF11" s="256" t="s">
        <v>80</v>
      </c>
      <c r="QBG11" s="58" t="s">
        <v>81</v>
      </c>
      <c r="QBH11" s="284"/>
      <c r="QBI11" s="259" t="s">
        <v>55</v>
      </c>
      <c r="QBJ11" s="256" t="s">
        <v>76</v>
      </c>
      <c r="QBK11" s="256" t="s">
        <v>77</v>
      </c>
      <c r="QBL11" s="256" t="s">
        <v>78</v>
      </c>
      <c r="QBM11" s="256" t="s">
        <v>79</v>
      </c>
      <c r="QBN11" s="256" t="s">
        <v>80</v>
      </c>
      <c r="QBO11" s="256" t="s">
        <v>81</v>
      </c>
      <c r="QBP11" s="283"/>
      <c r="QBQ11" s="259" t="s">
        <v>55</v>
      </c>
      <c r="QBR11" s="256" t="s">
        <v>76</v>
      </c>
      <c r="QBS11" s="256" t="s">
        <v>77</v>
      </c>
      <c r="QBT11" s="256" t="s">
        <v>78</v>
      </c>
      <c r="QBU11" s="256" t="s">
        <v>79</v>
      </c>
      <c r="QBV11" s="256" t="s">
        <v>80</v>
      </c>
      <c r="QBW11" s="58" t="s">
        <v>81</v>
      </c>
      <c r="QBX11" s="284"/>
      <c r="QBY11" s="259" t="s">
        <v>55</v>
      </c>
      <c r="QBZ11" s="256" t="s">
        <v>76</v>
      </c>
      <c r="QCA11" s="256" t="s">
        <v>77</v>
      </c>
      <c r="QCB11" s="256" t="s">
        <v>78</v>
      </c>
      <c r="QCC11" s="256" t="s">
        <v>79</v>
      </c>
      <c r="QCD11" s="256" t="s">
        <v>80</v>
      </c>
      <c r="QCE11" s="256" t="s">
        <v>81</v>
      </c>
      <c r="QCF11" s="283"/>
      <c r="QCG11" s="259" t="s">
        <v>55</v>
      </c>
      <c r="QCH11" s="256" t="s">
        <v>76</v>
      </c>
      <c r="QCI11" s="256" t="s">
        <v>77</v>
      </c>
      <c r="QCJ11" s="256" t="s">
        <v>78</v>
      </c>
      <c r="QCK11" s="256" t="s">
        <v>79</v>
      </c>
      <c r="QCL11" s="256" t="s">
        <v>80</v>
      </c>
      <c r="QCM11" s="58" t="s">
        <v>81</v>
      </c>
      <c r="QCN11" s="284"/>
      <c r="QCO11" s="259" t="s">
        <v>55</v>
      </c>
      <c r="QCP11" s="256" t="s">
        <v>76</v>
      </c>
      <c r="QCQ11" s="256" t="s">
        <v>77</v>
      </c>
      <c r="QCR11" s="256" t="s">
        <v>78</v>
      </c>
      <c r="QCS11" s="256" t="s">
        <v>79</v>
      </c>
      <c r="QCT11" s="256" t="s">
        <v>80</v>
      </c>
      <c r="QCU11" s="256" t="s">
        <v>81</v>
      </c>
      <c r="QCV11" s="283"/>
      <c r="QCW11" s="259" t="s">
        <v>55</v>
      </c>
      <c r="QCX11" s="256" t="s">
        <v>76</v>
      </c>
      <c r="QCY11" s="256" t="s">
        <v>77</v>
      </c>
      <c r="QCZ11" s="256" t="s">
        <v>78</v>
      </c>
      <c r="QDA11" s="256" t="s">
        <v>79</v>
      </c>
      <c r="QDB11" s="256" t="s">
        <v>80</v>
      </c>
      <c r="QDC11" s="58" t="s">
        <v>81</v>
      </c>
      <c r="QDD11" s="284"/>
      <c r="QDE11" s="259" t="s">
        <v>55</v>
      </c>
      <c r="QDF11" s="256" t="s">
        <v>76</v>
      </c>
      <c r="QDG11" s="256" t="s">
        <v>77</v>
      </c>
      <c r="QDH11" s="256" t="s">
        <v>78</v>
      </c>
      <c r="QDI11" s="256" t="s">
        <v>79</v>
      </c>
      <c r="QDJ11" s="256" t="s">
        <v>80</v>
      </c>
      <c r="QDK11" s="256" t="s">
        <v>81</v>
      </c>
      <c r="QDL11" s="283"/>
      <c r="QDM11" s="259" t="s">
        <v>55</v>
      </c>
      <c r="QDN11" s="256" t="s">
        <v>76</v>
      </c>
      <c r="QDO11" s="256" t="s">
        <v>77</v>
      </c>
      <c r="QDP11" s="256" t="s">
        <v>78</v>
      </c>
      <c r="QDQ11" s="256" t="s">
        <v>79</v>
      </c>
      <c r="QDR11" s="256" t="s">
        <v>80</v>
      </c>
      <c r="QDS11" s="58" t="s">
        <v>81</v>
      </c>
      <c r="QDT11" s="284"/>
      <c r="QDU11" s="259" t="s">
        <v>55</v>
      </c>
      <c r="QDV11" s="256" t="s">
        <v>76</v>
      </c>
      <c r="QDW11" s="256" t="s">
        <v>77</v>
      </c>
      <c r="QDX11" s="256" t="s">
        <v>78</v>
      </c>
      <c r="QDY11" s="256" t="s">
        <v>79</v>
      </c>
      <c r="QDZ11" s="256" t="s">
        <v>80</v>
      </c>
      <c r="QEA11" s="256" t="s">
        <v>81</v>
      </c>
      <c r="QEB11" s="283"/>
      <c r="QEC11" s="259" t="s">
        <v>55</v>
      </c>
      <c r="QED11" s="256" t="s">
        <v>76</v>
      </c>
      <c r="QEE11" s="256" t="s">
        <v>77</v>
      </c>
      <c r="QEF11" s="256" t="s">
        <v>78</v>
      </c>
      <c r="QEG11" s="256" t="s">
        <v>79</v>
      </c>
      <c r="QEH11" s="256" t="s">
        <v>80</v>
      </c>
      <c r="QEI11" s="58" t="s">
        <v>81</v>
      </c>
      <c r="QEJ11" s="284"/>
      <c r="QEK11" s="259" t="s">
        <v>55</v>
      </c>
      <c r="QEL11" s="256" t="s">
        <v>76</v>
      </c>
      <c r="QEM11" s="256" t="s">
        <v>77</v>
      </c>
      <c r="QEN11" s="256" t="s">
        <v>78</v>
      </c>
      <c r="QEO11" s="256" t="s">
        <v>79</v>
      </c>
      <c r="QEP11" s="256" t="s">
        <v>80</v>
      </c>
      <c r="QEQ11" s="256" t="s">
        <v>81</v>
      </c>
      <c r="QER11" s="283"/>
      <c r="QES11" s="259" t="s">
        <v>55</v>
      </c>
      <c r="QET11" s="256" t="s">
        <v>76</v>
      </c>
      <c r="QEU11" s="256" t="s">
        <v>77</v>
      </c>
      <c r="QEV11" s="256" t="s">
        <v>78</v>
      </c>
      <c r="QEW11" s="256" t="s">
        <v>79</v>
      </c>
      <c r="QEX11" s="256" t="s">
        <v>80</v>
      </c>
      <c r="QEY11" s="58" t="s">
        <v>81</v>
      </c>
      <c r="QEZ11" s="284"/>
      <c r="QFA11" s="259" t="s">
        <v>55</v>
      </c>
      <c r="QFB11" s="256" t="s">
        <v>76</v>
      </c>
      <c r="QFC11" s="256" t="s">
        <v>77</v>
      </c>
      <c r="QFD11" s="256" t="s">
        <v>78</v>
      </c>
      <c r="QFE11" s="256" t="s">
        <v>79</v>
      </c>
      <c r="QFF11" s="256" t="s">
        <v>80</v>
      </c>
      <c r="QFG11" s="256" t="s">
        <v>81</v>
      </c>
      <c r="QFH11" s="283"/>
      <c r="QFI11" s="259" t="s">
        <v>55</v>
      </c>
      <c r="QFJ11" s="256" t="s">
        <v>76</v>
      </c>
      <c r="QFK11" s="256" t="s">
        <v>77</v>
      </c>
      <c r="QFL11" s="256" t="s">
        <v>78</v>
      </c>
      <c r="QFM11" s="256" t="s">
        <v>79</v>
      </c>
      <c r="QFN11" s="256" t="s">
        <v>80</v>
      </c>
      <c r="QFO11" s="58" t="s">
        <v>81</v>
      </c>
      <c r="QFP11" s="284"/>
      <c r="QFQ11" s="259" t="s">
        <v>55</v>
      </c>
      <c r="QFR11" s="256" t="s">
        <v>76</v>
      </c>
      <c r="QFS11" s="256" t="s">
        <v>77</v>
      </c>
      <c r="QFT11" s="256" t="s">
        <v>78</v>
      </c>
      <c r="QFU11" s="256" t="s">
        <v>79</v>
      </c>
      <c r="QFV11" s="256" t="s">
        <v>80</v>
      </c>
      <c r="QFW11" s="256" t="s">
        <v>81</v>
      </c>
      <c r="QFX11" s="283"/>
      <c r="QFY11" s="259" t="s">
        <v>55</v>
      </c>
      <c r="QFZ11" s="256" t="s">
        <v>76</v>
      </c>
      <c r="QGA11" s="256" t="s">
        <v>77</v>
      </c>
      <c r="QGB11" s="256" t="s">
        <v>78</v>
      </c>
      <c r="QGC11" s="256" t="s">
        <v>79</v>
      </c>
      <c r="QGD11" s="256" t="s">
        <v>80</v>
      </c>
      <c r="QGE11" s="58" t="s">
        <v>81</v>
      </c>
      <c r="QGF11" s="284"/>
      <c r="QGG11" s="259" t="s">
        <v>55</v>
      </c>
      <c r="QGH11" s="256" t="s">
        <v>76</v>
      </c>
      <c r="QGI11" s="256" t="s">
        <v>77</v>
      </c>
      <c r="QGJ11" s="256" t="s">
        <v>78</v>
      </c>
      <c r="QGK11" s="256" t="s">
        <v>79</v>
      </c>
      <c r="QGL11" s="256" t="s">
        <v>80</v>
      </c>
      <c r="QGM11" s="256" t="s">
        <v>81</v>
      </c>
      <c r="QGN11" s="283"/>
      <c r="QGO11" s="259" t="s">
        <v>55</v>
      </c>
      <c r="QGP11" s="256" t="s">
        <v>76</v>
      </c>
      <c r="QGQ11" s="256" t="s">
        <v>77</v>
      </c>
      <c r="QGR11" s="256" t="s">
        <v>78</v>
      </c>
      <c r="QGS11" s="256" t="s">
        <v>79</v>
      </c>
      <c r="QGT11" s="256" t="s">
        <v>80</v>
      </c>
      <c r="QGU11" s="58" t="s">
        <v>81</v>
      </c>
      <c r="QGV11" s="284"/>
      <c r="QGW11" s="259" t="s">
        <v>55</v>
      </c>
      <c r="QGX11" s="256" t="s">
        <v>76</v>
      </c>
      <c r="QGY11" s="256" t="s">
        <v>77</v>
      </c>
      <c r="QGZ11" s="256" t="s">
        <v>78</v>
      </c>
      <c r="QHA11" s="256" t="s">
        <v>79</v>
      </c>
      <c r="QHB11" s="256" t="s">
        <v>80</v>
      </c>
      <c r="QHC11" s="256" t="s">
        <v>81</v>
      </c>
      <c r="QHD11" s="283"/>
      <c r="QHE11" s="259" t="s">
        <v>55</v>
      </c>
      <c r="QHF11" s="256" t="s">
        <v>76</v>
      </c>
      <c r="QHG11" s="256" t="s">
        <v>77</v>
      </c>
      <c r="QHH11" s="256" t="s">
        <v>78</v>
      </c>
      <c r="QHI11" s="256" t="s">
        <v>79</v>
      </c>
      <c r="QHJ11" s="256" t="s">
        <v>80</v>
      </c>
      <c r="QHK11" s="58" t="s">
        <v>81</v>
      </c>
      <c r="QHL11" s="284"/>
      <c r="QHM11" s="259" t="s">
        <v>55</v>
      </c>
      <c r="QHN11" s="256" t="s">
        <v>76</v>
      </c>
      <c r="QHO11" s="256" t="s">
        <v>77</v>
      </c>
      <c r="QHP11" s="256" t="s">
        <v>78</v>
      </c>
      <c r="QHQ11" s="256" t="s">
        <v>79</v>
      </c>
      <c r="QHR11" s="256" t="s">
        <v>80</v>
      </c>
      <c r="QHS11" s="256" t="s">
        <v>81</v>
      </c>
      <c r="QHT11" s="283"/>
      <c r="QHU11" s="259" t="s">
        <v>55</v>
      </c>
      <c r="QHV11" s="256" t="s">
        <v>76</v>
      </c>
      <c r="QHW11" s="256" t="s">
        <v>77</v>
      </c>
      <c r="QHX11" s="256" t="s">
        <v>78</v>
      </c>
      <c r="QHY11" s="256" t="s">
        <v>79</v>
      </c>
      <c r="QHZ11" s="256" t="s">
        <v>80</v>
      </c>
      <c r="QIA11" s="58" t="s">
        <v>81</v>
      </c>
      <c r="QIB11" s="284"/>
      <c r="QIC11" s="259" t="s">
        <v>55</v>
      </c>
      <c r="QID11" s="256" t="s">
        <v>76</v>
      </c>
      <c r="QIE11" s="256" t="s">
        <v>77</v>
      </c>
      <c r="QIF11" s="256" t="s">
        <v>78</v>
      </c>
      <c r="QIG11" s="256" t="s">
        <v>79</v>
      </c>
      <c r="QIH11" s="256" t="s">
        <v>80</v>
      </c>
      <c r="QII11" s="256" t="s">
        <v>81</v>
      </c>
      <c r="QIJ11" s="283"/>
      <c r="QIK11" s="259" t="s">
        <v>55</v>
      </c>
      <c r="QIL11" s="256" t="s">
        <v>76</v>
      </c>
      <c r="QIM11" s="256" t="s">
        <v>77</v>
      </c>
      <c r="QIN11" s="256" t="s">
        <v>78</v>
      </c>
      <c r="QIO11" s="256" t="s">
        <v>79</v>
      </c>
      <c r="QIP11" s="256" t="s">
        <v>80</v>
      </c>
      <c r="QIQ11" s="58" t="s">
        <v>81</v>
      </c>
      <c r="QIR11" s="284"/>
      <c r="QIS11" s="259" t="s">
        <v>55</v>
      </c>
      <c r="QIT11" s="256" t="s">
        <v>76</v>
      </c>
      <c r="QIU11" s="256" t="s">
        <v>77</v>
      </c>
      <c r="QIV11" s="256" t="s">
        <v>78</v>
      </c>
      <c r="QIW11" s="256" t="s">
        <v>79</v>
      </c>
      <c r="QIX11" s="256" t="s">
        <v>80</v>
      </c>
      <c r="QIY11" s="256" t="s">
        <v>81</v>
      </c>
      <c r="QIZ11" s="283"/>
      <c r="QJA11" s="259" t="s">
        <v>55</v>
      </c>
      <c r="QJB11" s="256" t="s">
        <v>76</v>
      </c>
      <c r="QJC11" s="256" t="s">
        <v>77</v>
      </c>
      <c r="QJD11" s="256" t="s">
        <v>78</v>
      </c>
      <c r="QJE11" s="256" t="s">
        <v>79</v>
      </c>
      <c r="QJF11" s="256" t="s">
        <v>80</v>
      </c>
      <c r="QJG11" s="58" t="s">
        <v>81</v>
      </c>
      <c r="QJH11" s="284"/>
      <c r="QJI11" s="259" t="s">
        <v>55</v>
      </c>
      <c r="QJJ11" s="256" t="s">
        <v>76</v>
      </c>
      <c r="QJK11" s="256" t="s">
        <v>77</v>
      </c>
      <c r="QJL11" s="256" t="s">
        <v>78</v>
      </c>
      <c r="QJM11" s="256" t="s">
        <v>79</v>
      </c>
      <c r="QJN11" s="256" t="s">
        <v>80</v>
      </c>
      <c r="QJO11" s="256" t="s">
        <v>81</v>
      </c>
      <c r="QJP11" s="283"/>
      <c r="QJQ11" s="259" t="s">
        <v>55</v>
      </c>
      <c r="QJR11" s="256" t="s">
        <v>76</v>
      </c>
      <c r="QJS11" s="256" t="s">
        <v>77</v>
      </c>
      <c r="QJT11" s="256" t="s">
        <v>78</v>
      </c>
      <c r="QJU11" s="256" t="s">
        <v>79</v>
      </c>
      <c r="QJV11" s="256" t="s">
        <v>80</v>
      </c>
      <c r="QJW11" s="58" t="s">
        <v>81</v>
      </c>
      <c r="QJX11" s="284"/>
      <c r="QJY11" s="259" t="s">
        <v>55</v>
      </c>
      <c r="QJZ11" s="256" t="s">
        <v>76</v>
      </c>
      <c r="QKA11" s="256" t="s">
        <v>77</v>
      </c>
      <c r="QKB11" s="256" t="s">
        <v>78</v>
      </c>
      <c r="QKC11" s="256" t="s">
        <v>79</v>
      </c>
      <c r="QKD11" s="256" t="s">
        <v>80</v>
      </c>
      <c r="QKE11" s="256" t="s">
        <v>81</v>
      </c>
      <c r="QKF11" s="283"/>
      <c r="QKG11" s="259" t="s">
        <v>55</v>
      </c>
      <c r="QKH11" s="256" t="s">
        <v>76</v>
      </c>
      <c r="QKI11" s="256" t="s">
        <v>77</v>
      </c>
      <c r="QKJ11" s="256" t="s">
        <v>78</v>
      </c>
      <c r="QKK11" s="256" t="s">
        <v>79</v>
      </c>
      <c r="QKL11" s="256" t="s">
        <v>80</v>
      </c>
      <c r="QKM11" s="58" t="s">
        <v>81</v>
      </c>
      <c r="QKN11" s="284"/>
      <c r="QKO11" s="259" t="s">
        <v>55</v>
      </c>
      <c r="QKP11" s="256" t="s">
        <v>76</v>
      </c>
      <c r="QKQ11" s="256" t="s">
        <v>77</v>
      </c>
      <c r="QKR11" s="256" t="s">
        <v>78</v>
      </c>
      <c r="QKS11" s="256" t="s">
        <v>79</v>
      </c>
      <c r="QKT11" s="256" t="s">
        <v>80</v>
      </c>
      <c r="QKU11" s="256" t="s">
        <v>81</v>
      </c>
      <c r="QKV11" s="283"/>
      <c r="QKW11" s="259" t="s">
        <v>55</v>
      </c>
      <c r="QKX11" s="256" t="s">
        <v>76</v>
      </c>
      <c r="QKY11" s="256" t="s">
        <v>77</v>
      </c>
      <c r="QKZ11" s="256" t="s">
        <v>78</v>
      </c>
      <c r="QLA11" s="256" t="s">
        <v>79</v>
      </c>
      <c r="QLB11" s="256" t="s">
        <v>80</v>
      </c>
      <c r="QLC11" s="58" t="s">
        <v>81</v>
      </c>
      <c r="QLD11" s="284"/>
      <c r="QLE11" s="259" t="s">
        <v>55</v>
      </c>
      <c r="QLF11" s="256" t="s">
        <v>76</v>
      </c>
      <c r="QLG11" s="256" t="s">
        <v>77</v>
      </c>
      <c r="QLH11" s="256" t="s">
        <v>78</v>
      </c>
      <c r="QLI11" s="256" t="s">
        <v>79</v>
      </c>
      <c r="QLJ11" s="256" t="s">
        <v>80</v>
      </c>
      <c r="QLK11" s="256" t="s">
        <v>81</v>
      </c>
      <c r="QLL11" s="283"/>
      <c r="QLM11" s="259" t="s">
        <v>55</v>
      </c>
      <c r="QLN11" s="256" t="s">
        <v>76</v>
      </c>
      <c r="QLO11" s="256" t="s">
        <v>77</v>
      </c>
      <c r="QLP11" s="256" t="s">
        <v>78</v>
      </c>
      <c r="QLQ11" s="256" t="s">
        <v>79</v>
      </c>
      <c r="QLR11" s="256" t="s">
        <v>80</v>
      </c>
      <c r="QLS11" s="58" t="s">
        <v>81</v>
      </c>
      <c r="QLT11" s="284"/>
      <c r="QLU11" s="259" t="s">
        <v>55</v>
      </c>
      <c r="QLV11" s="256" t="s">
        <v>76</v>
      </c>
      <c r="QLW11" s="256" t="s">
        <v>77</v>
      </c>
      <c r="QLX11" s="256" t="s">
        <v>78</v>
      </c>
      <c r="QLY11" s="256" t="s">
        <v>79</v>
      </c>
      <c r="QLZ11" s="256" t="s">
        <v>80</v>
      </c>
      <c r="QMA11" s="256" t="s">
        <v>81</v>
      </c>
      <c r="QMB11" s="283"/>
      <c r="QMC11" s="259" t="s">
        <v>55</v>
      </c>
      <c r="QMD11" s="256" t="s">
        <v>76</v>
      </c>
      <c r="QME11" s="256" t="s">
        <v>77</v>
      </c>
      <c r="QMF11" s="256" t="s">
        <v>78</v>
      </c>
      <c r="QMG11" s="256" t="s">
        <v>79</v>
      </c>
      <c r="QMH11" s="256" t="s">
        <v>80</v>
      </c>
      <c r="QMI11" s="58" t="s">
        <v>81</v>
      </c>
      <c r="QMJ11" s="284"/>
      <c r="QMK11" s="259" t="s">
        <v>55</v>
      </c>
      <c r="QML11" s="256" t="s">
        <v>76</v>
      </c>
      <c r="QMM11" s="256" t="s">
        <v>77</v>
      </c>
      <c r="QMN11" s="256" t="s">
        <v>78</v>
      </c>
      <c r="QMO11" s="256" t="s">
        <v>79</v>
      </c>
      <c r="QMP11" s="256" t="s">
        <v>80</v>
      </c>
      <c r="QMQ11" s="256" t="s">
        <v>81</v>
      </c>
      <c r="QMR11" s="283"/>
      <c r="QMS11" s="259" t="s">
        <v>55</v>
      </c>
      <c r="QMT11" s="256" t="s">
        <v>76</v>
      </c>
      <c r="QMU11" s="256" t="s">
        <v>77</v>
      </c>
      <c r="QMV11" s="256" t="s">
        <v>78</v>
      </c>
      <c r="QMW11" s="256" t="s">
        <v>79</v>
      </c>
      <c r="QMX11" s="256" t="s">
        <v>80</v>
      </c>
      <c r="QMY11" s="58" t="s">
        <v>81</v>
      </c>
      <c r="QMZ11" s="284"/>
      <c r="QNA11" s="259" t="s">
        <v>55</v>
      </c>
      <c r="QNB11" s="256" t="s">
        <v>76</v>
      </c>
      <c r="QNC11" s="256" t="s">
        <v>77</v>
      </c>
      <c r="QND11" s="256" t="s">
        <v>78</v>
      </c>
      <c r="QNE11" s="256" t="s">
        <v>79</v>
      </c>
      <c r="QNF11" s="256" t="s">
        <v>80</v>
      </c>
      <c r="QNG11" s="256" t="s">
        <v>81</v>
      </c>
      <c r="QNH11" s="283"/>
      <c r="QNI11" s="259" t="s">
        <v>55</v>
      </c>
      <c r="QNJ11" s="256" t="s">
        <v>76</v>
      </c>
      <c r="QNK11" s="256" t="s">
        <v>77</v>
      </c>
      <c r="QNL11" s="256" t="s">
        <v>78</v>
      </c>
      <c r="QNM11" s="256" t="s">
        <v>79</v>
      </c>
      <c r="QNN11" s="256" t="s">
        <v>80</v>
      </c>
      <c r="QNO11" s="58" t="s">
        <v>81</v>
      </c>
      <c r="QNP11" s="284"/>
      <c r="QNQ11" s="259" t="s">
        <v>55</v>
      </c>
      <c r="QNR11" s="256" t="s">
        <v>76</v>
      </c>
      <c r="QNS11" s="256" t="s">
        <v>77</v>
      </c>
      <c r="QNT11" s="256" t="s">
        <v>78</v>
      </c>
      <c r="QNU11" s="256" t="s">
        <v>79</v>
      </c>
      <c r="QNV11" s="256" t="s">
        <v>80</v>
      </c>
      <c r="QNW11" s="256" t="s">
        <v>81</v>
      </c>
      <c r="QNX11" s="283"/>
      <c r="QNY11" s="259" t="s">
        <v>55</v>
      </c>
      <c r="QNZ11" s="256" t="s">
        <v>76</v>
      </c>
      <c r="QOA11" s="256" t="s">
        <v>77</v>
      </c>
      <c r="QOB11" s="256" t="s">
        <v>78</v>
      </c>
      <c r="QOC11" s="256" t="s">
        <v>79</v>
      </c>
      <c r="QOD11" s="256" t="s">
        <v>80</v>
      </c>
      <c r="QOE11" s="58" t="s">
        <v>81</v>
      </c>
      <c r="QOF11" s="284"/>
      <c r="QOG11" s="259" t="s">
        <v>55</v>
      </c>
      <c r="QOH11" s="256" t="s">
        <v>76</v>
      </c>
      <c r="QOI11" s="256" t="s">
        <v>77</v>
      </c>
      <c r="QOJ11" s="256" t="s">
        <v>78</v>
      </c>
      <c r="QOK11" s="256" t="s">
        <v>79</v>
      </c>
      <c r="QOL11" s="256" t="s">
        <v>80</v>
      </c>
      <c r="QOM11" s="256" t="s">
        <v>81</v>
      </c>
      <c r="QON11" s="283"/>
      <c r="QOO11" s="259" t="s">
        <v>55</v>
      </c>
      <c r="QOP11" s="256" t="s">
        <v>76</v>
      </c>
      <c r="QOQ11" s="256" t="s">
        <v>77</v>
      </c>
      <c r="QOR11" s="256" t="s">
        <v>78</v>
      </c>
      <c r="QOS11" s="256" t="s">
        <v>79</v>
      </c>
      <c r="QOT11" s="256" t="s">
        <v>80</v>
      </c>
      <c r="QOU11" s="58" t="s">
        <v>81</v>
      </c>
      <c r="QOV11" s="284"/>
      <c r="QOW11" s="259" t="s">
        <v>55</v>
      </c>
      <c r="QOX11" s="256" t="s">
        <v>76</v>
      </c>
      <c r="QOY11" s="256" t="s">
        <v>77</v>
      </c>
      <c r="QOZ11" s="256" t="s">
        <v>78</v>
      </c>
      <c r="QPA11" s="256" t="s">
        <v>79</v>
      </c>
      <c r="QPB11" s="256" t="s">
        <v>80</v>
      </c>
      <c r="QPC11" s="256" t="s">
        <v>81</v>
      </c>
      <c r="QPD11" s="283"/>
      <c r="QPE11" s="259" t="s">
        <v>55</v>
      </c>
      <c r="QPF11" s="256" t="s">
        <v>76</v>
      </c>
      <c r="QPG11" s="256" t="s">
        <v>77</v>
      </c>
      <c r="QPH11" s="256" t="s">
        <v>78</v>
      </c>
      <c r="QPI11" s="256" t="s">
        <v>79</v>
      </c>
      <c r="QPJ11" s="256" t="s">
        <v>80</v>
      </c>
      <c r="QPK11" s="58" t="s">
        <v>81</v>
      </c>
      <c r="QPL11" s="284"/>
      <c r="QPM11" s="259" t="s">
        <v>55</v>
      </c>
      <c r="QPN11" s="256" t="s">
        <v>76</v>
      </c>
      <c r="QPO11" s="256" t="s">
        <v>77</v>
      </c>
      <c r="QPP11" s="256" t="s">
        <v>78</v>
      </c>
      <c r="QPQ11" s="256" t="s">
        <v>79</v>
      </c>
      <c r="QPR11" s="256" t="s">
        <v>80</v>
      </c>
      <c r="QPS11" s="256" t="s">
        <v>81</v>
      </c>
      <c r="QPT11" s="283"/>
      <c r="QPU11" s="259" t="s">
        <v>55</v>
      </c>
      <c r="QPV11" s="256" t="s">
        <v>76</v>
      </c>
      <c r="QPW11" s="256" t="s">
        <v>77</v>
      </c>
      <c r="QPX11" s="256" t="s">
        <v>78</v>
      </c>
      <c r="QPY11" s="256" t="s">
        <v>79</v>
      </c>
      <c r="QPZ11" s="256" t="s">
        <v>80</v>
      </c>
      <c r="QQA11" s="58" t="s">
        <v>81</v>
      </c>
      <c r="QQB11" s="284"/>
      <c r="QQC11" s="259" t="s">
        <v>55</v>
      </c>
      <c r="QQD11" s="256" t="s">
        <v>76</v>
      </c>
      <c r="QQE11" s="256" t="s">
        <v>77</v>
      </c>
      <c r="QQF11" s="256" t="s">
        <v>78</v>
      </c>
      <c r="QQG11" s="256" t="s">
        <v>79</v>
      </c>
      <c r="QQH11" s="256" t="s">
        <v>80</v>
      </c>
      <c r="QQI11" s="256" t="s">
        <v>81</v>
      </c>
      <c r="QQJ11" s="283"/>
      <c r="QQK11" s="259" t="s">
        <v>55</v>
      </c>
      <c r="QQL11" s="256" t="s">
        <v>76</v>
      </c>
      <c r="QQM11" s="256" t="s">
        <v>77</v>
      </c>
      <c r="QQN11" s="256" t="s">
        <v>78</v>
      </c>
      <c r="QQO11" s="256" t="s">
        <v>79</v>
      </c>
      <c r="QQP11" s="256" t="s">
        <v>80</v>
      </c>
      <c r="QQQ11" s="58" t="s">
        <v>81</v>
      </c>
      <c r="QQR11" s="284"/>
      <c r="QQS11" s="259" t="s">
        <v>55</v>
      </c>
      <c r="QQT11" s="256" t="s">
        <v>76</v>
      </c>
      <c r="QQU11" s="256" t="s">
        <v>77</v>
      </c>
      <c r="QQV11" s="256" t="s">
        <v>78</v>
      </c>
      <c r="QQW11" s="256" t="s">
        <v>79</v>
      </c>
      <c r="QQX11" s="256" t="s">
        <v>80</v>
      </c>
      <c r="QQY11" s="256" t="s">
        <v>81</v>
      </c>
      <c r="QQZ11" s="283"/>
      <c r="QRA11" s="259" t="s">
        <v>55</v>
      </c>
      <c r="QRB11" s="256" t="s">
        <v>76</v>
      </c>
      <c r="QRC11" s="256" t="s">
        <v>77</v>
      </c>
      <c r="QRD11" s="256" t="s">
        <v>78</v>
      </c>
      <c r="QRE11" s="256" t="s">
        <v>79</v>
      </c>
      <c r="QRF11" s="256" t="s">
        <v>80</v>
      </c>
      <c r="QRG11" s="58" t="s">
        <v>81</v>
      </c>
      <c r="QRH11" s="284"/>
      <c r="QRI11" s="259" t="s">
        <v>55</v>
      </c>
      <c r="QRJ11" s="256" t="s">
        <v>76</v>
      </c>
      <c r="QRK11" s="256" t="s">
        <v>77</v>
      </c>
      <c r="QRL11" s="256" t="s">
        <v>78</v>
      </c>
      <c r="QRM11" s="256" t="s">
        <v>79</v>
      </c>
      <c r="QRN11" s="256" t="s">
        <v>80</v>
      </c>
      <c r="QRO11" s="256" t="s">
        <v>81</v>
      </c>
      <c r="QRP11" s="283"/>
      <c r="QRQ11" s="259" t="s">
        <v>55</v>
      </c>
      <c r="QRR11" s="256" t="s">
        <v>76</v>
      </c>
      <c r="QRS11" s="256" t="s">
        <v>77</v>
      </c>
      <c r="QRT11" s="256" t="s">
        <v>78</v>
      </c>
      <c r="QRU11" s="256" t="s">
        <v>79</v>
      </c>
      <c r="QRV11" s="256" t="s">
        <v>80</v>
      </c>
      <c r="QRW11" s="58" t="s">
        <v>81</v>
      </c>
      <c r="QRX11" s="284"/>
      <c r="QRY11" s="259" t="s">
        <v>55</v>
      </c>
      <c r="QRZ11" s="256" t="s">
        <v>76</v>
      </c>
      <c r="QSA11" s="256" t="s">
        <v>77</v>
      </c>
      <c r="QSB11" s="256" t="s">
        <v>78</v>
      </c>
      <c r="QSC11" s="256" t="s">
        <v>79</v>
      </c>
      <c r="QSD11" s="256" t="s">
        <v>80</v>
      </c>
      <c r="QSE11" s="256" t="s">
        <v>81</v>
      </c>
      <c r="QSF11" s="283"/>
      <c r="QSG11" s="259" t="s">
        <v>55</v>
      </c>
      <c r="QSH11" s="256" t="s">
        <v>76</v>
      </c>
      <c r="QSI11" s="256" t="s">
        <v>77</v>
      </c>
      <c r="QSJ11" s="256" t="s">
        <v>78</v>
      </c>
      <c r="QSK11" s="256" t="s">
        <v>79</v>
      </c>
      <c r="QSL11" s="256" t="s">
        <v>80</v>
      </c>
      <c r="QSM11" s="58" t="s">
        <v>81</v>
      </c>
      <c r="QSN11" s="284"/>
      <c r="QSO11" s="259" t="s">
        <v>55</v>
      </c>
      <c r="QSP11" s="256" t="s">
        <v>76</v>
      </c>
      <c r="QSQ11" s="256" t="s">
        <v>77</v>
      </c>
      <c r="QSR11" s="256" t="s">
        <v>78</v>
      </c>
      <c r="QSS11" s="256" t="s">
        <v>79</v>
      </c>
      <c r="QST11" s="256" t="s">
        <v>80</v>
      </c>
      <c r="QSU11" s="256" t="s">
        <v>81</v>
      </c>
      <c r="QSV11" s="283"/>
      <c r="QSW11" s="259" t="s">
        <v>55</v>
      </c>
      <c r="QSX11" s="256" t="s">
        <v>76</v>
      </c>
      <c r="QSY11" s="256" t="s">
        <v>77</v>
      </c>
      <c r="QSZ11" s="256" t="s">
        <v>78</v>
      </c>
      <c r="QTA11" s="256" t="s">
        <v>79</v>
      </c>
      <c r="QTB11" s="256" t="s">
        <v>80</v>
      </c>
      <c r="QTC11" s="58" t="s">
        <v>81</v>
      </c>
      <c r="QTD11" s="284"/>
      <c r="QTE11" s="259" t="s">
        <v>55</v>
      </c>
      <c r="QTF11" s="256" t="s">
        <v>76</v>
      </c>
      <c r="QTG11" s="256" t="s">
        <v>77</v>
      </c>
      <c r="QTH11" s="256" t="s">
        <v>78</v>
      </c>
      <c r="QTI11" s="256" t="s">
        <v>79</v>
      </c>
      <c r="QTJ11" s="256" t="s">
        <v>80</v>
      </c>
      <c r="QTK11" s="256" t="s">
        <v>81</v>
      </c>
      <c r="QTL11" s="283"/>
      <c r="QTM11" s="259" t="s">
        <v>55</v>
      </c>
      <c r="QTN11" s="256" t="s">
        <v>76</v>
      </c>
      <c r="QTO11" s="256" t="s">
        <v>77</v>
      </c>
      <c r="QTP11" s="256" t="s">
        <v>78</v>
      </c>
      <c r="QTQ11" s="256" t="s">
        <v>79</v>
      </c>
      <c r="QTR11" s="256" t="s">
        <v>80</v>
      </c>
      <c r="QTS11" s="58" t="s">
        <v>81</v>
      </c>
      <c r="QTT11" s="284"/>
      <c r="QTU11" s="259" t="s">
        <v>55</v>
      </c>
      <c r="QTV11" s="256" t="s">
        <v>76</v>
      </c>
      <c r="QTW11" s="256" t="s">
        <v>77</v>
      </c>
      <c r="QTX11" s="256" t="s">
        <v>78</v>
      </c>
      <c r="QTY11" s="256" t="s">
        <v>79</v>
      </c>
      <c r="QTZ11" s="256" t="s">
        <v>80</v>
      </c>
      <c r="QUA11" s="256" t="s">
        <v>81</v>
      </c>
      <c r="QUB11" s="283"/>
      <c r="QUC11" s="259" t="s">
        <v>55</v>
      </c>
      <c r="QUD11" s="256" t="s">
        <v>76</v>
      </c>
      <c r="QUE11" s="256" t="s">
        <v>77</v>
      </c>
      <c r="QUF11" s="256" t="s">
        <v>78</v>
      </c>
      <c r="QUG11" s="256" t="s">
        <v>79</v>
      </c>
      <c r="QUH11" s="256" t="s">
        <v>80</v>
      </c>
      <c r="QUI11" s="58" t="s">
        <v>81</v>
      </c>
      <c r="QUJ11" s="284"/>
      <c r="QUK11" s="259" t="s">
        <v>55</v>
      </c>
      <c r="QUL11" s="256" t="s">
        <v>76</v>
      </c>
      <c r="QUM11" s="256" t="s">
        <v>77</v>
      </c>
      <c r="QUN11" s="256" t="s">
        <v>78</v>
      </c>
      <c r="QUO11" s="256" t="s">
        <v>79</v>
      </c>
      <c r="QUP11" s="256" t="s">
        <v>80</v>
      </c>
      <c r="QUQ11" s="256" t="s">
        <v>81</v>
      </c>
      <c r="QUR11" s="283"/>
      <c r="QUS11" s="259" t="s">
        <v>55</v>
      </c>
      <c r="QUT11" s="256" t="s">
        <v>76</v>
      </c>
      <c r="QUU11" s="256" t="s">
        <v>77</v>
      </c>
      <c r="QUV11" s="256" t="s">
        <v>78</v>
      </c>
      <c r="QUW11" s="256" t="s">
        <v>79</v>
      </c>
      <c r="QUX11" s="256" t="s">
        <v>80</v>
      </c>
      <c r="QUY11" s="58" t="s">
        <v>81</v>
      </c>
      <c r="QUZ11" s="284"/>
      <c r="QVA11" s="259" t="s">
        <v>55</v>
      </c>
      <c r="QVB11" s="256" t="s">
        <v>76</v>
      </c>
      <c r="QVC11" s="256" t="s">
        <v>77</v>
      </c>
      <c r="QVD11" s="256" t="s">
        <v>78</v>
      </c>
      <c r="QVE11" s="256" t="s">
        <v>79</v>
      </c>
      <c r="QVF11" s="256" t="s">
        <v>80</v>
      </c>
      <c r="QVG11" s="256" t="s">
        <v>81</v>
      </c>
      <c r="QVH11" s="283"/>
      <c r="QVI11" s="259" t="s">
        <v>55</v>
      </c>
      <c r="QVJ11" s="256" t="s">
        <v>76</v>
      </c>
      <c r="QVK11" s="256" t="s">
        <v>77</v>
      </c>
      <c r="QVL11" s="256" t="s">
        <v>78</v>
      </c>
      <c r="QVM11" s="256" t="s">
        <v>79</v>
      </c>
      <c r="QVN11" s="256" t="s">
        <v>80</v>
      </c>
      <c r="QVO11" s="58" t="s">
        <v>81</v>
      </c>
      <c r="QVP11" s="284"/>
      <c r="QVQ11" s="259" t="s">
        <v>55</v>
      </c>
      <c r="QVR11" s="256" t="s">
        <v>76</v>
      </c>
      <c r="QVS11" s="256" t="s">
        <v>77</v>
      </c>
      <c r="QVT11" s="256" t="s">
        <v>78</v>
      </c>
      <c r="QVU11" s="256" t="s">
        <v>79</v>
      </c>
      <c r="QVV11" s="256" t="s">
        <v>80</v>
      </c>
      <c r="QVW11" s="256" t="s">
        <v>81</v>
      </c>
      <c r="QVX11" s="283"/>
      <c r="QVY11" s="259" t="s">
        <v>55</v>
      </c>
      <c r="QVZ11" s="256" t="s">
        <v>76</v>
      </c>
      <c r="QWA11" s="256" t="s">
        <v>77</v>
      </c>
      <c r="QWB11" s="256" t="s">
        <v>78</v>
      </c>
      <c r="QWC11" s="256" t="s">
        <v>79</v>
      </c>
      <c r="QWD11" s="256" t="s">
        <v>80</v>
      </c>
      <c r="QWE11" s="58" t="s">
        <v>81</v>
      </c>
      <c r="QWF11" s="284"/>
      <c r="QWG11" s="259" t="s">
        <v>55</v>
      </c>
      <c r="QWH11" s="256" t="s">
        <v>76</v>
      </c>
      <c r="QWI11" s="256" t="s">
        <v>77</v>
      </c>
      <c r="QWJ11" s="256" t="s">
        <v>78</v>
      </c>
      <c r="QWK11" s="256" t="s">
        <v>79</v>
      </c>
      <c r="QWL11" s="256" t="s">
        <v>80</v>
      </c>
      <c r="QWM11" s="256" t="s">
        <v>81</v>
      </c>
      <c r="QWN11" s="283"/>
      <c r="QWO11" s="259" t="s">
        <v>55</v>
      </c>
      <c r="QWP11" s="256" t="s">
        <v>76</v>
      </c>
      <c r="QWQ11" s="256" t="s">
        <v>77</v>
      </c>
      <c r="QWR11" s="256" t="s">
        <v>78</v>
      </c>
      <c r="QWS11" s="256" t="s">
        <v>79</v>
      </c>
      <c r="QWT11" s="256" t="s">
        <v>80</v>
      </c>
      <c r="QWU11" s="58" t="s">
        <v>81</v>
      </c>
      <c r="QWV11" s="284"/>
      <c r="QWW11" s="259" t="s">
        <v>55</v>
      </c>
      <c r="QWX11" s="256" t="s">
        <v>76</v>
      </c>
      <c r="QWY11" s="256" t="s">
        <v>77</v>
      </c>
      <c r="QWZ11" s="256" t="s">
        <v>78</v>
      </c>
      <c r="QXA11" s="256" t="s">
        <v>79</v>
      </c>
      <c r="QXB11" s="256" t="s">
        <v>80</v>
      </c>
      <c r="QXC11" s="256" t="s">
        <v>81</v>
      </c>
      <c r="QXD11" s="283"/>
      <c r="QXE11" s="259" t="s">
        <v>55</v>
      </c>
      <c r="QXF11" s="256" t="s">
        <v>76</v>
      </c>
      <c r="QXG11" s="256" t="s">
        <v>77</v>
      </c>
      <c r="QXH11" s="256" t="s">
        <v>78</v>
      </c>
      <c r="QXI11" s="256" t="s">
        <v>79</v>
      </c>
      <c r="QXJ11" s="256" t="s">
        <v>80</v>
      </c>
      <c r="QXK11" s="58" t="s">
        <v>81</v>
      </c>
      <c r="QXL11" s="284"/>
      <c r="QXM11" s="259" t="s">
        <v>55</v>
      </c>
      <c r="QXN11" s="256" t="s">
        <v>76</v>
      </c>
      <c r="QXO11" s="256" t="s">
        <v>77</v>
      </c>
      <c r="QXP11" s="256" t="s">
        <v>78</v>
      </c>
      <c r="QXQ11" s="256" t="s">
        <v>79</v>
      </c>
      <c r="QXR11" s="256" t="s">
        <v>80</v>
      </c>
      <c r="QXS11" s="256" t="s">
        <v>81</v>
      </c>
      <c r="QXT11" s="283"/>
      <c r="QXU11" s="259" t="s">
        <v>55</v>
      </c>
      <c r="QXV11" s="256" t="s">
        <v>76</v>
      </c>
      <c r="QXW11" s="256" t="s">
        <v>77</v>
      </c>
      <c r="QXX11" s="256" t="s">
        <v>78</v>
      </c>
      <c r="QXY11" s="256" t="s">
        <v>79</v>
      </c>
      <c r="QXZ11" s="256" t="s">
        <v>80</v>
      </c>
      <c r="QYA11" s="58" t="s">
        <v>81</v>
      </c>
      <c r="QYB11" s="284"/>
      <c r="QYC11" s="259" t="s">
        <v>55</v>
      </c>
      <c r="QYD11" s="256" t="s">
        <v>76</v>
      </c>
      <c r="QYE11" s="256" t="s">
        <v>77</v>
      </c>
      <c r="QYF11" s="256" t="s">
        <v>78</v>
      </c>
      <c r="QYG11" s="256" t="s">
        <v>79</v>
      </c>
      <c r="QYH11" s="256" t="s">
        <v>80</v>
      </c>
      <c r="QYI11" s="256" t="s">
        <v>81</v>
      </c>
      <c r="QYJ11" s="283"/>
      <c r="QYK11" s="259" t="s">
        <v>55</v>
      </c>
      <c r="QYL11" s="256" t="s">
        <v>76</v>
      </c>
      <c r="QYM11" s="256" t="s">
        <v>77</v>
      </c>
      <c r="QYN11" s="256" t="s">
        <v>78</v>
      </c>
      <c r="QYO11" s="256" t="s">
        <v>79</v>
      </c>
      <c r="QYP11" s="256" t="s">
        <v>80</v>
      </c>
      <c r="QYQ11" s="58" t="s">
        <v>81</v>
      </c>
      <c r="QYR11" s="284"/>
      <c r="QYS11" s="259" t="s">
        <v>55</v>
      </c>
      <c r="QYT11" s="256" t="s">
        <v>76</v>
      </c>
      <c r="QYU11" s="256" t="s">
        <v>77</v>
      </c>
      <c r="QYV11" s="256" t="s">
        <v>78</v>
      </c>
      <c r="QYW11" s="256" t="s">
        <v>79</v>
      </c>
      <c r="QYX11" s="256" t="s">
        <v>80</v>
      </c>
      <c r="QYY11" s="256" t="s">
        <v>81</v>
      </c>
      <c r="QYZ11" s="283"/>
      <c r="QZA11" s="259" t="s">
        <v>55</v>
      </c>
      <c r="QZB11" s="256" t="s">
        <v>76</v>
      </c>
      <c r="QZC11" s="256" t="s">
        <v>77</v>
      </c>
      <c r="QZD11" s="256" t="s">
        <v>78</v>
      </c>
      <c r="QZE11" s="256" t="s">
        <v>79</v>
      </c>
      <c r="QZF11" s="256" t="s">
        <v>80</v>
      </c>
      <c r="QZG11" s="58" t="s">
        <v>81</v>
      </c>
      <c r="QZH11" s="284"/>
      <c r="QZI11" s="259" t="s">
        <v>55</v>
      </c>
      <c r="QZJ11" s="256" t="s">
        <v>76</v>
      </c>
      <c r="QZK11" s="256" t="s">
        <v>77</v>
      </c>
      <c r="QZL11" s="256" t="s">
        <v>78</v>
      </c>
      <c r="QZM11" s="256" t="s">
        <v>79</v>
      </c>
      <c r="QZN11" s="256" t="s">
        <v>80</v>
      </c>
      <c r="QZO11" s="256" t="s">
        <v>81</v>
      </c>
      <c r="QZP11" s="283"/>
      <c r="QZQ11" s="259" t="s">
        <v>55</v>
      </c>
      <c r="QZR11" s="256" t="s">
        <v>76</v>
      </c>
      <c r="QZS11" s="256" t="s">
        <v>77</v>
      </c>
      <c r="QZT11" s="256" t="s">
        <v>78</v>
      </c>
      <c r="QZU11" s="256" t="s">
        <v>79</v>
      </c>
      <c r="QZV11" s="256" t="s">
        <v>80</v>
      </c>
      <c r="QZW11" s="58" t="s">
        <v>81</v>
      </c>
      <c r="QZX11" s="284"/>
      <c r="QZY11" s="259" t="s">
        <v>55</v>
      </c>
      <c r="QZZ11" s="256" t="s">
        <v>76</v>
      </c>
      <c r="RAA11" s="256" t="s">
        <v>77</v>
      </c>
      <c r="RAB11" s="256" t="s">
        <v>78</v>
      </c>
      <c r="RAC11" s="256" t="s">
        <v>79</v>
      </c>
      <c r="RAD11" s="256" t="s">
        <v>80</v>
      </c>
      <c r="RAE11" s="256" t="s">
        <v>81</v>
      </c>
      <c r="RAF11" s="283"/>
      <c r="RAG11" s="259" t="s">
        <v>55</v>
      </c>
      <c r="RAH11" s="256" t="s">
        <v>76</v>
      </c>
      <c r="RAI11" s="256" t="s">
        <v>77</v>
      </c>
      <c r="RAJ11" s="256" t="s">
        <v>78</v>
      </c>
      <c r="RAK11" s="256" t="s">
        <v>79</v>
      </c>
      <c r="RAL11" s="256" t="s">
        <v>80</v>
      </c>
      <c r="RAM11" s="58" t="s">
        <v>81</v>
      </c>
      <c r="RAN11" s="284"/>
      <c r="RAO11" s="259" t="s">
        <v>55</v>
      </c>
      <c r="RAP11" s="256" t="s">
        <v>76</v>
      </c>
      <c r="RAQ11" s="256" t="s">
        <v>77</v>
      </c>
      <c r="RAR11" s="256" t="s">
        <v>78</v>
      </c>
      <c r="RAS11" s="256" t="s">
        <v>79</v>
      </c>
      <c r="RAT11" s="256" t="s">
        <v>80</v>
      </c>
      <c r="RAU11" s="256" t="s">
        <v>81</v>
      </c>
      <c r="RAV11" s="283"/>
      <c r="RAW11" s="259" t="s">
        <v>55</v>
      </c>
      <c r="RAX11" s="256" t="s">
        <v>76</v>
      </c>
      <c r="RAY11" s="256" t="s">
        <v>77</v>
      </c>
      <c r="RAZ11" s="256" t="s">
        <v>78</v>
      </c>
      <c r="RBA11" s="256" t="s">
        <v>79</v>
      </c>
      <c r="RBB11" s="256" t="s">
        <v>80</v>
      </c>
      <c r="RBC11" s="58" t="s">
        <v>81</v>
      </c>
      <c r="RBD11" s="284"/>
      <c r="RBE11" s="259" t="s">
        <v>55</v>
      </c>
      <c r="RBF11" s="256" t="s">
        <v>76</v>
      </c>
      <c r="RBG11" s="256" t="s">
        <v>77</v>
      </c>
      <c r="RBH11" s="256" t="s">
        <v>78</v>
      </c>
      <c r="RBI11" s="256" t="s">
        <v>79</v>
      </c>
      <c r="RBJ11" s="256" t="s">
        <v>80</v>
      </c>
      <c r="RBK11" s="256" t="s">
        <v>81</v>
      </c>
      <c r="RBL11" s="283"/>
      <c r="RBM11" s="259" t="s">
        <v>55</v>
      </c>
      <c r="RBN11" s="256" t="s">
        <v>76</v>
      </c>
      <c r="RBO11" s="256" t="s">
        <v>77</v>
      </c>
      <c r="RBP11" s="256" t="s">
        <v>78</v>
      </c>
      <c r="RBQ11" s="256" t="s">
        <v>79</v>
      </c>
      <c r="RBR11" s="256" t="s">
        <v>80</v>
      </c>
      <c r="RBS11" s="58" t="s">
        <v>81</v>
      </c>
      <c r="RBT11" s="284"/>
      <c r="RBU11" s="259" t="s">
        <v>55</v>
      </c>
      <c r="RBV11" s="256" t="s">
        <v>76</v>
      </c>
      <c r="RBW11" s="256" t="s">
        <v>77</v>
      </c>
      <c r="RBX11" s="256" t="s">
        <v>78</v>
      </c>
      <c r="RBY11" s="256" t="s">
        <v>79</v>
      </c>
      <c r="RBZ11" s="256" t="s">
        <v>80</v>
      </c>
      <c r="RCA11" s="256" t="s">
        <v>81</v>
      </c>
      <c r="RCB11" s="283"/>
      <c r="RCC11" s="259" t="s">
        <v>55</v>
      </c>
      <c r="RCD11" s="256" t="s">
        <v>76</v>
      </c>
      <c r="RCE11" s="256" t="s">
        <v>77</v>
      </c>
      <c r="RCF11" s="256" t="s">
        <v>78</v>
      </c>
      <c r="RCG11" s="256" t="s">
        <v>79</v>
      </c>
      <c r="RCH11" s="256" t="s">
        <v>80</v>
      </c>
      <c r="RCI11" s="58" t="s">
        <v>81</v>
      </c>
      <c r="RCJ11" s="284"/>
      <c r="RCK11" s="259" t="s">
        <v>55</v>
      </c>
      <c r="RCL11" s="256" t="s">
        <v>76</v>
      </c>
      <c r="RCM11" s="256" t="s">
        <v>77</v>
      </c>
      <c r="RCN11" s="256" t="s">
        <v>78</v>
      </c>
      <c r="RCO11" s="256" t="s">
        <v>79</v>
      </c>
      <c r="RCP11" s="256" t="s">
        <v>80</v>
      </c>
      <c r="RCQ11" s="256" t="s">
        <v>81</v>
      </c>
      <c r="RCR11" s="283"/>
      <c r="RCS11" s="259" t="s">
        <v>55</v>
      </c>
      <c r="RCT11" s="256" t="s">
        <v>76</v>
      </c>
      <c r="RCU11" s="256" t="s">
        <v>77</v>
      </c>
      <c r="RCV11" s="256" t="s">
        <v>78</v>
      </c>
      <c r="RCW11" s="256" t="s">
        <v>79</v>
      </c>
      <c r="RCX11" s="256" t="s">
        <v>80</v>
      </c>
      <c r="RCY11" s="58" t="s">
        <v>81</v>
      </c>
      <c r="RCZ11" s="284"/>
      <c r="RDA11" s="259" t="s">
        <v>55</v>
      </c>
      <c r="RDB11" s="256" t="s">
        <v>76</v>
      </c>
      <c r="RDC11" s="256" t="s">
        <v>77</v>
      </c>
      <c r="RDD11" s="256" t="s">
        <v>78</v>
      </c>
      <c r="RDE11" s="256" t="s">
        <v>79</v>
      </c>
      <c r="RDF11" s="256" t="s">
        <v>80</v>
      </c>
      <c r="RDG11" s="256" t="s">
        <v>81</v>
      </c>
      <c r="RDH11" s="283"/>
      <c r="RDI11" s="259" t="s">
        <v>55</v>
      </c>
      <c r="RDJ11" s="256" t="s">
        <v>76</v>
      </c>
      <c r="RDK11" s="256" t="s">
        <v>77</v>
      </c>
      <c r="RDL11" s="256" t="s">
        <v>78</v>
      </c>
      <c r="RDM11" s="256" t="s">
        <v>79</v>
      </c>
      <c r="RDN11" s="256" t="s">
        <v>80</v>
      </c>
      <c r="RDO11" s="58" t="s">
        <v>81</v>
      </c>
      <c r="RDP11" s="284"/>
      <c r="RDQ11" s="259" t="s">
        <v>55</v>
      </c>
      <c r="RDR11" s="256" t="s">
        <v>76</v>
      </c>
      <c r="RDS11" s="256" t="s">
        <v>77</v>
      </c>
      <c r="RDT11" s="256" t="s">
        <v>78</v>
      </c>
      <c r="RDU11" s="256" t="s">
        <v>79</v>
      </c>
      <c r="RDV11" s="256" t="s">
        <v>80</v>
      </c>
      <c r="RDW11" s="256" t="s">
        <v>81</v>
      </c>
      <c r="RDX11" s="283"/>
      <c r="RDY11" s="259" t="s">
        <v>55</v>
      </c>
      <c r="RDZ11" s="256" t="s">
        <v>76</v>
      </c>
      <c r="REA11" s="256" t="s">
        <v>77</v>
      </c>
      <c r="REB11" s="256" t="s">
        <v>78</v>
      </c>
      <c r="REC11" s="256" t="s">
        <v>79</v>
      </c>
      <c r="RED11" s="256" t="s">
        <v>80</v>
      </c>
      <c r="REE11" s="58" t="s">
        <v>81</v>
      </c>
      <c r="REF11" s="284"/>
      <c r="REG11" s="259" t="s">
        <v>55</v>
      </c>
      <c r="REH11" s="256" t="s">
        <v>76</v>
      </c>
      <c r="REI11" s="256" t="s">
        <v>77</v>
      </c>
      <c r="REJ11" s="256" t="s">
        <v>78</v>
      </c>
      <c r="REK11" s="256" t="s">
        <v>79</v>
      </c>
      <c r="REL11" s="256" t="s">
        <v>80</v>
      </c>
      <c r="REM11" s="256" t="s">
        <v>81</v>
      </c>
      <c r="REN11" s="283"/>
      <c r="REO11" s="259" t="s">
        <v>55</v>
      </c>
      <c r="REP11" s="256" t="s">
        <v>76</v>
      </c>
      <c r="REQ11" s="256" t="s">
        <v>77</v>
      </c>
      <c r="RER11" s="256" t="s">
        <v>78</v>
      </c>
      <c r="RES11" s="256" t="s">
        <v>79</v>
      </c>
      <c r="RET11" s="256" t="s">
        <v>80</v>
      </c>
      <c r="REU11" s="58" t="s">
        <v>81</v>
      </c>
      <c r="REV11" s="284"/>
      <c r="REW11" s="259" t="s">
        <v>55</v>
      </c>
      <c r="REX11" s="256" t="s">
        <v>76</v>
      </c>
      <c r="REY11" s="256" t="s">
        <v>77</v>
      </c>
      <c r="REZ11" s="256" t="s">
        <v>78</v>
      </c>
      <c r="RFA11" s="256" t="s">
        <v>79</v>
      </c>
      <c r="RFB11" s="256" t="s">
        <v>80</v>
      </c>
      <c r="RFC11" s="256" t="s">
        <v>81</v>
      </c>
      <c r="RFD11" s="283"/>
      <c r="RFE11" s="259" t="s">
        <v>55</v>
      </c>
      <c r="RFF11" s="256" t="s">
        <v>76</v>
      </c>
      <c r="RFG11" s="256" t="s">
        <v>77</v>
      </c>
      <c r="RFH11" s="256" t="s">
        <v>78</v>
      </c>
      <c r="RFI11" s="256" t="s">
        <v>79</v>
      </c>
      <c r="RFJ11" s="256" t="s">
        <v>80</v>
      </c>
      <c r="RFK11" s="58" t="s">
        <v>81</v>
      </c>
      <c r="RFL11" s="284"/>
      <c r="RFM11" s="259" t="s">
        <v>55</v>
      </c>
      <c r="RFN11" s="256" t="s">
        <v>76</v>
      </c>
      <c r="RFO11" s="256" t="s">
        <v>77</v>
      </c>
      <c r="RFP11" s="256" t="s">
        <v>78</v>
      </c>
      <c r="RFQ11" s="256" t="s">
        <v>79</v>
      </c>
      <c r="RFR11" s="256" t="s">
        <v>80</v>
      </c>
      <c r="RFS11" s="256" t="s">
        <v>81</v>
      </c>
      <c r="RFT11" s="283"/>
      <c r="RFU11" s="259" t="s">
        <v>55</v>
      </c>
      <c r="RFV11" s="256" t="s">
        <v>76</v>
      </c>
      <c r="RFW11" s="256" t="s">
        <v>77</v>
      </c>
      <c r="RFX11" s="256" t="s">
        <v>78</v>
      </c>
      <c r="RFY11" s="256" t="s">
        <v>79</v>
      </c>
      <c r="RFZ11" s="256" t="s">
        <v>80</v>
      </c>
      <c r="RGA11" s="58" t="s">
        <v>81</v>
      </c>
      <c r="RGB11" s="284"/>
      <c r="RGC11" s="259" t="s">
        <v>55</v>
      </c>
      <c r="RGD11" s="256" t="s">
        <v>76</v>
      </c>
      <c r="RGE11" s="256" t="s">
        <v>77</v>
      </c>
      <c r="RGF11" s="256" t="s">
        <v>78</v>
      </c>
      <c r="RGG11" s="256" t="s">
        <v>79</v>
      </c>
      <c r="RGH11" s="256" t="s">
        <v>80</v>
      </c>
      <c r="RGI11" s="256" t="s">
        <v>81</v>
      </c>
      <c r="RGJ11" s="283"/>
      <c r="RGK11" s="259" t="s">
        <v>55</v>
      </c>
      <c r="RGL11" s="256" t="s">
        <v>76</v>
      </c>
      <c r="RGM11" s="256" t="s">
        <v>77</v>
      </c>
      <c r="RGN11" s="256" t="s">
        <v>78</v>
      </c>
      <c r="RGO11" s="256" t="s">
        <v>79</v>
      </c>
      <c r="RGP11" s="256" t="s">
        <v>80</v>
      </c>
      <c r="RGQ11" s="58" t="s">
        <v>81</v>
      </c>
      <c r="RGR11" s="284"/>
      <c r="RGS11" s="259" t="s">
        <v>55</v>
      </c>
      <c r="RGT11" s="256" t="s">
        <v>76</v>
      </c>
      <c r="RGU11" s="256" t="s">
        <v>77</v>
      </c>
      <c r="RGV11" s="256" t="s">
        <v>78</v>
      </c>
      <c r="RGW11" s="256" t="s">
        <v>79</v>
      </c>
      <c r="RGX11" s="256" t="s">
        <v>80</v>
      </c>
      <c r="RGY11" s="256" t="s">
        <v>81</v>
      </c>
      <c r="RGZ11" s="283"/>
      <c r="RHA11" s="259" t="s">
        <v>55</v>
      </c>
      <c r="RHB11" s="256" t="s">
        <v>76</v>
      </c>
      <c r="RHC11" s="256" t="s">
        <v>77</v>
      </c>
      <c r="RHD11" s="256" t="s">
        <v>78</v>
      </c>
      <c r="RHE11" s="256" t="s">
        <v>79</v>
      </c>
      <c r="RHF11" s="256" t="s">
        <v>80</v>
      </c>
      <c r="RHG11" s="58" t="s">
        <v>81</v>
      </c>
      <c r="RHH11" s="284"/>
      <c r="RHI11" s="259" t="s">
        <v>55</v>
      </c>
      <c r="RHJ11" s="256" t="s">
        <v>76</v>
      </c>
      <c r="RHK11" s="256" t="s">
        <v>77</v>
      </c>
      <c r="RHL11" s="256" t="s">
        <v>78</v>
      </c>
      <c r="RHM11" s="256" t="s">
        <v>79</v>
      </c>
      <c r="RHN11" s="256" t="s">
        <v>80</v>
      </c>
      <c r="RHO11" s="256" t="s">
        <v>81</v>
      </c>
      <c r="RHP11" s="283"/>
      <c r="RHQ11" s="259" t="s">
        <v>55</v>
      </c>
      <c r="RHR11" s="256" t="s">
        <v>76</v>
      </c>
      <c r="RHS11" s="256" t="s">
        <v>77</v>
      </c>
      <c r="RHT11" s="256" t="s">
        <v>78</v>
      </c>
      <c r="RHU11" s="256" t="s">
        <v>79</v>
      </c>
      <c r="RHV11" s="256" t="s">
        <v>80</v>
      </c>
      <c r="RHW11" s="58" t="s">
        <v>81</v>
      </c>
      <c r="RHX11" s="284"/>
      <c r="RHY11" s="259" t="s">
        <v>55</v>
      </c>
      <c r="RHZ11" s="256" t="s">
        <v>76</v>
      </c>
      <c r="RIA11" s="256" t="s">
        <v>77</v>
      </c>
      <c r="RIB11" s="256" t="s">
        <v>78</v>
      </c>
      <c r="RIC11" s="256" t="s">
        <v>79</v>
      </c>
      <c r="RID11" s="256" t="s">
        <v>80</v>
      </c>
      <c r="RIE11" s="256" t="s">
        <v>81</v>
      </c>
      <c r="RIF11" s="283"/>
      <c r="RIG11" s="259" t="s">
        <v>55</v>
      </c>
      <c r="RIH11" s="256" t="s">
        <v>76</v>
      </c>
      <c r="RII11" s="256" t="s">
        <v>77</v>
      </c>
      <c r="RIJ11" s="256" t="s">
        <v>78</v>
      </c>
      <c r="RIK11" s="256" t="s">
        <v>79</v>
      </c>
      <c r="RIL11" s="256" t="s">
        <v>80</v>
      </c>
      <c r="RIM11" s="58" t="s">
        <v>81</v>
      </c>
      <c r="RIN11" s="284"/>
      <c r="RIO11" s="259" t="s">
        <v>55</v>
      </c>
      <c r="RIP11" s="256" t="s">
        <v>76</v>
      </c>
      <c r="RIQ11" s="256" t="s">
        <v>77</v>
      </c>
      <c r="RIR11" s="256" t="s">
        <v>78</v>
      </c>
      <c r="RIS11" s="256" t="s">
        <v>79</v>
      </c>
      <c r="RIT11" s="256" t="s">
        <v>80</v>
      </c>
      <c r="RIU11" s="256" t="s">
        <v>81</v>
      </c>
      <c r="RIV11" s="283"/>
      <c r="RIW11" s="259" t="s">
        <v>55</v>
      </c>
      <c r="RIX11" s="256" t="s">
        <v>76</v>
      </c>
      <c r="RIY11" s="256" t="s">
        <v>77</v>
      </c>
      <c r="RIZ11" s="256" t="s">
        <v>78</v>
      </c>
      <c r="RJA11" s="256" t="s">
        <v>79</v>
      </c>
      <c r="RJB11" s="256" t="s">
        <v>80</v>
      </c>
      <c r="RJC11" s="58" t="s">
        <v>81</v>
      </c>
      <c r="RJD11" s="284"/>
      <c r="RJE11" s="259" t="s">
        <v>55</v>
      </c>
      <c r="RJF11" s="256" t="s">
        <v>76</v>
      </c>
      <c r="RJG11" s="256" t="s">
        <v>77</v>
      </c>
      <c r="RJH11" s="256" t="s">
        <v>78</v>
      </c>
      <c r="RJI11" s="256" t="s">
        <v>79</v>
      </c>
      <c r="RJJ11" s="256" t="s">
        <v>80</v>
      </c>
      <c r="RJK11" s="256" t="s">
        <v>81</v>
      </c>
      <c r="RJL11" s="283"/>
      <c r="RJM11" s="259" t="s">
        <v>55</v>
      </c>
      <c r="RJN11" s="256" t="s">
        <v>76</v>
      </c>
      <c r="RJO11" s="256" t="s">
        <v>77</v>
      </c>
      <c r="RJP11" s="256" t="s">
        <v>78</v>
      </c>
      <c r="RJQ11" s="256" t="s">
        <v>79</v>
      </c>
      <c r="RJR11" s="256" t="s">
        <v>80</v>
      </c>
      <c r="RJS11" s="58" t="s">
        <v>81</v>
      </c>
      <c r="RJT11" s="284"/>
      <c r="RJU11" s="259" t="s">
        <v>55</v>
      </c>
      <c r="RJV11" s="256" t="s">
        <v>76</v>
      </c>
      <c r="RJW11" s="256" t="s">
        <v>77</v>
      </c>
      <c r="RJX11" s="256" t="s">
        <v>78</v>
      </c>
      <c r="RJY11" s="256" t="s">
        <v>79</v>
      </c>
      <c r="RJZ11" s="256" t="s">
        <v>80</v>
      </c>
      <c r="RKA11" s="256" t="s">
        <v>81</v>
      </c>
      <c r="RKB11" s="283"/>
      <c r="RKC11" s="259" t="s">
        <v>55</v>
      </c>
      <c r="RKD11" s="256" t="s">
        <v>76</v>
      </c>
      <c r="RKE11" s="256" t="s">
        <v>77</v>
      </c>
      <c r="RKF11" s="256" t="s">
        <v>78</v>
      </c>
      <c r="RKG11" s="256" t="s">
        <v>79</v>
      </c>
      <c r="RKH11" s="256" t="s">
        <v>80</v>
      </c>
      <c r="RKI11" s="58" t="s">
        <v>81</v>
      </c>
      <c r="RKJ11" s="284"/>
      <c r="RKK11" s="259" t="s">
        <v>55</v>
      </c>
      <c r="RKL11" s="256" t="s">
        <v>76</v>
      </c>
      <c r="RKM11" s="256" t="s">
        <v>77</v>
      </c>
      <c r="RKN11" s="256" t="s">
        <v>78</v>
      </c>
      <c r="RKO11" s="256" t="s">
        <v>79</v>
      </c>
      <c r="RKP11" s="256" t="s">
        <v>80</v>
      </c>
      <c r="RKQ11" s="256" t="s">
        <v>81</v>
      </c>
      <c r="RKR11" s="283"/>
      <c r="RKS11" s="259" t="s">
        <v>55</v>
      </c>
      <c r="RKT11" s="256" t="s">
        <v>76</v>
      </c>
      <c r="RKU11" s="256" t="s">
        <v>77</v>
      </c>
      <c r="RKV11" s="256" t="s">
        <v>78</v>
      </c>
      <c r="RKW11" s="256" t="s">
        <v>79</v>
      </c>
      <c r="RKX11" s="256" t="s">
        <v>80</v>
      </c>
      <c r="RKY11" s="58" t="s">
        <v>81</v>
      </c>
      <c r="RKZ11" s="284"/>
      <c r="RLA11" s="259" t="s">
        <v>55</v>
      </c>
      <c r="RLB11" s="256" t="s">
        <v>76</v>
      </c>
      <c r="RLC11" s="256" t="s">
        <v>77</v>
      </c>
      <c r="RLD11" s="256" t="s">
        <v>78</v>
      </c>
      <c r="RLE11" s="256" t="s">
        <v>79</v>
      </c>
      <c r="RLF11" s="256" t="s">
        <v>80</v>
      </c>
      <c r="RLG11" s="256" t="s">
        <v>81</v>
      </c>
      <c r="RLH11" s="283"/>
      <c r="RLI11" s="259" t="s">
        <v>55</v>
      </c>
      <c r="RLJ11" s="256" t="s">
        <v>76</v>
      </c>
      <c r="RLK11" s="256" t="s">
        <v>77</v>
      </c>
      <c r="RLL11" s="256" t="s">
        <v>78</v>
      </c>
      <c r="RLM11" s="256" t="s">
        <v>79</v>
      </c>
      <c r="RLN11" s="256" t="s">
        <v>80</v>
      </c>
      <c r="RLO11" s="58" t="s">
        <v>81</v>
      </c>
      <c r="RLP11" s="284"/>
      <c r="RLQ11" s="259" t="s">
        <v>55</v>
      </c>
      <c r="RLR11" s="256" t="s">
        <v>76</v>
      </c>
      <c r="RLS11" s="256" t="s">
        <v>77</v>
      </c>
      <c r="RLT11" s="256" t="s">
        <v>78</v>
      </c>
      <c r="RLU11" s="256" t="s">
        <v>79</v>
      </c>
      <c r="RLV11" s="256" t="s">
        <v>80</v>
      </c>
      <c r="RLW11" s="256" t="s">
        <v>81</v>
      </c>
      <c r="RLX11" s="283"/>
      <c r="RLY11" s="259" t="s">
        <v>55</v>
      </c>
      <c r="RLZ11" s="256" t="s">
        <v>76</v>
      </c>
      <c r="RMA11" s="256" t="s">
        <v>77</v>
      </c>
      <c r="RMB11" s="256" t="s">
        <v>78</v>
      </c>
      <c r="RMC11" s="256" t="s">
        <v>79</v>
      </c>
      <c r="RMD11" s="256" t="s">
        <v>80</v>
      </c>
      <c r="RME11" s="58" t="s">
        <v>81</v>
      </c>
      <c r="RMF11" s="284"/>
      <c r="RMG11" s="259" t="s">
        <v>55</v>
      </c>
      <c r="RMH11" s="256" t="s">
        <v>76</v>
      </c>
      <c r="RMI11" s="256" t="s">
        <v>77</v>
      </c>
      <c r="RMJ11" s="256" t="s">
        <v>78</v>
      </c>
      <c r="RMK11" s="256" t="s">
        <v>79</v>
      </c>
      <c r="RML11" s="256" t="s">
        <v>80</v>
      </c>
      <c r="RMM11" s="256" t="s">
        <v>81</v>
      </c>
      <c r="RMN11" s="283"/>
      <c r="RMO11" s="259" t="s">
        <v>55</v>
      </c>
      <c r="RMP11" s="256" t="s">
        <v>76</v>
      </c>
      <c r="RMQ11" s="256" t="s">
        <v>77</v>
      </c>
      <c r="RMR11" s="256" t="s">
        <v>78</v>
      </c>
      <c r="RMS11" s="256" t="s">
        <v>79</v>
      </c>
      <c r="RMT11" s="256" t="s">
        <v>80</v>
      </c>
      <c r="RMU11" s="58" t="s">
        <v>81</v>
      </c>
      <c r="RMV11" s="284"/>
      <c r="RMW11" s="259" t="s">
        <v>55</v>
      </c>
      <c r="RMX11" s="256" t="s">
        <v>76</v>
      </c>
      <c r="RMY11" s="256" t="s">
        <v>77</v>
      </c>
      <c r="RMZ11" s="256" t="s">
        <v>78</v>
      </c>
      <c r="RNA11" s="256" t="s">
        <v>79</v>
      </c>
      <c r="RNB11" s="256" t="s">
        <v>80</v>
      </c>
      <c r="RNC11" s="256" t="s">
        <v>81</v>
      </c>
      <c r="RND11" s="283"/>
      <c r="RNE11" s="259" t="s">
        <v>55</v>
      </c>
      <c r="RNF11" s="256" t="s">
        <v>76</v>
      </c>
      <c r="RNG11" s="256" t="s">
        <v>77</v>
      </c>
      <c r="RNH11" s="256" t="s">
        <v>78</v>
      </c>
      <c r="RNI11" s="256" t="s">
        <v>79</v>
      </c>
      <c r="RNJ11" s="256" t="s">
        <v>80</v>
      </c>
      <c r="RNK11" s="58" t="s">
        <v>81</v>
      </c>
      <c r="RNL11" s="284"/>
      <c r="RNM11" s="259" t="s">
        <v>55</v>
      </c>
      <c r="RNN11" s="256" t="s">
        <v>76</v>
      </c>
      <c r="RNO11" s="256" t="s">
        <v>77</v>
      </c>
      <c r="RNP11" s="256" t="s">
        <v>78</v>
      </c>
      <c r="RNQ11" s="256" t="s">
        <v>79</v>
      </c>
      <c r="RNR11" s="256" t="s">
        <v>80</v>
      </c>
      <c r="RNS11" s="256" t="s">
        <v>81</v>
      </c>
      <c r="RNT11" s="283"/>
      <c r="RNU11" s="259" t="s">
        <v>55</v>
      </c>
      <c r="RNV11" s="256" t="s">
        <v>76</v>
      </c>
      <c r="RNW11" s="256" t="s">
        <v>77</v>
      </c>
      <c r="RNX11" s="256" t="s">
        <v>78</v>
      </c>
      <c r="RNY11" s="256" t="s">
        <v>79</v>
      </c>
      <c r="RNZ11" s="256" t="s">
        <v>80</v>
      </c>
      <c r="ROA11" s="58" t="s">
        <v>81</v>
      </c>
      <c r="ROB11" s="284"/>
      <c r="ROC11" s="259" t="s">
        <v>55</v>
      </c>
      <c r="ROD11" s="256" t="s">
        <v>76</v>
      </c>
      <c r="ROE11" s="256" t="s">
        <v>77</v>
      </c>
      <c r="ROF11" s="256" t="s">
        <v>78</v>
      </c>
      <c r="ROG11" s="256" t="s">
        <v>79</v>
      </c>
      <c r="ROH11" s="256" t="s">
        <v>80</v>
      </c>
      <c r="ROI11" s="256" t="s">
        <v>81</v>
      </c>
      <c r="ROJ11" s="283"/>
      <c r="ROK11" s="259" t="s">
        <v>55</v>
      </c>
      <c r="ROL11" s="256" t="s">
        <v>76</v>
      </c>
      <c r="ROM11" s="256" t="s">
        <v>77</v>
      </c>
      <c r="RON11" s="256" t="s">
        <v>78</v>
      </c>
      <c r="ROO11" s="256" t="s">
        <v>79</v>
      </c>
      <c r="ROP11" s="256" t="s">
        <v>80</v>
      </c>
      <c r="ROQ11" s="58" t="s">
        <v>81</v>
      </c>
      <c r="ROR11" s="284"/>
      <c r="ROS11" s="259" t="s">
        <v>55</v>
      </c>
      <c r="ROT11" s="256" t="s">
        <v>76</v>
      </c>
      <c r="ROU11" s="256" t="s">
        <v>77</v>
      </c>
      <c r="ROV11" s="256" t="s">
        <v>78</v>
      </c>
      <c r="ROW11" s="256" t="s">
        <v>79</v>
      </c>
      <c r="ROX11" s="256" t="s">
        <v>80</v>
      </c>
      <c r="ROY11" s="256" t="s">
        <v>81</v>
      </c>
      <c r="ROZ11" s="283"/>
      <c r="RPA11" s="259" t="s">
        <v>55</v>
      </c>
      <c r="RPB11" s="256" t="s">
        <v>76</v>
      </c>
      <c r="RPC11" s="256" t="s">
        <v>77</v>
      </c>
      <c r="RPD11" s="256" t="s">
        <v>78</v>
      </c>
      <c r="RPE11" s="256" t="s">
        <v>79</v>
      </c>
      <c r="RPF11" s="256" t="s">
        <v>80</v>
      </c>
      <c r="RPG11" s="58" t="s">
        <v>81</v>
      </c>
      <c r="RPH11" s="284"/>
      <c r="RPI11" s="259" t="s">
        <v>55</v>
      </c>
      <c r="RPJ11" s="256" t="s">
        <v>76</v>
      </c>
      <c r="RPK11" s="256" t="s">
        <v>77</v>
      </c>
      <c r="RPL11" s="256" t="s">
        <v>78</v>
      </c>
      <c r="RPM11" s="256" t="s">
        <v>79</v>
      </c>
      <c r="RPN11" s="256" t="s">
        <v>80</v>
      </c>
      <c r="RPO11" s="256" t="s">
        <v>81</v>
      </c>
      <c r="RPP11" s="283"/>
      <c r="RPQ11" s="259" t="s">
        <v>55</v>
      </c>
      <c r="RPR11" s="256" t="s">
        <v>76</v>
      </c>
      <c r="RPS11" s="256" t="s">
        <v>77</v>
      </c>
      <c r="RPT11" s="256" t="s">
        <v>78</v>
      </c>
      <c r="RPU11" s="256" t="s">
        <v>79</v>
      </c>
      <c r="RPV11" s="256" t="s">
        <v>80</v>
      </c>
      <c r="RPW11" s="58" t="s">
        <v>81</v>
      </c>
      <c r="RPX11" s="284"/>
      <c r="RPY11" s="259" t="s">
        <v>55</v>
      </c>
      <c r="RPZ11" s="256" t="s">
        <v>76</v>
      </c>
      <c r="RQA11" s="256" t="s">
        <v>77</v>
      </c>
      <c r="RQB11" s="256" t="s">
        <v>78</v>
      </c>
      <c r="RQC11" s="256" t="s">
        <v>79</v>
      </c>
      <c r="RQD11" s="256" t="s">
        <v>80</v>
      </c>
      <c r="RQE11" s="256" t="s">
        <v>81</v>
      </c>
      <c r="RQF11" s="283"/>
      <c r="RQG11" s="259" t="s">
        <v>55</v>
      </c>
      <c r="RQH11" s="256" t="s">
        <v>76</v>
      </c>
      <c r="RQI11" s="256" t="s">
        <v>77</v>
      </c>
      <c r="RQJ11" s="256" t="s">
        <v>78</v>
      </c>
      <c r="RQK11" s="256" t="s">
        <v>79</v>
      </c>
      <c r="RQL11" s="256" t="s">
        <v>80</v>
      </c>
      <c r="RQM11" s="58" t="s">
        <v>81</v>
      </c>
      <c r="RQN11" s="284"/>
      <c r="RQO11" s="259" t="s">
        <v>55</v>
      </c>
      <c r="RQP11" s="256" t="s">
        <v>76</v>
      </c>
      <c r="RQQ11" s="256" t="s">
        <v>77</v>
      </c>
      <c r="RQR11" s="256" t="s">
        <v>78</v>
      </c>
      <c r="RQS11" s="256" t="s">
        <v>79</v>
      </c>
      <c r="RQT11" s="256" t="s">
        <v>80</v>
      </c>
      <c r="RQU11" s="256" t="s">
        <v>81</v>
      </c>
      <c r="RQV11" s="283"/>
      <c r="RQW11" s="259" t="s">
        <v>55</v>
      </c>
      <c r="RQX11" s="256" t="s">
        <v>76</v>
      </c>
      <c r="RQY11" s="256" t="s">
        <v>77</v>
      </c>
      <c r="RQZ11" s="256" t="s">
        <v>78</v>
      </c>
      <c r="RRA11" s="256" t="s">
        <v>79</v>
      </c>
      <c r="RRB11" s="256" t="s">
        <v>80</v>
      </c>
      <c r="RRC11" s="58" t="s">
        <v>81</v>
      </c>
      <c r="RRD11" s="284"/>
      <c r="RRE11" s="259" t="s">
        <v>55</v>
      </c>
      <c r="RRF11" s="256" t="s">
        <v>76</v>
      </c>
      <c r="RRG11" s="256" t="s">
        <v>77</v>
      </c>
      <c r="RRH11" s="256" t="s">
        <v>78</v>
      </c>
      <c r="RRI11" s="256" t="s">
        <v>79</v>
      </c>
      <c r="RRJ11" s="256" t="s">
        <v>80</v>
      </c>
      <c r="RRK11" s="256" t="s">
        <v>81</v>
      </c>
      <c r="RRL11" s="283"/>
      <c r="RRM11" s="259" t="s">
        <v>55</v>
      </c>
      <c r="RRN11" s="256" t="s">
        <v>76</v>
      </c>
      <c r="RRO11" s="256" t="s">
        <v>77</v>
      </c>
      <c r="RRP11" s="256" t="s">
        <v>78</v>
      </c>
      <c r="RRQ11" s="256" t="s">
        <v>79</v>
      </c>
      <c r="RRR11" s="256" t="s">
        <v>80</v>
      </c>
      <c r="RRS11" s="58" t="s">
        <v>81</v>
      </c>
      <c r="RRT11" s="284"/>
      <c r="RRU11" s="259" t="s">
        <v>55</v>
      </c>
      <c r="RRV11" s="256" t="s">
        <v>76</v>
      </c>
      <c r="RRW11" s="256" t="s">
        <v>77</v>
      </c>
      <c r="RRX11" s="256" t="s">
        <v>78</v>
      </c>
      <c r="RRY11" s="256" t="s">
        <v>79</v>
      </c>
      <c r="RRZ11" s="256" t="s">
        <v>80</v>
      </c>
      <c r="RSA11" s="256" t="s">
        <v>81</v>
      </c>
      <c r="RSB11" s="283"/>
      <c r="RSC11" s="259" t="s">
        <v>55</v>
      </c>
      <c r="RSD11" s="256" t="s">
        <v>76</v>
      </c>
      <c r="RSE11" s="256" t="s">
        <v>77</v>
      </c>
      <c r="RSF11" s="256" t="s">
        <v>78</v>
      </c>
      <c r="RSG11" s="256" t="s">
        <v>79</v>
      </c>
      <c r="RSH11" s="256" t="s">
        <v>80</v>
      </c>
      <c r="RSI11" s="58" t="s">
        <v>81</v>
      </c>
      <c r="RSJ11" s="284"/>
      <c r="RSK11" s="259" t="s">
        <v>55</v>
      </c>
      <c r="RSL11" s="256" t="s">
        <v>76</v>
      </c>
      <c r="RSM11" s="256" t="s">
        <v>77</v>
      </c>
      <c r="RSN11" s="256" t="s">
        <v>78</v>
      </c>
      <c r="RSO11" s="256" t="s">
        <v>79</v>
      </c>
      <c r="RSP11" s="256" t="s">
        <v>80</v>
      </c>
      <c r="RSQ11" s="256" t="s">
        <v>81</v>
      </c>
      <c r="RSR11" s="283"/>
      <c r="RSS11" s="259" t="s">
        <v>55</v>
      </c>
      <c r="RST11" s="256" t="s">
        <v>76</v>
      </c>
      <c r="RSU11" s="256" t="s">
        <v>77</v>
      </c>
      <c r="RSV11" s="256" t="s">
        <v>78</v>
      </c>
      <c r="RSW11" s="256" t="s">
        <v>79</v>
      </c>
      <c r="RSX11" s="256" t="s">
        <v>80</v>
      </c>
      <c r="RSY11" s="58" t="s">
        <v>81</v>
      </c>
      <c r="RSZ11" s="284"/>
      <c r="RTA11" s="259" t="s">
        <v>55</v>
      </c>
      <c r="RTB11" s="256" t="s">
        <v>76</v>
      </c>
      <c r="RTC11" s="256" t="s">
        <v>77</v>
      </c>
      <c r="RTD11" s="256" t="s">
        <v>78</v>
      </c>
      <c r="RTE11" s="256" t="s">
        <v>79</v>
      </c>
      <c r="RTF11" s="256" t="s">
        <v>80</v>
      </c>
      <c r="RTG11" s="256" t="s">
        <v>81</v>
      </c>
      <c r="RTH11" s="283"/>
      <c r="RTI11" s="259" t="s">
        <v>55</v>
      </c>
      <c r="RTJ11" s="256" t="s">
        <v>76</v>
      </c>
      <c r="RTK11" s="256" t="s">
        <v>77</v>
      </c>
      <c r="RTL11" s="256" t="s">
        <v>78</v>
      </c>
      <c r="RTM11" s="256" t="s">
        <v>79</v>
      </c>
      <c r="RTN11" s="256" t="s">
        <v>80</v>
      </c>
      <c r="RTO11" s="58" t="s">
        <v>81</v>
      </c>
      <c r="RTP11" s="284"/>
      <c r="RTQ11" s="259" t="s">
        <v>55</v>
      </c>
      <c r="RTR11" s="256" t="s">
        <v>76</v>
      </c>
      <c r="RTS11" s="256" t="s">
        <v>77</v>
      </c>
      <c r="RTT11" s="256" t="s">
        <v>78</v>
      </c>
      <c r="RTU11" s="256" t="s">
        <v>79</v>
      </c>
      <c r="RTV11" s="256" t="s">
        <v>80</v>
      </c>
      <c r="RTW11" s="256" t="s">
        <v>81</v>
      </c>
      <c r="RTX11" s="283"/>
      <c r="RTY11" s="259" t="s">
        <v>55</v>
      </c>
      <c r="RTZ11" s="256" t="s">
        <v>76</v>
      </c>
      <c r="RUA11" s="256" t="s">
        <v>77</v>
      </c>
      <c r="RUB11" s="256" t="s">
        <v>78</v>
      </c>
      <c r="RUC11" s="256" t="s">
        <v>79</v>
      </c>
      <c r="RUD11" s="256" t="s">
        <v>80</v>
      </c>
      <c r="RUE11" s="58" t="s">
        <v>81</v>
      </c>
      <c r="RUF11" s="284"/>
      <c r="RUG11" s="259" t="s">
        <v>55</v>
      </c>
      <c r="RUH11" s="256" t="s">
        <v>76</v>
      </c>
      <c r="RUI11" s="256" t="s">
        <v>77</v>
      </c>
      <c r="RUJ11" s="256" t="s">
        <v>78</v>
      </c>
      <c r="RUK11" s="256" t="s">
        <v>79</v>
      </c>
      <c r="RUL11" s="256" t="s">
        <v>80</v>
      </c>
      <c r="RUM11" s="256" t="s">
        <v>81</v>
      </c>
      <c r="RUN11" s="283"/>
      <c r="RUO11" s="259" t="s">
        <v>55</v>
      </c>
      <c r="RUP11" s="256" t="s">
        <v>76</v>
      </c>
      <c r="RUQ11" s="256" t="s">
        <v>77</v>
      </c>
      <c r="RUR11" s="256" t="s">
        <v>78</v>
      </c>
      <c r="RUS11" s="256" t="s">
        <v>79</v>
      </c>
      <c r="RUT11" s="256" t="s">
        <v>80</v>
      </c>
      <c r="RUU11" s="58" t="s">
        <v>81</v>
      </c>
      <c r="RUV11" s="284"/>
      <c r="RUW11" s="259" t="s">
        <v>55</v>
      </c>
      <c r="RUX11" s="256" t="s">
        <v>76</v>
      </c>
      <c r="RUY11" s="256" t="s">
        <v>77</v>
      </c>
      <c r="RUZ11" s="256" t="s">
        <v>78</v>
      </c>
      <c r="RVA11" s="256" t="s">
        <v>79</v>
      </c>
      <c r="RVB11" s="256" t="s">
        <v>80</v>
      </c>
      <c r="RVC11" s="256" t="s">
        <v>81</v>
      </c>
      <c r="RVD11" s="283"/>
      <c r="RVE11" s="259" t="s">
        <v>55</v>
      </c>
      <c r="RVF11" s="256" t="s">
        <v>76</v>
      </c>
      <c r="RVG11" s="256" t="s">
        <v>77</v>
      </c>
      <c r="RVH11" s="256" t="s">
        <v>78</v>
      </c>
      <c r="RVI11" s="256" t="s">
        <v>79</v>
      </c>
      <c r="RVJ11" s="256" t="s">
        <v>80</v>
      </c>
      <c r="RVK11" s="58" t="s">
        <v>81</v>
      </c>
      <c r="RVL11" s="284"/>
      <c r="RVM11" s="259" t="s">
        <v>55</v>
      </c>
      <c r="RVN11" s="256" t="s">
        <v>76</v>
      </c>
      <c r="RVO11" s="256" t="s">
        <v>77</v>
      </c>
      <c r="RVP11" s="256" t="s">
        <v>78</v>
      </c>
      <c r="RVQ11" s="256" t="s">
        <v>79</v>
      </c>
      <c r="RVR11" s="256" t="s">
        <v>80</v>
      </c>
      <c r="RVS11" s="256" t="s">
        <v>81</v>
      </c>
      <c r="RVT11" s="283"/>
      <c r="RVU11" s="259" t="s">
        <v>55</v>
      </c>
      <c r="RVV11" s="256" t="s">
        <v>76</v>
      </c>
      <c r="RVW11" s="256" t="s">
        <v>77</v>
      </c>
      <c r="RVX11" s="256" t="s">
        <v>78</v>
      </c>
      <c r="RVY11" s="256" t="s">
        <v>79</v>
      </c>
      <c r="RVZ11" s="256" t="s">
        <v>80</v>
      </c>
      <c r="RWA11" s="58" t="s">
        <v>81</v>
      </c>
      <c r="RWB11" s="284"/>
      <c r="RWC11" s="259" t="s">
        <v>55</v>
      </c>
      <c r="RWD11" s="256" t="s">
        <v>76</v>
      </c>
      <c r="RWE11" s="256" t="s">
        <v>77</v>
      </c>
      <c r="RWF11" s="256" t="s">
        <v>78</v>
      </c>
      <c r="RWG11" s="256" t="s">
        <v>79</v>
      </c>
      <c r="RWH11" s="256" t="s">
        <v>80</v>
      </c>
      <c r="RWI11" s="256" t="s">
        <v>81</v>
      </c>
      <c r="RWJ11" s="283"/>
      <c r="RWK11" s="259" t="s">
        <v>55</v>
      </c>
      <c r="RWL11" s="256" t="s">
        <v>76</v>
      </c>
      <c r="RWM11" s="256" t="s">
        <v>77</v>
      </c>
      <c r="RWN11" s="256" t="s">
        <v>78</v>
      </c>
      <c r="RWO11" s="256" t="s">
        <v>79</v>
      </c>
      <c r="RWP11" s="256" t="s">
        <v>80</v>
      </c>
      <c r="RWQ11" s="58" t="s">
        <v>81</v>
      </c>
      <c r="RWR11" s="284"/>
      <c r="RWS11" s="259" t="s">
        <v>55</v>
      </c>
      <c r="RWT11" s="256" t="s">
        <v>76</v>
      </c>
      <c r="RWU11" s="256" t="s">
        <v>77</v>
      </c>
      <c r="RWV11" s="256" t="s">
        <v>78</v>
      </c>
      <c r="RWW11" s="256" t="s">
        <v>79</v>
      </c>
      <c r="RWX11" s="256" t="s">
        <v>80</v>
      </c>
      <c r="RWY11" s="256" t="s">
        <v>81</v>
      </c>
      <c r="RWZ11" s="283"/>
      <c r="RXA11" s="259" t="s">
        <v>55</v>
      </c>
      <c r="RXB11" s="256" t="s">
        <v>76</v>
      </c>
      <c r="RXC11" s="256" t="s">
        <v>77</v>
      </c>
      <c r="RXD11" s="256" t="s">
        <v>78</v>
      </c>
      <c r="RXE11" s="256" t="s">
        <v>79</v>
      </c>
      <c r="RXF11" s="256" t="s">
        <v>80</v>
      </c>
      <c r="RXG11" s="58" t="s">
        <v>81</v>
      </c>
      <c r="RXH11" s="284"/>
      <c r="RXI11" s="259" t="s">
        <v>55</v>
      </c>
      <c r="RXJ11" s="256" t="s">
        <v>76</v>
      </c>
      <c r="RXK11" s="256" t="s">
        <v>77</v>
      </c>
      <c r="RXL11" s="256" t="s">
        <v>78</v>
      </c>
      <c r="RXM11" s="256" t="s">
        <v>79</v>
      </c>
      <c r="RXN11" s="256" t="s">
        <v>80</v>
      </c>
      <c r="RXO11" s="256" t="s">
        <v>81</v>
      </c>
      <c r="RXP11" s="283"/>
      <c r="RXQ11" s="259" t="s">
        <v>55</v>
      </c>
      <c r="RXR11" s="256" t="s">
        <v>76</v>
      </c>
      <c r="RXS11" s="256" t="s">
        <v>77</v>
      </c>
      <c r="RXT11" s="256" t="s">
        <v>78</v>
      </c>
      <c r="RXU11" s="256" t="s">
        <v>79</v>
      </c>
      <c r="RXV11" s="256" t="s">
        <v>80</v>
      </c>
      <c r="RXW11" s="58" t="s">
        <v>81</v>
      </c>
      <c r="RXX11" s="284"/>
      <c r="RXY11" s="259" t="s">
        <v>55</v>
      </c>
      <c r="RXZ11" s="256" t="s">
        <v>76</v>
      </c>
      <c r="RYA11" s="256" t="s">
        <v>77</v>
      </c>
      <c r="RYB11" s="256" t="s">
        <v>78</v>
      </c>
      <c r="RYC11" s="256" t="s">
        <v>79</v>
      </c>
      <c r="RYD11" s="256" t="s">
        <v>80</v>
      </c>
      <c r="RYE11" s="256" t="s">
        <v>81</v>
      </c>
      <c r="RYF11" s="283"/>
      <c r="RYG11" s="259" t="s">
        <v>55</v>
      </c>
      <c r="RYH11" s="256" t="s">
        <v>76</v>
      </c>
      <c r="RYI11" s="256" t="s">
        <v>77</v>
      </c>
      <c r="RYJ11" s="256" t="s">
        <v>78</v>
      </c>
      <c r="RYK11" s="256" t="s">
        <v>79</v>
      </c>
      <c r="RYL11" s="256" t="s">
        <v>80</v>
      </c>
      <c r="RYM11" s="58" t="s">
        <v>81</v>
      </c>
      <c r="RYN11" s="284"/>
      <c r="RYO11" s="259" t="s">
        <v>55</v>
      </c>
      <c r="RYP11" s="256" t="s">
        <v>76</v>
      </c>
      <c r="RYQ11" s="256" t="s">
        <v>77</v>
      </c>
      <c r="RYR11" s="256" t="s">
        <v>78</v>
      </c>
      <c r="RYS11" s="256" t="s">
        <v>79</v>
      </c>
      <c r="RYT11" s="256" t="s">
        <v>80</v>
      </c>
      <c r="RYU11" s="256" t="s">
        <v>81</v>
      </c>
      <c r="RYV11" s="283"/>
      <c r="RYW11" s="259" t="s">
        <v>55</v>
      </c>
      <c r="RYX11" s="256" t="s">
        <v>76</v>
      </c>
      <c r="RYY11" s="256" t="s">
        <v>77</v>
      </c>
      <c r="RYZ11" s="256" t="s">
        <v>78</v>
      </c>
      <c r="RZA11" s="256" t="s">
        <v>79</v>
      </c>
      <c r="RZB11" s="256" t="s">
        <v>80</v>
      </c>
      <c r="RZC11" s="58" t="s">
        <v>81</v>
      </c>
      <c r="RZD11" s="284"/>
      <c r="RZE11" s="259" t="s">
        <v>55</v>
      </c>
      <c r="RZF11" s="256" t="s">
        <v>76</v>
      </c>
      <c r="RZG11" s="256" t="s">
        <v>77</v>
      </c>
      <c r="RZH11" s="256" t="s">
        <v>78</v>
      </c>
      <c r="RZI11" s="256" t="s">
        <v>79</v>
      </c>
      <c r="RZJ11" s="256" t="s">
        <v>80</v>
      </c>
      <c r="RZK11" s="256" t="s">
        <v>81</v>
      </c>
      <c r="RZL11" s="283"/>
      <c r="RZM11" s="259" t="s">
        <v>55</v>
      </c>
      <c r="RZN11" s="256" t="s">
        <v>76</v>
      </c>
      <c r="RZO11" s="256" t="s">
        <v>77</v>
      </c>
      <c r="RZP11" s="256" t="s">
        <v>78</v>
      </c>
      <c r="RZQ11" s="256" t="s">
        <v>79</v>
      </c>
      <c r="RZR11" s="256" t="s">
        <v>80</v>
      </c>
      <c r="RZS11" s="58" t="s">
        <v>81</v>
      </c>
      <c r="RZT11" s="284"/>
      <c r="RZU11" s="259" t="s">
        <v>55</v>
      </c>
      <c r="RZV11" s="256" t="s">
        <v>76</v>
      </c>
      <c r="RZW11" s="256" t="s">
        <v>77</v>
      </c>
      <c r="RZX11" s="256" t="s">
        <v>78</v>
      </c>
      <c r="RZY11" s="256" t="s">
        <v>79</v>
      </c>
      <c r="RZZ11" s="256" t="s">
        <v>80</v>
      </c>
      <c r="SAA11" s="256" t="s">
        <v>81</v>
      </c>
      <c r="SAB11" s="283"/>
      <c r="SAC11" s="259" t="s">
        <v>55</v>
      </c>
      <c r="SAD11" s="256" t="s">
        <v>76</v>
      </c>
      <c r="SAE11" s="256" t="s">
        <v>77</v>
      </c>
      <c r="SAF11" s="256" t="s">
        <v>78</v>
      </c>
      <c r="SAG11" s="256" t="s">
        <v>79</v>
      </c>
      <c r="SAH11" s="256" t="s">
        <v>80</v>
      </c>
      <c r="SAI11" s="58" t="s">
        <v>81</v>
      </c>
      <c r="SAJ11" s="284"/>
      <c r="SAK11" s="259" t="s">
        <v>55</v>
      </c>
      <c r="SAL11" s="256" t="s">
        <v>76</v>
      </c>
      <c r="SAM11" s="256" t="s">
        <v>77</v>
      </c>
      <c r="SAN11" s="256" t="s">
        <v>78</v>
      </c>
      <c r="SAO11" s="256" t="s">
        <v>79</v>
      </c>
      <c r="SAP11" s="256" t="s">
        <v>80</v>
      </c>
      <c r="SAQ11" s="256" t="s">
        <v>81</v>
      </c>
      <c r="SAR11" s="283"/>
      <c r="SAS11" s="259" t="s">
        <v>55</v>
      </c>
      <c r="SAT11" s="256" t="s">
        <v>76</v>
      </c>
      <c r="SAU11" s="256" t="s">
        <v>77</v>
      </c>
      <c r="SAV11" s="256" t="s">
        <v>78</v>
      </c>
      <c r="SAW11" s="256" t="s">
        <v>79</v>
      </c>
      <c r="SAX11" s="256" t="s">
        <v>80</v>
      </c>
      <c r="SAY11" s="58" t="s">
        <v>81</v>
      </c>
      <c r="SAZ11" s="284"/>
      <c r="SBA11" s="259" t="s">
        <v>55</v>
      </c>
      <c r="SBB11" s="256" t="s">
        <v>76</v>
      </c>
      <c r="SBC11" s="256" t="s">
        <v>77</v>
      </c>
      <c r="SBD11" s="256" t="s">
        <v>78</v>
      </c>
      <c r="SBE11" s="256" t="s">
        <v>79</v>
      </c>
      <c r="SBF11" s="256" t="s">
        <v>80</v>
      </c>
      <c r="SBG11" s="256" t="s">
        <v>81</v>
      </c>
      <c r="SBH11" s="283"/>
      <c r="SBI11" s="259" t="s">
        <v>55</v>
      </c>
      <c r="SBJ11" s="256" t="s">
        <v>76</v>
      </c>
      <c r="SBK11" s="256" t="s">
        <v>77</v>
      </c>
      <c r="SBL11" s="256" t="s">
        <v>78</v>
      </c>
      <c r="SBM11" s="256" t="s">
        <v>79</v>
      </c>
      <c r="SBN11" s="256" t="s">
        <v>80</v>
      </c>
      <c r="SBO11" s="58" t="s">
        <v>81</v>
      </c>
      <c r="SBP11" s="284"/>
      <c r="SBQ11" s="259" t="s">
        <v>55</v>
      </c>
      <c r="SBR11" s="256" t="s">
        <v>76</v>
      </c>
      <c r="SBS11" s="256" t="s">
        <v>77</v>
      </c>
      <c r="SBT11" s="256" t="s">
        <v>78</v>
      </c>
      <c r="SBU11" s="256" t="s">
        <v>79</v>
      </c>
      <c r="SBV11" s="256" t="s">
        <v>80</v>
      </c>
      <c r="SBW11" s="256" t="s">
        <v>81</v>
      </c>
      <c r="SBX11" s="283"/>
      <c r="SBY11" s="259" t="s">
        <v>55</v>
      </c>
      <c r="SBZ11" s="256" t="s">
        <v>76</v>
      </c>
      <c r="SCA11" s="256" t="s">
        <v>77</v>
      </c>
      <c r="SCB11" s="256" t="s">
        <v>78</v>
      </c>
      <c r="SCC11" s="256" t="s">
        <v>79</v>
      </c>
      <c r="SCD11" s="256" t="s">
        <v>80</v>
      </c>
      <c r="SCE11" s="58" t="s">
        <v>81</v>
      </c>
      <c r="SCF11" s="284"/>
      <c r="SCG11" s="259" t="s">
        <v>55</v>
      </c>
      <c r="SCH11" s="256" t="s">
        <v>76</v>
      </c>
      <c r="SCI11" s="256" t="s">
        <v>77</v>
      </c>
      <c r="SCJ11" s="256" t="s">
        <v>78</v>
      </c>
      <c r="SCK11" s="256" t="s">
        <v>79</v>
      </c>
      <c r="SCL11" s="256" t="s">
        <v>80</v>
      </c>
      <c r="SCM11" s="256" t="s">
        <v>81</v>
      </c>
      <c r="SCN11" s="283"/>
      <c r="SCO11" s="259" t="s">
        <v>55</v>
      </c>
      <c r="SCP11" s="256" t="s">
        <v>76</v>
      </c>
      <c r="SCQ11" s="256" t="s">
        <v>77</v>
      </c>
      <c r="SCR11" s="256" t="s">
        <v>78</v>
      </c>
      <c r="SCS11" s="256" t="s">
        <v>79</v>
      </c>
      <c r="SCT11" s="256" t="s">
        <v>80</v>
      </c>
      <c r="SCU11" s="58" t="s">
        <v>81</v>
      </c>
      <c r="SCV11" s="284"/>
      <c r="SCW11" s="259" t="s">
        <v>55</v>
      </c>
      <c r="SCX11" s="256" t="s">
        <v>76</v>
      </c>
      <c r="SCY11" s="256" t="s">
        <v>77</v>
      </c>
      <c r="SCZ11" s="256" t="s">
        <v>78</v>
      </c>
      <c r="SDA11" s="256" t="s">
        <v>79</v>
      </c>
      <c r="SDB11" s="256" t="s">
        <v>80</v>
      </c>
      <c r="SDC11" s="256" t="s">
        <v>81</v>
      </c>
      <c r="SDD11" s="283"/>
      <c r="SDE11" s="259" t="s">
        <v>55</v>
      </c>
      <c r="SDF11" s="256" t="s">
        <v>76</v>
      </c>
      <c r="SDG11" s="256" t="s">
        <v>77</v>
      </c>
      <c r="SDH11" s="256" t="s">
        <v>78</v>
      </c>
      <c r="SDI11" s="256" t="s">
        <v>79</v>
      </c>
      <c r="SDJ11" s="256" t="s">
        <v>80</v>
      </c>
      <c r="SDK11" s="58" t="s">
        <v>81</v>
      </c>
      <c r="SDL11" s="284"/>
      <c r="SDM11" s="259" t="s">
        <v>55</v>
      </c>
      <c r="SDN11" s="256" t="s">
        <v>76</v>
      </c>
      <c r="SDO11" s="256" t="s">
        <v>77</v>
      </c>
      <c r="SDP11" s="256" t="s">
        <v>78</v>
      </c>
      <c r="SDQ11" s="256" t="s">
        <v>79</v>
      </c>
      <c r="SDR11" s="256" t="s">
        <v>80</v>
      </c>
      <c r="SDS11" s="256" t="s">
        <v>81</v>
      </c>
      <c r="SDT11" s="283"/>
      <c r="SDU11" s="259" t="s">
        <v>55</v>
      </c>
      <c r="SDV11" s="256" t="s">
        <v>76</v>
      </c>
      <c r="SDW11" s="256" t="s">
        <v>77</v>
      </c>
      <c r="SDX11" s="256" t="s">
        <v>78</v>
      </c>
      <c r="SDY11" s="256" t="s">
        <v>79</v>
      </c>
      <c r="SDZ11" s="256" t="s">
        <v>80</v>
      </c>
      <c r="SEA11" s="58" t="s">
        <v>81</v>
      </c>
      <c r="SEB11" s="284"/>
      <c r="SEC11" s="259" t="s">
        <v>55</v>
      </c>
      <c r="SED11" s="256" t="s">
        <v>76</v>
      </c>
      <c r="SEE11" s="256" t="s">
        <v>77</v>
      </c>
      <c r="SEF11" s="256" t="s">
        <v>78</v>
      </c>
      <c r="SEG11" s="256" t="s">
        <v>79</v>
      </c>
      <c r="SEH11" s="256" t="s">
        <v>80</v>
      </c>
      <c r="SEI11" s="256" t="s">
        <v>81</v>
      </c>
      <c r="SEJ11" s="283"/>
      <c r="SEK11" s="259" t="s">
        <v>55</v>
      </c>
      <c r="SEL11" s="256" t="s">
        <v>76</v>
      </c>
      <c r="SEM11" s="256" t="s">
        <v>77</v>
      </c>
      <c r="SEN11" s="256" t="s">
        <v>78</v>
      </c>
      <c r="SEO11" s="256" t="s">
        <v>79</v>
      </c>
      <c r="SEP11" s="256" t="s">
        <v>80</v>
      </c>
      <c r="SEQ11" s="58" t="s">
        <v>81</v>
      </c>
      <c r="SER11" s="284"/>
      <c r="SES11" s="259" t="s">
        <v>55</v>
      </c>
      <c r="SET11" s="256" t="s">
        <v>76</v>
      </c>
      <c r="SEU11" s="256" t="s">
        <v>77</v>
      </c>
      <c r="SEV11" s="256" t="s">
        <v>78</v>
      </c>
      <c r="SEW11" s="256" t="s">
        <v>79</v>
      </c>
      <c r="SEX11" s="256" t="s">
        <v>80</v>
      </c>
      <c r="SEY11" s="256" t="s">
        <v>81</v>
      </c>
      <c r="SEZ11" s="283"/>
      <c r="SFA11" s="259" t="s">
        <v>55</v>
      </c>
      <c r="SFB11" s="256" t="s">
        <v>76</v>
      </c>
      <c r="SFC11" s="256" t="s">
        <v>77</v>
      </c>
      <c r="SFD11" s="256" t="s">
        <v>78</v>
      </c>
      <c r="SFE11" s="256" t="s">
        <v>79</v>
      </c>
      <c r="SFF11" s="256" t="s">
        <v>80</v>
      </c>
      <c r="SFG11" s="58" t="s">
        <v>81</v>
      </c>
      <c r="SFH11" s="284"/>
      <c r="SFI11" s="259" t="s">
        <v>55</v>
      </c>
      <c r="SFJ11" s="256" t="s">
        <v>76</v>
      </c>
      <c r="SFK11" s="256" t="s">
        <v>77</v>
      </c>
      <c r="SFL11" s="256" t="s">
        <v>78</v>
      </c>
      <c r="SFM11" s="256" t="s">
        <v>79</v>
      </c>
      <c r="SFN11" s="256" t="s">
        <v>80</v>
      </c>
      <c r="SFO11" s="256" t="s">
        <v>81</v>
      </c>
      <c r="SFP11" s="283"/>
      <c r="SFQ11" s="259" t="s">
        <v>55</v>
      </c>
      <c r="SFR11" s="256" t="s">
        <v>76</v>
      </c>
      <c r="SFS11" s="256" t="s">
        <v>77</v>
      </c>
      <c r="SFT11" s="256" t="s">
        <v>78</v>
      </c>
      <c r="SFU11" s="256" t="s">
        <v>79</v>
      </c>
      <c r="SFV11" s="256" t="s">
        <v>80</v>
      </c>
      <c r="SFW11" s="58" t="s">
        <v>81</v>
      </c>
      <c r="SFX11" s="284"/>
      <c r="SFY11" s="259" t="s">
        <v>55</v>
      </c>
      <c r="SFZ11" s="256" t="s">
        <v>76</v>
      </c>
      <c r="SGA11" s="256" t="s">
        <v>77</v>
      </c>
      <c r="SGB11" s="256" t="s">
        <v>78</v>
      </c>
      <c r="SGC11" s="256" t="s">
        <v>79</v>
      </c>
      <c r="SGD11" s="256" t="s">
        <v>80</v>
      </c>
      <c r="SGE11" s="256" t="s">
        <v>81</v>
      </c>
      <c r="SGF11" s="283"/>
      <c r="SGG11" s="259" t="s">
        <v>55</v>
      </c>
      <c r="SGH11" s="256" t="s">
        <v>76</v>
      </c>
      <c r="SGI11" s="256" t="s">
        <v>77</v>
      </c>
      <c r="SGJ11" s="256" t="s">
        <v>78</v>
      </c>
      <c r="SGK11" s="256" t="s">
        <v>79</v>
      </c>
      <c r="SGL11" s="256" t="s">
        <v>80</v>
      </c>
      <c r="SGM11" s="58" t="s">
        <v>81</v>
      </c>
      <c r="SGN11" s="284"/>
      <c r="SGO11" s="259" t="s">
        <v>55</v>
      </c>
      <c r="SGP11" s="256" t="s">
        <v>76</v>
      </c>
      <c r="SGQ11" s="256" t="s">
        <v>77</v>
      </c>
      <c r="SGR11" s="256" t="s">
        <v>78</v>
      </c>
      <c r="SGS11" s="256" t="s">
        <v>79</v>
      </c>
      <c r="SGT11" s="256" t="s">
        <v>80</v>
      </c>
      <c r="SGU11" s="256" t="s">
        <v>81</v>
      </c>
      <c r="SGV11" s="283"/>
      <c r="SGW11" s="259" t="s">
        <v>55</v>
      </c>
      <c r="SGX11" s="256" t="s">
        <v>76</v>
      </c>
      <c r="SGY11" s="256" t="s">
        <v>77</v>
      </c>
      <c r="SGZ11" s="256" t="s">
        <v>78</v>
      </c>
      <c r="SHA11" s="256" t="s">
        <v>79</v>
      </c>
      <c r="SHB11" s="256" t="s">
        <v>80</v>
      </c>
      <c r="SHC11" s="58" t="s">
        <v>81</v>
      </c>
      <c r="SHD11" s="284"/>
      <c r="SHE11" s="259" t="s">
        <v>55</v>
      </c>
      <c r="SHF11" s="256" t="s">
        <v>76</v>
      </c>
      <c r="SHG11" s="256" t="s">
        <v>77</v>
      </c>
      <c r="SHH11" s="256" t="s">
        <v>78</v>
      </c>
      <c r="SHI11" s="256" t="s">
        <v>79</v>
      </c>
      <c r="SHJ11" s="256" t="s">
        <v>80</v>
      </c>
      <c r="SHK11" s="256" t="s">
        <v>81</v>
      </c>
      <c r="SHL11" s="283"/>
      <c r="SHM11" s="259" t="s">
        <v>55</v>
      </c>
      <c r="SHN11" s="256" t="s">
        <v>76</v>
      </c>
      <c r="SHO11" s="256" t="s">
        <v>77</v>
      </c>
      <c r="SHP11" s="256" t="s">
        <v>78</v>
      </c>
      <c r="SHQ11" s="256" t="s">
        <v>79</v>
      </c>
      <c r="SHR11" s="256" t="s">
        <v>80</v>
      </c>
      <c r="SHS11" s="58" t="s">
        <v>81</v>
      </c>
      <c r="SHT11" s="284"/>
      <c r="SHU11" s="259" t="s">
        <v>55</v>
      </c>
      <c r="SHV11" s="256" t="s">
        <v>76</v>
      </c>
      <c r="SHW11" s="256" t="s">
        <v>77</v>
      </c>
      <c r="SHX11" s="256" t="s">
        <v>78</v>
      </c>
      <c r="SHY11" s="256" t="s">
        <v>79</v>
      </c>
      <c r="SHZ11" s="256" t="s">
        <v>80</v>
      </c>
      <c r="SIA11" s="256" t="s">
        <v>81</v>
      </c>
      <c r="SIB11" s="283"/>
      <c r="SIC11" s="259" t="s">
        <v>55</v>
      </c>
      <c r="SID11" s="256" t="s">
        <v>76</v>
      </c>
      <c r="SIE11" s="256" t="s">
        <v>77</v>
      </c>
      <c r="SIF11" s="256" t="s">
        <v>78</v>
      </c>
      <c r="SIG11" s="256" t="s">
        <v>79</v>
      </c>
      <c r="SIH11" s="256" t="s">
        <v>80</v>
      </c>
      <c r="SII11" s="58" t="s">
        <v>81</v>
      </c>
      <c r="SIJ11" s="284"/>
      <c r="SIK11" s="259" t="s">
        <v>55</v>
      </c>
      <c r="SIL11" s="256" t="s">
        <v>76</v>
      </c>
      <c r="SIM11" s="256" t="s">
        <v>77</v>
      </c>
      <c r="SIN11" s="256" t="s">
        <v>78</v>
      </c>
      <c r="SIO11" s="256" t="s">
        <v>79</v>
      </c>
      <c r="SIP11" s="256" t="s">
        <v>80</v>
      </c>
      <c r="SIQ11" s="256" t="s">
        <v>81</v>
      </c>
      <c r="SIR11" s="283"/>
      <c r="SIS11" s="259" t="s">
        <v>55</v>
      </c>
      <c r="SIT11" s="256" t="s">
        <v>76</v>
      </c>
      <c r="SIU11" s="256" t="s">
        <v>77</v>
      </c>
      <c r="SIV11" s="256" t="s">
        <v>78</v>
      </c>
      <c r="SIW11" s="256" t="s">
        <v>79</v>
      </c>
      <c r="SIX11" s="256" t="s">
        <v>80</v>
      </c>
      <c r="SIY11" s="58" t="s">
        <v>81</v>
      </c>
      <c r="SIZ11" s="284"/>
      <c r="SJA11" s="259" t="s">
        <v>55</v>
      </c>
      <c r="SJB11" s="256" t="s">
        <v>76</v>
      </c>
      <c r="SJC11" s="256" t="s">
        <v>77</v>
      </c>
      <c r="SJD11" s="256" t="s">
        <v>78</v>
      </c>
      <c r="SJE11" s="256" t="s">
        <v>79</v>
      </c>
      <c r="SJF11" s="256" t="s">
        <v>80</v>
      </c>
      <c r="SJG11" s="256" t="s">
        <v>81</v>
      </c>
      <c r="SJH11" s="283"/>
      <c r="SJI11" s="259" t="s">
        <v>55</v>
      </c>
      <c r="SJJ11" s="256" t="s">
        <v>76</v>
      </c>
      <c r="SJK11" s="256" t="s">
        <v>77</v>
      </c>
      <c r="SJL11" s="256" t="s">
        <v>78</v>
      </c>
      <c r="SJM11" s="256" t="s">
        <v>79</v>
      </c>
      <c r="SJN11" s="256" t="s">
        <v>80</v>
      </c>
      <c r="SJO11" s="58" t="s">
        <v>81</v>
      </c>
      <c r="SJP11" s="284"/>
      <c r="SJQ11" s="259" t="s">
        <v>55</v>
      </c>
      <c r="SJR11" s="256" t="s">
        <v>76</v>
      </c>
      <c r="SJS11" s="256" t="s">
        <v>77</v>
      </c>
      <c r="SJT11" s="256" t="s">
        <v>78</v>
      </c>
      <c r="SJU11" s="256" t="s">
        <v>79</v>
      </c>
      <c r="SJV11" s="256" t="s">
        <v>80</v>
      </c>
      <c r="SJW11" s="256" t="s">
        <v>81</v>
      </c>
      <c r="SJX11" s="283"/>
      <c r="SJY11" s="259" t="s">
        <v>55</v>
      </c>
      <c r="SJZ11" s="256" t="s">
        <v>76</v>
      </c>
      <c r="SKA11" s="256" t="s">
        <v>77</v>
      </c>
      <c r="SKB11" s="256" t="s">
        <v>78</v>
      </c>
      <c r="SKC11" s="256" t="s">
        <v>79</v>
      </c>
      <c r="SKD11" s="256" t="s">
        <v>80</v>
      </c>
      <c r="SKE11" s="58" t="s">
        <v>81</v>
      </c>
      <c r="SKF11" s="284"/>
      <c r="SKG11" s="259" t="s">
        <v>55</v>
      </c>
      <c r="SKH11" s="256" t="s">
        <v>76</v>
      </c>
      <c r="SKI11" s="256" t="s">
        <v>77</v>
      </c>
      <c r="SKJ11" s="256" t="s">
        <v>78</v>
      </c>
      <c r="SKK11" s="256" t="s">
        <v>79</v>
      </c>
      <c r="SKL11" s="256" t="s">
        <v>80</v>
      </c>
      <c r="SKM11" s="256" t="s">
        <v>81</v>
      </c>
      <c r="SKN11" s="283"/>
      <c r="SKO11" s="259" t="s">
        <v>55</v>
      </c>
      <c r="SKP11" s="256" t="s">
        <v>76</v>
      </c>
      <c r="SKQ11" s="256" t="s">
        <v>77</v>
      </c>
      <c r="SKR11" s="256" t="s">
        <v>78</v>
      </c>
      <c r="SKS11" s="256" t="s">
        <v>79</v>
      </c>
      <c r="SKT11" s="256" t="s">
        <v>80</v>
      </c>
      <c r="SKU11" s="58" t="s">
        <v>81</v>
      </c>
      <c r="SKV11" s="284"/>
      <c r="SKW11" s="259" t="s">
        <v>55</v>
      </c>
      <c r="SKX11" s="256" t="s">
        <v>76</v>
      </c>
      <c r="SKY11" s="256" t="s">
        <v>77</v>
      </c>
      <c r="SKZ11" s="256" t="s">
        <v>78</v>
      </c>
      <c r="SLA11" s="256" t="s">
        <v>79</v>
      </c>
      <c r="SLB11" s="256" t="s">
        <v>80</v>
      </c>
      <c r="SLC11" s="256" t="s">
        <v>81</v>
      </c>
      <c r="SLD11" s="283"/>
      <c r="SLE11" s="259" t="s">
        <v>55</v>
      </c>
      <c r="SLF11" s="256" t="s">
        <v>76</v>
      </c>
      <c r="SLG11" s="256" t="s">
        <v>77</v>
      </c>
      <c r="SLH11" s="256" t="s">
        <v>78</v>
      </c>
      <c r="SLI11" s="256" t="s">
        <v>79</v>
      </c>
      <c r="SLJ11" s="256" t="s">
        <v>80</v>
      </c>
      <c r="SLK11" s="58" t="s">
        <v>81</v>
      </c>
      <c r="SLL11" s="284"/>
      <c r="SLM11" s="259" t="s">
        <v>55</v>
      </c>
      <c r="SLN11" s="256" t="s">
        <v>76</v>
      </c>
      <c r="SLO11" s="256" t="s">
        <v>77</v>
      </c>
      <c r="SLP11" s="256" t="s">
        <v>78</v>
      </c>
      <c r="SLQ11" s="256" t="s">
        <v>79</v>
      </c>
      <c r="SLR11" s="256" t="s">
        <v>80</v>
      </c>
      <c r="SLS11" s="256" t="s">
        <v>81</v>
      </c>
      <c r="SLT11" s="283"/>
      <c r="SLU11" s="259" t="s">
        <v>55</v>
      </c>
      <c r="SLV11" s="256" t="s">
        <v>76</v>
      </c>
      <c r="SLW11" s="256" t="s">
        <v>77</v>
      </c>
      <c r="SLX11" s="256" t="s">
        <v>78</v>
      </c>
      <c r="SLY11" s="256" t="s">
        <v>79</v>
      </c>
      <c r="SLZ11" s="256" t="s">
        <v>80</v>
      </c>
      <c r="SMA11" s="58" t="s">
        <v>81</v>
      </c>
      <c r="SMB11" s="284"/>
      <c r="SMC11" s="259" t="s">
        <v>55</v>
      </c>
      <c r="SMD11" s="256" t="s">
        <v>76</v>
      </c>
      <c r="SME11" s="256" t="s">
        <v>77</v>
      </c>
      <c r="SMF11" s="256" t="s">
        <v>78</v>
      </c>
      <c r="SMG11" s="256" t="s">
        <v>79</v>
      </c>
      <c r="SMH11" s="256" t="s">
        <v>80</v>
      </c>
      <c r="SMI11" s="256" t="s">
        <v>81</v>
      </c>
      <c r="SMJ11" s="283"/>
      <c r="SMK11" s="259" t="s">
        <v>55</v>
      </c>
      <c r="SML11" s="256" t="s">
        <v>76</v>
      </c>
      <c r="SMM11" s="256" t="s">
        <v>77</v>
      </c>
      <c r="SMN11" s="256" t="s">
        <v>78</v>
      </c>
      <c r="SMO11" s="256" t="s">
        <v>79</v>
      </c>
      <c r="SMP11" s="256" t="s">
        <v>80</v>
      </c>
      <c r="SMQ11" s="58" t="s">
        <v>81</v>
      </c>
      <c r="SMR11" s="284"/>
      <c r="SMS11" s="259" t="s">
        <v>55</v>
      </c>
      <c r="SMT11" s="256" t="s">
        <v>76</v>
      </c>
      <c r="SMU11" s="256" t="s">
        <v>77</v>
      </c>
      <c r="SMV11" s="256" t="s">
        <v>78</v>
      </c>
      <c r="SMW11" s="256" t="s">
        <v>79</v>
      </c>
      <c r="SMX11" s="256" t="s">
        <v>80</v>
      </c>
      <c r="SMY11" s="256" t="s">
        <v>81</v>
      </c>
      <c r="SMZ11" s="283"/>
      <c r="SNA11" s="259" t="s">
        <v>55</v>
      </c>
      <c r="SNB11" s="256" t="s">
        <v>76</v>
      </c>
      <c r="SNC11" s="256" t="s">
        <v>77</v>
      </c>
      <c r="SND11" s="256" t="s">
        <v>78</v>
      </c>
      <c r="SNE11" s="256" t="s">
        <v>79</v>
      </c>
      <c r="SNF11" s="256" t="s">
        <v>80</v>
      </c>
      <c r="SNG11" s="58" t="s">
        <v>81</v>
      </c>
      <c r="SNH11" s="284"/>
      <c r="SNI11" s="259" t="s">
        <v>55</v>
      </c>
      <c r="SNJ11" s="256" t="s">
        <v>76</v>
      </c>
      <c r="SNK11" s="256" t="s">
        <v>77</v>
      </c>
      <c r="SNL11" s="256" t="s">
        <v>78</v>
      </c>
      <c r="SNM11" s="256" t="s">
        <v>79</v>
      </c>
      <c r="SNN11" s="256" t="s">
        <v>80</v>
      </c>
      <c r="SNO11" s="256" t="s">
        <v>81</v>
      </c>
      <c r="SNP11" s="283"/>
      <c r="SNQ11" s="259" t="s">
        <v>55</v>
      </c>
      <c r="SNR11" s="256" t="s">
        <v>76</v>
      </c>
      <c r="SNS11" s="256" t="s">
        <v>77</v>
      </c>
      <c r="SNT11" s="256" t="s">
        <v>78</v>
      </c>
      <c r="SNU11" s="256" t="s">
        <v>79</v>
      </c>
      <c r="SNV11" s="256" t="s">
        <v>80</v>
      </c>
      <c r="SNW11" s="58" t="s">
        <v>81</v>
      </c>
      <c r="SNX11" s="284"/>
      <c r="SNY11" s="259" t="s">
        <v>55</v>
      </c>
      <c r="SNZ11" s="256" t="s">
        <v>76</v>
      </c>
      <c r="SOA11" s="256" t="s">
        <v>77</v>
      </c>
      <c r="SOB11" s="256" t="s">
        <v>78</v>
      </c>
      <c r="SOC11" s="256" t="s">
        <v>79</v>
      </c>
      <c r="SOD11" s="256" t="s">
        <v>80</v>
      </c>
      <c r="SOE11" s="256" t="s">
        <v>81</v>
      </c>
      <c r="SOF11" s="283"/>
      <c r="SOG11" s="259" t="s">
        <v>55</v>
      </c>
      <c r="SOH11" s="256" t="s">
        <v>76</v>
      </c>
      <c r="SOI11" s="256" t="s">
        <v>77</v>
      </c>
      <c r="SOJ11" s="256" t="s">
        <v>78</v>
      </c>
      <c r="SOK11" s="256" t="s">
        <v>79</v>
      </c>
      <c r="SOL11" s="256" t="s">
        <v>80</v>
      </c>
      <c r="SOM11" s="58" t="s">
        <v>81</v>
      </c>
      <c r="SON11" s="284"/>
      <c r="SOO11" s="259" t="s">
        <v>55</v>
      </c>
      <c r="SOP11" s="256" t="s">
        <v>76</v>
      </c>
      <c r="SOQ11" s="256" t="s">
        <v>77</v>
      </c>
      <c r="SOR11" s="256" t="s">
        <v>78</v>
      </c>
      <c r="SOS11" s="256" t="s">
        <v>79</v>
      </c>
      <c r="SOT11" s="256" t="s">
        <v>80</v>
      </c>
      <c r="SOU11" s="256" t="s">
        <v>81</v>
      </c>
      <c r="SOV11" s="283"/>
      <c r="SOW11" s="259" t="s">
        <v>55</v>
      </c>
      <c r="SOX11" s="256" t="s">
        <v>76</v>
      </c>
      <c r="SOY11" s="256" t="s">
        <v>77</v>
      </c>
      <c r="SOZ11" s="256" t="s">
        <v>78</v>
      </c>
      <c r="SPA11" s="256" t="s">
        <v>79</v>
      </c>
      <c r="SPB11" s="256" t="s">
        <v>80</v>
      </c>
      <c r="SPC11" s="58" t="s">
        <v>81</v>
      </c>
      <c r="SPD11" s="284"/>
      <c r="SPE11" s="259" t="s">
        <v>55</v>
      </c>
      <c r="SPF11" s="256" t="s">
        <v>76</v>
      </c>
      <c r="SPG11" s="256" t="s">
        <v>77</v>
      </c>
      <c r="SPH11" s="256" t="s">
        <v>78</v>
      </c>
      <c r="SPI11" s="256" t="s">
        <v>79</v>
      </c>
      <c r="SPJ11" s="256" t="s">
        <v>80</v>
      </c>
      <c r="SPK11" s="256" t="s">
        <v>81</v>
      </c>
      <c r="SPL11" s="283"/>
      <c r="SPM11" s="259" t="s">
        <v>55</v>
      </c>
      <c r="SPN11" s="256" t="s">
        <v>76</v>
      </c>
      <c r="SPO11" s="256" t="s">
        <v>77</v>
      </c>
      <c r="SPP11" s="256" t="s">
        <v>78</v>
      </c>
      <c r="SPQ11" s="256" t="s">
        <v>79</v>
      </c>
      <c r="SPR11" s="256" t="s">
        <v>80</v>
      </c>
      <c r="SPS11" s="58" t="s">
        <v>81</v>
      </c>
      <c r="SPT11" s="284"/>
      <c r="SPU11" s="259" t="s">
        <v>55</v>
      </c>
      <c r="SPV11" s="256" t="s">
        <v>76</v>
      </c>
      <c r="SPW11" s="256" t="s">
        <v>77</v>
      </c>
      <c r="SPX11" s="256" t="s">
        <v>78</v>
      </c>
      <c r="SPY11" s="256" t="s">
        <v>79</v>
      </c>
      <c r="SPZ11" s="256" t="s">
        <v>80</v>
      </c>
      <c r="SQA11" s="256" t="s">
        <v>81</v>
      </c>
      <c r="SQB11" s="283"/>
      <c r="SQC11" s="259" t="s">
        <v>55</v>
      </c>
      <c r="SQD11" s="256" t="s">
        <v>76</v>
      </c>
      <c r="SQE11" s="256" t="s">
        <v>77</v>
      </c>
      <c r="SQF11" s="256" t="s">
        <v>78</v>
      </c>
      <c r="SQG11" s="256" t="s">
        <v>79</v>
      </c>
      <c r="SQH11" s="256" t="s">
        <v>80</v>
      </c>
      <c r="SQI11" s="58" t="s">
        <v>81</v>
      </c>
      <c r="SQJ11" s="284"/>
      <c r="SQK11" s="259" t="s">
        <v>55</v>
      </c>
      <c r="SQL11" s="256" t="s">
        <v>76</v>
      </c>
      <c r="SQM11" s="256" t="s">
        <v>77</v>
      </c>
      <c r="SQN11" s="256" t="s">
        <v>78</v>
      </c>
      <c r="SQO11" s="256" t="s">
        <v>79</v>
      </c>
      <c r="SQP11" s="256" t="s">
        <v>80</v>
      </c>
      <c r="SQQ11" s="256" t="s">
        <v>81</v>
      </c>
      <c r="SQR11" s="283"/>
      <c r="SQS11" s="259" t="s">
        <v>55</v>
      </c>
      <c r="SQT11" s="256" t="s">
        <v>76</v>
      </c>
      <c r="SQU11" s="256" t="s">
        <v>77</v>
      </c>
      <c r="SQV11" s="256" t="s">
        <v>78</v>
      </c>
      <c r="SQW11" s="256" t="s">
        <v>79</v>
      </c>
      <c r="SQX11" s="256" t="s">
        <v>80</v>
      </c>
      <c r="SQY11" s="58" t="s">
        <v>81</v>
      </c>
      <c r="SQZ11" s="284"/>
      <c r="SRA11" s="259" t="s">
        <v>55</v>
      </c>
      <c r="SRB11" s="256" t="s">
        <v>76</v>
      </c>
      <c r="SRC11" s="256" t="s">
        <v>77</v>
      </c>
      <c r="SRD11" s="256" t="s">
        <v>78</v>
      </c>
      <c r="SRE11" s="256" t="s">
        <v>79</v>
      </c>
      <c r="SRF11" s="256" t="s">
        <v>80</v>
      </c>
      <c r="SRG11" s="256" t="s">
        <v>81</v>
      </c>
      <c r="SRH11" s="283"/>
      <c r="SRI11" s="259" t="s">
        <v>55</v>
      </c>
      <c r="SRJ11" s="256" t="s">
        <v>76</v>
      </c>
      <c r="SRK11" s="256" t="s">
        <v>77</v>
      </c>
      <c r="SRL11" s="256" t="s">
        <v>78</v>
      </c>
      <c r="SRM11" s="256" t="s">
        <v>79</v>
      </c>
      <c r="SRN11" s="256" t="s">
        <v>80</v>
      </c>
      <c r="SRO11" s="58" t="s">
        <v>81</v>
      </c>
      <c r="SRP11" s="284"/>
      <c r="SRQ11" s="259" t="s">
        <v>55</v>
      </c>
      <c r="SRR11" s="256" t="s">
        <v>76</v>
      </c>
      <c r="SRS11" s="256" t="s">
        <v>77</v>
      </c>
      <c r="SRT11" s="256" t="s">
        <v>78</v>
      </c>
      <c r="SRU11" s="256" t="s">
        <v>79</v>
      </c>
      <c r="SRV11" s="256" t="s">
        <v>80</v>
      </c>
      <c r="SRW11" s="256" t="s">
        <v>81</v>
      </c>
      <c r="SRX11" s="283"/>
      <c r="SRY11" s="259" t="s">
        <v>55</v>
      </c>
      <c r="SRZ11" s="256" t="s">
        <v>76</v>
      </c>
      <c r="SSA11" s="256" t="s">
        <v>77</v>
      </c>
      <c r="SSB11" s="256" t="s">
        <v>78</v>
      </c>
      <c r="SSC11" s="256" t="s">
        <v>79</v>
      </c>
      <c r="SSD11" s="256" t="s">
        <v>80</v>
      </c>
      <c r="SSE11" s="58" t="s">
        <v>81</v>
      </c>
      <c r="SSF11" s="284"/>
      <c r="SSG11" s="259" t="s">
        <v>55</v>
      </c>
      <c r="SSH11" s="256" t="s">
        <v>76</v>
      </c>
      <c r="SSI11" s="256" t="s">
        <v>77</v>
      </c>
      <c r="SSJ11" s="256" t="s">
        <v>78</v>
      </c>
      <c r="SSK11" s="256" t="s">
        <v>79</v>
      </c>
      <c r="SSL11" s="256" t="s">
        <v>80</v>
      </c>
      <c r="SSM11" s="256" t="s">
        <v>81</v>
      </c>
      <c r="SSN11" s="283"/>
      <c r="SSO11" s="259" t="s">
        <v>55</v>
      </c>
      <c r="SSP11" s="256" t="s">
        <v>76</v>
      </c>
      <c r="SSQ11" s="256" t="s">
        <v>77</v>
      </c>
      <c r="SSR11" s="256" t="s">
        <v>78</v>
      </c>
      <c r="SSS11" s="256" t="s">
        <v>79</v>
      </c>
      <c r="SST11" s="256" t="s">
        <v>80</v>
      </c>
      <c r="SSU11" s="58" t="s">
        <v>81</v>
      </c>
      <c r="SSV11" s="284"/>
      <c r="SSW11" s="259" t="s">
        <v>55</v>
      </c>
      <c r="SSX11" s="256" t="s">
        <v>76</v>
      </c>
      <c r="SSY11" s="256" t="s">
        <v>77</v>
      </c>
      <c r="SSZ11" s="256" t="s">
        <v>78</v>
      </c>
      <c r="STA11" s="256" t="s">
        <v>79</v>
      </c>
      <c r="STB11" s="256" t="s">
        <v>80</v>
      </c>
      <c r="STC11" s="256" t="s">
        <v>81</v>
      </c>
      <c r="STD11" s="283"/>
      <c r="STE11" s="259" t="s">
        <v>55</v>
      </c>
      <c r="STF11" s="256" t="s">
        <v>76</v>
      </c>
      <c r="STG11" s="256" t="s">
        <v>77</v>
      </c>
      <c r="STH11" s="256" t="s">
        <v>78</v>
      </c>
      <c r="STI11" s="256" t="s">
        <v>79</v>
      </c>
      <c r="STJ11" s="256" t="s">
        <v>80</v>
      </c>
      <c r="STK11" s="58" t="s">
        <v>81</v>
      </c>
      <c r="STL11" s="284"/>
      <c r="STM11" s="259" t="s">
        <v>55</v>
      </c>
      <c r="STN11" s="256" t="s">
        <v>76</v>
      </c>
      <c r="STO11" s="256" t="s">
        <v>77</v>
      </c>
      <c r="STP11" s="256" t="s">
        <v>78</v>
      </c>
      <c r="STQ11" s="256" t="s">
        <v>79</v>
      </c>
      <c r="STR11" s="256" t="s">
        <v>80</v>
      </c>
      <c r="STS11" s="256" t="s">
        <v>81</v>
      </c>
      <c r="STT11" s="283"/>
      <c r="STU11" s="259" t="s">
        <v>55</v>
      </c>
      <c r="STV11" s="256" t="s">
        <v>76</v>
      </c>
      <c r="STW11" s="256" t="s">
        <v>77</v>
      </c>
      <c r="STX11" s="256" t="s">
        <v>78</v>
      </c>
      <c r="STY11" s="256" t="s">
        <v>79</v>
      </c>
      <c r="STZ11" s="256" t="s">
        <v>80</v>
      </c>
      <c r="SUA11" s="58" t="s">
        <v>81</v>
      </c>
      <c r="SUB11" s="284"/>
      <c r="SUC11" s="259" t="s">
        <v>55</v>
      </c>
      <c r="SUD11" s="256" t="s">
        <v>76</v>
      </c>
      <c r="SUE11" s="256" t="s">
        <v>77</v>
      </c>
      <c r="SUF11" s="256" t="s">
        <v>78</v>
      </c>
      <c r="SUG11" s="256" t="s">
        <v>79</v>
      </c>
      <c r="SUH11" s="256" t="s">
        <v>80</v>
      </c>
      <c r="SUI11" s="256" t="s">
        <v>81</v>
      </c>
      <c r="SUJ11" s="283"/>
      <c r="SUK11" s="259" t="s">
        <v>55</v>
      </c>
      <c r="SUL11" s="256" t="s">
        <v>76</v>
      </c>
      <c r="SUM11" s="256" t="s">
        <v>77</v>
      </c>
      <c r="SUN11" s="256" t="s">
        <v>78</v>
      </c>
      <c r="SUO11" s="256" t="s">
        <v>79</v>
      </c>
      <c r="SUP11" s="256" t="s">
        <v>80</v>
      </c>
      <c r="SUQ11" s="58" t="s">
        <v>81</v>
      </c>
      <c r="SUR11" s="284"/>
      <c r="SUS11" s="259" t="s">
        <v>55</v>
      </c>
      <c r="SUT11" s="256" t="s">
        <v>76</v>
      </c>
      <c r="SUU11" s="256" t="s">
        <v>77</v>
      </c>
      <c r="SUV11" s="256" t="s">
        <v>78</v>
      </c>
      <c r="SUW11" s="256" t="s">
        <v>79</v>
      </c>
      <c r="SUX11" s="256" t="s">
        <v>80</v>
      </c>
      <c r="SUY11" s="256" t="s">
        <v>81</v>
      </c>
      <c r="SUZ11" s="283"/>
      <c r="SVA11" s="259" t="s">
        <v>55</v>
      </c>
      <c r="SVB11" s="256" t="s">
        <v>76</v>
      </c>
      <c r="SVC11" s="256" t="s">
        <v>77</v>
      </c>
      <c r="SVD11" s="256" t="s">
        <v>78</v>
      </c>
      <c r="SVE11" s="256" t="s">
        <v>79</v>
      </c>
      <c r="SVF11" s="256" t="s">
        <v>80</v>
      </c>
      <c r="SVG11" s="58" t="s">
        <v>81</v>
      </c>
      <c r="SVH11" s="284"/>
      <c r="SVI11" s="259" t="s">
        <v>55</v>
      </c>
      <c r="SVJ11" s="256" t="s">
        <v>76</v>
      </c>
      <c r="SVK11" s="256" t="s">
        <v>77</v>
      </c>
      <c r="SVL11" s="256" t="s">
        <v>78</v>
      </c>
      <c r="SVM11" s="256" t="s">
        <v>79</v>
      </c>
      <c r="SVN11" s="256" t="s">
        <v>80</v>
      </c>
      <c r="SVO11" s="256" t="s">
        <v>81</v>
      </c>
      <c r="SVP11" s="283"/>
      <c r="SVQ11" s="259" t="s">
        <v>55</v>
      </c>
      <c r="SVR11" s="256" t="s">
        <v>76</v>
      </c>
      <c r="SVS11" s="256" t="s">
        <v>77</v>
      </c>
      <c r="SVT11" s="256" t="s">
        <v>78</v>
      </c>
      <c r="SVU11" s="256" t="s">
        <v>79</v>
      </c>
      <c r="SVV11" s="256" t="s">
        <v>80</v>
      </c>
      <c r="SVW11" s="58" t="s">
        <v>81</v>
      </c>
      <c r="SVX11" s="284"/>
      <c r="SVY11" s="259" t="s">
        <v>55</v>
      </c>
      <c r="SVZ11" s="256" t="s">
        <v>76</v>
      </c>
      <c r="SWA11" s="256" t="s">
        <v>77</v>
      </c>
      <c r="SWB11" s="256" t="s">
        <v>78</v>
      </c>
      <c r="SWC11" s="256" t="s">
        <v>79</v>
      </c>
      <c r="SWD11" s="256" t="s">
        <v>80</v>
      </c>
      <c r="SWE11" s="256" t="s">
        <v>81</v>
      </c>
      <c r="SWF11" s="283"/>
      <c r="SWG11" s="259" t="s">
        <v>55</v>
      </c>
      <c r="SWH11" s="256" t="s">
        <v>76</v>
      </c>
      <c r="SWI11" s="256" t="s">
        <v>77</v>
      </c>
      <c r="SWJ11" s="256" t="s">
        <v>78</v>
      </c>
      <c r="SWK11" s="256" t="s">
        <v>79</v>
      </c>
      <c r="SWL11" s="256" t="s">
        <v>80</v>
      </c>
      <c r="SWM11" s="58" t="s">
        <v>81</v>
      </c>
      <c r="SWN11" s="284"/>
      <c r="SWO11" s="259" t="s">
        <v>55</v>
      </c>
      <c r="SWP11" s="256" t="s">
        <v>76</v>
      </c>
      <c r="SWQ11" s="256" t="s">
        <v>77</v>
      </c>
      <c r="SWR11" s="256" t="s">
        <v>78</v>
      </c>
      <c r="SWS11" s="256" t="s">
        <v>79</v>
      </c>
      <c r="SWT11" s="256" t="s">
        <v>80</v>
      </c>
      <c r="SWU11" s="256" t="s">
        <v>81</v>
      </c>
      <c r="SWV11" s="283"/>
      <c r="SWW11" s="259" t="s">
        <v>55</v>
      </c>
      <c r="SWX11" s="256" t="s">
        <v>76</v>
      </c>
      <c r="SWY11" s="256" t="s">
        <v>77</v>
      </c>
      <c r="SWZ11" s="256" t="s">
        <v>78</v>
      </c>
      <c r="SXA11" s="256" t="s">
        <v>79</v>
      </c>
      <c r="SXB11" s="256" t="s">
        <v>80</v>
      </c>
      <c r="SXC11" s="58" t="s">
        <v>81</v>
      </c>
      <c r="SXD11" s="284"/>
      <c r="SXE11" s="259" t="s">
        <v>55</v>
      </c>
      <c r="SXF11" s="256" t="s">
        <v>76</v>
      </c>
      <c r="SXG11" s="256" t="s">
        <v>77</v>
      </c>
      <c r="SXH11" s="256" t="s">
        <v>78</v>
      </c>
      <c r="SXI11" s="256" t="s">
        <v>79</v>
      </c>
      <c r="SXJ11" s="256" t="s">
        <v>80</v>
      </c>
      <c r="SXK11" s="256" t="s">
        <v>81</v>
      </c>
      <c r="SXL11" s="283"/>
      <c r="SXM11" s="259" t="s">
        <v>55</v>
      </c>
      <c r="SXN11" s="256" t="s">
        <v>76</v>
      </c>
      <c r="SXO11" s="256" t="s">
        <v>77</v>
      </c>
      <c r="SXP11" s="256" t="s">
        <v>78</v>
      </c>
      <c r="SXQ11" s="256" t="s">
        <v>79</v>
      </c>
      <c r="SXR11" s="256" t="s">
        <v>80</v>
      </c>
      <c r="SXS11" s="58" t="s">
        <v>81</v>
      </c>
      <c r="SXT11" s="284"/>
      <c r="SXU11" s="259" t="s">
        <v>55</v>
      </c>
      <c r="SXV11" s="256" t="s">
        <v>76</v>
      </c>
      <c r="SXW11" s="256" t="s">
        <v>77</v>
      </c>
      <c r="SXX11" s="256" t="s">
        <v>78</v>
      </c>
      <c r="SXY11" s="256" t="s">
        <v>79</v>
      </c>
      <c r="SXZ11" s="256" t="s">
        <v>80</v>
      </c>
      <c r="SYA11" s="256" t="s">
        <v>81</v>
      </c>
      <c r="SYB11" s="283"/>
      <c r="SYC11" s="259" t="s">
        <v>55</v>
      </c>
      <c r="SYD11" s="256" t="s">
        <v>76</v>
      </c>
      <c r="SYE11" s="256" t="s">
        <v>77</v>
      </c>
      <c r="SYF11" s="256" t="s">
        <v>78</v>
      </c>
      <c r="SYG11" s="256" t="s">
        <v>79</v>
      </c>
      <c r="SYH11" s="256" t="s">
        <v>80</v>
      </c>
      <c r="SYI11" s="58" t="s">
        <v>81</v>
      </c>
      <c r="SYJ11" s="284"/>
      <c r="SYK11" s="259" t="s">
        <v>55</v>
      </c>
      <c r="SYL11" s="256" t="s">
        <v>76</v>
      </c>
      <c r="SYM11" s="256" t="s">
        <v>77</v>
      </c>
      <c r="SYN11" s="256" t="s">
        <v>78</v>
      </c>
      <c r="SYO11" s="256" t="s">
        <v>79</v>
      </c>
      <c r="SYP11" s="256" t="s">
        <v>80</v>
      </c>
      <c r="SYQ11" s="256" t="s">
        <v>81</v>
      </c>
      <c r="SYR11" s="283"/>
      <c r="SYS11" s="259" t="s">
        <v>55</v>
      </c>
      <c r="SYT11" s="256" t="s">
        <v>76</v>
      </c>
      <c r="SYU11" s="256" t="s">
        <v>77</v>
      </c>
      <c r="SYV11" s="256" t="s">
        <v>78</v>
      </c>
      <c r="SYW11" s="256" t="s">
        <v>79</v>
      </c>
      <c r="SYX11" s="256" t="s">
        <v>80</v>
      </c>
      <c r="SYY11" s="58" t="s">
        <v>81</v>
      </c>
      <c r="SYZ11" s="284"/>
      <c r="SZA11" s="259" t="s">
        <v>55</v>
      </c>
      <c r="SZB11" s="256" t="s">
        <v>76</v>
      </c>
      <c r="SZC11" s="256" t="s">
        <v>77</v>
      </c>
      <c r="SZD11" s="256" t="s">
        <v>78</v>
      </c>
      <c r="SZE11" s="256" t="s">
        <v>79</v>
      </c>
      <c r="SZF11" s="256" t="s">
        <v>80</v>
      </c>
      <c r="SZG11" s="256" t="s">
        <v>81</v>
      </c>
      <c r="SZH11" s="283"/>
      <c r="SZI11" s="259" t="s">
        <v>55</v>
      </c>
      <c r="SZJ11" s="256" t="s">
        <v>76</v>
      </c>
      <c r="SZK11" s="256" t="s">
        <v>77</v>
      </c>
      <c r="SZL11" s="256" t="s">
        <v>78</v>
      </c>
      <c r="SZM11" s="256" t="s">
        <v>79</v>
      </c>
      <c r="SZN11" s="256" t="s">
        <v>80</v>
      </c>
      <c r="SZO11" s="58" t="s">
        <v>81</v>
      </c>
      <c r="SZP11" s="284"/>
      <c r="SZQ11" s="259" t="s">
        <v>55</v>
      </c>
      <c r="SZR11" s="256" t="s">
        <v>76</v>
      </c>
      <c r="SZS11" s="256" t="s">
        <v>77</v>
      </c>
      <c r="SZT11" s="256" t="s">
        <v>78</v>
      </c>
      <c r="SZU11" s="256" t="s">
        <v>79</v>
      </c>
      <c r="SZV11" s="256" t="s">
        <v>80</v>
      </c>
      <c r="SZW11" s="256" t="s">
        <v>81</v>
      </c>
      <c r="SZX11" s="283"/>
      <c r="SZY11" s="259" t="s">
        <v>55</v>
      </c>
      <c r="SZZ11" s="256" t="s">
        <v>76</v>
      </c>
      <c r="TAA11" s="256" t="s">
        <v>77</v>
      </c>
      <c r="TAB11" s="256" t="s">
        <v>78</v>
      </c>
      <c r="TAC11" s="256" t="s">
        <v>79</v>
      </c>
      <c r="TAD11" s="256" t="s">
        <v>80</v>
      </c>
      <c r="TAE11" s="58" t="s">
        <v>81</v>
      </c>
      <c r="TAF11" s="284"/>
      <c r="TAG11" s="259" t="s">
        <v>55</v>
      </c>
      <c r="TAH11" s="256" t="s">
        <v>76</v>
      </c>
      <c r="TAI11" s="256" t="s">
        <v>77</v>
      </c>
      <c r="TAJ11" s="256" t="s">
        <v>78</v>
      </c>
      <c r="TAK11" s="256" t="s">
        <v>79</v>
      </c>
      <c r="TAL11" s="256" t="s">
        <v>80</v>
      </c>
      <c r="TAM11" s="256" t="s">
        <v>81</v>
      </c>
      <c r="TAN11" s="283"/>
      <c r="TAO11" s="259" t="s">
        <v>55</v>
      </c>
      <c r="TAP11" s="256" t="s">
        <v>76</v>
      </c>
      <c r="TAQ11" s="256" t="s">
        <v>77</v>
      </c>
      <c r="TAR11" s="256" t="s">
        <v>78</v>
      </c>
      <c r="TAS11" s="256" t="s">
        <v>79</v>
      </c>
      <c r="TAT11" s="256" t="s">
        <v>80</v>
      </c>
      <c r="TAU11" s="58" t="s">
        <v>81</v>
      </c>
      <c r="TAV11" s="284"/>
      <c r="TAW11" s="259" t="s">
        <v>55</v>
      </c>
      <c r="TAX11" s="256" t="s">
        <v>76</v>
      </c>
      <c r="TAY11" s="256" t="s">
        <v>77</v>
      </c>
      <c r="TAZ11" s="256" t="s">
        <v>78</v>
      </c>
      <c r="TBA11" s="256" t="s">
        <v>79</v>
      </c>
      <c r="TBB11" s="256" t="s">
        <v>80</v>
      </c>
      <c r="TBC11" s="256" t="s">
        <v>81</v>
      </c>
      <c r="TBD11" s="283"/>
      <c r="TBE11" s="259" t="s">
        <v>55</v>
      </c>
      <c r="TBF11" s="256" t="s">
        <v>76</v>
      </c>
      <c r="TBG11" s="256" t="s">
        <v>77</v>
      </c>
      <c r="TBH11" s="256" t="s">
        <v>78</v>
      </c>
      <c r="TBI11" s="256" t="s">
        <v>79</v>
      </c>
      <c r="TBJ11" s="256" t="s">
        <v>80</v>
      </c>
      <c r="TBK11" s="58" t="s">
        <v>81</v>
      </c>
      <c r="TBL11" s="284"/>
      <c r="TBM11" s="259" t="s">
        <v>55</v>
      </c>
      <c r="TBN11" s="256" t="s">
        <v>76</v>
      </c>
      <c r="TBO11" s="256" t="s">
        <v>77</v>
      </c>
      <c r="TBP11" s="256" t="s">
        <v>78</v>
      </c>
      <c r="TBQ11" s="256" t="s">
        <v>79</v>
      </c>
      <c r="TBR11" s="256" t="s">
        <v>80</v>
      </c>
      <c r="TBS11" s="256" t="s">
        <v>81</v>
      </c>
      <c r="TBT11" s="283"/>
      <c r="TBU11" s="259" t="s">
        <v>55</v>
      </c>
      <c r="TBV11" s="256" t="s">
        <v>76</v>
      </c>
      <c r="TBW11" s="256" t="s">
        <v>77</v>
      </c>
      <c r="TBX11" s="256" t="s">
        <v>78</v>
      </c>
      <c r="TBY11" s="256" t="s">
        <v>79</v>
      </c>
      <c r="TBZ11" s="256" t="s">
        <v>80</v>
      </c>
      <c r="TCA11" s="58" t="s">
        <v>81</v>
      </c>
      <c r="TCB11" s="284"/>
      <c r="TCC11" s="259" t="s">
        <v>55</v>
      </c>
      <c r="TCD11" s="256" t="s">
        <v>76</v>
      </c>
      <c r="TCE11" s="256" t="s">
        <v>77</v>
      </c>
      <c r="TCF11" s="256" t="s">
        <v>78</v>
      </c>
      <c r="TCG11" s="256" t="s">
        <v>79</v>
      </c>
      <c r="TCH11" s="256" t="s">
        <v>80</v>
      </c>
      <c r="TCI11" s="256" t="s">
        <v>81</v>
      </c>
      <c r="TCJ11" s="283"/>
      <c r="TCK11" s="259" t="s">
        <v>55</v>
      </c>
      <c r="TCL11" s="256" t="s">
        <v>76</v>
      </c>
      <c r="TCM11" s="256" t="s">
        <v>77</v>
      </c>
      <c r="TCN11" s="256" t="s">
        <v>78</v>
      </c>
      <c r="TCO11" s="256" t="s">
        <v>79</v>
      </c>
      <c r="TCP11" s="256" t="s">
        <v>80</v>
      </c>
      <c r="TCQ11" s="58" t="s">
        <v>81</v>
      </c>
      <c r="TCR11" s="284"/>
      <c r="TCS11" s="259" t="s">
        <v>55</v>
      </c>
      <c r="TCT11" s="256" t="s">
        <v>76</v>
      </c>
      <c r="TCU11" s="256" t="s">
        <v>77</v>
      </c>
      <c r="TCV11" s="256" t="s">
        <v>78</v>
      </c>
      <c r="TCW11" s="256" t="s">
        <v>79</v>
      </c>
      <c r="TCX11" s="256" t="s">
        <v>80</v>
      </c>
      <c r="TCY11" s="256" t="s">
        <v>81</v>
      </c>
      <c r="TCZ11" s="283"/>
      <c r="TDA11" s="259" t="s">
        <v>55</v>
      </c>
      <c r="TDB11" s="256" t="s">
        <v>76</v>
      </c>
      <c r="TDC11" s="256" t="s">
        <v>77</v>
      </c>
      <c r="TDD11" s="256" t="s">
        <v>78</v>
      </c>
      <c r="TDE11" s="256" t="s">
        <v>79</v>
      </c>
      <c r="TDF11" s="256" t="s">
        <v>80</v>
      </c>
      <c r="TDG11" s="58" t="s">
        <v>81</v>
      </c>
      <c r="TDH11" s="284"/>
      <c r="TDI11" s="259" t="s">
        <v>55</v>
      </c>
      <c r="TDJ11" s="256" t="s">
        <v>76</v>
      </c>
      <c r="TDK11" s="256" t="s">
        <v>77</v>
      </c>
      <c r="TDL11" s="256" t="s">
        <v>78</v>
      </c>
      <c r="TDM11" s="256" t="s">
        <v>79</v>
      </c>
      <c r="TDN11" s="256" t="s">
        <v>80</v>
      </c>
      <c r="TDO11" s="256" t="s">
        <v>81</v>
      </c>
      <c r="TDP11" s="283"/>
      <c r="TDQ11" s="259" t="s">
        <v>55</v>
      </c>
      <c r="TDR11" s="256" t="s">
        <v>76</v>
      </c>
      <c r="TDS11" s="256" t="s">
        <v>77</v>
      </c>
      <c r="TDT11" s="256" t="s">
        <v>78</v>
      </c>
      <c r="TDU11" s="256" t="s">
        <v>79</v>
      </c>
      <c r="TDV11" s="256" t="s">
        <v>80</v>
      </c>
      <c r="TDW11" s="58" t="s">
        <v>81</v>
      </c>
      <c r="TDX11" s="284"/>
      <c r="TDY11" s="259" t="s">
        <v>55</v>
      </c>
      <c r="TDZ11" s="256" t="s">
        <v>76</v>
      </c>
      <c r="TEA11" s="256" t="s">
        <v>77</v>
      </c>
      <c r="TEB11" s="256" t="s">
        <v>78</v>
      </c>
      <c r="TEC11" s="256" t="s">
        <v>79</v>
      </c>
      <c r="TED11" s="256" t="s">
        <v>80</v>
      </c>
      <c r="TEE11" s="256" t="s">
        <v>81</v>
      </c>
      <c r="TEF11" s="283"/>
      <c r="TEG11" s="259" t="s">
        <v>55</v>
      </c>
      <c r="TEH11" s="256" t="s">
        <v>76</v>
      </c>
      <c r="TEI11" s="256" t="s">
        <v>77</v>
      </c>
      <c r="TEJ11" s="256" t="s">
        <v>78</v>
      </c>
      <c r="TEK11" s="256" t="s">
        <v>79</v>
      </c>
      <c r="TEL11" s="256" t="s">
        <v>80</v>
      </c>
      <c r="TEM11" s="58" t="s">
        <v>81</v>
      </c>
      <c r="TEN11" s="284"/>
      <c r="TEO11" s="259" t="s">
        <v>55</v>
      </c>
      <c r="TEP11" s="256" t="s">
        <v>76</v>
      </c>
      <c r="TEQ11" s="256" t="s">
        <v>77</v>
      </c>
      <c r="TER11" s="256" t="s">
        <v>78</v>
      </c>
      <c r="TES11" s="256" t="s">
        <v>79</v>
      </c>
      <c r="TET11" s="256" t="s">
        <v>80</v>
      </c>
      <c r="TEU11" s="256" t="s">
        <v>81</v>
      </c>
      <c r="TEV11" s="283"/>
      <c r="TEW11" s="259" t="s">
        <v>55</v>
      </c>
      <c r="TEX11" s="256" t="s">
        <v>76</v>
      </c>
      <c r="TEY11" s="256" t="s">
        <v>77</v>
      </c>
      <c r="TEZ11" s="256" t="s">
        <v>78</v>
      </c>
      <c r="TFA11" s="256" t="s">
        <v>79</v>
      </c>
      <c r="TFB11" s="256" t="s">
        <v>80</v>
      </c>
      <c r="TFC11" s="58" t="s">
        <v>81</v>
      </c>
      <c r="TFD11" s="284"/>
      <c r="TFE11" s="259" t="s">
        <v>55</v>
      </c>
      <c r="TFF11" s="256" t="s">
        <v>76</v>
      </c>
      <c r="TFG11" s="256" t="s">
        <v>77</v>
      </c>
      <c r="TFH11" s="256" t="s">
        <v>78</v>
      </c>
      <c r="TFI11" s="256" t="s">
        <v>79</v>
      </c>
      <c r="TFJ11" s="256" t="s">
        <v>80</v>
      </c>
      <c r="TFK11" s="256" t="s">
        <v>81</v>
      </c>
      <c r="TFL11" s="283"/>
      <c r="TFM11" s="259" t="s">
        <v>55</v>
      </c>
      <c r="TFN11" s="256" t="s">
        <v>76</v>
      </c>
      <c r="TFO11" s="256" t="s">
        <v>77</v>
      </c>
      <c r="TFP11" s="256" t="s">
        <v>78</v>
      </c>
      <c r="TFQ11" s="256" t="s">
        <v>79</v>
      </c>
      <c r="TFR11" s="256" t="s">
        <v>80</v>
      </c>
      <c r="TFS11" s="58" t="s">
        <v>81</v>
      </c>
      <c r="TFT11" s="284"/>
      <c r="TFU11" s="259" t="s">
        <v>55</v>
      </c>
      <c r="TFV11" s="256" t="s">
        <v>76</v>
      </c>
      <c r="TFW11" s="256" t="s">
        <v>77</v>
      </c>
      <c r="TFX11" s="256" t="s">
        <v>78</v>
      </c>
      <c r="TFY11" s="256" t="s">
        <v>79</v>
      </c>
      <c r="TFZ11" s="256" t="s">
        <v>80</v>
      </c>
      <c r="TGA11" s="256" t="s">
        <v>81</v>
      </c>
      <c r="TGB11" s="283"/>
      <c r="TGC11" s="259" t="s">
        <v>55</v>
      </c>
      <c r="TGD11" s="256" t="s">
        <v>76</v>
      </c>
      <c r="TGE11" s="256" t="s">
        <v>77</v>
      </c>
      <c r="TGF11" s="256" t="s">
        <v>78</v>
      </c>
      <c r="TGG11" s="256" t="s">
        <v>79</v>
      </c>
      <c r="TGH11" s="256" t="s">
        <v>80</v>
      </c>
      <c r="TGI11" s="58" t="s">
        <v>81</v>
      </c>
      <c r="TGJ11" s="284"/>
      <c r="TGK11" s="259" t="s">
        <v>55</v>
      </c>
      <c r="TGL11" s="256" t="s">
        <v>76</v>
      </c>
      <c r="TGM11" s="256" t="s">
        <v>77</v>
      </c>
      <c r="TGN11" s="256" t="s">
        <v>78</v>
      </c>
      <c r="TGO11" s="256" t="s">
        <v>79</v>
      </c>
      <c r="TGP11" s="256" t="s">
        <v>80</v>
      </c>
      <c r="TGQ11" s="256" t="s">
        <v>81</v>
      </c>
      <c r="TGR11" s="283"/>
      <c r="TGS11" s="259" t="s">
        <v>55</v>
      </c>
      <c r="TGT11" s="256" t="s">
        <v>76</v>
      </c>
      <c r="TGU11" s="256" t="s">
        <v>77</v>
      </c>
      <c r="TGV11" s="256" t="s">
        <v>78</v>
      </c>
      <c r="TGW11" s="256" t="s">
        <v>79</v>
      </c>
      <c r="TGX11" s="256" t="s">
        <v>80</v>
      </c>
      <c r="TGY11" s="58" t="s">
        <v>81</v>
      </c>
      <c r="TGZ11" s="284"/>
      <c r="THA11" s="259" t="s">
        <v>55</v>
      </c>
      <c r="THB11" s="256" t="s">
        <v>76</v>
      </c>
      <c r="THC11" s="256" t="s">
        <v>77</v>
      </c>
      <c r="THD11" s="256" t="s">
        <v>78</v>
      </c>
      <c r="THE11" s="256" t="s">
        <v>79</v>
      </c>
      <c r="THF11" s="256" t="s">
        <v>80</v>
      </c>
      <c r="THG11" s="256" t="s">
        <v>81</v>
      </c>
      <c r="THH11" s="283"/>
      <c r="THI11" s="259" t="s">
        <v>55</v>
      </c>
      <c r="THJ11" s="256" t="s">
        <v>76</v>
      </c>
      <c r="THK11" s="256" t="s">
        <v>77</v>
      </c>
      <c r="THL11" s="256" t="s">
        <v>78</v>
      </c>
      <c r="THM11" s="256" t="s">
        <v>79</v>
      </c>
      <c r="THN11" s="256" t="s">
        <v>80</v>
      </c>
      <c r="THO11" s="58" t="s">
        <v>81</v>
      </c>
      <c r="THP11" s="284"/>
      <c r="THQ11" s="259" t="s">
        <v>55</v>
      </c>
      <c r="THR11" s="256" t="s">
        <v>76</v>
      </c>
      <c r="THS11" s="256" t="s">
        <v>77</v>
      </c>
      <c r="THT11" s="256" t="s">
        <v>78</v>
      </c>
      <c r="THU11" s="256" t="s">
        <v>79</v>
      </c>
      <c r="THV11" s="256" t="s">
        <v>80</v>
      </c>
      <c r="THW11" s="256" t="s">
        <v>81</v>
      </c>
      <c r="THX11" s="283"/>
      <c r="THY11" s="259" t="s">
        <v>55</v>
      </c>
      <c r="THZ11" s="256" t="s">
        <v>76</v>
      </c>
      <c r="TIA11" s="256" t="s">
        <v>77</v>
      </c>
      <c r="TIB11" s="256" t="s">
        <v>78</v>
      </c>
      <c r="TIC11" s="256" t="s">
        <v>79</v>
      </c>
      <c r="TID11" s="256" t="s">
        <v>80</v>
      </c>
      <c r="TIE11" s="58" t="s">
        <v>81</v>
      </c>
      <c r="TIF11" s="284"/>
      <c r="TIG11" s="259" t="s">
        <v>55</v>
      </c>
      <c r="TIH11" s="256" t="s">
        <v>76</v>
      </c>
      <c r="TII11" s="256" t="s">
        <v>77</v>
      </c>
      <c r="TIJ11" s="256" t="s">
        <v>78</v>
      </c>
      <c r="TIK11" s="256" t="s">
        <v>79</v>
      </c>
      <c r="TIL11" s="256" t="s">
        <v>80</v>
      </c>
      <c r="TIM11" s="256" t="s">
        <v>81</v>
      </c>
      <c r="TIN11" s="283"/>
      <c r="TIO11" s="259" t="s">
        <v>55</v>
      </c>
      <c r="TIP11" s="256" t="s">
        <v>76</v>
      </c>
      <c r="TIQ11" s="256" t="s">
        <v>77</v>
      </c>
      <c r="TIR11" s="256" t="s">
        <v>78</v>
      </c>
      <c r="TIS11" s="256" t="s">
        <v>79</v>
      </c>
      <c r="TIT11" s="256" t="s">
        <v>80</v>
      </c>
      <c r="TIU11" s="58" t="s">
        <v>81</v>
      </c>
      <c r="TIV11" s="284"/>
      <c r="TIW11" s="259" t="s">
        <v>55</v>
      </c>
      <c r="TIX11" s="256" t="s">
        <v>76</v>
      </c>
      <c r="TIY11" s="256" t="s">
        <v>77</v>
      </c>
      <c r="TIZ11" s="256" t="s">
        <v>78</v>
      </c>
      <c r="TJA11" s="256" t="s">
        <v>79</v>
      </c>
      <c r="TJB11" s="256" t="s">
        <v>80</v>
      </c>
      <c r="TJC11" s="256" t="s">
        <v>81</v>
      </c>
      <c r="TJD11" s="283"/>
      <c r="TJE11" s="259" t="s">
        <v>55</v>
      </c>
      <c r="TJF11" s="256" t="s">
        <v>76</v>
      </c>
      <c r="TJG11" s="256" t="s">
        <v>77</v>
      </c>
      <c r="TJH11" s="256" t="s">
        <v>78</v>
      </c>
      <c r="TJI11" s="256" t="s">
        <v>79</v>
      </c>
      <c r="TJJ11" s="256" t="s">
        <v>80</v>
      </c>
      <c r="TJK11" s="58" t="s">
        <v>81</v>
      </c>
      <c r="TJL11" s="284"/>
      <c r="TJM11" s="259" t="s">
        <v>55</v>
      </c>
      <c r="TJN11" s="256" t="s">
        <v>76</v>
      </c>
      <c r="TJO11" s="256" t="s">
        <v>77</v>
      </c>
      <c r="TJP11" s="256" t="s">
        <v>78</v>
      </c>
      <c r="TJQ11" s="256" t="s">
        <v>79</v>
      </c>
      <c r="TJR11" s="256" t="s">
        <v>80</v>
      </c>
      <c r="TJS11" s="256" t="s">
        <v>81</v>
      </c>
      <c r="TJT11" s="283"/>
      <c r="TJU11" s="259" t="s">
        <v>55</v>
      </c>
      <c r="TJV11" s="256" t="s">
        <v>76</v>
      </c>
      <c r="TJW11" s="256" t="s">
        <v>77</v>
      </c>
      <c r="TJX11" s="256" t="s">
        <v>78</v>
      </c>
      <c r="TJY11" s="256" t="s">
        <v>79</v>
      </c>
      <c r="TJZ11" s="256" t="s">
        <v>80</v>
      </c>
      <c r="TKA11" s="58" t="s">
        <v>81</v>
      </c>
      <c r="TKB11" s="284"/>
      <c r="TKC11" s="259" t="s">
        <v>55</v>
      </c>
      <c r="TKD11" s="256" t="s">
        <v>76</v>
      </c>
      <c r="TKE11" s="256" t="s">
        <v>77</v>
      </c>
      <c r="TKF11" s="256" t="s">
        <v>78</v>
      </c>
      <c r="TKG11" s="256" t="s">
        <v>79</v>
      </c>
      <c r="TKH11" s="256" t="s">
        <v>80</v>
      </c>
      <c r="TKI11" s="256" t="s">
        <v>81</v>
      </c>
      <c r="TKJ11" s="283"/>
      <c r="TKK11" s="259" t="s">
        <v>55</v>
      </c>
      <c r="TKL11" s="256" t="s">
        <v>76</v>
      </c>
      <c r="TKM11" s="256" t="s">
        <v>77</v>
      </c>
      <c r="TKN11" s="256" t="s">
        <v>78</v>
      </c>
      <c r="TKO11" s="256" t="s">
        <v>79</v>
      </c>
      <c r="TKP11" s="256" t="s">
        <v>80</v>
      </c>
      <c r="TKQ11" s="58" t="s">
        <v>81</v>
      </c>
      <c r="TKR11" s="284"/>
      <c r="TKS11" s="259" t="s">
        <v>55</v>
      </c>
      <c r="TKT11" s="256" t="s">
        <v>76</v>
      </c>
      <c r="TKU11" s="256" t="s">
        <v>77</v>
      </c>
      <c r="TKV11" s="256" t="s">
        <v>78</v>
      </c>
      <c r="TKW11" s="256" t="s">
        <v>79</v>
      </c>
      <c r="TKX11" s="256" t="s">
        <v>80</v>
      </c>
      <c r="TKY11" s="256" t="s">
        <v>81</v>
      </c>
      <c r="TKZ11" s="283"/>
      <c r="TLA11" s="259" t="s">
        <v>55</v>
      </c>
      <c r="TLB11" s="256" t="s">
        <v>76</v>
      </c>
      <c r="TLC11" s="256" t="s">
        <v>77</v>
      </c>
      <c r="TLD11" s="256" t="s">
        <v>78</v>
      </c>
      <c r="TLE11" s="256" t="s">
        <v>79</v>
      </c>
      <c r="TLF11" s="256" t="s">
        <v>80</v>
      </c>
      <c r="TLG11" s="58" t="s">
        <v>81</v>
      </c>
      <c r="TLH11" s="284"/>
      <c r="TLI11" s="259" t="s">
        <v>55</v>
      </c>
      <c r="TLJ11" s="256" t="s">
        <v>76</v>
      </c>
      <c r="TLK11" s="256" t="s">
        <v>77</v>
      </c>
      <c r="TLL11" s="256" t="s">
        <v>78</v>
      </c>
      <c r="TLM11" s="256" t="s">
        <v>79</v>
      </c>
      <c r="TLN11" s="256" t="s">
        <v>80</v>
      </c>
      <c r="TLO11" s="256" t="s">
        <v>81</v>
      </c>
      <c r="TLP11" s="283"/>
      <c r="TLQ11" s="259" t="s">
        <v>55</v>
      </c>
      <c r="TLR11" s="256" t="s">
        <v>76</v>
      </c>
      <c r="TLS11" s="256" t="s">
        <v>77</v>
      </c>
      <c r="TLT11" s="256" t="s">
        <v>78</v>
      </c>
      <c r="TLU11" s="256" t="s">
        <v>79</v>
      </c>
      <c r="TLV11" s="256" t="s">
        <v>80</v>
      </c>
      <c r="TLW11" s="58" t="s">
        <v>81</v>
      </c>
      <c r="TLX11" s="284"/>
      <c r="TLY11" s="259" t="s">
        <v>55</v>
      </c>
      <c r="TLZ11" s="256" t="s">
        <v>76</v>
      </c>
      <c r="TMA11" s="256" t="s">
        <v>77</v>
      </c>
      <c r="TMB11" s="256" t="s">
        <v>78</v>
      </c>
      <c r="TMC11" s="256" t="s">
        <v>79</v>
      </c>
      <c r="TMD11" s="256" t="s">
        <v>80</v>
      </c>
      <c r="TME11" s="256" t="s">
        <v>81</v>
      </c>
      <c r="TMF11" s="283"/>
      <c r="TMG11" s="259" t="s">
        <v>55</v>
      </c>
      <c r="TMH11" s="256" t="s">
        <v>76</v>
      </c>
      <c r="TMI11" s="256" t="s">
        <v>77</v>
      </c>
      <c r="TMJ11" s="256" t="s">
        <v>78</v>
      </c>
      <c r="TMK11" s="256" t="s">
        <v>79</v>
      </c>
      <c r="TML11" s="256" t="s">
        <v>80</v>
      </c>
      <c r="TMM11" s="58" t="s">
        <v>81</v>
      </c>
      <c r="TMN11" s="284"/>
      <c r="TMO11" s="259" t="s">
        <v>55</v>
      </c>
      <c r="TMP11" s="256" t="s">
        <v>76</v>
      </c>
      <c r="TMQ11" s="256" t="s">
        <v>77</v>
      </c>
      <c r="TMR11" s="256" t="s">
        <v>78</v>
      </c>
      <c r="TMS11" s="256" t="s">
        <v>79</v>
      </c>
      <c r="TMT11" s="256" t="s">
        <v>80</v>
      </c>
      <c r="TMU11" s="256" t="s">
        <v>81</v>
      </c>
      <c r="TMV11" s="283"/>
      <c r="TMW11" s="259" t="s">
        <v>55</v>
      </c>
      <c r="TMX11" s="256" t="s">
        <v>76</v>
      </c>
      <c r="TMY11" s="256" t="s">
        <v>77</v>
      </c>
      <c r="TMZ11" s="256" t="s">
        <v>78</v>
      </c>
      <c r="TNA11" s="256" t="s">
        <v>79</v>
      </c>
      <c r="TNB11" s="256" t="s">
        <v>80</v>
      </c>
      <c r="TNC11" s="58" t="s">
        <v>81</v>
      </c>
      <c r="TND11" s="284"/>
      <c r="TNE11" s="259" t="s">
        <v>55</v>
      </c>
      <c r="TNF11" s="256" t="s">
        <v>76</v>
      </c>
      <c r="TNG11" s="256" t="s">
        <v>77</v>
      </c>
      <c r="TNH11" s="256" t="s">
        <v>78</v>
      </c>
      <c r="TNI11" s="256" t="s">
        <v>79</v>
      </c>
      <c r="TNJ11" s="256" t="s">
        <v>80</v>
      </c>
      <c r="TNK11" s="256" t="s">
        <v>81</v>
      </c>
      <c r="TNL11" s="283"/>
      <c r="TNM11" s="259" t="s">
        <v>55</v>
      </c>
      <c r="TNN11" s="256" t="s">
        <v>76</v>
      </c>
      <c r="TNO11" s="256" t="s">
        <v>77</v>
      </c>
      <c r="TNP11" s="256" t="s">
        <v>78</v>
      </c>
      <c r="TNQ11" s="256" t="s">
        <v>79</v>
      </c>
      <c r="TNR11" s="256" t="s">
        <v>80</v>
      </c>
      <c r="TNS11" s="58" t="s">
        <v>81</v>
      </c>
      <c r="TNT11" s="284"/>
      <c r="TNU11" s="259" t="s">
        <v>55</v>
      </c>
      <c r="TNV11" s="256" t="s">
        <v>76</v>
      </c>
      <c r="TNW11" s="256" t="s">
        <v>77</v>
      </c>
      <c r="TNX11" s="256" t="s">
        <v>78</v>
      </c>
      <c r="TNY11" s="256" t="s">
        <v>79</v>
      </c>
      <c r="TNZ11" s="256" t="s">
        <v>80</v>
      </c>
      <c r="TOA11" s="256" t="s">
        <v>81</v>
      </c>
      <c r="TOB11" s="283"/>
      <c r="TOC11" s="259" t="s">
        <v>55</v>
      </c>
      <c r="TOD11" s="256" t="s">
        <v>76</v>
      </c>
      <c r="TOE11" s="256" t="s">
        <v>77</v>
      </c>
      <c r="TOF11" s="256" t="s">
        <v>78</v>
      </c>
      <c r="TOG11" s="256" t="s">
        <v>79</v>
      </c>
      <c r="TOH11" s="256" t="s">
        <v>80</v>
      </c>
      <c r="TOI11" s="58" t="s">
        <v>81</v>
      </c>
      <c r="TOJ11" s="284"/>
      <c r="TOK11" s="259" t="s">
        <v>55</v>
      </c>
      <c r="TOL11" s="256" t="s">
        <v>76</v>
      </c>
      <c r="TOM11" s="256" t="s">
        <v>77</v>
      </c>
      <c r="TON11" s="256" t="s">
        <v>78</v>
      </c>
      <c r="TOO11" s="256" t="s">
        <v>79</v>
      </c>
      <c r="TOP11" s="256" t="s">
        <v>80</v>
      </c>
      <c r="TOQ11" s="256" t="s">
        <v>81</v>
      </c>
      <c r="TOR11" s="283"/>
      <c r="TOS11" s="259" t="s">
        <v>55</v>
      </c>
      <c r="TOT11" s="256" t="s">
        <v>76</v>
      </c>
      <c r="TOU11" s="256" t="s">
        <v>77</v>
      </c>
      <c r="TOV11" s="256" t="s">
        <v>78</v>
      </c>
      <c r="TOW11" s="256" t="s">
        <v>79</v>
      </c>
      <c r="TOX11" s="256" t="s">
        <v>80</v>
      </c>
      <c r="TOY11" s="58" t="s">
        <v>81</v>
      </c>
      <c r="TOZ11" s="284"/>
      <c r="TPA11" s="259" t="s">
        <v>55</v>
      </c>
      <c r="TPB11" s="256" t="s">
        <v>76</v>
      </c>
      <c r="TPC11" s="256" t="s">
        <v>77</v>
      </c>
      <c r="TPD11" s="256" t="s">
        <v>78</v>
      </c>
      <c r="TPE11" s="256" t="s">
        <v>79</v>
      </c>
      <c r="TPF11" s="256" t="s">
        <v>80</v>
      </c>
      <c r="TPG11" s="256" t="s">
        <v>81</v>
      </c>
      <c r="TPH11" s="283"/>
      <c r="TPI11" s="259" t="s">
        <v>55</v>
      </c>
      <c r="TPJ11" s="256" t="s">
        <v>76</v>
      </c>
      <c r="TPK11" s="256" t="s">
        <v>77</v>
      </c>
      <c r="TPL11" s="256" t="s">
        <v>78</v>
      </c>
      <c r="TPM11" s="256" t="s">
        <v>79</v>
      </c>
      <c r="TPN11" s="256" t="s">
        <v>80</v>
      </c>
      <c r="TPO11" s="58" t="s">
        <v>81</v>
      </c>
      <c r="TPP11" s="284"/>
      <c r="TPQ11" s="259" t="s">
        <v>55</v>
      </c>
      <c r="TPR11" s="256" t="s">
        <v>76</v>
      </c>
      <c r="TPS11" s="256" t="s">
        <v>77</v>
      </c>
      <c r="TPT11" s="256" t="s">
        <v>78</v>
      </c>
      <c r="TPU11" s="256" t="s">
        <v>79</v>
      </c>
      <c r="TPV11" s="256" t="s">
        <v>80</v>
      </c>
      <c r="TPW11" s="256" t="s">
        <v>81</v>
      </c>
      <c r="TPX11" s="283"/>
      <c r="TPY11" s="259" t="s">
        <v>55</v>
      </c>
      <c r="TPZ11" s="256" t="s">
        <v>76</v>
      </c>
      <c r="TQA11" s="256" t="s">
        <v>77</v>
      </c>
      <c r="TQB11" s="256" t="s">
        <v>78</v>
      </c>
      <c r="TQC11" s="256" t="s">
        <v>79</v>
      </c>
      <c r="TQD11" s="256" t="s">
        <v>80</v>
      </c>
      <c r="TQE11" s="58" t="s">
        <v>81</v>
      </c>
      <c r="TQF11" s="284"/>
      <c r="TQG11" s="259" t="s">
        <v>55</v>
      </c>
      <c r="TQH11" s="256" t="s">
        <v>76</v>
      </c>
      <c r="TQI11" s="256" t="s">
        <v>77</v>
      </c>
      <c r="TQJ11" s="256" t="s">
        <v>78</v>
      </c>
      <c r="TQK11" s="256" t="s">
        <v>79</v>
      </c>
      <c r="TQL11" s="256" t="s">
        <v>80</v>
      </c>
      <c r="TQM11" s="256" t="s">
        <v>81</v>
      </c>
      <c r="TQN11" s="283"/>
      <c r="TQO11" s="259" t="s">
        <v>55</v>
      </c>
      <c r="TQP11" s="256" t="s">
        <v>76</v>
      </c>
      <c r="TQQ11" s="256" t="s">
        <v>77</v>
      </c>
      <c r="TQR11" s="256" t="s">
        <v>78</v>
      </c>
      <c r="TQS11" s="256" t="s">
        <v>79</v>
      </c>
      <c r="TQT11" s="256" t="s">
        <v>80</v>
      </c>
      <c r="TQU11" s="58" t="s">
        <v>81</v>
      </c>
      <c r="TQV11" s="284"/>
      <c r="TQW11" s="259" t="s">
        <v>55</v>
      </c>
      <c r="TQX11" s="256" t="s">
        <v>76</v>
      </c>
      <c r="TQY11" s="256" t="s">
        <v>77</v>
      </c>
      <c r="TQZ11" s="256" t="s">
        <v>78</v>
      </c>
      <c r="TRA11" s="256" t="s">
        <v>79</v>
      </c>
      <c r="TRB11" s="256" t="s">
        <v>80</v>
      </c>
      <c r="TRC11" s="256" t="s">
        <v>81</v>
      </c>
      <c r="TRD11" s="283"/>
      <c r="TRE11" s="259" t="s">
        <v>55</v>
      </c>
      <c r="TRF11" s="256" t="s">
        <v>76</v>
      </c>
      <c r="TRG11" s="256" t="s">
        <v>77</v>
      </c>
      <c r="TRH11" s="256" t="s">
        <v>78</v>
      </c>
      <c r="TRI11" s="256" t="s">
        <v>79</v>
      </c>
      <c r="TRJ11" s="256" t="s">
        <v>80</v>
      </c>
      <c r="TRK11" s="58" t="s">
        <v>81</v>
      </c>
      <c r="TRL11" s="284"/>
      <c r="TRM11" s="259" t="s">
        <v>55</v>
      </c>
      <c r="TRN11" s="256" t="s">
        <v>76</v>
      </c>
      <c r="TRO11" s="256" t="s">
        <v>77</v>
      </c>
      <c r="TRP11" s="256" t="s">
        <v>78</v>
      </c>
      <c r="TRQ11" s="256" t="s">
        <v>79</v>
      </c>
      <c r="TRR11" s="256" t="s">
        <v>80</v>
      </c>
      <c r="TRS11" s="256" t="s">
        <v>81</v>
      </c>
      <c r="TRT11" s="283"/>
      <c r="TRU11" s="259" t="s">
        <v>55</v>
      </c>
      <c r="TRV11" s="256" t="s">
        <v>76</v>
      </c>
      <c r="TRW11" s="256" t="s">
        <v>77</v>
      </c>
      <c r="TRX11" s="256" t="s">
        <v>78</v>
      </c>
      <c r="TRY11" s="256" t="s">
        <v>79</v>
      </c>
      <c r="TRZ11" s="256" t="s">
        <v>80</v>
      </c>
      <c r="TSA11" s="58" t="s">
        <v>81</v>
      </c>
      <c r="TSB11" s="284"/>
      <c r="TSC11" s="259" t="s">
        <v>55</v>
      </c>
      <c r="TSD11" s="256" t="s">
        <v>76</v>
      </c>
      <c r="TSE11" s="256" t="s">
        <v>77</v>
      </c>
      <c r="TSF11" s="256" t="s">
        <v>78</v>
      </c>
      <c r="TSG11" s="256" t="s">
        <v>79</v>
      </c>
      <c r="TSH11" s="256" t="s">
        <v>80</v>
      </c>
      <c r="TSI11" s="256" t="s">
        <v>81</v>
      </c>
      <c r="TSJ11" s="283"/>
      <c r="TSK11" s="259" t="s">
        <v>55</v>
      </c>
      <c r="TSL11" s="256" t="s">
        <v>76</v>
      </c>
      <c r="TSM11" s="256" t="s">
        <v>77</v>
      </c>
      <c r="TSN11" s="256" t="s">
        <v>78</v>
      </c>
      <c r="TSO11" s="256" t="s">
        <v>79</v>
      </c>
      <c r="TSP11" s="256" t="s">
        <v>80</v>
      </c>
      <c r="TSQ11" s="58" t="s">
        <v>81</v>
      </c>
      <c r="TSR11" s="284"/>
      <c r="TSS11" s="259" t="s">
        <v>55</v>
      </c>
      <c r="TST11" s="256" t="s">
        <v>76</v>
      </c>
      <c r="TSU11" s="256" t="s">
        <v>77</v>
      </c>
      <c r="TSV11" s="256" t="s">
        <v>78</v>
      </c>
      <c r="TSW11" s="256" t="s">
        <v>79</v>
      </c>
      <c r="TSX11" s="256" t="s">
        <v>80</v>
      </c>
      <c r="TSY11" s="256" t="s">
        <v>81</v>
      </c>
      <c r="TSZ11" s="283"/>
      <c r="TTA11" s="259" t="s">
        <v>55</v>
      </c>
      <c r="TTB11" s="256" t="s">
        <v>76</v>
      </c>
      <c r="TTC11" s="256" t="s">
        <v>77</v>
      </c>
      <c r="TTD11" s="256" t="s">
        <v>78</v>
      </c>
      <c r="TTE11" s="256" t="s">
        <v>79</v>
      </c>
      <c r="TTF11" s="256" t="s">
        <v>80</v>
      </c>
      <c r="TTG11" s="58" t="s">
        <v>81</v>
      </c>
      <c r="TTH11" s="284"/>
      <c r="TTI11" s="259" t="s">
        <v>55</v>
      </c>
      <c r="TTJ11" s="256" t="s">
        <v>76</v>
      </c>
      <c r="TTK11" s="256" t="s">
        <v>77</v>
      </c>
      <c r="TTL11" s="256" t="s">
        <v>78</v>
      </c>
      <c r="TTM11" s="256" t="s">
        <v>79</v>
      </c>
      <c r="TTN11" s="256" t="s">
        <v>80</v>
      </c>
      <c r="TTO11" s="256" t="s">
        <v>81</v>
      </c>
      <c r="TTP11" s="283"/>
      <c r="TTQ11" s="259" t="s">
        <v>55</v>
      </c>
      <c r="TTR11" s="256" t="s">
        <v>76</v>
      </c>
      <c r="TTS11" s="256" t="s">
        <v>77</v>
      </c>
      <c r="TTT11" s="256" t="s">
        <v>78</v>
      </c>
      <c r="TTU11" s="256" t="s">
        <v>79</v>
      </c>
      <c r="TTV11" s="256" t="s">
        <v>80</v>
      </c>
      <c r="TTW11" s="58" t="s">
        <v>81</v>
      </c>
      <c r="TTX11" s="284"/>
      <c r="TTY11" s="259" t="s">
        <v>55</v>
      </c>
      <c r="TTZ11" s="256" t="s">
        <v>76</v>
      </c>
      <c r="TUA11" s="256" t="s">
        <v>77</v>
      </c>
      <c r="TUB11" s="256" t="s">
        <v>78</v>
      </c>
      <c r="TUC11" s="256" t="s">
        <v>79</v>
      </c>
      <c r="TUD11" s="256" t="s">
        <v>80</v>
      </c>
      <c r="TUE11" s="256" t="s">
        <v>81</v>
      </c>
      <c r="TUF11" s="283"/>
      <c r="TUG11" s="259" t="s">
        <v>55</v>
      </c>
      <c r="TUH11" s="256" t="s">
        <v>76</v>
      </c>
      <c r="TUI11" s="256" t="s">
        <v>77</v>
      </c>
      <c r="TUJ11" s="256" t="s">
        <v>78</v>
      </c>
      <c r="TUK11" s="256" t="s">
        <v>79</v>
      </c>
      <c r="TUL11" s="256" t="s">
        <v>80</v>
      </c>
      <c r="TUM11" s="58" t="s">
        <v>81</v>
      </c>
      <c r="TUN11" s="284"/>
      <c r="TUO11" s="259" t="s">
        <v>55</v>
      </c>
      <c r="TUP11" s="256" t="s">
        <v>76</v>
      </c>
      <c r="TUQ11" s="256" t="s">
        <v>77</v>
      </c>
      <c r="TUR11" s="256" t="s">
        <v>78</v>
      </c>
      <c r="TUS11" s="256" t="s">
        <v>79</v>
      </c>
      <c r="TUT11" s="256" t="s">
        <v>80</v>
      </c>
      <c r="TUU11" s="256" t="s">
        <v>81</v>
      </c>
      <c r="TUV11" s="283"/>
      <c r="TUW11" s="259" t="s">
        <v>55</v>
      </c>
      <c r="TUX11" s="256" t="s">
        <v>76</v>
      </c>
      <c r="TUY11" s="256" t="s">
        <v>77</v>
      </c>
      <c r="TUZ11" s="256" t="s">
        <v>78</v>
      </c>
      <c r="TVA11" s="256" t="s">
        <v>79</v>
      </c>
      <c r="TVB11" s="256" t="s">
        <v>80</v>
      </c>
      <c r="TVC11" s="58" t="s">
        <v>81</v>
      </c>
      <c r="TVD11" s="284"/>
      <c r="TVE11" s="259" t="s">
        <v>55</v>
      </c>
      <c r="TVF11" s="256" t="s">
        <v>76</v>
      </c>
      <c r="TVG11" s="256" t="s">
        <v>77</v>
      </c>
      <c r="TVH11" s="256" t="s">
        <v>78</v>
      </c>
      <c r="TVI11" s="256" t="s">
        <v>79</v>
      </c>
      <c r="TVJ11" s="256" t="s">
        <v>80</v>
      </c>
      <c r="TVK11" s="256" t="s">
        <v>81</v>
      </c>
      <c r="TVL11" s="283"/>
      <c r="TVM11" s="259" t="s">
        <v>55</v>
      </c>
      <c r="TVN11" s="256" t="s">
        <v>76</v>
      </c>
      <c r="TVO11" s="256" t="s">
        <v>77</v>
      </c>
      <c r="TVP11" s="256" t="s">
        <v>78</v>
      </c>
      <c r="TVQ11" s="256" t="s">
        <v>79</v>
      </c>
      <c r="TVR11" s="256" t="s">
        <v>80</v>
      </c>
      <c r="TVS11" s="58" t="s">
        <v>81</v>
      </c>
      <c r="TVT11" s="284"/>
      <c r="TVU11" s="259" t="s">
        <v>55</v>
      </c>
      <c r="TVV11" s="256" t="s">
        <v>76</v>
      </c>
      <c r="TVW11" s="256" t="s">
        <v>77</v>
      </c>
      <c r="TVX11" s="256" t="s">
        <v>78</v>
      </c>
      <c r="TVY11" s="256" t="s">
        <v>79</v>
      </c>
      <c r="TVZ11" s="256" t="s">
        <v>80</v>
      </c>
      <c r="TWA11" s="256" t="s">
        <v>81</v>
      </c>
      <c r="TWB11" s="283"/>
      <c r="TWC11" s="259" t="s">
        <v>55</v>
      </c>
      <c r="TWD11" s="256" t="s">
        <v>76</v>
      </c>
      <c r="TWE11" s="256" t="s">
        <v>77</v>
      </c>
      <c r="TWF11" s="256" t="s">
        <v>78</v>
      </c>
      <c r="TWG11" s="256" t="s">
        <v>79</v>
      </c>
      <c r="TWH11" s="256" t="s">
        <v>80</v>
      </c>
      <c r="TWI11" s="58" t="s">
        <v>81</v>
      </c>
      <c r="TWJ11" s="284"/>
      <c r="TWK11" s="259" t="s">
        <v>55</v>
      </c>
      <c r="TWL11" s="256" t="s">
        <v>76</v>
      </c>
      <c r="TWM11" s="256" t="s">
        <v>77</v>
      </c>
      <c r="TWN11" s="256" t="s">
        <v>78</v>
      </c>
      <c r="TWO11" s="256" t="s">
        <v>79</v>
      </c>
      <c r="TWP11" s="256" t="s">
        <v>80</v>
      </c>
      <c r="TWQ11" s="256" t="s">
        <v>81</v>
      </c>
      <c r="TWR11" s="283"/>
      <c r="TWS11" s="259" t="s">
        <v>55</v>
      </c>
      <c r="TWT11" s="256" t="s">
        <v>76</v>
      </c>
      <c r="TWU11" s="256" t="s">
        <v>77</v>
      </c>
      <c r="TWV11" s="256" t="s">
        <v>78</v>
      </c>
      <c r="TWW11" s="256" t="s">
        <v>79</v>
      </c>
      <c r="TWX11" s="256" t="s">
        <v>80</v>
      </c>
      <c r="TWY11" s="58" t="s">
        <v>81</v>
      </c>
      <c r="TWZ11" s="284"/>
      <c r="TXA11" s="259" t="s">
        <v>55</v>
      </c>
      <c r="TXB11" s="256" t="s">
        <v>76</v>
      </c>
      <c r="TXC11" s="256" t="s">
        <v>77</v>
      </c>
      <c r="TXD11" s="256" t="s">
        <v>78</v>
      </c>
      <c r="TXE11" s="256" t="s">
        <v>79</v>
      </c>
      <c r="TXF11" s="256" t="s">
        <v>80</v>
      </c>
      <c r="TXG11" s="256" t="s">
        <v>81</v>
      </c>
      <c r="TXH11" s="283"/>
      <c r="TXI11" s="259" t="s">
        <v>55</v>
      </c>
      <c r="TXJ11" s="256" t="s">
        <v>76</v>
      </c>
      <c r="TXK11" s="256" t="s">
        <v>77</v>
      </c>
      <c r="TXL11" s="256" t="s">
        <v>78</v>
      </c>
      <c r="TXM11" s="256" t="s">
        <v>79</v>
      </c>
      <c r="TXN11" s="256" t="s">
        <v>80</v>
      </c>
      <c r="TXO11" s="58" t="s">
        <v>81</v>
      </c>
      <c r="TXP11" s="284"/>
      <c r="TXQ11" s="259" t="s">
        <v>55</v>
      </c>
      <c r="TXR11" s="256" t="s">
        <v>76</v>
      </c>
      <c r="TXS11" s="256" t="s">
        <v>77</v>
      </c>
      <c r="TXT11" s="256" t="s">
        <v>78</v>
      </c>
      <c r="TXU11" s="256" t="s">
        <v>79</v>
      </c>
      <c r="TXV11" s="256" t="s">
        <v>80</v>
      </c>
      <c r="TXW11" s="256" t="s">
        <v>81</v>
      </c>
      <c r="TXX11" s="283"/>
      <c r="TXY11" s="259" t="s">
        <v>55</v>
      </c>
      <c r="TXZ11" s="256" t="s">
        <v>76</v>
      </c>
      <c r="TYA11" s="256" t="s">
        <v>77</v>
      </c>
      <c r="TYB11" s="256" t="s">
        <v>78</v>
      </c>
      <c r="TYC11" s="256" t="s">
        <v>79</v>
      </c>
      <c r="TYD11" s="256" t="s">
        <v>80</v>
      </c>
      <c r="TYE11" s="58" t="s">
        <v>81</v>
      </c>
      <c r="TYF11" s="284"/>
      <c r="TYG11" s="259" t="s">
        <v>55</v>
      </c>
      <c r="TYH11" s="256" t="s">
        <v>76</v>
      </c>
      <c r="TYI11" s="256" t="s">
        <v>77</v>
      </c>
      <c r="TYJ11" s="256" t="s">
        <v>78</v>
      </c>
      <c r="TYK11" s="256" t="s">
        <v>79</v>
      </c>
      <c r="TYL11" s="256" t="s">
        <v>80</v>
      </c>
      <c r="TYM11" s="256" t="s">
        <v>81</v>
      </c>
      <c r="TYN11" s="283"/>
      <c r="TYO11" s="259" t="s">
        <v>55</v>
      </c>
      <c r="TYP11" s="256" t="s">
        <v>76</v>
      </c>
      <c r="TYQ11" s="256" t="s">
        <v>77</v>
      </c>
      <c r="TYR11" s="256" t="s">
        <v>78</v>
      </c>
      <c r="TYS11" s="256" t="s">
        <v>79</v>
      </c>
      <c r="TYT11" s="256" t="s">
        <v>80</v>
      </c>
      <c r="TYU11" s="58" t="s">
        <v>81</v>
      </c>
      <c r="TYV11" s="284"/>
      <c r="TYW11" s="259" t="s">
        <v>55</v>
      </c>
      <c r="TYX11" s="256" t="s">
        <v>76</v>
      </c>
      <c r="TYY11" s="256" t="s">
        <v>77</v>
      </c>
      <c r="TYZ11" s="256" t="s">
        <v>78</v>
      </c>
      <c r="TZA11" s="256" t="s">
        <v>79</v>
      </c>
      <c r="TZB11" s="256" t="s">
        <v>80</v>
      </c>
      <c r="TZC11" s="256" t="s">
        <v>81</v>
      </c>
      <c r="TZD11" s="283"/>
      <c r="TZE11" s="259" t="s">
        <v>55</v>
      </c>
      <c r="TZF11" s="256" t="s">
        <v>76</v>
      </c>
      <c r="TZG11" s="256" t="s">
        <v>77</v>
      </c>
      <c r="TZH11" s="256" t="s">
        <v>78</v>
      </c>
      <c r="TZI11" s="256" t="s">
        <v>79</v>
      </c>
      <c r="TZJ11" s="256" t="s">
        <v>80</v>
      </c>
      <c r="TZK11" s="58" t="s">
        <v>81</v>
      </c>
      <c r="TZL11" s="284"/>
      <c r="TZM11" s="259" t="s">
        <v>55</v>
      </c>
      <c r="TZN11" s="256" t="s">
        <v>76</v>
      </c>
      <c r="TZO11" s="256" t="s">
        <v>77</v>
      </c>
      <c r="TZP11" s="256" t="s">
        <v>78</v>
      </c>
      <c r="TZQ11" s="256" t="s">
        <v>79</v>
      </c>
      <c r="TZR11" s="256" t="s">
        <v>80</v>
      </c>
      <c r="TZS11" s="256" t="s">
        <v>81</v>
      </c>
      <c r="TZT11" s="283"/>
      <c r="TZU11" s="259" t="s">
        <v>55</v>
      </c>
      <c r="TZV11" s="256" t="s">
        <v>76</v>
      </c>
      <c r="TZW11" s="256" t="s">
        <v>77</v>
      </c>
      <c r="TZX11" s="256" t="s">
        <v>78</v>
      </c>
      <c r="TZY11" s="256" t="s">
        <v>79</v>
      </c>
      <c r="TZZ11" s="256" t="s">
        <v>80</v>
      </c>
      <c r="UAA11" s="58" t="s">
        <v>81</v>
      </c>
      <c r="UAB11" s="284"/>
      <c r="UAC11" s="259" t="s">
        <v>55</v>
      </c>
      <c r="UAD11" s="256" t="s">
        <v>76</v>
      </c>
      <c r="UAE11" s="256" t="s">
        <v>77</v>
      </c>
      <c r="UAF11" s="256" t="s">
        <v>78</v>
      </c>
      <c r="UAG11" s="256" t="s">
        <v>79</v>
      </c>
      <c r="UAH11" s="256" t="s">
        <v>80</v>
      </c>
      <c r="UAI11" s="256" t="s">
        <v>81</v>
      </c>
      <c r="UAJ11" s="283"/>
      <c r="UAK11" s="259" t="s">
        <v>55</v>
      </c>
      <c r="UAL11" s="256" t="s">
        <v>76</v>
      </c>
      <c r="UAM11" s="256" t="s">
        <v>77</v>
      </c>
      <c r="UAN11" s="256" t="s">
        <v>78</v>
      </c>
      <c r="UAO11" s="256" t="s">
        <v>79</v>
      </c>
      <c r="UAP11" s="256" t="s">
        <v>80</v>
      </c>
      <c r="UAQ11" s="58" t="s">
        <v>81</v>
      </c>
      <c r="UAR11" s="284"/>
      <c r="UAS11" s="259" t="s">
        <v>55</v>
      </c>
      <c r="UAT11" s="256" t="s">
        <v>76</v>
      </c>
      <c r="UAU11" s="256" t="s">
        <v>77</v>
      </c>
      <c r="UAV11" s="256" t="s">
        <v>78</v>
      </c>
      <c r="UAW11" s="256" t="s">
        <v>79</v>
      </c>
      <c r="UAX11" s="256" t="s">
        <v>80</v>
      </c>
      <c r="UAY11" s="256" t="s">
        <v>81</v>
      </c>
      <c r="UAZ11" s="283"/>
      <c r="UBA11" s="259" t="s">
        <v>55</v>
      </c>
      <c r="UBB11" s="256" t="s">
        <v>76</v>
      </c>
      <c r="UBC11" s="256" t="s">
        <v>77</v>
      </c>
      <c r="UBD11" s="256" t="s">
        <v>78</v>
      </c>
      <c r="UBE11" s="256" t="s">
        <v>79</v>
      </c>
      <c r="UBF11" s="256" t="s">
        <v>80</v>
      </c>
      <c r="UBG11" s="58" t="s">
        <v>81</v>
      </c>
      <c r="UBH11" s="284"/>
      <c r="UBI11" s="259" t="s">
        <v>55</v>
      </c>
      <c r="UBJ11" s="256" t="s">
        <v>76</v>
      </c>
      <c r="UBK11" s="256" t="s">
        <v>77</v>
      </c>
      <c r="UBL11" s="256" t="s">
        <v>78</v>
      </c>
      <c r="UBM11" s="256" t="s">
        <v>79</v>
      </c>
      <c r="UBN11" s="256" t="s">
        <v>80</v>
      </c>
      <c r="UBO11" s="256" t="s">
        <v>81</v>
      </c>
      <c r="UBP11" s="283"/>
      <c r="UBQ11" s="259" t="s">
        <v>55</v>
      </c>
      <c r="UBR11" s="256" t="s">
        <v>76</v>
      </c>
      <c r="UBS11" s="256" t="s">
        <v>77</v>
      </c>
      <c r="UBT11" s="256" t="s">
        <v>78</v>
      </c>
      <c r="UBU11" s="256" t="s">
        <v>79</v>
      </c>
      <c r="UBV11" s="256" t="s">
        <v>80</v>
      </c>
      <c r="UBW11" s="58" t="s">
        <v>81</v>
      </c>
      <c r="UBX11" s="284"/>
      <c r="UBY11" s="259" t="s">
        <v>55</v>
      </c>
      <c r="UBZ11" s="256" t="s">
        <v>76</v>
      </c>
      <c r="UCA11" s="256" t="s">
        <v>77</v>
      </c>
      <c r="UCB11" s="256" t="s">
        <v>78</v>
      </c>
      <c r="UCC11" s="256" t="s">
        <v>79</v>
      </c>
      <c r="UCD11" s="256" t="s">
        <v>80</v>
      </c>
      <c r="UCE11" s="256" t="s">
        <v>81</v>
      </c>
      <c r="UCF11" s="283"/>
      <c r="UCG11" s="259" t="s">
        <v>55</v>
      </c>
      <c r="UCH11" s="256" t="s">
        <v>76</v>
      </c>
      <c r="UCI11" s="256" t="s">
        <v>77</v>
      </c>
      <c r="UCJ11" s="256" t="s">
        <v>78</v>
      </c>
      <c r="UCK11" s="256" t="s">
        <v>79</v>
      </c>
      <c r="UCL11" s="256" t="s">
        <v>80</v>
      </c>
      <c r="UCM11" s="58" t="s">
        <v>81</v>
      </c>
      <c r="UCN11" s="284"/>
      <c r="UCO11" s="259" t="s">
        <v>55</v>
      </c>
      <c r="UCP11" s="256" t="s">
        <v>76</v>
      </c>
      <c r="UCQ11" s="256" t="s">
        <v>77</v>
      </c>
      <c r="UCR11" s="256" t="s">
        <v>78</v>
      </c>
      <c r="UCS11" s="256" t="s">
        <v>79</v>
      </c>
      <c r="UCT11" s="256" t="s">
        <v>80</v>
      </c>
      <c r="UCU11" s="256" t="s">
        <v>81</v>
      </c>
      <c r="UCV11" s="283"/>
      <c r="UCW11" s="259" t="s">
        <v>55</v>
      </c>
      <c r="UCX11" s="256" t="s">
        <v>76</v>
      </c>
      <c r="UCY11" s="256" t="s">
        <v>77</v>
      </c>
      <c r="UCZ11" s="256" t="s">
        <v>78</v>
      </c>
      <c r="UDA11" s="256" t="s">
        <v>79</v>
      </c>
      <c r="UDB11" s="256" t="s">
        <v>80</v>
      </c>
      <c r="UDC11" s="58" t="s">
        <v>81</v>
      </c>
      <c r="UDD11" s="284"/>
      <c r="UDE11" s="259" t="s">
        <v>55</v>
      </c>
      <c r="UDF11" s="256" t="s">
        <v>76</v>
      </c>
      <c r="UDG11" s="256" t="s">
        <v>77</v>
      </c>
      <c r="UDH11" s="256" t="s">
        <v>78</v>
      </c>
      <c r="UDI11" s="256" t="s">
        <v>79</v>
      </c>
      <c r="UDJ11" s="256" t="s">
        <v>80</v>
      </c>
      <c r="UDK11" s="256" t="s">
        <v>81</v>
      </c>
      <c r="UDL11" s="283"/>
      <c r="UDM11" s="259" t="s">
        <v>55</v>
      </c>
      <c r="UDN11" s="256" t="s">
        <v>76</v>
      </c>
      <c r="UDO11" s="256" t="s">
        <v>77</v>
      </c>
      <c r="UDP11" s="256" t="s">
        <v>78</v>
      </c>
      <c r="UDQ11" s="256" t="s">
        <v>79</v>
      </c>
      <c r="UDR11" s="256" t="s">
        <v>80</v>
      </c>
      <c r="UDS11" s="58" t="s">
        <v>81</v>
      </c>
      <c r="UDT11" s="284"/>
      <c r="UDU11" s="259" t="s">
        <v>55</v>
      </c>
      <c r="UDV11" s="256" t="s">
        <v>76</v>
      </c>
      <c r="UDW11" s="256" t="s">
        <v>77</v>
      </c>
      <c r="UDX11" s="256" t="s">
        <v>78</v>
      </c>
      <c r="UDY11" s="256" t="s">
        <v>79</v>
      </c>
      <c r="UDZ11" s="256" t="s">
        <v>80</v>
      </c>
      <c r="UEA11" s="256" t="s">
        <v>81</v>
      </c>
      <c r="UEB11" s="283"/>
      <c r="UEC11" s="259" t="s">
        <v>55</v>
      </c>
      <c r="UED11" s="256" t="s">
        <v>76</v>
      </c>
      <c r="UEE11" s="256" t="s">
        <v>77</v>
      </c>
      <c r="UEF11" s="256" t="s">
        <v>78</v>
      </c>
      <c r="UEG11" s="256" t="s">
        <v>79</v>
      </c>
      <c r="UEH11" s="256" t="s">
        <v>80</v>
      </c>
      <c r="UEI11" s="58" t="s">
        <v>81</v>
      </c>
      <c r="UEJ11" s="284"/>
      <c r="UEK11" s="259" t="s">
        <v>55</v>
      </c>
      <c r="UEL11" s="256" t="s">
        <v>76</v>
      </c>
      <c r="UEM11" s="256" t="s">
        <v>77</v>
      </c>
      <c r="UEN11" s="256" t="s">
        <v>78</v>
      </c>
      <c r="UEO11" s="256" t="s">
        <v>79</v>
      </c>
      <c r="UEP11" s="256" t="s">
        <v>80</v>
      </c>
      <c r="UEQ11" s="256" t="s">
        <v>81</v>
      </c>
      <c r="UER11" s="283"/>
      <c r="UES11" s="259" t="s">
        <v>55</v>
      </c>
      <c r="UET11" s="256" t="s">
        <v>76</v>
      </c>
      <c r="UEU11" s="256" t="s">
        <v>77</v>
      </c>
      <c r="UEV11" s="256" t="s">
        <v>78</v>
      </c>
      <c r="UEW11" s="256" t="s">
        <v>79</v>
      </c>
      <c r="UEX11" s="256" t="s">
        <v>80</v>
      </c>
      <c r="UEY11" s="58" t="s">
        <v>81</v>
      </c>
      <c r="UEZ11" s="284"/>
      <c r="UFA11" s="259" t="s">
        <v>55</v>
      </c>
      <c r="UFB11" s="256" t="s">
        <v>76</v>
      </c>
      <c r="UFC11" s="256" t="s">
        <v>77</v>
      </c>
      <c r="UFD11" s="256" t="s">
        <v>78</v>
      </c>
      <c r="UFE11" s="256" t="s">
        <v>79</v>
      </c>
      <c r="UFF11" s="256" t="s">
        <v>80</v>
      </c>
      <c r="UFG11" s="256" t="s">
        <v>81</v>
      </c>
      <c r="UFH11" s="283"/>
      <c r="UFI11" s="259" t="s">
        <v>55</v>
      </c>
      <c r="UFJ11" s="256" t="s">
        <v>76</v>
      </c>
      <c r="UFK11" s="256" t="s">
        <v>77</v>
      </c>
      <c r="UFL11" s="256" t="s">
        <v>78</v>
      </c>
      <c r="UFM11" s="256" t="s">
        <v>79</v>
      </c>
      <c r="UFN11" s="256" t="s">
        <v>80</v>
      </c>
      <c r="UFO11" s="58" t="s">
        <v>81</v>
      </c>
      <c r="UFP11" s="284"/>
      <c r="UFQ11" s="259" t="s">
        <v>55</v>
      </c>
      <c r="UFR11" s="256" t="s">
        <v>76</v>
      </c>
      <c r="UFS11" s="256" t="s">
        <v>77</v>
      </c>
      <c r="UFT11" s="256" t="s">
        <v>78</v>
      </c>
      <c r="UFU11" s="256" t="s">
        <v>79</v>
      </c>
      <c r="UFV11" s="256" t="s">
        <v>80</v>
      </c>
      <c r="UFW11" s="256" t="s">
        <v>81</v>
      </c>
      <c r="UFX11" s="283"/>
      <c r="UFY11" s="259" t="s">
        <v>55</v>
      </c>
      <c r="UFZ11" s="256" t="s">
        <v>76</v>
      </c>
      <c r="UGA11" s="256" t="s">
        <v>77</v>
      </c>
      <c r="UGB11" s="256" t="s">
        <v>78</v>
      </c>
      <c r="UGC11" s="256" t="s">
        <v>79</v>
      </c>
      <c r="UGD11" s="256" t="s">
        <v>80</v>
      </c>
      <c r="UGE11" s="58" t="s">
        <v>81</v>
      </c>
      <c r="UGF11" s="284"/>
      <c r="UGG11" s="259" t="s">
        <v>55</v>
      </c>
      <c r="UGH11" s="256" t="s">
        <v>76</v>
      </c>
      <c r="UGI11" s="256" t="s">
        <v>77</v>
      </c>
      <c r="UGJ11" s="256" t="s">
        <v>78</v>
      </c>
      <c r="UGK11" s="256" t="s">
        <v>79</v>
      </c>
      <c r="UGL11" s="256" t="s">
        <v>80</v>
      </c>
      <c r="UGM11" s="256" t="s">
        <v>81</v>
      </c>
      <c r="UGN11" s="283"/>
      <c r="UGO11" s="259" t="s">
        <v>55</v>
      </c>
      <c r="UGP11" s="256" t="s">
        <v>76</v>
      </c>
      <c r="UGQ11" s="256" t="s">
        <v>77</v>
      </c>
      <c r="UGR11" s="256" t="s">
        <v>78</v>
      </c>
      <c r="UGS11" s="256" t="s">
        <v>79</v>
      </c>
      <c r="UGT11" s="256" t="s">
        <v>80</v>
      </c>
      <c r="UGU11" s="58" t="s">
        <v>81</v>
      </c>
      <c r="UGV11" s="284"/>
      <c r="UGW11" s="259" t="s">
        <v>55</v>
      </c>
      <c r="UGX11" s="256" t="s">
        <v>76</v>
      </c>
      <c r="UGY11" s="256" t="s">
        <v>77</v>
      </c>
      <c r="UGZ11" s="256" t="s">
        <v>78</v>
      </c>
      <c r="UHA11" s="256" t="s">
        <v>79</v>
      </c>
      <c r="UHB11" s="256" t="s">
        <v>80</v>
      </c>
      <c r="UHC11" s="256" t="s">
        <v>81</v>
      </c>
      <c r="UHD11" s="283"/>
      <c r="UHE11" s="259" t="s">
        <v>55</v>
      </c>
      <c r="UHF11" s="256" t="s">
        <v>76</v>
      </c>
      <c r="UHG11" s="256" t="s">
        <v>77</v>
      </c>
      <c r="UHH11" s="256" t="s">
        <v>78</v>
      </c>
      <c r="UHI11" s="256" t="s">
        <v>79</v>
      </c>
      <c r="UHJ11" s="256" t="s">
        <v>80</v>
      </c>
      <c r="UHK11" s="58" t="s">
        <v>81</v>
      </c>
      <c r="UHL11" s="284"/>
      <c r="UHM11" s="259" t="s">
        <v>55</v>
      </c>
      <c r="UHN11" s="256" t="s">
        <v>76</v>
      </c>
      <c r="UHO11" s="256" t="s">
        <v>77</v>
      </c>
      <c r="UHP11" s="256" t="s">
        <v>78</v>
      </c>
      <c r="UHQ11" s="256" t="s">
        <v>79</v>
      </c>
      <c r="UHR11" s="256" t="s">
        <v>80</v>
      </c>
      <c r="UHS11" s="256" t="s">
        <v>81</v>
      </c>
      <c r="UHT11" s="283"/>
      <c r="UHU11" s="259" t="s">
        <v>55</v>
      </c>
      <c r="UHV11" s="256" t="s">
        <v>76</v>
      </c>
      <c r="UHW11" s="256" t="s">
        <v>77</v>
      </c>
      <c r="UHX11" s="256" t="s">
        <v>78</v>
      </c>
      <c r="UHY11" s="256" t="s">
        <v>79</v>
      </c>
      <c r="UHZ11" s="256" t="s">
        <v>80</v>
      </c>
      <c r="UIA11" s="58" t="s">
        <v>81</v>
      </c>
      <c r="UIB11" s="284"/>
      <c r="UIC11" s="259" t="s">
        <v>55</v>
      </c>
      <c r="UID11" s="256" t="s">
        <v>76</v>
      </c>
      <c r="UIE11" s="256" t="s">
        <v>77</v>
      </c>
      <c r="UIF11" s="256" t="s">
        <v>78</v>
      </c>
      <c r="UIG11" s="256" t="s">
        <v>79</v>
      </c>
      <c r="UIH11" s="256" t="s">
        <v>80</v>
      </c>
      <c r="UII11" s="256" t="s">
        <v>81</v>
      </c>
      <c r="UIJ11" s="283"/>
      <c r="UIK11" s="259" t="s">
        <v>55</v>
      </c>
      <c r="UIL11" s="256" t="s">
        <v>76</v>
      </c>
      <c r="UIM11" s="256" t="s">
        <v>77</v>
      </c>
      <c r="UIN11" s="256" t="s">
        <v>78</v>
      </c>
      <c r="UIO11" s="256" t="s">
        <v>79</v>
      </c>
      <c r="UIP11" s="256" t="s">
        <v>80</v>
      </c>
      <c r="UIQ11" s="58" t="s">
        <v>81</v>
      </c>
      <c r="UIR11" s="284"/>
      <c r="UIS11" s="259" t="s">
        <v>55</v>
      </c>
      <c r="UIT11" s="256" t="s">
        <v>76</v>
      </c>
      <c r="UIU11" s="256" t="s">
        <v>77</v>
      </c>
      <c r="UIV11" s="256" t="s">
        <v>78</v>
      </c>
      <c r="UIW11" s="256" t="s">
        <v>79</v>
      </c>
      <c r="UIX11" s="256" t="s">
        <v>80</v>
      </c>
      <c r="UIY11" s="256" t="s">
        <v>81</v>
      </c>
      <c r="UIZ11" s="283"/>
      <c r="UJA11" s="259" t="s">
        <v>55</v>
      </c>
      <c r="UJB11" s="256" t="s">
        <v>76</v>
      </c>
      <c r="UJC11" s="256" t="s">
        <v>77</v>
      </c>
      <c r="UJD11" s="256" t="s">
        <v>78</v>
      </c>
      <c r="UJE11" s="256" t="s">
        <v>79</v>
      </c>
      <c r="UJF11" s="256" t="s">
        <v>80</v>
      </c>
      <c r="UJG11" s="58" t="s">
        <v>81</v>
      </c>
      <c r="UJH11" s="284"/>
      <c r="UJI11" s="259" t="s">
        <v>55</v>
      </c>
      <c r="UJJ11" s="256" t="s">
        <v>76</v>
      </c>
      <c r="UJK11" s="256" t="s">
        <v>77</v>
      </c>
      <c r="UJL11" s="256" t="s">
        <v>78</v>
      </c>
      <c r="UJM11" s="256" t="s">
        <v>79</v>
      </c>
      <c r="UJN11" s="256" t="s">
        <v>80</v>
      </c>
      <c r="UJO11" s="256" t="s">
        <v>81</v>
      </c>
      <c r="UJP11" s="283"/>
      <c r="UJQ11" s="259" t="s">
        <v>55</v>
      </c>
      <c r="UJR11" s="256" t="s">
        <v>76</v>
      </c>
      <c r="UJS11" s="256" t="s">
        <v>77</v>
      </c>
      <c r="UJT11" s="256" t="s">
        <v>78</v>
      </c>
      <c r="UJU11" s="256" t="s">
        <v>79</v>
      </c>
      <c r="UJV11" s="256" t="s">
        <v>80</v>
      </c>
      <c r="UJW11" s="58" t="s">
        <v>81</v>
      </c>
      <c r="UJX11" s="284"/>
      <c r="UJY11" s="259" t="s">
        <v>55</v>
      </c>
      <c r="UJZ11" s="256" t="s">
        <v>76</v>
      </c>
      <c r="UKA11" s="256" t="s">
        <v>77</v>
      </c>
      <c r="UKB11" s="256" t="s">
        <v>78</v>
      </c>
      <c r="UKC11" s="256" t="s">
        <v>79</v>
      </c>
      <c r="UKD11" s="256" t="s">
        <v>80</v>
      </c>
      <c r="UKE11" s="256" t="s">
        <v>81</v>
      </c>
      <c r="UKF11" s="283"/>
      <c r="UKG11" s="259" t="s">
        <v>55</v>
      </c>
      <c r="UKH11" s="256" t="s">
        <v>76</v>
      </c>
      <c r="UKI11" s="256" t="s">
        <v>77</v>
      </c>
      <c r="UKJ11" s="256" t="s">
        <v>78</v>
      </c>
      <c r="UKK11" s="256" t="s">
        <v>79</v>
      </c>
      <c r="UKL11" s="256" t="s">
        <v>80</v>
      </c>
      <c r="UKM11" s="58" t="s">
        <v>81</v>
      </c>
      <c r="UKN11" s="284"/>
      <c r="UKO11" s="259" t="s">
        <v>55</v>
      </c>
      <c r="UKP11" s="256" t="s">
        <v>76</v>
      </c>
      <c r="UKQ11" s="256" t="s">
        <v>77</v>
      </c>
      <c r="UKR11" s="256" t="s">
        <v>78</v>
      </c>
      <c r="UKS11" s="256" t="s">
        <v>79</v>
      </c>
      <c r="UKT11" s="256" t="s">
        <v>80</v>
      </c>
      <c r="UKU11" s="256" t="s">
        <v>81</v>
      </c>
      <c r="UKV11" s="283"/>
      <c r="UKW11" s="259" t="s">
        <v>55</v>
      </c>
      <c r="UKX11" s="256" t="s">
        <v>76</v>
      </c>
      <c r="UKY11" s="256" t="s">
        <v>77</v>
      </c>
      <c r="UKZ11" s="256" t="s">
        <v>78</v>
      </c>
      <c r="ULA11" s="256" t="s">
        <v>79</v>
      </c>
      <c r="ULB11" s="256" t="s">
        <v>80</v>
      </c>
      <c r="ULC11" s="58" t="s">
        <v>81</v>
      </c>
      <c r="ULD11" s="284"/>
      <c r="ULE11" s="259" t="s">
        <v>55</v>
      </c>
      <c r="ULF11" s="256" t="s">
        <v>76</v>
      </c>
      <c r="ULG11" s="256" t="s">
        <v>77</v>
      </c>
      <c r="ULH11" s="256" t="s">
        <v>78</v>
      </c>
      <c r="ULI11" s="256" t="s">
        <v>79</v>
      </c>
      <c r="ULJ11" s="256" t="s">
        <v>80</v>
      </c>
      <c r="ULK11" s="256" t="s">
        <v>81</v>
      </c>
      <c r="ULL11" s="283"/>
      <c r="ULM11" s="259" t="s">
        <v>55</v>
      </c>
      <c r="ULN11" s="256" t="s">
        <v>76</v>
      </c>
      <c r="ULO11" s="256" t="s">
        <v>77</v>
      </c>
      <c r="ULP11" s="256" t="s">
        <v>78</v>
      </c>
      <c r="ULQ11" s="256" t="s">
        <v>79</v>
      </c>
      <c r="ULR11" s="256" t="s">
        <v>80</v>
      </c>
      <c r="ULS11" s="58" t="s">
        <v>81</v>
      </c>
      <c r="ULT11" s="284"/>
      <c r="ULU11" s="259" t="s">
        <v>55</v>
      </c>
      <c r="ULV11" s="256" t="s">
        <v>76</v>
      </c>
      <c r="ULW11" s="256" t="s">
        <v>77</v>
      </c>
      <c r="ULX11" s="256" t="s">
        <v>78</v>
      </c>
      <c r="ULY11" s="256" t="s">
        <v>79</v>
      </c>
      <c r="ULZ11" s="256" t="s">
        <v>80</v>
      </c>
      <c r="UMA11" s="256" t="s">
        <v>81</v>
      </c>
      <c r="UMB11" s="283"/>
      <c r="UMC11" s="259" t="s">
        <v>55</v>
      </c>
      <c r="UMD11" s="256" t="s">
        <v>76</v>
      </c>
      <c r="UME11" s="256" t="s">
        <v>77</v>
      </c>
      <c r="UMF11" s="256" t="s">
        <v>78</v>
      </c>
      <c r="UMG11" s="256" t="s">
        <v>79</v>
      </c>
      <c r="UMH11" s="256" t="s">
        <v>80</v>
      </c>
      <c r="UMI11" s="58" t="s">
        <v>81</v>
      </c>
      <c r="UMJ11" s="284"/>
      <c r="UMK11" s="259" t="s">
        <v>55</v>
      </c>
      <c r="UML11" s="256" t="s">
        <v>76</v>
      </c>
      <c r="UMM11" s="256" t="s">
        <v>77</v>
      </c>
      <c r="UMN11" s="256" t="s">
        <v>78</v>
      </c>
      <c r="UMO11" s="256" t="s">
        <v>79</v>
      </c>
      <c r="UMP11" s="256" t="s">
        <v>80</v>
      </c>
      <c r="UMQ11" s="256" t="s">
        <v>81</v>
      </c>
      <c r="UMR11" s="283"/>
      <c r="UMS11" s="259" t="s">
        <v>55</v>
      </c>
      <c r="UMT11" s="256" t="s">
        <v>76</v>
      </c>
      <c r="UMU11" s="256" t="s">
        <v>77</v>
      </c>
      <c r="UMV11" s="256" t="s">
        <v>78</v>
      </c>
      <c r="UMW11" s="256" t="s">
        <v>79</v>
      </c>
      <c r="UMX11" s="256" t="s">
        <v>80</v>
      </c>
      <c r="UMY11" s="58" t="s">
        <v>81</v>
      </c>
      <c r="UMZ11" s="284"/>
      <c r="UNA11" s="259" t="s">
        <v>55</v>
      </c>
      <c r="UNB11" s="256" t="s">
        <v>76</v>
      </c>
      <c r="UNC11" s="256" t="s">
        <v>77</v>
      </c>
      <c r="UND11" s="256" t="s">
        <v>78</v>
      </c>
      <c r="UNE11" s="256" t="s">
        <v>79</v>
      </c>
      <c r="UNF11" s="256" t="s">
        <v>80</v>
      </c>
      <c r="UNG11" s="256" t="s">
        <v>81</v>
      </c>
      <c r="UNH11" s="283"/>
      <c r="UNI11" s="259" t="s">
        <v>55</v>
      </c>
      <c r="UNJ11" s="256" t="s">
        <v>76</v>
      </c>
      <c r="UNK11" s="256" t="s">
        <v>77</v>
      </c>
      <c r="UNL11" s="256" t="s">
        <v>78</v>
      </c>
      <c r="UNM11" s="256" t="s">
        <v>79</v>
      </c>
      <c r="UNN11" s="256" t="s">
        <v>80</v>
      </c>
      <c r="UNO11" s="58" t="s">
        <v>81</v>
      </c>
      <c r="UNP11" s="284"/>
      <c r="UNQ11" s="259" t="s">
        <v>55</v>
      </c>
      <c r="UNR11" s="256" t="s">
        <v>76</v>
      </c>
      <c r="UNS11" s="256" t="s">
        <v>77</v>
      </c>
      <c r="UNT11" s="256" t="s">
        <v>78</v>
      </c>
      <c r="UNU11" s="256" t="s">
        <v>79</v>
      </c>
      <c r="UNV11" s="256" t="s">
        <v>80</v>
      </c>
      <c r="UNW11" s="256" t="s">
        <v>81</v>
      </c>
      <c r="UNX11" s="283"/>
      <c r="UNY11" s="259" t="s">
        <v>55</v>
      </c>
      <c r="UNZ11" s="256" t="s">
        <v>76</v>
      </c>
      <c r="UOA11" s="256" t="s">
        <v>77</v>
      </c>
      <c r="UOB11" s="256" t="s">
        <v>78</v>
      </c>
      <c r="UOC11" s="256" t="s">
        <v>79</v>
      </c>
      <c r="UOD11" s="256" t="s">
        <v>80</v>
      </c>
      <c r="UOE11" s="58" t="s">
        <v>81</v>
      </c>
      <c r="UOF11" s="284"/>
      <c r="UOG11" s="259" t="s">
        <v>55</v>
      </c>
      <c r="UOH11" s="256" t="s">
        <v>76</v>
      </c>
      <c r="UOI11" s="256" t="s">
        <v>77</v>
      </c>
      <c r="UOJ11" s="256" t="s">
        <v>78</v>
      </c>
      <c r="UOK11" s="256" t="s">
        <v>79</v>
      </c>
      <c r="UOL11" s="256" t="s">
        <v>80</v>
      </c>
      <c r="UOM11" s="256" t="s">
        <v>81</v>
      </c>
      <c r="UON11" s="283"/>
      <c r="UOO11" s="259" t="s">
        <v>55</v>
      </c>
      <c r="UOP11" s="256" t="s">
        <v>76</v>
      </c>
      <c r="UOQ11" s="256" t="s">
        <v>77</v>
      </c>
      <c r="UOR11" s="256" t="s">
        <v>78</v>
      </c>
      <c r="UOS11" s="256" t="s">
        <v>79</v>
      </c>
      <c r="UOT11" s="256" t="s">
        <v>80</v>
      </c>
      <c r="UOU11" s="58" t="s">
        <v>81</v>
      </c>
      <c r="UOV11" s="284"/>
      <c r="UOW11" s="259" t="s">
        <v>55</v>
      </c>
      <c r="UOX11" s="256" t="s">
        <v>76</v>
      </c>
      <c r="UOY11" s="256" t="s">
        <v>77</v>
      </c>
      <c r="UOZ11" s="256" t="s">
        <v>78</v>
      </c>
      <c r="UPA11" s="256" t="s">
        <v>79</v>
      </c>
      <c r="UPB11" s="256" t="s">
        <v>80</v>
      </c>
      <c r="UPC11" s="256" t="s">
        <v>81</v>
      </c>
      <c r="UPD11" s="283"/>
      <c r="UPE11" s="259" t="s">
        <v>55</v>
      </c>
      <c r="UPF11" s="256" t="s">
        <v>76</v>
      </c>
      <c r="UPG11" s="256" t="s">
        <v>77</v>
      </c>
      <c r="UPH11" s="256" t="s">
        <v>78</v>
      </c>
      <c r="UPI11" s="256" t="s">
        <v>79</v>
      </c>
      <c r="UPJ11" s="256" t="s">
        <v>80</v>
      </c>
      <c r="UPK11" s="58" t="s">
        <v>81</v>
      </c>
      <c r="UPL11" s="284"/>
      <c r="UPM11" s="259" t="s">
        <v>55</v>
      </c>
      <c r="UPN11" s="256" t="s">
        <v>76</v>
      </c>
      <c r="UPO11" s="256" t="s">
        <v>77</v>
      </c>
      <c r="UPP11" s="256" t="s">
        <v>78</v>
      </c>
      <c r="UPQ11" s="256" t="s">
        <v>79</v>
      </c>
      <c r="UPR11" s="256" t="s">
        <v>80</v>
      </c>
      <c r="UPS11" s="256" t="s">
        <v>81</v>
      </c>
      <c r="UPT11" s="283"/>
      <c r="UPU11" s="259" t="s">
        <v>55</v>
      </c>
      <c r="UPV11" s="256" t="s">
        <v>76</v>
      </c>
      <c r="UPW11" s="256" t="s">
        <v>77</v>
      </c>
      <c r="UPX11" s="256" t="s">
        <v>78</v>
      </c>
      <c r="UPY11" s="256" t="s">
        <v>79</v>
      </c>
      <c r="UPZ11" s="256" t="s">
        <v>80</v>
      </c>
      <c r="UQA11" s="58" t="s">
        <v>81</v>
      </c>
      <c r="UQB11" s="284"/>
      <c r="UQC11" s="259" t="s">
        <v>55</v>
      </c>
      <c r="UQD11" s="256" t="s">
        <v>76</v>
      </c>
      <c r="UQE11" s="256" t="s">
        <v>77</v>
      </c>
      <c r="UQF11" s="256" t="s">
        <v>78</v>
      </c>
      <c r="UQG11" s="256" t="s">
        <v>79</v>
      </c>
      <c r="UQH11" s="256" t="s">
        <v>80</v>
      </c>
      <c r="UQI11" s="256" t="s">
        <v>81</v>
      </c>
      <c r="UQJ11" s="283"/>
      <c r="UQK11" s="259" t="s">
        <v>55</v>
      </c>
      <c r="UQL11" s="256" t="s">
        <v>76</v>
      </c>
      <c r="UQM11" s="256" t="s">
        <v>77</v>
      </c>
      <c r="UQN11" s="256" t="s">
        <v>78</v>
      </c>
      <c r="UQO11" s="256" t="s">
        <v>79</v>
      </c>
      <c r="UQP11" s="256" t="s">
        <v>80</v>
      </c>
      <c r="UQQ11" s="58" t="s">
        <v>81</v>
      </c>
      <c r="UQR11" s="284"/>
      <c r="UQS11" s="259" t="s">
        <v>55</v>
      </c>
      <c r="UQT11" s="256" t="s">
        <v>76</v>
      </c>
      <c r="UQU11" s="256" t="s">
        <v>77</v>
      </c>
      <c r="UQV11" s="256" t="s">
        <v>78</v>
      </c>
      <c r="UQW11" s="256" t="s">
        <v>79</v>
      </c>
      <c r="UQX11" s="256" t="s">
        <v>80</v>
      </c>
      <c r="UQY11" s="256" t="s">
        <v>81</v>
      </c>
      <c r="UQZ11" s="283"/>
      <c r="URA11" s="259" t="s">
        <v>55</v>
      </c>
      <c r="URB11" s="256" t="s">
        <v>76</v>
      </c>
      <c r="URC11" s="256" t="s">
        <v>77</v>
      </c>
      <c r="URD11" s="256" t="s">
        <v>78</v>
      </c>
      <c r="URE11" s="256" t="s">
        <v>79</v>
      </c>
      <c r="URF11" s="256" t="s">
        <v>80</v>
      </c>
      <c r="URG11" s="58" t="s">
        <v>81</v>
      </c>
      <c r="URH11" s="284"/>
      <c r="URI11" s="259" t="s">
        <v>55</v>
      </c>
      <c r="URJ11" s="256" t="s">
        <v>76</v>
      </c>
      <c r="URK11" s="256" t="s">
        <v>77</v>
      </c>
      <c r="URL11" s="256" t="s">
        <v>78</v>
      </c>
      <c r="URM11" s="256" t="s">
        <v>79</v>
      </c>
      <c r="URN11" s="256" t="s">
        <v>80</v>
      </c>
      <c r="URO11" s="256" t="s">
        <v>81</v>
      </c>
      <c r="URP11" s="283"/>
      <c r="URQ11" s="259" t="s">
        <v>55</v>
      </c>
      <c r="URR11" s="256" t="s">
        <v>76</v>
      </c>
      <c r="URS11" s="256" t="s">
        <v>77</v>
      </c>
      <c r="URT11" s="256" t="s">
        <v>78</v>
      </c>
      <c r="URU11" s="256" t="s">
        <v>79</v>
      </c>
      <c r="URV11" s="256" t="s">
        <v>80</v>
      </c>
      <c r="URW11" s="58" t="s">
        <v>81</v>
      </c>
      <c r="URX11" s="284"/>
      <c r="URY11" s="259" t="s">
        <v>55</v>
      </c>
      <c r="URZ11" s="256" t="s">
        <v>76</v>
      </c>
      <c r="USA11" s="256" t="s">
        <v>77</v>
      </c>
      <c r="USB11" s="256" t="s">
        <v>78</v>
      </c>
      <c r="USC11" s="256" t="s">
        <v>79</v>
      </c>
      <c r="USD11" s="256" t="s">
        <v>80</v>
      </c>
      <c r="USE11" s="256" t="s">
        <v>81</v>
      </c>
      <c r="USF11" s="283"/>
      <c r="USG11" s="259" t="s">
        <v>55</v>
      </c>
      <c r="USH11" s="256" t="s">
        <v>76</v>
      </c>
      <c r="USI11" s="256" t="s">
        <v>77</v>
      </c>
      <c r="USJ11" s="256" t="s">
        <v>78</v>
      </c>
      <c r="USK11" s="256" t="s">
        <v>79</v>
      </c>
      <c r="USL11" s="256" t="s">
        <v>80</v>
      </c>
      <c r="USM11" s="58" t="s">
        <v>81</v>
      </c>
      <c r="USN11" s="284"/>
      <c r="USO11" s="259" t="s">
        <v>55</v>
      </c>
      <c r="USP11" s="256" t="s">
        <v>76</v>
      </c>
      <c r="USQ11" s="256" t="s">
        <v>77</v>
      </c>
      <c r="USR11" s="256" t="s">
        <v>78</v>
      </c>
      <c r="USS11" s="256" t="s">
        <v>79</v>
      </c>
      <c r="UST11" s="256" t="s">
        <v>80</v>
      </c>
      <c r="USU11" s="256" t="s">
        <v>81</v>
      </c>
      <c r="USV11" s="283"/>
      <c r="USW11" s="259" t="s">
        <v>55</v>
      </c>
      <c r="USX11" s="256" t="s">
        <v>76</v>
      </c>
      <c r="USY11" s="256" t="s">
        <v>77</v>
      </c>
      <c r="USZ11" s="256" t="s">
        <v>78</v>
      </c>
      <c r="UTA11" s="256" t="s">
        <v>79</v>
      </c>
      <c r="UTB11" s="256" t="s">
        <v>80</v>
      </c>
      <c r="UTC11" s="58" t="s">
        <v>81</v>
      </c>
      <c r="UTD11" s="284"/>
      <c r="UTE11" s="259" t="s">
        <v>55</v>
      </c>
      <c r="UTF11" s="256" t="s">
        <v>76</v>
      </c>
      <c r="UTG11" s="256" t="s">
        <v>77</v>
      </c>
      <c r="UTH11" s="256" t="s">
        <v>78</v>
      </c>
      <c r="UTI11" s="256" t="s">
        <v>79</v>
      </c>
      <c r="UTJ11" s="256" t="s">
        <v>80</v>
      </c>
      <c r="UTK11" s="256" t="s">
        <v>81</v>
      </c>
      <c r="UTL11" s="283"/>
      <c r="UTM11" s="259" t="s">
        <v>55</v>
      </c>
      <c r="UTN11" s="256" t="s">
        <v>76</v>
      </c>
      <c r="UTO11" s="256" t="s">
        <v>77</v>
      </c>
      <c r="UTP11" s="256" t="s">
        <v>78</v>
      </c>
      <c r="UTQ11" s="256" t="s">
        <v>79</v>
      </c>
      <c r="UTR11" s="256" t="s">
        <v>80</v>
      </c>
      <c r="UTS11" s="58" t="s">
        <v>81</v>
      </c>
      <c r="UTT11" s="284"/>
      <c r="UTU11" s="259" t="s">
        <v>55</v>
      </c>
      <c r="UTV11" s="256" t="s">
        <v>76</v>
      </c>
      <c r="UTW11" s="256" t="s">
        <v>77</v>
      </c>
      <c r="UTX11" s="256" t="s">
        <v>78</v>
      </c>
      <c r="UTY11" s="256" t="s">
        <v>79</v>
      </c>
      <c r="UTZ11" s="256" t="s">
        <v>80</v>
      </c>
      <c r="UUA11" s="256" t="s">
        <v>81</v>
      </c>
      <c r="UUB11" s="283"/>
      <c r="UUC11" s="259" t="s">
        <v>55</v>
      </c>
      <c r="UUD11" s="256" t="s">
        <v>76</v>
      </c>
      <c r="UUE11" s="256" t="s">
        <v>77</v>
      </c>
      <c r="UUF11" s="256" t="s">
        <v>78</v>
      </c>
      <c r="UUG11" s="256" t="s">
        <v>79</v>
      </c>
      <c r="UUH11" s="256" t="s">
        <v>80</v>
      </c>
      <c r="UUI11" s="58" t="s">
        <v>81</v>
      </c>
      <c r="UUJ11" s="284"/>
      <c r="UUK11" s="259" t="s">
        <v>55</v>
      </c>
      <c r="UUL11" s="256" t="s">
        <v>76</v>
      </c>
      <c r="UUM11" s="256" t="s">
        <v>77</v>
      </c>
      <c r="UUN11" s="256" t="s">
        <v>78</v>
      </c>
      <c r="UUO11" s="256" t="s">
        <v>79</v>
      </c>
      <c r="UUP11" s="256" t="s">
        <v>80</v>
      </c>
      <c r="UUQ11" s="256" t="s">
        <v>81</v>
      </c>
      <c r="UUR11" s="283"/>
      <c r="UUS11" s="259" t="s">
        <v>55</v>
      </c>
      <c r="UUT11" s="256" t="s">
        <v>76</v>
      </c>
      <c r="UUU11" s="256" t="s">
        <v>77</v>
      </c>
      <c r="UUV11" s="256" t="s">
        <v>78</v>
      </c>
      <c r="UUW11" s="256" t="s">
        <v>79</v>
      </c>
      <c r="UUX11" s="256" t="s">
        <v>80</v>
      </c>
      <c r="UUY11" s="58" t="s">
        <v>81</v>
      </c>
      <c r="UUZ11" s="284"/>
      <c r="UVA11" s="259" t="s">
        <v>55</v>
      </c>
      <c r="UVB11" s="256" t="s">
        <v>76</v>
      </c>
      <c r="UVC11" s="256" t="s">
        <v>77</v>
      </c>
      <c r="UVD11" s="256" t="s">
        <v>78</v>
      </c>
      <c r="UVE11" s="256" t="s">
        <v>79</v>
      </c>
      <c r="UVF11" s="256" t="s">
        <v>80</v>
      </c>
      <c r="UVG11" s="256" t="s">
        <v>81</v>
      </c>
      <c r="UVH11" s="283"/>
      <c r="UVI11" s="259" t="s">
        <v>55</v>
      </c>
      <c r="UVJ11" s="256" t="s">
        <v>76</v>
      </c>
      <c r="UVK11" s="256" t="s">
        <v>77</v>
      </c>
      <c r="UVL11" s="256" t="s">
        <v>78</v>
      </c>
      <c r="UVM11" s="256" t="s">
        <v>79</v>
      </c>
      <c r="UVN11" s="256" t="s">
        <v>80</v>
      </c>
      <c r="UVO11" s="58" t="s">
        <v>81</v>
      </c>
      <c r="UVP11" s="284"/>
      <c r="UVQ11" s="259" t="s">
        <v>55</v>
      </c>
      <c r="UVR11" s="256" t="s">
        <v>76</v>
      </c>
      <c r="UVS11" s="256" t="s">
        <v>77</v>
      </c>
      <c r="UVT11" s="256" t="s">
        <v>78</v>
      </c>
      <c r="UVU11" s="256" t="s">
        <v>79</v>
      </c>
      <c r="UVV11" s="256" t="s">
        <v>80</v>
      </c>
      <c r="UVW11" s="256" t="s">
        <v>81</v>
      </c>
      <c r="UVX11" s="283"/>
      <c r="UVY11" s="259" t="s">
        <v>55</v>
      </c>
      <c r="UVZ11" s="256" t="s">
        <v>76</v>
      </c>
      <c r="UWA11" s="256" t="s">
        <v>77</v>
      </c>
      <c r="UWB11" s="256" t="s">
        <v>78</v>
      </c>
      <c r="UWC11" s="256" t="s">
        <v>79</v>
      </c>
      <c r="UWD11" s="256" t="s">
        <v>80</v>
      </c>
      <c r="UWE11" s="58" t="s">
        <v>81</v>
      </c>
      <c r="UWF11" s="284"/>
      <c r="UWG11" s="259" t="s">
        <v>55</v>
      </c>
      <c r="UWH11" s="256" t="s">
        <v>76</v>
      </c>
      <c r="UWI11" s="256" t="s">
        <v>77</v>
      </c>
      <c r="UWJ11" s="256" t="s">
        <v>78</v>
      </c>
      <c r="UWK11" s="256" t="s">
        <v>79</v>
      </c>
      <c r="UWL11" s="256" t="s">
        <v>80</v>
      </c>
      <c r="UWM11" s="256" t="s">
        <v>81</v>
      </c>
      <c r="UWN11" s="283"/>
      <c r="UWO11" s="259" t="s">
        <v>55</v>
      </c>
      <c r="UWP11" s="256" t="s">
        <v>76</v>
      </c>
      <c r="UWQ11" s="256" t="s">
        <v>77</v>
      </c>
      <c r="UWR11" s="256" t="s">
        <v>78</v>
      </c>
      <c r="UWS11" s="256" t="s">
        <v>79</v>
      </c>
      <c r="UWT11" s="256" t="s">
        <v>80</v>
      </c>
      <c r="UWU11" s="58" t="s">
        <v>81</v>
      </c>
      <c r="UWV11" s="284"/>
      <c r="UWW11" s="259" t="s">
        <v>55</v>
      </c>
      <c r="UWX11" s="256" t="s">
        <v>76</v>
      </c>
      <c r="UWY11" s="256" t="s">
        <v>77</v>
      </c>
      <c r="UWZ11" s="256" t="s">
        <v>78</v>
      </c>
      <c r="UXA11" s="256" t="s">
        <v>79</v>
      </c>
      <c r="UXB11" s="256" t="s">
        <v>80</v>
      </c>
      <c r="UXC11" s="256" t="s">
        <v>81</v>
      </c>
      <c r="UXD11" s="283"/>
      <c r="UXE11" s="259" t="s">
        <v>55</v>
      </c>
      <c r="UXF11" s="256" t="s">
        <v>76</v>
      </c>
      <c r="UXG11" s="256" t="s">
        <v>77</v>
      </c>
      <c r="UXH11" s="256" t="s">
        <v>78</v>
      </c>
      <c r="UXI11" s="256" t="s">
        <v>79</v>
      </c>
      <c r="UXJ11" s="256" t="s">
        <v>80</v>
      </c>
      <c r="UXK11" s="58" t="s">
        <v>81</v>
      </c>
      <c r="UXL11" s="284"/>
      <c r="UXM11" s="259" t="s">
        <v>55</v>
      </c>
      <c r="UXN11" s="256" t="s">
        <v>76</v>
      </c>
      <c r="UXO11" s="256" t="s">
        <v>77</v>
      </c>
      <c r="UXP11" s="256" t="s">
        <v>78</v>
      </c>
      <c r="UXQ11" s="256" t="s">
        <v>79</v>
      </c>
      <c r="UXR11" s="256" t="s">
        <v>80</v>
      </c>
      <c r="UXS11" s="256" t="s">
        <v>81</v>
      </c>
      <c r="UXT11" s="283"/>
      <c r="UXU11" s="259" t="s">
        <v>55</v>
      </c>
      <c r="UXV11" s="256" t="s">
        <v>76</v>
      </c>
      <c r="UXW11" s="256" t="s">
        <v>77</v>
      </c>
      <c r="UXX11" s="256" t="s">
        <v>78</v>
      </c>
      <c r="UXY11" s="256" t="s">
        <v>79</v>
      </c>
      <c r="UXZ11" s="256" t="s">
        <v>80</v>
      </c>
      <c r="UYA11" s="58" t="s">
        <v>81</v>
      </c>
      <c r="UYB11" s="284"/>
      <c r="UYC11" s="259" t="s">
        <v>55</v>
      </c>
      <c r="UYD11" s="256" t="s">
        <v>76</v>
      </c>
      <c r="UYE11" s="256" t="s">
        <v>77</v>
      </c>
      <c r="UYF11" s="256" t="s">
        <v>78</v>
      </c>
      <c r="UYG11" s="256" t="s">
        <v>79</v>
      </c>
      <c r="UYH11" s="256" t="s">
        <v>80</v>
      </c>
      <c r="UYI11" s="256" t="s">
        <v>81</v>
      </c>
      <c r="UYJ11" s="283"/>
      <c r="UYK11" s="259" t="s">
        <v>55</v>
      </c>
      <c r="UYL11" s="256" t="s">
        <v>76</v>
      </c>
      <c r="UYM11" s="256" t="s">
        <v>77</v>
      </c>
      <c r="UYN11" s="256" t="s">
        <v>78</v>
      </c>
      <c r="UYO11" s="256" t="s">
        <v>79</v>
      </c>
      <c r="UYP11" s="256" t="s">
        <v>80</v>
      </c>
      <c r="UYQ11" s="58" t="s">
        <v>81</v>
      </c>
      <c r="UYR11" s="284"/>
      <c r="UYS11" s="259" t="s">
        <v>55</v>
      </c>
      <c r="UYT11" s="256" t="s">
        <v>76</v>
      </c>
      <c r="UYU11" s="256" t="s">
        <v>77</v>
      </c>
      <c r="UYV11" s="256" t="s">
        <v>78</v>
      </c>
      <c r="UYW11" s="256" t="s">
        <v>79</v>
      </c>
      <c r="UYX11" s="256" t="s">
        <v>80</v>
      </c>
      <c r="UYY11" s="256" t="s">
        <v>81</v>
      </c>
      <c r="UYZ11" s="283"/>
      <c r="UZA11" s="259" t="s">
        <v>55</v>
      </c>
      <c r="UZB11" s="256" t="s">
        <v>76</v>
      </c>
      <c r="UZC11" s="256" t="s">
        <v>77</v>
      </c>
      <c r="UZD11" s="256" t="s">
        <v>78</v>
      </c>
      <c r="UZE11" s="256" t="s">
        <v>79</v>
      </c>
      <c r="UZF11" s="256" t="s">
        <v>80</v>
      </c>
      <c r="UZG11" s="58" t="s">
        <v>81</v>
      </c>
      <c r="UZH11" s="284"/>
      <c r="UZI11" s="259" t="s">
        <v>55</v>
      </c>
      <c r="UZJ11" s="256" t="s">
        <v>76</v>
      </c>
      <c r="UZK11" s="256" t="s">
        <v>77</v>
      </c>
      <c r="UZL11" s="256" t="s">
        <v>78</v>
      </c>
      <c r="UZM11" s="256" t="s">
        <v>79</v>
      </c>
      <c r="UZN11" s="256" t="s">
        <v>80</v>
      </c>
      <c r="UZO11" s="256" t="s">
        <v>81</v>
      </c>
      <c r="UZP11" s="283"/>
      <c r="UZQ11" s="259" t="s">
        <v>55</v>
      </c>
      <c r="UZR11" s="256" t="s">
        <v>76</v>
      </c>
      <c r="UZS11" s="256" t="s">
        <v>77</v>
      </c>
      <c r="UZT11" s="256" t="s">
        <v>78</v>
      </c>
      <c r="UZU11" s="256" t="s">
        <v>79</v>
      </c>
      <c r="UZV11" s="256" t="s">
        <v>80</v>
      </c>
      <c r="UZW11" s="58" t="s">
        <v>81</v>
      </c>
      <c r="UZX11" s="284"/>
      <c r="UZY11" s="259" t="s">
        <v>55</v>
      </c>
      <c r="UZZ11" s="256" t="s">
        <v>76</v>
      </c>
      <c r="VAA11" s="256" t="s">
        <v>77</v>
      </c>
      <c r="VAB11" s="256" t="s">
        <v>78</v>
      </c>
      <c r="VAC11" s="256" t="s">
        <v>79</v>
      </c>
      <c r="VAD11" s="256" t="s">
        <v>80</v>
      </c>
      <c r="VAE11" s="256" t="s">
        <v>81</v>
      </c>
      <c r="VAF11" s="283"/>
      <c r="VAG11" s="259" t="s">
        <v>55</v>
      </c>
      <c r="VAH11" s="256" t="s">
        <v>76</v>
      </c>
      <c r="VAI11" s="256" t="s">
        <v>77</v>
      </c>
      <c r="VAJ11" s="256" t="s">
        <v>78</v>
      </c>
      <c r="VAK11" s="256" t="s">
        <v>79</v>
      </c>
      <c r="VAL11" s="256" t="s">
        <v>80</v>
      </c>
      <c r="VAM11" s="58" t="s">
        <v>81</v>
      </c>
      <c r="VAN11" s="284"/>
      <c r="VAO11" s="259" t="s">
        <v>55</v>
      </c>
      <c r="VAP11" s="256" t="s">
        <v>76</v>
      </c>
      <c r="VAQ11" s="256" t="s">
        <v>77</v>
      </c>
      <c r="VAR11" s="256" t="s">
        <v>78</v>
      </c>
      <c r="VAS11" s="256" t="s">
        <v>79</v>
      </c>
      <c r="VAT11" s="256" t="s">
        <v>80</v>
      </c>
      <c r="VAU11" s="256" t="s">
        <v>81</v>
      </c>
      <c r="VAV11" s="283"/>
      <c r="VAW11" s="259" t="s">
        <v>55</v>
      </c>
      <c r="VAX11" s="256" t="s">
        <v>76</v>
      </c>
      <c r="VAY11" s="256" t="s">
        <v>77</v>
      </c>
      <c r="VAZ11" s="256" t="s">
        <v>78</v>
      </c>
      <c r="VBA11" s="256" t="s">
        <v>79</v>
      </c>
      <c r="VBB11" s="256" t="s">
        <v>80</v>
      </c>
      <c r="VBC11" s="58" t="s">
        <v>81</v>
      </c>
      <c r="VBD11" s="284"/>
      <c r="VBE11" s="259" t="s">
        <v>55</v>
      </c>
      <c r="VBF11" s="256" t="s">
        <v>76</v>
      </c>
      <c r="VBG11" s="256" t="s">
        <v>77</v>
      </c>
      <c r="VBH11" s="256" t="s">
        <v>78</v>
      </c>
      <c r="VBI11" s="256" t="s">
        <v>79</v>
      </c>
      <c r="VBJ11" s="256" t="s">
        <v>80</v>
      </c>
      <c r="VBK11" s="256" t="s">
        <v>81</v>
      </c>
      <c r="VBL11" s="283"/>
      <c r="VBM11" s="259" t="s">
        <v>55</v>
      </c>
      <c r="VBN11" s="256" t="s">
        <v>76</v>
      </c>
      <c r="VBO11" s="256" t="s">
        <v>77</v>
      </c>
      <c r="VBP11" s="256" t="s">
        <v>78</v>
      </c>
      <c r="VBQ11" s="256" t="s">
        <v>79</v>
      </c>
      <c r="VBR11" s="256" t="s">
        <v>80</v>
      </c>
      <c r="VBS11" s="58" t="s">
        <v>81</v>
      </c>
      <c r="VBT11" s="284"/>
      <c r="VBU11" s="259" t="s">
        <v>55</v>
      </c>
      <c r="VBV11" s="256" t="s">
        <v>76</v>
      </c>
      <c r="VBW11" s="256" t="s">
        <v>77</v>
      </c>
      <c r="VBX11" s="256" t="s">
        <v>78</v>
      </c>
      <c r="VBY11" s="256" t="s">
        <v>79</v>
      </c>
      <c r="VBZ11" s="256" t="s">
        <v>80</v>
      </c>
      <c r="VCA11" s="256" t="s">
        <v>81</v>
      </c>
      <c r="VCB11" s="283"/>
      <c r="VCC11" s="259" t="s">
        <v>55</v>
      </c>
      <c r="VCD11" s="256" t="s">
        <v>76</v>
      </c>
      <c r="VCE11" s="256" t="s">
        <v>77</v>
      </c>
      <c r="VCF11" s="256" t="s">
        <v>78</v>
      </c>
      <c r="VCG11" s="256" t="s">
        <v>79</v>
      </c>
      <c r="VCH11" s="256" t="s">
        <v>80</v>
      </c>
      <c r="VCI11" s="58" t="s">
        <v>81</v>
      </c>
      <c r="VCJ11" s="284"/>
      <c r="VCK11" s="259" t="s">
        <v>55</v>
      </c>
      <c r="VCL11" s="256" t="s">
        <v>76</v>
      </c>
      <c r="VCM11" s="256" t="s">
        <v>77</v>
      </c>
      <c r="VCN11" s="256" t="s">
        <v>78</v>
      </c>
      <c r="VCO11" s="256" t="s">
        <v>79</v>
      </c>
      <c r="VCP11" s="256" t="s">
        <v>80</v>
      </c>
      <c r="VCQ11" s="256" t="s">
        <v>81</v>
      </c>
      <c r="VCR11" s="283"/>
      <c r="VCS11" s="259" t="s">
        <v>55</v>
      </c>
      <c r="VCT11" s="256" t="s">
        <v>76</v>
      </c>
      <c r="VCU11" s="256" t="s">
        <v>77</v>
      </c>
      <c r="VCV11" s="256" t="s">
        <v>78</v>
      </c>
      <c r="VCW11" s="256" t="s">
        <v>79</v>
      </c>
      <c r="VCX11" s="256" t="s">
        <v>80</v>
      </c>
      <c r="VCY11" s="58" t="s">
        <v>81</v>
      </c>
      <c r="VCZ11" s="284"/>
      <c r="VDA11" s="259" t="s">
        <v>55</v>
      </c>
      <c r="VDB11" s="256" t="s">
        <v>76</v>
      </c>
      <c r="VDC11" s="256" t="s">
        <v>77</v>
      </c>
      <c r="VDD11" s="256" t="s">
        <v>78</v>
      </c>
      <c r="VDE11" s="256" t="s">
        <v>79</v>
      </c>
      <c r="VDF11" s="256" t="s">
        <v>80</v>
      </c>
      <c r="VDG11" s="256" t="s">
        <v>81</v>
      </c>
      <c r="VDH11" s="283"/>
      <c r="VDI11" s="259" t="s">
        <v>55</v>
      </c>
      <c r="VDJ11" s="256" t="s">
        <v>76</v>
      </c>
      <c r="VDK11" s="256" t="s">
        <v>77</v>
      </c>
      <c r="VDL11" s="256" t="s">
        <v>78</v>
      </c>
      <c r="VDM11" s="256" t="s">
        <v>79</v>
      </c>
      <c r="VDN11" s="256" t="s">
        <v>80</v>
      </c>
      <c r="VDO11" s="58" t="s">
        <v>81</v>
      </c>
      <c r="VDP11" s="284"/>
      <c r="VDQ11" s="259" t="s">
        <v>55</v>
      </c>
      <c r="VDR11" s="256" t="s">
        <v>76</v>
      </c>
      <c r="VDS11" s="256" t="s">
        <v>77</v>
      </c>
      <c r="VDT11" s="256" t="s">
        <v>78</v>
      </c>
      <c r="VDU11" s="256" t="s">
        <v>79</v>
      </c>
      <c r="VDV11" s="256" t="s">
        <v>80</v>
      </c>
      <c r="VDW11" s="256" t="s">
        <v>81</v>
      </c>
      <c r="VDX11" s="283"/>
      <c r="VDY11" s="259" t="s">
        <v>55</v>
      </c>
      <c r="VDZ11" s="256" t="s">
        <v>76</v>
      </c>
      <c r="VEA11" s="256" t="s">
        <v>77</v>
      </c>
      <c r="VEB11" s="256" t="s">
        <v>78</v>
      </c>
      <c r="VEC11" s="256" t="s">
        <v>79</v>
      </c>
      <c r="VED11" s="256" t="s">
        <v>80</v>
      </c>
      <c r="VEE11" s="58" t="s">
        <v>81</v>
      </c>
      <c r="VEF11" s="284"/>
      <c r="VEG11" s="259" t="s">
        <v>55</v>
      </c>
      <c r="VEH11" s="256" t="s">
        <v>76</v>
      </c>
      <c r="VEI11" s="256" t="s">
        <v>77</v>
      </c>
      <c r="VEJ11" s="256" t="s">
        <v>78</v>
      </c>
      <c r="VEK11" s="256" t="s">
        <v>79</v>
      </c>
      <c r="VEL11" s="256" t="s">
        <v>80</v>
      </c>
      <c r="VEM11" s="256" t="s">
        <v>81</v>
      </c>
      <c r="VEN11" s="283"/>
      <c r="VEO11" s="259" t="s">
        <v>55</v>
      </c>
      <c r="VEP11" s="256" t="s">
        <v>76</v>
      </c>
      <c r="VEQ11" s="256" t="s">
        <v>77</v>
      </c>
      <c r="VER11" s="256" t="s">
        <v>78</v>
      </c>
      <c r="VES11" s="256" t="s">
        <v>79</v>
      </c>
      <c r="VET11" s="256" t="s">
        <v>80</v>
      </c>
      <c r="VEU11" s="58" t="s">
        <v>81</v>
      </c>
      <c r="VEV11" s="284"/>
      <c r="VEW11" s="259" t="s">
        <v>55</v>
      </c>
      <c r="VEX11" s="256" t="s">
        <v>76</v>
      </c>
      <c r="VEY11" s="256" t="s">
        <v>77</v>
      </c>
      <c r="VEZ11" s="256" t="s">
        <v>78</v>
      </c>
      <c r="VFA11" s="256" t="s">
        <v>79</v>
      </c>
      <c r="VFB11" s="256" t="s">
        <v>80</v>
      </c>
      <c r="VFC11" s="256" t="s">
        <v>81</v>
      </c>
      <c r="VFD11" s="283"/>
      <c r="VFE11" s="259" t="s">
        <v>55</v>
      </c>
      <c r="VFF11" s="256" t="s">
        <v>76</v>
      </c>
      <c r="VFG11" s="256" t="s">
        <v>77</v>
      </c>
      <c r="VFH11" s="256" t="s">
        <v>78</v>
      </c>
      <c r="VFI11" s="256" t="s">
        <v>79</v>
      </c>
      <c r="VFJ11" s="256" t="s">
        <v>80</v>
      </c>
      <c r="VFK11" s="58" t="s">
        <v>81</v>
      </c>
      <c r="VFL11" s="284"/>
      <c r="VFM11" s="259" t="s">
        <v>55</v>
      </c>
      <c r="VFN11" s="256" t="s">
        <v>76</v>
      </c>
      <c r="VFO11" s="256" t="s">
        <v>77</v>
      </c>
      <c r="VFP11" s="256" t="s">
        <v>78</v>
      </c>
      <c r="VFQ11" s="256" t="s">
        <v>79</v>
      </c>
      <c r="VFR11" s="256" t="s">
        <v>80</v>
      </c>
      <c r="VFS11" s="256" t="s">
        <v>81</v>
      </c>
      <c r="VFT11" s="283"/>
      <c r="VFU11" s="259" t="s">
        <v>55</v>
      </c>
      <c r="VFV11" s="256" t="s">
        <v>76</v>
      </c>
      <c r="VFW11" s="256" t="s">
        <v>77</v>
      </c>
      <c r="VFX11" s="256" t="s">
        <v>78</v>
      </c>
      <c r="VFY11" s="256" t="s">
        <v>79</v>
      </c>
      <c r="VFZ11" s="256" t="s">
        <v>80</v>
      </c>
      <c r="VGA11" s="58" t="s">
        <v>81</v>
      </c>
      <c r="VGB11" s="284"/>
      <c r="VGC11" s="259" t="s">
        <v>55</v>
      </c>
      <c r="VGD11" s="256" t="s">
        <v>76</v>
      </c>
      <c r="VGE11" s="256" t="s">
        <v>77</v>
      </c>
      <c r="VGF11" s="256" t="s">
        <v>78</v>
      </c>
      <c r="VGG11" s="256" t="s">
        <v>79</v>
      </c>
      <c r="VGH11" s="256" t="s">
        <v>80</v>
      </c>
      <c r="VGI11" s="256" t="s">
        <v>81</v>
      </c>
      <c r="VGJ11" s="283"/>
      <c r="VGK11" s="259" t="s">
        <v>55</v>
      </c>
      <c r="VGL11" s="256" t="s">
        <v>76</v>
      </c>
      <c r="VGM11" s="256" t="s">
        <v>77</v>
      </c>
      <c r="VGN11" s="256" t="s">
        <v>78</v>
      </c>
      <c r="VGO11" s="256" t="s">
        <v>79</v>
      </c>
      <c r="VGP11" s="256" t="s">
        <v>80</v>
      </c>
      <c r="VGQ11" s="58" t="s">
        <v>81</v>
      </c>
      <c r="VGR11" s="284"/>
      <c r="VGS11" s="259" t="s">
        <v>55</v>
      </c>
      <c r="VGT11" s="256" t="s">
        <v>76</v>
      </c>
      <c r="VGU11" s="256" t="s">
        <v>77</v>
      </c>
      <c r="VGV11" s="256" t="s">
        <v>78</v>
      </c>
      <c r="VGW11" s="256" t="s">
        <v>79</v>
      </c>
      <c r="VGX11" s="256" t="s">
        <v>80</v>
      </c>
      <c r="VGY11" s="256" t="s">
        <v>81</v>
      </c>
      <c r="VGZ11" s="283"/>
      <c r="VHA11" s="259" t="s">
        <v>55</v>
      </c>
      <c r="VHB11" s="256" t="s">
        <v>76</v>
      </c>
      <c r="VHC11" s="256" t="s">
        <v>77</v>
      </c>
      <c r="VHD11" s="256" t="s">
        <v>78</v>
      </c>
      <c r="VHE11" s="256" t="s">
        <v>79</v>
      </c>
      <c r="VHF11" s="256" t="s">
        <v>80</v>
      </c>
      <c r="VHG11" s="58" t="s">
        <v>81</v>
      </c>
      <c r="VHH11" s="284"/>
      <c r="VHI11" s="259" t="s">
        <v>55</v>
      </c>
      <c r="VHJ11" s="256" t="s">
        <v>76</v>
      </c>
      <c r="VHK11" s="256" t="s">
        <v>77</v>
      </c>
      <c r="VHL11" s="256" t="s">
        <v>78</v>
      </c>
      <c r="VHM11" s="256" t="s">
        <v>79</v>
      </c>
      <c r="VHN11" s="256" t="s">
        <v>80</v>
      </c>
      <c r="VHO11" s="256" t="s">
        <v>81</v>
      </c>
      <c r="VHP11" s="283"/>
      <c r="VHQ11" s="259" t="s">
        <v>55</v>
      </c>
      <c r="VHR11" s="256" t="s">
        <v>76</v>
      </c>
      <c r="VHS11" s="256" t="s">
        <v>77</v>
      </c>
      <c r="VHT11" s="256" t="s">
        <v>78</v>
      </c>
      <c r="VHU11" s="256" t="s">
        <v>79</v>
      </c>
      <c r="VHV11" s="256" t="s">
        <v>80</v>
      </c>
      <c r="VHW11" s="58" t="s">
        <v>81</v>
      </c>
      <c r="VHX11" s="284"/>
      <c r="VHY11" s="259" t="s">
        <v>55</v>
      </c>
      <c r="VHZ11" s="256" t="s">
        <v>76</v>
      </c>
      <c r="VIA11" s="256" t="s">
        <v>77</v>
      </c>
      <c r="VIB11" s="256" t="s">
        <v>78</v>
      </c>
      <c r="VIC11" s="256" t="s">
        <v>79</v>
      </c>
      <c r="VID11" s="256" t="s">
        <v>80</v>
      </c>
      <c r="VIE11" s="256" t="s">
        <v>81</v>
      </c>
      <c r="VIF11" s="283"/>
      <c r="VIG11" s="259" t="s">
        <v>55</v>
      </c>
      <c r="VIH11" s="256" t="s">
        <v>76</v>
      </c>
      <c r="VII11" s="256" t="s">
        <v>77</v>
      </c>
      <c r="VIJ11" s="256" t="s">
        <v>78</v>
      </c>
      <c r="VIK11" s="256" t="s">
        <v>79</v>
      </c>
      <c r="VIL11" s="256" t="s">
        <v>80</v>
      </c>
      <c r="VIM11" s="58" t="s">
        <v>81</v>
      </c>
      <c r="VIN11" s="284"/>
      <c r="VIO11" s="259" t="s">
        <v>55</v>
      </c>
      <c r="VIP11" s="256" t="s">
        <v>76</v>
      </c>
      <c r="VIQ11" s="256" t="s">
        <v>77</v>
      </c>
      <c r="VIR11" s="256" t="s">
        <v>78</v>
      </c>
      <c r="VIS11" s="256" t="s">
        <v>79</v>
      </c>
      <c r="VIT11" s="256" t="s">
        <v>80</v>
      </c>
      <c r="VIU11" s="256" t="s">
        <v>81</v>
      </c>
      <c r="VIV11" s="283"/>
      <c r="VIW11" s="259" t="s">
        <v>55</v>
      </c>
      <c r="VIX11" s="256" t="s">
        <v>76</v>
      </c>
      <c r="VIY11" s="256" t="s">
        <v>77</v>
      </c>
      <c r="VIZ11" s="256" t="s">
        <v>78</v>
      </c>
      <c r="VJA11" s="256" t="s">
        <v>79</v>
      </c>
      <c r="VJB11" s="256" t="s">
        <v>80</v>
      </c>
      <c r="VJC11" s="58" t="s">
        <v>81</v>
      </c>
      <c r="VJD11" s="284"/>
      <c r="VJE11" s="259" t="s">
        <v>55</v>
      </c>
      <c r="VJF11" s="256" t="s">
        <v>76</v>
      </c>
      <c r="VJG11" s="256" t="s">
        <v>77</v>
      </c>
      <c r="VJH11" s="256" t="s">
        <v>78</v>
      </c>
      <c r="VJI11" s="256" t="s">
        <v>79</v>
      </c>
      <c r="VJJ11" s="256" t="s">
        <v>80</v>
      </c>
      <c r="VJK11" s="256" t="s">
        <v>81</v>
      </c>
      <c r="VJL11" s="283"/>
      <c r="VJM11" s="259" t="s">
        <v>55</v>
      </c>
      <c r="VJN11" s="256" t="s">
        <v>76</v>
      </c>
      <c r="VJO11" s="256" t="s">
        <v>77</v>
      </c>
      <c r="VJP11" s="256" t="s">
        <v>78</v>
      </c>
      <c r="VJQ11" s="256" t="s">
        <v>79</v>
      </c>
      <c r="VJR11" s="256" t="s">
        <v>80</v>
      </c>
      <c r="VJS11" s="58" t="s">
        <v>81</v>
      </c>
      <c r="VJT11" s="284"/>
      <c r="VJU11" s="259" t="s">
        <v>55</v>
      </c>
      <c r="VJV11" s="256" t="s">
        <v>76</v>
      </c>
      <c r="VJW11" s="256" t="s">
        <v>77</v>
      </c>
      <c r="VJX11" s="256" t="s">
        <v>78</v>
      </c>
      <c r="VJY11" s="256" t="s">
        <v>79</v>
      </c>
      <c r="VJZ11" s="256" t="s">
        <v>80</v>
      </c>
      <c r="VKA11" s="256" t="s">
        <v>81</v>
      </c>
      <c r="VKB11" s="283"/>
      <c r="VKC11" s="259" t="s">
        <v>55</v>
      </c>
      <c r="VKD11" s="256" t="s">
        <v>76</v>
      </c>
      <c r="VKE11" s="256" t="s">
        <v>77</v>
      </c>
      <c r="VKF11" s="256" t="s">
        <v>78</v>
      </c>
      <c r="VKG11" s="256" t="s">
        <v>79</v>
      </c>
      <c r="VKH11" s="256" t="s">
        <v>80</v>
      </c>
      <c r="VKI11" s="58" t="s">
        <v>81</v>
      </c>
      <c r="VKJ11" s="284"/>
      <c r="VKK11" s="259" t="s">
        <v>55</v>
      </c>
      <c r="VKL11" s="256" t="s">
        <v>76</v>
      </c>
      <c r="VKM11" s="256" t="s">
        <v>77</v>
      </c>
      <c r="VKN11" s="256" t="s">
        <v>78</v>
      </c>
      <c r="VKO11" s="256" t="s">
        <v>79</v>
      </c>
      <c r="VKP11" s="256" t="s">
        <v>80</v>
      </c>
      <c r="VKQ11" s="256" t="s">
        <v>81</v>
      </c>
      <c r="VKR11" s="283"/>
      <c r="VKS11" s="259" t="s">
        <v>55</v>
      </c>
      <c r="VKT11" s="256" t="s">
        <v>76</v>
      </c>
      <c r="VKU11" s="256" t="s">
        <v>77</v>
      </c>
      <c r="VKV11" s="256" t="s">
        <v>78</v>
      </c>
      <c r="VKW11" s="256" t="s">
        <v>79</v>
      </c>
      <c r="VKX11" s="256" t="s">
        <v>80</v>
      </c>
      <c r="VKY11" s="58" t="s">
        <v>81</v>
      </c>
      <c r="VKZ11" s="284"/>
      <c r="VLA11" s="259" t="s">
        <v>55</v>
      </c>
      <c r="VLB11" s="256" t="s">
        <v>76</v>
      </c>
      <c r="VLC11" s="256" t="s">
        <v>77</v>
      </c>
      <c r="VLD11" s="256" t="s">
        <v>78</v>
      </c>
      <c r="VLE11" s="256" t="s">
        <v>79</v>
      </c>
      <c r="VLF11" s="256" t="s">
        <v>80</v>
      </c>
      <c r="VLG11" s="256" t="s">
        <v>81</v>
      </c>
      <c r="VLH11" s="283"/>
      <c r="VLI11" s="259" t="s">
        <v>55</v>
      </c>
      <c r="VLJ11" s="256" t="s">
        <v>76</v>
      </c>
      <c r="VLK11" s="256" t="s">
        <v>77</v>
      </c>
      <c r="VLL11" s="256" t="s">
        <v>78</v>
      </c>
      <c r="VLM11" s="256" t="s">
        <v>79</v>
      </c>
      <c r="VLN11" s="256" t="s">
        <v>80</v>
      </c>
      <c r="VLO11" s="58" t="s">
        <v>81</v>
      </c>
      <c r="VLP11" s="284"/>
      <c r="VLQ11" s="259" t="s">
        <v>55</v>
      </c>
      <c r="VLR11" s="256" t="s">
        <v>76</v>
      </c>
      <c r="VLS11" s="256" t="s">
        <v>77</v>
      </c>
      <c r="VLT11" s="256" t="s">
        <v>78</v>
      </c>
      <c r="VLU11" s="256" t="s">
        <v>79</v>
      </c>
      <c r="VLV11" s="256" t="s">
        <v>80</v>
      </c>
      <c r="VLW11" s="256" t="s">
        <v>81</v>
      </c>
      <c r="VLX11" s="283"/>
      <c r="VLY11" s="259" t="s">
        <v>55</v>
      </c>
      <c r="VLZ11" s="256" t="s">
        <v>76</v>
      </c>
      <c r="VMA11" s="256" t="s">
        <v>77</v>
      </c>
      <c r="VMB11" s="256" t="s">
        <v>78</v>
      </c>
      <c r="VMC11" s="256" t="s">
        <v>79</v>
      </c>
      <c r="VMD11" s="256" t="s">
        <v>80</v>
      </c>
      <c r="VME11" s="58" t="s">
        <v>81</v>
      </c>
      <c r="VMF11" s="284"/>
      <c r="VMG11" s="259" t="s">
        <v>55</v>
      </c>
      <c r="VMH11" s="256" t="s">
        <v>76</v>
      </c>
      <c r="VMI11" s="256" t="s">
        <v>77</v>
      </c>
      <c r="VMJ11" s="256" t="s">
        <v>78</v>
      </c>
      <c r="VMK11" s="256" t="s">
        <v>79</v>
      </c>
      <c r="VML11" s="256" t="s">
        <v>80</v>
      </c>
      <c r="VMM11" s="256" t="s">
        <v>81</v>
      </c>
      <c r="VMN11" s="283"/>
      <c r="VMO11" s="259" t="s">
        <v>55</v>
      </c>
      <c r="VMP11" s="256" t="s">
        <v>76</v>
      </c>
      <c r="VMQ11" s="256" t="s">
        <v>77</v>
      </c>
      <c r="VMR11" s="256" t="s">
        <v>78</v>
      </c>
      <c r="VMS11" s="256" t="s">
        <v>79</v>
      </c>
      <c r="VMT11" s="256" t="s">
        <v>80</v>
      </c>
      <c r="VMU11" s="58" t="s">
        <v>81</v>
      </c>
      <c r="VMV11" s="284"/>
      <c r="VMW11" s="259" t="s">
        <v>55</v>
      </c>
      <c r="VMX11" s="256" t="s">
        <v>76</v>
      </c>
      <c r="VMY11" s="256" t="s">
        <v>77</v>
      </c>
      <c r="VMZ11" s="256" t="s">
        <v>78</v>
      </c>
      <c r="VNA11" s="256" t="s">
        <v>79</v>
      </c>
      <c r="VNB11" s="256" t="s">
        <v>80</v>
      </c>
      <c r="VNC11" s="256" t="s">
        <v>81</v>
      </c>
      <c r="VND11" s="283"/>
      <c r="VNE11" s="259" t="s">
        <v>55</v>
      </c>
      <c r="VNF11" s="256" t="s">
        <v>76</v>
      </c>
      <c r="VNG11" s="256" t="s">
        <v>77</v>
      </c>
      <c r="VNH11" s="256" t="s">
        <v>78</v>
      </c>
      <c r="VNI11" s="256" t="s">
        <v>79</v>
      </c>
      <c r="VNJ11" s="256" t="s">
        <v>80</v>
      </c>
      <c r="VNK11" s="58" t="s">
        <v>81</v>
      </c>
      <c r="VNL11" s="284"/>
      <c r="VNM11" s="259" t="s">
        <v>55</v>
      </c>
      <c r="VNN11" s="256" t="s">
        <v>76</v>
      </c>
      <c r="VNO11" s="256" t="s">
        <v>77</v>
      </c>
      <c r="VNP11" s="256" t="s">
        <v>78</v>
      </c>
      <c r="VNQ11" s="256" t="s">
        <v>79</v>
      </c>
      <c r="VNR11" s="256" t="s">
        <v>80</v>
      </c>
      <c r="VNS11" s="256" t="s">
        <v>81</v>
      </c>
      <c r="VNT11" s="283"/>
      <c r="VNU11" s="259" t="s">
        <v>55</v>
      </c>
      <c r="VNV11" s="256" t="s">
        <v>76</v>
      </c>
      <c r="VNW11" s="256" t="s">
        <v>77</v>
      </c>
      <c r="VNX11" s="256" t="s">
        <v>78</v>
      </c>
      <c r="VNY11" s="256" t="s">
        <v>79</v>
      </c>
      <c r="VNZ11" s="256" t="s">
        <v>80</v>
      </c>
      <c r="VOA11" s="58" t="s">
        <v>81</v>
      </c>
      <c r="VOB11" s="284"/>
      <c r="VOC11" s="259" t="s">
        <v>55</v>
      </c>
      <c r="VOD11" s="256" t="s">
        <v>76</v>
      </c>
      <c r="VOE11" s="256" t="s">
        <v>77</v>
      </c>
      <c r="VOF11" s="256" t="s">
        <v>78</v>
      </c>
      <c r="VOG11" s="256" t="s">
        <v>79</v>
      </c>
      <c r="VOH11" s="256" t="s">
        <v>80</v>
      </c>
      <c r="VOI11" s="256" t="s">
        <v>81</v>
      </c>
      <c r="VOJ11" s="283"/>
      <c r="VOK11" s="259" t="s">
        <v>55</v>
      </c>
      <c r="VOL11" s="256" t="s">
        <v>76</v>
      </c>
      <c r="VOM11" s="256" t="s">
        <v>77</v>
      </c>
      <c r="VON11" s="256" t="s">
        <v>78</v>
      </c>
      <c r="VOO11" s="256" t="s">
        <v>79</v>
      </c>
      <c r="VOP11" s="256" t="s">
        <v>80</v>
      </c>
      <c r="VOQ11" s="58" t="s">
        <v>81</v>
      </c>
      <c r="VOR11" s="284"/>
      <c r="VOS11" s="259" t="s">
        <v>55</v>
      </c>
      <c r="VOT11" s="256" t="s">
        <v>76</v>
      </c>
      <c r="VOU11" s="256" t="s">
        <v>77</v>
      </c>
      <c r="VOV11" s="256" t="s">
        <v>78</v>
      </c>
      <c r="VOW11" s="256" t="s">
        <v>79</v>
      </c>
      <c r="VOX11" s="256" t="s">
        <v>80</v>
      </c>
      <c r="VOY11" s="256" t="s">
        <v>81</v>
      </c>
      <c r="VOZ11" s="283"/>
      <c r="VPA11" s="259" t="s">
        <v>55</v>
      </c>
      <c r="VPB11" s="256" t="s">
        <v>76</v>
      </c>
      <c r="VPC11" s="256" t="s">
        <v>77</v>
      </c>
      <c r="VPD11" s="256" t="s">
        <v>78</v>
      </c>
      <c r="VPE11" s="256" t="s">
        <v>79</v>
      </c>
      <c r="VPF11" s="256" t="s">
        <v>80</v>
      </c>
      <c r="VPG11" s="58" t="s">
        <v>81</v>
      </c>
      <c r="VPH11" s="284"/>
      <c r="VPI11" s="259" t="s">
        <v>55</v>
      </c>
      <c r="VPJ11" s="256" t="s">
        <v>76</v>
      </c>
      <c r="VPK11" s="256" t="s">
        <v>77</v>
      </c>
      <c r="VPL11" s="256" t="s">
        <v>78</v>
      </c>
      <c r="VPM11" s="256" t="s">
        <v>79</v>
      </c>
      <c r="VPN11" s="256" t="s">
        <v>80</v>
      </c>
      <c r="VPO11" s="256" t="s">
        <v>81</v>
      </c>
      <c r="VPP11" s="283"/>
      <c r="VPQ11" s="259" t="s">
        <v>55</v>
      </c>
      <c r="VPR11" s="256" t="s">
        <v>76</v>
      </c>
      <c r="VPS11" s="256" t="s">
        <v>77</v>
      </c>
      <c r="VPT11" s="256" t="s">
        <v>78</v>
      </c>
      <c r="VPU11" s="256" t="s">
        <v>79</v>
      </c>
      <c r="VPV11" s="256" t="s">
        <v>80</v>
      </c>
      <c r="VPW11" s="58" t="s">
        <v>81</v>
      </c>
      <c r="VPX11" s="284"/>
      <c r="VPY11" s="259" t="s">
        <v>55</v>
      </c>
      <c r="VPZ11" s="256" t="s">
        <v>76</v>
      </c>
      <c r="VQA11" s="256" t="s">
        <v>77</v>
      </c>
      <c r="VQB11" s="256" t="s">
        <v>78</v>
      </c>
      <c r="VQC11" s="256" t="s">
        <v>79</v>
      </c>
      <c r="VQD11" s="256" t="s">
        <v>80</v>
      </c>
      <c r="VQE11" s="256" t="s">
        <v>81</v>
      </c>
      <c r="VQF11" s="283"/>
      <c r="VQG11" s="259" t="s">
        <v>55</v>
      </c>
      <c r="VQH11" s="256" t="s">
        <v>76</v>
      </c>
      <c r="VQI11" s="256" t="s">
        <v>77</v>
      </c>
      <c r="VQJ11" s="256" t="s">
        <v>78</v>
      </c>
      <c r="VQK11" s="256" t="s">
        <v>79</v>
      </c>
      <c r="VQL11" s="256" t="s">
        <v>80</v>
      </c>
      <c r="VQM11" s="58" t="s">
        <v>81</v>
      </c>
      <c r="VQN11" s="284"/>
      <c r="VQO11" s="259" t="s">
        <v>55</v>
      </c>
      <c r="VQP11" s="256" t="s">
        <v>76</v>
      </c>
      <c r="VQQ11" s="256" t="s">
        <v>77</v>
      </c>
      <c r="VQR11" s="256" t="s">
        <v>78</v>
      </c>
      <c r="VQS11" s="256" t="s">
        <v>79</v>
      </c>
      <c r="VQT11" s="256" t="s">
        <v>80</v>
      </c>
      <c r="VQU11" s="256" t="s">
        <v>81</v>
      </c>
      <c r="VQV11" s="283"/>
      <c r="VQW11" s="259" t="s">
        <v>55</v>
      </c>
      <c r="VQX11" s="256" t="s">
        <v>76</v>
      </c>
      <c r="VQY11" s="256" t="s">
        <v>77</v>
      </c>
      <c r="VQZ11" s="256" t="s">
        <v>78</v>
      </c>
      <c r="VRA11" s="256" t="s">
        <v>79</v>
      </c>
      <c r="VRB11" s="256" t="s">
        <v>80</v>
      </c>
      <c r="VRC11" s="58" t="s">
        <v>81</v>
      </c>
      <c r="VRD11" s="284"/>
      <c r="VRE11" s="259" t="s">
        <v>55</v>
      </c>
      <c r="VRF11" s="256" t="s">
        <v>76</v>
      </c>
      <c r="VRG11" s="256" t="s">
        <v>77</v>
      </c>
      <c r="VRH11" s="256" t="s">
        <v>78</v>
      </c>
      <c r="VRI11" s="256" t="s">
        <v>79</v>
      </c>
      <c r="VRJ11" s="256" t="s">
        <v>80</v>
      </c>
      <c r="VRK11" s="256" t="s">
        <v>81</v>
      </c>
      <c r="VRL11" s="283"/>
      <c r="VRM11" s="259" t="s">
        <v>55</v>
      </c>
      <c r="VRN11" s="256" t="s">
        <v>76</v>
      </c>
      <c r="VRO11" s="256" t="s">
        <v>77</v>
      </c>
      <c r="VRP11" s="256" t="s">
        <v>78</v>
      </c>
      <c r="VRQ11" s="256" t="s">
        <v>79</v>
      </c>
      <c r="VRR11" s="256" t="s">
        <v>80</v>
      </c>
      <c r="VRS11" s="58" t="s">
        <v>81</v>
      </c>
      <c r="VRT11" s="284"/>
      <c r="VRU11" s="259" t="s">
        <v>55</v>
      </c>
      <c r="VRV11" s="256" t="s">
        <v>76</v>
      </c>
      <c r="VRW11" s="256" t="s">
        <v>77</v>
      </c>
      <c r="VRX11" s="256" t="s">
        <v>78</v>
      </c>
      <c r="VRY11" s="256" t="s">
        <v>79</v>
      </c>
      <c r="VRZ11" s="256" t="s">
        <v>80</v>
      </c>
      <c r="VSA11" s="256" t="s">
        <v>81</v>
      </c>
      <c r="VSB11" s="283"/>
      <c r="VSC11" s="259" t="s">
        <v>55</v>
      </c>
      <c r="VSD11" s="256" t="s">
        <v>76</v>
      </c>
      <c r="VSE11" s="256" t="s">
        <v>77</v>
      </c>
      <c r="VSF11" s="256" t="s">
        <v>78</v>
      </c>
      <c r="VSG11" s="256" t="s">
        <v>79</v>
      </c>
      <c r="VSH11" s="256" t="s">
        <v>80</v>
      </c>
      <c r="VSI11" s="58" t="s">
        <v>81</v>
      </c>
      <c r="VSJ11" s="284"/>
      <c r="VSK11" s="259" t="s">
        <v>55</v>
      </c>
      <c r="VSL11" s="256" t="s">
        <v>76</v>
      </c>
      <c r="VSM11" s="256" t="s">
        <v>77</v>
      </c>
      <c r="VSN11" s="256" t="s">
        <v>78</v>
      </c>
      <c r="VSO11" s="256" t="s">
        <v>79</v>
      </c>
      <c r="VSP11" s="256" t="s">
        <v>80</v>
      </c>
      <c r="VSQ11" s="256" t="s">
        <v>81</v>
      </c>
      <c r="VSR11" s="283"/>
      <c r="VSS11" s="259" t="s">
        <v>55</v>
      </c>
      <c r="VST11" s="256" t="s">
        <v>76</v>
      </c>
      <c r="VSU11" s="256" t="s">
        <v>77</v>
      </c>
      <c r="VSV11" s="256" t="s">
        <v>78</v>
      </c>
      <c r="VSW11" s="256" t="s">
        <v>79</v>
      </c>
      <c r="VSX11" s="256" t="s">
        <v>80</v>
      </c>
      <c r="VSY11" s="58" t="s">
        <v>81</v>
      </c>
      <c r="VSZ11" s="284"/>
      <c r="VTA11" s="259" t="s">
        <v>55</v>
      </c>
      <c r="VTB11" s="256" t="s">
        <v>76</v>
      </c>
      <c r="VTC11" s="256" t="s">
        <v>77</v>
      </c>
      <c r="VTD11" s="256" t="s">
        <v>78</v>
      </c>
      <c r="VTE11" s="256" t="s">
        <v>79</v>
      </c>
      <c r="VTF11" s="256" t="s">
        <v>80</v>
      </c>
      <c r="VTG11" s="256" t="s">
        <v>81</v>
      </c>
      <c r="VTH11" s="283"/>
      <c r="VTI11" s="259" t="s">
        <v>55</v>
      </c>
      <c r="VTJ11" s="256" t="s">
        <v>76</v>
      </c>
      <c r="VTK11" s="256" t="s">
        <v>77</v>
      </c>
      <c r="VTL11" s="256" t="s">
        <v>78</v>
      </c>
      <c r="VTM11" s="256" t="s">
        <v>79</v>
      </c>
      <c r="VTN11" s="256" t="s">
        <v>80</v>
      </c>
      <c r="VTO11" s="58" t="s">
        <v>81</v>
      </c>
      <c r="VTP11" s="284"/>
      <c r="VTQ11" s="259" t="s">
        <v>55</v>
      </c>
      <c r="VTR11" s="256" t="s">
        <v>76</v>
      </c>
      <c r="VTS11" s="256" t="s">
        <v>77</v>
      </c>
      <c r="VTT11" s="256" t="s">
        <v>78</v>
      </c>
      <c r="VTU11" s="256" t="s">
        <v>79</v>
      </c>
      <c r="VTV11" s="256" t="s">
        <v>80</v>
      </c>
      <c r="VTW11" s="256" t="s">
        <v>81</v>
      </c>
      <c r="VTX11" s="283"/>
      <c r="VTY11" s="259" t="s">
        <v>55</v>
      </c>
      <c r="VTZ11" s="256" t="s">
        <v>76</v>
      </c>
      <c r="VUA11" s="256" t="s">
        <v>77</v>
      </c>
      <c r="VUB11" s="256" t="s">
        <v>78</v>
      </c>
      <c r="VUC11" s="256" t="s">
        <v>79</v>
      </c>
      <c r="VUD11" s="256" t="s">
        <v>80</v>
      </c>
      <c r="VUE11" s="58" t="s">
        <v>81</v>
      </c>
      <c r="VUF11" s="284"/>
      <c r="VUG11" s="259" t="s">
        <v>55</v>
      </c>
      <c r="VUH11" s="256" t="s">
        <v>76</v>
      </c>
      <c r="VUI11" s="256" t="s">
        <v>77</v>
      </c>
      <c r="VUJ11" s="256" t="s">
        <v>78</v>
      </c>
      <c r="VUK11" s="256" t="s">
        <v>79</v>
      </c>
      <c r="VUL11" s="256" t="s">
        <v>80</v>
      </c>
      <c r="VUM11" s="256" t="s">
        <v>81</v>
      </c>
      <c r="VUN11" s="283"/>
      <c r="VUO11" s="259" t="s">
        <v>55</v>
      </c>
      <c r="VUP11" s="256" t="s">
        <v>76</v>
      </c>
      <c r="VUQ11" s="256" t="s">
        <v>77</v>
      </c>
      <c r="VUR11" s="256" t="s">
        <v>78</v>
      </c>
      <c r="VUS11" s="256" t="s">
        <v>79</v>
      </c>
      <c r="VUT11" s="256" t="s">
        <v>80</v>
      </c>
      <c r="VUU11" s="58" t="s">
        <v>81</v>
      </c>
      <c r="VUV11" s="284"/>
      <c r="VUW11" s="259" t="s">
        <v>55</v>
      </c>
      <c r="VUX11" s="256" t="s">
        <v>76</v>
      </c>
      <c r="VUY11" s="256" t="s">
        <v>77</v>
      </c>
      <c r="VUZ11" s="256" t="s">
        <v>78</v>
      </c>
      <c r="VVA11" s="256" t="s">
        <v>79</v>
      </c>
      <c r="VVB11" s="256" t="s">
        <v>80</v>
      </c>
      <c r="VVC11" s="256" t="s">
        <v>81</v>
      </c>
      <c r="VVD11" s="283"/>
      <c r="VVE11" s="259" t="s">
        <v>55</v>
      </c>
      <c r="VVF11" s="256" t="s">
        <v>76</v>
      </c>
      <c r="VVG11" s="256" t="s">
        <v>77</v>
      </c>
      <c r="VVH11" s="256" t="s">
        <v>78</v>
      </c>
      <c r="VVI11" s="256" t="s">
        <v>79</v>
      </c>
      <c r="VVJ11" s="256" t="s">
        <v>80</v>
      </c>
      <c r="VVK11" s="58" t="s">
        <v>81</v>
      </c>
      <c r="VVL11" s="284"/>
      <c r="VVM11" s="259" t="s">
        <v>55</v>
      </c>
      <c r="VVN11" s="256" t="s">
        <v>76</v>
      </c>
      <c r="VVO11" s="256" t="s">
        <v>77</v>
      </c>
      <c r="VVP11" s="256" t="s">
        <v>78</v>
      </c>
      <c r="VVQ11" s="256" t="s">
        <v>79</v>
      </c>
      <c r="VVR11" s="256" t="s">
        <v>80</v>
      </c>
      <c r="VVS11" s="256" t="s">
        <v>81</v>
      </c>
      <c r="VVT11" s="283"/>
      <c r="VVU11" s="259" t="s">
        <v>55</v>
      </c>
      <c r="VVV11" s="256" t="s">
        <v>76</v>
      </c>
      <c r="VVW11" s="256" t="s">
        <v>77</v>
      </c>
      <c r="VVX11" s="256" t="s">
        <v>78</v>
      </c>
      <c r="VVY11" s="256" t="s">
        <v>79</v>
      </c>
      <c r="VVZ11" s="256" t="s">
        <v>80</v>
      </c>
      <c r="VWA11" s="58" t="s">
        <v>81</v>
      </c>
      <c r="VWB11" s="284"/>
      <c r="VWC11" s="259" t="s">
        <v>55</v>
      </c>
      <c r="VWD11" s="256" t="s">
        <v>76</v>
      </c>
      <c r="VWE11" s="256" t="s">
        <v>77</v>
      </c>
      <c r="VWF11" s="256" t="s">
        <v>78</v>
      </c>
      <c r="VWG11" s="256" t="s">
        <v>79</v>
      </c>
      <c r="VWH11" s="256" t="s">
        <v>80</v>
      </c>
      <c r="VWI11" s="256" t="s">
        <v>81</v>
      </c>
      <c r="VWJ11" s="283"/>
      <c r="VWK11" s="259" t="s">
        <v>55</v>
      </c>
      <c r="VWL11" s="256" t="s">
        <v>76</v>
      </c>
      <c r="VWM11" s="256" t="s">
        <v>77</v>
      </c>
      <c r="VWN11" s="256" t="s">
        <v>78</v>
      </c>
      <c r="VWO11" s="256" t="s">
        <v>79</v>
      </c>
      <c r="VWP11" s="256" t="s">
        <v>80</v>
      </c>
      <c r="VWQ11" s="58" t="s">
        <v>81</v>
      </c>
      <c r="VWR11" s="284"/>
      <c r="VWS11" s="259" t="s">
        <v>55</v>
      </c>
      <c r="VWT11" s="256" t="s">
        <v>76</v>
      </c>
      <c r="VWU11" s="256" t="s">
        <v>77</v>
      </c>
      <c r="VWV11" s="256" t="s">
        <v>78</v>
      </c>
      <c r="VWW11" s="256" t="s">
        <v>79</v>
      </c>
      <c r="VWX11" s="256" t="s">
        <v>80</v>
      </c>
      <c r="VWY11" s="256" t="s">
        <v>81</v>
      </c>
      <c r="VWZ11" s="283"/>
      <c r="VXA11" s="259" t="s">
        <v>55</v>
      </c>
      <c r="VXB11" s="256" t="s">
        <v>76</v>
      </c>
      <c r="VXC11" s="256" t="s">
        <v>77</v>
      </c>
      <c r="VXD11" s="256" t="s">
        <v>78</v>
      </c>
      <c r="VXE11" s="256" t="s">
        <v>79</v>
      </c>
      <c r="VXF11" s="256" t="s">
        <v>80</v>
      </c>
      <c r="VXG11" s="58" t="s">
        <v>81</v>
      </c>
      <c r="VXH11" s="284"/>
      <c r="VXI11" s="259" t="s">
        <v>55</v>
      </c>
      <c r="VXJ11" s="256" t="s">
        <v>76</v>
      </c>
      <c r="VXK11" s="256" t="s">
        <v>77</v>
      </c>
      <c r="VXL11" s="256" t="s">
        <v>78</v>
      </c>
      <c r="VXM11" s="256" t="s">
        <v>79</v>
      </c>
      <c r="VXN11" s="256" t="s">
        <v>80</v>
      </c>
      <c r="VXO11" s="256" t="s">
        <v>81</v>
      </c>
      <c r="VXP11" s="283"/>
      <c r="VXQ11" s="259" t="s">
        <v>55</v>
      </c>
      <c r="VXR11" s="256" t="s">
        <v>76</v>
      </c>
      <c r="VXS11" s="256" t="s">
        <v>77</v>
      </c>
      <c r="VXT11" s="256" t="s">
        <v>78</v>
      </c>
      <c r="VXU11" s="256" t="s">
        <v>79</v>
      </c>
      <c r="VXV11" s="256" t="s">
        <v>80</v>
      </c>
      <c r="VXW11" s="58" t="s">
        <v>81</v>
      </c>
      <c r="VXX11" s="284"/>
      <c r="VXY11" s="259" t="s">
        <v>55</v>
      </c>
      <c r="VXZ11" s="256" t="s">
        <v>76</v>
      </c>
      <c r="VYA11" s="256" t="s">
        <v>77</v>
      </c>
      <c r="VYB11" s="256" t="s">
        <v>78</v>
      </c>
      <c r="VYC11" s="256" t="s">
        <v>79</v>
      </c>
      <c r="VYD11" s="256" t="s">
        <v>80</v>
      </c>
      <c r="VYE11" s="256" t="s">
        <v>81</v>
      </c>
      <c r="VYF11" s="283"/>
      <c r="VYG11" s="259" t="s">
        <v>55</v>
      </c>
      <c r="VYH11" s="256" t="s">
        <v>76</v>
      </c>
      <c r="VYI11" s="256" t="s">
        <v>77</v>
      </c>
      <c r="VYJ11" s="256" t="s">
        <v>78</v>
      </c>
      <c r="VYK11" s="256" t="s">
        <v>79</v>
      </c>
      <c r="VYL11" s="256" t="s">
        <v>80</v>
      </c>
      <c r="VYM11" s="58" t="s">
        <v>81</v>
      </c>
      <c r="VYN11" s="284"/>
      <c r="VYO11" s="259" t="s">
        <v>55</v>
      </c>
      <c r="VYP11" s="256" t="s">
        <v>76</v>
      </c>
      <c r="VYQ11" s="256" t="s">
        <v>77</v>
      </c>
      <c r="VYR11" s="256" t="s">
        <v>78</v>
      </c>
      <c r="VYS11" s="256" t="s">
        <v>79</v>
      </c>
      <c r="VYT11" s="256" t="s">
        <v>80</v>
      </c>
      <c r="VYU11" s="256" t="s">
        <v>81</v>
      </c>
      <c r="VYV11" s="283"/>
      <c r="VYW11" s="259" t="s">
        <v>55</v>
      </c>
      <c r="VYX11" s="256" t="s">
        <v>76</v>
      </c>
      <c r="VYY11" s="256" t="s">
        <v>77</v>
      </c>
      <c r="VYZ11" s="256" t="s">
        <v>78</v>
      </c>
      <c r="VZA11" s="256" t="s">
        <v>79</v>
      </c>
      <c r="VZB11" s="256" t="s">
        <v>80</v>
      </c>
      <c r="VZC11" s="58" t="s">
        <v>81</v>
      </c>
      <c r="VZD11" s="284"/>
      <c r="VZE11" s="259" t="s">
        <v>55</v>
      </c>
      <c r="VZF11" s="256" t="s">
        <v>76</v>
      </c>
      <c r="VZG11" s="256" t="s">
        <v>77</v>
      </c>
      <c r="VZH11" s="256" t="s">
        <v>78</v>
      </c>
      <c r="VZI11" s="256" t="s">
        <v>79</v>
      </c>
      <c r="VZJ11" s="256" t="s">
        <v>80</v>
      </c>
      <c r="VZK11" s="256" t="s">
        <v>81</v>
      </c>
      <c r="VZL11" s="283"/>
      <c r="VZM11" s="259" t="s">
        <v>55</v>
      </c>
      <c r="VZN11" s="256" t="s">
        <v>76</v>
      </c>
      <c r="VZO11" s="256" t="s">
        <v>77</v>
      </c>
      <c r="VZP11" s="256" t="s">
        <v>78</v>
      </c>
      <c r="VZQ11" s="256" t="s">
        <v>79</v>
      </c>
      <c r="VZR11" s="256" t="s">
        <v>80</v>
      </c>
      <c r="VZS11" s="58" t="s">
        <v>81</v>
      </c>
      <c r="VZT11" s="284"/>
      <c r="VZU11" s="259" t="s">
        <v>55</v>
      </c>
      <c r="VZV11" s="256" t="s">
        <v>76</v>
      </c>
      <c r="VZW11" s="256" t="s">
        <v>77</v>
      </c>
      <c r="VZX11" s="256" t="s">
        <v>78</v>
      </c>
      <c r="VZY11" s="256" t="s">
        <v>79</v>
      </c>
      <c r="VZZ11" s="256" t="s">
        <v>80</v>
      </c>
      <c r="WAA11" s="256" t="s">
        <v>81</v>
      </c>
      <c r="WAB11" s="283"/>
      <c r="WAC11" s="259" t="s">
        <v>55</v>
      </c>
      <c r="WAD11" s="256" t="s">
        <v>76</v>
      </c>
      <c r="WAE11" s="256" t="s">
        <v>77</v>
      </c>
      <c r="WAF11" s="256" t="s">
        <v>78</v>
      </c>
      <c r="WAG11" s="256" t="s">
        <v>79</v>
      </c>
      <c r="WAH11" s="256" t="s">
        <v>80</v>
      </c>
      <c r="WAI11" s="58" t="s">
        <v>81</v>
      </c>
      <c r="WAJ11" s="284"/>
      <c r="WAK11" s="259" t="s">
        <v>55</v>
      </c>
      <c r="WAL11" s="256" t="s">
        <v>76</v>
      </c>
      <c r="WAM11" s="256" t="s">
        <v>77</v>
      </c>
      <c r="WAN11" s="256" t="s">
        <v>78</v>
      </c>
      <c r="WAO11" s="256" t="s">
        <v>79</v>
      </c>
      <c r="WAP11" s="256" t="s">
        <v>80</v>
      </c>
      <c r="WAQ11" s="256" t="s">
        <v>81</v>
      </c>
      <c r="WAR11" s="283"/>
      <c r="WAS11" s="259" t="s">
        <v>55</v>
      </c>
      <c r="WAT11" s="256" t="s">
        <v>76</v>
      </c>
      <c r="WAU11" s="256" t="s">
        <v>77</v>
      </c>
      <c r="WAV11" s="256" t="s">
        <v>78</v>
      </c>
      <c r="WAW11" s="256" t="s">
        <v>79</v>
      </c>
      <c r="WAX11" s="256" t="s">
        <v>80</v>
      </c>
      <c r="WAY11" s="58" t="s">
        <v>81</v>
      </c>
      <c r="WAZ11" s="284"/>
      <c r="WBA11" s="259" t="s">
        <v>55</v>
      </c>
      <c r="WBB11" s="256" t="s">
        <v>76</v>
      </c>
      <c r="WBC11" s="256" t="s">
        <v>77</v>
      </c>
      <c r="WBD11" s="256" t="s">
        <v>78</v>
      </c>
      <c r="WBE11" s="256" t="s">
        <v>79</v>
      </c>
      <c r="WBF11" s="256" t="s">
        <v>80</v>
      </c>
      <c r="WBG11" s="256" t="s">
        <v>81</v>
      </c>
      <c r="WBH11" s="283"/>
      <c r="WBI11" s="259" t="s">
        <v>55</v>
      </c>
      <c r="WBJ11" s="256" t="s">
        <v>76</v>
      </c>
      <c r="WBK11" s="256" t="s">
        <v>77</v>
      </c>
      <c r="WBL11" s="256" t="s">
        <v>78</v>
      </c>
      <c r="WBM11" s="256" t="s">
        <v>79</v>
      </c>
      <c r="WBN11" s="256" t="s">
        <v>80</v>
      </c>
      <c r="WBO11" s="58" t="s">
        <v>81</v>
      </c>
      <c r="WBP11" s="284"/>
      <c r="WBQ11" s="259" t="s">
        <v>55</v>
      </c>
      <c r="WBR11" s="256" t="s">
        <v>76</v>
      </c>
      <c r="WBS11" s="256" t="s">
        <v>77</v>
      </c>
      <c r="WBT11" s="256" t="s">
        <v>78</v>
      </c>
      <c r="WBU11" s="256" t="s">
        <v>79</v>
      </c>
      <c r="WBV11" s="256" t="s">
        <v>80</v>
      </c>
      <c r="WBW11" s="256" t="s">
        <v>81</v>
      </c>
      <c r="WBX11" s="283"/>
      <c r="WBY11" s="259" t="s">
        <v>55</v>
      </c>
      <c r="WBZ11" s="256" t="s">
        <v>76</v>
      </c>
      <c r="WCA11" s="256" t="s">
        <v>77</v>
      </c>
      <c r="WCB11" s="256" t="s">
        <v>78</v>
      </c>
      <c r="WCC11" s="256" t="s">
        <v>79</v>
      </c>
      <c r="WCD11" s="256" t="s">
        <v>80</v>
      </c>
      <c r="WCE11" s="58" t="s">
        <v>81</v>
      </c>
      <c r="WCF11" s="284"/>
      <c r="WCG11" s="259" t="s">
        <v>55</v>
      </c>
      <c r="WCH11" s="256" t="s">
        <v>76</v>
      </c>
      <c r="WCI11" s="256" t="s">
        <v>77</v>
      </c>
      <c r="WCJ11" s="256" t="s">
        <v>78</v>
      </c>
      <c r="WCK11" s="256" t="s">
        <v>79</v>
      </c>
      <c r="WCL11" s="256" t="s">
        <v>80</v>
      </c>
      <c r="WCM11" s="256" t="s">
        <v>81</v>
      </c>
      <c r="WCN11" s="283"/>
      <c r="WCO11" s="259" t="s">
        <v>55</v>
      </c>
      <c r="WCP11" s="256" t="s">
        <v>76</v>
      </c>
      <c r="WCQ11" s="256" t="s">
        <v>77</v>
      </c>
      <c r="WCR11" s="256" t="s">
        <v>78</v>
      </c>
      <c r="WCS11" s="256" t="s">
        <v>79</v>
      </c>
      <c r="WCT11" s="256" t="s">
        <v>80</v>
      </c>
      <c r="WCU11" s="58" t="s">
        <v>81</v>
      </c>
      <c r="WCV11" s="284"/>
      <c r="WCW11" s="259" t="s">
        <v>55</v>
      </c>
      <c r="WCX11" s="256" t="s">
        <v>76</v>
      </c>
      <c r="WCY11" s="256" t="s">
        <v>77</v>
      </c>
      <c r="WCZ11" s="256" t="s">
        <v>78</v>
      </c>
      <c r="WDA11" s="256" t="s">
        <v>79</v>
      </c>
      <c r="WDB11" s="256" t="s">
        <v>80</v>
      </c>
      <c r="WDC11" s="256" t="s">
        <v>81</v>
      </c>
      <c r="WDD11" s="283"/>
      <c r="WDE11" s="259" t="s">
        <v>55</v>
      </c>
      <c r="WDF11" s="256" t="s">
        <v>76</v>
      </c>
      <c r="WDG11" s="256" t="s">
        <v>77</v>
      </c>
      <c r="WDH11" s="256" t="s">
        <v>78</v>
      </c>
      <c r="WDI11" s="256" t="s">
        <v>79</v>
      </c>
      <c r="WDJ11" s="256" t="s">
        <v>80</v>
      </c>
      <c r="WDK11" s="58" t="s">
        <v>81</v>
      </c>
      <c r="WDL11" s="284"/>
      <c r="WDM11" s="259" t="s">
        <v>55</v>
      </c>
      <c r="WDN11" s="256" t="s">
        <v>76</v>
      </c>
      <c r="WDO11" s="256" t="s">
        <v>77</v>
      </c>
      <c r="WDP11" s="256" t="s">
        <v>78</v>
      </c>
      <c r="WDQ11" s="256" t="s">
        <v>79</v>
      </c>
      <c r="WDR11" s="256" t="s">
        <v>80</v>
      </c>
      <c r="WDS11" s="256" t="s">
        <v>81</v>
      </c>
      <c r="WDT11" s="283"/>
      <c r="WDU11" s="259" t="s">
        <v>55</v>
      </c>
      <c r="WDV11" s="256" t="s">
        <v>76</v>
      </c>
      <c r="WDW11" s="256" t="s">
        <v>77</v>
      </c>
      <c r="WDX11" s="256" t="s">
        <v>78</v>
      </c>
      <c r="WDY11" s="256" t="s">
        <v>79</v>
      </c>
      <c r="WDZ11" s="256" t="s">
        <v>80</v>
      </c>
      <c r="WEA11" s="58" t="s">
        <v>81</v>
      </c>
      <c r="WEB11" s="284"/>
      <c r="WEC11" s="259" t="s">
        <v>55</v>
      </c>
      <c r="WED11" s="256" t="s">
        <v>76</v>
      </c>
      <c r="WEE11" s="256" t="s">
        <v>77</v>
      </c>
      <c r="WEF11" s="256" t="s">
        <v>78</v>
      </c>
      <c r="WEG11" s="256" t="s">
        <v>79</v>
      </c>
      <c r="WEH11" s="256" t="s">
        <v>80</v>
      </c>
      <c r="WEI11" s="256" t="s">
        <v>81</v>
      </c>
      <c r="WEJ11" s="283"/>
      <c r="WEK11" s="259" t="s">
        <v>55</v>
      </c>
      <c r="WEL11" s="256" t="s">
        <v>76</v>
      </c>
      <c r="WEM11" s="256" t="s">
        <v>77</v>
      </c>
      <c r="WEN11" s="256" t="s">
        <v>78</v>
      </c>
      <c r="WEO11" s="256" t="s">
        <v>79</v>
      </c>
      <c r="WEP11" s="256" t="s">
        <v>80</v>
      </c>
      <c r="WEQ11" s="58" t="s">
        <v>81</v>
      </c>
      <c r="WER11" s="284"/>
      <c r="WES11" s="259" t="s">
        <v>55</v>
      </c>
      <c r="WET11" s="256" t="s">
        <v>76</v>
      </c>
      <c r="WEU11" s="256" t="s">
        <v>77</v>
      </c>
      <c r="WEV11" s="256" t="s">
        <v>78</v>
      </c>
      <c r="WEW11" s="256" t="s">
        <v>79</v>
      </c>
      <c r="WEX11" s="256" t="s">
        <v>80</v>
      </c>
      <c r="WEY11" s="256" t="s">
        <v>81</v>
      </c>
      <c r="WEZ11" s="283"/>
      <c r="WFA11" s="259" t="s">
        <v>55</v>
      </c>
      <c r="WFB11" s="256" t="s">
        <v>76</v>
      </c>
      <c r="WFC11" s="256" t="s">
        <v>77</v>
      </c>
      <c r="WFD11" s="256" t="s">
        <v>78</v>
      </c>
      <c r="WFE11" s="256" t="s">
        <v>79</v>
      </c>
      <c r="WFF11" s="256" t="s">
        <v>80</v>
      </c>
      <c r="WFG11" s="58" t="s">
        <v>81</v>
      </c>
      <c r="WFH11" s="284"/>
      <c r="WFI11" s="259" t="s">
        <v>55</v>
      </c>
      <c r="WFJ11" s="256" t="s">
        <v>76</v>
      </c>
      <c r="WFK11" s="256" t="s">
        <v>77</v>
      </c>
      <c r="WFL11" s="256" t="s">
        <v>78</v>
      </c>
      <c r="WFM11" s="256" t="s">
        <v>79</v>
      </c>
      <c r="WFN11" s="256" t="s">
        <v>80</v>
      </c>
      <c r="WFO11" s="256" t="s">
        <v>81</v>
      </c>
      <c r="WFP11" s="283"/>
      <c r="WFQ11" s="259" t="s">
        <v>55</v>
      </c>
      <c r="WFR11" s="256" t="s">
        <v>76</v>
      </c>
      <c r="WFS11" s="256" t="s">
        <v>77</v>
      </c>
      <c r="WFT11" s="256" t="s">
        <v>78</v>
      </c>
      <c r="WFU11" s="256" t="s">
        <v>79</v>
      </c>
      <c r="WFV11" s="256" t="s">
        <v>80</v>
      </c>
      <c r="WFW11" s="58" t="s">
        <v>81</v>
      </c>
      <c r="WFX11" s="284"/>
      <c r="WFY11" s="259" t="s">
        <v>55</v>
      </c>
      <c r="WFZ11" s="256" t="s">
        <v>76</v>
      </c>
      <c r="WGA11" s="256" t="s">
        <v>77</v>
      </c>
      <c r="WGB11" s="256" t="s">
        <v>78</v>
      </c>
      <c r="WGC11" s="256" t="s">
        <v>79</v>
      </c>
      <c r="WGD11" s="256" t="s">
        <v>80</v>
      </c>
      <c r="WGE11" s="256" t="s">
        <v>81</v>
      </c>
      <c r="WGF11" s="283"/>
      <c r="WGG11" s="259" t="s">
        <v>55</v>
      </c>
      <c r="WGH11" s="256" t="s">
        <v>76</v>
      </c>
      <c r="WGI11" s="256" t="s">
        <v>77</v>
      </c>
      <c r="WGJ11" s="256" t="s">
        <v>78</v>
      </c>
      <c r="WGK11" s="256" t="s">
        <v>79</v>
      </c>
      <c r="WGL11" s="256" t="s">
        <v>80</v>
      </c>
      <c r="WGM11" s="58" t="s">
        <v>81</v>
      </c>
      <c r="WGN11" s="284"/>
      <c r="WGO11" s="259" t="s">
        <v>55</v>
      </c>
      <c r="WGP11" s="256" t="s">
        <v>76</v>
      </c>
      <c r="WGQ11" s="256" t="s">
        <v>77</v>
      </c>
      <c r="WGR11" s="256" t="s">
        <v>78</v>
      </c>
      <c r="WGS11" s="256" t="s">
        <v>79</v>
      </c>
      <c r="WGT11" s="256" t="s">
        <v>80</v>
      </c>
      <c r="WGU11" s="256" t="s">
        <v>81</v>
      </c>
      <c r="WGV11" s="283"/>
      <c r="WGW11" s="259" t="s">
        <v>55</v>
      </c>
      <c r="WGX11" s="256" t="s">
        <v>76</v>
      </c>
      <c r="WGY11" s="256" t="s">
        <v>77</v>
      </c>
      <c r="WGZ11" s="256" t="s">
        <v>78</v>
      </c>
      <c r="WHA11" s="256" t="s">
        <v>79</v>
      </c>
      <c r="WHB11" s="256" t="s">
        <v>80</v>
      </c>
      <c r="WHC11" s="58" t="s">
        <v>81</v>
      </c>
      <c r="WHD11" s="284"/>
      <c r="WHE11" s="259" t="s">
        <v>55</v>
      </c>
      <c r="WHF11" s="256" t="s">
        <v>76</v>
      </c>
      <c r="WHG11" s="256" t="s">
        <v>77</v>
      </c>
      <c r="WHH11" s="256" t="s">
        <v>78</v>
      </c>
      <c r="WHI11" s="256" t="s">
        <v>79</v>
      </c>
      <c r="WHJ11" s="256" t="s">
        <v>80</v>
      </c>
      <c r="WHK11" s="256" t="s">
        <v>81</v>
      </c>
      <c r="WHL11" s="283"/>
      <c r="WHM11" s="259" t="s">
        <v>55</v>
      </c>
      <c r="WHN11" s="256" t="s">
        <v>76</v>
      </c>
      <c r="WHO11" s="256" t="s">
        <v>77</v>
      </c>
      <c r="WHP11" s="256" t="s">
        <v>78</v>
      </c>
      <c r="WHQ11" s="256" t="s">
        <v>79</v>
      </c>
      <c r="WHR11" s="256" t="s">
        <v>80</v>
      </c>
      <c r="WHS11" s="58" t="s">
        <v>81</v>
      </c>
      <c r="WHT11" s="284"/>
      <c r="WHU11" s="259" t="s">
        <v>55</v>
      </c>
      <c r="WHV11" s="256" t="s">
        <v>76</v>
      </c>
      <c r="WHW11" s="256" t="s">
        <v>77</v>
      </c>
      <c r="WHX11" s="256" t="s">
        <v>78</v>
      </c>
      <c r="WHY11" s="256" t="s">
        <v>79</v>
      </c>
      <c r="WHZ11" s="256" t="s">
        <v>80</v>
      </c>
      <c r="WIA11" s="256" t="s">
        <v>81</v>
      </c>
      <c r="WIB11" s="283"/>
      <c r="WIC11" s="259" t="s">
        <v>55</v>
      </c>
      <c r="WID11" s="256" t="s">
        <v>76</v>
      </c>
      <c r="WIE11" s="256" t="s">
        <v>77</v>
      </c>
      <c r="WIF11" s="256" t="s">
        <v>78</v>
      </c>
      <c r="WIG11" s="256" t="s">
        <v>79</v>
      </c>
      <c r="WIH11" s="256" t="s">
        <v>80</v>
      </c>
      <c r="WII11" s="58" t="s">
        <v>81</v>
      </c>
      <c r="WIJ11" s="284"/>
      <c r="WIK11" s="259" t="s">
        <v>55</v>
      </c>
      <c r="WIL11" s="256" t="s">
        <v>76</v>
      </c>
      <c r="WIM11" s="256" t="s">
        <v>77</v>
      </c>
      <c r="WIN11" s="256" t="s">
        <v>78</v>
      </c>
      <c r="WIO11" s="256" t="s">
        <v>79</v>
      </c>
      <c r="WIP11" s="256" t="s">
        <v>80</v>
      </c>
      <c r="WIQ11" s="256" t="s">
        <v>81</v>
      </c>
      <c r="WIR11" s="283"/>
      <c r="WIS11" s="259" t="s">
        <v>55</v>
      </c>
      <c r="WIT11" s="256" t="s">
        <v>76</v>
      </c>
      <c r="WIU11" s="256" t="s">
        <v>77</v>
      </c>
      <c r="WIV11" s="256" t="s">
        <v>78</v>
      </c>
      <c r="WIW11" s="256" t="s">
        <v>79</v>
      </c>
      <c r="WIX11" s="256" t="s">
        <v>80</v>
      </c>
      <c r="WIY11" s="58" t="s">
        <v>81</v>
      </c>
      <c r="WIZ11" s="284"/>
      <c r="WJA11" s="259" t="s">
        <v>55</v>
      </c>
      <c r="WJB11" s="256" t="s">
        <v>76</v>
      </c>
      <c r="WJC11" s="256" t="s">
        <v>77</v>
      </c>
      <c r="WJD11" s="256" t="s">
        <v>78</v>
      </c>
      <c r="WJE11" s="256" t="s">
        <v>79</v>
      </c>
      <c r="WJF11" s="256" t="s">
        <v>80</v>
      </c>
      <c r="WJG11" s="256" t="s">
        <v>81</v>
      </c>
      <c r="WJH11" s="283"/>
      <c r="WJI11" s="259" t="s">
        <v>55</v>
      </c>
      <c r="WJJ11" s="256" t="s">
        <v>76</v>
      </c>
      <c r="WJK11" s="256" t="s">
        <v>77</v>
      </c>
      <c r="WJL11" s="256" t="s">
        <v>78</v>
      </c>
      <c r="WJM11" s="256" t="s">
        <v>79</v>
      </c>
      <c r="WJN11" s="256" t="s">
        <v>80</v>
      </c>
      <c r="WJO11" s="58" t="s">
        <v>81</v>
      </c>
      <c r="WJP11" s="284"/>
      <c r="WJQ11" s="259" t="s">
        <v>55</v>
      </c>
      <c r="WJR11" s="256" t="s">
        <v>76</v>
      </c>
      <c r="WJS11" s="256" t="s">
        <v>77</v>
      </c>
      <c r="WJT11" s="256" t="s">
        <v>78</v>
      </c>
      <c r="WJU11" s="256" t="s">
        <v>79</v>
      </c>
      <c r="WJV11" s="256" t="s">
        <v>80</v>
      </c>
      <c r="WJW11" s="256" t="s">
        <v>81</v>
      </c>
      <c r="WJX11" s="283"/>
      <c r="WJY11" s="259" t="s">
        <v>55</v>
      </c>
      <c r="WJZ11" s="256" t="s">
        <v>76</v>
      </c>
      <c r="WKA11" s="256" t="s">
        <v>77</v>
      </c>
      <c r="WKB11" s="256" t="s">
        <v>78</v>
      </c>
      <c r="WKC11" s="256" t="s">
        <v>79</v>
      </c>
      <c r="WKD11" s="256" t="s">
        <v>80</v>
      </c>
      <c r="WKE11" s="58" t="s">
        <v>81</v>
      </c>
      <c r="WKF11" s="284"/>
      <c r="WKG11" s="259" t="s">
        <v>55</v>
      </c>
      <c r="WKH11" s="256" t="s">
        <v>76</v>
      </c>
      <c r="WKI11" s="256" t="s">
        <v>77</v>
      </c>
      <c r="WKJ11" s="256" t="s">
        <v>78</v>
      </c>
      <c r="WKK11" s="256" t="s">
        <v>79</v>
      </c>
      <c r="WKL11" s="256" t="s">
        <v>80</v>
      </c>
      <c r="WKM11" s="256" t="s">
        <v>81</v>
      </c>
      <c r="WKN11" s="283"/>
      <c r="WKO11" s="259" t="s">
        <v>55</v>
      </c>
      <c r="WKP11" s="256" t="s">
        <v>76</v>
      </c>
      <c r="WKQ11" s="256" t="s">
        <v>77</v>
      </c>
      <c r="WKR11" s="256" t="s">
        <v>78</v>
      </c>
      <c r="WKS11" s="256" t="s">
        <v>79</v>
      </c>
      <c r="WKT11" s="256" t="s">
        <v>80</v>
      </c>
      <c r="WKU11" s="58" t="s">
        <v>81</v>
      </c>
      <c r="WKV11" s="284"/>
      <c r="WKW11" s="259" t="s">
        <v>55</v>
      </c>
      <c r="WKX11" s="256" t="s">
        <v>76</v>
      </c>
      <c r="WKY11" s="256" t="s">
        <v>77</v>
      </c>
      <c r="WKZ11" s="256" t="s">
        <v>78</v>
      </c>
      <c r="WLA11" s="256" t="s">
        <v>79</v>
      </c>
      <c r="WLB11" s="256" t="s">
        <v>80</v>
      </c>
      <c r="WLC11" s="256" t="s">
        <v>81</v>
      </c>
      <c r="WLD11" s="283"/>
      <c r="WLE11" s="259" t="s">
        <v>55</v>
      </c>
      <c r="WLF11" s="256" t="s">
        <v>76</v>
      </c>
      <c r="WLG11" s="256" t="s">
        <v>77</v>
      </c>
      <c r="WLH11" s="256" t="s">
        <v>78</v>
      </c>
      <c r="WLI11" s="256" t="s">
        <v>79</v>
      </c>
      <c r="WLJ11" s="256" t="s">
        <v>80</v>
      </c>
      <c r="WLK11" s="58" t="s">
        <v>81</v>
      </c>
      <c r="WLL11" s="284"/>
      <c r="WLM11" s="259" t="s">
        <v>55</v>
      </c>
      <c r="WLN11" s="256" t="s">
        <v>76</v>
      </c>
      <c r="WLO11" s="256" t="s">
        <v>77</v>
      </c>
      <c r="WLP11" s="256" t="s">
        <v>78</v>
      </c>
      <c r="WLQ11" s="256" t="s">
        <v>79</v>
      </c>
      <c r="WLR11" s="256" t="s">
        <v>80</v>
      </c>
      <c r="WLS11" s="256" t="s">
        <v>81</v>
      </c>
      <c r="WLT11" s="283"/>
      <c r="WLU11" s="259" t="s">
        <v>55</v>
      </c>
      <c r="WLV11" s="256" t="s">
        <v>76</v>
      </c>
      <c r="WLW11" s="256" t="s">
        <v>77</v>
      </c>
      <c r="WLX11" s="256" t="s">
        <v>78</v>
      </c>
      <c r="WLY11" s="256" t="s">
        <v>79</v>
      </c>
      <c r="WLZ11" s="256" t="s">
        <v>80</v>
      </c>
      <c r="WMA11" s="58" t="s">
        <v>81</v>
      </c>
      <c r="WMB11" s="284"/>
      <c r="WMC11" s="259" t="s">
        <v>55</v>
      </c>
      <c r="WMD11" s="256" t="s">
        <v>76</v>
      </c>
      <c r="WME11" s="256" t="s">
        <v>77</v>
      </c>
      <c r="WMF11" s="256" t="s">
        <v>78</v>
      </c>
      <c r="WMG11" s="256" t="s">
        <v>79</v>
      </c>
      <c r="WMH11" s="256" t="s">
        <v>80</v>
      </c>
      <c r="WMI11" s="256" t="s">
        <v>81</v>
      </c>
      <c r="WMJ11" s="283"/>
      <c r="WMK11" s="259" t="s">
        <v>55</v>
      </c>
      <c r="WML11" s="256" t="s">
        <v>76</v>
      </c>
      <c r="WMM11" s="256" t="s">
        <v>77</v>
      </c>
      <c r="WMN11" s="256" t="s">
        <v>78</v>
      </c>
      <c r="WMO11" s="256" t="s">
        <v>79</v>
      </c>
      <c r="WMP11" s="256" t="s">
        <v>80</v>
      </c>
      <c r="WMQ11" s="58" t="s">
        <v>81</v>
      </c>
      <c r="WMR11" s="284"/>
      <c r="WMS11" s="259" t="s">
        <v>55</v>
      </c>
      <c r="WMT11" s="256" t="s">
        <v>76</v>
      </c>
      <c r="WMU11" s="256" t="s">
        <v>77</v>
      </c>
      <c r="WMV11" s="256" t="s">
        <v>78</v>
      </c>
      <c r="WMW11" s="256" t="s">
        <v>79</v>
      </c>
      <c r="WMX11" s="256" t="s">
        <v>80</v>
      </c>
      <c r="WMY11" s="256" t="s">
        <v>81</v>
      </c>
      <c r="WMZ11" s="283"/>
      <c r="WNA11" s="259" t="s">
        <v>55</v>
      </c>
      <c r="WNB11" s="256" t="s">
        <v>76</v>
      </c>
      <c r="WNC11" s="256" t="s">
        <v>77</v>
      </c>
      <c r="WND11" s="256" t="s">
        <v>78</v>
      </c>
      <c r="WNE11" s="256" t="s">
        <v>79</v>
      </c>
      <c r="WNF11" s="256" t="s">
        <v>80</v>
      </c>
      <c r="WNG11" s="58" t="s">
        <v>81</v>
      </c>
      <c r="WNH11" s="284"/>
      <c r="WNI11" s="259" t="s">
        <v>55</v>
      </c>
      <c r="WNJ11" s="256" t="s">
        <v>76</v>
      </c>
      <c r="WNK11" s="256" t="s">
        <v>77</v>
      </c>
      <c r="WNL11" s="256" t="s">
        <v>78</v>
      </c>
      <c r="WNM11" s="256" t="s">
        <v>79</v>
      </c>
      <c r="WNN11" s="256" t="s">
        <v>80</v>
      </c>
      <c r="WNO11" s="256" t="s">
        <v>81</v>
      </c>
      <c r="WNP11" s="283"/>
      <c r="WNQ11" s="259" t="s">
        <v>55</v>
      </c>
      <c r="WNR11" s="256" t="s">
        <v>76</v>
      </c>
      <c r="WNS11" s="256" t="s">
        <v>77</v>
      </c>
      <c r="WNT11" s="256" t="s">
        <v>78</v>
      </c>
      <c r="WNU11" s="256" t="s">
        <v>79</v>
      </c>
      <c r="WNV11" s="256" t="s">
        <v>80</v>
      </c>
      <c r="WNW11" s="58" t="s">
        <v>81</v>
      </c>
      <c r="WNX11" s="284"/>
      <c r="WNY11" s="259" t="s">
        <v>55</v>
      </c>
      <c r="WNZ11" s="256" t="s">
        <v>76</v>
      </c>
      <c r="WOA11" s="256" t="s">
        <v>77</v>
      </c>
      <c r="WOB11" s="256" t="s">
        <v>78</v>
      </c>
      <c r="WOC11" s="256" t="s">
        <v>79</v>
      </c>
      <c r="WOD11" s="256" t="s">
        <v>80</v>
      </c>
      <c r="WOE11" s="256" t="s">
        <v>81</v>
      </c>
      <c r="WOF11" s="283"/>
      <c r="WOG11" s="259" t="s">
        <v>55</v>
      </c>
      <c r="WOH11" s="256" t="s">
        <v>76</v>
      </c>
      <c r="WOI11" s="256" t="s">
        <v>77</v>
      </c>
      <c r="WOJ11" s="256" t="s">
        <v>78</v>
      </c>
      <c r="WOK11" s="256" t="s">
        <v>79</v>
      </c>
      <c r="WOL11" s="256" t="s">
        <v>80</v>
      </c>
      <c r="WOM11" s="58" t="s">
        <v>81</v>
      </c>
      <c r="WON11" s="284"/>
      <c r="WOO11" s="259" t="s">
        <v>55</v>
      </c>
      <c r="WOP11" s="256" t="s">
        <v>76</v>
      </c>
      <c r="WOQ11" s="256" t="s">
        <v>77</v>
      </c>
      <c r="WOR11" s="256" t="s">
        <v>78</v>
      </c>
      <c r="WOS11" s="256" t="s">
        <v>79</v>
      </c>
      <c r="WOT11" s="256" t="s">
        <v>80</v>
      </c>
      <c r="WOU11" s="256" t="s">
        <v>81</v>
      </c>
      <c r="WOV11" s="283"/>
      <c r="WOW11" s="259" t="s">
        <v>55</v>
      </c>
      <c r="WOX11" s="256" t="s">
        <v>76</v>
      </c>
      <c r="WOY11" s="256" t="s">
        <v>77</v>
      </c>
      <c r="WOZ11" s="256" t="s">
        <v>78</v>
      </c>
      <c r="WPA11" s="256" t="s">
        <v>79</v>
      </c>
      <c r="WPB11" s="256" t="s">
        <v>80</v>
      </c>
      <c r="WPC11" s="58" t="s">
        <v>81</v>
      </c>
      <c r="WPD11" s="284"/>
      <c r="WPE11" s="259" t="s">
        <v>55</v>
      </c>
      <c r="WPF11" s="256" t="s">
        <v>76</v>
      </c>
      <c r="WPG11" s="256" t="s">
        <v>77</v>
      </c>
      <c r="WPH11" s="256" t="s">
        <v>78</v>
      </c>
      <c r="WPI11" s="256" t="s">
        <v>79</v>
      </c>
      <c r="WPJ11" s="256" t="s">
        <v>80</v>
      </c>
      <c r="WPK11" s="256" t="s">
        <v>81</v>
      </c>
      <c r="WPL11" s="283"/>
      <c r="WPM11" s="259" t="s">
        <v>55</v>
      </c>
      <c r="WPN11" s="256" t="s">
        <v>76</v>
      </c>
      <c r="WPO11" s="256" t="s">
        <v>77</v>
      </c>
      <c r="WPP11" s="256" t="s">
        <v>78</v>
      </c>
      <c r="WPQ11" s="256" t="s">
        <v>79</v>
      </c>
      <c r="WPR11" s="256" t="s">
        <v>80</v>
      </c>
      <c r="WPS11" s="58" t="s">
        <v>81</v>
      </c>
      <c r="WPT11" s="284"/>
      <c r="WPU11" s="259" t="s">
        <v>55</v>
      </c>
      <c r="WPV11" s="256" t="s">
        <v>76</v>
      </c>
      <c r="WPW11" s="256" t="s">
        <v>77</v>
      </c>
      <c r="WPX11" s="256" t="s">
        <v>78</v>
      </c>
      <c r="WPY11" s="256" t="s">
        <v>79</v>
      </c>
      <c r="WPZ11" s="256" t="s">
        <v>80</v>
      </c>
      <c r="WQA11" s="256" t="s">
        <v>81</v>
      </c>
      <c r="WQB11" s="283"/>
      <c r="WQC11" s="259" t="s">
        <v>55</v>
      </c>
      <c r="WQD11" s="256" t="s">
        <v>76</v>
      </c>
      <c r="WQE11" s="256" t="s">
        <v>77</v>
      </c>
      <c r="WQF11" s="256" t="s">
        <v>78</v>
      </c>
      <c r="WQG11" s="256" t="s">
        <v>79</v>
      </c>
      <c r="WQH11" s="256" t="s">
        <v>80</v>
      </c>
      <c r="WQI11" s="58" t="s">
        <v>81</v>
      </c>
      <c r="WQJ11" s="284"/>
      <c r="WQK11" s="259" t="s">
        <v>55</v>
      </c>
      <c r="WQL11" s="256" t="s">
        <v>76</v>
      </c>
      <c r="WQM11" s="256" t="s">
        <v>77</v>
      </c>
      <c r="WQN11" s="256" t="s">
        <v>78</v>
      </c>
      <c r="WQO11" s="256" t="s">
        <v>79</v>
      </c>
      <c r="WQP11" s="256" t="s">
        <v>80</v>
      </c>
      <c r="WQQ11" s="256" t="s">
        <v>81</v>
      </c>
      <c r="WQR11" s="283"/>
      <c r="WQS11" s="259" t="s">
        <v>55</v>
      </c>
      <c r="WQT11" s="256" t="s">
        <v>76</v>
      </c>
      <c r="WQU11" s="256" t="s">
        <v>77</v>
      </c>
      <c r="WQV11" s="256" t="s">
        <v>78</v>
      </c>
      <c r="WQW11" s="256" t="s">
        <v>79</v>
      </c>
      <c r="WQX11" s="256" t="s">
        <v>80</v>
      </c>
      <c r="WQY11" s="58" t="s">
        <v>81</v>
      </c>
      <c r="WQZ11" s="284"/>
      <c r="WRA11" s="259" t="s">
        <v>55</v>
      </c>
      <c r="WRB11" s="256" t="s">
        <v>76</v>
      </c>
      <c r="WRC11" s="256" t="s">
        <v>77</v>
      </c>
      <c r="WRD11" s="256" t="s">
        <v>78</v>
      </c>
      <c r="WRE11" s="256" t="s">
        <v>79</v>
      </c>
      <c r="WRF11" s="256" t="s">
        <v>80</v>
      </c>
      <c r="WRG11" s="256" t="s">
        <v>81</v>
      </c>
      <c r="WRH11" s="283"/>
      <c r="WRI11" s="259" t="s">
        <v>55</v>
      </c>
      <c r="WRJ11" s="256" t="s">
        <v>76</v>
      </c>
      <c r="WRK11" s="256" t="s">
        <v>77</v>
      </c>
      <c r="WRL11" s="256" t="s">
        <v>78</v>
      </c>
      <c r="WRM11" s="256" t="s">
        <v>79</v>
      </c>
      <c r="WRN11" s="256" t="s">
        <v>80</v>
      </c>
      <c r="WRO11" s="58" t="s">
        <v>81</v>
      </c>
      <c r="WRP11" s="284"/>
      <c r="WRQ11" s="259" t="s">
        <v>55</v>
      </c>
      <c r="WRR11" s="256" t="s">
        <v>76</v>
      </c>
      <c r="WRS11" s="256" t="s">
        <v>77</v>
      </c>
      <c r="WRT11" s="256" t="s">
        <v>78</v>
      </c>
      <c r="WRU11" s="256" t="s">
        <v>79</v>
      </c>
      <c r="WRV11" s="256" t="s">
        <v>80</v>
      </c>
      <c r="WRW11" s="256" t="s">
        <v>81</v>
      </c>
      <c r="WRX11" s="283"/>
      <c r="WRY11" s="259" t="s">
        <v>55</v>
      </c>
      <c r="WRZ11" s="256" t="s">
        <v>76</v>
      </c>
      <c r="WSA11" s="256" t="s">
        <v>77</v>
      </c>
      <c r="WSB11" s="256" t="s">
        <v>78</v>
      </c>
      <c r="WSC11" s="256" t="s">
        <v>79</v>
      </c>
      <c r="WSD11" s="256" t="s">
        <v>80</v>
      </c>
      <c r="WSE11" s="58" t="s">
        <v>81</v>
      </c>
      <c r="WSF11" s="284"/>
      <c r="WSG11" s="259" t="s">
        <v>55</v>
      </c>
      <c r="WSH11" s="256" t="s">
        <v>76</v>
      </c>
      <c r="WSI11" s="256" t="s">
        <v>77</v>
      </c>
      <c r="WSJ11" s="256" t="s">
        <v>78</v>
      </c>
      <c r="WSK11" s="256" t="s">
        <v>79</v>
      </c>
      <c r="WSL11" s="256" t="s">
        <v>80</v>
      </c>
      <c r="WSM11" s="256" t="s">
        <v>81</v>
      </c>
      <c r="WSN11" s="283"/>
      <c r="WSO11" s="259" t="s">
        <v>55</v>
      </c>
      <c r="WSP11" s="256" t="s">
        <v>76</v>
      </c>
      <c r="WSQ11" s="256" t="s">
        <v>77</v>
      </c>
      <c r="WSR11" s="256" t="s">
        <v>78</v>
      </c>
      <c r="WSS11" s="256" t="s">
        <v>79</v>
      </c>
      <c r="WST11" s="256" t="s">
        <v>80</v>
      </c>
      <c r="WSU11" s="58" t="s">
        <v>81</v>
      </c>
      <c r="WSV11" s="284"/>
      <c r="WSW11" s="259" t="s">
        <v>55</v>
      </c>
      <c r="WSX11" s="256" t="s">
        <v>76</v>
      </c>
      <c r="WSY11" s="256" t="s">
        <v>77</v>
      </c>
      <c r="WSZ11" s="256" t="s">
        <v>78</v>
      </c>
      <c r="WTA11" s="256" t="s">
        <v>79</v>
      </c>
      <c r="WTB11" s="256" t="s">
        <v>80</v>
      </c>
      <c r="WTC11" s="256" t="s">
        <v>81</v>
      </c>
      <c r="WTD11" s="283"/>
      <c r="WTE11" s="259" t="s">
        <v>55</v>
      </c>
      <c r="WTF11" s="256" t="s">
        <v>76</v>
      </c>
      <c r="WTG11" s="256" t="s">
        <v>77</v>
      </c>
      <c r="WTH11" s="256" t="s">
        <v>78</v>
      </c>
      <c r="WTI11" s="256" t="s">
        <v>79</v>
      </c>
      <c r="WTJ11" s="256" t="s">
        <v>80</v>
      </c>
      <c r="WTK11" s="58" t="s">
        <v>81</v>
      </c>
      <c r="WTL11" s="284"/>
      <c r="WTM11" s="259" t="s">
        <v>55</v>
      </c>
      <c r="WTN11" s="256" t="s">
        <v>76</v>
      </c>
      <c r="WTO11" s="256" t="s">
        <v>77</v>
      </c>
      <c r="WTP11" s="256" t="s">
        <v>78</v>
      </c>
      <c r="WTQ11" s="256" t="s">
        <v>79</v>
      </c>
      <c r="WTR11" s="256" t="s">
        <v>80</v>
      </c>
      <c r="WTS11" s="256" t="s">
        <v>81</v>
      </c>
      <c r="WTT11" s="283"/>
      <c r="WTU11" s="259" t="s">
        <v>55</v>
      </c>
      <c r="WTV11" s="256" t="s">
        <v>76</v>
      </c>
      <c r="WTW11" s="256" t="s">
        <v>77</v>
      </c>
      <c r="WTX11" s="256" t="s">
        <v>78</v>
      </c>
      <c r="WTY11" s="256" t="s">
        <v>79</v>
      </c>
      <c r="WTZ11" s="256" t="s">
        <v>80</v>
      </c>
      <c r="WUA11" s="58" t="s">
        <v>81</v>
      </c>
      <c r="WUB11" s="284"/>
      <c r="WUC11" s="259" t="s">
        <v>55</v>
      </c>
      <c r="WUD11" s="256" t="s">
        <v>76</v>
      </c>
      <c r="WUE11" s="256" t="s">
        <v>77</v>
      </c>
      <c r="WUF11" s="256" t="s">
        <v>78</v>
      </c>
      <c r="WUG11" s="256" t="s">
        <v>79</v>
      </c>
      <c r="WUH11" s="256" t="s">
        <v>80</v>
      </c>
      <c r="WUI11" s="256" t="s">
        <v>81</v>
      </c>
      <c r="WUJ11" s="283"/>
      <c r="WUK11" s="259" t="s">
        <v>55</v>
      </c>
      <c r="WUL11" s="256" t="s">
        <v>76</v>
      </c>
      <c r="WUM11" s="256" t="s">
        <v>77</v>
      </c>
      <c r="WUN11" s="256" t="s">
        <v>78</v>
      </c>
      <c r="WUO11" s="256" t="s">
        <v>79</v>
      </c>
      <c r="WUP11" s="256" t="s">
        <v>80</v>
      </c>
      <c r="WUQ11" s="58" t="s">
        <v>81</v>
      </c>
      <c r="WUR11" s="284"/>
      <c r="WUS11" s="259" t="s">
        <v>55</v>
      </c>
      <c r="WUT11" s="256" t="s">
        <v>76</v>
      </c>
      <c r="WUU11" s="256" t="s">
        <v>77</v>
      </c>
      <c r="WUV11" s="256" t="s">
        <v>78</v>
      </c>
      <c r="WUW11" s="256" t="s">
        <v>79</v>
      </c>
      <c r="WUX11" s="256" t="s">
        <v>80</v>
      </c>
      <c r="WUY11" s="256" t="s">
        <v>81</v>
      </c>
      <c r="WUZ11" s="283"/>
      <c r="WVA11" s="259" t="s">
        <v>55</v>
      </c>
      <c r="WVB11" s="256" t="s">
        <v>76</v>
      </c>
      <c r="WVC11" s="256" t="s">
        <v>77</v>
      </c>
      <c r="WVD11" s="256" t="s">
        <v>78</v>
      </c>
      <c r="WVE11" s="256" t="s">
        <v>79</v>
      </c>
      <c r="WVF11" s="256" t="s">
        <v>80</v>
      </c>
      <c r="WVG11" s="58" t="s">
        <v>81</v>
      </c>
      <c r="WVH11" s="284"/>
      <c r="WVI11" s="259" t="s">
        <v>55</v>
      </c>
      <c r="WVJ11" s="256" t="s">
        <v>76</v>
      </c>
      <c r="WVK11" s="256" t="s">
        <v>77</v>
      </c>
      <c r="WVL11" s="256" t="s">
        <v>78</v>
      </c>
      <c r="WVM11" s="256" t="s">
        <v>79</v>
      </c>
      <c r="WVN11" s="256" t="s">
        <v>80</v>
      </c>
      <c r="WVO11" s="256" t="s">
        <v>81</v>
      </c>
      <c r="WVP11" s="283"/>
      <c r="WVQ11" s="259" t="s">
        <v>55</v>
      </c>
      <c r="WVR11" s="256" t="s">
        <v>76</v>
      </c>
      <c r="WVS11" s="256" t="s">
        <v>77</v>
      </c>
      <c r="WVT11" s="256" t="s">
        <v>78</v>
      </c>
      <c r="WVU11" s="256" t="s">
        <v>79</v>
      </c>
      <c r="WVV11" s="256" t="s">
        <v>80</v>
      </c>
      <c r="WVW11" s="58" t="s">
        <v>81</v>
      </c>
      <c r="WVX11" s="284"/>
      <c r="WVY11" s="259" t="s">
        <v>55</v>
      </c>
      <c r="WVZ11" s="256" t="s">
        <v>76</v>
      </c>
      <c r="WWA11" s="256" t="s">
        <v>77</v>
      </c>
      <c r="WWB11" s="256" t="s">
        <v>78</v>
      </c>
      <c r="WWC11" s="256" t="s">
        <v>79</v>
      </c>
      <c r="WWD11" s="256" t="s">
        <v>80</v>
      </c>
      <c r="WWE11" s="256" t="s">
        <v>81</v>
      </c>
      <c r="WWF11" s="283"/>
      <c r="WWG11" s="259" t="s">
        <v>55</v>
      </c>
      <c r="WWH11" s="256" t="s">
        <v>76</v>
      </c>
      <c r="WWI11" s="256" t="s">
        <v>77</v>
      </c>
      <c r="WWJ11" s="256" t="s">
        <v>78</v>
      </c>
      <c r="WWK11" s="256" t="s">
        <v>79</v>
      </c>
      <c r="WWL11" s="256" t="s">
        <v>80</v>
      </c>
      <c r="WWM11" s="58" t="s">
        <v>81</v>
      </c>
      <c r="WWN11" s="284"/>
      <c r="WWO11" s="259" t="s">
        <v>55</v>
      </c>
      <c r="WWP11" s="256" t="s">
        <v>76</v>
      </c>
      <c r="WWQ11" s="256" t="s">
        <v>77</v>
      </c>
      <c r="WWR11" s="256" t="s">
        <v>78</v>
      </c>
      <c r="WWS11" s="256" t="s">
        <v>79</v>
      </c>
      <c r="WWT11" s="256" t="s">
        <v>80</v>
      </c>
      <c r="WWU11" s="256" t="s">
        <v>81</v>
      </c>
      <c r="WWV11" s="283"/>
      <c r="WWW11" s="259" t="s">
        <v>55</v>
      </c>
      <c r="WWX11" s="256" t="s">
        <v>76</v>
      </c>
      <c r="WWY11" s="256" t="s">
        <v>77</v>
      </c>
      <c r="WWZ11" s="256" t="s">
        <v>78</v>
      </c>
      <c r="WXA11" s="256" t="s">
        <v>79</v>
      </c>
      <c r="WXB11" s="256" t="s">
        <v>80</v>
      </c>
      <c r="WXC11" s="58" t="s">
        <v>81</v>
      </c>
      <c r="WXD11" s="284"/>
      <c r="WXE11" s="259" t="s">
        <v>55</v>
      </c>
      <c r="WXF11" s="256" t="s">
        <v>76</v>
      </c>
      <c r="WXG11" s="256" t="s">
        <v>77</v>
      </c>
      <c r="WXH11" s="256" t="s">
        <v>78</v>
      </c>
      <c r="WXI11" s="256" t="s">
        <v>79</v>
      </c>
      <c r="WXJ11" s="256" t="s">
        <v>80</v>
      </c>
      <c r="WXK11" s="256" t="s">
        <v>81</v>
      </c>
      <c r="WXL11" s="283"/>
      <c r="WXM11" s="259" t="s">
        <v>55</v>
      </c>
      <c r="WXN11" s="256" t="s">
        <v>76</v>
      </c>
      <c r="WXO11" s="256" t="s">
        <v>77</v>
      </c>
      <c r="WXP11" s="256" t="s">
        <v>78</v>
      </c>
      <c r="WXQ11" s="256" t="s">
        <v>79</v>
      </c>
      <c r="WXR11" s="256" t="s">
        <v>80</v>
      </c>
      <c r="WXS11" s="58" t="s">
        <v>81</v>
      </c>
      <c r="WXT11" s="284"/>
      <c r="WXU11" s="259" t="s">
        <v>55</v>
      </c>
      <c r="WXV11" s="256" t="s">
        <v>76</v>
      </c>
      <c r="WXW11" s="256" t="s">
        <v>77</v>
      </c>
      <c r="WXX11" s="256" t="s">
        <v>78</v>
      </c>
      <c r="WXY11" s="256" t="s">
        <v>79</v>
      </c>
      <c r="WXZ11" s="256" t="s">
        <v>80</v>
      </c>
      <c r="WYA11" s="256" t="s">
        <v>81</v>
      </c>
      <c r="WYB11" s="283"/>
      <c r="WYC11" s="259" t="s">
        <v>55</v>
      </c>
      <c r="WYD11" s="256" t="s">
        <v>76</v>
      </c>
      <c r="WYE11" s="256" t="s">
        <v>77</v>
      </c>
      <c r="WYF11" s="256" t="s">
        <v>78</v>
      </c>
      <c r="WYG11" s="256" t="s">
        <v>79</v>
      </c>
      <c r="WYH11" s="256" t="s">
        <v>80</v>
      </c>
      <c r="WYI11" s="58" t="s">
        <v>81</v>
      </c>
      <c r="WYJ11" s="284"/>
      <c r="WYK11" s="259" t="s">
        <v>55</v>
      </c>
      <c r="WYL11" s="256" t="s">
        <v>76</v>
      </c>
      <c r="WYM11" s="256" t="s">
        <v>77</v>
      </c>
      <c r="WYN11" s="256" t="s">
        <v>78</v>
      </c>
      <c r="WYO11" s="256" t="s">
        <v>79</v>
      </c>
      <c r="WYP11" s="256" t="s">
        <v>80</v>
      </c>
      <c r="WYQ11" s="256" t="s">
        <v>81</v>
      </c>
      <c r="WYR11" s="283"/>
      <c r="WYS11" s="259" t="s">
        <v>55</v>
      </c>
      <c r="WYT11" s="256" t="s">
        <v>76</v>
      </c>
      <c r="WYU11" s="256" t="s">
        <v>77</v>
      </c>
      <c r="WYV11" s="256" t="s">
        <v>78</v>
      </c>
      <c r="WYW11" s="256" t="s">
        <v>79</v>
      </c>
      <c r="WYX11" s="256" t="s">
        <v>80</v>
      </c>
      <c r="WYY11" s="58" t="s">
        <v>81</v>
      </c>
      <c r="WYZ11" s="284"/>
      <c r="WZA11" s="259" t="s">
        <v>55</v>
      </c>
      <c r="WZB11" s="256" t="s">
        <v>76</v>
      </c>
      <c r="WZC11" s="256" t="s">
        <v>77</v>
      </c>
      <c r="WZD11" s="256" t="s">
        <v>78</v>
      </c>
      <c r="WZE11" s="256" t="s">
        <v>79</v>
      </c>
      <c r="WZF11" s="256" t="s">
        <v>80</v>
      </c>
      <c r="WZG11" s="256" t="s">
        <v>81</v>
      </c>
      <c r="WZH11" s="283"/>
      <c r="WZI11" s="259" t="s">
        <v>55</v>
      </c>
      <c r="WZJ11" s="256" t="s">
        <v>76</v>
      </c>
      <c r="WZK11" s="256" t="s">
        <v>77</v>
      </c>
      <c r="WZL11" s="256" t="s">
        <v>78</v>
      </c>
      <c r="WZM11" s="256" t="s">
        <v>79</v>
      </c>
      <c r="WZN11" s="256" t="s">
        <v>80</v>
      </c>
      <c r="WZO11" s="58" t="s">
        <v>81</v>
      </c>
      <c r="WZP11" s="284"/>
      <c r="WZQ11" s="259" t="s">
        <v>55</v>
      </c>
      <c r="WZR11" s="256" t="s">
        <v>76</v>
      </c>
      <c r="WZS11" s="256" t="s">
        <v>77</v>
      </c>
      <c r="WZT11" s="256" t="s">
        <v>78</v>
      </c>
      <c r="WZU11" s="256" t="s">
        <v>79</v>
      </c>
      <c r="WZV11" s="256" t="s">
        <v>80</v>
      </c>
      <c r="WZW11" s="256" t="s">
        <v>81</v>
      </c>
      <c r="WZX11" s="283"/>
      <c r="WZY11" s="259" t="s">
        <v>55</v>
      </c>
      <c r="WZZ11" s="256" t="s">
        <v>76</v>
      </c>
      <c r="XAA11" s="256" t="s">
        <v>77</v>
      </c>
      <c r="XAB11" s="256" t="s">
        <v>78</v>
      </c>
      <c r="XAC11" s="256" t="s">
        <v>79</v>
      </c>
      <c r="XAD11" s="256" t="s">
        <v>80</v>
      </c>
      <c r="XAE11" s="58" t="s">
        <v>81</v>
      </c>
      <c r="XAF11" s="284"/>
      <c r="XAG11" s="259" t="s">
        <v>55</v>
      </c>
      <c r="XAH11" s="256" t="s">
        <v>76</v>
      </c>
      <c r="XAI11" s="256" t="s">
        <v>77</v>
      </c>
      <c r="XAJ11" s="256" t="s">
        <v>78</v>
      </c>
      <c r="XAK11" s="256" t="s">
        <v>79</v>
      </c>
      <c r="XAL11" s="256" t="s">
        <v>80</v>
      </c>
      <c r="XAM11" s="256" t="s">
        <v>81</v>
      </c>
      <c r="XAN11" s="283"/>
      <c r="XAO11" s="259" t="s">
        <v>55</v>
      </c>
      <c r="XAP11" s="256" t="s">
        <v>76</v>
      </c>
      <c r="XAQ11" s="256" t="s">
        <v>77</v>
      </c>
      <c r="XAR11" s="256" t="s">
        <v>78</v>
      </c>
      <c r="XAS11" s="256" t="s">
        <v>79</v>
      </c>
      <c r="XAT11" s="256" t="s">
        <v>80</v>
      </c>
      <c r="XAU11" s="58" t="s">
        <v>81</v>
      </c>
      <c r="XAV11" s="284"/>
      <c r="XAW11" s="259" t="s">
        <v>55</v>
      </c>
      <c r="XAX11" s="256" t="s">
        <v>76</v>
      </c>
      <c r="XAY11" s="256" t="s">
        <v>77</v>
      </c>
      <c r="XAZ11" s="256" t="s">
        <v>78</v>
      </c>
      <c r="XBA11" s="256" t="s">
        <v>79</v>
      </c>
      <c r="XBB11" s="256" t="s">
        <v>80</v>
      </c>
      <c r="XBC11" s="256" t="s">
        <v>81</v>
      </c>
      <c r="XBD11" s="283"/>
      <c r="XBE11" s="259" t="s">
        <v>55</v>
      </c>
      <c r="XBF11" s="256" t="s">
        <v>76</v>
      </c>
      <c r="XBG11" s="256" t="s">
        <v>77</v>
      </c>
      <c r="XBH11" s="256" t="s">
        <v>78</v>
      </c>
      <c r="XBI11" s="256" t="s">
        <v>79</v>
      </c>
      <c r="XBJ11" s="256" t="s">
        <v>80</v>
      </c>
      <c r="XBK11" s="58" t="s">
        <v>81</v>
      </c>
      <c r="XBL11" s="284"/>
      <c r="XBM11" s="259" t="s">
        <v>55</v>
      </c>
      <c r="XBN11" s="256" t="s">
        <v>76</v>
      </c>
      <c r="XBO11" s="256" t="s">
        <v>77</v>
      </c>
      <c r="XBP11" s="256" t="s">
        <v>78</v>
      </c>
      <c r="XBQ11" s="256" t="s">
        <v>79</v>
      </c>
      <c r="XBR11" s="256" t="s">
        <v>80</v>
      </c>
      <c r="XBS11" s="256" t="s">
        <v>81</v>
      </c>
      <c r="XBT11" s="283"/>
      <c r="XBU11" s="259" t="s">
        <v>55</v>
      </c>
      <c r="XBV11" s="256" t="s">
        <v>76</v>
      </c>
      <c r="XBW11" s="256" t="s">
        <v>77</v>
      </c>
      <c r="XBX11" s="256" t="s">
        <v>78</v>
      </c>
      <c r="XBY11" s="256" t="s">
        <v>79</v>
      </c>
      <c r="XBZ11" s="256" t="s">
        <v>80</v>
      </c>
      <c r="XCA11" s="58" t="s">
        <v>81</v>
      </c>
      <c r="XCB11" s="284"/>
      <c r="XCC11" s="259" t="s">
        <v>55</v>
      </c>
      <c r="XCD11" s="256" t="s">
        <v>76</v>
      </c>
      <c r="XCE11" s="256" t="s">
        <v>77</v>
      </c>
      <c r="XCF11" s="256" t="s">
        <v>78</v>
      </c>
      <c r="XCG11" s="256" t="s">
        <v>79</v>
      </c>
      <c r="XCH11" s="256" t="s">
        <v>80</v>
      </c>
      <c r="XCI11" s="256" t="s">
        <v>81</v>
      </c>
      <c r="XCJ11" s="283"/>
      <c r="XCK11" s="259" t="s">
        <v>55</v>
      </c>
      <c r="XCL11" s="256" t="s">
        <v>76</v>
      </c>
      <c r="XCM11" s="256" t="s">
        <v>77</v>
      </c>
      <c r="XCN11" s="256" t="s">
        <v>78</v>
      </c>
      <c r="XCO11" s="256" t="s">
        <v>79</v>
      </c>
      <c r="XCP11" s="256" t="s">
        <v>80</v>
      </c>
      <c r="XCQ11" s="58" t="s">
        <v>81</v>
      </c>
      <c r="XCR11" s="284"/>
      <c r="XCS11" s="259" t="s">
        <v>55</v>
      </c>
      <c r="XCT11" s="256" t="s">
        <v>76</v>
      </c>
      <c r="XCU11" s="256" t="s">
        <v>77</v>
      </c>
      <c r="XCV11" s="256" t="s">
        <v>78</v>
      </c>
      <c r="XCW11" s="256" t="s">
        <v>79</v>
      </c>
      <c r="XCX11" s="256" t="s">
        <v>80</v>
      </c>
      <c r="XCY11" s="256" t="s">
        <v>81</v>
      </c>
      <c r="XCZ11" s="283"/>
      <c r="XDA11" s="259" t="s">
        <v>55</v>
      </c>
      <c r="XDB11" s="256" t="s">
        <v>76</v>
      </c>
      <c r="XDC11" s="256" t="s">
        <v>77</v>
      </c>
      <c r="XDD11" s="256" t="s">
        <v>78</v>
      </c>
      <c r="XDE11" s="256" t="s">
        <v>79</v>
      </c>
      <c r="XDF11" s="256" t="s">
        <v>80</v>
      </c>
      <c r="XDG11" s="58" t="s">
        <v>81</v>
      </c>
      <c r="XDH11" s="284"/>
      <c r="XDI11" s="259" t="s">
        <v>55</v>
      </c>
      <c r="XDJ11" s="256" t="s">
        <v>76</v>
      </c>
      <c r="XDK11" s="256" t="s">
        <v>77</v>
      </c>
      <c r="XDL11" s="256" t="s">
        <v>78</v>
      </c>
      <c r="XDM11" s="256" t="s">
        <v>79</v>
      </c>
      <c r="XDN11" s="256" t="s">
        <v>80</v>
      </c>
      <c r="XDO11" s="256" t="s">
        <v>81</v>
      </c>
      <c r="XDP11" s="283"/>
      <c r="XDQ11" s="259" t="s">
        <v>55</v>
      </c>
      <c r="XDR11" s="256" t="s">
        <v>76</v>
      </c>
      <c r="XDS11" s="256" t="s">
        <v>77</v>
      </c>
      <c r="XDT11" s="256" t="s">
        <v>78</v>
      </c>
      <c r="XDU11" s="256" t="s">
        <v>79</v>
      </c>
      <c r="XDV11" s="256" t="s">
        <v>80</v>
      </c>
      <c r="XDW11" s="58" t="s">
        <v>81</v>
      </c>
      <c r="XDX11" s="284"/>
      <c r="XDY11" s="259" t="s">
        <v>55</v>
      </c>
      <c r="XDZ11" s="256" t="s">
        <v>76</v>
      </c>
      <c r="XEA11" s="256" t="s">
        <v>77</v>
      </c>
      <c r="XEB11" s="256" t="s">
        <v>78</v>
      </c>
      <c r="XEC11" s="256" t="s">
        <v>79</v>
      </c>
      <c r="XED11" s="256" t="s">
        <v>80</v>
      </c>
      <c r="XEE11" s="256" t="s">
        <v>81</v>
      </c>
      <c r="XEF11" s="283"/>
      <c r="XEG11" s="259" t="s">
        <v>55</v>
      </c>
      <c r="XEH11" s="256" t="s">
        <v>76</v>
      </c>
      <c r="XEI11" s="256" t="s">
        <v>77</v>
      </c>
      <c r="XEJ11" s="256" t="s">
        <v>78</v>
      </c>
      <c r="XEK11" s="256" t="s">
        <v>79</v>
      </c>
      <c r="XEL11" s="256" t="s">
        <v>80</v>
      </c>
      <c r="XEM11" s="58" t="s">
        <v>81</v>
      </c>
      <c r="XEN11" s="284"/>
      <c r="XEO11" s="259" t="s">
        <v>55</v>
      </c>
      <c r="XEP11" s="256" t="s">
        <v>76</v>
      </c>
      <c r="XEQ11" s="256" t="s">
        <v>77</v>
      </c>
      <c r="XER11" s="256" t="s">
        <v>78</v>
      </c>
      <c r="XES11" s="256" t="s">
        <v>79</v>
      </c>
      <c r="XET11" s="256" t="s">
        <v>80</v>
      </c>
      <c r="XEU11" s="256" t="s">
        <v>81</v>
      </c>
      <c r="XEV11" s="283"/>
      <c r="XEW11" s="259" t="s">
        <v>55</v>
      </c>
      <c r="XEX11" s="256" t="s">
        <v>76</v>
      </c>
      <c r="XEY11" s="256" t="s">
        <v>77</v>
      </c>
      <c r="XEZ11" s="256" t="s">
        <v>78</v>
      </c>
      <c r="XFA11" s="256" t="s">
        <v>79</v>
      </c>
      <c r="XFB11" s="256" t="s">
        <v>80</v>
      </c>
      <c r="XFC11" s="58" t="s">
        <v>81</v>
      </c>
      <c r="XFD11" s="284"/>
    </row>
    <row r="12" spans="1:16384" x14ac:dyDescent="0.3">
      <c r="A12" s="303">
        <v>45455</v>
      </c>
      <c r="B12" s="313" t="s">
        <v>110</v>
      </c>
      <c r="C12" s="305"/>
      <c r="D12" s="305">
        <v>12</v>
      </c>
      <c r="E12" s="304">
        <f>EDATE(A12,D12)</f>
        <v>45820</v>
      </c>
      <c r="F12" s="306">
        <v>0</v>
      </c>
      <c r="G12" s="307">
        <f t="shared" ca="1" si="5"/>
        <v>0</v>
      </c>
      <c r="H12" s="289">
        <f t="shared" ca="1" si="0"/>
        <v>-294</v>
      </c>
      <c r="I12" s="308">
        <v>45490</v>
      </c>
      <c r="J12" s="309" t="s">
        <v>76</v>
      </c>
      <c r="K12" s="310" t="s">
        <v>82</v>
      </c>
      <c r="L12" s="310">
        <v>1</v>
      </c>
      <c r="M12" s="311">
        <f>EDATE(I12,L12)</f>
        <v>45521</v>
      </c>
      <c r="N12" s="312">
        <v>0</v>
      </c>
      <c r="O12" s="307">
        <f t="shared" ca="1" si="1"/>
        <v>0</v>
      </c>
      <c r="P12" s="292">
        <f ca="1">M12-$G$5</f>
        <v>-593</v>
      </c>
    </row>
    <row r="13" spans="1:16384" x14ac:dyDescent="0.3">
      <c r="A13" s="303">
        <v>45456</v>
      </c>
      <c r="B13" s="313" t="s">
        <v>110</v>
      </c>
      <c r="C13" s="310"/>
      <c r="D13" s="310">
        <v>1</v>
      </c>
      <c r="E13" s="304">
        <f t="shared" ref="E13:E14" si="6">EDATE(A13,D13)</f>
        <v>45486</v>
      </c>
      <c r="F13" s="314">
        <v>0</v>
      </c>
      <c r="G13" s="307">
        <f t="shared" ca="1" si="5"/>
        <v>0</v>
      </c>
      <c r="H13" s="289">
        <f t="shared" ca="1" si="0"/>
        <v>-628</v>
      </c>
      <c r="I13" s="308">
        <v>45491</v>
      </c>
      <c r="J13" s="259" t="s">
        <v>76</v>
      </c>
      <c r="K13" s="256"/>
      <c r="L13" s="256">
        <v>1</v>
      </c>
      <c r="M13" s="285">
        <f t="shared" ref="M13:M14" si="7">EDATE(I13,L13)</f>
        <v>45522</v>
      </c>
      <c r="N13" s="262">
        <v>0</v>
      </c>
      <c r="O13" s="307">
        <f t="shared" ca="1" si="1"/>
        <v>0</v>
      </c>
      <c r="P13" s="292">
        <f t="shared" ref="P13:P14" ca="1" si="8">M13-$G$5</f>
        <v>-592</v>
      </c>
    </row>
    <row r="14" spans="1:16384" x14ac:dyDescent="0.3">
      <c r="A14" s="285">
        <v>45456</v>
      </c>
      <c r="B14" s="293" t="s">
        <v>110</v>
      </c>
      <c r="C14" s="294"/>
      <c r="D14" s="294">
        <v>1</v>
      </c>
      <c r="E14" s="304">
        <f t="shared" si="6"/>
        <v>45486</v>
      </c>
      <c r="F14" s="295">
        <v>0</v>
      </c>
      <c r="G14" s="297">
        <f t="shared" ca="1" si="5"/>
        <v>0</v>
      </c>
      <c r="H14" s="289">
        <f t="shared" ca="1" si="0"/>
        <v>-628</v>
      </c>
      <c r="I14" s="308">
        <v>45492</v>
      </c>
      <c r="J14" s="259" t="s">
        <v>76</v>
      </c>
      <c r="K14" s="256"/>
      <c r="L14" s="256">
        <v>1</v>
      </c>
      <c r="M14" s="285">
        <f t="shared" si="7"/>
        <v>45523</v>
      </c>
      <c r="N14" s="262">
        <v>0</v>
      </c>
      <c r="O14" s="307">
        <f t="shared" ca="1" si="1"/>
        <v>0</v>
      </c>
      <c r="P14" s="292">
        <f t="shared" ca="1" si="8"/>
        <v>-591</v>
      </c>
    </row>
    <row r="15" spans="1:16384" ht="15" thickBot="1" x14ac:dyDescent="0.35">
      <c r="A15" s="315"/>
      <c r="B15" s="316"/>
      <c r="C15" s="316"/>
      <c r="D15" s="316"/>
      <c r="E15" s="316"/>
      <c r="F15" s="317" t="s">
        <v>7</v>
      </c>
      <c r="G15" s="299">
        <f ca="1">SUM(G12:G14)</f>
        <v>0</v>
      </c>
      <c r="H15" s="300"/>
      <c r="I15" s="641"/>
      <c r="J15" s="636"/>
      <c r="K15" s="636"/>
      <c r="L15" s="636"/>
      <c r="M15" s="637"/>
      <c r="N15" s="318" t="s">
        <v>7</v>
      </c>
      <c r="O15" s="319">
        <f ca="1">SUM(O12:O14)</f>
        <v>0</v>
      </c>
      <c r="P15" s="292"/>
    </row>
    <row r="16" spans="1:16384" ht="15" thickBot="1" x14ac:dyDescent="0.35">
      <c r="A16" s="259" t="s">
        <v>55</v>
      </c>
      <c r="B16" s="256" t="s">
        <v>164</v>
      </c>
      <c r="C16" s="256" t="s">
        <v>77</v>
      </c>
      <c r="D16" s="256" t="s">
        <v>78</v>
      </c>
      <c r="E16" s="256" t="s">
        <v>79</v>
      </c>
      <c r="F16" s="256" t="s">
        <v>80</v>
      </c>
      <c r="G16" s="256" t="s">
        <v>81</v>
      </c>
      <c r="H16" s="283"/>
      <c r="I16" s="259" t="s">
        <v>55</v>
      </c>
      <c r="J16" s="256" t="s">
        <v>76</v>
      </c>
      <c r="K16" s="256" t="s">
        <v>77</v>
      </c>
      <c r="L16" s="256" t="s">
        <v>78</v>
      </c>
      <c r="M16" s="447" t="s">
        <v>79</v>
      </c>
      <c r="N16" s="447" t="s">
        <v>80</v>
      </c>
      <c r="O16" s="58" t="s">
        <v>81</v>
      </c>
      <c r="P16" s="448"/>
      <c r="Q16" s="41"/>
      <c r="R16" s="41"/>
      <c r="S16" s="41"/>
      <c r="T16" s="41"/>
      <c r="U16" s="41"/>
      <c r="V16" s="41"/>
      <c r="W16" s="41"/>
      <c r="X16" s="40"/>
      <c r="Y16" s="41"/>
      <c r="Z16" s="41"/>
      <c r="AA16" s="41"/>
      <c r="AB16" s="41"/>
      <c r="AC16" s="41"/>
      <c r="AD16" s="41"/>
      <c r="AE16" s="37"/>
      <c r="AF16" s="37"/>
      <c r="AG16" s="41"/>
      <c r="AH16" s="41"/>
      <c r="AI16" s="41"/>
      <c r="AJ16" s="41"/>
      <c r="AK16" s="41"/>
      <c r="AL16" s="41"/>
      <c r="AM16" s="41"/>
      <c r="AN16" s="40"/>
      <c r="AO16" s="41"/>
      <c r="AP16" s="41"/>
      <c r="AQ16" s="41"/>
      <c r="AR16" s="41"/>
      <c r="AS16" s="41"/>
      <c r="AT16" s="41"/>
      <c r="AU16" s="37"/>
      <c r="AV16" s="37"/>
      <c r="AW16" s="41"/>
      <c r="AX16" s="41"/>
      <c r="AY16" s="41"/>
      <c r="AZ16" s="41"/>
      <c r="BA16" s="41"/>
      <c r="BB16" s="41"/>
      <c r="BC16" s="41"/>
      <c r="BD16" s="40"/>
      <c r="BE16" s="41"/>
      <c r="BF16" s="41"/>
      <c r="BG16" s="41"/>
      <c r="BH16" s="41"/>
      <c r="BI16" s="41"/>
      <c r="BJ16" s="41"/>
      <c r="BK16" s="37"/>
      <c r="BL16" s="37"/>
      <c r="BM16" s="41"/>
      <c r="BN16" s="41"/>
      <c r="BO16" s="41"/>
      <c r="BP16" s="41"/>
      <c r="BQ16" s="41"/>
      <c r="BR16" s="41"/>
      <c r="BS16" s="41"/>
      <c r="BT16" s="40"/>
      <c r="BU16" s="41"/>
      <c r="BV16" s="41"/>
      <c r="BW16" s="41"/>
      <c r="BX16" s="41"/>
      <c r="BY16" s="41"/>
      <c r="BZ16" s="41"/>
      <c r="CA16" s="37"/>
      <c r="CB16" s="37"/>
      <c r="CC16" s="41"/>
      <c r="CD16" s="41"/>
      <c r="CE16" s="41"/>
      <c r="CF16" s="41"/>
      <c r="CG16" s="41"/>
      <c r="CH16" s="41"/>
      <c r="CI16" s="41"/>
      <c r="CJ16" s="40"/>
      <c r="CK16" s="41"/>
      <c r="CL16" s="41"/>
      <c r="CM16" s="41"/>
      <c r="CN16" s="41"/>
      <c r="CO16" s="41"/>
      <c r="CP16" s="41"/>
      <c r="CQ16" s="37"/>
      <c r="CR16" s="37"/>
      <c r="CS16" s="41"/>
      <c r="CT16" s="41"/>
      <c r="CU16" s="41"/>
      <c r="CV16" s="41"/>
      <c r="CW16" s="41"/>
      <c r="CX16" s="41"/>
      <c r="CY16" s="41"/>
      <c r="CZ16" s="40"/>
      <c r="DA16" s="41"/>
      <c r="DB16" s="41"/>
      <c r="DC16" s="41"/>
      <c r="DD16" s="41"/>
      <c r="DE16" s="41"/>
      <c r="DF16" s="41"/>
      <c r="DG16" s="37"/>
      <c r="DH16" s="37"/>
      <c r="DI16" s="41"/>
      <c r="DJ16" s="41"/>
      <c r="DK16" s="41"/>
      <c r="DL16" s="41"/>
      <c r="DM16" s="41"/>
      <c r="DN16" s="41"/>
      <c r="DO16" s="41"/>
      <c r="DP16" s="40"/>
      <c r="DQ16" s="41"/>
      <c r="DR16" s="41"/>
      <c r="DS16" s="41"/>
      <c r="DT16" s="41"/>
      <c r="DU16" s="41"/>
      <c r="DV16" s="41"/>
      <c r="DW16" s="37"/>
      <c r="DX16" s="37"/>
      <c r="DY16" s="41"/>
      <c r="DZ16" s="41"/>
      <c r="EA16" s="41"/>
      <c r="EB16" s="41"/>
      <c r="EC16" s="41"/>
      <c r="ED16" s="41"/>
      <c r="EE16" s="41"/>
      <c r="EF16" s="40"/>
      <c r="EG16" s="41"/>
      <c r="EH16" s="41"/>
      <c r="EI16" s="41"/>
      <c r="EJ16" s="41"/>
      <c r="EK16" s="41"/>
      <c r="EL16" s="41"/>
      <c r="EM16" s="37"/>
      <c r="EN16" s="37"/>
      <c r="EO16" s="41"/>
      <c r="EP16" s="41"/>
      <c r="EQ16" s="41"/>
      <c r="ER16" s="41"/>
      <c r="ES16" s="41"/>
      <c r="ET16" s="41"/>
      <c r="EU16" s="41"/>
      <c r="EV16" s="40"/>
      <c r="EW16" s="41"/>
      <c r="EX16" s="41"/>
      <c r="EY16" s="41"/>
      <c r="EZ16" s="41"/>
      <c r="FA16" s="41"/>
      <c r="FB16" s="41"/>
      <c r="FC16" s="37"/>
      <c r="FD16" s="37"/>
      <c r="FE16" s="41"/>
      <c r="FF16" s="41"/>
      <c r="FG16" s="41"/>
      <c r="FH16" s="41"/>
      <c r="FI16" s="41"/>
      <c r="FJ16" s="41"/>
      <c r="FK16" s="41"/>
      <c r="FL16" s="40"/>
      <c r="FM16" s="41"/>
      <c r="FN16" s="41"/>
      <c r="FO16" s="41"/>
      <c r="FP16" s="41"/>
      <c r="FQ16" s="41"/>
      <c r="FR16" s="41"/>
      <c r="FS16" s="37"/>
      <c r="FT16" s="37"/>
      <c r="FU16" s="41"/>
      <c r="FV16" s="41"/>
      <c r="FW16" s="41"/>
      <c r="FX16" s="41"/>
      <c r="FY16" s="41"/>
      <c r="FZ16" s="41"/>
      <c r="GA16" s="41"/>
      <c r="GB16" s="40"/>
      <c r="GC16" s="41"/>
      <c r="GD16" s="41"/>
      <c r="GE16" s="41"/>
      <c r="GF16" s="41"/>
      <c r="GG16" s="41"/>
      <c r="GH16" s="41"/>
      <c r="GI16" s="37"/>
      <c r="GJ16" s="37"/>
      <c r="GK16" s="41"/>
      <c r="GL16" s="41"/>
      <c r="GM16" s="41"/>
      <c r="GN16" s="41"/>
      <c r="GO16" s="41"/>
      <c r="GP16" s="41"/>
      <c r="GQ16" s="41"/>
      <c r="GR16" s="40"/>
      <c r="GS16" s="41"/>
      <c r="GT16" s="41"/>
      <c r="GU16" s="41"/>
      <c r="GV16" s="41"/>
      <c r="GW16" s="41"/>
      <c r="GX16" s="41"/>
      <c r="GY16" s="37"/>
      <c r="GZ16" s="37"/>
      <c r="HA16" s="41"/>
      <c r="HB16" s="41"/>
      <c r="HC16" s="41"/>
      <c r="HD16" s="41"/>
      <c r="HE16" s="41"/>
      <c r="HF16" s="41"/>
      <c r="HG16" s="41"/>
      <c r="HH16" s="40"/>
      <c r="HI16" s="41"/>
      <c r="HJ16" s="41"/>
      <c r="HK16" s="41"/>
      <c r="HL16" s="41"/>
      <c r="HM16" s="41"/>
      <c r="HN16" s="41"/>
      <c r="HO16" s="37"/>
      <c r="HP16" s="37"/>
      <c r="HQ16" s="41"/>
      <c r="HR16" s="41"/>
      <c r="HS16" s="41"/>
      <c r="HT16" s="41"/>
      <c r="HU16" s="41"/>
      <c r="HV16" s="41"/>
      <c r="HW16" s="41"/>
      <c r="HX16" s="40"/>
      <c r="HY16" s="41"/>
      <c r="HZ16" s="41"/>
      <c r="IA16" s="41"/>
      <c r="IB16" s="41"/>
      <c r="IC16" s="41"/>
      <c r="ID16" s="41"/>
      <c r="IE16" s="37"/>
      <c r="IF16" s="37"/>
      <c r="IG16" s="41"/>
      <c r="IH16" s="41"/>
      <c r="II16" s="41"/>
      <c r="IJ16" s="41"/>
      <c r="IK16" s="41"/>
      <c r="IL16" s="41"/>
      <c r="IM16" s="41"/>
      <c r="IN16" s="40"/>
      <c r="IO16" s="41"/>
      <c r="IP16" s="41"/>
      <c r="IQ16" s="41"/>
      <c r="IR16" s="41"/>
      <c r="IS16" s="41"/>
      <c r="IT16" s="41"/>
      <c r="IU16" s="37"/>
      <c r="IV16" s="37"/>
      <c r="IW16" s="41"/>
      <c r="IX16" s="41"/>
      <c r="IY16" s="41"/>
      <c r="IZ16" s="41"/>
      <c r="JA16" s="41"/>
      <c r="JB16" s="41"/>
      <c r="JC16" s="41"/>
      <c r="JD16" s="40"/>
      <c r="JE16" s="41"/>
      <c r="JF16" s="41"/>
      <c r="JG16" s="41"/>
      <c r="JH16" s="41"/>
      <c r="JI16" s="41"/>
      <c r="JJ16" s="41"/>
      <c r="JK16" s="37"/>
      <c r="JL16" s="37"/>
      <c r="JM16" s="41"/>
      <c r="JN16" s="41"/>
      <c r="JO16" s="41"/>
      <c r="JP16" s="41"/>
      <c r="JQ16" s="41"/>
      <c r="JR16" s="41"/>
      <c r="JS16" s="41"/>
      <c r="JT16" s="40"/>
      <c r="JU16" s="41"/>
      <c r="JV16" s="41"/>
      <c r="JW16" s="41"/>
      <c r="JX16" s="41"/>
      <c r="JY16" s="41"/>
      <c r="JZ16" s="41"/>
      <c r="KA16" s="37"/>
      <c r="KB16" s="37"/>
      <c r="KC16" s="41"/>
      <c r="KD16" s="41"/>
      <c r="KE16" s="41"/>
      <c r="KF16" s="41"/>
      <c r="KG16" s="41"/>
      <c r="KH16" s="41"/>
      <c r="KI16" s="41"/>
      <c r="KJ16" s="40"/>
      <c r="KK16" s="41"/>
      <c r="KL16" s="41"/>
      <c r="KM16" s="41"/>
      <c r="KN16" s="41"/>
      <c r="KO16" s="41"/>
      <c r="KP16" s="41"/>
      <c r="KQ16" s="37"/>
      <c r="KR16" s="37"/>
      <c r="KS16" s="41"/>
      <c r="KT16" s="41"/>
      <c r="KU16" s="41"/>
      <c r="KV16" s="41"/>
      <c r="KW16" s="41"/>
      <c r="KX16" s="41"/>
      <c r="KY16" s="41"/>
      <c r="KZ16" s="40"/>
      <c r="LA16" s="41"/>
      <c r="LB16" s="41"/>
      <c r="LC16" s="41"/>
      <c r="LD16" s="41"/>
      <c r="LE16" s="41"/>
      <c r="LF16" s="41"/>
      <c r="LG16" s="37"/>
      <c r="LH16" s="37"/>
      <c r="LI16" s="41"/>
      <c r="LJ16" s="41"/>
      <c r="LK16" s="41"/>
      <c r="LL16" s="41"/>
      <c r="LM16" s="41"/>
      <c r="LN16" s="41"/>
      <c r="LO16" s="41"/>
      <c r="LP16" s="40"/>
      <c r="LQ16" s="41"/>
      <c r="LR16" s="41"/>
      <c r="LS16" s="41"/>
      <c r="LT16" s="41"/>
      <c r="LU16" s="41"/>
      <c r="LV16" s="41"/>
      <c r="LW16" s="37"/>
      <c r="LX16" s="37"/>
      <c r="LY16" s="41"/>
      <c r="LZ16" s="41"/>
      <c r="MA16" s="41"/>
      <c r="MB16" s="41"/>
      <c r="MC16" s="41"/>
      <c r="MD16" s="41"/>
      <c r="ME16" s="41"/>
      <c r="MF16" s="40"/>
      <c r="MG16" s="41"/>
      <c r="MH16" s="41"/>
      <c r="MI16" s="41"/>
      <c r="MJ16" s="41"/>
      <c r="MK16" s="41"/>
      <c r="ML16" s="41"/>
      <c r="MM16" s="37"/>
      <c r="MN16" s="37"/>
      <c r="MO16" s="41"/>
      <c r="MP16" s="41"/>
      <c r="MQ16" s="41"/>
      <c r="MR16" s="41"/>
      <c r="MS16" s="41"/>
      <c r="MT16" s="41"/>
      <c r="MU16" s="41"/>
      <c r="MV16" s="40"/>
      <c r="MW16" s="41"/>
      <c r="MX16" s="41"/>
      <c r="MY16" s="41"/>
      <c r="MZ16" s="41"/>
      <c r="NA16" s="41"/>
      <c r="NB16" s="41"/>
      <c r="NC16" s="37"/>
      <c r="ND16" s="37"/>
      <c r="NE16" s="41"/>
      <c r="NF16" s="41"/>
      <c r="NG16" s="41"/>
      <c r="NH16" s="41"/>
      <c r="NI16" s="41"/>
      <c r="NJ16" s="41"/>
      <c r="NK16" s="41"/>
      <c r="NL16" s="40"/>
      <c r="NM16" s="41"/>
      <c r="NN16" s="41"/>
      <c r="NO16" s="41"/>
      <c r="NP16" s="41"/>
      <c r="NQ16" s="41"/>
      <c r="NR16" s="41"/>
      <c r="NS16" s="37"/>
      <c r="NT16" s="37"/>
      <c r="NU16" s="41"/>
      <c r="NV16" s="41"/>
      <c r="NW16" s="41"/>
      <c r="NX16" s="41"/>
      <c r="NY16" s="41"/>
      <c r="NZ16" s="41"/>
      <c r="OA16" s="41"/>
      <c r="OB16" s="40"/>
      <c r="OC16" s="41"/>
      <c r="OD16" s="41"/>
      <c r="OE16" s="41"/>
      <c r="OF16" s="41"/>
      <c r="OG16" s="41"/>
      <c r="OH16" s="41"/>
      <c r="OI16" s="37"/>
      <c r="OJ16" s="37"/>
      <c r="OK16" s="41"/>
      <c r="OL16" s="41"/>
      <c r="OM16" s="41"/>
      <c r="ON16" s="41"/>
      <c r="OO16" s="41"/>
      <c r="OP16" s="41"/>
      <c r="OQ16" s="41"/>
      <c r="OR16" s="40"/>
      <c r="OS16" s="41"/>
      <c r="OT16" s="41"/>
      <c r="OU16" s="41"/>
      <c r="OV16" s="41"/>
      <c r="OW16" s="41"/>
      <c r="OX16" s="41"/>
      <c r="OY16" s="37"/>
      <c r="OZ16" s="37"/>
      <c r="PA16" s="41"/>
      <c r="PB16" s="41"/>
      <c r="PC16" s="41"/>
      <c r="PD16" s="41"/>
      <c r="PE16" s="41"/>
      <c r="PF16" s="41"/>
      <c r="PG16" s="41"/>
      <c r="PH16" s="40"/>
      <c r="PI16" s="41"/>
      <c r="PJ16" s="41"/>
      <c r="PK16" s="41"/>
      <c r="PL16" s="41"/>
      <c r="PM16" s="41"/>
      <c r="PN16" s="41"/>
      <c r="PO16" s="37"/>
      <c r="PP16" s="37"/>
      <c r="PQ16" s="41"/>
      <c r="PR16" s="41"/>
      <c r="PS16" s="41"/>
      <c r="PT16" s="41"/>
      <c r="PU16" s="41"/>
      <c r="PV16" s="41"/>
      <c r="PW16" s="41"/>
      <c r="PX16" s="40"/>
      <c r="PY16" s="41"/>
      <c r="PZ16" s="41"/>
      <c r="QA16" s="41"/>
      <c r="QB16" s="41"/>
      <c r="QC16" s="41"/>
      <c r="QD16" s="41"/>
      <c r="QE16" s="37"/>
      <c r="QF16" s="37"/>
      <c r="QG16" s="41"/>
      <c r="QH16" s="41"/>
      <c r="QI16" s="41"/>
      <c r="QJ16" s="41"/>
      <c r="QK16" s="41"/>
      <c r="QL16" s="41"/>
      <c r="QM16" s="41"/>
      <c r="QN16" s="40"/>
      <c r="QO16" s="41"/>
      <c r="QP16" s="41"/>
      <c r="QQ16" s="41"/>
      <c r="QR16" s="41"/>
      <c r="QS16" s="41"/>
      <c r="QT16" s="41"/>
      <c r="QU16" s="37"/>
      <c r="QV16" s="37"/>
      <c r="QW16" s="41"/>
      <c r="QX16" s="41"/>
      <c r="QY16" s="41"/>
      <c r="QZ16" s="41"/>
      <c r="RA16" s="41"/>
      <c r="RB16" s="41"/>
      <c r="RC16" s="41"/>
      <c r="RD16" s="40"/>
      <c r="RE16" s="41"/>
      <c r="RF16" s="41"/>
      <c r="RG16" s="41"/>
      <c r="RH16" s="41"/>
      <c r="RI16" s="41"/>
      <c r="RJ16" s="41"/>
      <c r="RK16" s="37"/>
      <c r="RL16" s="37"/>
      <c r="RM16" s="41"/>
      <c r="RN16" s="41"/>
      <c r="RO16" s="41"/>
      <c r="RP16" s="41"/>
      <c r="RQ16" s="41"/>
      <c r="RR16" s="41"/>
      <c r="RS16" s="41"/>
      <c r="RT16" s="40"/>
      <c r="RU16" s="41"/>
      <c r="RV16" s="41"/>
      <c r="RW16" s="41"/>
      <c r="RX16" s="41"/>
      <c r="RY16" s="41"/>
      <c r="RZ16" s="41"/>
      <c r="SA16" s="37"/>
      <c r="SB16" s="37"/>
      <c r="SC16" s="41"/>
      <c r="SD16" s="41"/>
      <c r="SE16" s="41"/>
      <c r="SF16" s="41"/>
      <c r="SG16" s="41"/>
      <c r="SH16" s="41"/>
      <c r="SI16" s="41"/>
      <c r="SJ16" s="40"/>
      <c r="SK16" s="41"/>
      <c r="SL16" s="41"/>
      <c r="SM16" s="41"/>
      <c r="SN16" s="41"/>
      <c r="SO16" s="41"/>
      <c r="SP16" s="41"/>
      <c r="SQ16" s="37"/>
      <c r="SR16" s="37"/>
      <c r="SS16" s="41"/>
      <c r="ST16" s="41"/>
      <c r="SU16" s="41"/>
      <c r="SV16" s="41"/>
      <c r="SW16" s="41"/>
      <c r="SX16" s="41"/>
      <c r="SY16" s="41"/>
      <c r="SZ16" s="40"/>
      <c r="TA16" s="41"/>
      <c r="TB16" s="41"/>
      <c r="TC16" s="41"/>
      <c r="TD16" s="41"/>
      <c r="TE16" s="41"/>
      <c r="TF16" s="41"/>
      <c r="TG16" s="37"/>
      <c r="TH16" s="37"/>
      <c r="TI16" s="41"/>
      <c r="TJ16" s="41"/>
      <c r="TK16" s="41"/>
      <c r="TL16" s="41"/>
      <c r="TM16" s="41"/>
      <c r="TN16" s="41"/>
      <c r="TO16" s="41"/>
      <c r="TP16" s="40"/>
      <c r="TQ16" s="41"/>
      <c r="TR16" s="41"/>
      <c r="TS16" s="41"/>
      <c r="TT16" s="41"/>
      <c r="TU16" s="41"/>
      <c r="TV16" s="41"/>
      <c r="TW16" s="37"/>
      <c r="TX16" s="37"/>
      <c r="TY16" s="41"/>
      <c r="TZ16" s="41"/>
      <c r="UA16" s="41"/>
      <c r="UB16" s="41"/>
      <c r="UC16" s="41"/>
      <c r="UD16" s="41"/>
      <c r="UE16" s="41"/>
      <c r="UF16" s="40"/>
      <c r="UG16" s="41"/>
      <c r="UH16" s="41"/>
      <c r="UI16" s="41"/>
      <c r="UJ16" s="41"/>
      <c r="UK16" s="41"/>
      <c r="UL16" s="41"/>
      <c r="UM16" s="37"/>
      <c r="UN16" s="37"/>
      <c r="UO16" s="41"/>
      <c r="UP16" s="41"/>
      <c r="UQ16" s="41"/>
      <c r="UR16" s="41"/>
      <c r="US16" s="41"/>
      <c r="UT16" s="41"/>
      <c r="UU16" s="41"/>
      <c r="UV16" s="40"/>
      <c r="UW16" s="41"/>
      <c r="UX16" s="41"/>
      <c r="UY16" s="41"/>
      <c r="UZ16" s="41"/>
      <c r="VA16" s="41"/>
      <c r="VB16" s="41"/>
      <c r="VC16" s="37"/>
      <c r="VD16" s="37"/>
      <c r="VE16" s="41"/>
      <c r="VF16" s="41"/>
      <c r="VG16" s="41"/>
      <c r="VH16" s="41"/>
      <c r="VI16" s="41"/>
      <c r="VJ16" s="41"/>
      <c r="VK16" s="41"/>
      <c r="VL16" s="40"/>
      <c r="VM16" s="41"/>
      <c r="VN16" s="41"/>
      <c r="VO16" s="41"/>
      <c r="VP16" s="41"/>
      <c r="VQ16" s="41"/>
      <c r="VR16" s="41"/>
      <c r="VS16" s="37"/>
      <c r="VT16" s="37"/>
      <c r="VU16" s="41"/>
      <c r="VV16" s="41"/>
      <c r="VW16" s="41"/>
      <c r="VX16" s="41"/>
      <c r="VY16" s="41"/>
      <c r="VZ16" s="41"/>
      <c r="WA16" s="41"/>
      <c r="WB16" s="40"/>
      <c r="WC16" s="41"/>
      <c r="WD16" s="41"/>
      <c r="WE16" s="41"/>
      <c r="WF16" s="41"/>
      <c r="WG16" s="41"/>
      <c r="WH16" s="41"/>
      <c r="WI16" s="37"/>
      <c r="WJ16" s="37"/>
      <c r="WK16" s="41"/>
      <c r="WL16" s="41"/>
      <c r="WM16" s="41"/>
      <c r="WN16" s="41"/>
      <c r="WO16" s="41"/>
      <c r="WP16" s="41"/>
      <c r="WQ16" s="41"/>
      <c r="WR16" s="40"/>
      <c r="WS16" s="41"/>
      <c r="WT16" s="41"/>
      <c r="WU16" s="41"/>
      <c r="WV16" s="41"/>
      <c r="WW16" s="41"/>
      <c r="WX16" s="41"/>
      <c r="WY16" s="37"/>
      <c r="WZ16" s="37"/>
      <c r="XA16" s="41"/>
      <c r="XB16" s="41"/>
      <c r="XC16" s="41"/>
      <c r="XD16" s="41"/>
      <c r="XE16" s="41"/>
      <c r="XF16" s="41"/>
      <c r="XG16" s="41"/>
      <c r="XH16" s="40"/>
      <c r="XI16" s="41"/>
      <c r="XJ16" s="41"/>
      <c r="XK16" s="41"/>
      <c r="XL16" s="41"/>
      <c r="XM16" s="41"/>
      <c r="XN16" s="41"/>
      <c r="XO16" s="37"/>
      <c r="XP16" s="37"/>
      <c r="XQ16" s="41"/>
      <c r="XR16" s="41"/>
      <c r="XS16" s="41"/>
      <c r="XT16" s="41"/>
      <c r="XU16" s="41"/>
      <c r="XV16" s="41"/>
      <c r="XW16" s="41"/>
      <c r="XX16" s="40"/>
      <c r="XY16" s="41"/>
      <c r="XZ16" s="41"/>
      <c r="YA16" s="41"/>
      <c r="YB16" s="41"/>
      <c r="YC16" s="41"/>
      <c r="YD16" s="41"/>
      <c r="YE16" s="37"/>
      <c r="YF16" s="37"/>
      <c r="YG16" s="41"/>
      <c r="YH16" s="41"/>
      <c r="YI16" s="41"/>
      <c r="YJ16" s="41"/>
      <c r="YK16" s="41"/>
      <c r="YL16" s="41"/>
      <c r="YM16" s="41"/>
      <c r="YN16" s="40"/>
      <c r="YO16" s="41"/>
      <c r="YP16" s="41"/>
      <c r="YQ16" s="41"/>
      <c r="YR16" s="41"/>
      <c r="YS16" s="41"/>
      <c r="YT16" s="41"/>
      <c r="YU16" s="37"/>
      <c r="YV16" s="37"/>
      <c r="YW16" s="41"/>
      <c r="YX16" s="41"/>
      <c r="YY16" s="41"/>
      <c r="YZ16" s="41"/>
      <c r="ZA16" s="41"/>
      <c r="ZB16" s="41"/>
      <c r="ZC16" s="41"/>
      <c r="ZD16" s="40"/>
      <c r="ZE16" s="41"/>
      <c r="ZF16" s="41"/>
      <c r="ZG16" s="41"/>
      <c r="ZH16" s="41"/>
      <c r="ZI16" s="41"/>
      <c r="ZJ16" s="41"/>
      <c r="ZK16" s="37"/>
      <c r="ZL16" s="37"/>
      <c r="ZM16" s="41"/>
      <c r="ZN16" s="41"/>
      <c r="ZO16" s="41"/>
      <c r="ZP16" s="41"/>
      <c r="ZQ16" s="41"/>
      <c r="ZR16" s="41"/>
      <c r="ZS16" s="41"/>
      <c r="ZT16" s="40"/>
      <c r="ZU16" s="41"/>
      <c r="ZV16" s="41"/>
      <c r="ZW16" s="41"/>
      <c r="ZX16" s="41"/>
      <c r="ZY16" s="41"/>
      <c r="ZZ16" s="41"/>
      <c r="AAA16" s="37"/>
      <c r="AAB16" s="37"/>
      <c r="AAC16" s="41"/>
      <c r="AAD16" s="41"/>
      <c r="AAE16" s="41"/>
      <c r="AAF16" s="41"/>
      <c r="AAG16" s="41"/>
      <c r="AAH16" s="41"/>
      <c r="AAI16" s="41"/>
      <c r="AAJ16" s="40"/>
      <c r="AAK16" s="41"/>
      <c r="AAL16" s="41"/>
      <c r="AAM16" s="41"/>
      <c r="AAN16" s="41"/>
      <c r="AAO16" s="41"/>
      <c r="AAP16" s="41"/>
      <c r="AAQ16" s="37"/>
      <c r="AAR16" s="37"/>
      <c r="AAS16" s="41"/>
      <c r="AAT16" s="41"/>
      <c r="AAU16" s="41"/>
      <c r="AAV16" s="41"/>
      <c r="AAW16" s="41"/>
      <c r="AAX16" s="41"/>
      <c r="AAY16" s="41"/>
      <c r="AAZ16" s="40"/>
      <c r="ABA16" s="41"/>
      <c r="ABB16" s="41"/>
      <c r="ABC16" s="41"/>
      <c r="ABD16" s="41"/>
      <c r="ABE16" s="41"/>
      <c r="ABF16" s="41"/>
      <c r="ABG16" s="37"/>
      <c r="ABH16" s="37"/>
      <c r="ABI16" s="41"/>
      <c r="ABJ16" s="41"/>
      <c r="ABK16" s="41"/>
      <c r="ABL16" s="41"/>
      <c r="ABM16" s="41"/>
      <c r="ABN16" s="41"/>
      <c r="ABO16" s="41"/>
      <c r="ABP16" s="40"/>
      <c r="ABQ16" s="41"/>
      <c r="ABR16" s="41"/>
      <c r="ABS16" s="41"/>
      <c r="ABT16" s="41"/>
      <c r="ABU16" s="41"/>
      <c r="ABV16" s="41"/>
      <c r="ABW16" s="37"/>
      <c r="ABX16" s="37"/>
      <c r="ABY16" s="41"/>
      <c r="ABZ16" s="41"/>
      <c r="ACA16" s="41"/>
      <c r="ACB16" s="41"/>
      <c r="ACC16" s="41"/>
      <c r="ACD16" s="41"/>
      <c r="ACE16" s="41"/>
      <c r="ACF16" s="40"/>
      <c r="ACG16" s="41"/>
      <c r="ACH16" s="41"/>
      <c r="ACI16" s="41"/>
      <c r="ACJ16" s="41"/>
      <c r="ACK16" s="41"/>
      <c r="ACL16" s="41"/>
      <c r="ACM16" s="37"/>
      <c r="ACN16" s="37"/>
      <c r="ACO16" s="41"/>
      <c r="ACP16" s="41"/>
      <c r="ACQ16" s="41"/>
      <c r="ACR16" s="41"/>
      <c r="ACS16" s="41"/>
      <c r="ACT16" s="41"/>
      <c r="ACU16" s="41"/>
      <c r="ACV16" s="40"/>
      <c r="ACW16" s="41"/>
      <c r="ACX16" s="41"/>
      <c r="ACY16" s="41"/>
      <c r="ACZ16" s="41"/>
      <c r="ADA16" s="41"/>
      <c r="ADB16" s="41"/>
      <c r="ADC16" s="37"/>
      <c r="ADD16" s="37"/>
      <c r="ADE16" s="41"/>
      <c r="ADF16" s="41"/>
      <c r="ADG16" s="41"/>
      <c r="ADH16" s="41"/>
      <c r="ADI16" s="41"/>
      <c r="ADJ16" s="41"/>
      <c r="ADK16" s="41"/>
      <c r="ADL16" s="40"/>
      <c r="ADM16" s="41"/>
      <c r="ADN16" s="41"/>
      <c r="ADO16" s="41"/>
      <c r="ADP16" s="41"/>
      <c r="ADQ16" s="41"/>
      <c r="ADR16" s="41"/>
      <c r="ADS16" s="37"/>
      <c r="ADT16" s="37"/>
      <c r="ADU16" s="41"/>
      <c r="ADV16" s="41"/>
      <c r="ADW16" s="41"/>
      <c r="ADX16" s="41"/>
      <c r="ADY16" s="41"/>
      <c r="ADZ16" s="41"/>
      <c r="AEA16" s="41"/>
      <c r="AEB16" s="40"/>
      <c r="AEC16" s="41"/>
      <c r="AED16" s="41"/>
      <c r="AEE16" s="41"/>
      <c r="AEF16" s="41"/>
      <c r="AEG16" s="41"/>
      <c r="AEH16" s="41"/>
      <c r="AEI16" s="37"/>
      <c r="AEJ16" s="37"/>
      <c r="AEK16" s="41"/>
      <c r="AEL16" s="41"/>
      <c r="AEM16" s="41"/>
      <c r="AEN16" s="41"/>
      <c r="AEO16" s="41"/>
      <c r="AEP16" s="41"/>
      <c r="AEQ16" s="41"/>
      <c r="AER16" s="40"/>
      <c r="AES16" s="41"/>
      <c r="AET16" s="41"/>
      <c r="AEU16" s="41"/>
      <c r="AEV16" s="41"/>
      <c r="AEW16" s="41"/>
      <c r="AEX16" s="41"/>
      <c r="AEY16" s="37"/>
      <c r="AEZ16" s="37"/>
      <c r="AFA16" s="41"/>
      <c r="AFB16" s="41"/>
      <c r="AFC16" s="41"/>
      <c r="AFD16" s="41"/>
      <c r="AFE16" s="41"/>
      <c r="AFF16" s="41"/>
      <c r="AFG16" s="41"/>
      <c r="AFH16" s="40"/>
      <c r="AFI16" s="41"/>
      <c r="AFJ16" s="41"/>
      <c r="AFK16" s="41"/>
      <c r="AFL16" s="41"/>
      <c r="AFM16" s="41"/>
      <c r="AFN16" s="41"/>
      <c r="AFO16" s="37"/>
      <c r="AFP16" s="37"/>
      <c r="AFQ16" s="41"/>
      <c r="AFR16" s="41"/>
      <c r="AFS16" s="41"/>
      <c r="AFT16" s="41"/>
      <c r="AFU16" s="41"/>
      <c r="AFV16" s="41"/>
      <c r="AFW16" s="41"/>
      <c r="AFX16" s="40"/>
      <c r="AFY16" s="41"/>
      <c r="AFZ16" s="41"/>
      <c r="AGA16" s="41"/>
      <c r="AGB16" s="41"/>
      <c r="AGC16" s="41"/>
      <c r="AGD16" s="41"/>
      <c r="AGE16" s="37"/>
      <c r="AGF16" s="37"/>
      <c r="AGG16" s="41"/>
      <c r="AGH16" s="41"/>
      <c r="AGI16" s="41"/>
      <c r="AGJ16" s="41"/>
      <c r="AGK16" s="41"/>
      <c r="AGL16" s="41"/>
      <c r="AGM16" s="41"/>
      <c r="AGN16" s="40"/>
      <c r="AGO16" s="41"/>
      <c r="AGP16" s="41"/>
      <c r="AGQ16" s="41"/>
      <c r="AGR16" s="41"/>
      <c r="AGS16" s="41"/>
      <c r="AGT16" s="41"/>
      <c r="AGU16" s="37"/>
      <c r="AGV16" s="37"/>
      <c r="AGW16" s="41"/>
      <c r="AGX16" s="41"/>
      <c r="AGY16" s="41"/>
      <c r="AGZ16" s="41"/>
      <c r="AHA16" s="41"/>
      <c r="AHB16" s="41"/>
      <c r="AHC16" s="41"/>
      <c r="AHD16" s="40"/>
      <c r="AHE16" s="41"/>
      <c r="AHF16" s="41"/>
      <c r="AHG16" s="41"/>
      <c r="AHH16" s="41"/>
      <c r="AHI16" s="41"/>
      <c r="AHJ16" s="41"/>
      <c r="AHK16" s="37"/>
      <c r="AHL16" s="37"/>
      <c r="AHM16" s="41"/>
      <c r="AHN16" s="41"/>
      <c r="AHO16" s="41"/>
      <c r="AHP16" s="41"/>
      <c r="AHQ16" s="41"/>
      <c r="AHR16" s="41"/>
      <c r="AHS16" s="41"/>
      <c r="AHT16" s="40"/>
      <c r="AHU16" s="41"/>
      <c r="AHV16" s="41"/>
      <c r="AHW16" s="41"/>
      <c r="AHX16" s="41"/>
      <c r="AHY16" s="41"/>
      <c r="AHZ16" s="41"/>
      <c r="AIA16" s="37"/>
      <c r="AIB16" s="37"/>
      <c r="AIC16" s="41"/>
      <c r="AID16" s="41"/>
      <c r="AIE16" s="41"/>
      <c r="AIF16" s="41"/>
      <c r="AIG16" s="41"/>
      <c r="AIH16" s="41"/>
      <c r="AII16" s="41"/>
      <c r="AIJ16" s="40"/>
      <c r="AIK16" s="41"/>
      <c r="AIL16" s="41"/>
      <c r="AIM16" s="41"/>
      <c r="AIN16" s="41"/>
      <c r="AIO16" s="41"/>
      <c r="AIP16" s="41"/>
      <c r="AIQ16" s="37"/>
      <c r="AIR16" s="37"/>
      <c r="AIS16" s="41"/>
      <c r="AIT16" s="41"/>
      <c r="AIU16" s="41"/>
      <c r="AIV16" s="41"/>
      <c r="AIW16" s="41"/>
      <c r="AIX16" s="41"/>
      <c r="AIY16" s="41"/>
      <c r="AIZ16" s="40"/>
      <c r="AJA16" s="41"/>
      <c r="AJB16" s="41"/>
      <c r="AJC16" s="41"/>
      <c r="AJD16" s="41"/>
      <c r="AJE16" s="41"/>
      <c r="AJF16" s="41"/>
      <c r="AJG16" s="37"/>
      <c r="AJH16" s="37"/>
      <c r="AJI16" s="41"/>
      <c r="AJJ16" s="41"/>
      <c r="AJK16" s="41"/>
      <c r="AJL16" s="41"/>
      <c r="AJM16" s="41"/>
      <c r="AJN16" s="41"/>
      <c r="AJO16" s="41"/>
      <c r="AJP16" s="40"/>
      <c r="AJQ16" s="41"/>
      <c r="AJR16" s="41"/>
      <c r="AJS16" s="41"/>
      <c r="AJT16" s="41"/>
      <c r="AJU16" s="41"/>
      <c r="AJV16" s="41"/>
      <c r="AJW16" s="37"/>
      <c r="AJX16" s="37"/>
      <c r="AJY16" s="41"/>
      <c r="AJZ16" s="41"/>
      <c r="AKA16" s="41"/>
      <c r="AKB16" s="41"/>
      <c r="AKC16" s="41"/>
      <c r="AKD16" s="41"/>
      <c r="AKE16" s="41"/>
      <c r="AKF16" s="40"/>
      <c r="AKG16" s="41"/>
      <c r="AKH16" s="41"/>
      <c r="AKI16" s="41"/>
      <c r="AKJ16" s="41"/>
      <c r="AKK16" s="41"/>
      <c r="AKL16" s="41"/>
      <c r="AKM16" s="37"/>
      <c r="AKN16" s="37"/>
      <c r="AKO16" s="41"/>
      <c r="AKP16" s="41"/>
      <c r="AKQ16" s="41"/>
      <c r="AKR16" s="41"/>
      <c r="AKS16" s="41"/>
      <c r="AKT16" s="41"/>
      <c r="AKU16" s="41"/>
      <c r="AKV16" s="40"/>
      <c r="AKW16" s="41"/>
      <c r="AKX16" s="41"/>
      <c r="AKY16" s="41"/>
      <c r="AKZ16" s="41"/>
      <c r="ALA16" s="41"/>
      <c r="ALB16" s="41"/>
      <c r="ALC16" s="37"/>
      <c r="ALD16" s="37"/>
      <c r="ALE16" s="41"/>
      <c r="ALF16" s="41"/>
      <c r="ALG16" s="41"/>
      <c r="ALH16" s="41"/>
      <c r="ALI16" s="41"/>
      <c r="ALJ16" s="41"/>
      <c r="ALK16" s="41"/>
      <c r="ALL16" s="40"/>
      <c r="ALM16" s="41"/>
      <c r="ALN16" s="41"/>
      <c r="ALO16" s="41"/>
      <c r="ALP16" s="41"/>
      <c r="ALQ16" s="41"/>
      <c r="ALR16" s="41"/>
      <c r="ALS16" s="37"/>
      <c r="ALT16" s="37"/>
      <c r="ALU16" s="41"/>
      <c r="ALV16" s="41"/>
      <c r="ALW16" s="41"/>
      <c r="ALX16" s="41"/>
      <c r="ALY16" s="41"/>
      <c r="ALZ16" s="41"/>
      <c r="AMA16" s="41"/>
      <c r="AMB16" s="40"/>
      <c r="AMC16" s="41"/>
      <c r="AMD16" s="41"/>
      <c r="AME16" s="41"/>
      <c r="AMF16" s="41"/>
      <c r="AMG16" s="41"/>
      <c r="AMH16" s="41"/>
      <c r="AMI16" s="37"/>
      <c r="AMJ16" s="37"/>
      <c r="AMK16" s="41"/>
      <c r="AML16" s="41"/>
      <c r="AMM16" s="41"/>
      <c r="AMN16" s="41"/>
      <c r="AMO16" s="41"/>
      <c r="AMP16" s="41"/>
      <c r="AMQ16" s="41"/>
      <c r="AMR16" s="40"/>
      <c r="AMS16" s="41"/>
      <c r="AMT16" s="41"/>
      <c r="AMU16" s="41"/>
      <c r="AMV16" s="41"/>
      <c r="AMW16" s="41"/>
      <c r="AMX16" s="41"/>
      <c r="AMY16" s="37"/>
      <c r="AMZ16" s="37"/>
      <c r="ANA16" s="41"/>
      <c r="ANB16" s="41"/>
      <c r="ANC16" s="41"/>
      <c r="AND16" s="41"/>
      <c r="ANE16" s="41"/>
      <c r="ANF16" s="41"/>
      <c r="ANG16" s="41"/>
      <c r="ANH16" s="40"/>
      <c r="ANI16" s="41"/>
      <c r="ANJ16" s="41"/>
      <c r="ANK16" s="41"/>
      <c r="ANL16" s="41"/>
      <c r="ANM16" s="41"/>
      <c r="ANN16" s="41"/>
      <c r="ANO16" s="37"/>
      <c r="ANP16" s="37"/>
      <c r="ANQ16" s="41"/>
      <c r="ANR16" s="41"/>
      <c r="ANS16" s="41"/>
      <c r="ANT16" s="41"/>
      <c r="ANU16" s="41"/>
      <c r="ANV16" s="41"/>
      <c r="ANW16" s="41"/>
      <c r="ANX16" s="40"/>
      <c r="ANY16" s="41"/>
      <c r="ANZ16" s="41"/>
      <c r="AOA16" s="41"/>
      <c r="AOB16" s="41"/>
      <c r="AOC16" s="41"/>
      <c r="AOD16" s="41"/>
      <c r="AOE16" s="37"/>
      <c r="AOF16" s="37"/>
      <c r="AOG16" s="41"/>
      <c r="AOH16" s="41"/>
      <c r="AOI16" s="41"/>
      <c r="AOJ16" s="41"/>
      <c r="AOK16" s="41"/>
      <c r="AOL16" s="41"/>
      <c r="AOM16" s="41"/>
      <c r="AON16" s="40"/>
      <c r="AOO16" s="41"/>
      <c r="AOP16" s="41"/>
      <c r="AOQ16" s="41"/>
      <c r="AOR16" s="41"/>
      <c r="AOS16" s="41"/>
      <c r="AOT16" s="41"/>
      <c r="AOU16" s="37"/>
      <c r="AOV16" s="37"/>
      <c r="AOW16" s="41"/>
      <c r="AOX16" s="41"/>
      <c r="AOY16" s="41"/>
      <c r="AOZ16" s="41"/>
      <c r="APA16" s="41"/>
      <c r="APB16" s="41"/>
      <c r="APC16" s="41"/>
      <c r="APD16" s="40"/>
      <c r="APE16" s="41"/>
      <c r="APF16" s="41"/>
      <c r="APG16" s="41"/>
      <c r="APH16" s="41"/>
      <c r="API16" s="41"/>
      <c r="APJ16" s="41"/>
      <c r="APK16" s="37"/>
      <c r="APL16" s="37"/>
      <c r="APM16" s="41"/>
      <c r="APN16" s="41"/>
      <c r="APO16" s="41"/>
      <c r="APP16" s="41"/>
      <c r="APQ16" s="41"/>
      <c r="APR16" s="41"/>
      <c r="APS16" s="41"/>
      <c r="APT16" s="40"/>
      <c r="APU16" s="41"/>
      <c r="APV16" s="41"/>
      <c r="APW16" s="41"/>
      <c r="APX16" s="41"/>
      <c r="APY16" s="41"/>
      <c r="APZ16" s="41"/>
      <c r="AQA16" s="37"/>
      <c r="AQB16" s="37"/>
      <c r="AQC16" s="41"/>
      <c r="AQD16" s="41"/>
      <c r="AQE16" s="41"/>
      <c r="AQF16" s="41"/>
      <c r="AQG16" s="41"/>
      <c r="AQH16" s="41"/>
      <c r="AQI16" s="41"/>
      <c r="AQJ16" s="40"/>
      <c r="AQK16" s="41"/>
      <c r="AQL16" s="41"/>
      <c r="AQM16" s="41"/>
      <c r="AQN16" s="41"/>
      <c r="AQO16" s="41"/>
      <c r="AQP16" s="41"/>
      <c r="AQQ16" s="37"/>
      <c r="AQR16" s="37"/>
      <c r="AQS16" s="41"/>
      <c r="AQT16" s="41"/>
      <c r="AQU16" s="41"/>
      <c r="AQV16" s="41"/>
      <c r="AQW16" s="41"/>
      <c r="AQX16" s="41"/>
      <c r="AQY16" s="41"/>
      <c r="AQZ16" s="40"/>
      <c r="ARA16" s="41"/>
      <c r="ARB16" s="41"/>
      <c r="ARC16" s="41"/>
      <c r="ARD16" s="41"/>
      <c r="ARE16" s="41"/>
      <c r="ARF16" s="41"/>
      <c r="ARG16" s="37"/>
      <c r="ARH16" s="37"/>
      <c r="ARI16" s="41"/>
      <c r="ARJ16" s="41"/>
      <c r="ARK16" s="41"/>
      <c r="ARL16" s="41"/>
      <c r="ARM16" s="41"/>
      <c r="ARN16" s="41"/>
      <c r="ARO16" s="41"/>
      <c r="ARP16" s="40"/>
      <c r="ARQ16" s="41"/>
      <c r="ARR16" s="41"/>
      <c r="ARS16" s="41"/>
      <c r="ART16" s="41"/>
      <c r="ARU16" s="41"/>
      <c r="ARV16" s="41"/>
      <c r="ARW16" s="37"/>
      <c r="ARX16" s="37"/>
      <c r="ARY16" s="41"/>
      <c r="ARZ16" s="41"/>
      <c r="ASA16" s="41"/>
      <c r="ASB16" s="41"/>
      <c r="ASC16" s="41"/>
      <c r="ASD16" s="41"/>
      <c r="ASE16" s="41"/>
      <c r="ASF16" s="40"/>
      <c r="ASG16" s="41"/>
      <c r="ASH16" s="41"/>
      <c r="ASI16" s="41"/>
      <c r="ASJ16" s="41"/>
      <c r="ASK16" s="41"/>
      <c r="ASL16" s="41"/>
      <c r="ASM16" s="37"/>
      <c r="ASN16" s="37"/>
      <c r="ASO16" s="41"/>
      <c r="ASP16" s="41"/>
      <c r="ASQ16" s="41"/>
      <c r="ASR16" s="41"/>
      <c r="ASS16" s="41"/>
      <c r="AST16" s="41"/>
      <c r="ASU16" s="41"/>
      <c r="ASV16" s="40"/>
      <c r="ASW16" s="41"/>
      <c r="ASX16" s="41"/>
      <c r="ASY16" s="41"/>
      <c r="ASZ16" s="41"/>
      <c r="ATA16" s="41"/>
      <c r="ATB16" s="41"/>
      <c r="ATC16" s="37"/>
      <c r="ATD16" s="37"/>
      <c r="ATE16" s="41"/>
      <c r="ATF16" s="41"/>
      <c r="ATG16" s="41"/>
      <c r="ATH16" s="41"/>
      <c r="ATI16" s="41"/>
      <c r="ATJ16" s="41"/>
      <c r="ATK16" s="41"/>
      <c r="ATL16" s="40"/>
      <c r="ATM16" s="41"/>
      <c r="ATN16" s="41"/>
      <c r="ATO16" s="41"/>
      <c r="ATP16" s="41"/>
      <c r="ATQ16" s="41"/>
      <c r="ATR16" s="41"/>
      <c r="ATS16" s="37"/>
      <c r="ATT16" s="37"/>
      <c r="ATU16" s="41"/>
      <c r="ATV16" s="41"/>
      <c r="ATW16" s="41"/>
      <c r="ATX16" s="41"/>
      <c r="ATY16" s="41"/>
      <c r="ATZ16" s="41"/>
      <c r="AUA16" s="41"/>
      <c r="AUB16" s="40"/>
      <c r="AUC16" s="41"/>
      <c r="AUD16" s="41"/>
      <c r="AUE16" s="41"/>
      <c r="AUF16" s="41"/>
      <c r="AUG16" s="41"/>
      <c r="AUH16" s="41"/>
      <c r="AUI16" s="37"/>
      <c r="AUJ16" s="37"/>
      <c r="AUK16" s="41"/>
      <c r="AUL16" s="41"/>
      <c r="AUM16" s="41"/>
      <c r="AUN16" s="41"/>
      <c r="AUO16" s="41"/>
      <c r="AUP16" s="41"/>
      <c r="AUQ16" s="41"/>
      <c r="AUR16" s="40"/>
      <c r="AUS16" s="41"/>
      <c r="AUT16" s="41"/>
      <c r="AUU16" s="41"/>
      <c r="AUV16" s="41"/>
      <c r="AUW16" s="41"/>
      <c r="AUX16" s="41"/>
      <c r="AUY16" s="37"/>
      <c r="AUZ16" s="37"/>
      <c r="AVA16" s="41"/>
      <c r="AVB16" s="41"/>
      <c r="AVC16" s="41"/>
      <c r="AVD16" s="41"/>
      <c r="AVE16" s="41"/>
      <c r="AVF16" s="41"/>
      <c r="AVG16" s="41"/>
      <c r="AVH16" s="40"/>
      <c r="AVI16" s="41"/>
      <c r="AVJ16" s="41"/>
      <c r="AVK16" s="41"/>
      <c r="AVL16" s="41"/>
      <c r="AVM16" s="41"/>
      <c r="AVN16" s="41"/>
      <c r="AVO16" s="37"/>
      <c r="AVP16" s="37"/>
      <c r="AVQ16" s="41"/>
      <c r="AVR16" s="41"/>
      <c r="AVS16" s="41"/>
      <c r="AVT16" s="41"/>
      <c r="AVU16" s="41"/>
      <c r="AVV16" s="41"/>
      <c r="AVW16" s="41"/>
      <c r="AVX16" s="40"/>
      <c r="AVY16" s="41"/>
      <c r="AVZ16" s="41"/>
      <c r="AWA16" s="41"/>
      <c r="AWB16" s="41"/>
      <c r="AWC16" s="41"/>
      <c r="AWD16" s="41"/>
      <c r="AWE16" s="37"/>
      <c r="AWF16" s="37"/>
      <c r="AWG16" s="41"/>
      <c r="AWH16" s="41"/>
      <c r="AWI16" s="41"/>
      <c r="AWJ16" s="41"/>
      <c r="AWK16" s="41"/>
      <c r="AWL16" s="41"/>
      <c r="AWM16" s="41"/>
      <c r="AWN16" s="40"/>
      <c r="AWO16" s="41"/>
      <c r="AWP16" s="41"/>
      <c r="AWQ16" s="41"/>
      <c r="AWR16" s="41"/>
      <c r="AWS16" s="41"/>
      <c r="AWT16" s="41"/>
      <c r="AWU16" s="37"/>
      <c r="AWV16" s="37"/>
      <c r="AWW16" s="41"/>
      <c r="AWX16" s="41"/>
      <c r="AWY16" s="41"/>
      <c r="AWZ16" s="41"/>
      <c r="AXA16" s="41"/>
      <c r="AXB16" s="41"/>
      <c r="AXC16" s="41"/>
      <c r="AXD16" s="40"/>
      <c r="AXE16" s="41"/>
      <c r="AXF16" s="41"/>
      <c r="AXG16" s="41"/>
      <c r="AXH16" s="41"/>
      <c r="AXI16" s="41"/>
      <c r="AXJ16" s="41"/>
      <c r="AXK16" s="37"/>
      <c r="AXL16" s="37"/>
      <c r="AXM16" s="41"/>
      <c r="AXN16" s="41"/>
      <c r="AXO16" s="41"/>
      <c r="AXP16" s="41"/>
      <c r="AXQ16" s="41"/>
      <c r="AXR16" s="41"/>
      <c r="AXS16" s="41"/>
      <c r="AXT16" s="40"/>
      <c r="AXU16" s="41"/>
      <c r="AXV16" s="41"/>
      <c r="AXW16" s="41"/>
      <c r="AXX16" s="41"/>
      <c r="AXY16" s="41"/>
      <c r="AXZ16" s="41"/>
      <c r="AYA16" s="37"/>
      <c r="AYB16" s="37"/>
      <c r="AYC16" s="41"/>
      <c r="AYD16" s="41"/>
      <c r="AYE16" s="41"/>
      <c r="AYF16" s="41"/>
      <c r="AYG16" s="41"/>
      <c r="AYH16" s="41"/>
      <c r="AYI16" s="41"/>
      <c r="AYJ16" s="40"/>
      <c r="AYK16" s="41"/>
      <c r="AYL16" s="41"/>
      <c r="AYM16" s="41"/>
      <c r="AYN16" s="41"/>
      <c r="AYO16" s="41"/>
      <c r="AYP16" s="41"/>
      <c r="AYQ16" s="37"/>
      <c r="AYR16" s="37"/>
      <c r="AYS16" s="41"/>
      <c r="AYT16" s="41"/>
      <c r="AYU16" s="41"/>
      <c r="AYV16" s="41"/>
      <c r="AYW16" s="41"/>
      <c r="AYX16" s="41"/>
      <c r="AYY16" s="41"/>
      <c r="AYZ16" s="40"/>
      <c r="AZA16" s="41"/>
      <c r="AZB16" s="41"/>
      <c r="AZC16" s="41"/>
      <c r="AZD16" s="41"/>
      <c r="AZE16" s="41"/>
      <c r="AZF16" s="41"/>
      <c r="AZG16" s="37"/>
      <c r="AZH16" s="37"/>
      <c r="AZI16" s="41"/>
      <c r="AZJ16" s="41"/>
      <c r="AZK16" s="41"/>
      <c r="AZL16" s="41"/>
      <c r="AZM16" s="41"/>
      <c r="AZN16" s="41"/>
      <c r="AZO16" s="41"/>
      <c r="AZP16" s="40"/>
      <c r="AZQ16" s="41"/>
      <c r="AZR16" s="41"/>
      <c r="AZS16" s="41"/>
      <c r="AZT16" s="41"/>
      <c r="AZU16" s="41"/>
      <c r="AZV16" s="41"/>
      <c r="AZW16" s="37"/>
      <c r="AZX16" s="37"/>
      <c r="AZY16" s="41"/>
      <c r="AZZ16" s="41"/>
      <c r="BAA16" s="41"/>
      <c r="BAB16" s="41"/>
      <c r="BAC16" s="41"/>
      <c r="BAD16" s="41"/>
      <c r="BAE16" s="41"/>
      <c r="BAF16" s="40"/>
      <c r="BAG16" s="41"/>
      <c r="BAH16" s="41"/>
      <c r="BAI16" s="41"/>
      <c r="BAJ16" s="41"/>
      <c r="BAK16" s="41"/>
      <c r="BAL16" s="41"/>
      <c r="BAM16" s="37"/>
      <c r="BAN16" s="37"/>
      <c r="BAO16" s="41"/>
      <c r="BAP16" s="41"/>
      <c r="BAQ16" s="41"/>
      <c r="BAR16" s="41"/>
      <c r="BAS16" s="41"/>
      <c r="BAT16" s="41"/>
      <c r="BAU16" s="41"/>
      <c r="BAV16" s="40"/>
      <c r="BAW16" s="41"/>
      <c r="BAX16" s="41"/>
      <c r="BAY16" s="41"/>
      <c r="BAZ16" s="41"/>
      <c r="BBA16" s="41"/>
      <c r="BBB16" s="41"/>
      <c r="BBC16" s="37"/>
      <c r="BBD16" s="37"/>
      <c r="BBE16" s="41"/>
      <c r="BBF16" s="41"/>
      <c r="BBG16" s="41"/>
      <c r="BBH16" s="41"/>
      <c r="BBI16" s="41"/>
      <c r="BBJ16" s="41"/>
      <c r="BBK16" s="41"/>
      <c r="BBL16" s="40"/>
      <c r="BBM16" s="41"/>
      <c r="BBN16" s="41"/>
      <c r="BBO16" s="41"/>
      <c r="BBP16" s="41"/>
      <c r="BBQ16" s="41"/>
      <c r="BBR16" s="41"/>
      <c r="BBS16" s="37"/>
      <c r="BBT16" s="37"/>
      <c r="BBU16" s="41"/>
      <c r="BBV16" s="41"/>
      <c r="BBW16" s="41"/>
      <c r="BBX16" s="41"/>
      <c r="BBY16" s="41"/>
      <c r="BBZ16" s="41"/>
      <c r="BCA16" s="41"/>
      <c r="BCB16" s="40"/>
      <c r="BCC16" s="41"/>
      <c r="BCD16" s="41"/>
      <c r="BCE16" s="41"/>
      <c r="BCF16" s="41"/>
      <c r="BCG16" s="41"/>
      <c r="BCH16" s="41"/>
      <c r="BCI16" s="37"/>
      <c r="BCJ16" s="37"/>
      <c r="BCK16" s="41"/>
      <c r="BCL16" s="41"/>
      <c r="BCM16" s="41"/>
      <c r="BCN16" s="41"/>
      <c r="BCO16" s="41"/>
      <c r="BCP16" s="41"/>
      <c r="BCQ16" s="49" t="s">
        <v>81</v>
      </c>
      <c r="BCR16" s="283"/>
      <c r="BCS16" s="259" t="s">
        <v>55</v>
      </c>
      <c r="BCT16" s="256" t="s">
        <v>76</v>
      </c>
      <c r="BCU16" s="256" t="s">
        <v>77</v>
      </c>
      <c r="BCV16" s="256" t="s">
        <v>78</v>
      </c>
      <c r="BCW16" s="256" t="s">
        <v>79</v>
      </c>
      <c r="BCX16" s="256" t="s">
        <v>80</v>
      </c>
      <c r="BCY16" s="58" t="s">
        <v>81</v>
      </c>
      <c r="BCZ16" s="284"/>
      <c r="BDA16" s="259" t="s">
        <v>55</v>
      </c>
      <c r="BDB16" s="256" t="s">
        <v>76</v>
      </c>
      <c r="BDC16" s="256" t="s">
        <v>77</v>
      </c>
      <c r="BDD16" s="256" t="s">
        <v>78</v>
      </c>
      <c r="BDE16" s="256" t="s">
        <v>79</v>
      </c>
      <c r="BDF16" s="256" t="s">
        <v>80</v>
      </c>
      <c r="BDG16" s="256" t="s">
        <v>81</v>
      </c>
      <c r="BDH16" s="283"/>
      <c r="BDI16" s="259" t="s">
        <v>55</v>
      </c>
      <c r="BDJ16" s="256" t="s">
        <v>76</v>
      </c>
      <c r="BDK16" s="256" t="s">
        <v>77</v>
      </c>
      <c r="BDL16" s="256" t="s">
        <v>78</v>
      </c>
      <c r="BDM16" s="256" t="s">
        <v>79</v>
      </c>
      <c r="BDN16" s="256" t="s">
        <v>80</v>
      </c>
      <c r="BDO16" s="58" t="s">
        <v>81</v>
      </c>
      <c r="BDP16" s="284"/>
      <c r="BDQ16" s="259" t="s">
        <v>55</v>
      </c>
      <c r="BDR16" s="256" t="s">
        <v>76</v>
      </c>
      <c r="BDS16" s="256" t="s">
        <v>77</v>
      </c>
      <c r="BDT16" s="256" t="s">
        <v>78</v>
      </c>
      <c r="BDU16" s="256" t="s">
        <v>79</v>
      </c>
      <c r="BDV16" s="256" t="s">
        <v>80</v>
      </c>
      <c r="BDW16" s="256" t="s">
        <v>81</v>
      </c>
      <c r="BDX16" s="283"/>
      <c r="BDY16" s="259" t="s">
        <v>55</v>
      </c>
      <c r="BDZ16" s="256" t="s">
        <v>76</v>
      </c>
      <c r="BEA16" s="256" t="s">
        <v>77</v>
      </c>
      <c r="BEB16" s="256" t="s">
        <v>78</v>
      </c>
      <c r="BEC16" s="256" t="s">
        <v>79</v>
      </c>
      <c r="BED16" s="256" t="s">
        <v>80</v>
      </c>
      <c r="BEE16" s="58" t="s">
        <v>81</v>
      </c>
      <c r="BEF16" s="284"/>
      <c r="BEG16" s="259" t="s">
        <v>55</v>
      </c>
      <c r="BEH16" s="256" t="s">
        <v>76</v>
      </c>
      <c r="BEI16" s="256" t="s">
        <v>77</v>
      </c>
      <c r="BEJ16" s="256" t="s">
        <v>78</v>
      </c>
      <c r="BEK16" s="256" t="s">
        <v>79</v>
      </c>
      <c r="BEL16" s="256" t="s">
        <v>80</v>
      </c>
      <c r="BEM16" s="256" t="s">
        <v>81</v>
      </c>
      <c r="BEN16" s="283"/>
      <c r="BEO16" s="259" t="s">
        <v>55</v>
      </c>
      <c r="BEP16" s="256" t="s">
        <v>76</v>
      </c>
      <c r="BEQ16" s="256" t="s">
        <v>77</v>
      </c>
      <c r="BER16" s="256" t="s">
        <v>78</v>
      </c>
      <c r="BES16" s="256" t="s">
        <v>79</v>
      </c>
      <c r="BET16" s="256" t="s">
        <v>80</v>
      </c>
      <c r="BEU16" s="58" t="s">
        <v>81</v>
      </c>
      <c r="BEV16" s="284"/>
      <c r="BEW16" s="259" t="s">
        <v>55</v>
      </c>
      <c r="BEX16" s="256" t="s">
        <v>76</v>
      </c>
      <c r="BEY16" s="256" t="s">
        <v>77</v>
      </c>
      <c r="BEZ16" s="256" t="s">
        <v>78</v>
      </c>
      <c r="BFA16" s="256" t="s">
        <v>79</v>
      </c>
      <c r="BFB16" s="256" t="s">
        <v>80</v>
      </c>
      <c r="BFC16" s="256" t="s">
        <v>81</v>
      </c>
      <c r="BFD16" s="283"/>
      <c r="BFE16" s="259" t="s">
        <v>55</v>
      </c>
      <c r="BFF16" s="256" t="s">
        <v>76</v>
      </c>
      <c r="BFG16" s="256" t="s">
        <v>77</v>
      </c>
      <c r="BFH16" s="256" t="s">
        <v>78</v>
      </c>
      <c r="BFI16" s="256" t="s">
        <v>79</v>
      </c>
      <c r="BFJ16" s="256" t="s">
        <v>80</v>
      </c>
      <c r="BFK16" s="58" t="s">
        <v>81</v>
      </c>
      <c r="BFL16" s="284"/>
      <c r="BFM16" s="259" t="s">
        <v>55</v>
      </c>
      <c r="BFN16" s="256" t="s">
        <v>76</v>
      </c>
      <c r="BFO16" s="256" t="s">
        <v>77</v>
      </c>
      <c r="BFP16" s="256" t="s">
        <v>78</v>
      </c>
      <c r="BFQ16" s="256" t="s">
        <v>79</v>
      </c>
      <c r="BFR16" s="256" t="s">
        <v>80</v>
      </c>
      <c r="BFS16" s="256" t="s">
        <v>81</v>
      </c>
      <c r="BFT16" s="283"/>
      <c r="BFU16" s="259" t="s">
        <v>55</v>
      </c>
      <c r="BFV16" s="256" t="s">
        <v>76</v>
      </c>
      <c r="BFW16" s="256" t="s">
        <v>77</v>
      </c>
      <c r="BFX16" s="256" t="s">
        <v>78</v>
      </c>
      <c r="BFY16" s="256" t="s">
        <v>79</v>
      </c>
      <c r="BFZ16" s="256" t="s">
        <v>80</v>
      </c>
      <c r="BGA16" s="58" t="s">
        <v>81</v>
      </c>
      <c r="BGB16" s="284"/>
      <c r="BGC16" s="259" t="s">
        <v>55</v>
      </c>
      <c r="BGD16" s="256" t="s">
        <v>76</v>
      </c>
      <c r="BGE16" s="256" t="s">
        <v>77</v>
      </c>
      <c r="BGF16" s="256" t="s">
        <v>78</v>
      </c>
      <c r="BGG16" s="256" t="s">
        <v>79</v>
      </c>
      <c r="BGH16" s="256" t="s">
        <v>80</v>
      </c>
      <c r="BGI16" s="256" t="s">
        <v>81</v>
      </c>
      <c r="BGJ16" s="283"/>
      <c r="BGK16" s="259" t="s">
        <v>55</v>
      </c>
      <c r="BGL16" s="256" t="s">
        <v>76</v>
      </c>
      <c r="BGM16" s="256" t="s">
        <v>77</v>
      </c>
      <c r="BGN16" s="256" t="s">
        <v>78</v>
      </c>
      <c r="BGO16" s="256" t="s">
        <v>79</v>
      </c>
      <c r="BGP16" s="256" t="s">
        <v>80</v>
      </c>
      <c r="BGQ16" s="58" t="s">
        <v>81</v>
      </c>
      <c r="BGR16" s="284"/>
      <c r="BGS16" s="259" t="s">
        <v>55</v>
      </c>
      <c r="BGT16" s="256" t="s">
        <v>76</v>
      </c>
      <c r="BGU16" s="256" t="s">
        <v>77</v>
      </c>
      <c r="BGV16" s="256" t="s">
        <v>78</v>
      </c>
      <c r="BGW16" s="256" t="s">
        <v>79</v>
      </c>
      <c r="BGX16" s="256" t="s">
        <v>80</v>
      </c>
      <c r="BGY16" s="256" t="s">
        <v>81</v>
      </c>
      <c r="BGZ16" s="283"/>
      <c r="BHA16" s="259" t="s">
        <v>55</v>
      </c>
      <c r="BHB16" s="256" t="s">
        <v>76</v>
      </c>
      <c r="BHC16" s="256" t="s">
        <v>77</v>
      </c>
      <c r="BHD16" s="256" t="s">
        <v>78</v>
      </c>
      <c r="BHE16" s="256" t="s">
        <v>79</v>
      </c>
      <c r="BHF16" s="256" t="s">
        <v>80</v>
      </c>
      <c r="BHG16" s="58" t="s">
        <v>81</v>
      </c>
      <c r="BHH16" s="284"/>
      <c r="BHI16" s="259" t="s">
        <v>55</v>
      </c>
      <c r="BHJ16" s="256" t="s">
        <v>76</v>
      </c>
      <c r="BHK16" s="256" t="s">
        <v>77</v>
      </c>
      <c r="BHL16" s="256" t="s">
        <v>78</v>
      </c>
      <c r="BHM16" s="256" t="s">
        <v>79</v>
      </c>
      <c r="BHN16" s="256" t="s">
        <v>80</v>
      </c>
      <c r="BHO16" s="256" t="s">
        <v>81</v>
      </c>
      <c r="BHP16" s="283"/>
      <c r="BHQ16" s="259" t="s">
        <v>55</v>
      </c>
      <c r="BHR16" s="256" t="s">
        <v>76</v>
      </c>
      <c r="BHS16" s="256" t="s">
        <v>77</v>
      </c>
      <c r="BHT16" s="256" t="s">
        <v>78</v>
      </c>
      <c r="BHU16" s="256" t="s">
        <v>79</v>
      </c>
      <c r="BHV16" s="256" t="s">
        <v>80</v>
      </c>
      <c r="BHW16" s="58" t="s">
        <v>81</v>
      </c>
      <c r="BHX16" s="284"/>
      <c r="BHY16" s="259" t="s">
        <v>55</v>
      </c>
      <c r="BHZ16" s="256" t="s">
        <v>76</v>
      </c>
      <c r="BIA16" s="256" t="s">
        <v>77</v>
      </c>
      <c r="BIB16" s="256" t="s">
        <v>78</v>
      </c>
      <c r="BIC16" s="256" t="s">
        <v>79</v>
      </c>
      <c r="BID16" s="256" t="s">
        <v>80</v>
      </c>
      <c r="BIE16" s="256" t="s">
        <v>81</v>
      </c>
      <c r="BIF16" s="283"/>
      <c r="BIG16" s="259" t="s">
        <v>55</v>
      </c>
      <c r="BIH16" s="256" t="s">
        <v>76</v>
      </c>
      <c r="BII16" s="256" t="s">
        <v>77</v>
      </c>
      <c r="BIJ16" s="256" t="s">
        <v>78</v>
      </c>
      <c r="BIK16" s="256" t="s">
        <v>79</v>
      </c>
      <c r="BIL16" s="256" t="s">
        <v>80</v>
      </c>
      <c r="BIM16" s="58" t="s">
        <v>81</v>
      </c>
      <c r="BIN16" s="284"/>
      <c r="BIO16" s="259" t="s">
        <v>55</v>
      </c>
      <c r="BIP16" s="256" t="s">
        <v>76</v>
      </c>
      <c r="BIQ16" s="256" t="s">
        <v>77</v>
      </c>
      <c r="BIR16" s="256" t="s">
        <v>78</v>
      </c>
      <c r="BIS16" s="256" t="s">
        <v>79</v>
      </c>
      <c r="BIT16" s="256" t="s">
        <v>80</v>
      </c>
      <c r="BIU16" s="256" t="s">
        <v>81</v>
      </c>
      <c r="BIV16" s="283"/>
      <c r="BIW16" s="259" t="s">
        <v>55</v>
      </c>
      <c r="BIX16" s="256" t="s">
        <v>76</v>
      </c>
      <c r="BIY16" s="256" t="s">
        <v>77</v>
      </c>
      <c r="BIZ16" s="256" t="s">
        <v>78</v>
      </c>
      <c r="BJA16" s="256" t="s">
        <v>79</v>
      </c>
      <c r="BJB16" s="256" t="s">
        <v>80</v>
      </c>
      <c r="BJC16" s="58" t="s">
        <v>81</v>
      </c>
      <c r="BJD16" s="284"/>
      <c r="BJE16" s="259" t="s">
        <v>55</v>
      </c>
      <c r="BJF16" s="256" t="s">
        <v>76</v>
      </c>
      <c r="BJG16" s="256" t="s">
        <v>77</v>
      </c>
      <c r="BJH16" s="256" t="s">
        <v>78</v>
      </c>
      <c r="BJI16" s="256" t="s">
        <v>79</v>
      </c>
      <c r="BJJ16" s="256" t="s">
        <v>80</v>
      </c>
      <c r="BJK16" s="256" t="s">
        <v>81</v>
      </c>
      <c r="BJL16" s="283"/>
      <c r="BJM16" s="259" t="s">
        <v>55</v>
      </c>
      <c r="BJN16" s="256" t="s">
        <v>76</v>
      </c>
      <c r="BJO16" s="256" t="s">
        <v>77</v>
      </c>
      <c r="BJP16" s="256" t="s">
        <v>78</v>
      </c>
      <c r="BJQ16" s="256" t="s">
        <v>79</v>
      </c>
      <c r="BJR16" s="256" t="s">
        <v>80</v>
      </c>
      <c r="BJS16" s="58" t="s">
        <v>81</v>
      </c>
      <c r="BJT16" s="284"/>
      <c r="BJU16" s="259" t="s">
        <v>55</v>
      </c>
      <c r="BJV16" s="256" t="s">
        <v>76</v>
      </c>
      <c r="BJW16" s="256" t="s">
        <v>77</v>
      </c>
      <c r="BJX16" s="256" t="s">
        <v>78</v>
      </c>
      <c r="BJY16" s="256" t="s">
        <v>79</v>
      </c>
      <c r="BJZ16" s="256" t="s">
        <v>80</v>
      </c>
      <c r="BKA16" s="256" t="s">
        <v>81</v>
      </c>
      <c r="BKB16" s="283"/>
      <c r="BKC16" s="259" t="s">
        <v>55</v>
      </c>
      <c r="BKD16" s="256" t="s">
        <v>76</v>
      </c>
      <c r="BKE16" s="256" t="s">
        <v>77</v>
      </c>
      <c r="BKF16" s="256" t="s">
        <v>78</v>
      </c>
      <c r="BKG16" s="256" t="s">
        <v>79</v>
      </c>
      <c r="BKH16" s="256" t="s">
        <v>80</v>
      </c>
      <c r="BKI16" s="58" t="s">
        <v>81</v>
      </c>
      <c r="BKJ16" s="284"/>
      <c r="BKK16" s="259" t="s">
        <v>55</v>
      </c>
      <c r="BKL16" s="256" t="s">
        <v>76</v>
      </c>
      <c r="BKM16" s="256" t="s">
        <v>77</v>
      </c>
      <c r="BKN16" s="256" t="s">
        <v>78</v>
      </c>
      <c r="BKO16" s="256" t="s">
        <v>79</v>
      </c>
      <c r="BKP16" s="256" t="s">
        <v>80</v>
      </c>
      <c r="BKQ16" s="256" t="s">
        <v>81</v>
      </c>
      <c r="BKR16" s="283"/>
      <c r="BKS16" s="259" t="s">
        <v>55</v>
      </c>
      <c r="BKT16" s="256" t="s">
        <v>76</v>
      </c>
      <c r="BKU16" s="256" t="s">
        <v>77</v>
      </c>
      <c r="BKV16" s="256" t="s">
        <v>78</v>
      </c>
      <c r="BKW16" s="256" t="s">
        <v>79</v>
      </c>
      <c r="BKX16" s="256" t="s">
        <v>80</v>
      </c>
      <c r="BKY16" s="58" t="s">
        <v>81</v>
      </c>
      <c r="BKZ16" s="284"/>
      <c r="BLA16" s="259" t="s">
        <v>55</v>
      </c>
      <c r="BLB16" s="256" t="s">
        <v>76</v>
      </c>
      <c r="BLC16" s="256" t="s">
        <v>77</v>
      </c>
      <c r="BLD16" s="256" t="s">
        <v>78</v>
      </c>
      <c r="BLE16" s="256" t="s">
        <v>79</v>
      </c>
      <c r="BLF16" s="256" t="s">
        <v>80</v>
      </c>
      <c r="BLG16" s="256" t="s">
        <v>81</v>
      </c>
      <c r="BLH16" s="283"/>
      <c r="BLI16" s="259" t="s">
        <v>55</v>
      </c>
      <c r="BLJ16" s="256" t="s">
        <v>76</v>
      </c>
      <c r="BLK16" s="256" t="s">
        <v>77</v>
      </c>
      <c r="BLL16" s="256" t="s">
        <v>78</v>
      </c>
      <c r="BLM16" s="256" t="s">
        <v>79</v>
      </c>
      <c r="BLN16" s="256" t="s">
        <v>80</v>
      </c>
      <c r="BLO16" s="58" t="s">
        <v>81</v>
      </c>
      <c r="BLP16" s="284"/>
      <c r="BLQ16" s="259" t="s">
        <v>55</v>
      </c>
      <c r="BLR16" s="256" t="s">
        <v>76</v>
      </c>
      <c r="BLS16" s="256" t="s">
        <v>77</v>
      </c>
      <c r="BLT16" s="256" t="s">
        <v>78</v>
      </c>
      <c r="BLU16" s="256" t="s">
        <v>79</v>
      </c>
      <c r="BLV16" s="256" t="s">
        <v>80</v>
      </c>
      <c r="BLW16" s="256" t="s">
        <v>81</v>
      </c>
      <c r="BLX16" s="283"/>
      <c r="BLY16" s="259" t="s">
        <v>55</v>
      </c>
      <c r="BLZ16" s="256" t="s">
        <v>76</v>
      </c>
      <c r="BMA16" s="256" t="s">
        <v>77</v>
      </c>
      <c r="BMB16" s="256" t="s">
        <v>78</v>
      </c>
      <c r="BMC16" s="256" t="s">
        <v>79</v>
      </c>
      <c r="BMD16" s="256" t="s">
        <v>80</v>
      </c>
      <c r="BME16" s="58" t="s">
        <v>81</v>
      </c>
      <c r="BMF16" s="284"/>
      <c r="BMG16" s="259" t="s">
        <v>55</v>
      </c>
      <c r="BMH16" s="256" t="s">
        <v>76</v>
      </c>
      <c r="BMI16" s="256" t="s">
        <v>77</v>
      </c>
      <c r="BMJ16" s="256" t="s">
        <v>78</v>
      </c>
      <c r="BMK16" s="256" t="s">
        <v>79</v>
      </c>
      <c r="BML16" s="256" t="s">
        <v>80</v>
      </c>
      <c r="BMM16" s="256" t="s">
        <v>81</v>
      </c>
      <c r="BMN16" s="283"/>
      <c r="BMO16" s="259" t="s">
        <v>55</v>
      </c>
      <c r="BMP16" s="256" t="s">
        <v>76</v>
      </c>
      <c r="BMQ16" s="256" t="s">
        <v>77</v>
      </c>
      <c r="BMR16" s="256" t="s">
        <v>78</v>
      </c>
      <c r="BMS16" s="256" t="s">
        <v>79</v>
      </c>
      <c r="BMT16" s="256" t="s">
        <v>80</v>
      </c>
      <c r="BMU16" s="58" t="s">
        <v>81</v>
      </c>
      <c r="BMV16" s="284"/>
      <c r="BMW16" s="259" t="s">
        <v>55</v>
      </c>
      <c r="BMX16" s="256" t="s">
        <v>76</v>
      </c>
      <c r="BMY16" s="256" t="s">
        <v>77</v>
      </c>
      <c r="BMZ16" s="256" t="s">
        <v>78</v>
      </c>
      <c r="BNA16" s="256" t="s">
        <v>79</v>
      </c>
      <c r="BNB16" s="256" t="s">
        <v>80</v>
      </c>
      <c r="BNC16" s="256" t="s">
        <v>81</v>
      </c>
      <c r="BND16" s="283"/>
      <c r="BNE16" s="259" t="s">
        <v>55</v>
      </c>
      <c r="BNF16" s="256" t="s">
        <v>76</v>
      </c>
      <c r="BNG16" s="256" t="s">
        <v>77</v>
      </c>
      <c r="BNH16" s="256" t="s">
        <v>78</v>
      </c>
      <c r="BNI16" s="256" t="s">
        <v>79</v>
      </c>
      <c r="BNJ16" s="256" t="s">
        <v>80</v>
      </c>
      <c r="BNK16" s="58" t="s">
        <v>81</v>
      </c>
      <c r="BNL16" s="284"/>
      <c r="BNM16" s="259" t="s">
        <v>55</v>
      </c>
      <c r="BNN16" s="256" t="s">
        <v>76</v>
      </c>
      <c r="BNO16" s="256" t="s">
        <v>77</v>
      </c>
      <c r="BNP16" s="256" t="s">
        <v>78</v>
      </c>
      <c r="BNQ16" s="256" t="s">
        <v>79</v>
      </c>
      <c r="BNR16" s="256" t="s">
        <v>80</v>
      </c>
      <c r="BNS16" s="256" t="s">
        <v>81</v>
      </c>
      <c r="BNT16" s="283"/>
      <c r="BNU16" s="259" t="s">
        <v>55</v>
      </c>
      <c r="BNV16" s="256" t="s">
        <v>76</v>
      </c>
      <c r="BNW16" s="256" t="s">
        <v>77</v>
      </c>
      <c r="BNX16" s="256" t="s">
        <v>78</v>
      </c>
      <c r="BNY16" s="256" t="s">
        <v>79</v>
      </c>
      <c r="BNZ16" s="256" t="s">
        <v>80</v>
      </c>
      <c r="BOA16" s="58" t="s">
        <v>81</v>
      </c>
      <c r="BOB16" s="284"/>
      <c r="BOC16" s="259" t="s">
        <v>55</v>
      </c>
      <c r="BOD16" s="256" t="s">
        <v>76</v>
      </c>
      <c r="BOE16" s="256" t="s">
        <v>77</v>
      </c>
      <c r="BOF16" s="256" t="s">
        <v>78</v>
      </c>
      <c r="BOG16" s="256" t="s">
        <v>79</v>
      </c>
      <c r="BOH16" s="256" t="s">
        <v>80</v>
      </c>
      <c r="BOI16" s="256" t="s">
        <v>81</v>
      </c>
      <c r="BOJ16" s="283"/>
      <c r="BOK16" s="259" t="s">
        <v>55</v>
      </c>
      <c r="BOL16" s="256" t="s">
        <v>76</v>
      </c>
      <c r="BOM16" s="256" t="s">
        <v>77</v>
      </c>
      <c r="BON16" s="256" t="s">
        <v>78</v>
      </c>
      <c r="BOO16" s="256" t="s">
        <v>79</v>
      </c>
      <c r="BOP16" s="256" t="s">
        <v>80</v>
      </c>
      <c r="BOQ16" s="58" t="s">
        <v>81</v>
      </c>
      <c r="BOR16" s="284"/>
      <c r="BOS16" s="259" t="s">
        <v>55</v>
      </c>
      <c r="BOT16" s="256" t="s">
        <v>76</v>
      </c>
      <c r="BOU16" s="256" t="s">
        <v>77</v>
      </c>
      <c r="BOV16" s="256" t="s">
        <v>78</v>
      </c>
      <c r="BOW16" s="256" t="s">
        <v>79</v>
      </c>
      <c r="BOX16" s="256" t="s">
        <v>80</v>
      </c>
      <c r="BOY16" s="256" t="s">
        <v>81</v>
      </c>
      <c r="BOZ16" s="283"/>
      <c r="BPA16" s="259" t="s">
        <v>55</v>
      </c>
      <c r="BPB16" s="256" t="s">
        <v>76</v>
      </c>
      <c r="BPC16" s="256" t="s">
        <v>77</v>
      </c>
      <c r="BPD16" s="256" t="s">
        <v>78</v>
      </c>
      <c r="BPE16" s="256" t="s">
        <v>79</v>
      </c>
      <c r="BPF16" s="256" t="s">
        <v>80</v>
      </c>
      <c r="BPG16" s="58" t="s">
        <v>81</v>
      </c>
      <c r="BPH16" s="284"/>
      <c r="BPI16" s="259" t="s">
        <v>55</v>
      </c>
      <c r="BPJ16" s="256" t="s">
        <v>76</v>
      </c>
      <c r="BPK16" s="256" t="s">
        <v>77</v>
      </c>
      <c r="BPL16" s="256" t="s">
        <v>78</v>
      </c>
      <c r="BPM16" s="256" t="s">
        <v>79</v>
      </c>
      <c r="BPN16" s="256" t="s">
        <v>80</v>
      </c>
      <c r="BPO16" s="256" t="s">
        <v>81</v>
      </c>
      <c r="BPP16" s="283"/>
      <c r="BPQ16" s="259" t="s">
        <v>55</v>
      </c>
      <c r="BPR16" s="256" t="s">
        <v>76</v>
      </c>
      <c r="BPS16" s="256" t="s">
        <v>77</v>
      </c>
      <c r="BPT16" s="256" t="s">
        <v>78</v>
      </c>
      <c r="BPU16" s="256" t="s">
        <v>79</v>
      </c>
      <c r="BPV16" s="256" t="s">
        <v>80</v>
      </c>
      <c r="BPW16" s="58" t="s">
        <v>81</v>
      </c>
      <c r="BPX16" s="284"/>
      <c r="BPY16" s="259" t="s">
        <v>55</v>
      </c>
      <c r="BPZ16" s="256" t="s">
        <v>76</v>
      </c>
      <c r="BQA16" s="256" t="s">
        <v>77</v>
      </c>
      <c r="BQB16" s="256" t="s">
        <v>78</v>
      </c>
      <c r="BQC16" s="256" t="s">
        <v>79</v>
      </c>
      <c r="BQD16" s="256" t="s">
        <v>80</v>
      </c>
      <c r="BQE16" s="256" t="s">
        <v>81</v>
      </c>
      <c r="BQF16" s="283"/>
      <c r="BQG16" s="259" t="s">
        <v>55</v>
      </c>
      <c r="BQH16" s="256" t="s">
        <v>76</v>
      </c>
      <c r="BQI16" s="256" t="s">
        <v>77</v>
      </c>
      <c r="BQJ16" s="256" t="s">
        <v>78</v>
      </c>
      <c r="BQK16" s="256" t="s">
        <v>79</v>
      </c>
      <c r="BQL16" s="256" t="s">
        <v>80</v>
      </c>
      <c r="BQM16" s="58" t="s">
        <v>81</v>
      </c>
      <c r="BQN16" s="284"/>
      <c r="BQO16" s="259" t="s">
        <v>55</v>
      </c>
      <c r="BQP16" s="256" t="s">
        <v>76</v>
      </c>
      <c r="BQQ16" s="256" t="s">
        <v>77</v>
      </c>
      <c r="BQR16" s="256" t="s">
        <v>78</v>
      </c>
      <c r="BQS16" s="256" t="s">
        <v>79</v>
      </c>
      <c r="BQT16" s="256" t="s">
        <v>80</v>
      </c>
      <c r="BQU16" s="256" t="s">
        <v>81</v>
      </c>
      <c r="BQV16" s="283"/>
      <c r="BQW16" s="259" t="s">
        <v>55</v>
      </c>
      <c r="BQX16" s="256" t="s">
        <v>76</v>
      </c>
      <c r="BQY16" s="256" t="s">
        <v>77</v>
      </c>
      <c r="BQZ16" s="256" t="s">
        <v>78</v>
      </c>
      <c r="BRA16" s="256" t="s">
        <v>79</v>
      </c>
      <c r="BRB16" s="256" t="s">
        <v>80</v>
      </c>
      <c r="BRC16" s="58" t="s">
        <v>81</v>
      </c>
      <c r="BRD16" s="284"/>
      <c r="BRE16" s="259" t="s">
        <v>55</v>
      </c>
      <c r="BRF16" s="256" t="s">
        <v>76</v>
      </c>
      <c r="BRG16" s="256" t="s">
        <v>77</v>
      </c>
      <c r="BRH16" s="256" t="s">
        <v>78</v>
      </c>
      <c r="BRI16" s="256" t="s">
        <v>79</v>
      </c>
      <c r="BRJ16" s="256" t="s">
        <v>80</v>
      </c>
      <c r="BRK16" s="256" t="s">
        <v>81</v>
      </c>
      <c r="BRL16" s="283"/>
      <c r="BRM16" s="259" t="s">
        <v>55</v>
      </c>
      <c r="BRN16" s="256" t="s">
        <v>76</v>
      </c>
      <c r="BRO16" s="256" t="s">
        <v>77</v>
      </c>
      <c r="BRP16" s="256" t="s">
        <v>78</v>
      </c>
      <c r="BRQ16" s="256" t="s">
        <v>79</v>
      </c>
      <c r="BRR16" s="256" t="s">
        <v>80</v>
      </c>
      <c r="BRS16" s="58" t="s">
        <v>81</v>
      </c>
      <c r="BRT16" s="284"/>
      <c r="BRU16" s="259" t="s">
        <v>55</v>
      </c>
      <c r="BRV16" s="256" t="s">
        <v>76</v>
      </c>
      <c r="BRW16" s="256" t="s">
        <v>77</v>
      </c>
      <c r="BRX16" s="256" t="s">
        <v>78</v>
      </c>
      <c r="BRY16" s="256" t="s">
        <v>79</v>
      </c>
      <c r="BRZ16" s="256" t="s">
        <v>80</v>
      </c>
      <c r="BSA16" s="256" t="s">
        <v>81</v>
      </c>
      <c r="BSB16" s="283"/>
      <c r="BSC16" s="259" t="s">
        <v>55</v>
      </c>
      <c r="BSD16" s="256" t="s">
        <v>76</v>
      </c>
      <c r="BSE16" s="256" t="s">
        <v>77</v>
      </c>
      <c r="BSF16" s="256" t="s">
        <v>78</v>
      </c>
      <c r="BSG16" s="256" t="s">
        <v>79</v>
      </c>
      <c r="BSH16" s="256" t="s">
        <v>80</v>
      </c>
      <c r="BSI16" s="58" t="s">
        <v>81</v>
      </c>
      <c r="BSJ16" s="284"/>
      <c r="BSK16" s="259" t="s">
        <v>55</v>
      </c>
      <c r="BSL16" s="256" t="s">
        <v>76</v>
      </c>
      <c r="BSM16" s="256" t="s">
        <v>77</v>
      </c>
      <c r="BSN16" s="256" t="s">
        <v>78</v>
      </c>
      <c r="BSO16" s="256" t="s">
        <v>79</v>
      </c>
      <c r="BSP16" s="256" t="s">
        <v>80</v>
      </c>
      <c r="BSQ16" s="256" t="s">
        <v>81</v>
      </c>
      <c r="BSR16" s="283"/>
      <c r="BSS16" s="259" t="s">
        <v>55</v>
      </c>
      <c r="BST16" s="256" t="s">
        <v>76</v>
      </c>
      <c r="BSU16" s="256" t="s">
        <v>77</v>
      </c>
      <c r="BSV16" s="256" t="s">
        <v>78</v>
      </c>
      <c r="BSW16" s="256" t="s">
        <v>79</v>
      </c>
      <c r="BSX16" s="256" t="s">
        <v>80</v>
      </c>
      <c r="BSY16" s="58" t="s">
        <v>81</v>
      </c>
      <c r="BSZ16" s="284"/>
      <c r="BTA16" s="259" t="s">
        <v>55</v>
      </c>
      <c r="BTB16" s="256" t="s">
        <v>76</v>
      </c>
      <c r="BTC16" s="256" t="s">
        <v>77</v>
      </c>
      <c r="BTD16" s="256" t="s">
        <v>78</v>
      </c>
      <c r="BTE16" s="256" t="s">
        <v>79</v>
      </c>
      <c r="BTF16" s="256" t="s">
        <v>80</v>
      </c>
      <c r="BTG16" s="256" t="s">
        <v>81</v>
      </c>
      <c r="BTH16" s="283"/>
      <c r="BTI16" s="259" t="s">
        <v>55</v>
      </c>
      <c r="BTJ16" s="256" t="s">
        <v>76</v>
      </c>
      <c r="BTK16" s="256" t="s">
        <v>77</v>
      </c>
      <c r="BTL16" s="256" t="s">
        <v>78</v>
      </c>
      <c r="BTM16" s="256" t="s">
        <v>79</v>
      </c>
      <c r="BTN16" s="256" t="s">
        <v>80</v>
      </c>
      <c r="BTO16" s="58" t="s">
        <v>81</v>
      </c>
      <c r="BTP16" s="284"/>
      <c r="BTQ16" s="259" t="s">
        <v>55</v>
      </c>
      <c r="BTR16" s="256" t="s">
        <v>76</v>
      </c>
      <c r="BTS16" s="256" t="s">
        <v>77</v>
      </c>
      <c r="BTT16" s="256" t="s">
        <v>78</v>
      </c>
      <c r="BTU16" s="256" t="s">
        <v>79</v>
      </c>
      <c r="BTV16" s="256" t="s">
        <v>80</v>
      </c>
      <c r="BTW16" s="256" t="s">
        <v>81</v>
      </c>
      <c r="BTX16" s="283"/>
      <c r="BTY16" s="259" t="s">
        <v>55</v>
      </c>
      <c r="BTZ16" s="256" t="s">
        <v>76</v>
      </c>
      <c r="BUA16" s="256" t="s">
        <v>77</v>
      </c>
      <c r="BUB16" s="256" t="s">
        <v>78</v>
      </c>
      <c r="BUC16" s="256" t="s">
        <v>79</v>
      </c>
      <c r="BUD16" s="256" t="s">
        <v>80</v>
      </c>
      <c r="BUE16" s="58" t="s">
        <v>81</v>
      </c>
      <c r="BUF16" s="284"/>
      <c r="BUG16" s="259" t="s">
        <v>55</v>
      </c>
      <c r="BUH16" s="256" t="s">
        <v>76</v>
      </c>
      <c r="BUI16" s="256" t="s">
        <v>77</v>
      </c>
      <c r="BUJ16" s="256" t="s">
        <v>78</v>
      </c>
      <c r="BUK16" s="256" t="s">
        <v>79</v>
      </c>
      <c r="BUL16" s="256" t="s">
        <v>80</v>
      </c>
      <c r="BUM16" s="256" t="s">
        <v>81</v>
      </c>
      <c r="BUN16" s="283"/>
      <c r="BUO16" s="259" t="s">
        <v>55</v>
      </c>
      <c r="BUP16" s="256" t="s">
        <v>76</v>
      </c>
      <c r="BUQ16" s="256" t="s">
        <v>77</v>
      </c>
      <c r="BUR16" s="256" t="s">
        <v>78</v>
      </c>
      <c r="BUS16" s="256" t="s">
        <v>79</v>
      </c>
      <c r="BUT16" s="256" t="s">
        <v>80</v>
      </c>
      <c r="BUU16" s="58" t="s">
        <v>81</v>
      </c>
      <c r="BUV16" s="284"/>
      <c r="BUW16" s="259" t="s">
        <v>55</v>
      </c>
      <c r="BUX16" s="256" t="s">
        <v>76</v>
      </c>
      <c r="BUY16" s="256" t="s">
        <v>77</v>
      </c>
      <c r="BUZ16" s="256" t="s">
        <v>78</v>
      </c>
      <c r="BVA16" s="256" t="s">
        <v>79</v>
      </c>
      <c r="BVB16" s="256" t="s">
        <v>80</v>
      </c>
      <c r="BVC16" s="256" t="s">
        <v>81</v>
      </c>
      <c r="BVD16" s="283"/>
      <c r="BVE16" s="259" t="s">
        <v>55</v>
      </c>
      <c r="BVF16" s="256" t="s">
        <v>76</v>
      </c>
      <c r="BVG16" s="256" t="s">
        <v>77</v>
      </c>
      <c r="BVH16" s="256" t="s">
        <v>78</v>
      </c>
      <c r="BVI16" s="256" t="s">
        <v>79</v>
      </c>
      <c r="BVJ16" s="256" t="s">
        <v>80</v>
      </c>
      <c r="BVK16" s="58" t="s">
        <v>81</v>
      </c>
      <c r="BVL16" s="284"/>
      <c r="BVM16" s="259" t="s">
        <v>55</v>
      </c>
      <c r="BVN16" s="256" t="s">
        <v>76</v>
      </c>
      <c r="BVO16" s="256" t="s">
        <v>77</v>
      </c>
      <c r="BVP16" s="256" t="s">
        <v>78</v>
      </c>
      <c r="BVQ16" s="256" t="s">
        <v>79</v>
      </c>
      <c r="BVR16" s="256" t="s">
        <v>80</v>
      </c>
      <c r="BVS16" s="256" t="s">
        <v>81</v>
      </c>
      <c r="BVT16" s="283"/>
      <c r="BVU16" s="259" t="s">
        <v>55</v>
      </c>
      <c r="BVV16" s="256" t="s">
        <v>76</v>
      </c>
      <c r="BVW16" s="256" t="s">
        <v>77</v>
      </c>
      <c r="BVX16" s="256" t="s">
        <v>78</v>
      </c>
      <c r="BVY16" s="256" t="s">
        <v>79</v>
      </c>
      <c r="BVZ16" s="256" t="s">
        <v>80</v>
      </c>
      <c r="BWA16" s="58" t="s">
        <v>81</v>
      </c>
      <c r="BWB16" s="284"/>
      <c r="BWC16" s="259" t="s">
        <v>55</v>
      </c>
      <c r="BWD16" s="256" t="s">
        <v>76</v>
      </c>
      <c r="BWE16" s="256" t="s">
        <v>77</v>
      </c>
      <c r="BWF16" s="256" t="s">
        <v>78</v>
      </c>
      <c r="BWG16" s="256" t="s">
        <v>79</v>
      </c>
      <c r="BWH16" s="256" t="s">
        <v>80</v>
      </c>
      <c r="BWI16" s="256" t="s">
        <v>81</v>
      </c>
      <c r="BWJ16" s="283"/>
      <c r="BWK16" s="259" t="s">
        <v>55</v>
      </c>
      <c r="BWL16" s="256" t="s">
        <v>76</v>
      </c>
      <c r="BWM16" s="256" t="s">
        <v>77</v>
      </c>
      <c r="BWN16" s="256" t="s">
        <v>78</v>
      </c>
      <c r="BWO16" s="256" t="s">
        <v>79</v>
      </c>
      <c r="BWP16" s="256" t="s">
        <v>80</v>
      </c>
      <c r="BWQ16" s="58" t="s">
        <v>81</v>
      </c>
      <c r="BWR16" s="284"/>
      <c r="BWS16" s="259" t="s">
        <v>55</v>
      </c>
      <c r="BWT16" s="256" t="s">
        <v>76</v>
      </c>
      <c r="BWU16" s="256" t="s">
        <v>77</v>
      </c>
      <c r="BWV16" s="256" t="s">
        <v>78</v>
      </c>
      <c r="BWW16" s="256" t="s">
        <v>79</v>
      </c>
      <c r="BWX16" s="256" t="s">
        <v>80</v>
      </c>
      <c r="BWY16" s="256" t="s">
        <v>81</v>
      </c>
      <c r="BWZ16" s="283"/>
      <c r="BXA16" s="259" t="s">
        <v>55</v>
      </c>
      <c r="BXB16" s="256" t="s">
        <v>76</v>
      </c>
      <c r="BXC16" s="256" t="s">
        <v>77</v>
      </c>
      <c r="BXD16" s="256" t="s">
        <v>78</v>
      </c>
      <c r="BXE16" s="256" t="s">
        <v>79</v>
      </c>
      <c r="BXF16" s="256" t="s">
        <v>80</v>
      </c>
      <c r="BXG16" s="58" t="s">
        <v>81</v>
      </c>
      <c r="BXH16" s="284"/>
      <c r="BXI16" s="259" t="s">
        <v>55</v>
      </c>
      <c r="BXJ16" s="256" t="s">
        <v>76</v>
      </c>
      <c r="BXK16" s="256" t="s">
        <v>77</v>
      </c>
      <c r="BXL16" s="256" t="s">
        <v>78</v>
      </c>
      <c r="BXM16" s="256" t="s">
        <v>79</v>
      </c>
      <c r="BXN16" s="256" t="s">
        <v>80</v>
      </c>
      <c r="BXO16" s="256" t="s">
        <v>81</v>
      </c>
      <c r="BXP16" s="283"/>
      <c r="BXQ16" s="259" t="s">
        <v>55</v>
      </c>
      <c r="BXR16" s="256" t="s">
        <v>76</v>
      </c>
      <c r="BXS16" s="256" t="s">
        <v>77</v>
      </c>
      <c r="BXT16" s="256" t="s">
        <v>78</v>
      </c>
      <c r="BXU16" s="256" t="s">
        <v>79</v>
      </c>
      <c r="BXV16" s="256" t="s">
        <v>80</v>
      </c>
      <c r="BXW16" s="58" t="s">
        <v>81</v>
      </c>
      <c r="BXX16" s="284"/>
      <c r="BXY16" s="259" t="s">
        <v>55</v>
      </c>
      <c r="BXZ16" s="256" t="s">
        <v>76</v>
      </c>
      <c r="BYA16" s="256" t="s">
        <v>77</v>
      </c>
      <c r="BYB16" s="256" t="s">
        <v>78</v>
      </c>
      <c r="BYC16" s="256" t="s">
        <v>79</v>
      </c>
      <c r="BYD16" s="256" t="s">
        <v>80</v>
      </c>
      <c r="BYE16" s="256" t="s">
        <v>81</v>
      </c>
      <c r="BYF16" s="283"/>
      <c r="BYG16" s="259" t="s">
        <v>55</v>
      </c>
      <c r="BYH16" s="256" t="s">
        <v>76</v>
      </c>
      <c r="BYI16" s="256" t="s">
        <v>77</v>
      </c>
      <c r="BYJ16" s="256" t="s">
        <v>78</v>
      </c>
      <c r="BYK16" s="256" t="s">
        <v>79</v>
      </c>
      <c r="BYL16" s="256" t="s">
        <v>80</v>
      </c>
      <c r="BYM16" s="58" t="s">
        <v>81</v>
      </c>
      <c r="BYN16" s="284"/>
      <c r="BYO16" s="259" t="s">
        <v>55</v>
      </c>
      <c r="BYP16" s="256" t="s">
        <v>76</v>
      </c>
      <c r="BYQ16" s="256" t="s">
        <v>77</v>
      </c>
      <c r="BYR16" s="256" t="s">
        <v>78</v>
      </c>
      <c r="BYS16" s="256" t="s">
        <v>79</v>
      </c>
      <c r="BYT16" s="256" t="s">
        <v>80</v>
      </c>
      <c r="BYU16" s="256" t="s">
        <v>81</v>
      </c>
      <c r="BYV16" s="283"/>
      <c r="BYW16" s="259" t="s">
        <v>55</v>
      </c>
      <c r="BYX16" s="256" t="s">
        <v>76</v>
      </c>
      <c r="BYY16" s="256" t="s">
        <v>77</v>
      </c>
      <c r="BYZ16" s="256" t="s">
        <v>78</v>
      </c>
      <c r="BZA16" s="256" t="s">
        <v>79</v>
      </c>
      <c r="BZB16" s="256" t="s">
        <v>80</v>
      </c>
      <c r="BZC16" s="58" t="s">
        <v>81</v>
      </c>
      <c r="BZD16" s="284"/>
      <c r="BZE16" s="259" t="s">
        <v>55</v>
      </c>
      <c r="BZF16" s="256" t="s">
        <v>76</v>
      </c>
      <c r="BZG16" s="256" t="s">
        <v>77</v>
      </c>
      <c r="BZH16" s="256" t="s">
        <v>78</v>
      </c>
      <c r="BZI16" s="256" t="s">
        <v>79</v>
      </c>
      <c r="BZJ16" s="256" t="s">
        <v>80</v>
      </c>
      <c r="BZK16" s="256" t="s">
        <v>81</v>
      </c>
      <c r="BZL16" s="283"/>
      <c r="BZM16" s="259" t="s">
        <v>55</v>
      </c>
      <c r="BZN16" s="256" t="s">
        <v>76</v>
      </c>
      <c r="BZO16" s="256" t="s">
        <v>77</v>
      </c>
      <c r="BZP16" s="256" t="s">
        <v>78</v>
      </c>
      <c r="BZQ16" s="256" t="s">
        <v>79</v>
      </c>
      <c r="BZR16" s="256" t="s">
        <v>80</v>
      </c>
      <c r="BZS16" s="58" t="s">
        <v>81</v>
      </c>
      <c r="BZT16" s="284"/>
      <c r="BZU16" s="259" t="s">
        <v>55</v>
      </c>
      <c r="BZV16" s="256" t="s">
        <v>76</v>
      </c>
      <c r="BZW16" s="256" t="s">
        <v>77</v>
      </c>
      <c r="BZX16" s="256" t="s">
        <v>78</v>
      </c>
      <c r="BZY16" s="256" t="s">
        <v>79</v>
      </c>
      <c r="BZZ16" s="256" t="s">
        <v>80</v>
      </c>
      <c r="CAA16" s="256" t="s">
        <v>81</v>
      </c>
      <c r="CAB16" s="283"/>
      <c r="CAC16" s="259" t="s">
        <v>55</v>
      </c>
      <c r="CAD16" s="256" t="s">
        <v>76</v>
      </c>
      <c r="CAE16" s="256" t="s">
        <v>77</v>
      </c>
      <c r="CAF16" s="256" t="s">
        <v>78</v>
      </c>
      <c r="CAG16" s="256" t="s">
        <v>79</v>
      </c>
      <c r="CAH16" s="256" t="s">
        <v>80</v>
      </c>
      <c r="CAI16" s="58" t="s">
        <v>81</v>
      </c>
      <c r="CAJ16" s="284"/>
      <c r="CAK16" s="259" t="s">
        <v>55</v>
      </c>
      <c r="CAL16" s="256" t="s">
        <v>76</v>
      </c>
      <c r="CAM16" s="256" t="s">
        <v>77</v>
      </c>
      <c r="CAN16" s="256" t="s">
        <v>78</v>
      </c>
      <c r="CAO16" s="256" t="s">
        <v>79</v>
      </c>
      <c r="CAP16" s="256" t="s">
        <v>80</v>
      </c>
      <c r="CAQ16" s="256" t="s">
        <v>81</v>
      </c>
      <c r="CAR16" s="283"/>
      <c r="CAS16" s="259" t="s">
        <v>55</v>
      </c>
      <c r="CAT16" s="256" t="s">
        <v>76</v>
      </c>
      <c r="CAU16" s="256" t="s">
        <v>77</v>
      </c>
      <c r="CAV16" s="256" t="s">
        <v>78</v>
      </c>
      <c r="CAW16" s="256" t="s">
        <v>79</v>
      </c>
      <c r="CAX16" s="256" t="s">
        <v>80</v>
      </c>
      <c r="CAY16" s="58" t="s">
        <v>81</v>
      </c>
      <c r="CAZ16" s="284"/>
      <c r="CBA16" s="259" t="s">
        <v>55</v>
      </c>
      <c r="CBB16" s="256" t="s">
        <v>76</v>
      </c>
      <c r="CBC16" s="256" t="s">
        <v>77</v>
      </c>
      <c r="CBD16" s="256" t="s">
        <v>78</v>
      </c>
      <c r="CBE16" s="256" t="s">
        <v>79</v>
      </c>
      <c r="CBF16" s="256" t="s">
        <v>80</v>
      </c>
      <c r="CBG16" s="256" t="s">
        <v>81</v>
      </c>
      <c r="CBH16" s="283"/>
      <c r="CBI16" s="259" t="s">
        <v>55</v>
      </c>
      <c r="CBJ16" s="256" t="s">
        <v>76</v>
      </c>
      <c r="CBK16" s="256" t="s">
        <v>77</v>
      </c>
      <c r="CBL16" s="256" t="s">
        <v>78</v>
      </c>
      <c r="CBM16" s="256" t="s">
        <v>79</v>
      </c>
      <c r="CBN16" s="256" t="s">
        <v>80</v>
      </c>
      <c r="CBO16" s="58" t="s">
        <v>81</v>
      </c>
      <c r="CBP16" s="284"/>
      <c r="CBQ16" s="259" t="s">
        <v>55</v>
      </c>
      <c r="CBR16" s="256" t="s">
        <v>76</v>
      </c>
      <c r="CBS16" s="256" t="s">
        <v>77</v>
      </c>
      <c r="CBT16" s="256" t="s">
        <v>78</v>
      </c>
      <c r="CBU16" s="256" t="s">
        <v>79</v>
      </c>
      <c r="CBV16" s="256" t="s">
        <v>80</v>
      </c>
      <c r="CBW16" s="256" t="s">
        <v>81</v>
      </c>
      <c r="CBX16" s="283"/>
      <c r="CBY16" s="259" t="s">
        <v>55</v>
      </c>
      <c r="CBZ16" s="256" t="s">
        <v>76</v>
      </c>
      <c r="CCA16" s="256" t="s">
        <v>77</v>
      </c>
      <c r="CCB16" s="256" t="s">
        <v>78</v>
      </c>
      <c r="CCC16" s="256" t="s">
        <v>79</v>
      </c>
      <c r="CCD16" s="256" t="s">
        <v>80</v>
      </c>
      <c r="CCE16" s="58" t="s">
        <v>81</v>
      </c>
      <c r="CCF16" s="284"/>
      <c r="CCG16" s="259" t="s">
        <v>55</v>
      </c>
      <c r="CCH16" s="256" t="s">
        <v>76</v>
      </c>
      <c r="CCI16" s="256" t="s">
        <v>77</v>
      </c>
      <c r="CCJ16" s="256" t="s">
        <v>78</v>
      </c>
      <c r="CCK16" s="256" t="s">
        <v>79</v>
      </c>
      <c r="CCL16" s="256" t="s">
        <v>80</v>
      </c>
      <c r="CCM16" s="256" t="s">
        <v>81</v>
      </c>
      <c r="CCN16" s="283"/>
      <c r="CCO16" s="259" t="s">
        <v>55</v>
      </c>
      <c r="CCP16" s="256" t="s">
        <v>76</v>
      </c>
      <c r="CCQ16" s="256" t="s">
        <v>77</v>
      </c>
      <c r="CCR16" s="256" t="s">
        <v>78</v>
      </c>
      <c r="CCS16" s="256" t="s">
        <v>79</v>
      </c>
      <c r="CCT16" s="256" t="s">
        <v>80</v>
      </c>
      <c r="CCU16" s="58" t="s">
        <v>81</v>
      </c>
      <c r="CCV16" s="284"/>
      <c r="CCW16" s="259" t="s">
        <v>55</v>
      </c>
      <c r="CCX16" s="256" t="s">
        <v>76</v>
      </c>
      <c r="CCY16" s="256" t="s">
        <v>77</v>
      </c>
      <c r="CCZ16" s="256" t="s">
        <v>78</v>
      </c>
      <c r="CDA16" s="256" t="s">
        <v>79</v>
      </c>
      <c r="CDB16" s="256" t="s">
        <v>80</v>
      </c>
      <c r="CDC16" s="256" t="s">
        <v>81</v>
      </c>
      <c r="CDD16" s="283"/>
      <c r="CDE16" s="259" t="s">
        <v>55</v>
      </c>
      <c r="CDF16" s="256" t="s">
        <v>76</v>
      </c>
      <c r="CDG16" s="256" t="s">
        <v>77</v>
      </c>
      <c r="CDH16" s="256" t="s">
        <v>78</v>
      </c>
      <c r="CDI16" s="256" t="s">
        <v>79</v>
      </c>
      <c r="CDJ16" s="256" t="s">
        <v>80</v>
      </c>
      <c r="CDK16" s="58" t="s">
        <v>81</v>
      </c>
      <c r="CDL16" s="284"/>
      <c r="CDM16" s="259" t="s">
        <v>55</v>
      </c>
      <c r="CDN16" s="256" t="s">
        <v>76</v>
      </c>
      <c r="CDO16" s="256" t="s">
        <v>77</v>
      </c>
      <c r="CDP16" s="256" t="s">
        <v>78</v>
      </c>
      <c r="CDQ16" s="256" t="s">
        <v>79</v>
      </c>
      <c r="CDR16" s="256" t="s">
        <v>80</v>
      </c>
      <c r="CDS16" s="256" t="s">
        <v>81</v>
      </c>
      <c r="CDT16" s="283"/>
      <c r="CDU16" s="259" t="s">
        <v>55</v>
      </c>
      <c r="CDV16" s="256" t="s">
        <v>76</v>
      </c>
      <c r="CDW16" s="256" t="s">
        <v>77</v>
      </c>
      <c r="CDX16" s="256" t="s">
        <v>78</v>
      </c>
      <c r="CDY16" s="256" t="s">
        <v>79</v>
      </c>
      <c r="CDZ16" s="256" t="s">
        <v>80</v>
      </c>
      <c r="CEA16" s="58" t="s">
        <v>81</v>
      </c>
      <c r="CEB16" s="284"/>
      <c r="CEC16" s="259" t="s">
        <v>55</v>
      </c>
      <c r="CED16" s="256" t="s">
        <v>76</v>
      </c>
      <c r="CEE16" s="256" t="s">
        <v>77</v>
      </c>
      <c r="CEF16" s="256" t="s">
        <v>78</v>
      </c>
      <c r="CEG16" s="256" t="s">
        <v>79</v>
      </c>
      <c r="CEH16" s="256" t="s">
        <v>80</v>
      </c>
      <c r="CEI16" s="256" t="s">
        <v>81</v>
      </c>
      <c r="CEJ16" s="283"/>
      <c r="CEK16" s="259" t="s">
        <v>55</v>
      </c>
      <c r="CEL16" s="256" t="s">
        <v>76</v>
      </c>
      <c r="CEM16" s="256" t="s">
        <v>77</v>
      </c>
      <c r="CEN16" s="256" t="s">
        <v>78</v>
      </c>
      <c r="CEO16" s="256" t="s">
        <v>79</v>
      </c>
      <c r="CEP16" s="256" t="s">
        <v>80</v>
      </c>
      <c r="CEQ16" s="58" t="s">
        <v>81</v>
      </c>
      <c r="CER16" s="284"/>
      <c r="CES16" s="259" t="s">
        <v>55</v>
      </c>
      <c r="CET16" s="256" t="s">
        <v>76</v>
      </c>
      <c r="CEU16" s="256" t="s">
        <v>77</v>
      </c>
      <c r="CEV16" s="256" t="s">
        <v>78</v>
      </c>
      <c r="CEW16" s="256" t="s">
        <v>79</v>
      </c>
      <c r="CEX16" s="256" t="s">
        <v>80</v>
      </c>
      <c r="CEY16" s="256" t="s">
        <v>81</v>
      </c>
      <c r="CEZ16" s="283"/>
      <c r="CFA16" s="259" t="s">
        <v>55</v>
      </c>
      <c r="CFB16" s="256" t="s">
        <v>76</v>
      </c>
      <c r="CFC16" s="256" t="s">
        <v>77</v>
      </c>
      <c r="CFD16" s="256" t="s">
        <v>78</v>
      </c>
      <c r="CFE16" s="256" t="s">
        <v>79</v>
      </c>
      <c r="CFF16" s="256" t="s">
        <v>80</v>
      </c>
      <c r="CFG16" s="58" t="s">
        <v>81</v>
      </c>
      <c r="CFH16" s="284"/>
      <c r="CFI16" s="259" t="s">
        <v>55</v>
      </c>
      <c r="CFJ16" s="256" t="s">
        <v>76</v>
      </c>
      <c r="CFK16" s="256" t="s">
        <v>77</v>
      </c>
      <c r="CFL16" s="256" t="s">
        <v>78</v>
      </c>
      <c r="CFM16" s="256" t="s">
        <v>79</v>
      </c>
      <c r="CFN16" s="256" t="s">
        <v>80</v>
      </c>
      <c r="CFO16" s="256" t="s">
        <v>81</v>
      </c>
      <c r="CFP16" s="283"/>
      <c r="CFQ16" s="259" t="s">
        <v>55</v>
      </c>
      <c r="CFR16" s="256" t="s">
        <v>76</v>
      </c>
      <c r="CFS16" s="256" t="s">
        <v>77</v>
      </c>
      <c r="CFT16" s="256" t="s">
        <v>78</v>
      </c>
      <c r="CFU16" s="256" t="s">
        <v>79</v>
      </c>
      <c r="CFV16" s="256" t="s">
        <v>80</v>
      </c>
      <c r="CFW16" s="58" t="s">
        <v>81</v>
      </c>
      <c r="CFX16" s="284"/>
      <c r="CFY16" s="259" t="s">
        <v>55</v>
      </c>
      <c r="CFZ16" s="256" t="s">
        <v>76</v>
      </c>
      <c r="CGA16" s="256" t="s">
        <v>77</v>
      </c>
      <c r="CGB16" s="256" t="s">
        <v>78</v>
      </c>
      <c r="CGC16" s="256" t="s">
        <v>79</v>
      </c>
      <c r="CGD16" s="256" t="s">
        <v>80</v>
      </c>
      <c r="CGE16" s="256" t="s">
        <v>81</v>
      </c>
      <c r="CGF16" s="283"/>
      <c r="CGG16" s="259" t="s">
        <v>55</v>
      </c>
      <c r="CGH16" s="256" t="s">
        <v>76</v>
      </c>
      <c r="CGI16" s="256" t="s">
        <v>77</v>
      </c>
      <c r="CGJ16" s="256" t="s">
        <v>78</v>
      </c>
      <c r="CGK16" s="256" t="s">
        <v>79</v>
      </c>
      <c r="CGL16" s="256" t="s">
        <v>80</v>
      </c>
      <c r="CGM16" s="58" t="s">
        <v>81</v>
      </c>
      <c r="CGN16" s="284"/>
      <c r="CGO16" s="259" t="s">
        <v>55</v>
      </c>
      <c r="CGP16" s="256" t="s">
        <v>76</v>
      </c>
      <c r="CGQ16" s="256" t="s">
        <v>77</v>
      </c>
      <c r="CGR16" s="256" t="s">
        <v>78</v>
      </c>
      <c r="CGS16" s="256" t="s">
        <v>79</v>
      </c>
      <c r="CGT16" s="256" t="s">
        <v>80</v>
      </c>
      <c r="CGU16" s="256" t="s">
        <v>81</v>
      </c>
      <c r="CGV16" s="283"/>
      <c r="CGW16" s="259" t="s">
        <v>55</v>
      </c>
      <c r="CGX16" s="256" t="s">
        <v>76</v>
      </c>
      <c r="CGY16" s="256" t="s">
        <v>77</v>
      </c>
      <c r="CGZ16" s="256" t="s">
        <v>78</v>
      </c>
      <c r="CHA16" s="256" t="s">
        <v>79</v>
      </c>
      <c r="CHB16" s="256" t="s">
        <v>80</v>
      </c>
      <c r="CHC16" s="58" t="s">
        <v>81</v>
      </c>
      <c r="CHD16" s="284"/>
      <c r="CHE16" s="259" t="s">
        <v>55</v>
      </c>
      <c r="CHF16" s="256" t="s">
        <v>76</v>
      </c>
      <c r="CHG16" s="256" t="s">
        <v>77</v>
      </c>
      <c r="CHH16" s="256" t="s">
        <v>78</v>
      </c>
      <c r="CHI16" s="256" t="s">
        <v>79</v>
      </c>
      <c r="CHJ16" s="256" t="s">
        <v>80</v>
      </c>
      <c r="CHK16" s="256" t="s">
        <v>81</v>
      </c>
      <c r="CHL16" s="283"/>
      <c r="CHM16" s="259" t="s">
        <v>55</v>
      </c>
      <c r="CHN16" s="256" t="s">
        <v>76</v>
      </c>
      <c r="CHO16" s="256" t="s">
        <v>77</v>
      </c>
      <c r="CHP16" s="256" t="s">
        <v>78</v>
      </c>
      <c r="CHQ16" s="256" t="s">
        <v>79</v>
      </c>
      <c r="CHR16" s="256" t="s">
        <v>80</v>
      </c>
      <c r="CHS16" s="58" t="s">
        <v>81</v>
      </c>
      <c r="CHT16" s="284"/>
      <c r="CHU16" s="259" t="s">
        <v>55</v>
      </c>
      <c r="CHV16" s="256" t="s">
        <v>76</v>
      </c>
      <c r="CHW16" s="256" t="s">
        <v>77</v>
      </c>
      <c r="CHX16" s="256" t="s">
        <v>78</v>
      </c>
      <c r="CHY16" s="256" t="s">
        <v>79</v>
      </c>
      <c r="CHZ16" s="256" t="s">
        <v>80</v>
      </c>
      <c r="CIA16" s="256" t="s">
        <v>81</v>
      </c>
      <c r="CIB16" s="283"/>
      <c r="CIC16" s="259" t="s">
        <v>55</v>
      </c>
      <c r="CID16" s="256" t="s">
        <v>76</v>
      </c>
      <c r="CIE16" s="256" t="s">
        <v>77</v>
      </c>
      <c r="CIF16" s="256" t="s">
        <v>78</v>
      </c>
      <c r="CIG16" s="256" t="s">
        <v>79</v>
      </c>
      <c r="CIH16" s="256" t="s">
        <v>80</v>
      </c>
      <c r="CII16" s="58" t="s">
        <v>81</v>
      </c>
      <c r="CIJ16" s="284"/>
      <c r="CIK16" s="259" t="s">
        <v>55</v>
      </c>
      <c r="CIL16" s="256" t="s">
        <v>76</v>
      </c>
      <c r="CIM16" s="256" t="s">
        <v>77</v>
      </c>
      <c r="CIN16" s="256" t="s">
        <v>78</v>
      </c>
      <c r="CIO16" s="256" t="s">
        <v>79</v>
      </c>
      <c r="CIP16" s="256" t="s">
        <v>80</v>
      </c>
      <c r="CIQ16" s="256" t="s">
        <v>81</v>
      </c>
      <c r="CIR16" s="283"/>
      <c r="CIS16" s="259" t="s">
        <v>55</v>
      </c>
      <c r="CIT16" s="256" t="s">
        <v>76</v>
      </c>
      <c r="CIU16" s="256" t="s">
        <v>77</v>
      </c>
      <c r="CIV16" s="256" t="s">
        <v>78</v>
      </c>
      <c r="CIW16" s="256" t="s">
        <v>79</v>
      </c>
      <c r="CIX16" s="256" t="s">
        <v>80</v>
      </c>
      <c r="CIY16" s="58" t="s">
        <v>81</v>
      </c>
      <c r="CIZ16" s="284"/>
      <c r="CJA16" s="259" t="s">
        <v>55</v>
      </c>
      <c r="CJB16" s="256" t="s">
        <v>76</v>
      </c>
      <c r="CJC16" s="256" t="s">
        <v>77</v>
      </c>
      <c r="CJD16" s="256" t="s">
        <v>78</v>
      </c>
      <c r="CJE16" s="256" t="s">
        <v>79</v>
      </c>
      <c r="CJF16" s="256" t="s">
        <v>80</v>
      </c>
      <c r="CJG16" s="256" t="s">
        <v>81</v>
      </c>
      <c r="CJH16" s="283"/>
      <c r="CJI16" s="259" t="s">
        <v>55</v>
      </c>
      <c r="CJJ16" s="256" t="s">
        <v>76</v>
      </c>
      <c r="CJK16" s="256" t="s">
        <v>77</v>
      </c>
      <c r="CJL16" s="256" t="s">
        <v>78</v>
      </c>
      <c r="CJM16" s="256" t="s">
        <v>79</v>
      </c>
      <c r="CJN16" s="256" t="s">
        <v>80</v>
      </c>
      <c r="CJO16" s="58" t="s">
        <v>81</v>
      </c>
      <c r="CJP16" s="284"/>
      <c r="CJQ16" s="259" t="s">
        <v>55</v>
      </c>
      <c r="CJR16" s="256" t="s">
        <v>76</v>
      </c>
      <c r="CJS16" s="256" t="s">
        <v>77</v>
      </c>
      <c r="CJT16" s="256" t="s">
        <v>78</v>
      </c>
      <c r="CJU16" s="256" t="s">
        <v>79</v>
      </c>
      <c r="CJV16" s="256" t="s">
        <v>80</v>
      </c>
      <c r="CJW16" s="256" t="s">
        <v>81</v>
      </c>
      <c r="CJX16" s="283"/>
      <c r="CJY16" s="259" t="s">
        <v>55</v>
      </c>
      <c r="CJZ16" s="256" t="s">
        <v>76</v>
      </c>
      <c r="CKA16" s="256" t="s">
        <v>77</v>
      </c>
      <c r="CKB16" s="256" t="s">
        <v>78</v>
      </c>
      <c r="CKC16" s="256" t="s">
        <v>79</v>
      </c>
      <c r="CKD16" s="256" t="s">
        <v>80</v>
      </c>
      <c r="CKE16" s="58" t="s">
        <v>81</v>
      </c>
      <c r="CKF16" s="284"/>
      <c r="CKG16" s="259" t="s">
        <v>55</v>
      </c>
      <c r="CKH16" s="256" t="s">
        <v>76</v>
      </c>
      <c r="CKI16" s="256" t="s">
        <v>77</v>
      </c>
      <c r="CKJ16" s="256" t="s">
        <v>78</v>
      </c>
      <c r="CKK16" s="256" t="s">
        <v>79</v>
      </c>
      <c r="CKL16" s="256" t="s">
        <v>80</v>
      </c>
      <c r="CKM16" s="256" t="s">
        <v>81</v>
      </c>
      <c r="CKN16" s="283"/>
      <c r="CKO16" s="259" t="s">
        <v>55</v>
      </c>
      <c r="CKP16" s="256" t="s">
        <v>76</v>
      </c>
      <c r="CKQ16" s="256" t="s">
        <v>77</v>
      </c>
      <c r="CKR16" s="256" t="s">
        <v>78</v>
      </c>
      <c r="CKS16" s="256" t="s">
        <v>79</v>
      </c>
      <c r="CKT16" s="256" t="s">
        <v>80</v>
      </c>
      <c r="CKU16" s="58" t="s">
        <v>81</v>
      </c>
      <c r="CKV16" s="284"/>
      <c r="CKW16" s="259" t="s">
        <v>55</v>
      </c>
      <c r="CKX16" s="256" t="s">
        <v>76</v>
      </c>
      <c r="CKY16" s="256" t="s">
        <v>77</v>
      </c>
      <c r="CKZ16" s="256" t="s">
        <v>78</v>
      </c>
      <c r="CLA16" s="256" t="s">
        <v>79</v>
      </c>
      <c r="CLB16" s="256" t="s">
        <v>80</v>
      </c>
      <c r="CLC16" s="256" t="s">
        <v>81</v>
      </c>
      <c r="CLD16" s="283"/>
      <c r="CLE16" s="259" t="s">
        <v>55</v>
      </c>
      <c r="CLF16" s="256" t="s">
        <v>76</v>
      </c>
      <c r="CLG16" s="256" t="s">
        <v>77</v>
      </c>
      <c r="CLH16" s="256" t="s">
        <v>78</v>
      </c>
      <c r="CLI16" s="256" t="s">
        <v>79</v>
      </c>
      <c r="CLJ16" s="256" t="s">
        <v>80</v>
      </c>
      <c r="CLK16" s="58" t="s">
        <v>81</v>
      </c>
      <c r="CLL16" s="284"/>
      <c r="CLM16" s="259" t="s">
        <v>55</v>
      </c>
      <c r="CLN16" s="256" t="s">
        <v>76</v>
      </c>
      <c r="CLO16" s="256" t="s">
        <v>77</v>
      </c>
      <c r="CLP16" s="256" t="s">
        <v>78</v>
      </c>
      <c r="CLQ16" s="256" t="s">
        <v>79</v>
      </c>
      <c r="CLR16" s="256" t="s">
        <v>80</v>
      </c>
      <c r="CLS16" s="256" t="s">
        <v>81</v>
      </c>
      <c r="CLT16" s="283"/>
      <c r="CLU16" s="259" t="s">
        <v>55</v>
      </c>
      <c r="CLV16" s="256" t="s">
        <v>76</v>
      </c>
      <c r="CLW16" s="256" t="s">
        <v>77</v>
      </c>
      <c r="CLX16" s="256" t="s">
        <v>78</v>
      </c>
      <c r="CLY16" s="256" t="s">
        <v>79</v>
      </c>
      <c r="CLZ16" s="256" t="s">
        <v>80</v>
      </c>
      <c r="CMA16" s="58" t="s">
        <v>81</v>
      </c>
      <c r="CMB16" s="284"/>
      <c r="CMC16" s="259" t="s">
        <v>55</v>
      </c>
      <c r="CMD16" s="256" t="s">
        <v>76</v>
      </c>
      <c r="CME16" s="256" t="s">
        <v>77</v>
      </c>
      <c r="CMF16" s="256" t="s">
        <v>78</v>
      </c>
      <c r="CMG16" s="256" t="s">
        <v>79</v>
      </c>
      <c r="CMH16" s="256" t="s">
        <v>80</v>
      </c>
      <c r="CMI16" s="256" t="s">
        <v>81</v>
      </c>
      <c r="CMJ16" s="283"/>
      <c r="CMK16" s="259" t="s">
        <v>55</v>
      </c>
      <c r="CML16" s="256" t="s">
        <v>76</v>
      </c>
      <c r="CMM16" s="256" t="s">
        <v>77</v>
      </c>
      <c r="CMN16" s="256" t="s">
        <v>78</v>
      </c>
      <c r="CMO16" s="256" t="s">
        <v>79</v>
      </c>
      <c r="CMP16" s="256" t="s">
        <v>80</v>
      </c>
      <c r="CMQ16" s="58" t="s">
        <v>81</v>
      </c>
      <c r="CMR16" s="284"/>
      <c r="CMS16" s="259" t="s">
        <v>55</v>
      </c>
      <c r="CMT16" s="256" t="s">
        <v>76</v>
      </c>
      <c r="CMU16" s="256" t="s">
        <v>77</v>
      </c>
      <c r="CMV16" s="256" t="s">
        <v>78</v>
      </c>
      <c r="CMW16" s="256" t="s">
        <v>79</v>
      </c>
      <c r="CMX16" s="256" t="s">
        <v>80</v>
      </c>
      <c r="CMY16" s="256" t="s">
        <v>81</v>
      </c>
      <c r="CMZ16" s="283"/>
      <c r="CNA16" s="259" t="s">
        <v>55</v>
      </c>
      <c r="CNB16" s="256" t="s">
        <v>76</v>
      </c>
      <c r="CNC16" s="256" t="s">
        <v>77</v>
      </c>
      <c r="CND16" s="256" t="s">
        <v>78</v>
      </c>
      <c r="CNE16" s="256" t="s">
        <v>79</v>
      </c>
      <c r="CNF16" s="256" t="s">
        <v>80</v>
      </c>
      <c r="CNG16" s="58" t="s">
        <v>81</v>
      </c>
      <c r="CNH16" s="284"/>
      <c r="CNI16" s="259" t="s">
        <v>55</v>
      </c>
      <c r="CNJ16" s="256" t="s">
        <v>76</v>
      </c>
      <c r="CNK16" s="256" t="s">
        <v>77</v>
      </c>
      <c r="CNL16" s="256" t="s">
        <v>78</v>
      </c>
      <c r="CNM16" s="256" t="s">
        <v>79</v>
      </c>
      <c r="CNN16" s="256" t="s">
        <v>80</v>
      </c>
      <c r="CNO16" s="256" t="s">
        <v>81</v>
      </c>
      <c r="CNP16" s="283"/>
      <c r="CNQ16" s="259" t="s">
        <v>55</v>
      </c>
      <c r="CNR16" s="256" t="s">
        <v>76</v>
      </c>
      <c r="CNS16" s="256" t="s">
        <v>77</v>
      </c>
      <c r="CNT16" s="256" t="s">
        <v>78</v>
      </c>
      <c r="CNU16" s="256" t="s">
        <v>79</v>
      </c>
      <c r="CNV16" s="256" t="s">
        <v>80</v>
      </c>
      <c r="CNW16" s="58" t="s">
        <v>81</v>
      </c>
      <c r="CNX16" s="284"/>
      <c r="CNY16" s="259" t="s">
        <v>55</v>
      </c>
      <c r="CNZ16" s="256" t="s">
        <v>76</v>
      </c>
      <c r="COA16" s="256" t="s">
        <v>77</v>
      </c>
      <c r="COB16" s="256" t="s">
        <v>78</v>
      </c>
      <c r="COC16" s="256" t="s">
        <v>79</v>
      </c>
      <c r="COD16" s="256" t="s">
        <v>80</v>
      </c>
      <c r="COE16" s="256" t="s">
        <v>81</v>
      </c>
      <c r="COF16" s="283"/>
      <c r="COG16" s="259" t="s">
        <v>55</v>
      </c>
      <c r="COH16" s="256" t="s">
        <v>76</v>
      </c>
      <c r="COI16" s="256" t="s">
        <v>77</v>
      </c>
      <c r="COJ16" s="256" t="s">
        <v>78</v>
      </c>
      <c r="COK16" s="256" t="s">
        <v>79</v>
      </c>
      <c r="COL16" s="256" t="s">
        <v>80</v>
      </c>
      <c r="COM16" s="58" t="s">
        <v>81</v>
      </c>
      <c r="CON16" s="284"/>
      <c r="COO16" s="259" t="s">
        <v>55</v>
      </c>
      <c r="COP16" s="256" t="s">
        <v>76</v>
      </c>
      <c r="COQ16" s="256" t="s">
        <v>77</v>
      </c>
      <c r="COR16" s="256" t="s">
        <v>78</v>
      </c>
      <c r="COS16" s="256" t="s">
        <v>79</v>
      </c>
      <c r="COT16" s="256" t="s">
        <v>80</v>
      </c>
      <c r="COU16" s="256" t="s">
        <v>81</v>
      </c>
      <c r="COV16" s="283"/>
      <c r="COW16" s="259" t="s">
        <v>55</v>
      </c>
      <c r="COX16" s="256" t="s">
        <v>76</v>
      </c>
      <c r="COY16" s="256" t="s">
        <v>77</v>
      </c>
      <c r="COZ16" s="256" t="s">
        <v>78</v>
      </c>
      <c r="CPA16" s="256" t="s">
        <v>79</v>
      </c>
      <c r="CPB16" s="256" t="s">
        <v>80</v>
      </c>
      <c r="CPC16" s="58" t="s">
        <v>81</v>
      </c>
      <c r="CPD16" s="284"/>
      <c r="CPE16" s="259" t="s">
        <v>55</v>
      </c>
      <c r="CPF16" s="256" t="s">
        <v>76</v>
      </c>
      <c r="CPG16" s="256" t="s">
        <v>77</v>
      </c>
      <c r="CPH16" s="256" t="s">
        <v>78</v>
      </c>
      <c r="CPI16" s="256" t="s">
        <v>79</v>
      </c>
      <c r="CPJ16" s="256" t="s">
        <v>80</v>
      </c>
      <c r="CPK16" s="256" t="s">
        <v>81</v>
      </c>
      <c r="CPL16" s="283"/>
      <c r="CPM16" s="259" t="s">
        <v>55</v>
      </c>
      <c r="CPN16" s="256" t="s">
        <v>76</v>
      </c>
      <c r="CPO16" s="256" t="s">
        <v>77</v>
      </c>
      <c r="CPP16" s="256" t="s">
        <v>78</v>
      </c>
      <c r="CPQ16" s="256" t="s">
        <v>79</v>
      </c>
      <c r="CPR16" s="256" t="s">
        <v>80</v>
      </c>
      <c r="CPS16" s="58" t="s">
        <v>81</v>
      </c>
      <c r="CPT16" s="284"/>
      <c r="CPU16" s="259" t="s">
        <v>55</v>
      </c>
      <c r="CPV16" s="256" t="s">
        <v>76</v>
      </c>
      <c r="CPW16" s="256" t="s">
        <v>77</v>
      </c>
      <c r="CPX16" s="256" t="s">
        <v>78</v>
      </c>
      <c r="CPY16" s="256" t="s">
        <v>79</v>
      </c>
      <c r="CPZ16" s="256" t="s">
        <v>80</v>
      </c>
      <c r="CQA16" s="256" t="s">
        <v>81</v>
      </c>
      <c r="CQB16" s="283"/>
      <c r="CQC16" s="259" t="s">
        <v>55</v>
      </c>
      <c r="CQD16" s="256" t="s">
        <v>76</v>
      </c>
      <c r="CQE16" s="256" t="s">
        <v>77</v>
      </c>
      <c r="CQF16" s="256" t="s">
        <v>78</v>
      </c>
      <c r="CQG16" s="256" t="s">
        <v>79</v>
      </c>
      <c r="CQH16" s="256" t="s">
        <v>80</v>
      </c>
      <c r="CQI16" s="58" t="s">
        <v>81</v>
      </c>
      <c r="CQJ16" s="284"/>
      <c r="CQK16" s="259" t="s">
        <v>55</v>
      </c>
      <c r="CQL16" s="256" t="s">
        <v>76</v>
      </c>
      <c r="CQM16" s="256" t="s">
        <v>77</v>
      </c>
      <c r="CQN16" s="256" t="s">
        <v>78</v>
      </c>
      <c r="CQO16" s="256" t="s">
        <v>79</v>
      </c>
      <c r="CQP16" s="256" t="s">
        <v>80</v>
      </c>
      <c r="CQQ16" s="256" t="s">
        <v>81</v>
      </c>
      <c r="CQR16" s="283"/>
      <c r="CQS16" s="259" t="s">
        <v>55</v>
      </c>
      <c r="CQT16" s="256" t="s">
        <v>76</v>
      </c>
      <c r="CQU16" s="256" t="s">
        <v>77</v>
      </c>
      <c r="CQV16" s="256" t="s">
        <v>78</v>
      </c>
      <c r="CQW16" s="256" t="s">
        <v>79</v>
      </c>
      <c r="CQX16" s="256" t="s">
        <v>80</v>
      </c>
      <c r="CQY16" s="58" t="s">
        <v>81</v>
      </c>
      <c r="CQZ16" s="284"/>
      <c r="CRA16" s="259" t="s">
        <v>55</v>
      </c>
      <c r="CRB16" s="256" t="s">
        <v>76</v>
      </c>
      <c r="CRC16" s="256" t="s">
        <v>77</v>
      </c>
      <c r="CRD16" s="256" t="s">
        <v>78</v>
      </c>
      <c r="CRE16" s="256" t="s">
        <v>79</v>
      </c>
      <c r="CRF16" s="256" t="s">
        <v>80</v>
      </c>
      <c r="CRG16" s="256" t="s">
        <v>81</v>
      </c>
      <c r="CRH16" s="283"/>
      <c r="CRI16" s="259" t="s">
        <v>55</v>
      </c>
      <c r="CRJ16" s="256" t="s">
        <v>76</v>
      </c>
      <c r="CRK16" s="256" t="s">
        <v>77</v>
      </c>
      <c r="CRL16" s="256" t="s">
        <v>78</v>
      </c>
      <c r="CRM16" s="256" t="s">
        <v>79</v>
      </c>
      <c r="CRN16" s="256" t="s">
        <v>80</v>
      </c>
      <c r="CRO16" s="58" t="s">
        <v>81</v>
      </c>
      <c r="CRP16" s="284"/>
      <c r="CRQ16" s="259" t="s">
        <v>55</v>
      </c>
      <c r="CRR16" s="256" t="s">
        <v>76</v>
      </c>
      <c r="CRS16" s="256" t="s">
        <v>77</v>
      </c>
      <c r="CRT16" s="256" t="s">
        <v>78</v>
      </c>
      <c r="CRU16" s="256" t="s">
        <v>79</v>
      </c>
      <c r="CRV16" s="256" t="s">
        <v>80</v>
      </c>
      <c r="CRW16" s="256" t="s">
        <v>81</v>
      </c>
      <c r="CRX16" s="283"/>
      <c r="CRY16" s="259" t="s">
        <v>55</v>
      </c>
      <c r="CRZ16" s="256" t="s">
        <v>76</v>
      </c>
      <c r="CSA16" s="256" t="s">
        <v>77</v>
      </c>
      <c r="CSB16" s="256" t="s">
        <v>78</v>
      </c>
      <c r="CSC16" s="256" t="s">
        <v>79</v>
      </c>
      <c r="CSD16" s="256" t="s">
        <v>80</v>
      </c>
      <c r="CSE16" s="58" t="s">
        <v>81</v>
      </c>
      <c r="CSF16" s="284"/>
      <c r="CSG16" s="259" t="s">
        <v>55</v>
      </c>
      <c r="CSH16" s="256" t="s">
        <v>76</v>
      </c>
      <c r="CSI16" s="256" t="s">
        <v>77</v>
      </c>
      <c r="CSJ16" s="256" t="s">
        <v>78</v>
      </c>
      <c r="CSK16" s="256" t="s">
        <v>79</v>
      </c>
      <c r="CSL16" s="256" t="s">
        <v>80</v>
      </c>
      <c r="CSM16" s="256" t="s">
        <v>81</v>
      </c>
      <c r="CSN16" s="283"/>
      <c r="CSO16" s="259" t="s">
        <v>55</v>
      </c>
      <c r="CSP16" s="256" t="s">
        <v>76</v>
      </c>
      <c r="CSQ16" s="256" t="s">
        <v>77</v>
      </c>
      <c r="CSR16" s="256" t="s">
        <v>78</v>
      </c>
      <c r="CSS16" s="256" t="s">
        <v>79</v>
      </c>
      <c r="CST16" s="256" t="s">
        <v>80</v>
      </c>
      <c r="CSU16" s="58" t="s">
        <v>81</v>
      </c>
      <c r="CSV16" s="284"/>
      <c r="CSW16" s="259" t="s">
        <v>55</v>
      </c>
      <c r="CSX16" s="256" t="s">
        <v>76</v>
      </c>
      <c r="CSY16" s="256" t="s">
        <v>77</v>
      </c>
      <c r="CSZ16" s="256" t="s">
        <v>78</v>
      </c>
      <c r="CTA16" s="256" t="s">
        <v>79</v>
      </c>
      <c r="CTB16" s="256" t="s">
        <v>80</v>
      </c>
      <c r="CTC16" s="256" t="s">
        <v>81</v>
      </c>
      <c r="CTD16" s="283"/>
      <c r="CTE16" s="259" t="s">
        <v>55</v>
      </c>
      <c r="CTF16" s="256" t="s">
        <v>76</v>
      </c>
      <c r="CTG16" s="256" t="s">
        <v>77</v>
      </c>
      <c r="CTH16" s="256" t="s">
        <v>78</v>
      </c>
      <c r="CTI16" s="256" t="s">
        <v>79</v>
      </c>
      <c r="CTJ16" s="256" t="s">
        <v>80</v>
      </c>
      <c r="CTK16" s="58" t="s">
        <v>81</v>
      </c>
      <c r="CTL16" s="284"/>
      <c r="CTM16" s="259" t="s">
        <v>55</v>
      </c>
      <c r="CTN16" s="256" t="s">
        <v>76</v>
      </c>
      <c r="CTO16" s="256" t="s">
        <v>77</v>
      </c>
      <c r="CTP16" s="256" t="s">
        <v>78</v>
      </c>
      <c r="CTQ16" s="256" t="s">
        <v>79</v>
      </c>
      <c r="CTR16" s="256" t="s">
        <v>80</v>
      </c>
      <c r="CTS16" s="256" t="s">
        <v>81</v>
      </c>
      <c r="CTT16" s="283"/>
      <c r="CTU16" s="259" t="s">
        <v>55</v>
      </c>
      <c r="CTV16" s="256" t="s">
        <v>76</v>
      </c>
      <c r="CTW16" s="256" t="s">
        <v>77</v>
      </c>
      <c r="CTX16" s="256" t="s">
        <v>78</v>
      </c>
      <c r="CTY16" s="256" t="s">
        <v>79</v>
      </c>
      <c r="CTZ16" s="256" t="s">
        <v>80</v>
      </c>
      <c r="CUA16" s="58" t="s">
        <v>81</v>
      </c>
      <c r="CUB16" s="284"/>
      <c r="CUC16" s="259" t="s">
        <v>55</v>
      </c>
      <c r="CUD16" s="256" t="s">
        <v>76</v>
      </c>
      <c r="CUE16" s="256" t="s">
        <v>77</v>
      </c>
      <c r="CUF16" s="256" t="s">
        <v>78</v>
      </c>
      <c r="CUG16" s="256" t="s">
        <v>79</v>
      </c>
      <c r="CUH16" s="256" t="s">
        <v>80</v>
      </c>
      <c r="CUI16" s="256" t="s">
        <v>81</v>
      </c>
      <c r="CUJ16" s="283"/>
      <c r="CUK16" s="259" t="s">
        <v>55</v>
      </c>
      <c r="CUL16" s="256" t="s">
        <v>76</v>
      </c>
      <c r="CUM16" s="256" t="s">
        <v>77</v>
      </c>
      <c r="CUN16" s="256" t="s">
        <v>78</v>
      </c>
      <c r="CUO16" s="256" t="s">
        <v>79</v>
      </c>
      <c r="CUP16" s="256" t="s">
        <v>80</v>
      </c>
      <c r="CUQ16" s="58" t="s">
        <v>81</v>
      </c>
      <c r="CUR16" s="284"/>
      <c r="CUS16" s="259" t="s">
        <v>55</v>
      </c>
      <c r="CUT16" s="256" t="s">
        <v>76</v>
      </c>
      <c r="CUU16" s="256" t="s">
        <v>77</v>
      </c>
      <c r="CUV16" s="256" t="s">
        <v>78</v>
      </c>
      <c r="CUW16" s="256" t="s">
        <v>79</v>
      </c>
      <c r="CUX16" s="256" t="s">
        <v>80</v>
      </c>
      <c r="CUY16" s="256" t="s">
        <v>81</v>
      </c>
      <c r="CUZ16" s="283"/>
      <c r="CVA16" s="259" t="s">
        <v>55</v>
      </c>
      <c r="CVB16" s="256" t="s">
        <v>76</v>
      </c>
      <c r="CVC16" s="256" t="s">
        <v>77</v>
      </c>
      <c r="CVD16" s="256" t="s">
        <v>78</v>
      </c>
      <c r="CVE16" s="256" t="s">
        <v>79</v>
      </c>
      <c r="CVF16" s="256" t="s">
        <v>80</v>
      </c>
      <c r="CVG16" s="58" t="s">
        <v>81</v>
      </c>
      <c r="CVH16" s="284"/>
      <c r="CVI16" s="259" t="s">
        <v>55</v>
      </c>
      <c r="CVJ16" s="256" t="s">
        <v>76</v>
      </c>
      <c r="CVK16" s="256" t="s">
        <v>77</v>
      </c>
      <c r="CVL16" s="256" t="s">
        <v>78</v>
      </c>
      <c r="CVM16" s="256" t="s">
        <v>79</v>
      </c>
      <c r="CVN16" s="256" t="s">
        <v>80</v>
      </c>
      <c r="CVO16" s="256" t="s">
        <v>81</v>
      </c>
      <c r="CVP16" s="283"/>
      <c r="CVQ16" s="259" t="s">
        <v>55</v>
      </c>
      <c r="CVR16" s="256" t="s">
        <v>76</v>
      </c>
      <c r="CVS16" s="256" t="s">
        <v>77</v>
      </c>
      <c r="CVT16" s="256" t="s">
        <v>78</v>
      </c>
      <c r="CVU16" s="256" t="s">
        <v>79</v>
      </c>
      <c r="CVV16" s="256" t="s">
        <v>80</v>
      </c>
      <c r="CVW16" s="58" t="s">
        <v>81</v>
      </c>
      <c r="CVX16" s="284"/>
      <c r="CVY16" s="259" t="s">
        <v>55</v>
      </c>
      <c r="CVZ16" s="256" t="s">
        <v>76</v>
      </c>
      <c r="CWA16" s="256" t="s">
        <v>77</v>
      </c>
      <c r="CWB16" s="256" t="s">
        <v>78</v>
      </c>
      <c r="CWC16" s="256" t="s">
        <v>79</v>
      </c>
      <c r="CWD16" s="256" t="s">
        <v>80</v>
      </c>
      <c r="CWE16" s="256" t="s">
        <v>81</v>
      </c>
      <c r="CWF16" s="283"/>
      <c r="CWG16" s="259" t="s">
        <v>55</v>
      </c>
      <c r="CWH16" s="256" t="s">
        <v>76</v>
      </c>
      <c r="CWI16" s="256" t="s">
        <v>77</v>
      </c>
      <c r="CWJ16" s="256" t="s">
        <v>78</v>
      </c>
      <c r="CWK16" s="256" t="s">
        <v>79</v>
      </c>
      <c r="CWL16" s="256" t="s">
        <v>80</v>
      </c>
      <c r="CWM16" s="58" t="s">
        <v>81</v>
      </c>
      <c r="CWN16" s="284"/>
      <c r="CWO16" s="259" t="s">
        <v>55</v>
      </c>
      <c r="CWP16" s="256" t="s">
        <v>76</v>
      </c>
      <c r="CWQ16" s="256" t="s">
        <v>77</v>
      </c>
      <c r="CWR16" s="256" t="s">
        <v>78</v>
      </c>
      <c r="CWS16" s="256" t="s">
        <v>79</v>
      </c>
      <c r="CWT16" s="256" t="s">
        <v>80</v>
      </c>
      <c r="CWU16" s="256" t="s">
        <v>81</v>
      </c>
      <c r="CWV16" s="283"/>
      <c r="CWW16" s="259" t="s">
        <v>55</v>
      </c>
      <c r="CWX16" s="256" t="s">
        <v>76</v>
      </c>
      <c r="CWY16" s="256" t="s">
        <v>77</v>
      </c>
      <c r="CWZ16" s="256" t="s">
        <v>78</v>
      </c>
      <c r="CXA16" s="256" t="s">
        <v>79</v>
      </c>
      <c r="CXB16" s="256" t="s">
        <v>80</v>
      </c>
      <c r="CXC16" s="58" t="s">
        <v>81</v>
      </c>
      <c r="CXD16" s="284"/>
      <c r="CXE16" s="259" t="s">
        <v>55</v>
      </c>
      <c r="CXF16" s="256" t="s">
        <v>76</v>
      </c>
      <c r="CXG16" s="256" t="s">
        <v>77</v>
      </c>
      <c r="CXH16" s="256" t="s">
        <v>78</v>
      </c>
      <c r="CXI16" s="256" t="s">
        <v>79</v>
      </c>
      <c r="CXJ16" s="256" t="s">
        <v>80</v>
      </c>
      <c r="CXK16" s="256" t="s">
        <v>81</v>
      </c>
      <c r="CXL16" s="283"/>
      <c r="CXM16" s="259" t="s">
        <v>55</v>
      </c>
      <c r="CXN16" s="256" t="s">
        <v>76</v>
      </c>
      <c r="CXO16" s="256" t="s">
        <v>77</v>
      </c>
      <c r="CXP16" s="256" t="s">
        <v>78</v>
      </c>
      <c r="CXQ16" s="256" t="s">
        <v>79</v>
      </c>
      <c r="CXR16" s="256" t="s">
        <v>80</v>
      </c>
      <c r="CXS16" s="58" t="s">
        <v>81</v>
      </c>
      <c r="CXT16" s="284"/>
      <c r="CXU16" s="259" t="s">
        <v>55</v>
      </c>
      <c r="CXV16" s="256" t="s">
        <v>76</v>
      </c>
      <c r="CXW16" s="256" t="s">
        <v>77</v>
      </c>
      <c r="CXX16" s="256" t="s">
        <v>78</v>
      </c>
      <c r="CXY16" s="256" t="s">
        <v>79</v>
      </c>
      <c r="CXZ16" s="256" t="s">
        <v>80</v>
      </c>
      <c r="CYA16" s="256" t="s">
        <v>81</v>
      </c>
      <c r="CYB16" s="283"/>
      <c r="CYC16" s="259" t="s">
        <v>55</v>
      </c>
      <c r="CYD16" s="256" t="s">
        <v>76</v>
      </c>
      <c r="CYE16" s="256" t="s">
        <v>77</v>
      </c>
      <c r="CYF16" s="256" t="s">
        <v>78</v>
      </c>
      <c r="CYG16" s="256" t="s">
        <v>79</v>
      </c>
      <c r="CYH16" s="256" t="s">
        <v>80</v>
      </c>
      <c r="CYI16" s="58" t="s">
        <v>81</v>
      </c>
      <c r="CYJ16" s="284"/>
      <c r="CYK16" s="259" t="s">
        <v>55</v>
      </c>
      <c r="CYL16" s="256" t="s">
        <v>76</v>
      </c>
      <c r="CYM16" s="256" t="s">
        <v>77</v>
      </c>
      <c r="CYN16" s="256" t="s">
        <v>78</v>
      </c>
      <c r="CYO16" s="256" t="s">
        <v>79</v>
      </c>
      <c r="CYP16" s="256" t="s">
        <v>80</v>
      </c>
      <c r="CYQ16" s="256" t="s">
        <v>81</v>
      </c>
      <c r="CYR16" s="283"/>
      <c r="CYS16" s="259" t="s">
        <v>55</v>
      </c>
      <c r="CYT16" s="256" t="s">
        <v>76</v>
      </c>
      <c r="CYU16" s="256" t="s">
        <v>77</v>
      </c>
      <c r="CYV16" s="256" t="s">
        <v>78</v>
      </c>
      <c r="CYW16" s="256" t="s">
        <v>79</v>
      </c>
      <c r="CYX16" s="256" t="s">
        <v>80</v>
      </c>
      <c r="CYY16" s="58" t="s">
        <v>81</v>
      </c>
      <c r="CYZ16" s="284"/>
      <c r="CZA16" s="259" t="s">
        <v>55</v>
      </c>
      <c r="CZB16" s="256" t="s">
        <v>76</v>
      </c>
      <c r="CZC16" s="256" t="s">
        <v>77</v>
      </c>
      <c r="CZD16" s="256" t="s">
        <v>78</v>
      </c>
      <c r="CZE16" s="256" t="s">
        <v>79</v>
      </c>
      <c r="CZF16" s="256" t="s">
        <v>80</v>
      </c>
      <c r="CZG16" s="256" t="s">
        <v>81</v>
      </c>
      <c r="CZH16" s="283"/>
      <c r="CZI16" s="259" t="s">
        <v>55</v>
      </c>
      <c r="CZJ16" s="256" t="s">
        <v>76</v>
      </c>
      <c r="CZK16" s="256" t="s">
        <v>77</v>
      </c>
      <c r="CZL16" s="256" t="s">
        <v>78</v>
      </c>
      <c r="CZM16" s="256" t="s">
        <v>79</v>
      </c>
      <c r="CZN16" s="256" t="s">
        <v>80</v>
      </c>
      <c r="CZO16" s="58" t="s">
        <v>81</v>
      </c>
      <c r="CZP16" s="284"/>
      <c r="CZQ16" s="259" t="s">
        <v>55</v>
      </c>
      <c r="CZR16" s="256" t="s">
        <v>76</v>
      </c>
      <c r="CZS16" s="256" t="s">
        <v>77</v>
      </c>
      <c r="CZT16" s="256" t="s">
        <v>78</v>
      </c>
      <c r="CZU16" s="256" t="s">
        <v>79</v>
      </c>
      <c r="CZV16" s="256" t="s">
        <v>80</v>
      </c>
      <c r="CZW16" s="256" t="s">
        <v>81</v>
      </c>
      <c r="CZX16" s="283"/>
      <c r="CZY16" s="259" t="s">
        <v>55</v>
      </c>
      <c r="CZZ16" s="256" t="s">
        <v>76</v>
      </c>
      <c r="DAA16" s="256" t="s">
        <v>77</v>
      </c>
      <c r="DAB16" s="256" t="s">
        <v>78</v>
      </c>
      <c r="DAC16" s="256" t="s">
        <v>79</v>
      </c>
      <c r="DAD16" s="256" t="s">
        <v>80</v>
      </c>
      <c r="DAE16" s="58" t="s">
        <v>81</v>
      </c>
      <c r="DAF16" s="284"/>
      <c r="DAG16" s="259" t="s">
        <v>55</v>
      </c>
      <c r="DAH16" s="256" t="s">
        <v>76</v>
      </c>
      <c r="DAI16" s="256" t="s">
        <v>77</v>
      </c>
      <c r="DAJ16" s="256" t="s">
        <v>78</v>
      </c>
      <c r="DAK16" s="256" t="s">
        <v>79</v>
      </c>
      <c r="DAL16" s="256" t="s">
        <v>80</v>
      </c>
      <c r="DAM16" s="256" t="s">
        <v>81</v>
      </c>
      <c r="DAN16" s="283"/>
      <c r="DAO16" s="259" t="s">
        <v>55</v>
      </c>
      <c r="DAP16" s="256" t="s">
        <v>76</v>
      </c>
      <c r="DAQ16" s="256" t="s">
        <v>77</v>
      </c>
      <c r="DAR16" s="256" t="s">
        <v>78</v>
      </c>
      <c r="DAS16" s="256" t="s">
        <v>79</v>
      </c>
      <c r="DAT16" s="256" t="s">
        <v>80</v>
      </c>
      <c r="DAU16" s="58" t="s">
        <v>81</v>
      </c>
      <c r="DAV16" s="284"/>
      <c r="DAW16" s="259" t="s">
        <v>55</v>
      </c>
      <c r="DAX16" s="256" t="s">
        <v>76</v>
      </c>
      <c r="DAY16" s="256" t="s">
        <v>77</v>
      </c>
      <c r="DAZ16" s="256" t="s">
        <v>78</v>
      </c>
      <c r="DBA16" s="256" t="s">
        <v>79</v>
      </c>
      <c r="DBB16" s="256" t="s">
        <v>80</v>
      </c>
      <c r="DBC16" s="256" t="s">
        <v>81</v>
      </c>
      <c r="DBD16" s="283"/>
      <c r="DBE16" s="259" t="s">
        <v>55</v>
      </c>
      <c r="DBF16" s="256" t="s">
        <v>76</v>
      </c>
      <c r="DBG16" s="256" t="s">
        <v>77</v>
      </c>
      <c r="DBH16" s="256" t="s">
        <v>78</v>
      </c>
      <c r="DBI16" s="256" t="s">
        <v>79</v>
      </c>
      <c r="DBJ16" s="256" t="s">
        <v>80</v>
      </c>
      <c r="DBK16" s="58" t="s">
        <v>81</v>
      </c>
      <c r="DBL16" s="284"/>
      <c r="DBM16" s="259" t="s">
        <v>55</v>
      </c>
      <c r="DBN16" s="256" t="s">
        <v>76</v>
      </c>
      <c r="DBO16" s="256" t="s">
        <v>77</v>
      </c>
      <c r="DBP16" s="256" t="s">
        <v>78</v>
      </c>
      <c r="DBQ16" s="256" t="s">
        <v>79</v>
      </c>
      <c r="DBR16" s="256" t="s">
        <v>80</v>
      </c>
      <c r="DBS16" s="256" t="s">
        <v>81</v>
      </c>
      <c r="DBT16" s="283"/>
      <c r="DBU16" s="259" t="s">
        <v>55</v>
      </c>
      <c r="DBV16" s="256" t="s">
        <v>76</v>
      </c>
      <c r="DBW16" s="256" t="s">
        <v>77</v>
      </c>
      <c r="DBX16" s="256" t="s">
        <v>78</v>
      </c>
      <c r="DBY16" s="256" t="s">
        <v>79</v>
      </c>
      <c r="DBZ16" s="256" t="s">
        <v>80</v>
      </c>
      <c r="DCA16" s="58" t="s">
        <v>81</v>
      </c>
      <c r="DCB16" s="284"/>
      <c r="DCC16" s="259" t="s">
        <v>55</v>
      </c>
      <c r="DCD16" s="256" t="s">
        <v>76</v>
      </c>
      <c r="DCE16" s="256" t="s">
        <v>77</v>
      </c>
      <c r="DCF16" s="256" t="s">
        <v>78</v>
      </c>
      <c r="DCG16" s="256" t="s">
        <v>79</v>
      </c>
      <c r="DCH16" s="256" t="s">
        <v>80</v>
      </c>
      <c r="DCI16" s="256" t="s">
        <v>81</v>
      </c>
      <c r="DCJ16" s="283"/>
      <c r="DCK16" s="259" t="s">
        <v>55</v>
      </c>
      <c r="DCL16" s="256" t="s">
        <v>76</v>
      </c>
      <c r="DCM16" s="256" t="s">
        <v>77</v>
      </c>
      <c r="DCN16" s="256" t="s">
        <v>78</v>
      </c>
      <c r="DCO16" s="256" t="s">
        <v>79</v>
      </c>
      <c r="DCP16" s="256" t="s">
        <v>80</v>
      </c>
      <c r="DCQ16" s="58" t="s">
        <v>81</v>
      </c>
      <c r="DCR16" s="284"/>
      <c r="DCS16" s="259" t="s">
        <v>55</v>
      </c>
      <c r="DCT16" s="256" t="s">
        <v>76</v>
      </c>
      <c r="DCU16" s="256" t="s">
        <v>77</v>
      </c>
      <c r="DCV16" s="256" t="s">
        <v>78</v>
      </c>
      <c r="DCW16" s="256" t="s">
        <v>79</v>
      </c>
      <c r="DCX16" s="256" t="s">
        <v>80</v>
      </c>
      <c r="DCY16" s="256" t="s">
        <v>81</v>
      </c>
      <c r="DCZ16" s="283"/>
      <c r="DDA16" s="259" t="s">
        <v>55</v>
      </c>
      <c r="DDB16" s="256" t="s">
        <v>76</v>
      </c>
      <c r="DDC16" s="256" t="s">
        <v>77</v>
      </c>
      <c r="DDD16" s="256" t="s">
        <v>78</v>
      </c>
      <c r="DDE16" s="256" t="s">
        <v>79</v>
      </c>
      <c r="DDF16" s="256" t="s">
        <v>80</v>
      </c>
      <c r="DDG16" s="58" t="s">
        <v>81</v>
      </c>
      <c r="DDH16" s="284"/>
      <c r="DDI16" s="259" t="s">
        <v>55</v>
      </c>
      <c r="DDJ16" s="256" t="s">
        <v>76</v>
      </c>
      <c r="DDK16" s="256" t="s">
        <v>77</v>
      </c>
      <c r="DDL16" s="256" t="s">
        <v>78</v>
      </c>
      <c r="DDM16" s="256" t="s">
        <v>79</v>
      </c>
      <c r="DDN16" s="256" t="s">
        <v>80</v>
      </c>
      <c r="DDO16" s="256" t="s">
        <v>81</v>
      </c>
      <c r="DDP16" s="283"/>
      <c r="DDQ16" s="259" t="s">
        <v>55</v>
      </c>
      <c r="DDR16" s="256" t="s">
        <v>76</v>
      </c>
      <c r="DDS16" s="256" t="s">
        <v>77</v>
      </c>
      <c r="DDT16" s="256" t="s">
        <v>78</v>
      </c>
      <c r="DDU16" s="256" t="s">
        <v>79</v>
      </c>
      <c r="DDV16" s="256" t="s">
        <v>80</v>
      </c>
      <c r="DDW16" s="58" t="s">
        <v>81</v>
      </c>
      <c r="DDX16" s="284"/>
      <c r="DDY16" s="259" t="s">
        <v>55</v>
      </c>
      <c r="DDZ16" s="256" t="s">
        <v>76</v>
      </c>
      <c r="DEA16" s="256" t="s">
        <v>77</v>
      </c>
      <c r="DEB16" s="256" t="s">
        <v>78</v>
      </c>
      <c r="DEC16" s="256" t="s">
        <v>79</v>
      </c>
      <c r="DED16" s="256" t="s">
        <v>80</v>
      </c>
      <c r="DEE16" s="256" t="s">
        <v>81</v>
      </c>
      <c r="DEF16" s="283"/>
      <c r="DEG16" s="259" t="s">
        <v>55</v>
      </c>
      <c r="DEH16" s="256" t="s">
        <v>76</v>
      </c>
      <c r="DEI16" s="256" t="s">
        <v>77</v>
      </c>
      <c r="DEJ16" s="256" t="s">
        <v>78</v>
      </c>
      <c r="DEK16" s="256" t="s">
        <v>79</v>
      </c>
      <c r="DEL16" s="256" t="s">
        <v>80</v>
      </c>
      <c r="DEM16" s="58" t="s">
        <v>81</v>
      </c>
      <c r="DEN16" s="284"/>
      <c r="DEO16" s="259" t="s">
        <v>55</v>
      </c>
      <c r="DEP16" s="256" t="s">
        <v>76</v>
      </c>
      <c r="DEQ16" s="256" t="s">
        <v>77</v>
      </c>
      <c r="DER16" s="256" t="s">
        <v>78</v>
      </c>
      <c r="DES16" s="256" t="s">
        <v>79</v>
      </c>
      <c r="DET16" s="256" t="s">
        <v>80</v>
      </c>
      <c r="DEU16" s="256" t="s">
        <v>81</v>
      </c>
      <c r="DEV16" s="283"/>
      <c r="DEW16" s="259" t="s">
        <v>55</v>
      </c>
      <c r="DEX16" s="256" t="s">
        <v>76</v>
      </c>
      <c r="DEY16" s="256" t="s">
        <v>77</v>
      </c>
      <c r="DEZ16" s="256" t="s">
        <v>78</v>
      </c>
      <c r="DFA16" s="256" t="s">
        <v>79</v>
      </c>
      <c r="DFB16" s="256" t="s">
        <v>80</v>
      </c>
      <c r="DFC16" s="58" t="s">
        <v>81</v>
      </c>
      <c r="DFD16" s="284"/>
      <c r="DFE16" s="259" t="s">
        <v>55</v>
      </c>
      <c r="DFF16" s="256" t="s">
        <v>76</v>
      </c>
      <c r="DFG16" s="256" t="s">
        <v>77</v>
      </c>
      <c r="DFH16" s="256" t="s">
        <v>78</v>
      </c>
      <c r="DFI16" s="256" t="s">
        <v>79</v>
      </c>
      <c r="DFJ16" s="256" t="s">
        <v>80</v>
      </c>
      <c r="DFK16" s="256" t="s">
        <v>81</v>
      </c>
      <c r="DFL16" s="283"/>
      <c r="DFM16" s="259" t="s">
        <v>55</v>
      </c>
      <c r="DFN16" s="256" t="s">
        <v>76</v>
      </c>
      <c r="DFO16" s="256" t="s">
        <v>77</v>
      </c>
      <c r="DFP16" s="256" t="s">
        <v>78</v>
      </c>
      <c r="DFQ16" s="256" t="s">
        <v>79</v>
      </c>
      <c r="DFR16" s="256" t="s">
        <v>80</v>
      </c>
      <c r="DFS16" s="58" t="s">
        <v>81</v>
      </c>
      <c r="DFT16" s="284"/>
      <c r="DFU16" s="259" t="s">
        <v>55</v>
      </c>
      <c r="DFV16" s="256" t="s">
        <v>76</v>
      </c>
      <c r="DFW16" s="256" t="s">
        <v>77</v>
      </c>
      <c r="DFX16" s="256" t="s">
        <v>78</v>
      </c>
      <c r="DFY16" s="256" t="s">
        <v>79</v>
      </c>
      <c r="DFZ16" s="256" t="s">
        <v>80</v>
      </c>
      <c r="DGA16" s="256" t="s">
        <v>81</v>
      </c>
      <c r="DGB16" s="283"/>
      <c r="DGC16" s="259" t="s">
        <v>55</v>
      </c>
      <c r="DGD16" s="256" t="s">
        <v>76</v>
      </c>
      <c r="DGE16" s="256" t="s">
        <v>77</v>
      </c>
      <c r="DGF16" s="256" t="s">
        <v>78</v>
      </c>
      <c r="DGG16" s="256" t="s">
        <v>79</v>
      </c>
      <c r="DGH16" s="256" t="s">
        <v>80</v>
      </c>
      <c r="DGI16" s="58" t="s">
        <v>81</v>
      </c>
      <c r="DGJ16" s="284"/>
      <c r="DGK16" s="259" t="s">
        <v>55</v>
      </c>
      <c r="DGL16" s="256" t="s">
        <v>76</v>
      </c>
      <c r="DGM16" s="256" t="s">
        <v>77</v>
      </c>
      <c r="DGN16" s="256" t="s">
        <v>78</v>
      </c>
      <c r="DGO16" s="256" t="s">
        <v>79</v>
      </c>
      <c r="DGP16" s="256" t="s">
        <v>80</v>
      </c>
      <c r="DGQ16" s="256" t="s">
        <v>81</v>
      </c>
      <c r="DGR16" s="283"/>
      <c r="DGS16" s="259" t="s">
        <v>55</v>
      </c>
      <c r="DGT16" s="256" t="s">
        <v>76</v>
      </c>
      <c r="DGU16" s="256" t="s">
        <v>77</v>
      </c>
      <c r="DGV16" s="256" t="s">
        <v>78</v>
      </c>
      <c r="DGW16" s="256" t="s">
        <v>79</v>
      </c>
      <c r="DGX16" s="256" t="s">
        <v>80</v>
      </c>
      <c r="DGY16" s="58" t="s">
        <v>81</v>
      </c>
      <c r="DGZ16" s="284"/>
      <c r="DHA16" s="259" t="s">
        <v>55</v>
      </c>
      <c r="DHB16" s="256" t="s">
        <v>76</v>
      </c>
      <c r="DHC16" s="256" t="s">
        <v>77</v>
      </c>
      <c r="DHD16" s="256" t="s">
        <v>78</v>
      </c>
      <c r="DHE16" s="256" t="s">
        <v>79</v>
      </c>
      <c r="DHF16" s="256" t="s">
        <v>80</v>
      </c>
      <c r="DHG16" s="256" t="s">
        <v>81</v>
      </c>
      <c r="DHH16" s="283"/>
      <c r="DHI16" s="259" t="s">
        <v>55</v>
      </c>
      <c r="DHJ16" s="256" t="s">
        <v>76</v>
      </c>
      <c r="DHK16" s="256" t="s">
        <v>77</v>
      </c>
      <c r="DHL16" s="256" t="s">
        <v>78</v>
      </c>
      <c r="DHM16" s="256" t="s">
        <v>79</v>
      </c>
      <c r="DHN16" s="256" t="s">
        <v>80</v>
      </c>
      <c r="DHO16" s="58" t="s">
        <v>81</v>
      </c>
      <c r="DHP16" s="284"/>
      <c r="DHQ16" s="259" t="s">
        <v>55</v>
      </c>
      <c r="DHR16" s="256" t="s">
        <v>76</v>
      </c>
      <c r="DHS16" s="256" t="s">
        <v>77</v>
      </c>
      <c r="DHT16" s="256" t="s">
        <v>78</v>
      </c>
      <c r="DHU16" s="256" t="s">
        <v>79</v>
      </c>
      <c r="DHV16" s="256" t="s">
        <v>80</v>
      </c>
      <c r="DHW16" s="256" t="s">
        <v>81</v>
      </c>
      <c r="DHX16" s="283"/>
      <c r="DHY16" s="259" t="s">
        <v>55</v>
      </c>
      <c r="DHZ16" s="256" t="s">
        <v>76</v>
      </c>
      <c r="DIA16" s="256" t="s">
        <v>77</v>
      </c>
      <c r="DIB16" s="256" t="s">
        <v>78</v>
      </c>
      <c r="DIC16" s="256" t="s">
        <v>79</v>
      </c>
      <c r="DID16" s="256" t="s">
        <v>80</v>
      </c>
      <c r="DIE16" s="58" t="s">
        <v>81</v>
      </c>
      <c r="DIF16" s="284"/>
      <c r="DIG16" s="259" t="s">
        <v>55</v>
      </c>
      <c r="DIH16" s="256" t="s">
        <v>76</v>
      </c>
      <c r="DII16" s="256" t="s">
        <v>77</v>
      </c>
      <c r="DIJ16" s="256" t="s">
        <v>78</v>
      </c>
      <c r="DIK16" s="256" t="s">
        <v>79</v>
      </c>
      <c r="DIL16" s="256" t="s">
        <v>80</v>
      </c>
      <c r="DIM16" s="256" t="s">
        <v>81</v>
      </c>
      <c r="DIN16" s="283"/>
      <c r="DIO16" s="259" t="s">
        <v>55</v>
      </c>
      <c r="DIP16" s="256" t="s">
        <v>76</v>
      </c>
      <c r="DIQ16" s="256" t="s">
        <v>77</v>
      </c>
      <c r="DIR16" s="256" t="s">
        <v>78</v>
      </c>
      <c r="DIS16" s="256" t="s">
        <v>79</v>
      </c>
      <c r="DIT16" s="256" t="s">
        <v>80</v>
      </c>
      <c r="DIU16" s="58" t="s">
        <v>81</v>
      </c>
      <c r="DIV16" s="284"/>
      <c r="DIW16" s="259" t="s">
        <v>55</v>
      </c>
      <c r="DIX16" s="256" t="s">
        <v>76</v>
      </c>
      <c r="DIY16" s="256" t="s">
        <v>77</v>
      </c>
      <c r="DIZ16" s="256" t="s">
        <v>78</v>
      </c>
      <c r="DJA16" s="256" t="s">
        <v>79</v>
      </c>
      <c r="DJB16" s="256" t="s">
        <v>80</v>
      </c>
      <c r="DJC16" s="256" t="s">
        <v>81</v>
      </c>
      <c r="DJD16" s="283"/>
      <c r="DJE16" s="259" t="s">
        <v>55</v>
      </c>
      <c r="DJF16" s="256" t="s">
        <v>76</v>
      </c>
      <c r="DJG16" s="256" t="s">
        <v>77</v>
      </c>
      <c r="DJH16" s="256" t="s">
        <v>78</v>
      </c>
      <c r="DJI16" s="256" t="s">
        <v>79</v>
      </c>
      <c r="DJJ16" s="256" t="s">
        <v>80</v>
      </c>
      <c r="DJK16" s="58" t="s">
        <v>81</v>
      </c>
      <c r="DJL16" s="284"/>
      <c r="DJM16" s="259" t="s">
        <v>55</v>
      </c>
      <c r="DJN16" s="256" t="s">
        <v>76</v>
      </c>
      <c r="DJO16" s="256" t="s">
        <v>77</v>
      </c>
      <c r="DJP16" s="256" t="s">
        <v>78</v>
      </c>
      <c r="DJQ16" s="256" t="s">
        <v>79</v>
      </c>
      <c r="DJR16" s="256" t="s">
        <v>80</v>
      </c>
      <c r="DJS16" s="256" t="s">
        <v>81</v>
      </c>
      <c r="DJT16" s="283"/>
      <c r="DJU16" s="259" t="s">
        <v>55</v>
      </c>
      <c r="DJV16" s="256" t="s">
        <v>76</v>
      </c>
      <c r="DJW16" s="256" t="s">
        <v>77</v>
      </c>
      <c r="DJX16" s="256" t="s">
        <v>78</v>
      </c>
      <c r="DJY16" s="256" t="s">
        <v>79</v>
      </c>
      <c r="DJZ16" s="256" t="s">
        <v>80</v>
      </c>
      <c r="DKA16" s="58" t="s">
        <v>81</v>
      </c>
      <c r="DKB16" s="284"/>
      <c r="DKC16" s="259" t="s">
        <v>55</v>
      </c>
      <c r="DKD16" s="256" t="s">
        <v>76</v>
      </c>
      <c r="DKE16" s="256" t="s">
        <v>77</v>
      </c>
      <c r="DKF16" s="256" t="s">
        <v>78</v>
      </c>
      <c r="DKG16" s="256" t="s">
        <v>79</v>
      </c>
      <c r="DKH16" s="256" t="s">
        <v>80</v>
      </c>
      <c r="DKI16" s="256" t="s">
        <v>81</v>
      </c>
      <c r="DKJ16" s="283"/>
      <c r="DKK16" s="259" t="s">
        <v>55</v>
      </c>
      <c r="DKL16" s="256" t="s">
        <v>76</v>
      </c>
      <c r="DKM16" s="256" t="s">
        <v>77</v>
      </c>
      <c r="DKN16" s="256" t="s">
        <v>78</v>
      </c>
      <c r="DKO16" s="256" t="s">
        <v>79</v>
      </c>
      <c r="DKP16" s="256" t="s">
        <v>80</v>
      </c>
      <c r="DKQ16" s="58" t="s">
        <v>81</v>
      </c>
      <c r="DKR16" s="284"/>
      <c r="DKS16" s="259" t="s">
        <v>55</v>
      </c>
      <c r="DKT16" s="256" t="s">
        <v>76</v>
      </c>
      <c r="DKU16" s="256" t="s">
        <v>77</v>
      </c>
      <c r="DKV16" s="256" t="s">
        <v>78</v>
      </c>
      <c r="DKW16" s="256" t="s">
        <v>79</v>
      </c>
      <c r="DKX16" s="256" t="s">
        <v>80</v>
      </c>
      <c r="DKY16" s="256" t="s">
        <v>81</v>
      </c>
      <c r="DKZ16" s="283"/>
      <c r="DLA16" s="259" t="s">
        <v>55</v>
      </c>
      <c r="DLB16" s="256" t="s">
        <v>76</v>
      </c>
      <c r="DLC16" s="256" t="s">
        <v>77</v>
      </c>
      <c r="DLD16" s="256" t="s">
        <v>78</v>
      </c>
      <c r="DLE16" s="256" t="s">
        <v>79</v>
      </c>
      <c r="DLF16" s="256" t="s">
        <v>80</v>
      </c>
      <c r="DLG16" s="58" t="s">
        <v>81</v>
      </c>
      <c r="DLH16" s="284"/>
      <c r="DLI16" s="259" t="s">
        <v>55</v>
      </c>
      <c r="DLJ16" s="256" t="s">
        <v>76</v>
      </c>
      <c r="DLK16" s="256" t="s">
        <v>77</v>
      </c>
      <c r="DLL16" s="256" t="s">
        <v>78</v>
      </c>
      <c r="DLM16" s="256" t="s">
        <v>79</v>
      </c>
      <c r="DLN16" s="256" t="s">
        <v>80</v>
      </c>
      <c r="DLO16" s="256" t="s">
        <v>81</v>
      </c>
      <c r="DLP16" s="283"/>
      <c r="DLQ16" s="259" t="s">
        <v>55</v>
      </c>
      <c r="DLR16" s="256" t="s">
        <v>76</v>
      </c>
      <c r="DLS16" s="256" t="s">
        <v>77</v>
      </c>
      <c r="DLT16" s="256" t="s">
        <v>78</v>
      </c>
      <c r="DLU16" s="256" t="s">
        <v>79</v>
      </c>
      <c r="DLV16" s="256" t="s">
        <v>80</v>
      </c>
      <c r="DLW16" s="58" t="s">
        <v>81</v>
      </c>
      <c r="DLX16" s="284"/>
      <c r="DLY16" s="259" t="s">
        <v>55</v>
      </c>
      <c r="DLZ16" s="256" t="s">
        <v>76</v>
      </c>
      <c r="DMA16" s="256" t="s">
        <v>77</v>
      </c>
      <c r="DMB16" s="256" t="s">
        <v>78</v>
      </c>
      <c r="DMC16" s="256" t="s">
        <v>79</v>
      </c>
      <c r="DMD16" s="256" t="s">
        <v>80</v>
      </c>
      <c r="DME16" s="256" t="s">
        <v>81</v>
      </c>
      <c r="DMF16" s="283"/>
      <c r="DMG16" s="259" t="s">
        <v>55</v>
      </c>
      <c r="DMH16" s="256" t="s">
        <v>76</v>
      </c>
      <c r="DMI16" s="256" t="s">
        <v>77</v>
      </c>
      <c r="DMJ16" s="256" t="s">
        <v>78</v>
      </c>
      <c r="DMK16" s="256" t="s">
        <v>79</v>
      </c>
      <c r="DML16" s="256" t="s">
        <v>80</v>
      </c>
      <c r="DMM16" s="58" t="s">
        <v>81</v>
      </c>
      <c r="DMN16" s="284"/>
      <c r="DMO16" s="259" t="s">
        <v>55</v>
      </c>
      <c r="DMP16" s="256" t="s">
        <v>76</v>
      </c>
      <c r="DMQ16" s="256" t="s">
        <v>77</v>
      </c>
      <c r="DMR16" s="256" t="s">
        <v>78</v>
      </c>
      <c r="DMS16" s="256" t="s">
        <v>79</v>
      </c>
      <c r="DMT16" s="256" t="s">
        <v>80</v>
      </c>
      <c r="DMU16" s="256" t="s">
        <v>81</v>
      </c>
      <c r="DMV16" s="283"/>
      <c r="DMW16" s="259" t="s">
        <v>55</v>
      </c>
      <c r="DMX16" s="256" t="s">
        <v>76</v>
      </c>
      <c r="DMY16" s="256" t="s">
        <v>77</v>
      </c>
      <c r="DMZ16" s="256" t="s">
        <v>78</v>
      </c>
      <c r="DNA16" s="256" t="s">
        <v>79</v>
      </c>
      <c r="DNB16" s="256" t="s">
        <v>80</v>
      </c>
      <c r="DNC16" s="58" t="s">
        <v>81</v>
      </c>
      <c r="DND16" s="284"/>
      <c r="DNE16" s="259" t="s">
        <v>55</v>
      </c>
      <c r="DNF16" s="256" t="s">
        <v>76</v>
      </c>
      <c r="DNG16" s="256" t="s">
        <v>77</v>
      </c>
      <c r="DNH16" s="256" t="s">
        <v>78</v>
      </c>
      <c r="DNI16" s="256" t="s">
        <v>79</v>
      </c>
      <c r="DNJ16" s="256" t="s">
        <v>80</v>
      </c>
      <c r="DNK16" s="256" t="s">
        <v>81</v>
      </c>
      <c r="DNL16" s="283"/>
      <c r="DNM16" s="259" t="s">
        <v>55</v>
      </c>
      <c r="DNN16" s="256" t="s">
        <v>76</v>
      </c>
      <c r="DNO16" s="256" t="s">
        <v>77</v>
      </c>
      <c r="DNP16" s="256" t="s">
        <v>78</v>
      </c>
      <c r="DNQ16" s="256" t="s">
        <v>79</v>
      </c>
      <c r="DNR16" s="256" t="s">
        <v>80</v>
      </c>
      <c r="DNS16" s="58" t="s">
        <v>81</v>
      </c>
      <c r="DNT16" s="284"/>
      <c r="DNU16" s="259" t="s">
        <v>55</v>
      </c>
      <c r="DNV16" s="256" t="s">
        <v>76</v>
      </c>
      <c r="DNW16" s="256" t="s">
        <v>77</v>
      </c>
      <c r="DNX16" s="256" t="s">
        <v>78</v>
      </c>
      <c r="DNY16" s="256" t="s">
        <v>79</v>
      </c>
      <c r="DNZ16" s="256" t="s">
        <v>80</v>
      </c>
      <c r="DOA16" s="256" t="s">
        <v>81</v>
      </c>
      <c r="DOB16" s="283"/>
      <c r="DOC16" s="259" t="s">
        <v>55</v>
      </c>
      <c r="DOD16" s="256" t="s">
        <v>76</v>
      </c>
      <c r="DOE16" s="256" t="s">
        <v>77</v>
      </c>
      <c r="DOF16" s="256" t="s">
        <v>78</v>
      </c>
      <c r="DOG16" s="256" t="s">
        <v>79</v>
      </c>
      <c r="DOH16" s="256" t="s">
        <v>80</v>
      </c>
      <c r="DOI16" s="58" t="s">
        <v>81</v>
      </c>
      <c r="DOJ16" s="284"/>
      <c r="DOK16" s="259" t="s">
        <v>55</v>
      </c>
      <c r="DOL16" s="256" t="s">
        <v>76</v>
      </c>
      <c r="DOM16" s="256" t="s">
        <v>77</v>
      </c>
      <c r="DON16" s="256" t="s">
        <v>78</v>
      </c>
      <c r="DOO16" s="256" t="s">
        <v>79</v>
      </c>
      <c r="DOP16" s="256" t="s">
        <v>80</v>
      </c>
      <c r="DOQ16" s="256" t="s">
        <v>81</v>
      </c>
      <c r="DOR16" s="283"/>
      <c r="DOS16" s="259" t="s">
        <v>55</v>
      </c>
      <c r="DOT16" s="256" t="s">
        <v>76</v>
      </c>
      <c r="DOU16" s="256" t="s">
        <v>77</v>
      </c>
      <c r="DOV16" s="256" t="s">
        <v>78</v>
      </c>
      <c r="DOW16" s="256" t="s">
        <v>79</v>
      </c>
      <c r="DOX16" s="256" t="s">
        <v>80</v>
      </c>
      <c r="DOY16" s="58" t="s">
        <v>81</v>
      </c>
      <c r="DOZ16" s="284"/>
      <c r="DPA16" s="259" t="s">
        <v>55</v>
      </c>
      <c r="DPB16" s="256" t="s">
        <v>76</v>
      </c>
      <c r="DPC16" s="256" t="s">
        <v>77</v>
      </c>
      <c r="DPD16" s="256" t="s">
        <v>78</v>
      </c>
      <c r="DPE16" s="256" t="s">
        <v>79</v>
      </c>
      <c r="DPF16" s="256" t="s">
        <v>80</v>
      </c>
      <c r="DPG16" s="256" t="s">
        <v>81</v>
      </c>
      <c r="DPH16" s="283"/>
      <c r="DPI16" s="259" t="s">
        <v>55</v>
      </c>
      <c r="DPJ16" s="256" t="s">
        <v>76</v>
      </c>
      <c r="DPK16" s="256" t="s">
        <v>77</v>
      </c>
      <c r="DPL16" s="256" t="s">
        <v>78</v>
      </c>
      <c r="DPM16" s="256" t="s">
        <v>79</v>
      </c>
      <c r="DPN16" s="256" t="s">
        <v>80</v>
      </c>
      <c r="DPO16" s="58" t="s">
        <v>81</v>
      </c>
      <c r="DPP16" s="284"/>
      <c r="DPQ16" s="259" t="s">
        <v>55</v>
      </c>
      <c r="DPR16" s="256" t="s">
        <v>76</v>
      </c>
      <c r="DPS16" s="256" t="s">
        <v>77</v>
      </c>
      <c r="DPT16" s="256" t="s">
        <v>78</v>
      </c>
      <c r="DPU16" s="256" t="s">
        <v>79</v>
      </c>
      <c r="DPV16" s="256" t="s">
        <v>80</v>
      </c>
      <c r="DPW16" s="256" t="s">
        <v>81</v>
      </c>
      <c r="DPX16" s="283"/>
      <c r="DPY16" s="259" t="s">
        <v>55</v>
      </c>
      <c r="DPZ16" s="256" t="s">
        <v>76</v>
      </c>
      <c r="DQA16" s="256" t="s">
        <v>77</v>
      </c>
      <c r="DQB16" s="256" t="s">
        <v>78</v>
      </c>
      <c r="DQC16" s="256" t="s">
        <v>79</v>
      </c>
      <c r="DQD16" s="256" t="s">
        <v>80</v>
      </c>
      <c r="DQE16" s="58" t="s">
        <v>81</v>
      </c>
      <c r="DQF16" s="284"/>
      <c r="DQG16" s="259" t="s">
        <v>55</v>
      </c>
      <c r="DQH16" s="256" t="s">
        <v>76</v>
      </c>
      <c r="DQI16" s="256" t="s">
        <v>77</v>
      </c>
      <c r="DQJ16" s="256" t="s">
        <v>78</v>
      </c>
      <c r="DQK16" s="256" t="s">
        <v>79</v>
      </c>
      <c r="DQL16" s="256" t="s">
        <v>80</v>
      </c>
      <c r="DQM16" s="256" t="s">
        <v>81</v>
      </c>
      <c r="DQN16" s="283"/>
      <c r="DQO16" s="259" t="s">
        <v>55</v>
      </c>
      <c r="DQP16" s="256" t="s">
        <v>76</v>
      </c>
      <c r="DQQ16" s="256" t="s">
        <v>77</v>
      </c>
      <c r="DQR16" s="256" t="s">
        <v>78</v>
      </c>
      <c r="DQS16" s="256" t="s">
        <v>79</v>
      </c>
      <c r="DQT16" s="256" t="s">
        <v>80</v>
      </c>
      <c r="DQU16" s="58" t="s">
        <v>81</v>
      </c>
      <c r="DQV16" s="284"/>
      <c r="DQW16" s="259" t="s">
        <v>55</v>
      </c>
      <c r="DQX16" s="256" t="s">
        <v>76</v>
      </c>
      <c r="DQY16" s="256" t="s">
        <v>77</v>
      </c>
      <c r="DQZ16" s="256" t="s">
        <v>78</v>
      </c>
      <c r="DRA16" s="256" t="s">
        <v>79</v>
      </c>
      <c r="DRB16" s="256" t="s">
        <v>80</v>
      </c>
      <c r="DRC16" s="256" t="s">
        <v>81</v>
      </c>
      <c r="DRD16" s="283"/>
      <c r="DRE16" s="259" t="s">
        <v>55</v>
      </c>
      <c r="DRF16" s="256" t="s">
        <v>76</v>
      </c>
      <c r="DRG16" s="256" t="s">
        <v>77</v>
      </c>
      <c r="DRH16" s="256" t="s">
        <v>78</v>
      </c>
      <c r="DRI16" s="256" t="s">
        <v>79</v>
      </c>
      <c r="DRJ16" s="256" t="s">
        <v>80</v>
      </c>
      <c r="DRK16" s="58" t="s">
        <v>81</v>
      </c>
      <c r="DRL16" s="284"/>
      <c r="DRM16" s="259" t="s">
        <v>55</v>
      </c>
      <c r="DRN16" s="256" t="s">
        <v>76</v>
      </c>
      <c r="DRO16" s="256" t="s">
        <v>77</v>
      </c>
      <c r="DRP16" s="256" t="s">
        <v>78</v>
      </c>
      <c r="DRQ16" s="256" t="s">
        <v>79</v>
      </c>
      <c r="DRR16" s="256" t="s">
        <v>80</v>
      </c>
      <c r="DRS16" s="256" t="s">
        <v>81</v>
      </c>
      <c r="DRT16" s="283"/>
      <c r="DRU16" s="259" t="s">
        <v>55</v>
      </c>
      <c r="DRV16" s="256" t="s">
        <v>76</v>
      </c>
      <c r="DRW16" s="256" t="s">
        <v>77</v>
      </c>
      <c r="DRX16" s="256" t="s">
        <v>78</v>
      </c>
      <c r="DRY16" s="256" t="s">
        <v>79</v>
      </c>
      <c r="DRZ16" s="256" t="s">
        <v>80</v>
      </c>
      <c r="DSA16" s="58" t="s">
        <v>81</v>
      </c>
      <c r="DSB16" s="284"/>
      <c r="DSC16" s="259" t="s">
        <v>55</v>
      </c>
      <c r="DSD16" s="256" t="s">
        <v>76</v>
      </c>
      <c r="DSE16" s="256" t="s">
        <v>77</v>
      </c>
      <c r="DSF16" s="256" t="s">
        <v>78</v>
      </c>
      <c r="DSG16" s="256" t="s">
        <v>79</v>
      </c>
      <c r="DSH16" s="256" t="s">
        <v>80</v>
      </c>
      <c r="DSI16" s="256" t="s">
        <v>81</v>
      </c>
      <c r="DSJ16" s="283"/>
      <c r="DSK16" s="259" t="s">
        <v>55</v>
      </c>
      <c r="DSL16" s="256" t="s">
        <v>76</v>
      </c>
      <c r="DSM16" s="256" t="s">
        <v>77</v>
      </c>
      <c r="DSN16" s="256" t="s">
        <v>78</v>
      </c>
      <c r="DSO16" s="256" t="s">
        <v>79</v>
      </c>
      <c r="DSP16" s="256" t="s">
        <v>80</v>
      </c>
      <c r="DSQ16" s="58" t="s">
        <v>81</v>
      </c>
      <c r="DSR16" s="284"/>
      <c r="DSS16" s="259" t="s">
        <v>55</v>
      </c>
      <c r="DST16" s="256" t="s">
        <v>76</v>
      </c>
      <c r="DSU16" s="256" t="s">
        <v>77</v>
      </c>
      <c r="DSV16" s="256" t="s">
        <v>78</v>
      </c>
      <c r="DSW16" s="256" t="s">
        <v>79</v>
      </c>
      <c r="DSX16" s="256" t="s">
        <v>80</v>
      </c>
      <c r="DSY16" s="256" t="s">
        <v>81</v>
      </c>
      <c r="DSZ16" s="283"/>
      <c r="DTA16" s="259" t="s">
        <v>55</v>
      </c>
      <c r="DTB16" s="256" t="s">
        <v>76</v>
      </c>
      <c r="DTC16" s="256" t="s">
        <v>77</v>
      </c>
      <c r="DTD16" s="256" t="s">
        <v>78</v>
      </c>
      <c r="DTE16" s="256" t="s">
        <v>79</v>
      </c>
      <c r="DTF16" s="256" t="s">
        <v>80</v>
      </c>
      <c r="DTG16" s="58" t="s">
        <v>81</v>
      </c>
      <c r="DTH16" s="284"/>
      <c r="DTI16" s="259" t="s">
        <v>55</v>
      </c>
      <c r="DTJ16" s="256" t="s">
        <v>76</v>
      </c>
      <c r="DTK16" s="256" t="s">
        <v>77</v>
      </c>
      <c r="DTL16" s="256" t="s">
        <v>78</v>
      </c>
      <c r="DTM16" s="256" t="s">
        <v>79</v>
      </c>
      <c r="DTN16" s="256" t="s">
        <v>80</v>
      </c>
      <c r="DTO16" s="256" t="s">
        <v>81</v>
      </c>
      <c r="DTP16" s="283"/>
      <c r="DTQ16" s="259" t="s">
        <v>55</v>
      </c>
      <c r="DTR16" s="256" t="s">
        <v>76</v>
      </c>
      <c r="DTS16" s="256" t="s">
        <v>77</v>
      </c>
      <c r="DTT16" s="256" t="s">
        <v>78</v>
      </c>
      <c r="DTU16" s="256" t="s">
        <v>79</v>
      </c>
      <c r="DTV16" s="256" t="s">
        <v>80</v>
      </c>
      <c r="DTW16" s="58" t="s">
        <v>81</v>
      </c>
      <c r="DTX16" s="284"/>
      <c r="DTY16" s="259" t="s">
        <v>55</v>
      </c>
      <c r="DTZ16" s="256" t="s">
        <v>76</v>
      </c>
      <c r="DUA16" s="256" t="s">
        <v>77</v>
      </c>
      <c r="DUB16" s="256" t="s">
        <v>78</v>
      </c>
      <c r="DUC16" s="256" t="s">
        <v>79</v>
      </c>
      <c r="DUD16" s="256" t="s">
        <v>80</v>
      </c>
      <c r="DUE16" s="256" t="s">
        <v>81</v>
      </c>
      <c r="DUF16" s="283"/>
      <c r="DUG16" s="259" t="s">
        <v>55</v>
      </c>
      <c r="DUH16" s="256" t="s">
        <v>76</v>
      </c>
      <c r="DUI16" s="256" t="s">
        <v>77</v>
      </c>
      <c r="DUJ16" s="256" t="s">
        <v>78</v>
      </c>
      <c r="DUK16" s="256" t="s">
        <v>79</v>
      </c>
      <c r="DUL16" s="256" t="s">
        <v>80</v>
      </c>
      <c r="DUM16" s="58" t="s">
        <v>81</v>
      </c>
      <c r="DUN16" s="284"/>
      <c r="DUO16" s="259" t="s">
        <v>55</v>
      </c>
      <c r="DUP16" s="256" t="s">
        <v>76</v>
      </c>
      <c r="DUQ16" s="256" t="s">
        <v>77</v>
      </c>
      <c r="DUR16" s="256" t="s">
        <v>78</v>
      </c>
      <c r="DUS16" s="256" t="s">
        <v>79</v>
      </c>
      <c r="DUT16" s="256" t="s">
        <v>80</v>
      </c>
      <c r="DUU16" s="256" t="s">
        <v>81</v>
      </c>
      <c r="DUV16" s="283"/>
      <c r="DUW16" s="259" t="s">
        <v>55</v>
      </c>
      <c r="DUX16" s="256" t="s">
        <v>76</v>
      </c>
      <c r="DUY16" s="256" t="s">
        <v>77</v>
      </c>
      <c r="DUZ16" s="256" t="s">
        <v>78</v>
      </c>
      <c r="DVA16" s="256" t="s">
        <v>79</v>
      </c>
      <c r="DVB16" s="256" t="s">
        <v>80</v>
      </c>
      <c r="DVC16" s="58" t="s">
        <v>81</v>
      </c>
      <c r="DVD16" s="284"/>
      <c r="DVE16" s="259" t="s">
        <v>55</v>
      </c>
      <c r="DVF16" s="256" t="s">
        <v>76</v>
      </c>
      <c r="DVG16" s="256" t="s">
        <v>77</v>
      </c>
      <c r="DVH16" s="256" t="s">
        <v>78</v>
      </c>
      <c r="DVI16" s="256" t="s">
        <v>79</v>
      </c>
      <c r="DVJ16" s="256" t="s">
        <v>80</v>
      </c>
      <c r="DVK16" s="256" t="s">
        <v>81</v>
      </c>
      <c r="DVL16" s="283"/>
      <c r="DVM16" s="259" t="s">
        <v>55</v>
      </c>
      <c r="DVN16" s="256" t="s">
        <v>76</v>
      </c>
      <c r="DVO16" s="256" t="s">
        <v>77</v>
      </c>
      <c r="DVP16" s="256" t="s">
        <v>78</v>
      </c>
      <c r="DVQ16" s="256" t="s">
        <v>79</v>
      </c>
      <c r="DVR16" s="256" t="s">
        <v>80</v>
      </c>
      <c r="DVS16" s="58" t="s">
        <v>81</v>
      </c>
      <c r="DVT16" s="284"/>
      <c r="DVU16" s="259" t="s">
        <v>55</v>
      </c>
      <c r="DVV16" s="256" t="s">
        <v>76</v>
      </c>
      <c r="DVW16" s="256" t="s">
        <v>77</v>
      </c>
      <c r="DVX16" s="256" t="s">
        <v>78</v>
      </c>
      <c r="DVY16" s="256" t="s">
        <v>79</v>
      </c>
      <c r="DVZ16" s="256" t="s">
        <v>80</v>
      </c>
      <c r="DWA16" s="256" t="s">
        <v>81</v>
      </c>
      <c r="DWB16" s="283"/>
      <c r="DWC16" s="259" t="s">
        <v>55</v>
      </c>
      <c r="DWD16" s="256" t="s">
        <v>76</v>
      </c>
      <c r="DWE16" s="256" t="s">
        <v>77</v>
      </c>
      <c r="DWF16" s="256" t="s">
        <v>78</v>
      </c>
      <c r="DWG16" s="256" t="s">
        <v>79</v>
      </c>
      <c r="DWH16" s="256" t="s">
        <v>80</v>
      </c>
      <c r="DWI16" s="58" t="s">
        <v>81</v>
      </c>
      <c r="DWJ16" s="284"/>
      <c r="DWK16" s="259" t="s">
        <v>55</v>
      </c>
      <c r="DWL16" s="256" t="s">
        <v>76</v>
      </c>
      <c r="DWM16" s="256" t="s">
        <v>77</v>
      </c>
      <c r="DWN16" s="256" t="s">
        <v>78</v>
      </c>
      <c r="DWO16" s="256" t="s">
        <v>79</v>
      </c>
      <c r="DWP16" s="256" t="s">
        <v>80</v>
      </c>
      <c r="DWQ16" s="256" t="s">
        <v>81</v>
      </c>
      <c r="DWR16" s="283"/>
      <c r="DWS16" s="259" t="s">
        <v>55</v>
      </c>
      <c r="DWT16" s="256" t="s">
        <v>76</v>
      </c>
      <c r="DWU16" s="256" t="s">
        <v>77</v>
      </c>
      <c r="DWV16" s="256" t="s">
        <v>78</v>
      </c>
      <c r="DWW16" s="256" t="s">
        <v>79</v>
      </c>
      <c r="DWX16" s="256" t="s">
        <v>80</v>
      </c>
      <c r="DWY16" s="58" t="s">
        <v>81</v>
      </c>
      <c r="DWZ16" s="284"/>
      <c r="DXA16" s="259" t="s">
        <v>55</v>
      </c>
      <c r="DXB16" s="256" t="s">
        <v>76</v>
      </c>
      <c r="DXC16" s="256" t="s">
        <v>77</v>
      </c>
      <c r="DXD16" s="256" t="s">
        <v>78</v>
      </c>
      <c r="DXE16" s="256" t="s">
        <v>79</v>
      </c>
      <c r="DXF16" s="256" t="s">
        <v>80</v>
      </c>
      <c r="DXG16" s="256" t="s">
        <v>81</v>
      </c>
      <c r="DXH16" s="283"/>
      <c r="DXI16" s="259" t="s">
        <v>55</v>
      </c>
      <c r="DXJ16" s="256" t="s">
        <v>76</v>
      </c>
      <c r="DXK16" s="256" t="s">
        <v>77</v>
      </c>
      <c r="DXL16" s="256" t="s">
        <v>78</v>
      </c>
      <c r="DXM16" s="256" t="s">
        <v>79</v>
      </c>
      <c r="DXN16" s="256" t="s">
        <v>80</v>
      </c>
      <c r="DXO16" s="58" t="s">
        <v>81</v>
      </c>
      <c r="DXP16" s="284"/>
      <c r="DXQ16" s="259" t="s">
        <v>55</v>
      </c>
      <c r="DXR16" s="256" t="s">
        <v>76</v>
      </c>
      <c r="DXS16" s="256" t="s">
        <v>77</v>
      </c>
      <c r="DXT16" s="256" t="s">
        <v>78</v>
      </c>
      <c r="DXU16" s="256" t="s">
        <v>79</v>
      </c>
      <c r="DXV16" s="256" t="s">
        <v>80</v>
      </c>
      <c r="DXW16" s="256" t="s">
        <v>81</v>
      </c>
      <c r="DXX16" s="283"/>
      <c r="DXY16" s="259" t="s">
        <v>55</v>
      </c>
      <c r="DXZ16" s="256" t="s">
        <v>76</v>
      </c>
      <c r="DYA16" s="256" t="s">
        <v>77</v>
      </c>
      <c r="DYB16" s="256" t="s">
        <v>78</v>
      </c>
      <c r="DYC16" s="256" t="s">
        <v>79</v>
      </c>
      <c r="DYD16" s="256" t="s">
        <v>80</v>
      </c>
      <c r="DYE16" s="58" t="s">
        <v>81</v>
      </c>
      <c r="DYF16" s="284"/>
      <c r="DYG16" s="259" t="s">
        <v>55</v>
      </c>
      <c r="DYH16" s="256" t="s">
        <v>76</v>
      </c>
      <c r="DYI16" s="256" t="s">
        <v>77</v>
      </c>
      <c r="DYJ16" s="256" t="s">
        <v>78</v>
      </c>
      <c r="DYK16" s="256" t="s">
        <v>79</v>
      </c>
      <c r="DYL16" s="256" t="s">
        <v>80</v>
      </c>
      <c r="DYM16" s="256" t="s">
        <v>81</v>
      </c>
      <c r="DYN16" s="283"/>
      <c r="DYO16" s="259" t="s">
        <v>55</v>
      </c>
      <c r="DYP16" s="256" t="s">
        <v>76</v>
      </c>
      <c r="DYQ16" s="256" t="s">
        <v>77</v>
      </c>
      <c r="DYR16" s="256" t="s">
        <v>78</v>
      </c>
      <c r="DYS16" s="256" t="s">
        <v>79</v>
      </c>
      <c r="DYT16" s="256" t="s">
        <v>80</v>
      </c>
      <c r="DYU16" s="58" t="s">
        <v>81</v>
      </c>
      <c r="DYV16" s="284"/>
      <c r="DYW16" s="259" t="s">
        <v>55</v>
      </c>
      <c r="DYX16" s="256" t="s">
        <v>76</v>
      </c>
      <c r="DYY16" s="256" t="s">
        <v>77</v>
      </c>
      <c r="DYZ16" s="256" t="s">
        <v>78</v>
      </c>
      <c r="DZA16" s="256" t="s">
        <v>79</v>
      </c>
      <c r="DZB16" s="256" t="s">
        <v>80</v>
      </c>
      <c r="DZC16" s="256" t="s">
        <v>81</v>
      </c>
      <c r="DZD16" s="283"/>
      <c r="DZE16" s="259" t="s">
        <v>55</v>
      </c>
      <c r="DZF16" s="256" t="s">
        <v>76</v>
      </c>
      <c r="DZG16" s="256" t="s">
        <v>77</v>
      </c>
      <c r="DZH16" s="256" t="s">
        <v>78</v>
      </c>
      <c r="DZI16" s="256" t="s">
        <v>79</v>
      </c>
      <c r="DZJ16" s="256" t="s">
        <v>80</v>
      </c>
      <c r="DZK16" s="58" t="s">
        <v>81</v>
      </c>
      <c r="DZL16" s="284"/>
      <c r="DZM16" s="259" t="s">
        <v>55</v>
      </c>
      <c r="DZN16" s="256" t="s">
        <v>76</v>
      </c>
      <c r="DZO16" s="256" t="s">
        <v>77</v>
      </c>
      <c r="DZP16" s="256" t="s">
        <v>78</v>
      </c>
      <c r="DZQ16" s="256" t="s">
        <v>79</v>
      </c>
      <c r="DZR16" s="256" t="s">
        <v>80</v>
      </c>
      <c r="DZS16" s="256" t="s">
        <v>81</v>
      </c>
      <c r="DZT16" s="283"/>
      <c r="DZU16" s="259" t="s">
        <v>55</v>
      </c>
      <c r="DZV16" s="256" t="s">
        <v>76</v>
      </c>
      <c r="DZW16" s="256" t="s">
        <v>77</v>
      </c>
      <c r="DZX16" s="256" t="s">
        <v>78</v>
      </c>
      <c r="DZY16" s="256" t="s">
        <v>79</v>
      </c>
      <c r="DZZ16" s="256" t="s">
        <v>80</v>
      </c>
      <c r="EAA16" s="58" t="s">
        <v>81</v>
      </c>
      <c r="EAB16" s="284"/>
      <c r="EAC16" s="259" t="s">
        <v>55</v>
      </c>
      <c r="EAD16" s="256" t="s">
        <v>76</v>
      </c>
      <c r="EAE16" s="256" t="s">
        <v>77</v>
      </c>
      <c r="EAF16" s="256" t="s">
        <v>78</v>
      </c>
      <c r="EAG16" s="256" t="s">
        <v>79</v>
      </c>
      <c r="EAH16" s="256" t="s">
        <v>80</v>
      </c>
      <c r="EAI16" s="256" t="s">
        <v>81</v>
      </c>
      <c r="EAJ16" s="283"/>
      <c r="EAK16" s="259" t="s">
        <v>55</v>
      </c>
      <c r="EAL16" s="256" t="s">
        <v>76</v>
      </c>
      <c r="EAM16" s="256" t="s">
        <v>77</v>
      </c>
      <c r="EAN16" s="256" t="s">
        <v>78</v>
      </c>
      <c r="EAO16" s="256" t="s">
        <v>79</v>
      </c>
      <c r="EAP16" s="256" t="s">
        <v>80</v>
      </c>
      <c r="EAQ16" s="58" t="s">
        <v>81</v>
      </c>
      <c r="EAR16" s="284"/>
      <c r="EAS16" s="259" t="s">
        <v>55</v>
      </c>
      <c r="EAT16" s="256" t="s">
        <v>76</v>
      </c>
      <c r="EAU16" s="256" t="s">
        <v>77</v>
      </c>
      <c r="EAV16" s="256" t="s">
        <v>78</v>
      </c>
      <c r="EAW16" s="256" t="s">
        <v>79</v>
      </c>
      <c r="EAX16" s="256" t="s">
        <v>80</v>
      </c>
      <c r="EAY16" s="256" t="s">
        <v>81</v>
      </c>
      <c r="EAZ16" s="283"/>
      <c r="EBA16" s="259" t="s">
        <v>55</v>
      </c>
      <c r="EBB16" s="256" t="s">
        <v>76</v>
      </c>
      <c r="EBC16" s="256" t="s">
        <v>77</v>
      </c>
      <c r="EBD16" s="256" t="s">
        <v>78</v>
      </c>
      <c r="EBE16" s="256" t="s">
        <v>79</v>
      </c>
      <c r="EBF16" s="256" t="s">
        <v>80</v>
      </c>
      <c r="EBG16" s="58" t="s">
        <v>81</v>
      </c>
      <c r="EBH16" s="284"/>
      <c r="EBI16" s="259" t="s">
        <v>55</v>
      </c>
      <c r="EBJ16" s="256" t="s">
        <v>76</v>
      </c>
      <c r="EBK16" s="256" t="s">
        <v>77</v>
      </c>
      <c r="EBL16" s="256" t="s">
        <v>78</v>
      </c>
      <c r="EBM16" s="256" t="s">
        <v>79</v>
      </c>
      <c r="EBN16" s="256" t="s">
        <v>80</v>
      </c>
      <c r="EBO16" s="256" t="s">
        <v>81</v>
      </c>
      <c r="EBP16" s="283"/>
      <c r="EBQ16" s="259" t="s">
        <v>55</v>
      </c>
      <c r="EBR16" s="256" t="s">
        <v>76</v>
      </c>
      <c r="EBS16" s="256" t="s">
        <v>77</v>
      </c>
      <c r="EBT16" s="256" t="s">
        <v>78</v>
      </c>
      <c r="EBU16" s="256" t="s">
        <v>79</v>
      </c>
      <c r="EBV16" s="256" t="s">
        <v>80</v>
      </c>
      <c r="EBW16" s="58" t="s">
        <v>81</v>
      </c>
      <c r="EBX16" s="284"/>
      <c r="EBY16" s="259" t="s">
        <v>55</v>
      </c>
      <c r="EBZ16" s="256" t="s">
        <v>76</v>
      </c>
      <c r="ECA16" s="256" t="s">
        <v>77</v>
      </c>
      <c r="ECB16" s="256" t="s">
        <v>78</v>
      </c>
      <c r="ECC16" s="256" t="s">
        <v>79</v>
      </c>
      <c r="ECD16" s="256" t="s">
        <v>80</v>
      </c>
      <c r="ECE16" s="256" t="s">
        <v>81</v>
      </c>
      <c r="ECF16" s="283"/>
      <c r="ECG16" s="259" t="s">
        <v>55</v>
      </c>
      <c r="ECH16" s="256" t="s">
        <v>76</v>
      </c>
      <c r="ECI16" s="256" t="s">
        <v>77</v>
      </c>
      <c r="ECJ16" s="256" t="s">
        <v>78</v>
      </c>
      <c r="ECK16" s="256" t="s">
        <v>79</v>
      </c>
      <c r="ECL16" s="256" t="s">
        <v>80</v>
      </c>
      <c r="ECM16" s="58" t="s">
        <v>81</v>
      </c>
      <c r="ECN16" s="284"/>
      <c r="ECO16" s="259" t="s">
        <v>55</v>
      </c>
      <c r="ECP16" s="256" t="s">
        <v>76</v>
      </c>
      <c r="ECQ16" s="256" t="s">
        <v>77</v>
      </c>
      <c r="ECR16" s="256" t="s">
        <v>78</v>
      </c>
      <c r="ECS16" s="256" t="s">
        <v>79</v>
      </c>
      <c r="ECT16" s="256" t="s">
        <v>80</v>
      </c>
      <c r="ECU16" s="256" t="s">
        <v>81</v>
      </c>
      <c r="ECV16" s="283"/>
      <c r="ECW16" s="259" t="s">
        <v>55</v>
      </c>
      <c r="ECX16" s="256" t="s">
        <v>76</v>
      </c>
      <c r="ECY16" s="256" t="s">
        <v>77</v>
      </c>
      <c r="ECZ16" s="256" t="s">
        <v>78</v>
      </c>
      <c r="EDA16" s="256" t="s">
        <v>79</v>
      </c>
      <c r="EDB16" s="256" t="s">
        <v>80</v>
      </c>
      <c r="EDC16" s="58" t="s">
        <v>81</v>
      </c>
      <c r="EDD16" s="284"/>
      <c r="EDE16" s="259" t="s">
        <v>55</v>
      </c>
      <c r="EDF16" s="256" t="s">
        <v>76</v>
      </c>
      <c r="EDG16" s="256" t="s">
        <v>77</v>
      </c>
      <c r="EDH16" s="256" t="s">
        <v>78</v>
      </c>
      <c r="EDI16" s="256" t="s">
        <v>79</v>
      </c>
      <c r="EDJ16" s="256" t="s">
        <v>80</v>
      </c>
      <c r="EDK16" s="256" t="s">
        <v>81</v>
      </c>
      <c r="EDL16" s="283"/>
      <c r="EDM16" s="259" t="s">
        <v>55</v>
      </c>
      <c r="EDN16" s="256" t="s">
        <v>76</v>
      </c>
      <c r="EDO16" s="256" t="s">
        <v>77</v>
      </c>
      <c r="EDP16" s="256" t="s">
        <v>78</v>
      </c>
      <c r="EDQ16" s="256" t="s">
        <v>79</v>
      </c>
      <c r="EDR16" s="256" t="s">
        <v>80</v>
      </c>
      <c r="EDS16" s="58" t="s">
        <v>81</v>
      </c>
      <c r="EDT16" s="284"/>
      <c r="EDU16" s="259" t="s">
        <v>55</v>
      </c>
      <c r="EDV16" s="256" t="s">
        <v>76</v>
      </c>
      <c r="EDW16" s="256" t="s">
        <v>77</v>
      </c>
      <c r="EDX16" s="256" t="s">
        <v>78</v>
      </c>
      <c r="EDY16" s="256" t="s">
        <v>79</v>
      </c>
      <c r="EDZ16" s="256" t="s">
        <v>80</v>
      </c>
      <c r="EEA16" s="256" t="s">
        <v>81</v>
      </c>
      <c r="EEB16" s="283"/>
      <c r="EEC16" s="259" t="s">
        <v>55</v>
      </c>
      <c r="EED16" s="256" t="s">
        <v>76</v>
      </c>
      <c r="EEE16" s="256" t="s">
        <v>77</v>
      </c>
      <c r="EEF16" s="256" t="s">
        <v>78</v>
      </c>
      <c r="EEG16" s="256" t="s">
        <v>79</v>
      </c>
      <c r="EEH16" s="256" t="s">
        <v>80</v>
      </c>
      <c r="EEI16" s="58" t="s">
        <v>81</v>
      </c>
      <c r="EEJ16" s="284"/>
      <c r="EEK16" s="259" t="s">
        <v>55</v>
      </c>
      <c r="EEL16" s="256" t="s">
        <v>76</v>
      </c>
      <c r="EEM16" s="256" t="s">
        <v>77</v>
      </c>
      <c r="EEN16" s="256" t="s">
        <v>78</v>
      </c>
      <c r="EEO16" s="256" t="s">
        <v>79</v>
      </c>
      <c r="EEP16" s="256" t="s">
        <v>80</v>
      </c>
      <c r="EEQ16" s="256" t="s">
        <v>81</v>
      </c>
      <c r="EER16" s="283"/>
      <c r="EES16" s="259" t="s">
        <v>55</v>
      </c>
      <c r="EET16" s="256" t="s">
        <v>76</v>
      </c>
      <c r="EEU16" s="256" t="s">
        <v>77</v>
      </c>
      <c r="EEV16" s="256" t="s">
        <v>78</v>
      </c>
      <c r="EEW16" s="256" t="s">
        <v>79</v>
      </c>
      <c r="EEX16" s="256" t="s">
        <v>80</v>
      </c>
      <c r="EEY16" s="58" t="s">
        <v>81</v>
      </c>
      <c r="EEZ16" s="284"/>
      <c r="EFA16" s="259" t="s">
        <v>55</v>
      </c>
      <c r="EFB16" s="256" t="s">
        <v>76</v>
      </c>
      <c r="EFC16" s="256" t="s">
        <v>77</v>
      </c>
      <c r="EFD16" s="256" t="s">
        <v>78</v>
      </c>
      <c r="EFE16" s="256" t="s">
        <v>79</v>
      </c>
      <c r="EFF16" s="256" t="s">
        <v>80</v>
      </c>
      <c r="EFG16" s="256" t="s">
        <v>81</v>
      </c>
      <c r="EFH16" s="283"/>
      <c r="EFI16" s="259" t="s">
        <v>55</v>
      </c>
      <c r="EFJ16" s="256" t="s">
        <v>76</v>
      </c>
      <c r="EFK16" s="256" t="s">
        <v>77</v>
      </c>
      <c r="EFL16" s="256" t="s">
        <v>78</v>
      </c>
      <c r="EFM16" s="256" t="s">
        <v>79</v>
      </c>
      <c r="EFN16" s="256" t="s">
        <v>80</v>
      </c>
      <c r="EFO16" s="58" t="s">
        <v>81</v>
      </c>
      <c r="EFP16" s="284"/>
      <c r="EFQ16" s="259" t="s">
        <v>55</v>
      </c>
      <c r="EFR16" s="256" t="s">
        <v>76</v>
      </c>
      <c r="EFS16" s="256" t="s">
        <v>77</v>
      </c>
      <c r="EFT16" s="256" t="s">
        <v>78</v>
      </c>
      <c r="EFU16" s="256" t="s">
        <v>79</v>
      </c>
      <c r="EFV16" s="256" t="s">
        <v>80</v>
      </c>
      <c r="EFW16" s="256" t="s">
        <v>81</v>
      </c>
      <c r="EFX16" s="283"/>
      <c r="EFY16" s="259" t="s">
        <v>55</v>
      </c>
      <c r="EFZ16" s="256" t="s">
        <v>76</v>
      </c>
      <c r="EGA16" s="256" t="s">
        <v>77</v>
      </c>
      <c r="EGB16" s="256" t="s">
        <v>78</v>
      </c>
      <c r="EGC16" s="256" t="s">
        <v>79</v>
      </c>
      <c r="EGD16" s="256" t="s">
        <v>80</v>
      </c>
      <c r="EGE16" s="58" t="s">
        <v>81</v>
      </c>
      <c r="EGF16" s="284"/>
      <c r="EGG16" s="259" t="s">
        <v>55</v>
      </c>
      <c r="EGH16" s="256" t="s">
        <v>76</v>
      </c>
      <c r="EGI16" s="256" t="s">
        <v>77</v>
      </c>
      <c r="EGJ16" s="256" t="s">
        <v>78</v>
      </c>
      <c r="EGK16" s="256" t="s">
        <v>79</v>
      </c>
      <c r="EGL16" s="256" t="s">
        <v>80</v>
      </c>
      <c r="EGM16" s="256" t="s">
        <v>81</v>
      </c>
      <c r="EGN16" s="283"/>
      <c r="EGO16" s="259" t="s">
        <v>55</v>
      </c>
      <c r="EGP16" s="256" t="s">
        <v>76</v>
      </c>
      <c r="EGQ16" s="256" t="s">
        <v>77</v>
      </c>
      <c r="EGR16" s="256" t="s">
        <v>78</v>
      </c>
      <c r="EGS16" s="256" t="s">
        <v>79</v>
      </c>
      <c r="EGT16" s="256" t="s">
        <v>80</v>
      </c>
      <c r="EGU16" s="58" t="s">
        <v>81</v>
      </c>
      <c r="EGV16" s="284"/>
      <c r="EGW16" s="259" t="s">
        <v>55</v>
      </c>
      <c r="EGX16" s="256" t="s">
        <v>76</v>
      </c>
      <c r="EGY16" s="256" t="s">
        <v>77</v>
      </c>
      <c r="EGZ16" s="256" t="s">
        <v>78</v>
      </c>
      <c r="EHA16" s="256" t="s">
        <v>79</v>
      </c>
      <c r="EHB16" s="256" t="s">
        <v>80</v>
      </c>
      <c r="EHC16" s="256" t="s">
        <v>81</v>
      </c>
      <c r="EHD16" s="283"/>
      <c r="EHE16" s="259" t="s">
        <v>55</v>
      </c>
      <c r="EHF16" s="256" t="s">
        <v>76</v>
      </c>
      <c r="EHG16" s="256" t="s">
        <v>77</v>
      </c>
      <c r="EHH16" s="256" t="s">
        <v>78</v>
      </c>
      <c r="EHI16" s="256" t="s">
        <v>79</v>
      </c>
      <c r="EHJ16" s="256" t="s">
        <v>80</v>
      </c>
      <c r="EHK16" s="58" t="s">
        <v>81</v>
      </c>
      <c r="EHL16" s="284"/>
      <c r="EHM16" s="259" t="s">
        <v>55</v>
      </c>
      <c r="EHN16" s="256" t="s">
        <v>76</v>
      </c>
      <c r="EHO16" s="256" t="s">
        <v>77</v>
      </c>
      <c r="EHP16" s="256" t="s">
        <v>78</v>
      </c>
      <c r="EHQ16" s="256" t="s">
        <v>79</v>
      </c>
      <c r="EHR16" s="256" t="s">
        <v>80</v>
      </c>
      <c r="EHS16" s="256" t="s">
        <v>81</v>
      </c>
      <c r="EHT16" s="283"/>
      <c r="EHU16" s="259" t="s">
        <v>55</v>
      </c>
      <c r="EHV16" s="256" t="s">
        <v>76</v>
      </c>
      <c r="EHW16" s="256" t="s">
        <v>77</v>
      </c>
      <c r="EHX16" s="256" t="s">
        <v>78</v>
      </c>
      <c r="EHY16" s="256" t="s">
        <v>79</v>
      </c>
      <c r="EHZ16" s="256" t="s">
        <v>80</v>
      </c>
      <c r="EIA16" s="58" t="s">
        <v>81</v>
      </c>
      <c r="EIB16" s="284"/>
      <c r="EIC16" s="259" t="s">
        <v>55</v>
      </c>
      <c r="EID16" s="256" t="s">
        <v>76</v>
      </c>
      <c r="EIE16" s="256" t="s">
        <v>77</v>
      </c>
      <c r="EIF16" s="256" t="s">
        <v>78</v>
      </c>
      <c r="EIG16" s="256" t="s">
        <v>79</v>
      </c>
      <c r="EIH16" s="256" t="s">
        <v>80</v>
      </c>
      <c r="EII16" s="256" t="s">
        <v>81</v>
      </c>
      <c r="EIJ16" s="283"/>
      <c r="EIK16" s="259" t="s">
        <v>55</v>
      </c>
      <c r="EIL16" s="256" t="s">
        <v>76</v>
      </c>
      <c r="EIM16" s="256" t="s">
        <v>77</v>
      </c>
      <c r="EIN16" s="256" t="s">
        <v>78</v>
      </c>
      <c r="EIO16" s="256" t="s">
        <v>79</v>
      </c>
      <c r="EIP16" s="256" t="s">
        <v>80</v>
      </c>
      <c r="EIQ16" s="58" t="s">
        <v>81</v>
      </c>
      <c r="EIR16" s="284"/>
      <c r="EIS16" s="259" t="s">
        <v>55</v>
      </c>
      <c r="EIT16" s="256" t="s">
        <v>76</v>
      </c>
      <c r="EIU16" s="256" t="s">
        <v>77</v>
      </c>
      <c r="EIV16" s="256" t="s">
        <v>78</v>
      </c>
      <c r="EIW16" s="256" t="s">
        <v>79</v>
      </c>
      <c r="EIX16" s="256" t="s">
        <v>80</v>
      </c>
      <c r="EIY16" s="256" t="s">
        <v>81</v>
      </c>
      <c r="EIZ16" s="283"/>
      <c r="EJA16" s="259" t="s">
        <v>55</v>
      </c>
      <c r="EJB16" s="256" t="s">
        <v>76</v>
      </c>
      <c r="EJC16" s="256" t="s">
        <v>77</v>
      </c>
      <c r="EJD16" s="256" t="s">
        <v>78</v>
      </c>
      <c r="EJE16" s="256" t="s">
        <v>79</v>
      </c>
      <c r="EJF16" s="256" t="s">
        <v>80</v>
      </c>
      <c r="EJG16" s="58" t="s">
        <v>81</v>
      </c>
      <c r="EJH16" s="284"/>
      <c r="EJI16" s="259" t="s">
        <v>55</v>
      </c>
      <c r="EJJ16" s="256" t="s">
        <v>76</v>
      </c>
      <c r="EJK16" s="256" t="s">
        <v>77</v>
      </c>
      <c r="EJL16" s="256" t="s">
        <v>78</v>
      </c>
      <c r="EJM16" s="256" t="s">
        <v>79</v>
      </c>
      <c r="EJN16" s="256" t="s">
        <v>80</v>
      </c>
      <c r="EJO16" s="256" t="s">
        <v>81</v>
      </c>
      <c r="EJP16" s="283"/>
      <c r="EJQ16" s="259" t="s">
        <v>55</v>
      </c>
      <c r="EJR16" s="256" t="s">
        <v>76</v>
      </c>
      <c r="EJS16" s="256" t="s">
        <v>77</v>
      </c>
      <c r="EJT16" s="256" t="s">
        <v>78</v>
      </c>
      <c r="EJU16" s="256" t="s">
        <v>79</v>
      </c>
      <c r="EJV16" s="256" t="s">
        <v>80</v>
      </c>
      <c r="EJW16" s="58" t="s">
        <v>81</v>
      </c>
      <c r="EJX16" s="284"/>
      <c r="EJY16" s="259" t="s">
        <v>55</v>
      </c>
      <c r="EJZ16" s="256" t="s">
        <v>76</v>
      </c>
      <c r="EKA16" s="256" t="s">
        <v>77</v>
      </c>
      <c r="EKB16" s="256" t="s">
        <v>78</v>
      </c>
      <c r="EKC16" s="256" t="s">
        <v>79</v>
      </c>
      <c r="EKD16" s="256" t="s">
        <v>80</v>
      </c>
      <c r="EKE16" s="256" t="s">
        <v>81</v>
      </c>
      <c r="EKF16" s="283"/>
      <c r="EKG16" s="259" t="s">
        <v>55</v>
      </c>
      <c r="EKH16" s="256" t="s">
        <v>76</v>
      </c>
      <c r="EKI16" s="256" t="s">
        <v>77</v>
      </c>
      <c r="EKJ16" s="256" t="s">
        <v>78</v>
      </c>
      <c r="EKK16" s="256" t="s">
        <v>79</v>
      </c>
      <c r="EKL16" s="256" t="s">
        <v>80</v>
      </c>
      <c r="EKM16" s="58" t="s">
        <v>81</v>
      </c>
      <c r="EKN16" s="284"/>
      <c r="EKO16" s="259" t="s">
        <v>55</v>
      </c>
      <c r="EKP16" s="256" t="s">
        <v>76</v>
      </c>
      <c r="EKQ16" s="256" t="s">
        <v>77</v>
      </c>
      <c r="EKR16" s="256" t="s">
        <v>78</v>
      </c>
      <c r="EKS16" s="256" t="s">
        <v>79</v>
      </c>
      <c r="EKT16" s="256" t="s">
        <v>80</v>
      </c>
      <c r="EKU16" s="256" t="s">
        <v>81</v>
      </c>
      <c r="EKV16" s="283"/>
      <c r="EKW16" s="259" t="s">
        <v>55</v>
      </c>
      <c r="EKX16" s="256" t="s">
        <v>76</v>
      </c>
      <c r="EKY16" s="256" t="s">
        <v>77</v>
      </c>
      <c r="EKZ16" s="256" t="s">
        <v>78</v>
      </c>
      <c r="ELA16" s="256" t="s">
        <v>79</v>
      </c>
      <c r="ELB16" s="256" t="s">
        <v>80</v>
      </c>
      <c r="ELC16" s="58" t="s">
        <v>81</v>
      </c>
      <c r="ELD16" s="284"/>
      <c r="ELE16" s="259" t="s">
        <v>55</v>
      </c>
      <c r="ELF16" s="256" t="s">
        <v>76</v>
      </c>
      <c r="ELG16" s="256" t="s">
        <v>77</v>
      </c>
      <c r="ELH16" s="256" t="s">
        <v>78</v>
      </c>
      <c r="ELI16" s="256" t="s">
        <v>79</v>
      </c>
      <c r="ELJ16" s="256" t="s">
        <v>80</v>
      </c>
      <c r="ELK16" s="256" t="s">
        <v>81</v>
      </c>
      <c r="ELL16" s="283"/>
      <c r="ELM16" s="259" t="s">
        <v>55</v>
      </c>
      <c r="ELN16" s="256" t="s">
        <v>76</v>
      </c>
      <c r="ELO16" s="256" t="s">
        <v>77</v>
      </c>
      <c r="ELP16" s="256" t="s">
        <v>78</v>
      </c>
      <c r="ELQ16" s="256" t="s">
        <v>79</v>
      </c>
      <c r="ELR16" s="256" t="s">
        <v>80</v>
      </c>
      <c r="ELS16" s="58" t="s">
        <v>81</v>
      </c>
      <c r="ELT16" s="284"/>
      <c r="ELU16" s="259" t="s">
        <v>55</v>
      </c>
      <c r="ELV16" s="256" t="s">
        <v>76</v>
      </c>
      <c r="ELW16" s="256" t="s">
        <v>77</v>
      </c>
      <c r="ELX16" s="256" t="s">
        <v>78</v>
      </c>
      <c r="ELY16" s="256" t="s">
        <v>79</v>
      </c>
      <c r="ELZ16" s="256" t="s">
        <v>80</v>
      </c>
      <c r="EMA16" s="256" t="s">
        <v>81</v>
      </c>
      <c r="EMB16" s="283"/>
      <c r="EMC16" s="259" t="s">
        <v>55</v>
      </c>
      <c r="EMD16" s="256" t="s">
        <v>76</v>
      </c>
      <c r="EME16" s="256" t="s">
        <v>77</v>
      </c>
      <c r="EMF16" s="256" t="s">
        <v>78</v>
      </c>
      <c r="EMG16" s="256" t="s">
        <v>79</v>
      </c>
      <c r="EMH16" s="256" t="s">
        <v>80</v>
      </c>
      <c r="EMI16" s="58" t="s">
        <v>81</v>
      </c>
      <c r="EMJ16" s="284"/>
      <c r="EMK16" s="259" t="s">
        <v>55</v>
      </c>
      <c r="EML16" s="256" t="s">
        <v>76</v>
      </c>
      <c r="EMM16" s="256" t="s">
        <v>77</v>
      </c>
      <c r="EMN16" s="256" t="s">
        <v>78</v>
      </c>
      <c r="EMO16" s="256" t="s">
        <v>79</v>
      </c>
      <c r="EMP16" s="256" t="s">
        <v>80</v>
      </c>
      <c r="EMQ16" s="256" t="s">
        <v>81</v>
      </c>
      <c r="EMR16" s="283"/>
      <c r="EMS16" s="259" t="s">
        <v>55</v>
      </c>
      <c r="EMT16" s="256" t="s">
        <v>76</v>
      </c>
      <c r="EMU16" s="256" t="s">
        <v>77</v>
      </c>
      <c r="EMV16" s="256" t="s">
        <v>78</v>
      </c>
      <c r="EMW16" s="256" t="s">
        <v>79</v>
      </c>
      <c r="EMX16" s="256" t="s">
        <v>80</v>
      </c>
      <c r="EMY16" s="58" t="s">
        <v>81</v>
      </c>
      <c r="EMZ16" s="284"/>
      <c r="ENA16" s="259" t="s">
        <v>55</v>
      </c>
      <c r="ENB16" s="256" t="s">
        <v>76</v>
      </c>
      <c r="ENC16" s="256" t="s">
        <v>77</v>
      </c>
      <c r="END16" s="256" t="s">
        <v>78</v>
      </c>
      <c r="ENE16" s="256" t="s">
        <v>79</v>
      </c>
      <c r="ENF16" s="256" t="s">
        <v>80</v>
      </c>
      <c r="ENG16" s="256" t="s">
        <v>81</v>
      </c>
      <c r="ENH16" s="283"/>
      <c r="ENI16" s="259" t="s">
        <v>55</v>
      </c>
      <c r="ENJ16" s="256" t="s">
        <v>76</v>
      </c>
      <c r="ENK16" s="256" t="s">
        <v>77</v>
      </c>
      <c r="ENL16" s="256" t="s">
        <v>78</v>
      </c>
      <c r="ENM16" s="256" t="s">
        <v>79</v>
      </c>
      <c r="ENN16" s="256" t="s">
        <v>80</v>
      </c>
      <c r="ENO16" s="58" t="s">
        <v>81</v>
      </c>
      <c r="ENP16" s="284"/>
      <c r="ENQ16" s="259" t="s">
        <v>55</v>
      </c>
      <c r="ENR16" s="256" t="s">
        <v>76</v>
      </c>
      <c r="ENS16" s="256" t="s">
        <v>77</v>
      </c>
      <c r="ENT16" s="256" t="s">
        <v>78</v>
      </c>
      <c r="ENU16" s="256" t="s">
        <v>79</v>
      </c>
      <c r="ENV16" s="256" t="s">
        <v>80</v>
      </c>
      <c r="ENW16" s="256" t="s">
        <v>81</v>
      </c>
      <c r="ENX16" s="283"/>
      <c r="ENY16" s="259" t="s">
        <v>55</v>
      </c>
      <c r="ENZ16" s="256" t="s">
        <v>76</v>
      </c>
      <c r="EOA16" s="256" t="s">
        <v>77</v>
      </c>
      <c r="EOB16" s="256" t="s">
        <v>78</v>
      </c>
      <c r="EOC16" s="256" t="s">
        <v>79</v>
      </c>
      <c r="EOD16" s="256" t="s">
        <v>80</v>
      </c>
      <c r="EOE16" s="58" t="s">
        <v>81</v>
      </c>
      <c r="EOF16" s="284"/>
      <c r="EOG16" s="259" t="s">
        <v>55</v>
      </c>
      <c r="EOH16" s="256" t="s">
        <v>76</v>
      </c>
      <c r="EOI16" s="256" t="s">
        <v>77</v>
      </c>
      <c r="EOJ16" s="256" t="s">
        <v>78</v>
      </c>
      <c r="EOK16" s="256" t="s">
        <v>79</v>
      </c>
      <c r="EOL16" s="256" t="s">
        <v>80</v>
      </c>
      <c r="EOM16" s="256" t="s">
        <v>81</v>
      </c>
      <c r="EON16" s="283"/>
      <c r="EOO16" s="259" t="s">
        <v>55</v>
      </c>
      <c r="EOP16" s="256" t="s">
        <v>76</v>
      </c>
      <c r="EOQ16" s="256" t="s">
        <v>77</v>
      </c>
      <c r="EOR16" s="256" t="s">
        <v>78</v>
      </c>
      <c r="EOS16" s="256" t="s">
        <v>79</v>
      </c>
      <c r="EOT16" s="256" t="s">
        <v>80</v>
      </c>
      <c r="EOU16" s="58" t="s">
        <v>81</v>
      </c>
      <c r="EOV16" s="284"/>
      <c r="EOW16" s="259" t="s">
        <v>55</v>
      </c>
      <c r="EOX16" s="256" t="s">
        <v>76</v>
      </c>
      <c r="EOY16" s="256" t="s">
        <v>77</v>
      </c>
      <c r="EOZ16" s="256" t="s">
        <v>78</v>
      </c>
      <c r="EPA16" s="256" t="s">
        <v>79</v>
      </c>
      <c r="EPB16" s="256" t="s">
        <v>80</v>
      </c>
      <c r="EPC16" s="256" t="s">
        <v>81</v>
      </c>
      <c r="EPD16" s="283"/>
      <c r="EPE16" s="259" t="s">
        <v>55</v>
      </c>
      <c r="EPF16" s="256" t="s">
        <v>76</v>
      </c>
      <c r="EPG16" s="256" t="s">
        <v>77</v>
      </c>
      <c r="EPH16" s="256" t="s">
        <v>78</v>
      </c>
      <c r="EPI16" s="256" t="s">
        <v>79</v>
      </c>
      <c r="EPJ16" s="256" t="s">
        <v>80</v>
      </c>
      <c r="EPK16" s="58" t="s">
        <v>81</v>
      </c>
      <c r="EPL16" s="284"/>
      <c r="EPM16" s="259" t="s">
        <v>55</v>
      </c>
      <c r="EPN16" s="256" t="s">
        <v>76</v>
      </c>
      <c r="EPO16" s="256" t="s">
        <v>77</v>
      </c>
      <c r="EPP16" s="256" t="s">
        <v>78</v>
      </c>
      <c r="EPQ16" s="256" t="s">
        <v>79</v>
      </c>
      <c r="EPR16" s="256" t="s">
        <v>80</v>
      </c>
      <c r="EPS16" s="256" t="s">
        <v>81</v>
      </c>
      <c r="EPT16" s="283"/>
      <c r="EPU16" s="259" t="s">
        <v>55</v>
      </c>
      <c r="EPV16" s="256" t="s">
        <v>76</v>
      </c>
      <c r="EPW16" s="256" t="s">
        <v>77</v>
      </c>
      <c r="EPX16" s="256" t="s">
        <v>78</v>
      </c>
      <c r="EPY16" s="256" t="s">
        <v>79</v>
      </c>
      <c r="EPZ16" s="256" t="s">
        <v>80</v>
      </c>
      <c r="EQA16" s="58" t="s">
        <v>81</v>
      </c>
      <c r="EQB16" s="284"/>
      <c r="EQC16" s="259" t="s">
        <v>55</v>
      </c>
      <c r="EQD16" s="256" t="s">
        <v>76</v>
      </c>
      <c r="EQE16" s="256" t="s">
        <v>77</v>
      </c>
      <c r="EQF16" s="256" t="s">
        <v>78</v>
      </c>
      <c r="EQG16" s="256" t="s">
        <v>79</v>
      </c>
      <c r="EQH16" s="256" t="s">
        <v>80</v>
      </c>
      <c r="EQI16" s="256" t="s">
        <v>81</v>
      </c>
      <c r="EQJ16" s="283"/>
      <c r="EQK16" s="259" t="s">
        <v>55</v>
      </c>
      <c r="EQL16" s="256" t="s">
        <v>76</v>
      </c>
      <c r="EQM16" s="256" t="s">
        <v>77</v>
      </c>
      <c r="EQN16" s="256" t="s">
        <v>78</v>
      </c>
      <c r="EQO16" s="256" t="s">
        <v>79</v>
      </c>
      <c r="EQP16" s="256" t="s">
        <v>80</v>
      </c>
      <c r="EQQ16" s="58" t="s">
        <v>81</v>
      </c>
      <c r="EQR16" s="284"/>
      <c r="EQS16" s="259" t="s">
        <v>55</v>
      </c>
      <c r="EQT16" s="256" t="s">
        <v>76</v>
      </c>
      <c r="EQU16" s="256" t="s">
        <v>77</v>
      </c>
      <c r="EQV16" s="256" t="s">
        <v>78</v>
      </c>
      <c r="EQW16" s="256" t="s">
        <v>79</v>
      </c>
      <c r="EQX16" s="256" t="s">
        <v>80</v>
      </c>
      <c r="EQY16" s="256" t="s">
        <v>81</v>
      </c>
      <c r="EQZ16" s="283"/>
      <c r="ERA16" s="259" t="s">
        <v>55</v>
      </c>
      <c r="ERB16" s="256" t="s">
        <v>76</v>
      </c>
      <c r="ERC16" s="256" t="s">
        <v>77</v>
      </c>
      <c r="ERD16" s="256" t="s">
        <v>78</v>
      </c>
      <c r="ERE16" s="256" t="s">
        <v>79</v>
      </c>
      <c r="ERF16" s="256" t="s">
        <v>80</v>
      </c>
      <c r="ERG16" s="58" t="s">
        <v>81</v>
      </c>
      <c r="ERH16" s="284"/>
      <c r="ERI16" s="259" t="s">
        <v>55</v>
      </c>
      <c r="ERJ16" s="256" t="s">
        <v>76</v>
      </c>
      <c r="ERK16" s="256" t="s">
        <v>77</v>
      </c>
      <c r="ERL16" s="256" t="s">
        <v>78</v>
      </c>
      <c r="ERM16" s="256" t="s">
        <v>79</v>
      </c>
      <c r="ERN16" s="256" t="s">
        <v>80</v>
      </c>
      <c r="ERO16" s="256" t="s">
        <v>81</v>
      </c>
      <c r="ERP16" s="283"/>
      <c r="ERQ16" s="259" t="s">
        <v>55</v>
      </c>
      <c r="ERR16" s="256" t="s">
        <v>76</v>
      </c>
      <c r="ERS16" s="256" t="s">
        <v>77</v>
      </c>
      <c r="ERT16" s="256" t="s">
        <v>78</v>
      </c>
      <c r="ERU16" s="256" t="s">
        <v>79</v>
      </c>
      <c r="ERV16" s="256" t="s">
        <v>80</v>
      </c>
      <c r="ERW16" s="58" t="s">
        <v>81</v>
      </c>
      <c r="ERX16" s="284"/>
      <c r="ERY16" s="259" t="s">
        <v>55</v>
      </c>
      <c r="ERZ16" s="256" t="s">
        <v>76</v>
      </c>
      <c r="ESA16" s="256" t="s">
        <v>77</v>
      </c>
      <c r="ESB16" s="256" t="s">
        <v>78</v>
      </c>
      <c r="ESC16" s="256" t="s">
        <v>79</v>
      </c>
      <c r="ESD16" s="256" t="s">
        <v>80</v>
      </c>
      <c r="ESE16" s="256" t="s">
        <v>81</v>
      </c>
      <c r="ESF16" s="283"/>
      <c r="ESG16" s="259" t="s">
        <v>55</v>
      </c>
      <c r="ESH16" s="256" t="s">
        <v>76</v>
      </c>
      <c r="ESI16" s="256" t="s">
        <v>77</v>
      </c>
      <c r="ESJ16" s="256" t="s">
        <v>78</v>
      </c>
      <c r="ESK16" s="256" t="s">
        <v>79</v>
      </c>
      <c r="ESL16" s="256" t="s">
        <v>80</v>
      </c>
      <c r="ESM16" s="58" t="s">
        <v>81</v>
      </c>
      <c r="ESN16" s="284"/>
      <c r="ESO16" s="259" t="s">
        <v>55</v>
      </c>
      <c r="ESP16" s="256" t="s">
        <v>76</v>
      </c>
      <c r="ESQ16" s="256" t="s">
        <v>77</v>
      </c>
      <c r="ESR16" s="256" t="s">
        <v>78</v>
      </c>
      <c r="ESS16" s="256" t="s">
        <v>79</v>
      </c>
      <c r="EST16" s="256" t="s">
        <v>80</v>
      </c>
      <c r="ESU16" s="256" t="s">
        <v>81</v>
      </c>
      <c r="ESV16" s="283"/>
      <c r="ESW16" s="259" t="s">
        <v>55</v>
      </c>
      <c r="ESX16" s="256" t="s">
        <v>76</v>
      </c>
      <c r="ESY16" s="256" t="s">
        <v>77</v>
      </c>
      <c r="ESZ16" s="256" t="s">
        <v>78</v>
      </c>
      <c r="ETA16" s="256" t="s">
        <v>79</v>
      </c>
      <c r="ETB16" s="256" t="s">
        <v>80</v>
      </c>
      <c r="ETC16" s="58" t="s">
        <v>81</v>
      </c>
      <c r="ETD16" s="284"/>
      <c r="ETE16" s="259" t="s">
        <v>55</v>
      </c>
      <c r="ETF16" s="256" t="s">
        <v>76</v>
      </c>
      <c r="ETG16" s="256" t="s">
        <v>77</v>
      </c>
      <c r="ETH16" s="256" t="s">
        <v>78</v>
      </c>
      <c r="ETI16" s="256" t="s">
        <v>79</v>
      </c>
      <c r="ETJ16" s="256" t="s">
        <v>80</v>
      </c>
      <c r="ETK16" s="256" t="s">
        <v>81</v>
      </c>
      <c r="ETL16" s="283"/>
      <c r="ETM16" s="259" t="s">
        <v>55</v>
      </c>
      <c r="ETN16" s="256" t="s">
        <v>76</v>
      </c>
      <c r="ETO16" s="256" t="s">
        <v>77</v>
      </c>
      <c r="ETP16" s="256" t="s">
        <v>78</v>
      </c>
      <c r="ETQ16" s="256" t="s">
        <v>79</v>
      </c>
      <c r="ETR16" s="256" t="s">
        <v>80</v>
      </c>
      <c r="ETS16" s="58" t="s">
        <v>81</v>
      </c>
      <c r="ETT16" s="284"/>
      <c r="ETU16" s="259" t="s">
        <v>55</v>
      </c>
      <c r="ETV16" s="256" t="s">
        <v>76</v>
      </c>
      <c r="ETW16" s="256" t="s">
        <v>77</v>
      </c>
      <c r="ETX16" s="256" t="s">
        <v>78</v>
      </c>
      <c r="ETY16" s="256" t="s">
        <v>79</v>
      </c>
      <c r="ETZ16" s="256" t="s">
        <v>80</v>
      </c>
      <c r="EUA16" s="256" t="s">
        <v>81</v>
      </c>
      <c r="EUB16" s="283"/>
      <c r="EUC16" s="259" t="s">
        <v>55</v>
      </c>
      <c r="EUD16" s="256" t="s">
        <v>76</v>
      </c>
      <c r="EUE16" s="256" t="s">
        <v>77</v>
      </c>
      <c r="EUF16" s="256" t="s">
        <v>78</v>
      </c>
      <c r="EUG16" s="256" t="s">
        <v>79</v>
      </c>
      <c r="EUH16" s="256" t="s">
        <v>80</v>
      </c>
      <c r="EUI16" s="58" t="s">
        <v>81</v>
      </c>
      <c r="EUJ16" s="284"/>
      <c r="EUK16" s="259" t="s">
        <v>55</v>
      </c>
      <c r="EUL16" s="256" t="s">
        <v>76</v>
      </c>
      <c r="EUM16" s="256" t="s">
        <v>77</v>
      </c>
      <c r="EUN16" s="256" t="s">
        <v>78</v>
      </c>
      <c r="EUO16" s="256" t="s">
        <v>79</v>
      </c>
      <c r="EUP16" s="256" t="s">
        <v>80</v>
      </c>
      <c r="EUQ16" s="256" t="s">
        <v>81</v>
      </c>
      <c r="EUR16" s="283"/>
      <c r="EUS16" s="259" t="s">
        <v>55</v>
      </c>
      <c r="EUT16" s="256" t="s">
        <v>76</v>
      </c>
      <c r="EUU16" s="256" t="s">
        <v>77</v>
      </c>
      <c r="EUV16" s="256" t="s">
        <v>78</v>
      </c>
      <c r="EUW16" s="256" t="s">
        <v>79</v>
      </c>
      <c r="EUX16" s="256" t="s">
        <v>80</v>
      </c>
      <c r="EUY16" s="58" t="s">
        <v>81</v>
      </c>
      <c r="EUZ16" s="284"/>
      <c r="EVA16" s="259" t="s">
        <v>55</v>
      </c>
      <c r="EVB16" s="256" t="s">
        <v>76</v>
      </c>
      <c r="EVC16" s="256" t="s">
        <v>77</v>
      </c>
      <c r="EVD16" s="256" t="s">
        <v>78</v>
      </c>
      <c r="EVE16" s="256" t="s">
        <v>79</v>
      </c>
      <c r="EVF16" s="256" t="s">
        <v>80</v>
      </c>
      <c r="EVG16" s="256" t="s">
        <v>81</v>
      </c>
      <c r="EVH16" s="283"/>
      <c r="EVI16" s="259" t="s">
        <v>55</v>
      </c>
      <c r="EVJ16" s="256" t="s">
        <v>76</v>
      </c>
      <c r="EVK16" s="256" t="s">
        <v>77</v>
      </c>
      <c r="EVL16" s="256" t="s">
        <v>78</v>
      </c>
      <c r="EVM16" s="256" t="s">
        <v>79</v>
      </c>
      <c r="EVN16" s="256" t="s">
        <v>80</v>
      </c>
      <c r="EVO16" s="58" t="s">
        <v>81</v>
      </c>
      <c r="EVP16" s="284"/>
      <c r="EVQ16" s="259" t="s">
        <v>55</v>
      </c>
      <c r="EVR16" s="256" t="s">
        <v>76</v>
      </c>
      <c r="EVS16" s="256" t="s">
        <v>77</v>
      </c>
      <c r="EVT16" s="256" t="s">
        <v>78</v>
      </c>
      <c r="EVU16" s="256" t="s">
        <v>79</v>
      </c>
      <c r="EVV16" s="256" t="s">
        <v>80</v>
      </c>
      <c r="EVW16" s="256" t="s">
        <v>81</v>
      </c>
      <c r="EVX16" s="283"/>
      <c r="EVY16" s="259" t="s">
        <v>55</v>
      </c>
      <c r="EVZ16" s="256" t="s">
        <v>76</v>
      </c>
      <c r="EWA16" s="256" t="s">
        <v>77</v>
      </c>
      <c r="EWB16" s="256" t="s">
        <v>78</v>
      </c>
      <c r="EWC16" s="256" t="s">
        <v>79</v>
      </c>
      <c r="EWD16" s="256" t="s">
        <v>80</v>
      </c>
      <c r="EWE16" s="58" t="s">
        <v>81</v>
      </c>
      <c r="EWF16" s="284"/>
      <c r="EWG16" s="259" t="s">
        <v>55</v>
      </c>
      <c r="EWH16" s="256" t="s">
        <v>76</v>
      </c>
      <c r="EWI16" s="256" t="s">
        <v>77</v>
      </c>
      <c r="EWJ16" s="256" t="s">
        <v>78</v>
      </c>
      <c r="EWK16" s="256" t="s">
        <v>79</v>
      </c>
      <c r="EWL16" s="256" t="s">
        <v>80</v>
      </c>
      <c r="EWM16" s="256" t="s">
        <v>81</v>
      </c>
      <c r="EWN16" s="283"/>
      <c r="EWO16" s="259" t="s">
        <v>55</v>
      </c>
      <c r="EWP16" s="256" t="s">
        <v>76</v>
      </c>
      <c r="EWQ16" s="256" t="s">
        <v>77</v>
      </c>
      <c r="EWR16" s="256" t="s">
        <v>78</v>
      </c>
      <c r="EWS16" s="256" t="s">
        <v>79</v>
      </c>
      <c r="EWT16" s="256" t="s">
        <v>80</v>
      </c>
      <c r="EWU16" s="58" t="s">
        <v>81</v>
      </c>
      <c r="EWV16" s="284"/>
      <c r="EWW16" s="259" t="s">
        <v>55</v>
      </c>
      <c r="EWX16" s="256" t="s">
        <v>76</v>
      </c>
      <c r="EWY16" s="256" t="s">
        <v>77</v>
      </c>
      <c r="EWZ16" s="256" t="s">
        <v>78</v>
      </c>
      <c r="EXA16" s="256" t="s">
        <v>79</v>
      </c>
      <c r="EXB16" s="256" t="s">
        <v>80</v>
      </c>
      <c r="EXC16" s="256" t="s">
        <v>81</v>
      </c>
      <c r="EXD16" s="283"/>
      <c r="EXE16" s="259" t="s">
        <v>55</v>
      </c>
      <c r="EXF16" s="256" t="s">
        <v>76</v>
      </c>
      <c r="EXG16" s="256" t="s">
        <v>77</v>
      </c>
      <c r="EXH16" s="256" t="s">
        <v>78</v>
      </c>
      <c r="EXI16" s="256" t="s">
        <v>79</v>
      </c>
      <c r="EXJ16" s="256" t="s">
        <v>80</v>
      </c>
      <c r="EXK16" s="58" t="s">
        <v>81</v>
      </c>
      <c r="EXL16" s="284"/>
      <c r="EXM16" s="259" t="s">
        <v>55</v>
      </c>
      <c r="EXN16" s="256" t="s">
        <v>76</v>
      </c>
      <c r="EXO16" s="256" t="s">
        <v>77</v>
      </c>
      <c r="EXP16" s="256" t="s">
        <v>78</v>
      </c>
      <c r="EXQ16" s="256" t="s">
        <v>79</v>
      </c>
      <c r="EXR16" s="256" t="s">
        <v>80</v>
      </c>
      <c r="EXS16" s="256" t="s">
        <v>81</v>
      </c>
      <c r="EXT16" s="283"/>
      <c r="EXU16" s="259" t="s">
        <v>55</v>
      </c>
      <c r="EXV16" s="256" t="s">
        <v>76</v>
      </c>
      <c r="EXW16" s="256" t="s">
        <v>77</v>
      </c>
      <c r="EXX16" s="256" t="s">
        <v>78</v>
      </c>
      <c r="EXY16" s="256" t="s">
        <v>79</v>
      </c>
      <c r="EXZ16" s="256" t="s">
        <v>80</v>
      </c>
      <c r="EYA16" s="58" t="s">
        <v>81</v>
      </c>
      <c r="EYB16" s="284"/>
      <c r="EYC16" s="259" t="s">
        <v>55</v>
      </c>
      <c r="EYD16" s="256" t="s">
        <v>76</v>
      </c>
      <c r="EYE16" s="256" t="s">
        <v>77</v>
      </c>
      <c r="EYF16" s="256" t="s">
        <v>78</v>
      </c>
      <c r="EYG16" s="256" t="s">
        <v>79</v>
      </c>
      <c r="EYH16" s="256" t="s">
        <v>80</v>
      </c>
      <c r="EYI16" s="256" t="s">
        <v>81</v>
      </c>
      <c r="EYJ16" s="283"/>
      <c r="EYK16" s="259" t="s">
        <v>55</v>
      </c>
      <c r="EYL16" s="256" t="s">
        <v>76</v>
      </c>
      <c r="EYM16" s="256" t="s">
        <v>77</v>
      </c>
      <c r="EYN16" s="256" t="s">
        <v>78</v>
      </c>
      <c r="EYO16" s="256" t="s">
        <v>79</v>
      </c>
      <c r="EYP16" s="256" t="s">
        <v>80</v>
      </c>
      <c r="EYQ16" s="58" t="s">
        <v>81</v>
      </c>
      <c r="EYR16" s="284"/>
      <c r="EYS16" s="259" t="s">
        <v>55</v>
      </c>
      <c r="EYT16" s="256" t="s">
        <v>76</v>
      </c>
      <c r="EYU16" s="256" t="s">
        <v>77</v>
      </c>
      <c r="EYV16" s="256" t="s">
        <v>78</v>
      </c>
      <c r="EYW16" s="256" t="s">
        <v>79</v>
      </c>
      <c r="EYX16" s="256" t="s">
        <v>80</v>
      </c>
      <c r="EYY16" s="256" t="s">
        <v>81</v>
      </c>
      <c r="EYZ16" s="283"/>
      <c r="EZA16" s="259" t="s">
        <v>55</v>
      </c>
      <c r="EZB16" s="256" t="s">
        <v>76</v>
      </c>
      <c r="EZC16" s="256" t="s">
        <v>77</v>
      </c>
      <c r="EZD16" s="256" t="s">
        <v>78</v>
      </c>
      <c r="EZE16" s="256" t="s">
        <v>79</v>
      </c>
      <c r="EZF16" s="256" t="s">
        <v>80</v>
      </c>
      <c r="EZG16" s="58" t="s">
        <v>81</v>
      </c>
      <c r="EZH16" s="284"/>
      <c r="EZI16" s="259" t="s">
        <v>55</v>
      </c>
      <c r="EZJ16" s="256" t="s">
        <v>76</v>
      </c>
      <c r="EZK16" s="256" t="s">
        <v>77</v>
      </c>
      <c r="EZL16" s="256" t="s">
        <v>78</v>
      </c>
      <c r="EZM16" s="256" t="s">
        <v>79</v>
      </c>
      <c r="EZN16" s="256" t="s">
        <v>80</v>
      </c>
      <c r="EZO16" s="256" t="s">
        <v>81</v>
      </c>
      <c r="EZP16" s="283"/>
      <c r="EZQ16" s="259" t="s">
        <v>55</v>
      </c>
      <c r="EZR16" s="256" t="s">
        <v>76</v>
      </c>
      <c r="EZS16" s="256" t="s">
        <v>77</v>
      </c>
      <c r="EZT16" s="256" t="s">
        <v>78</v>
      </c>
      <c r="EZU16" s="256" t="s">
        <v>79</v>
      </c>
      <c r="EZV16" s="256" t="s">
        <v>80</v>
      </c>
      <c r="EZW16" s="58" t="s">
        <v>81</v>
      </c>
      <c r="EZX16" s="284"/>
      <c r="EZY16" s="259" t="s">
        <v>55</v>
      </c>
      <c r="EZZ16" s="256" t="s">
        <v>76</v>
      </c>
      <c r="FAA16" s="256" t="s">
        <v>77</v>
      </c>
      <c r="FAB16" s="256" t="s">
        <v>78</v>
      </c>
      <c r="FAC16" s="256" t="s">
        <v>79</v>
      </c>
      <c r="FAD16" s="256" t="s">
        <v>80</v>
      </c>
      <c r="FAE16" s="256" t="s">
        <v>81</v>
      </c>
      <c r="FAF16" s="283"/>
      <c r="FAG16" s="259" t="s">
        <v>55</v>
      </c>
      <c r="FAH16" s="256" t="s">
        <v>76</v>
      </c>
      <c r="FAI16" s="256" t="s">
        <v>77</v>
      </c>
      <c r="FAJ16" s="256" t="s">
        <v>78</v>
      </c>
      <c r="FAK16" s="256" t="s">
        <v>79</v>
      </c>
      <c r="FAL16" s="256" t="s">
        <v>80</v>
      </c>
      <c r="FAM16" s="58" t="s">
        <v>81</v>
      </c>
      <c r="FAN16" s="284"/>
      <c r="FAO16" s="259" t="s">
        <v>55</v>
      </c>
      <c r="FAP16" s="256" t="s">
        <v>76</v>
      </c>
      <c r="FAQ16" s="256" t="s">
        <v>77</v>
      </c>
      <c r="FAR16" s="256" t="s">
        <v>78</v>
      </c>
      <c r="FAS16" s="256" t="s">
        <v>79</v>
      </c>
      <c r="FAT16" s="256" t="s">
        <v>80</v>
      </c>
      <c r="FAU16" s="256" t="s">
        <v>81</v>
      </c>
      <c r="FAV16" s="283"/>
      <c r="FAW16" s="259" t="s">
        <v>55</v>
      </c>
      <c r="FAX16" s="256" t="s">
        <v>76</v>
      </c>
      <c r="FAY16" s="256" t="s">
        <v>77</v>
      </c>
      <c r="FAZ16" s="256" t="s">
        <v>78</v>
      </c>
      <c r="FBA16" s="256" t="s">
        <v>79</v>
      </c>
      <c r="FBB16" s="256" t="s">
        <v>80</v>
      </c>
      <c r="FBC16" s="58" t="s">
        <v>81</v>
      </c>
      <c r="FBD16" s="284"/>
      <c r="FBE16" s="259" t="s">
        <v>55</v>
      </c>
      <c r="FBF16" s="256" t="s">
        <v>76</v>
      </c>
      <c r="FBG16" s="256" t="s">
        <v>77</v>
      </c>
      <c r="FBH16" s="256" t="s">
        <v>78</v>
      </c>
      <c r="FBI16" s="256" t="s">
        <v>79</v>
      </c>
      <c r="FBJ16" s="256" t="s">
        <v>80</v>
      </c>
      <c r="FBK16" s="256" t="s">
        <v>81</v>
      </c>
      <c r="FBL16" s="283"/>
      <c r="FBM16" s="259" t="s">
        <v>55</v>
      </c>
      <c r="FBN16" s="256" t="s">
        <v>76</v>
      </c>
      <c r="FBO16" s="256" t="s">
        <v>77</v>
      </c>
      <c r="FBP16" s="256" t="s">
        <v>78</v>
      </c>
      <c r="FBQ16" s="256" t="s">
        <v>79</v>
      </c>
      <c r="FBR16" s="256" t="s">
        <v>80</v>
      </c>
      <c r="FBS16" s="58" t="s">
        <v>81</v>
      </c>
      <c r="FBT16" s="284"/>
      <c r="FBU16" s="259" t="s">
        <v>55</v>
      </c>
      <c r="FBV16" s="256" t="s">
        <v>76</v>
      </c>
      <c r="FBW16" s="256" t="s">
        <v>77</v>
      </c>
      <c r="FBX16" s="256" t="s">
        <v>78</v>
      </c>
      <c r="FBY16" s="256" t="s">
        <v>79</v>
      </c>
      <c r="FBZ16" s="256" t="s">
        <v>80</v>
      </c>
      <c r="FCA16" s="256" t="s">
        <v>81</v>
      </c>
      <c r="FCB16" s="283"/>
      <c r="FCC16" s="259" t="s">
        <v>55</v>
      </c>
      <c r="FCD16" s="256" t="s">
        <v>76</v>
      </c>
      <c r="FCE16" s="256" t="s">
        <v>77</v>
      </c>
      <c r="FCF16" s="256" t="s">
        <v>78</v>
      </c>
      <c r="FCG16" s="256" t="s">
        <v>79</v>
      </c>
      <c r="FCH16" s="256" t="s">
        <v>80</v>
      </c>
      <c r="FCI16" s="58" t="s">
        <v>81</v>
      </c>
      <c r="FCJ16" s="284"/>
      <c r="FCK16" s="259" t="s">
        <v>55</v>
      </c>
      <c r="FCL16" s="256" t="s">
        <v>76</v>
      </c>
      <c r="FCM16" s="256" t="s">
        <v>77</v>
      </c>
      <c r="FCN16" s="256" t="s">
        <v>78</v>
      </c>
      <c r="FCO16" s="256" t="s">
        <v>79</v>
      </c>
      <c r="FCP16" s="256" t="s">
        <v>80</v>
      </c>
      <c r="FCQ16" s="256" t="s">
        <v>81</v>
      </c>
      <c r="FCR16" s="283"/>
      <c r="FCS16" s="259" t="s">
        <v>55</v>
      </c>
      <c r="FCT16" s="256" t="s">
        <v>76</v>
      </c>
      <c r="FCU16" s="256" t="s">
        <v>77</v>
      </c>
      <c r="FCV16" s="256" t="s">
        <v>78</v>
      </c>
      <c r="FCW16" s="256" t="s">
        <v>79</v>
      </c>
      <c r="FCX16" s="256" t="s">
        <v>80</v>
      </c>
      <c r="FCY16" s="58" t="s">
        <v>81</v>
      </c>
      <c r="FCZ16" s="284"/>
      <c r="FDA16" s="259" t="s">
        <v>55</v>
      </c>
      <c r="FDB16" s="256" t="s">
        <v>76</v>
      </c>
      <c r="FDC16" s="256" t="s">
        <v>77</v>
      </c>
      <c r="FDD16" s="256" t="s">
        <v>78</v>
      </c>
      <c r="FDE16" s="256" t="s">
        <v>79</v>
      </c>
      <c r="FDF16" s="256" t="s">
        <v>80</v>
      </c>
      <c r="FDG16" s="256" t="s">
        <v>81</v>
      </c>
      <c r="FDH16" s="283"/>
      <c r="FDI16" s="259" t="s">
        <v>55</v>
      </c>
      <c r="FDJ16" s="256" t="s">
        <v>76</v>
      </c>
      <c r="FDK16" s="256" t="s">
        <v>77</v>
      </c>
      <c r="FDL16" s="256" t="s">
        <v>78</v>
      </c>
      <c r="FDM16" s="256" t="s">
        <v>79</v>
      </c>
      <c r="FDN16" s="256" t="s">
        <v>80</v>
      </c>
      <c r="FDO16" s="58" t="s">
        <v>81</v>
      </c>
      <c r="FDP16" s="284"/>
      <c r="FDQ16" s="259" t="s">
        <v>55</v>
      </c>
      <c r="FDR16" s="256" t="s">
        <v>76</v>
      </c>
      <c r="FDS16" s="256" t="s">
        <v>77</v>
      </c>
      <c r="FDT16" s="256" t="s">
        <v>78</v>
      </c>
      <c r="FDU16" s="256" t="s">
        <v>79</v>
      </c>
      <c r="FDV16" s="256" t="s">
        <v>80</v>
      </c>
      <c r="FDW16" s="256" t="s">
        <v>81</v>
      </c>
      <c r="FDX16" s="283"/>
      <c r="FDY16" s="259" t="s">
        <v>55</v>
      </c>
      <c r="FDZ16" s="256" t="s">
        <v>76</v>
      </c>
      <c r="FEA16" s="256" t="s">
        <v>77</v>
      </c>
      <c r="FEB16" s="256" t="s">
        <v>78</v>
      </c>
      <c r="FEC16" s="256" t="s">
        <v>79</v>
      </c>
      <c r="FED16" s="256" t="s">
        <v>80</v>
      </c>
      <c r="FEE16" s="58" t="s">
        <v>81</v>
      </c>
      <c r="FEF16" s="284"/>
      <c r="FEG16" s="259" t="s">
        <v>55</v>
      </c>
      <c r="FEH16" s="256" t="s">
        <v>76</v>
      </c>
      <c r="FEI16" s="256" t="s">
        <v>77</v>
      </c>
      <c r="FEJ16" s="256" t="s">
        <v>78</v>
      </c>
      <c r="FEK16" s="256" t="s">
        <v>79</v>
      </c>
      <c r="FEL16" s="256" t="s">
        <v>80</v>
      </c>
      <c r="FEM16" s="256" t="s">
        <v>81</v>
      </c>
      <c r="FEN16" s="283"/>
      <c r="FEO16" s="259" t="s">
        <v>55</v>
      </c>
      <c r="FEP16" s="256" t="s">
        <v>76</v>
      </c>
      <c r="FEQ16" s="256" t="s">
        <v>77</v>
      </c>
      <c r="FER16" s="256" t="s">
        <v>78</v>
      </c>
      <c r="FES16" s="256" t="s">
        <v>79</v>
      </c>
      <c r="FET16" s="256" t="s">
        <v>80</v>
      </c>
      <c r="FEU16" s="58" t="s">
        <v>81</v>
      </c>
      <c r="FEV16" s="284"/>
      <c r="FEW16" s="259" t="s">
        <v>55</v>
      </c>
      <c r="FEX16" s="256" t="s">
        <v>76</v>
      </c>
      <c r="FEY16" s="256" t="s">
        <v>77</v>
      </c>
      <c r="FEZ16" s="256" t="s">
        <v>78</v>
      </c>
      <c r="FFA16" s="256" t="s">
        <v>79</v>
      </c>
      <c r="FFB16" s="256" t="s">
        <v>80</v>
      </c>
      <c r="FFC16" s="256" t="s">
        <v>81</v>
      </c>
      <c r="FFD16" s="283"/>
      <c r="FFE16" s="259" t="s">
        <v>55</v>
      </c>
      <c r="FFF16" s="256" t="s">
        <v>76</v>
      </c>
      <c r="FFG16" s="256" t="s">
        <v>77</v>
      </c>
      <c r="FFH16" s="256" t="s">
        <v>78</v>
      </c>
      <c r="FFI16" s="256" t="s">
        <v>79</v>
      </c>
      <c r="FFJ16" s="256" t="s">
        <v>80</v>
      </c>
      <c r="FFK16" s="58" t="s">
        <v>81</v>
      </c>
      <c r="FFL16" s="284"/>
      <c r="FFM16" s="259" t="s">
        <v>55</v>
      </c>
      <c r="FFN16" s="256" t="s">
        <v>76</v>
      </c>
      <c r="FFO16" s="256" t="s">
        <v>77</v>
      </c>
      <c r="FFP16" s="256" t="s">
        <v>78</v>
      </c>
      <c r="FFQ16" s="256" t="s">
        <v>79</v>
      </c>
      <c r="FFR16" s="256" t="s">
        <v>80</v>
      </c>
      <c r="FFS16" s="256" t="s">
        <v>81</v>
      </c>
      <c r="FFT16" s="283"/>
      <c r="FFU16" s="259" t="s">
        <v>55</v>
      </c>
      <c r="FFV16" s="256" t="s">
        <v>76</v>
      </c>
      <c r="FFW16" s="256" t="s">
        <v>77</v>
      </c>
      <c r="FFX16" s="256" t="s">
        <v>78</v>
      </c>
      <c r="FFY16" s="256" t="s">
        <v>79</v>
      </c>
      <c r="FFZ16" s="256" t="s">
        <v>80</v>
      </c>
      <c r="FGA16" s="58" t="s">
        <v>81</v>
      </c>
      <c r="FGB16" s="284"/>
      <c r="FGC16" s="259" t="s">
        <v>55</v>
      </c>
      <c r="FGD16" s="256" t="s">
        <v>76</v>
      </c>
      <c r="FGE16" s="256" t="s">
        <v>77</v>
      </c>
      <c r="FGF16" s="256" t="s">
        <v>78</v>
      </c>
      <c r="FGG16" s="256" t="s">
        <v>79</v>
      </c>
      <c r="FGH16" s="256" t="s">
        <v>80</v>
      </c>
      <c r="FGI16" s="256" t="s">
        <v>81</v>
      </c>
      <c r="FGJ16" s="283"/>
      <c r="FGK16" s="259" t="s">
        <v>55</v>
      </c>
      <c r="FGL16" s="256" t="s">
        <v>76</v>
      </c>
      <c r="FGM16" s="256" t="s">
        <v>77</v>
      </c>
      <c r="FGN16" s="256" t="s">
        <v>78</v>
      </c>
      <c r="FGO16" s="256" t="s">
        <v>79</v>
      </c>
      <c r="FGP16" s="256" t="s">
        <v>80</v>
      </c>
      <c r="FGQ16" s="58" t="s">
        <v>81</v>
      </c>
      <c r="FGR16" s="284"/>
      <c r="FGS16" s="259" t="s">
        <v>55</v>
      </c>
      <c r="FGT16" s="256" t="s">
        <v>76</v>
      </c>
      <c r="FGU16" s="256" t="s">
        <v>77</v>
      </c>
      <c r="FGV16" s="256" t="s">
        <v>78</v>
      </c>
      <c r="FGW16" s="256" t="s">
        <v>79</v>
      </c>
      <c r="FGX16" s="256" t="s">
        <v>80</v>
      </c>
      <c r="FGY16" s="256" t="s">
        <v>81</v>
      </c>
      <c r="FGZ16" s="283"/>
      <c r="FHA16" s="259" t="s">
        <v>55</v>
      </c>
      <c r="FHB16" s="256" t="s">
        <v>76</v>
      </c>
      <c r="FHC16" s="256" t="s">
        <v>77</v>
      </c>
      <c r="FHD16" s="256" t="s">
        <v>78</v>
      </c>
      <c r="FHE16" s="256" t="s">
        <v>79</v>
      </c>
      <c r="FHF16" s="256" t="s">
        <v>80</v>
      </c>
      <c r="FHG16" s="58" t="s">
        <v>81</v>
      </c>
      <c r="FHH16" s="284"/>
      <c r="FHI16" s="259" t="s">
        <v>55</v>
      </c>
      <c r="FHJ16" s="256" t="s">
        <v>76</v>
      </c>
      <c r="FHK16" s="256" t="s">
        <v>77</v>
      </c>
      <c r="FHL16" s="256" t="s">
        <v>78</v>
      </c>
      <c r="FHM16" s="256" t="s">
        <v>79</v>
      </c>
      <c r="FHN16" s="256" t="s">
        <v>80</v>
      </c>
      <c r="FHO16" s="256" t="s">
        <v>81</v>
      </c>
      <c r="FHP16" s="283"/>
      <c r="FHQ16" s="259" t="s">
        <v>55</v>
      </c>
      <c r="FHR16" s="256" t="s">
        <v>76</v>
      </c>
      <c r="FHS16" s="256" t="s">
        <v>77</v>
      </c>
      <c r="FHT16" s="256" t="s">
        <v>78</v>
      </c>
      <c r="FHU16" s="256" t="s">
        <v>79</v>
      </c>
      <c r="FHV16" s="256" t="s">
        <v>80</v>
      </c>
      <c r="FHW16" s="58" t="s">
        <v>81</v>
      </c>
      <c r="FHX16" s="284"/>
      <c r="FHY16" s="259" t="s">
        <v>55</v>
      </c>
      <c r="FHZ16" s="256" t="s">
        <v>76</v>
      </c>
      <c r="FIA16" s="256" t="s">
        <v>77</v>
      </c>
      <c r="FIB16" s="256" t="s">
        <v>78</v>
      </c>
      <c r="FIC16" s="256" t="s">
        <v>79</v>
      </c>
      <c r="FID16" s="256" t="s">
        <v>80</v>
      </c>
      <c r="FIE16" s="256" t="s">
        <v>81</v>
      </c>
      <c r="FIF16" s="283"/>
      <c r="FIG16" s="259" t="s">
        <v>55</v>
      </c>
      <c r="FIH16" s="256" t="s">
        <v>76</v>
      </c>
      <c r="FII16" s="256" t="s">
        <v>77</v>
      </c>
      <c r="FIJ16" s="256" t="s">
        <v>78</v>
      </c>
      <c r="FIK16" s="256" t="s">
        <v>79</v>
      </c>
      <c r="FIL16" s="256" t="s">
        <v>80</v>
      </c>
      <c r="FIM16" s="58" t="s">
        <v>81</v>
      </c>
      <c r="FIN16" s="284"/>
      <c r="FIO16" s="259" t="s">
        <v>55</v>
      </c>
      <c r="FIP16" s="256" t="s">
        <v>76</v>
      </c>
      <c r="FIQ16" s="256" t="s">
        <v>77</v>
      </c>
      <c r="FIR16" s="256" t="s">
        <v>78</v>
      </c>
      <c r="FIS16" s="256" t="s">
        <v>79</v>
      </c>
      <c r="FIT16" s="256" t="s">
        <v>80</v>
      </c>
      <c r="FIU16" s="256" t="s">
        <v>81</v>
      </c>
      <c r="FIV16" s="283"/>
      <c r="FIW16" s="259" t="s">
        <v>55</v>
      </c>
      <c r="FIX16" s="256" t="s">
        <v>76</v>
      </c>
      <c r="FIY16" s="256" t="s">
        <v>77</v>
      </c>
      <c r="FIZ16" s="256" t="s">
        <v>78</v>
      </c>
      <c r="FJA16" s="256" t="s">
        <v>79</v>
      </c>
      <c r="FJB16" s="256" t="s">
        <v>80</v>
      </c>
      <c r="FJC16" s="58" t="s">
        <v>81</v>
      </c>
      <c r="FJD16" s="284"/>
      <c r="FJE16" s="259" t="s">
        <v>55</v>
      </c>
      <c r="FJF16" s="256" t="s">
        <v>76</v>
      </c>
      <c r="FJG16" s="256" t="s">
        <v>77</v>
      </c>
      <c r="FJH16" s="256" t="s">
        <v>78</v>
      </c>
      <c r="FJI16" s="256" t="s">
        <v>79</v>
      </c>
      <c r="FJJ16" s="256" t="s">
        <v>80</v>
      </c>
      <c r="FJK16" s="256" t="s">
        <v>81</v>
      </c>
      <c r="FJL16" s="283"/>
      <c r="FJM16" s="259" t="s">
        <v>55</v>
      </c>
      <c r="FJN16" s="256" t="s">
        <v>76</v>
      </c>
      <c r="FJO16" s="256" t="s">
        <v>77</v>
      </c>
      <c r="FJP16" s="256" t="s">
        <v>78</v>
      </c>
      <c r="FJQ16" s="256" t="s">
        <v>79</v>
      </c>
      <c r="FJR16" s="256" t="s">
        <v>80</v>
      </c>
      <c r="FJS16" s="58" t="s">
        <v>81</v>
      </c>
      <c r="FJT16" s="284"/>
      <c r="FJU16" s="259" t="s">
        <v>55</v>
      </c>
      <c r="FJV16" s="256" t="s">
        <v>76</v>
      </c>
      <c r="FJW16" s="256" t="s">
        <v>77</v>
      </c>
      <c r="FJX16" s="256" t="s">
        <v>78</v>
      </c>
      <c r="FJY16" s="256" t="s">
        <v>79</v>
      </c>
      <c r="FJZ16" s="256" t="s">
        <v>80</v>
      </c>
      <c r="FKA16" s="256" t="s">
        <v>81</v>
      </c>
      <c r="FKB16" s="283"/>
      <c r="FKC16" s="259" t="s">
        <v>55</v>
      </c>
      <c r="FKD16" s="256" t="s">
        <v>76</v>
      </c>
      <c r="FKE16" s="256" t="s">
        <v>77</v>
      </c>
      <c r="FKF16" s="256" t="s">
        <v>78</v>
      </c>
      <c r="FKG16" s="256" t="s">
        <v>79</v>
      </c>
      <c r="FKH16" s="256" t="s">
        <v>80</v>
      </c>
      <c r="FKI16" s="58" t="s">
        <v>81</v>
      </c>
      <c r="FKJ16" s="284"/>
      <c r="FKK16" s="259" t="s">
        <v>55</v>
      </c>
      <c r="FKL16" s="256" t="s">
        <v>76</v>
      </c>
      <c r="FKM16" s="256" t="s">
        <v>77</v>
      </c>
      <c r="FKN16" s="256" t="s">
        <v>78</v>
      </c>
      <c r="FKO16" s="256" t="s">
        <v>79</v>
      </c>
      <c r="FKP16" s="256" t="s">
        <v>80</v>
      </c>
      <c r="FKQ16" s="256" t="s">
        <v>81</v>
      </c>
      <c r="FKR16" s="283"/>
      <c r="FKS16" s="259" t="s">
        <v>55</v>
      </c>
      <c r="FKT16" s="256" t="s">
        <v>76</v>
      </c>
      <c r="FKU16" s="256" t="s">
        <v>77</v>
      </c>
      <c r="FKV16" s="256" t="s">
        <v>78</v>
      </c>
      <c r="FKW16" s="256" t="s">
        <v>79</v>
      </c>
      <c r="FKX16" s="256" t="s">
        <v>80</v>
      </c>
      <c r="FKY16" s="58" t="s">
        <v>81</v>
      </c>
      <c r="FKZ16" s="284"/>
      <c r="FLA16" s="259" t="s">
        <v>55</v>
      </c>
      <c r="FLB16" s="256" t="s">
        <v>76</v>
      </c>
      <c r="FLC16" s="256" t="s">
        <v>77</v>
      </c>
      <c r="FLD16" s="256" t="s">
        <v>78</v>
      </c>
      <c r="FLE16" s="256" t="s">
        <v>79</v>
      </c>
      <c r="FLF16" s="256" t="s">
        <v>80</v>
      </c>
      <c r="FLG16" s="256" t="s">
        <v>81</v>
      </c>
      <c r="FLH16" s="283"/>
      <c r="FLI16" s="259" t="s">
        <v>55</v>
      </c>
      <c r="FLJ16" s="256" t="s">
        <v>76</v>
      </c>
      <c r="FLK16" s="256" t="s">
        <v>77</v>
      </c>
      <c r="FLL16" s="256" t="s">
        <v>78</v>
      </c>
      <c r="FLM16" s="256" t="s">
        <v>79</v>
      </c>
      <c r="FLN16" s="256" t="s">
        <v>80</v>
      </c>
      <c r="FLO16" s="58" t="s">
        <v>81</v>
      </c>
      <c r="FLP16" s="284"/>
      <c r="FLQ16" s="259" t="s">
        <v>55</v>
      </c>
      <c r="FLR16" s="256" t="s">
        <v>76</v>
      </c>
      <c r="FLS16" s="256" t="s">
        <v>77</v>
      </c>
      <c r="FLT16" s="256" t="s">
        <v>78</v>
      </c>
      <c r="FLU16" s="256" t="s">
        <v>79</v>
      </c>
      <c r="FLV16" s="256" t="s">
        <v>80</v>
      </c>
      <c r="FLW16" s="256" t="s">
        <v>81</v>
      </c>
      <c r="FLX16" s="283"/>
      <c r="FLY16" s="259" t="s">
        <v>55</v>
      </c>
      <c r="FLZ16" s="256" t="s">
        <v>76</v>
      </c>
      <c r="FMA16" s="256" t="s">
        <v>77</v>
      </c>
      <c r="FMB16" s="256" t="s">
        <v>78</v>
      </c>
      <c r="FMC16" s="256" t="s">
        <v>79</v>
      </c>
      <c r="FMD16" s="256" t="s">
        <v>80</v>
      </c>
      <c r="FME16" s="58" t="s">
        <v>81</v>
      </c>
      <c r="FMF16" s="284"/>
      <c r="FMG16" s="259" t="s">
        <v>55</v>
      </c>
      <c r="FMH16" s="256" t="s">
        <v>76</v>
      </c>
      <c r="FMI16" s="256" t="s">
        <v>77</v>
      </c>
      <c r="FMJ16" s="256" t="s">
        <v>78</v>
      </c>
      <c r="FMK16" s="256" t="s">
        <v>79</v>
      </c>
      <c r="FML16" s="256" t="s">
        <v>80</v>
      </c>
      <c r="FMM16" s="256" t="s">
        <v>81</v>
      </c>
      <c r="FMN16" s="283"/>
      <c r="FMO16" s="259" t="s">
        <v>55</v>
      </c>
      <c r="FMP16" s="256" t="s">
        <v>76</v>
      </c>
      <c r="FMQ16" s="256" t="s">
        <v>77</v>
      </c>
      <c r="FMR16" s="256" t="s">
        <v>78</v>
      </c>
      <c r="FMS16" s="256" t="s">
        <v>79</v>
      </c>
      <c r="FMT16" s="256" t="s">
        <v>80</v>
      </c>
      <c r="FMU16" s="58" t="s">
        <v>81</v>
      </c>
      <c r="FMV16" s="284"/>
      <c r="FMW16" s="259" t="s">
        <v>55</v>
      </c>
      <c r="FMX16" s="256" t="s">
        <v>76</v>
      </c>
      <c r="FMY16" s="256" t="s">
        <v>77</v>
      </c>
      <c r="FMZ16" s="256" t="s">
        <v>78</v>
      </c>
      <c r="FNA16" s="256" t="s">
        <v>79</v>
      </c>
      <c r="FNB16" s="256" t="s">
        <v>80</v>
      </c>
      <c r="FNC16" s="256" t="s">
        <v>81</v>
      </c>
      <c r="FND16" s="283"/>
      <c r="FNE16" s="259" t="s">
        <v>55</v>
      </c>
      <c r="FNF16" s="256" t="s">
        <v>76</v>
      </c>
      <c r="FNG16" s="256" t="s">
        <v>77</v>
      </c>
      <c r="FNH16" s="256" t="s">
        <v>78</v>
      </c>
      <c r="FNI16" s="256" t="s">
        <v>79</v>
      </c>
      <c r="FNJ16" s="256" t="s">
        <v>80</v>
      </c>
      <c r="FNK16" s="58" t="s">
        <v>81</v>
      </c>
      <c r="FNL16" s="284"/>
      <c r="FNM16" s="259" t="s">
        <v>55</v>
      </c>
      <c r="FNN16" s="256" t="s">
        <v>76</v>
      </c>
      <c r="FNO16" s="256" t="s">
        <v>77</v>
      </c>
      <c r="FNP16" s="256" t="s">
        <v>78</v>
      </c>
      <c r="FNQ16" s="256" t="s">
        <v>79</v>
      </c>
      <c r="FNR16" s="256" t="s">
        <v>80</v>
      </c>
      <c r="FNS16" s="256" t="s">
        <v>81</v>
      </c>
      <c r="FNT16" s="283"/>
      <c r="FNU16" s="259" t="s">
        <v>55</v>
      </c>
      <c r="FNV16" s="256" t="s">
        <v>76</v>
      </c>
      <c r="FNW16" s="256" t="s">
        <v>77</v>
      </c>
      <c r="FNX16" s="256" t="s">
        <v>78</v>
      </c>
      <c r="FNY16" s="256" t="s">
        <v>79</v>
      </c>
      <c r="FNZ16" s="256" t="s">
        <v>80</v>
      </c>
      <c r="FOA16" s="58" t="s">
        <v>81</v>
      </c>
      <c r="FOB16" s="284"/>
      <c r="FOC16" s="259" t="s">
        <v>55</v>
      </c>
      <c r="FOD16" s="256" t="s">
        <v>76</v>
      </c>
      <c r="FOE16" s="256" t="s">
        <v>77</v>
      </c>
      <c r="FOF16" s="256" t="s">
        <v>78</v>
      </c>
      <c r="FOG16" s="256" t="s">
        <v>79</v>
      </c>
      <c r="FOH16" s="256" t="s">
        <v>80</v>
      </c>
      <c r="FOI16" s="256" t="s">
        <v>81</v>
      </c>
      <c r="FOJ16" s="283"/>
      <c r="FOK16" s="259" t="s">
        <v>55</v>
      </c>
      <c r="FOL16" s="256" t="s">
        <v>76</v>
      </c>
      <c r="FOM16" s="256" t="s">
        <v>77</v>
      </c>
      <c r="FON16" s="256" t="s">
        <v>78</v>
      </c>
      <c r="FOO16" s="256" t="s">
        <v>79</v>
      </c>
      <c r="FOP16" s="256" t="s">
        <v>80</v>
      </c>
      <c r="FOQ16" s="58" t="s">
        <v>81</v>
      </c>
      <c r="FOR16" s="284"/>
      <c r="FOS16" s="259" t="s">
        <v>55</v>
      </c>
      <c r="FOT16" s="256" t="s">
        <v>76</v>
      </c>
      <c r="FOU16" s="256" t="s">
        <v>77</v>
      </c>
      <c r="FOV16" s="256" t="s">
        <v>78</v>
      </c>
      <c r="FOW16" s="256" t="s">
        <v>79</v>
      </c>
      <c r="FOX16" s="256" t="s">
        <v>80</v>
      </c>
      <c r="FOY16" s="256" t="s">
        <v>81</v>
      </c>
      <c r="FOZ16" s="283"/>
      <c r="FPA16" s="259" t="s">
        <v>55</v>
      </c>
      <c r="FPB16" s="256" t="s">
        <v>76</v>
      </c>
      <c r="FPC16" s="256" t="s">
        <v>77</v>
      </c>
      <c r="FPD16" s="256" t="s">
        <v>78</v>
      </c>
      <c r="FPE16" s="256" t="s">
        <v>79</v>
      </c>
      <c r="FPF16" s="256" t="s">
        <v>80</v>
      </c>
      <c r="FPG16" s="58" t="s">
        <v>81</v>
      </c>
      <c r="FPH16" s="284"/>
      <c r="FPI16" s="259" t="s">
        <v>55</v>
      </c>
      <c r="FPJ16" s="256" t="s">
        <v>76</v>
      </c>
      <c r="FPK16" s="256" t="s">
        <v>77</v>
      </c>
      <c r="FPL16" s="256" t="s">
        <v>78</v>
      </c>
      <c r="FPM16" s="256" t="s">
        <v>79</v>
      </c>
      <c r="FPN16" s="256" t="s">
        <v>80</v>
      </c>
      <c r="FPO16" s="256" t="s">
        <v>81</v>
      </c>
      <c r="FPP16" s="283"/>
      <c r="FPQ16" s="259" t="s">
        <v>55</v>
      </c>
      <c r="FPR16" s="256" t="s">
        <v>76</v>
      </c>
      <c r="FPS16" s="256" t="s">
        <v>77</v>
      </c>
      <c r="FPT16" s="256" t="s">
        <v>78</v>
      </c>
      <c r="FPU16" s="256" t="s">
        <v>79</v>
      </c>
      <c r="FPV16" s="256" t="s">
        <v>80</v>
      </c>
      <c r="FPW16" s="58" t="s">
        <v>81</v>
      </c>
      <c r="FPX16" s="284"/>
      <c r="FPY16" s="259" t="s">
        <v>55</v>
      </c>
      <c r="FPZ16" s="256" t="s">
        <v>76</v>
      </c>
      <c r="FQA16" s="256" t="s">
        <v>77</v>
      </c>
      <c r="FQB16" s="256" t="s">
        <v>78</v>
      </c>
      <c r="FQC16" s="256" t="s">
        <v>79</v>
      </c>
      <c r="FQD16" s="256" t="s">
        <v>80</v>
      </c>
      <c r="FQE16" s="256" t="s">
        <v>81</v>
      </c>
      <c r="FQF16" s="283"/>
      <c r="FQG16" s="259" t="s">
        <v>55</v>
      </c>
      <c r="FQH16" s="256" t="s">
        <v>76</v>
      </c>
      <c r="FQI16" s="256" t="s">
        <v>77</v>
      </c>
      <c r="FQJ16" s="256" t="s">
        <v>78</v>
      </c>
      <c r="FQK16" s="256" t="s">
        <v>79</v>
      </c>
      <c r="FQL16" s="256" t="s">
        <v>80</v>
      </c>
      <c r="FQM16" s="58" t="s">
        <v>81</v>
      </c>
      <c r="FQN16" s="284"/>
      <c r="FQO16" s="259" t="s">
        <v>55</v>
      </c>
      <c r="FQP16" s="256" t="s">
        <v>76</v>
      </c>
      <c r="FQQ16" s="256" t="s">
        <v>77</v>
      </c>
      <c r="FQR16" s="256" t="s">
        <v>78</v>
      </c>
      <c r="FQS16" s="256" t="s">
        <v>79</v>
      </c>
      <c r="FQT16" s="256" t="s">
        <v>80</v>
      </c>
      <c r="FQU16" s="256" t="s">
        <v>81</v>
      </c>
      <c r="FQV16" s="283"/>
      <c r="FQW16" s="259" t="s">
        <v>55</v>
      </c>
      <c r="FQX16" s="256" t="s">
        <v>76</v>
      </c>
      <c r="FQY16" s="256" t="s">
        <v>77</v>
      </c>
      <c r="FQZ16" s="256" t="s">
        <v>78</v>
      </c>
      <c r="FRA16" s="256" t="s">
        <v>79</v>
      </c>
      <c r="FRB16" s="256" t="s">
        <v>80</v>
      </c>
      <c r="FRC16" s="58" t="s">
        <v>81</v>
      </c>
      <c r="FRD16" s="284"/>
      <c r="FRE16" s="259" t="s">
        <v>55</v>
      </c>
      <c r="FRF16" s="256" t="s">
        <v>76</v>
      </c>
      <c r="FRG16" s="256" t="s">
        <v>77</v>
      </c>
      <c r="FRH16" s="256" t="s">
        <v>78</v>
      </c>
      <c r="FRI16" s="256" t="s">
        <v>79</v>
      </c>
      <c r="FRJ16" s="256" t="s">
        <v>80</v>
      </c>
      <c r="FRK16" s="256" t="s">
        <v>81</v>
      </c>
      <c r="FRL16" s="283"/>
      <c r="FRM16" s="259" t="s">
        <v>55</v>
      </c>
      <c r="FRN16" s="256" t="s">
        <v>76</v>
      </c>
      <c r="FRO16" s="256" t="s">
        <v>77</v>
      </c>
      <c r="FRP16" s="256" t="s">
        <v>78</v>
      </c>
      <c r="FRQ16" s="256" t="s">
        <v>79</v>
      </c>
      <c r="FRR16" s="256" t="s">
        <v>80</v>
      </c>
      <c r="FRS16" s="58" t="s">
        <v>81</v>
      </c>
      <c r="FRT16" s="284"/>
      <c r="FRU16" s="259" t="s">
        <v>55</v>
      </c>
      <c r="FRV16" s="256" t="s">
        <v>76</v>
      </c>
      <c r="FRW16" s="256" t="s">
        <v>77</v>
      </c>
      <c r="FRX16" s="256" t="s">
        <v>78</v>
      </c>
      <c r="FRY16" s="256" t="s">
        <v>79</v>
      </c>
      <c r="FRZ16" s="256" t="s">
        <v>80</v>
      </c>
      <c r="FSA16" s="256" t="s">
        <v>81</v>
      </c>
      <c r="FSB16" s="283"/>
      <c r="FSC16" s="259" t="s">
        <v>55</v>
      </c>
      <c r="FSD16" s="256" t="s">
        <v>76</v>
      </c>
      <c r="FSE16" s="256" t="s">
        <v>77</v>
      </c>
      <c r="FSF16" s="256" t="s">
        <v>78</v>
      </c>
      <c r="FSG16" s="256" t="s">
        <v>79</v>
      </c>
      <c r="FSH16" s="256" t="s">
        <v>80</v>
      </c>
      <c r="FSI16" s="58" t="s">
        <v>81</v>
      </c>
      <c r="FSJ16" s="284"/>
      <c r="FSK16" s="259" t="s">
        <v>55</v>
      </c>
      <c r="FSL16" s="256" t="s">
        <v>76</v>
      </c>
      <c r="FSM16" s="256" t="s">
        <v>77</v>
      </c>
      <c r="FSN16" s="256" t="s">
        <v>78</v>
      </c>
      <c r="FSO16" s="256" t="s">
        <v>79</v>
      </c>
      <c r="FSP16" s="256" t="s">
        <v>80</v>
      </c>
      <c r="FSQ16" s="256" t="s">
        <v>81</v>
      </c>
      <c r="FSR16" s="283"/>
      <c r="FSS16" s="259" t="s">
        <v>55</v>
      </c>
      <c r="FST16" s="256" t="s">
        <v>76</v>
      </c>
      <c r="FSU16" s="256" t="s">
        <v>77</v>
      </c>
      <c r="FSV16" s="256" t="s">
        <v>78</v>
      </c>
      <c r="FSW16" s="256" t="s">
        <v>79</v>
      </c>
      <c r="FSX16" s="256" t="s">
        <v>80</v>
      </c>
      <c r="FSY16" s="58" t="s">
        <v>81</v>
      </c>
      <c r="FSZ16" s="284"/>
      <c r="FTA16" s="259" t="s">
        <v>55</v>
      </c>
      <c r="FTB16" s="256" t="s">
        <v>76</v>
      </c>
      <c r="FTC16" s="256" t="s">
        <v>77</v>
      </c>
      <c r="FTD16" s="256" t="s">
        <v>78</v>
      </c>
      <c r="FTE16" s="256" t="s">
        <v>79</v>
      </c>
      <c r="FTF16" s="256" t="s">
        <v>80</v>
      </c>
      <c r="FTG16" s="256" t="s">
        <v>81</v>
      </c>
      <c r="FTH16" s="283"/>
      <c r="FTI16" s="259" t="s">
        <v>55</v>
      </c>
      <c r="FTJ16" s="256" t="s">
        <v>76</v>
      </c>
      <c r="FTK16" s="256" t="s">
        <v>77</v>
      </c>
      <c r="FTL16" s="256" t="s">
        <v>78</v>
      </c>
      <c r="FTM16" s="256" t="s">
        <v>79</v>
      </c>
      <c r="FTN16" s="256" t="s">
        <v>80</v>
      </c>
      <c r="FTO16" s="58" t="s">
        <v>81</v>
      </c>
      <c r="FTP16" s="284"/>
      <c r="FTQ16" s="259" t="s">
        <v>55</v>
      </c>
      <c r="FTR16" s="256" t="s">
        <v>76</v>
      </c>
      <c r="FTS16" s="256" t="s">
        <v>77</v>
      </c>
      <c r="FTT16" s="256" t="s">
        <v>78</v>
      </c>
      <c r="FTU16" s="256" t="s">
        <v>79</v>
      </c>
      <c r="FTV16" s="256" t="s">
        <v>80</v>
      </c>
      <c r="FTW16" s="256" t="s">
        <v>81</v>
      </c>
      <c r="FTX16" s="283"/>
      <c r="FTY16" s="259" t="s">
        <v>55</v>
      </c>
      <c r="FTZ16" s="256" t="s">
        <v>76</v>
      </c>
      <c r="FUA16" s="256" t="s">
        <v>77</v>
      </c>
      <c r="FUB16" s="256" t="s">
        <v>78</v>
      </c>
      <c r="FUC16" s="256" t="s">
        <v>79</v>
      </c>
      <c r="FUD16" s="256" t="s">
        <v>80</v>
      </c>
      <c r="FUE16" s="58" t="s">
        <v>81</v>
      </c>
      <c r="FUF16" s="284"/>
      <c r="FUG16" s="259" t="s">
        <v>55</v>
      </c>
      <c r="FUH16" s="256" t="s">
        <v>76</v>
      </c>
      <c r="FUI16" s="256" t="s">
        <v>77</v>
      </c>
      <c r="FUJ16" s="256" t="s">
        <v>78</v>
      </c>
      <c r="FUK16" s="256" t="s">
        <v>79</v>
      </c>
      <c r="FUL16" s="256" t="s">
        <v>80</v>
      </c>
      <c r="FUM16" s="256" t="s">
        <v>81</v>
      </c>
      <c r="FUN16" s="283"/>
      <c r="FUO16" s="259" t="s">
        <v>55</v>
      </c>
      <c r="FUP16" s="256" t="s">
        <v>76</v>
      </c>
      <c r="FUQ16" s="256" t="s">
        <v>77</v>
      </c>
      <c r="FUR16" s="256" t="s">
        <v>78</v>
      </c>
      <c r="FUS16" s="256" t="s">
        <v>79</v>
      </c>
      <c r="FUT16" s="256" t="s">
        <v>80</v>
      </c>
      <c r="FUU16" s="58" t="s">
        <v>81</v>
      </c>
      <c r="FUV16" s="284"/>
      <c r="FUW16" s="259" t="s">
        <v>55</v>
      </c>
      <c r="FUX16" s="256" t="s">
        <v>76</v>
      </c>
      <c r="FUY16" s="256" t="s">
        <v>77</v>
      </c>
      <c r="FUZ16" s="256" t="s">
        <v>78</v>
      </c>
      <c r="FVA16" s="256" t="s">
        <v>79</v>
      </c>
      <c r="FVB16" s="256" t="s">
        <v>80</v>
      </c>
      <c r="FVC16" s="256" t="s">
        <v>81</v>
      </c>
      <c r="FVD16" s="283"/>
      <c r="FVE16" s="259" t="s">
        <v>55</v>
      </c>
      <c r="FVF16" s="256" t="s">
        <v>76</v>
      </c>
      <c r="FVG16" s="256" t="s">
        <v>77</v>
      </c>
      <c r="FVH16" s="256" t="s">
        <v>78</v>
      </c>
      <c r="FVI16" s="256" t="s">
        <v>79</v>
      </c>
      <c r="FVJ16" s="256" t="s">
        <v>80</v>
      </c>
      <c r="FVK16" s="58" t="s">
        <v>81</v>
      </c>
      <c r="FVL16" s="284"/>
      <c r="FVM16" s="259" t="s">
        <v>55</v>
      </c>
      <c r="FVN16" s="256" t="s">
        <v>76</v>
      </c>
      <c r="FVO16" s="256" t="s">
        <v>77</v>
      </c>
      <c r="FVP16" s="256" t="s">
        <v>78</v>
      </c>
      <c r="FVQ16" s="256" t="s">
        <v>79</v>
      </c>
      <c r="FVR16" s="256" t="s">
        <v>80</v>
      </c>
      <c r="FVS16" s="256" t="s">
        <v>81</v>
      </c>
      <c r="FVT16" s="283"/>
      <c r="FVU16" s="259" t="s">
        <v>55</v>
      </c>
      <c r="FVV16" s="256" t="s">
        <v>76</v>
      </c>
      <c r="FVW16" s="256" t="s">
        <v>77</v>
      </c>
      <c r="FVX16" s="256" t="s">
        <v>78</v>
      </c>
      <c r="FVY16" s="256" t="s">
        <v>79</v>
      </c>
      <c r="FVZ16" s="256" t="s">
        <v>80</v>
      </c>
      <c r="FWA16" s="58" t="s">
        <v>81</v>
      </c>
      <c r="FWB16" s="284"/>
      <c r="FWC16" s="259" t="s">
        <v>55</v>
      </c>
      <c r="FWD16" s="256" t="s">
        <v>76</v>
      </c>
      <c r="FWE16" s="256" t="s">
        <v>77</v>
      </c>
      <c r="FWF16" s="256" t="s">
        <v>78</v>
      </c>
      <c r="FWG16" s="256" t="s">
        <v>79</v>
      </c>
      <c r="FWH16" s="256" t="s">
        <v>80</v>
      </c>
      <c r="FWI16" s="256" t="s">
        <v>81</v>
      </c>
      <c r="FWJ16" s="283"/>
      <c r="FWK16" s="259" t="s">
        <v>55</v>
      </c>
      <c r="FWL16" s="256" t="s">
        <v>76</v>
      </c>
      <c r="FWM16" s="256" t="s">
        <v>77</v>
      </c>
      <c r="FWN16" s="256" t="s">
        <v>78</v>
      </c>
      <c r="FWO16" s="256" t="s">
        <v>79</v>
      </c>
      <c r="FWP16" s="256" t="s">
        <v>80</v>
      </c>
      <c r="FWQ16" s="58" t="s">
        <v>81</v>
      </c>
      <c r="FWR16" s="284"/>
      <c r="FWS16" s="259" t="s">
        <v>55</v>
      </c>
      <c r="FWT16" s="256" t="s">
        <v>76</v>
      </c>
      <c r="FWU16" s="256" t="s">
        <v>77</v>
      </c>
      <c r="FWV16" s="256" t="s">
        <v>78</v>
      </c>
      <c r="FWW16" s="256" t="s">
        <v>79</v>
      </c>
      <c r="FWX16" s="256" t="s">
        <v>80</v>
      </c>
      <c r="FWY16" s="256" t="s">
        <v>81</v>
      </c>
      <c r="FWZ16" s="283"/>
      <c r="FXA16" s="259" t="s">
        <v>55</v>
      </c>
      <c r="FXB16" s="256" t="s">
        <v>76</v>
      </c>
      <c r="FXC16" s="256" t="s">
        <v>77</v>
      </c>
      <c r="FXD16" s="256" t="s">
        <v>78</v>
      </c>
      <c r="FXE16" s="256" t="s">
        <v>79</v>
      </c>
      <c r="FXF16" s="256" t="s">
        <v>80</v>
      </c>
      <c r="FXG16" s="58" t="s">
        <v>81</v>
      </c>
      <c r="FXH16" s="284"/>
      <c r="FXI16" s="259" t="s">
        <v>55</v>
      </c>
      <c r="FXJ16" s="256" t="s">
        <v>76</v>
      </c>
      <c r="FXK16" s="256" t="s">
        <v>77</v>
      </c>
      <c r="FXL16" s="256" t="s">
        <v>78</v>
      </c>
      <c r="FXM16" s="256" t="s">
        <v>79</v>
      </c>
      <c r="FXN16" s="256" t="s">
        <v>80</v>
      </c>
      <c r="FXO16" s="256" t="s">
        <v>81</v>
      </c>
      <c r="FXP16" s="283"/>
      <c r="FXQ16" s="259" t="s">
        <v>55</v>
      </c>
      <c r="FXR16" s="256" t="s">
        <v>76</v>
      </c>
      <c r="FXS16" s="256" t="s">
        <v>77</v>
      </c>
      <c r="FXT16" s="256" t="s">
        <v>78</v>
      </c>
      <c r="FXU16" s="256" t="s">
        <v>79</v>
      </c>
      <c r="FXV16" s="256" t="s">
        <v>80</v>
      </c>
      <c r="FXW16" s="58" t="s">
        <v>81</v>
      </c>
      <c r="FXX16" s="284"/>
      <c r="FXY16" s="259" t="s">
        <v>55</v>
      </c>
      <c r="FXZ16" s="256" t="s">
        <v>76</v>
      </c>
      <c r="FYA16" s="256" t="s">
        <v>77</v>
      </c>
      <c r="FYB16" s="256" t="s">
        <v>78</v>
      </c>
      <c r="FYC16" s="256" t="s">
        <v>79</v>
      </c>
      <c r="FYD16" s="256" t="s">
        <v>80</v>
      </c>
      <c r="FYE16" s="256" t="s">
        <v>81</v>
      </c>
      <c r="FYF16" s="283"/>
      <c r="FYG16" s="259" t="s">
        <v>55</v>
      </c>
      <c r="FYH16" s="256" t="s">
        <v>76</v>
      </c>
      <c r="FYI16" s="256" t="s">
        <v>77</v>
      </c>
      <c r="FYJ16" s="256" t="s">
        <v>78</v>
      </c>
      <c r="FYK16" s="256" t="s">
        <v>79</v>
      </c>
      <c r="FYL16" s="256" t="s">
        <v>80</v>
      </c>
      <c r="FYM16" s="58" t="s">
        <v>81</v>
      </c>
      <c r="FYN16" s="284"/>
      <c r="FYO16" s="259" t="s">
        <v>55</v>
      </c>
      <c r="FYP16" s="256" t="s">
        <v>76</v>
      </c>
      <c r="FYQ16" s="256" t="s">
        <v>77</v>
      </c>
      <c r="FYR16" s="256" t="s">
        <v>78</v>
      </c>
      <c r="FYS16" s="256" t="s">
        <v>79</v>
      </c>
      <c r="FYT16" s="256" t="s">
        <v>80</v>
      </c>
      <c r="FYU16" s="256" t="s">
        <v>81</v>
      </c>
      <c r="FYV16" s="283"/>
      <c r="FYW16" s="259" t="s">
        <v>55</v>
      </c>
      <c r="FYX16" s="256" t="s">
        <v>76</v>
      </c>
      <c r="FYY16" s="256" t="s">
        <v>77</v>
      </c>
      <c r="FYZ16" s="256" t="s">
        <v>78</v>
      </c>
      <c r="FZA16" s="256" t="s">
        <v>79</v>
      </c>
      <c r="FZB16" s="256" t="s">
        <v>80</v>
      </c>
      <c r="FZC16" s="58" t="s">
        <v>81</v>
      </c>
      <c r="FZD16" s="284"/>
      <c r="FZE16" s="259" t="s">
        <v>55</v>
      </c>
      <c r="FZF16" s="256" t="s">
        <v>76</v>
      </c>
      <c r="FZG16" s="256" t="s">
        <v>77</v>
      </c>
      <c r="FZH16" s="256" t="s">
        <v>78</v>
      </c>
      <c r="FZI16" s="256" t="s">
        <v>79</v>
      </c>
      <c r="FZJ16" s="256" t="s">
        <v>80</v>
      </c>
      <c r="FZK16" s="256" t="s">
        <v>81</v>
      </c>
      <c r="FZL16" s="283"/>
      <c r="FZM16" s="259" t="s">
        <v>55</v>
      </c>
      <c r="FZN16" s="256" t="s">
        <v>76</v>
      </c>
      <c r="FZO16" s="256" t="s">
        <v>77</v>
      </c>
      <c r="FZP16" s="256" t="s">
        <v>78</v>
      </c>
      <c r="FZQ16" s="256" t="s">
        <v>79</v>
      </c>
      <c r="FZR16" s="256" t="s">
        <v>80</v>
      </c>
      <c r="FZS16" s="58" t="s">
        <v>81</v>
      </c>
      <c r="FZT16" s="284"/>
      <c r="FZU16" s="259" t="s">
        <v>55</v>
      </c>
      <c r="FZV16" s="256" t="s">
        <v>76</v>
      </c>
      <c r="FZW16" s="256" t="s">
        <v>77</v>
      </c>
      <c r="FZX16" s="256" t="s">
        <v>78</v>
      </c>
      <c r="FZY16" s="256" t="s">
        <v>79</v>
      </c>
      <c r="FZZ16" s="256" t="s">
        <v>80</v>
      </c>
      <c r="GAA16" s="256" t="s">
        <v>81</v>
      </c>
      <c r="GAB16" s="283"/>
      <c r="GAC16" s="259" t="s">
        <v>55</v>
      </c>
      <c r="GAD16" s="256" t="s">
        <v>76</v>
      </c>
      <c r="GAE16" s="256" t="s">
        <v>77</v>
      </c>
      <c r="GAF16" s="256" t="s">
        <v>78</v>
      </c>
      <c r="GAG16" s="256" t="s">
        <v>79</v>
      </c>
      <c r="GAH16" s="256" t="s">
        <v>80</v>
      </c>
      <c r="GAI16" s="58" t="s">
        <v>81</v>
      </c>
      <c r="GAJ16" s="284"/>
      <c r="GAK16" s="259" t="s">
        <v>55</v>
      </c>
      <c r="GAL16" s="256" t="s">
        <v>76</v>
      </c>
      <c r="GAM16" s="256" t="s">
        <v>77</v>
      </c>
      <c r="GAN16" s="256" t="s">
        <v>78</v>
      </c>
      <c r="GAO16" s="256" t="s">
        <v>79</v>
      </c>
      <c r="GAP16" s="256" t="s">
        <v>80</v>
      </c>
      <c r="GAQ16" s="256" t="s">
        <v>81</v>
      </c>
      <c r="GAR16" s="283"/>
      <c r="GAS16" s="259" t="s">
        <v>55</v>
      </c>
      <c r="GAT16" s="256" t="s">
        <v>76</v>
      </c>
      <c r="GAU16" s="256" t="s">
        <v>77</v>
      </c>
      <c r="GAV16" s="256" t="s">
        <v>78</v>
      </c>
      <c r="GAW16" s="256" t="s">
        <v>79</v>
      </c>
      <c r="GAX16" s="256" t="s">
        <v>80</v>
      </c>
      <c r="GAY16" s="58" t="s">
        <v>81</v>
      </c>
      <c r="GAZ16" s="284"/>
      <c r="GBA16" s="259" t="s">
        <v>55</v>
      </c>
      <c r="GBB16" s="256" t="s">
        <v>76</v>
      </c>
      <c r="GBC16" s="256" t="s">
        <v>77</v>
      </c>
      <c r="GBD16" s="256" t="s">
        <v>78</v>
      </c>
      <c r="GBE16" s="256" t="s">
        <v>79</v>
      </c>
      <c r="GBF16" s="256" t="s">
        <v>80</v>
      </c>
      <c r="GBG16" s="256" t="s">
        <v>81</v>
      </c>
      <c r="GBH16" s="283"/>
      <c r="GBI16" s="259" t="s">
        <v>55</v>
      </c>
      <c r="GBJ16" s="256" t="s">
        <v>76</v>
      </c>
      <c r="GBK16" s="256" t="s">
        <v>77</v>
      </c>
      <c r="GBL16" s="256" t="s">
        <v>78</v>
      </c>
      <c r="GBM16" s="256" t="s">
        <v>79</v>
      </c>
      <c r="GBN16" s="256" t="s">
        <v>80</v>
      </c>
      <c r="GBO16" s="58" t="s">
        <v>81</v>
      </c>
      <c r="GBP16" s="284"/>
      <c r="GBQ16" s="259" t="s">
        <v>55</v>
      </c>
      <c r="GBR16" s="256" t="s">
        <v>76</v>
      </c>
      <c r="GBS16" s="256" t="s">
        <v>77</v>
      </c>
      <c r="GBT16" s="256" t="s">
        <v>78</v>
      </c>
      <c r="GBU16" s="256" t="s">
        <v>79</v>
      </c>
      <c r="GBV16" s="256" t="s">
        <v>80</v>
      </c>
      <c r="GBW16" s="256" t="s">
        <v>81</v>
      </c>
      <c r="GBX16" s="283"/>
      <c r="GBY16" s="259" t="s">
        <v>55</v>
      </c>
      <c r="GBZ16" s="256" t="s">
        <v>76</v>
      </c>
      <c r="GCA16" s="256" t="s">
        <v>77</v>
      </c>
      <c r="GCB16" s="256" t="s">
        <v>78</v>
      </c>
      <c r="GCC16" s="256" t="s">
        <v>79</v>
      </c>
      <c r="GCD16" s="256" t="s">
        <v>80</v>
      </c>
      <c r="GCE16" s="58" t="s">
        <v>81</v>
      </c>
      <c r="GCF16" s="284"/>
      <c r="GCG16" s="259" t="s">
        <v>55</v>
      </c>
      <c r="GCH16" s="256" t="s">
        <v>76</v>
      </c>
      <c r="GCI16" s="256" t="s">
        <v>77</v>
      </c>
      <c r="GCJ16" s="256" t="s">
        <v>78</v>
      </c>
      <c r="GCK16" s="256" t="s">
        <v>79</v>
      </c>
      <c r="GCL16" s="256" t="s">
        <v>80</v>
      </c>
      <c r="GCM16" s="256" t="s">
        <v>81</v>
      </c>
      <c r="GCN16" s="283"/>
      <c r="GCO16" s="259" t="s">
        <v>55</v>
      </c>
      <c r="GCP16" s="256" t="s">
        <v>76</v>
      </c>
      <c r="GCQ16" s="256" t="s">
        <v>77</v>
      </c>
      <c r="GCR16" s="256" t="s">
        <v>78</v>
      </c>
      <c r="GCS16" s="256" t="s">
        <v>79</v>
      </c>
      <c r="GCT16" s="256" t="s">
        <v>80</v>
      </c>
      <c r="GCU16" s="58" t="s">
        <v>81</v>
      </c>
      <c r="GCV16" s="284"/>
      <c r="GCW16" s="259" t="s">
        <v>55</v>
      </c>
      <c r="GCX16" s="256" t="s">
        <v>76</v>
      </c>
      <c r="GCY16" s="256" t="s">
        <v>77</v>
      </c>
      <c r="GCZ16" s="256" t="s">
        <v>78</v>
      </c>
      <c r="GDA16" s="256" t="s">
        <v>79</v>
      </c>
      <c r="GDB16" s="256" t="s">
        <v>80</v>
      </c>
      <c r="GDC16" s="256" t="s">
        <v>81</v>
      </c>
      <c r="GDD16" s="283"/>
      <c r="GDE16" s="259" t="s">
        <v>55</v>
      </c>
      <c r="GDF16" s="256" t="s">
        <v>76</v>
      </c>
      <c r="GDG16" s="256" t="s">
        <v>77</v>
      </c>
      <c r="GDH16" s="256" t="s">
        <v>78</v>
      </c>
      <c r="GDI16" s="256" t="s">
        <v>79</v>
      </c>
      <c r="GDJ16" s="256" t="s">
        <v>80</v>
      </c>
      <c r="GDK16" s="58" t="s">
        <v>81</v>
      </c>
      <c r="GDL16" s="284"/>
      <c r="GDM16" s="259" t="s">
        <v>55</v>
      </c>
      <c r="GDN16" s="256" t="s">
        <v>76</v>
      </c>
      <c r="GDO16" s="256" t="s">
        <v>77</v>
      </c>
      <c r="GDP16" s="256" t="s">
        <v>78</v>
      </c>
      <c r="GDQ16" s="256" t="s">
        <v>79</v>
      </c>
      <c r="GDR16" s="256" t="s">
        <v>80</v>
      </c>
      <c r="GDS16" s="256" t="s">
        <v>81</v>
      </c>
      <c r="GDT16" s="283"/>
      <c r="GDU16" s="259" t="s">
        <v>55</v>
      </c>
      <c r="GDV16" s="256" t="s">
        <v>76</v>
      </c>
      <c r="GDW16" s="256" t="s">
        <v>77</v>
      </c>
      <c r="GDX16" s="256" t="s">
        <v>78</v>
      </c>
      <c r="GDY16" s="256" t="s">
        <v>79</v>
      </c>
      <c r="GDZ16" s="256" t="s">
        <v>80</v>
      </c>
      <c r="GEA16" s="58" t="s">
        <v>81</v>
      </c>
      <c r="GEB16" s="284"/>
      <c r="GEC16" s="259" t="s">
        <v>55</v>
      </c>
      <c r="GED16" s="256" t="s">
        <v>76</v>
      </c>
      <c r="GEE16" s="256" t="s">
        <v>77</v>
      </c>
      <c r="GEF16" s="256" t="s">
        <v>78</v>
      </c>
      <c r="GEG16" s="256" t="s">
        <v>79</v>
      </c>
      <c r="GEH16" s="256" t="s">
        <v>80</v>
      </c>
      <c r="GEI16" s="256" t="s">
        <v>81</v>
      </c>
      <c r="GEJ16" s="283"/>
      <c r="GEK16" s="259" t="s">
        <v>55</v>
      </c>
      <c r="GEL16" s="256" t="s">
        <v>76</v>
      </c>
      <c r="GEM16" s="256" t="s">
        <v>77</v>
      </c>
      <c r="GEN16" s="256" t="s">
        <v>78</v>
      </c>
      <c r="GEO16" s="256" t="s">
        <v>79</v>
      </c>
      <c r="GEP16" s="256" t="s">
        <v>80</v>
      </c>
      <c r="GEQ16" s="58" t="s">
        <v>81</v>
      </c>
      <c r="GER16" s="284"/>
      <c r="GES16" s="259" t="s">
        <v>55</v>
      </c>
      <c r="GET16" s="256" t="s">
        <v>76</v>
      </c>
      <c r="GEU16" s="256" t="s">
        <v>77</v>
      </c>
      <c r="GEV16" s="256" t="s">
        <v>78</v>
      </c>
      <c r="GEW16" s="256" t="s">
        <v>79</v>
      </c>
      <c r="GEX16" s="256" t="s">
        <v>80</v>
      </c>
      <c r="GEY16" s="256" t="s">
        <v>81</v>
      </c>
      <c r="GEZ16" s="283"/>
      <c r="GFA16" s="259" t="s">
        <v>55</v>
      </c>
      <c r="GFB16" s="256" t="s">
        <v>76</v>
      </c>
      <c r="GFC16" s="256" t="s">
        <v>77</v>
      </c>
      <c r="GFD16" s="256" t="s">
        <v>78</v>
      </c>
      <c r="GFE16" s="256" t="s">
        <v>79</v>
      </c>
      <c r="GFF16" s="256" t="s">
        <v>80</v>
      </c>
      <c r="GFG16" s="58" t="s">
        <v>81</v>
      </c>
      <c r="GFH16" s="284"/>
      <c r="GFI16" s="259" t="s">
        <v>55</v>
      </c>
      <c r="GFJ16" s="256" t="s">
        <v>76</v>
      </c>
      <c r="GFK16" s="256" t="s">
        <v>77</v>
      </c>
      <c r="GFL16" s="256" t="s">
        <v>78</v>
      </c>
      <c r="GFM16" s="256" t="s">
        <v>79</v>
      </c>
      <c r="GFN16" s="256" t="s">
        <v>80</v>
      </c>
      <c r="GFO16" s="256" t="s">
        <v>81</v>
      </c>
      <c r="GFP16" s="283"/>
      <c r="GFQ16" s="259" t="s">
        <v>55</v>
      </c>
      <c r="GFR16" s="256" t="s">
        <v>76</v>
      </c>
      <c r="GFS16" s="256" t="s">
        <v>77</v>
      </c>
      <c r="GFT16" s="256" t="s">
        <v>78</v>
      </c>
      <c r="GFU16" s="256" t="s">
        <v>79</v>
      </c>
      <c r="GFV16" s="256" t="s">
        <v>80</v>
      </c>
      <c r="GFW16" s="58" t="s">
        <v>81</v>
      </c>
      <c r="GFX16" s="284"/>
      <c r="GFY16" s="259" t="s">
        <v>55</v>
      </c>
      <c r="GFZ16" s="256" t="s">
        <v>76</v>
      </c>
      <c r="GGA16" s="256" t="s">
        <v>77</v>
      </c>
      <c r="GGB16" s="256" t="s">
        <v>78</v>
      </c>
      <c r="GGC16" s="256" t="s">
        <v>79</v>
      </c>
      <c r="GGD16" s="256" t="s">
        <v>80</v>
      </c>
      <c r="GGE16" s="256" t="s">
        <v>81</v>
      </c>
      <c r="GGF16" s="283"/>
      <c r="GGG16" s="259" t="s">
        <v>55</v>
      </c>
      <c r="GGH16" s="256" t="s">
        <v>76</v>
      </c>
      <c r="GGI16" s="256" t="s">
        <v>77</v>
      </c>
      <c r="GGJ16" s="256" t="s">
        <v>78</v>
      </c>
      <c r="GGK16" s="256" t="s">
        <v>79</v>
      </c>
      <c r="GGL16" s="256" t="s">
        <v>80</v>
      </c>
      <c r="GGM16" s="58" t="s">
        <v>81</v>
      </c>
      <c r="GGN16" s="284"/>
      <c r="GGO16" s="259" t="s">
        <v>55</v>
      </c>
      <c r="GGP16" s="256" t="s">
        <v>76</v>
      </c>
      <c r="GGQ16" s="256" t="s">
        <v>77</v>
      </c>
      <c r="GGR16" s="256" t="s">
        <v>78</v>
      </c>
      <c r="GGS16" s="256" t="s">
        <v>79</v>
      </c>
      <c r="GGT16" s="256" t="s">
        <v>80</v>
      </c>
      <c r="GGU16" s="256" t="s">
        <v>81</v>
      </c>
      <c r="GGV16" s="283"/>
      <c r="GGW16" s="259" t="s">
        <v>55</v>
      </c>
      <c r="GGX16" s="256" t="s">
        <v>76</v>
      </c>
      <c r="GGY16" s="256" t="s">
        <v>77</v>
      </c>
      <c r="GGZ16" s="256" t="s">
        <v>78</v>
      </c>
      <c r="GHA16" s="256" t="s">
        <v>79</v>
      </c>
      <c r="GHB16" s="256" t="s">
        <v>80</v>
      </c>
      <c r="GHC16" s="58" t="s">
        <v>81</v>
      </c>
      <c r="GHD16" s="284"/>
      <c r="GHE16" s="259" t="s">
        <v>55</v>
      </c>
      <c r="GHF16" s="256" t="s">
        <v>76</v>
      </c>
      <c r="GHG16" s="256" t="s">
        <v>77</v>
      </c>
      <c r="GHH16" s="256" t="s">
        <v>78</v>
      </c>
      <c r="GHI16" s="256" t="s">
        <v>79</v>
      </c>
      <c r="GHJ16" s="256" t="s">
        <v>80</v>
      </c>
      <c r="GHK16" s="256" t="s">
        <v>81</v>
      </c>
      <c r="GHL16" s="283"/>
      <c r="GHM16" s="259" t="s">
        <v>55</v>
      </c>
      <c r="GHN16" s="256" t="s">
        <v>76</v>
      </c>
      <c r="GHO16" s="256" t="s">
        <v>77</v>
      </c>
      <c r="GHP16" s="256" t="s">
        <v>78</v>
      </c>
      <c r="GHQ16" s="256" t="s">
        <v>79</v>
      </c>
      <c r="GHR16" s="256" t="s">
        <v>80</v>
      </c>
      <c r="GHS16" s="58" t="s">
        <v>81</v>
      </c>
      <c r="GHT16" s="284"/>
      <c r="GHU16" s="259" t="s">
        <v>55</v>
      </c>
      <c r="GHV16" s="256" t="s">
        <v>76</v>
      </c>
      <c r="GHW16" s="256" t="s">
        <v>77</v>
      </c>
      <c r="GHX16" s="256" t="s">
        <v>78</v>
      </c>
      <c r="GHY16" s="256" t="s">
        <v>79</v>
      </c>
      <c r="GHZ16" s="256" t="s">
        <v>80</v>
      </c>
      <c r="GIA16" s="256" t="s">
        <v>81</v>
      </c>
      <c r="GIB16" s="283"/>
      <c r="GIC16" s="259" t="s">
        <v>55</v>
      </c>
      <c r="GID16" s="256" t="s">
        <v>76</v>
      </c>
      <c r="GIE16" s="256" t="s">
        <v>77</v>
      </c>
      <c r="GIF16" s="256" t="s">
        <v>78</v>
      </c>
      <c r="GIG16" s="256" t="s">
        <v>79</v>
      </c>
      <c r="GIH16" s="256" t="s">
        <v>80</v>
      </c>
      <c r="GII16" s="58" t="s">
        <v>81</v>
      </c>
      <c r="GIJ16" s="284"/>
      <c r="GIK16" s="259" t="s">
        <v>55</v>
      </c>
      <c r="GIL16" s="256" t="s">
        <v>76</v>
      </c>
      <c r="GIM16" s="256" t="s">
        <v>77</v>
      </c>
      <c r="GIN16" s="256" t="s">
        <v>78</v>
      </c>
      <c r="GIO16" s="256" t="s">
        <v>79</v>
      </c>
      <c r="GIP16" s="256" t="s">
        <v>80</v>
      </c>
      <c r="GIQ16" s="256" t="s">
        <v>81</v>
      </c>
      <c r="GIR16" s="283"/>
      <c r="GIS16" s="259" t="s">
        <v>55</v>
      </c>
      <c r="GIT16" s="256" t="s">
        <v>76</v>
      </c>
      <c r="GIU16" s="256" t="s">
        <v>77</v>
      </c>
      <c r="GIV16" s="256" t="s">
        <v>78</v>
      </c>
      <c r="GIW16" s="256" t="s">
        <v>79</v>
      </c>
      <c r="GIX16" s="256" t="s">
        <v>80</v>
      </c>
      <c r="GIY16" s="58" t="s">
        <v>81</v>
      </c>
      <c r="GIZ16" s="284"/>
      <c r="GJA16" s="259" t="s">
        <v>55</v>
      </c>
      <c r="GJB16" s="256" t="s">
        <v>76</v>
      </c>
      <c r="GJC16" s="256" t="s">
        <v>77</v>
      </c>
      <c r="GJD16" s="256" t="s">
        <v>78</v>
      </c>
      <c r="GJE16" s="256" t="s">
        <v>79</v>
      </c>
      <c r="GJF16" s="256" t="s">
        <v>80</v>
      </c>
      <c r="GJG16" s="256" t="s">
        <v>81</v>
      </c>
      <c r="GJH16" s="283"/>
      <c r="GJI16" s="259" t="s">
        <v>55</v>
      </c>
      <c r="GJJ16" s="256" t="s">
        <v>76</v>
      </c>
      <c r="GJK16" s="256" t="s">
        <v>77</v>
      </c>
      <c r="GJL16" s="256" t="s">
        <v>78</v>
      </c>
      <c r="GJM16" s="256" t="s">
        <v>79</v>
      </c>
      <c r="GJN16" s="256" t="s">
        <v>80</v>
      </c>
      <c r="GJO16" s="58" t="s">
        <v>81</v>
      </c>
      <c r="GJP16" s="284"/>
      <c r="GJQ16" s="259" t="s">
        <v>55</v>
      </c>
      <c r="GJR16" s="256" t="s">
        <v>76</v>
      </c>
      <c r="GJS16" s="256" t="s">
        <v>77</v>
      </c>
      <c r="GJT16" s="256" t="s">
        <v>78</v>
      </c>
      <c r="GJU16" s="256" t="s">
        <v>79</v>
      </c>
      <c r="GJV16" s="256" t="s">
        <v>80</v>
      </c>
      <c r="GJW16" s="256" t="s">
        <v>81</v>
      </c>
      <c r="GJX16" s="283"/>
      <c r="GJY16" s="259" t="s">
        <v>55</v>
      </c>
      <c r="GJZ16" s="256" t="s">
        <v>76</v>
      </c>
      <c r="GKA16" s="256" t="s">
        <v>77</v>
      </c>
      <c r="GKB16" s="256" t="s">
        <v>78</v>
      </c>
      <c r="GKC16" s="256" t="s">
        <v>79</v>
      </c>
      <c r="GKD16" s="256" t="s">
        <v>80</v>
      </c>
      <c r="GKE16" s="58" t="s">
        <v>81</v>
      </c>
      <c r="GKF16" s="284"/>
      <c r="GKG16" s="259" t="s">
        <v>55</v>
      </c>
      <c r="GKH16" s="256" t="s">
        <v>76</v>
      </c>
      <c r="GKI16" s="256" t="s">
        <v>77</v>
      </c>
      <c r="GKJ16" s="256" t="s">
        <v>78</v>
      </c>
      <c r="GKK16" s="256" t="s">
        <v>79</v>
      </c>
      <c r="GKL16" s="256" t="s">
        <v>80</v>
      </c>
      <c r="GKM16" s="256" t="s">
        <v>81</v>
      </c>
      <c r="GKN16" s="283"/>
      <c r="GKO16" s="259" t="s">
        <v>55</v>
      </c>
      <c r="GKP16" s="256" t="s">
        <v>76</v>
      </c>
      <c r="GKQ16" s="256" t="s">
        <v>77</v>
      </c>
      <c r="GKR16" s="256" t="s">
        <v>78</v>
      </c>
      <c r="GKS16" s="256" t="s">
        <v>79</v>
      </c>
      <c r="GKT16" s="256" t="s">
        <v>80</v>
      </c>
      <c r="GKU16" s="58" t="s">
        <v>81</v>
      </c>
      <c r="GKV16" s="284"/>
      <c r="GKW16" s="259" t="s">
        <v>55</v>
      </c>
      <c r="GKX16" s="256" t="s">
        <v>76</v>
      </c>
      <c r="GKY16" s="256" t="s">
        <v>77</v>
      </c>
      <c r="GKZ16" s="256" t="s">
        <v>78</v>
      </c>
      <c r="GLA16" s="256" t="s">
        <v>79</v>
      </c>
      <c r="GLB16" s="256" t="s">
        <v>80</v>
      </c>
      <c r="GLC16" s="256" t="s">
        <v>81</v>
      </c>
      <c r="GLD16" s="283"/>
      <c r="GLE16" s="259" t="s">
        <v>55</v>
      </c>
      <c r="GLF16" s="256" t="s">
        <v>76</v>
      </c>
      <c r="GLG16" s="256" t="s">
        <v>77</v>
      </c>
      <c r="GLH16" s="256" t="s">
        <v>78</v>
      </c>
      <c r="GLI16" s="256" t="s">
        <v>79</v>
      </c>
      <c r="GLJ16" s="256" t="s">
        <v>80</v>
      </c>
      <c r="GLK16" s="58" t="s">
        <v>81</v>
      </c>
      <c r="GLL16" s="284"/>
      <c r="GLM16" s="259" t="s">
        <v>55</v>
      </c>
      <c r="GLN16" s="256" t="s">
        <v>76</v>
      </c>
      <c r="GLO16" s="256" t="s">
        <v>77</v>
      </c>
      <c r="GLP16" s="256" t="s">
        <v>78</v>
      </c>
      <c r="GLQ16" s="256" t="s">
        <v>79</v>
      </c>
      <c r="GLR16" s="256" t="s">
        <v>80</v>
      </c>
      <c r="GLS16" s="256" t="s">
        <v>81</v>
      </c>
      <c r="GLT16" s="283"/>
      <c r="GLU16" s="259" t="s">
        <v>55</v>
      </c>
      <c r="GLV16" s="256" t="s">
        <v>76</v>
      </c>
      <c r="GLW16" s="256" t="s">
        <v>77</v>
      </c>
      <c r="GLX16" s="256" t="s">
        <v>78</v>
      </c>
      <c r="GLY16" s="256" t="s">
        <v>79</v>
      </c>
      <c r="GLZ16" s="256" t="s">
        <v>80</v>
      </c>
      <c r="GMA16" s="58" t="s">
        <v>81</v>
      </c>
      <c r="GMB16" s="284"/>
      <c r="GMC16" s="259" t="s">
        <v>55</v>
      </c>
      <c r="GMD16" s="256" t="s">
        <v>76</v>
      </c>
      <c r="GME16" s="256" t="s">
        <v>77</v>
      </c>
      <c r="GMF16" s="256" t="s">
        <v>78</v>
      </c>
      <c r="GMG16" s="256" t="s">
        <v>79</v>
      </c>
      <c r="GMH16" s="256" t="s">
        <v>80</v>
      </c>
      <c r="GMI16" s="256" t="s">
        <v>81</v>
      </c>
      <c r="GMJ16" s="283"/>
      <c r="GMK16" s="259" t="s">
        <v>55</v>
      </c>
      <c r="GML16" s="256" t="s">
        <v>76</v>
      </c>
      <c r="GMM16" s="256" t="s">
        <v>77</v>
      </c>
      <c r="GMN16" s="256" t="s">
        <v>78</v>
      </c>
      <c r="GMO16" s="256" t="s">
        <v>79</v>
      </c>
      <c r="GMP16" s="256" t="s">
        <v>80</v>
      </c>
      <c r="GMQ16" s="58" t="s">
        <v>81</v>
      </c>
      <c r="GMR16" s="284"/>
      <c r="GMS16" s="259" t="s">
        <v>55</v>
      </c>
      <c r="GMT16" s="256" t="s">
        <v>76</v>
      </c>
      <c r="GMU16" s="256" t="s">
        <v>77</v>
      </c>
      <c r="GMV16" s="256" t="s">
        <v>78</v>
      </c>
      <c r="GMW16" s="256" t="s">
        <v>79</v>
      </c>
      <c r="GMX16" s="256" t="s">
        <v>80</v>
      </c>
      <c r="GMY16" s="256" t="s">
        <v>81</v>
      </c>
      <c r="GMZ16" s="283"/>
      <c r="GNA16" s="259" t="s">
        <v>55</v>
      </c>
      <c r="GNB16" s="256" t="s">
        <v>76</v>
      </c>
      <c r="GNC16" s="256" t="s">
        <v>77</v>
      </c>
      <c r="GND16" s="256" t="s">
        <v>78</v>
      </c>
      <c r="GNE16" s="256" t="s">
        <v>79</v>
      </c>
      <c r="GNF16" s="256" t="s">
        <v>80</v>
      </c>
      <c r="GNG16" s="58" t="s">
        <v>81</v>
      </c>
      <c r="GNH16" s="284"/>
      <c r="GNI16" s="259" t="s">
        <v>55</v>
      </c>
      <c r="GNJ16" s="256" t="s">
        <v>76</v>
      </c>
      <c r="GNK16" s="256" t="s">
        <v>77</v>
      </c>
      <c r="GNL16" s="256" t="s">
        <v>78</v>
      </c>
      <c r="GNM16" s="256" t="s">
        <v>79</v>
      </c>
      <c r="GNN16" s="256" t="s">
        <v>80</v>
      </c>
      <c r="GNO16" s="256" t="s">
        <v>81</v>
      </c>
      <c r="GNP16" s="283"/>
      <c r="GNQ16" s="259" t="s">
        <v>55</v>
      </c>
      <c r="GNR16" s="256" t="s">
        <v>76</v>
      </c>
      <c r="GNS16" s="256" t="s">
        <v>77</v>
      </c>
      <c r="GNT16" s="256" t="s">
        <v>78</v>
      </c>
      <c r="GNU16" s="256" t="s">
        <v>79</v>
      </c>
      <c r="GNV16" s="256" t="s">
        <v>80</v>
      </c>
      <c r="GNW16" s="58" t="s">
        <v>81</v>
      </c>
      <c r="GNX16" s="284"/>
      <c r="GNY16" s="259" t="s">
        <v>55</v>
      </c>
      <c r="GNZ16" s="256" t="s">
        <v>76</v>
      </c>
      <c r="GOA16" s="256" t="s">
        <v>77</v>
      </c>
      <c r="GOB16" s="256" t="s">
        <v>78</v>
      </c>
      <c r="GOC16" s="256" t="s">
        <v>79</v>
      </c>
      <c r="GOD16" s="256" t="s">
        <v>80</v>
      </c>
      <c r="GOE16" s="256" t="s">
        <v>81</v>
      </c>
      <c r="GOF16" s="283"/>
      <c r="GOG16" s="259" t="s">
        <v>55</v>
      </c>
      <c r="GOH16" s="256" t="s">
        <v>76</v>
      </c>
      <c r="GOI16" s="256" t="s">
        <v>77</v>
      </c>
      <c r="GOJ16" s="256" t="s">
        <v>78</v>
      </c>
      <c r="GOK16" s="256" t="s">
        <v>79</v>
      </c>
      <c r="GOL16" s="256" t="s">
        <v>80</v>
      </c>
      <c r="GOM16" s="58" t="s">
        <v>81</v>
      </c>
      <c r="GON16" s="284"/>
      <c r="GOO16" s="259" t="s">
        <v>55</v>
      </c>
      <c r="GOP16" s="256" t="s">
        <v>76</v>
      </c>
      <c r="GOQ16" s="256" t="s">
        <v>77</v>
      </c>
      <c r="GOR16" s="256" t="s">
        <v>78</v>
      </c>
      <c r="GOS16" s="256" t="s">
        <v>79</v>
      </c>
      <c r="GOT16" s="256" t="s">
        <v>80</v>
      </c>
      <c r="GOU16" s="256" t="s">
        <v>81</v>
      </c>
      <c r="GOV16" s="283"/>
      <c r="GOW16" s="259" t="s">
        <v>55</v>
      </c>
      <c r="GOX16" s="256" t="s">
        <v>76</v>
      </c>
      <c r="GOY16" s="256" t="s">
        <v>77</v>
      </c>
      <c r="GOZ16" s="256" t="s">
        <v>78</v>
      </c>
      <c r="GPA16" s="256" t="s">
        <v>79</v>
      </c>
      <c r="GPB16" s="256" t="s">
        <v>80</v>
      </c>
      <c r="GPC16" s="58" t="s">
        <v>81</v>
      </c>
      <c r="GPD16" s="284"/>
      <c r="GPE16" s="259" t="s">
        <v>55</v>
      </c>
      <c r="GPF16" s="256" t="s">
        <v>76</v>
      </c>
      <c r="GPG16" s="256" t="s">
        <v>77</v>
      </c>
      <c r="GPH16" s="256" t="s">
        <v>78</v>
      </c>
      <c r="GPI16" s="256" t="s">
        <v>79</v>
      </c>
      <c r="GPJ16" s="256" t="s">
        <v>80</v>
      </c>
      <c r="GPK16" s="256" t="s">
        <v>81</v>
      </c>
      <c r="GPL16" s="283"/>
      <c r="GPM16" s="259" t="s">
        <v>55</v>
      </c>
      <c r="GPN16" s="256" t="s">
        <v>76</v>
      </c>
      <c r="GPO16" s="256" t="s">
        <v>77</v>
      </c>
      <c r="GPP16" s="256" t="s">
        <v>78</v>
      </c>
      <c r="GPQ16" s="256" t="s">
        <v>79</v>
      </c>
      <c r="GPR16" s="256" t="s">
        <v>80</v>
      </c>
      <c r="GPS16" s="58" t="s">
        <v>81</v>
      </c>
      <c r="GPT16" s="284"/>
      <c r="GPU16" s="259" t="s">
        <v>55</v>
      </c>
      <c r="GPV16" s="256" t="s">
        <v>76</v>
      </c>
      <c r="GPW16" s="256" t="s">
        <v>77</v>
      </c>
      <c r="GPX16" s="256" t="s">
        <v>78</v>
      </c>
      <c r="GPY16" s="256" t="s">
        <v>79</v>
      </c>
      <c r="GPZ16" s="256" t="s">
        <v>80</v>
      </c>
      <c r="GQA16" s="256" t="s">
        <v>81</v>
      </c>
      <c r="GQB16" s="283"/>
      <c r="GQC16" s="259" t="s">
        <v>55</v>
      </c>
      <c r="GQD16" s="256" t="s">
        <v>76</v>
      </c>
      <c r="GQE16" s="256" t="s">
        <v>77</v>
      </c>
      <c r="GQF16" s="256" t="s">
        <v>78</v>
      </c>
      <c r="GQG16" s="256" t="s">
        <v>79</v>
      </c>
      <c r="GQH16" s="256" t="s">
        <v>80</v>
      </c>
      <c r="GQI16" s="58" t="s">
        <v>81</v>
      </c>
      <c r="GQJ16" s="284"/>
      <c r="GQK16" s="259" t="s">
        <v>55</v>
      </c>
      <c r="GQL16" s="256" t="s">
        <v>76</v>
      </c>
      <c r="GQM16" s="256" t="s">
        <v>77</v>
      </c>
      <c r="GQN16" s="256" t="s">
        <v>78</v>
      </c>
      <c r="GQO16" s="256" t="s">
        <v>79</v>
      </c>
      <c r="GQP16" s="256" t="s">
        <v>80</v>
      </c>
      <c r="GQQ16" s="256" t="s">
        <v>81</v>
      </c>
      <c r="GQR16" s="283"/>
      <c r="GQS16" s="259" t="s">
        <v>55</v>
      </c>
      <c r="GQT16" s="256" t="s">
        <v>76</v>
      </c>
      <c r="GQU16" s="256" t="s">
        <v>77</v>
      </c>
      <c r="GQV16" s="256" t="s">
        <v>78</v>
      </c>
      <c r="GQW16" s="256" t="s">
        <v>79</v>
      </c>
      <c r="GQX16" s="256" t="s">
        <v>80</v>
      </c>
      <c r="GQY16" s="58" t="s">
        <v>81</v>
      </c>
      <c r="GQZ16" s="284"/>
      <c r="GRA16" s="259" t="s">
        <v>55</v>
      </c>
      <c r="GRB16" s="256" t="s">
        <v>76</v>
      </c>
      <c r="GRC16" s="256" t="s">
        <v>77</v>
      </c>
      <c r="GRD16" s="256" t="s">
        <v>78</v>
      </c>
      <c r="GRE16" s="256" t="s">
        <v>79</v>
      </c>
      <c r="GRF16" s="256" t="s">
        <v>80</v>
      </c>
      <c r="GRG16" s="256" t="s">
        <v>81</v>
      </c>
      <c r="GRH16" s="283"/>
      <c r="GRI16" s="259" t="s">
        <v>55</v>
      </c>
      <c r="GRJ16" s="256" t="s">
        <v>76</v>
      </c>
      <c r="GRK16" s="256" t="s">
        <v>77</v>
      </c>
      <c r="GRL16" s="256" t="s">
        <v>78</v>
      </c>
      <c r="GRM16" s="256" t="s">
        <v>79</v>
      </c>
      <c r="GRN16" s="256" t="s">
        <v>80</v>
      </c>
      <c r="GRO16" s="58" t="s">
        <v>81</v>
      </c>
      <c r="GRP16" s="284"/>
      <c r="GRQ16" s="259" t="s">
        <v>55</v>
      </c>
      <c r="GRR16" s="256" t="s">
        <v>76</v>
      </c>
      <c r="GRS16" s="256" t="s">
        <v>77</v>
      </c>
      <c r="GRT16" s="256" t="s">
        <v>78</v>
      </c>
      <c r="GRU16" s="256" t="s">
        <v>79</v>
      </c>
      <c r="GRV16" s="256" t="s">
        <v>80</v>
      </c>
      <c r="GRW16" s="256" t="s">
        <v>81</v>
      </c>
      <c r="GRX16" s="283"/>
      <c r="GRY16" s="259" t="s">
        <v>55</v>
      </c>
      <c r="GRZ16" s="256" t="s">
        <v>76</v>
      </c>
      <c r="GSA16" s="256" t="s">
        <v>77</v>
      </c>
      <c r="GSB16" s="256" t="s">
        <v>78</v>
      </c>
      <c r="GSC16" s="256" t="s">
        <v>79</v>
      </c>
      <c r="GSD16" s="256" t="s">
        <v>80</v>
      </c>
      <c r="GSE16" s="58" t="s">
        <v>81</v>
      </c>
      <c r="GSF16" s="284"/>
      <c r="GSG16" s="259" t="s">
        <v>55</v>
      </c>
      <c r="GSH16" s="256" t="s">
        <v>76</v>
      </c>
      <c r="GSI16" s="256" t="s">
        <v>77</v>
      </c>
      <c r="GSJ16" s="256" t="s">
        <v>78</v>
      </c>
      <c r="GSK16" s="256" t="s">
        <v>79</v>
      </c>
      <c r="GSL16" s="256" t="s">
        <v>80</v>
      </c>
      <c r="GSM16" s="256" t="s">
        <v>81</v>
      </c>
      <c r="GSN16" s="283"/>
      <c r="GSO16" s="259" t="s">
        <v>55</v>
      </c>
      <c r="GSP16" s="256" t="s">
        <v>76</v>
      </c>
      <c r="GSQ16" s="256" t="s">
        <v>77</v>
      </c>
      <c r="GSR16" s="256" t="s">
        <v>78</v>
      </c>
      <c r="GSS16" s="256" t="s">
        <v>79</v>
      </c>
      <c r="GST16" s="256" t="s">
        <v>80</v>
      </c>
      <c r="GSU16" s="58" t="s">
        <v>81</v>
      </c>
      <c r="GSV16" s="284"/>
      <c r="GSW16" s="259" t="s">
        <v>55</v>
      </c>
      <c r="GSX16" s="256" t="s">
        <v>76</v>
      </c>
      <c r="GSY16" s="256" t="s">
        <v>77</v>
      </c>
      <c r="GSZ16" s="256" t="s">
        <v>78</v>
      </c>
      <c r="GTA16" s="256" t="s">
        <v>79</v>
      </c>
      <c r="GTB16" s="256" t="s">
        <v>80</v>
      </c>
      <c r="GTC16" s="256" t="s">
        <v>81</v>
      </c>
      <c r="GTD16" s="283"/>
      <c r="GTE16" s="259" t="s">
        <v>55</v>
      </c>
      <c r="GTF16" s="256" t="s">
        <v>76</v>
      </c>
      <c r="GTG16" s="256" t="s">
        <v>77</v>
      </c>
      <c r="GTH16" s="256" t="s">
        <v>78</v>
      </c>
      <c r="GTI16" s="256" t="s">
        <v>79</v>
      </c>
      <c r="GTJ16" s="256" t="s">
        <v>80</v>
      </c>
      <c r="GTK16" s="58" t="s">
        <v>81</v>
      </c>
      <c r="GTL16" s="284"/>
      <c r="GTM16" s="259" t="s">
        <v>55</v>
      </c>
      <c r="GTN16" s="256" t="s">
        <v>76</v>
      </c>
      <c r="GTO16" s="256" t="s">
        <v>77</v>
      </c>
      <c r="GTP16" s="256" t="s">
        <v>78</v>
      </c>
      <c r="GTQ16" s="256" t="s">
        <v>79</v>
      </c>
      <c r="GTR16" s="256" t="s">
        <v>80</v>
      </c>
      <c r="GTS16" s="256" t="s">
        <v>81</v>
      </c>
      <c r="GTT16" s="283"/>
      <c r="GTU16" s="259" t="s">
        <v>55</v>
      </c>
      <c r="GTV16" s="256" t="s">
        <v>76</v>
      </c>
      <c r="GTW16" s="256" t="s">
        <v>77</v>
      </c>
      <c r="GTX16" s="256" t="s">
        <v>78</v>
      </c>
      <c r="GTY16" s="256" t="s">
        <v>79</v>
      </c>
      <c r="GTZ16" s="256" t="s">
        <v>80</v>
      </c>
      <c r="GUA16" s="58" t="s">
        <v>81</v>
      </c>
      <c r="GUB16" s="284"/>
      <c r="GUC16" s="259" t="s">
        <v>55</v>
      </c>
      <c r="GUD16" s="256" t="s">
        <v>76</v>
      </c>
      <c r="GUE16" s="256" t="s">
        <v>77</v>
      </c>
      <c r="GUF16" s="256" t="s">
        <v>78</v>
      </c>
      <c r="GUG16" s="256" t="s">
        <v>79</v>
      </c>
      <c r="GUH16" s="256" t="s">
        <v>80</v>
      </c>
      <c r="GUI16" s="256" t="s">
        <v>81</v>
      </c>
      <c r="GUJ16" s="283"/>
      <c r="GUK16" s="259" t="s">
        <v>55</v>
      </c>
      <c r="GUL16" s="256" t="s">
        <v>76</v>
      </c>
      <c r="GUM16" s="256" t="s">
        <v>77</v>
      </c>
      <c r="GUN16" s="256" t="s">
        <v>78</v>
      </c>
      <c r="GUO16" s="256" t="s">
        <v>79</v>
      </c>
      <c r="GUP16" s="256" t="s">
        <v>80</v>
      </c>
      <c r="GUQ16" s="58" t="s">
        <v>81</v>
      </c>
      <c r="GUR16" s="284"/>
      <c r="GUS16" s="259" t="s">
        <v>55</v>
      </c>
      <c r="GUT16" s="256" t="s">
        <v>76</v>
      </c>
      <c r="GUU16" s="256" t="s">
        <v>77</v>
      </c>
      <c r="GUV16" s="256" t="s">
        <v>78</v>
      </c>
      <c r="GUW16" s="256" t="s">
        <v>79</v>
      </c>
      <c r="GUX16" s="256" t="s">
        <v>80</v>
      </c>
      <c r="GUY16" s="256" t="s">
        <v>81</v>
      </c>
      <c r="GUZ16" s="283"/>
      <c r="GVA16" s="259" t="s">
        <v>55</v>
      </c>
      <c r="GVB16" s="256" t="s">
        <v>76</v>
      </c>
      <c r="GVC16" s="256" t="s">
        <v>77</v>
      </c>
      <c r="GVD16" s="256" t="s">
        <v>78</v>
      </c>
      <c r="GVE16" s="256" t="s">
        <v>79</v>
      </c>
      <c r="GVF16" s="256" t="s">
        <v>80</v>
      </c>
      <c r="GVG16" s="58" t="s">
        <v>81</v>
      </c>
      <c r="GVH16" s="284"/>
      <c r="GVI16" s="259" t="s">
        <v>55</v>
      </c>
      <c r="GVJ16" s="256" t="s">
        <v>76</v>
      </c>
      <c r="GVK16" s="256" t="s">
        <v>77</v>
      </c>
      <c r="GVL16" s="256" t="s">
        <v>78</v>
      </c>
      <c r="GVM16" s="256" t="s">
        <v>79</v>
      </c>
      <c r="GVN16" s="256" t="s">
        <v>80</v>
      </c>
      <c r="GVO16" s="256" t="s">
        <v>81</v>
      </c>
      <c r="GVP16" s="283"/>
      <c r="GVQ16" s="259" t="s">
        <v>55</v>
      </c>
      <c r="GVR16" s="256" t="s">
        <v>76</v>
      </c>
      <c r="GVS16" s="256" t="s">
        <v>77</v>
      </c>
      <c r="GVT16" s="256" t="s">
        <v>78</v>
      </c>
      <c r="GVU16" s="256" t="s">
        <v>79</v>
      </c>
      <c r="GVV16" s="256" t="s">
        <v>80</v>
      </c>
      <c r="GVW16" s="58" t="s">
        <v>81</v>
      </c>
      <c r="GVX16" s="284"/>
      <c r="GVY16" s="259" t="s">
        <v>55</v>
      </c>
      <c r="GVZ16" s="256" t="s">
        <v>76</v>
      </c>
      <c r="GWA16" s="256" t="s">
        <v>77</v>
      </c>
      <c r="GWB16" s="256" t="s">
        <v>78</v>
      </c>
      <c r="GWC16" s="256" t="s">
        <v>79</v>
      </c>
      <c r="GWD16" s="256" t="s">
        <v>80</v>
      </c>
      <c r="GWE16" s="256" t="s">
        <v>81</v>
      </c>
      <c r="GWF16" s="283"/>
      <c r="GWG16" s="259" t="s">
        <v>55</v>
      </c>
      <c r="GWH16" s="256" t="s">
        <v>76</v>
      </c>
      <c r="GWI16" s="256" t="s">
        <v>77</v>
      </c>
      <c r="GWJ16" s="256" t="s">
        <v>78</v>
      </c>
      <c r="GWK16" s="256" t="s">
        <v>79</v>
      </c>
      <c r="GWL16" s="256" t="s">
        <v>80</v>
      </c>
      <c r="GWM16" s="58" t="s">
        <v>81</v>
      </c>
      <c r="GWN16" s="284"/>
      <c r="GWO16" s="259" t="s">
        <v>55</v>
      </c>
      <c r="GWP16" s="256" t="s">
        <v>76</v>
      </c>
      <c r="GWQ16" s="256" t="s">
        <v>77</v>
      </c>
      <c r="GWR16" s="256" t="s">
        <v>78</v>
      </c>
      <c r="GWS16" s="256" t="s">
        <v>79</v>
      </c>
      <c r="GWT16" s="256" t="s">
        <v>80</v>
      </c>
      <c r="GWU16" s="256" t="s">
        <v>81</v>
      </c>
      <c r="GWV16" s="283"/>
      <c r="GWW16" s="259" t="s">
        <v>55</v>
      </c>
      <c r="GWX16" s="256" t="s">
        <v>76</v>
      </c>
      <c r="GWY16" s="256" t="s">
        <v>77</v>
      </c>
      <c r="GWZ16" s="256" t="s">
        <v>78</v>
      </c>
      <c r="GXA16" s="256" t="s">
        <v>79</v>
      </c>
      <c r="GXB16" s="256" t="s">
        <v>80</v>
      </c>
      <c r="GXC16" s="58" t="s">
        <v>81</v>
      </c>
      <c r="GXD16" s="284"/>
      <c r="GXE16" s="259" t="s">
        <v>55</v>
      </c>
      <c r="GXF16" s="256" t="s">
        <v>76</v>
      </c>
      <c r="GXG16" s="256" t="s">
        <v>77</v>
      </c>
      <c r="GXH16" s="256" t="s">
        <v>78</v>
      </c>
      <c r="GXI16" s="256" t="s">
        <v>79</v>
      </c>
      <c r="GXJ16" s="256" t="s">
        <v>80</v>
      </c>
      <c r="GXK16" s="256" t="s">
        <v>81</v>
      </c>
      <c r="GXL16" s="283"/>
      <c r="GXM16" s="259" t="s">
        <v>55</v>
      </c>
      <c r="GXN16" s="256" t="s">
        <v>76</v>
      </c>
      <c r="GXO16" s="256" t="s">
        <v>77</v>
      </c>
      <c r="GXP16" s="256" t="s">
        <v>78</v>
      </c>
      <c r="GXQ16" s="256" t="s">
        <v>79</v>
      </c>
      <c r="GXR16" s="256" t="s">
        <v>80</v>
      </c>
      <c r="GXS16" s="58" t="s">
        <v>81</v>
      </c>
      <c r="GXT16" s="284"/>
      <c r="GXU16" s="259" t="s">
        <v>55</v>
      </c>
      <c r="GXV16" s="256" t="s">
        <v>76</v>
      </c>
      <c r="GXW16" s="256" t="s">
        <v>77</v>
      </c>
      <c r="GXX16" s="256" t="s">
        <v>78</v>
      </c>
      <c r="GXY16" s="256" t="s">
        <v>79</v>
      </c>
      <c r="GXZ16" s="256" t="s">
        <v>80</v>
      </c>
      <c r="GYA16" s="256" t="s">
        <v>81</v>
      </c>
      <c r="GYB16" s="283"/>
      <c r="GYC16" s="259" t="s">
        <v>55</v>
      </c>
      <c r="GYD16" s="256" t="s">
        <v>76</v>
      </c>
      <c r="GYE16" s="256" t="s">
        <v>77</v>
      </c>
      <c r="GYF16" s="256" t="s">
        <v>78</v>
      </c>
      <c r="GYG16" s="256" t="s">
        <v>79</v>
      </c>
      <c r="GYH16" s="256" t="s">
        <v>80</v>
      </c>
      <c r="GYI16" s="58" t="s">
        <v>81</v>
      </c>
      <c r="GYJ16" s="284"/>
      <c r="GYK16" s="259" t="s">
        <v>55</v>
      </c>
      <c r="GYL16" s="256" t="s">
        <v>76</v>
      </c>
      <c r="GYM16" s="256" t="s">
        <v>77</v>
      </c>
      <c r="GYN16" s="256" t="s">
        <v>78</v>
      </c>
      <c r="GYO16" s="256" t="s">
        <v>79</v>
      </c>
      <c r="GYP16" s="256" t="s">
        <v>80</v>
      </c>
      <c r="GYQ16" s="256" t="s">
        <v>81</v>
      </c>
      <c r="GYR16" s="283"/>
      <c r="GYS16" s="259" t="s">
        <v>55</v>
      </c>
      <c r="GYT16" s="256" t="s">
        <v>76</v>
      </c>
      <c r="GYU16" s="256" t="s">
        <v>77</v>
      </c>
      <c r="GYV16" s="256" t="s">
        <v>78</v>
      </c>
      <c r="GYW16" s="256" t="s">
        <v>79</v>
      </c>
      <c r="GYX16" s="256" t="s">
        <v>80</v>
      </c>
      <c r="GYY16" s="58" t="s">
        <v>81</v>
      </c>
      <c r="GYZ16" s="284"/>
      <c r="GZA16" s="259" t="s">
        <v>55</v>
      </c>
      <c r="GZB16" s="256" t="s">
        <v>76</v>
      </c>
      <c r="GZC16" s="256" t="s">
        <v>77</v>
      </c>
      <c r="GZD16" s="256" t="s">
        <v>78</v>
      </c>
      <c r="GZE16" s="256" t="s">
        <v>79</v>
      </c>
      <c r="GZF16" s="256" t="s">
        <v>80</v>
      </c>
      <c r="GZG16" s="256" t="s">
        <v>81</v>
      </c>
      <c r="GZH16" s="283"/>
      <c r="GZI16" s="259" t="s">
        <v>55</v>
      </c>
      <c r="GZJ16" s="256" t="s">
        <v>76</v>
      </c>
      <c r="GZK16" s="256" t="s">
        <v>77</v>
      </c>
      <c r="GZL16" s="256" t="s">
        <v>78</v>
      </c>
      <c r="GZM16" s="256" t="s">
        <v>79</v>
      </c>
      <c r="GZN16" s="256" t="s">
        <v>80</v>
      </c>
      <c r="GZO16" s="58" t="s">
        <v>81</v>
      </c>
      <c r="GZP16" s="284"/>
      <c r="GZQ16" s="259" t="s">
        <v>55</v>
      </c>
      <c r="GZR16" s="256" t="s">
        <v>76</v>
      </c>
      <c r="GZS16" s="256" t="s">
        <v>77</v>
      </c>
      <c r="GZT16" s="256" t="s">
        <v>78</v>
      </c>
      <c r="GZU16" s="256" t="s">
        <v>79</v>
      </c>
      <c r="GZV16" s="256" t="s">
        <v>80</v>
      </c>
      <c r="GZW16" s="256" t="s">
        <v>81</v>
      </c>
      <c r="GZX16" s="283"/>
      <c r="GZY16" s="259" t="s">
        <v>55</v>
      </c>
      <c r="GZZ16" s="256" t="s">
        <v>76</v>
      </c>
      <c r="HAA16" s="256" t="s">
        <v>77</v>
      </c>
      <c r="HAB16" s="256" t="s">
        <v>78</v>
      </c>
      <c r="HAC16" s="256" t="s">
        <v>79</v>
      </c>
      <c r="HAD16" s="256" t="s">
        <v>80</v>
      </c>
      <c r="HAE16" s="58" t="s">
        <v>81</v>
      </c>
      <c r="HAF16" s="284"/>
      <c r="HAG16" s="259" t="s">
        <v>55</v>
      </c>
      <c r="HAH16" s="256" t="s">
        <v>76</v>
      </c>
      <c r="HAI16" s="256" t="s">
        <v>77</v>
      </c>
      <c r="HAJ16" s="256" t="s">
        <v>78</v>
      </c>
      <c r="HAK16" s="256" t="s">
        <v>79</v>
      </c>
      <c r="HAL16" s="256" t="s">
        <v>80</v>
      </c>
      <c r="HAM16" s="256" t="s">
        <v>81</v>
      </c>
      <c r="HAN16" s="283"/>
      <c r="HAO16" s="259" t="s">
        <v>55</v>
      </c>
      <c r="HAP16" s="256" t="s">
        <v>76</v>
      </c>
      <c r="HAQ16" s="256" t="s">
        <v>77</v>
      </c>
      <c r="HAR16" s="256" t="s">
        <v>78</v>
      </c>
      <c r="HAS16" s="256" t="s">
        <v>79</v>
      </c>
      <c r="HAT16" s="256" t="s">
        <v>80</v>
      </c>
      <c r="HAU16" s="58" t="s">
        <v>81</v>
      </c>
      <c r="HAV16" s="284"/>
      <c r="HAW16" s="259" t="s">
        <v>55</v>
      </c>
      <c r="HAX16" s="256" t="s">
        <v>76</v>
      </c>
      <c r="HAY16" s="256" t="s">
        <v>77</v>
      </c>
      <c r="HAZ16" s="256" t="s">
        <v>78</v>
      </c>
      <c r="HBA16" s="256" t="s">
        <v>79</v>
      </c>
      <c r="HBB16" s="256" t="s">
        <v>80</v>
      </c>
      <c r="HBC16" s="256" t="s">
        <v>81</v>
      </c>
      <c r="HBD16" s="283"/>
      <c r="HBE16" s="259" t="s">
        <v>55</v>
      </c>
      <c r="HBF16" s="256" t="s">
        <v>76</v>
      </c>
      <c r="HBG16" s="256" t="s">
        <v>77</v>
      </c>
      <c r="HBH16" s="256" t="s">
        <v>78</v>
      </c>
      <c r="HBI16" s="256" t="s">
        <v>79</v>
      </c>
      <c r="HBJ16" s="256" t="s">
        <v>80</v>
      </c>
      <c r="HBK16" s="58" t="s">
        <v>81</v>
      </c>
      <c r="HBL16" s="284"/>
      <c r="HBM16" s="259" t="s">
        <v>55</v>
      </c>
      <c r="HBN16" s="256" t="s">
        <v>76</v>
      </c>
      <c r="HBO16" s="256" t="s">
        <v>77</v>
      </c>
      <c r="HBP16" s="256" t="s">
        <v>78</v>
      </c>
      <c r="HBQ16" s="256" t="s">
        <v>79</v>
      </c>
      <c r="HBR16" s="256" t="s">
        <v>80</v>
      </c>
      <c r="HBS16" s="256" t="s">
        <v>81</v>
      </c>
      <c r="HBT16" s="283"/>
      <c r="HBU16" s="259" t="s">
        <v>55</v>
      </c>
      <c r="HBV16" s="256" t="s">
        <v>76</v>
      </c>
      <c r="HBW16" s="256" t="s">
        <v>77</v>
      </c>
      <c r="HBX16" s="256" t="s">
        <v>78</v>
      </c>
      <c r="HBY16" s="256" t="s">
        <v>79</v>
      </c>
      <c r="HBZ16" s="256" t="s">
        <v>80</v>
      </c>
      <c r="HCA16" s="58" t="s">
        <v>81</v>
      </c>
      <c r="HCB16" s="284"/>
      <c r="HCC16" s="259" t="s">
        <v>55</v>
      </c>
      <c r="HCD16" s="256" t="s">
        <v>76</v>
      </c>
      <c r="HCE16" s="256" t="s">
        <v>77</v>
      </c>
      <c r="HCF16" s="256" t="s">
        <v>78</v>
      </c>
      <c r="HCG16" s="256" t="s">
        <v>79</v>
      </c>
      <c r="HCH16" s="256" t="s">
        <v>80</v>
      </c>
      <c r="HCI16" s="256" t="s">
        <v>81</v>
      </c>
      <c r="HCJ16" s="283"/>
      <c r="HCK16" s="259" t="s">
        <v>55</v>
      </c>
      <c r="HCL16" s="256" t="s">
        <v>76</v>
      </c>
      <c r="HCM16" s="256" t="s">
        <v>77</v>
      </c>
      <c r="HCN16" s="256" t="s">
        <v>78</v>
      </c>
      <c r="HCO16" s="256" t="s">
        <v>79</v>
      </c>
      <c r="HCP16" s="256" t="s">
        <v>80</v>
      </c>
      <c r="HCQ16" s="58" t="s">
        <v>81</v>
      </c>
      <c r="HCR16" s="284"/>
      <c r="HCS16" s="259" t="s">
        <v>55</v>
      </c>
      <c r="HCT16" s="256" t="s">
        <v>76</v>
      </c>
      <c r="HCU16" s="256" t="s">
        <v>77</v>
      </c>
      <c r="HCV16" s="256" t="s">
        <v>78</v>
      </c>
      <c r="HCW16" s="256" t="s">
        <v>79</v>
      </c>
      <c r="HCX16" s="256" t="s">
        <v>80</v>
      </c>
      <c r="HCY16" s="256" t="s">
        <v>81</v>
      </c>
      <c r="HCZ16" s="283"/>
      <c r="HDA16" s="259" t="s">
        <v>55</v>
      </c>
      <c r="HDB16" s="256" t="s">
        <v>76</v>
      </c>
      <c r="HDC16" s="256" t="s">
        <v>77</v>
      </c>
      <c r="HDD16" s="256" t="s">
        <v>78</v>
      </c>
      <c r="HDE16" s="256" t="s">
        <v>79</v>
      </c>
      <c r="HDF16" s="256" t="s">
        <v>80</v>
      </c>
      <c r="HDG16" s="58" t="s">
        <v>81</v>
      </c>
      <c r="HDH16" s="284"/>
      <c r="HDI16" s="259" t="s">
        <v>55</v>
      </c>
      <c r="HDJ16" s="256" t="s">
        <v>76</v>
      </c>
      <c r="HDK16" s="256" t="s">
        <v>77</v>
      </c>
      <c r="HDL16" s="256" t="s">
        <v>78</v>
      </c>
      <c r="HDM16" s="256" t="s">
        <v>79</v>
      </c>
      <c r="HDN16" s="256" t="s">
        <v>80</v>
      </c>
      <c r="HDO16" s="256" t="s">
        <v>81</v>
      </c>
      <c r="HDP16" s="283"/>
      <c r="HDQ16" s="259" t="s">
        <v>55</v>
      </c>
      <c r="HDR16" s="256" t="s">
        <v>76</v>
      </c>
      <c r="HDS16" s="256" t="s">
        <v>77</v>
      </c>
      <c r="HDT16" s="256" t="s">
        <v>78</v>
      </c>
      <c r="HDU16" s="256" t="s">
        <v>79</v>
      </c>
      <c r="HDV16" s="256" t="s">
        <v>80</v>
      </c>
      <c r="HDW16" s="58" t="s">
        <v>81</v>
      </c>
      <c r="HDX16" s="284"/>
      <c r="HDY16" s="259" t="s">
        <v>55</v>
      </c>
      <c r="HDZ16" s="256" t="s">
        <v>76</v>
      </c>
      <c r="HEA16" s="256" t="s">
        <v>77</v>
      </c>
      <c r="HEB16" s="256" t="s">
        <v>78</v>
      </c>
      <c r="HEC16" s="256" t="s">
        <v>79</v>
      </c>
      <c r="HED16" s="256" t="s">
        <v>80</v>
      </c>
      <c r="HEE16" s="256" t="s">
        <v>81</v>
      </c>
      <c r="HEF16" s="283"/>
      <c r="HEG16" s="259" t="s">
        <v>55</v>
      </c>
      <c r="HEH16" s="256" t="s">
        <v>76</v>
      </c>
      <c r="HEI16" s="256" t="s">
        <v>77</v>
      </c>
      <c r="HEJ16" s="256" t="s">
        <v>78</v>
      </c>
      <c r="HEK16" s="256" t="s">
        <v>79</v>
      </c>
      <c r="HEL16" s="256" t="s">
        <v>80</v>
      </c>
      <c r="HEM16" s="58" t="s">
        <v>81</v>
      </c>
      <c r="HEN16" s="284"/>
      <c r="HEO16" s="259" t="s">
        <v>55</v>
      </c>
      <c r="HEP16" s="256" t="s">
        <v>76</v>
      </c>
      <c r="HEQ16" s="256" t="s">
        <v>77</v>
      </c>
      <c r="HER16" s="256" t="s">
        <v>78</v>
      </c>
      <c r="HES16" s="256" t="s">
        <v>79</v>
      </c>
      <c r="HET16" s="256" t="s">
        <v>80</v>
      </c>
      <c r="HEU16" s="256" t="s">
        <v>81</v>
      </c>
      <c r="HEV16" s="283"/>
      <c r="HEW16" s="259" t="s">
        <v>55</v>
      </c>
      <c r="HEX16" s="256" t="s">
        <v>76</v>
      </c>
      <c r="HEY16" s="256" t="s">
        <v>77</v>
      </c>
      <c r="HEZ16" s="256" t="s">
        <v>78</v>
      </c>
      <c r="HFA16" s="256" t="s">
        <v>79</v>
      </c>
      <c r="HFB16" s="256" t="s">
        <v>80</v>
      </c>
      <c r="HFC16" s="58" t="s">
        <v>81</v>
      </c>
      <c r="HFD16" s="284"/>
      <c r="HFE16" s="259" t="s">
        <v>55</v>
      </c>
      <c r="HFF16" s="256" t="s">
        <v>76</v>
      </c>
      <c r="HFG16" s="256" t="s">
        <v>77</v>
      </c>
      <c r="HFH16" s="256" t="s">
        <v>78</v>
      </c>
      <c r="HFI16" s="256" t="s">
        <v>79</v>
      </c>
      <c r="HFJ16" s="256" t="s">
        <v>80</v>
      </c>
      <c r="HFK16" s="256" t="s">
        <v>81</v>
      </c>
      <c r="HFL16" s="283"/>
      <c r="HFM16" s="259" t="s">
        <v>55</v>
      </c>
      <c r="HFN16" s="256" t="s">
        <v>76</v>
      </c>
      <c r="HFO16" s="256" t="s">
        <v>77</v>
      </c>
      <c r="HFP16" s="256" t="s">
        <v>78</v>
      </c>
      <c r="HFQ16" s="256" t="s">
        <v>79</v>
      </c>
      <c r="HFR16" s="256" t="s">
        <v>80</v>
      </c>
      <c r="HFS16" s="58" t="s">
        <v>81</v>
      </c>
      <c r="HFT16" s="284"/>
      <c r="HFU16" s="259" t="s">
        <v>55</v>
      </c>
      <c r="HFV16" s="256" t="s">
        <v>76</v>
      </c>
      <c r="HFW16" s="256" t="s">
        <v>77</v>
      </c>
      <c r="HFX16" s="256" t="s">
        <v>78</v>
      </c>
      <c r="HFY16" s="256" t="s">
        <v>79</v>
      </c>
      <c r="HFZ16" s="256" t="s">
        <v>80</v>
      </c>
      <c r="HGA16" s="256" t="s">
        <v>81</v>
      </c>
      <c r="HGB16" s="283"/>
      <c r="HGC16" s="259" t="s">
        <v>55</v>
      </c>
      <c r="HGD16" s="256" t="s">
        <v>76</v>
      </c>
      <c r="HGE16" s="256" t="s">
        <v>77</v>
      </c>
      <c r="HGF16" s="256" t="s">
        <v>78</v>
      </c>
      <c r="HGG16" s="256" t="s">
        <v>79</v>
      </c>
      <c r="HGH16" s="256" t="s">
        <v>80</v>
      </c>
      <c r="HGI16" s="58" t="s">
        <v>81</v>
      </c>
      <c r="HGJ16" s="284"/>
      <c r="HGK16" s="259" t="s">
        <v>55</v>
      </c>
      <c r="HGL16" s="256" t="s">
        <v>76</v>
      </c>
      <c r="HGM16" s="256" t="s">
        <v>77</v>
      </c>
      <c r="HGN16" s="256" t="s">
        <v>78</v>
      </c>
      <c r="HGO16" s="256" t="s">
        <v>79</v>
      </c>
      <c r="HGP16" s="256" t="s">
        <v>80</v>
      </c>
      <c r="HGQ16" s="256" t="s">
        <v>81</v>
      </c>
      <c r="HGR16" s="283"/>
      <c r="HGS16" s="259" t="s">
        <v>55</v>
      </c>
      <c r="HGT16" s="256" t="s">
        <v>76</v>
      </c>
      <c r="HGU16" s="256" t="s">
        <v>77</v>
      </c>
      <c r="HGV16" s="256" t="s">
        <v>78</v>
      </c>
      <c r="HGW16" s="256" t="s">
        <v>79</v>
      </c>
      <c r="HGX16" s="256" t="s">
        <v>80</v>
      </c>
      <c r="HGY16" s="58" t="s">
        <v>81</v>
      </c>
      <c r="HGZ16" s="284"/>
      <c r="HHA16" s="259" t="s">
        <v>55</v>
      </c>
      <c r="HHB16" s="256" t="s">
        <v>76</v>
      </c>
      <c r="HHC16" s="256" t="s">
        <v>77</v>
      </c>
      <c r="HHD16" s="256" t="s">
        <v>78</v>
      </c>
      <c r="HHE16" s="256" t="s">
        <v>79</v>
      </c>
      <c r="HHF16" s="256" t="s">
        <v>80</v>
      </c>
      <c r="HHG16" s="256" t="s">
        <v>81</v>
      </c>
      <c r="HHH16" s="283"/>
      <c r="HHI16" s="259" t="s">
        <v>55</v>
      </c>
      <c r="HHJ16" s="256" t="s">
        <v>76</v>
      </c>
      <c r="HHK16" s="256" t="s">
        <v>77</v>
      </c>
      <c r="HHL16" s="256" t="s">
        <v>78</v>
      </c>
      <c r="HHM16" s="256" t="s">
        <v>79</v>
      </c>
      <c r="HHN16" s="256" t="s">
        <v>80</v>
      </c>
      <c r="HHO16" s="58" t="s">
        <v>81</v>
      </c>
      <c r="HHP16" s="284"/>
      <c r="HHQ16" s="259" t="s">
        <v>55</v>
      </c>
      <c r="HHR16" s="256" t="s">
        <v>76</v>
      </c>
      <c r="HHS16" s="256" t="s">
        <v>77</v>
      </c>
      <c r="HHT16" s="256" t="s">
        <v>78</v>
      </c>
      <c r="HHU16" s="256" t="s">
        <v>79</v>
      </c>
      <c r="HHV16" s="256" t="s">
        <v>80</v>
      </c>
      <c r="HHW16" s="256" t="s">
        <v>81</v>
      </c>
      <c r="HHX16" s="283"/>
      <c r="HHY16" s="259" t="s">
        <v>55</v>
      </c>
      <c r="HHZ16" s="256" t="s">
        <v>76</v>
      </c>
      <c r="HIA16" s="256" t="s">
        <v>77</v>
      </c>
      <c r="HIB16" s="256" t="s">
        <v>78</v>
      </c>
      <c r="HIC16" s="256" t="s">
        <v>79</v>
      </c>
      <c r="HID16" s="256" t="s">
        <v>80</v>
      </c>
      <c r="HIE16" s="58" t="s">
        <v>81</v>
      </c>
      <c r="HIF16" s="284"/>
      <c r="HIG16" s="259" t="s">
        <v>55</v>
      </c>
      <c r="HIH16" s="256" t="s">
        <v>76</v>
      </c>
      <c r="HII16" s="256" t="s">
        <v>77</v>
      </c>
      <c r="HIJ16" s="256" t="s">
        <v>78</v>
      </c>
      <c r="HIK16" s="256" t="s">
        <v>79</v>
      </c>
      <c r="HIL16" s="256" t="s">
        <v>80</v>
      </c>
      <c r="HIM16" s="256" t="s">
        <v>81</v>
      </c>
      <c r="HIN16" s="283"/>
      <c r="HIO16" s="259" t="s">
        <v>55</v>
      </c>
      <c r="HIP16" s="256" t="s">
        <v>76</v>
      </c>
      <c r="HIQ16" s="256" t="s">
        <v>77</v>
      </c>
      <c r="HIR16" s="256" t="s">
        <v>78</v>
      </c>
      <c r="HIS16" s="256" t="s">
        <v>79</v>
      </c>
      <c r="HIT16" s="256" t="s">
        <v>80</v>
      </c>
      <c r="HIU16" s="58" t="s">
        <v>81</v>
      </c>
      <c r="HIV16" s="284"/>
      <c r="HIW16" s="259" t="s">
        <v>55</v>
      </c>
      <c r="HIX16" s="256" t="s">
        <v>76</v>
      </c>
      <c r="HIY16" s="256" t="s">
        <v>77</v>
      </c>
      <c r="HIZ16" s="256" t="s">
        <v>78</v>
      </c>
      <c r="HJA16" s="256" t="s">
        <v>79</v>
      </c>
      <c r="HJB16" s="256" t="s">
        <v>80</v>
      </c>
      <c r="HJC16" s="256" t="s">
        <v>81</v>
      </c>
      <c r="HJD16" s="283"/>
      <c r="HJE16" s="259" t="s">
        <v>55</v>
      </c>
      <c r="HJF16" s="256" t="s">
        <v>76</v>
      </c>
      <c r="HJG16" s="256" t="s">
        <v>77</v>
      </c>
      <c r="HJH16" s="256" t="s">
        <v>78</v>
      </c>
      <c r="HJI16" s="256" t="s">
        <v>79</v>
      </c>
      <c r="HJJ16" s="256" t="s">
        <v>80</v>
      </c>
      <c r="HJK16" s="58" t="s">
        <v>81</v>
      </c>
      <c r="HJL16" s="284"/>
      <c r="HJM16" s="259" t="s">
        <v>55</v>
      </c>
      <c r="HJN16" s="256" t="s">
        <v>76</v>
      </c>
      <c r="HJO16" s="256" t="s">
        <v>77</v>
      </c>
      <c r="HJP16" s="256" t="s">
        <v>78</v>
      </c>
      <c r="HJQ16" s="256" t="s">
        <v>79</v>
      </c>
      <c r="HJR16" s="256" t="s">
        <v>80</v>
      </c>
      <c r="HJS16" s="256" t="s">
        <v>81</v>
      </c>
      <c r="HJT16" s="283"/>
      <c r="HJU16" s="259" t="s">
        <v>55</v>
      </c>
      <c r="HJV16" s="256" t="s">
        <v>76</v>
      </c>
      <c r="HJW16" s="256" t="s">
        <v>77</v>
      </c>
      <c r="HJX16" s="256" t="s">
        <v>78</v>
      </c>
      <c r="HJY16" s="256" t="s">
        <v>79</v>
      </c>
      <c r="HJZ16" s="256" t="s">
        <v>80</v>
      </c>
      <c r="HKA16" s="58" t="s">
        <v>81</v>
      </c>
      <c r="HKB16" s="284"/>
      <c r="HKC16" s="259" t="s">
        <v>55</v>
      </c>
      <c r="HKD16" s="256" t="s">
        <v>76</v>
      </c>
      <c r="HKE16" s="256" t="s">
        <v>77</v>
      </c>
      <c r="HKF16" s="256" t="s">
        <v>78</v>
      </c>
      <c r="HKG16" s="256" t="s">
        <v>79</v>
      </c>
      <c r="HKH16" s="256" t="s">
        <v>80</v>
      </c>
      <c r="HKI16" s="256" t="s">
        <v>81</v>
      </c>
      <c r="HKJ16" s="283"/>
      <c r="HKK16" s="259" t="s">
        <v>55</v>
      </c>
      <c r="HKL16" s="256" t="s">
        <v>76</v>
      </c>
      <c r="HKM16" s="256" t="s">
        <v>77</v>
      </c>
      <c r="HKN16" s="256" t="s">
        <v>78</v>
      </c>
      <c r="HKO16" s="256" t="s">
        <v>79</v>
      </c>
      <c r="HKP16" s="256" t="s">
        <v>80</v>
      </c>
      <c r="HKQ16" s="58" t="s">
        <v>81</v>
      </c>
      <c r="HKR16" s="284"/>
      <c r="HKS16" s="259" t="s">
        <v>55</v>
      </c>
      <c r="HKT16" s="256" t="s">
        <v>76</v>
      </c>
      <c r="HKU16" s="256" t="s">
        <v>77</v>
      </c>
      <c r="HKV16" s="256" t="s">
        <v>78</v>
      </c>
      <c r="HKW16" s="256" t="s">
        <v>79</v>
      </c>
      <c r="HKX16" s="256" t="s">
        <v>80</v>
      </c>
      <c r="HKY16" s="256" t="s">
        <v>81</v>
      </c>
      <c r="HKZ16" s="283"/>
      <c r="HLA16" s="259" t="s">
        <v>55</v>
      </c>
      <c r="HLB16" s="256" t="s">
        <v>76</v>
      </c>
      <c r="HLC16" s="256" t="s">
        <v>77</v>
      </c>
      <c r="HLD16" s="256" t="s">
        <v>78</v>
      </c>
      <c r="HLE16" s="256" t="s">
        <v>79</v>
      </c>
      <c r="HLF16" s="256" t="s">
        <v>80</v>
      </c>
      <c r="HLG16" s="58" t="s">
        <v>81</v>
      </c>
      <c r="HLH16" s="284"/>
      <c r="HLI16" s="259" t="s">
        <v>55</v>
      </c>
      <c r="HLJ16" s="256" t="s">
        <v>76</v>
      </c>
      <c r="HLK16" s="256" t="s">
        <v>77</v>
      </c>
      <c r="HLL16" s="256" t="s">
        <v>78</v>
      </c>
      <c r="HLM16" s="256" t="s">
        <v>79</v>
      </c>
      <c r="HLN16" s="256" t="s">
        <v>80</v>
      </c>
      <c r="HLO16" s="256" t="s">
        <v>81</v>
      </c>
      <c r="HLP16" s="283"/>
      <c r="HLQ16" s="259" t="s">
        <v>55</v>
      </c>
      <c r="HLR16" s="256" t="s">
        <v>76</v>
      </c>
      <c r="HLS16" s="256" t="s">
        <v>77</v>
      </c>
      <c r="HLT16" s="256" t="s">
        <v>78</v>
      </c>
      <c r="HLU16" s="256" t="s">
        <v>79</v>
      </c>
      <c r="HLV16" s="256" t="s">
        <v>80</v>
      </c>
      <c r="HLW16" s="58" t="s">
        <v>81</v>
      </c>
      <c r="HLX16" s="284"/>
      <c r="HLY16" s="259" t="s">
        <v>55</v>
      </c>
      <c r="HLZ16" s="256" t="s">
        <v>76</v>
      </c>
      <c r="HMA16" s="256" t="s">
        <v>77</v>
      </c>
      <c r="HMB16" s="256" t="s">
        <v>78</v>
      </c>
      <c r="HMC16" s="256" t="s">
        <v>79</v>
      </c>
      <c r="HMD16" s="256" t="s">
        <v>80</v>
      </c>
      <c r="HME16" s="256" t="s">
        <v>81</v>
      </c>
      <c r="HMF16" s="283"/>
      <c r="HMG16" s="259" t="s">
        <v>55</v>
      </c>
      <c r="HMH16" s="256" t="s">
        <v>76</v>
      </c>
      <c r="HMI16" s="256" t="s">
        <v>77</v>
      </c>
      <c r="HMJ16" s="256" t="s">
        <v>78</v>
      </c>
      <c r="HMK16" s="256" t="s">
        <v>79</v>
      </c>
      <c r="HML16" s="256" t="s">
        <v>80</v>
      </c>
      <c r="HMM16" s="58" t="s">
        <v>81</v>
      </c>
      <c r="HMN16" s="284"/>
      <c r="HMO16" s="259" t="s">
        <v>55</v>
      </c>
      <c r="HMP16" s="256" t="s">
        <v>76</v>
      </c>
      <c r="HMQ16" s="256" t="s">
        <v>77</v>
      </c>
      <c r="HMR16" s="256" t="s">
        <v>78</v>
      </c>
      <c r="HMS16" s="256" t="s">
        <v>79</v>
      </c>
      <c r="HMT16" s="256" t="s">
        <v>80</v>
      </c>
      <c r="HMU16" s="256" t="s">
        <v>81</v>
      </c>
      <c r="HMV16" s="283"/>
      <c r="HMW16" s="259" t="s">
        <v>55</v>
      </c>
      <c r="HMX16" s="256" t="s">
        <v>76</v>
      </c>
      <c r="HMY16" s="256" t="s">
        <v>77</v>
      </c>
      <c r="HMZ16" s="256" t="s">
        <v>78</v>
      </c>
      <c r="HNA16" s="256" t="s">
        <v>79</v>
      </c>
      <c r="HNB16" s="256" t="s">
        <v>80</v>
      </c>
      <c r="HNC16" s="58" t="s">
        <v>81</v>
      </c>
      <c r="HND16" s="284"/>
      <c r="HNE16" s="259" t="s">
        <v>55</v>
      </c>
      <c r="HNF16" s="256" t="s">
        <v>76</v>
      </c>
      <c r="HNG16" s="256" t="s">
        <v>77</v>
      </c>
      <c r="HNH16" s="256" t="s">
        <v>78</v>
      </c>
      <c r="HNI16" s="256" t="s">
        <v>79</v>
      </c>
      <c r="HNJ16" s="256" t="s">
        <v>80</v>
      </c>
      <c r="HNK16" s="256" t="s">
        <v>81</v>
      </c>
      <c r="HNL16" s="283"/>
      <c r="HNM16" s="259" t="s">
        <v>55</v>
      </c>
      <c r="HNN16" s="256" t="s">
        <v>76</v>
      </c>
      <c r="HNO16" s="256" t="s">
        <v>77</v>
      </c>
      <c r="HNP16" s="256" t="s">
        <v>78</v>
      </c>
      <c r="HNQ16" s="256" t="s">
        <v>79</v>
      </c>
      <c r="HNR16" s="256" t="s">
        <v>80</v>
      </c>
      <c r="HNS16" s="58" t="s">
        <v>81</v>
      </c>
      <c r="HNT16" s="284"/>
      <c r="HNU16" s="259" t="s">
        <v>55</v>
      </c>
      <c r="HNV16" s="256" t="s">
        <v>76</v>
      </c>
      <c r="HNW16" s="256" t="s">
        <v>77</v>
      </c>
      <c r="HNX16" s="256" t="s">
        <v>78</v>
      </c>
      <c r="HNY16" s="256" t="s">
        <v>79</v>
      </c>
      <c r="HNZ16" s="256" t="s">
        <v>80</v>
      </c>
      <c r="HOA16" s="256" t="s">
        <v>81</v>
      </c>
      <c r="HOB16" s="283"/>
      <c r="HOC16" s="259" t="s">
        <v>55</v>
      </c>
      <c r="HOD16" s="256" t="s">
        <v>76</v>
      </c>
      <c r="HOE16" s="256" t="s">
        <v>77</v>
      </c>
      <c r="HOF16" s="256" t="s">
        <v>78</v>
      </c>
      <c r="HOG16" s="256" t="s">
        <v>79</v>
      </c>
      <c r="HOH16" s="256" t="s">
        <v>80</v>
      </c>
      <c r="HOI16" s="58" t="s">
        <v>81</v>
      </c>
      <c r="HOJ16" s="284"/>
      <c r="HOK16" s="259" t="s">
        <v>55</v>
      </c>
      <c r="HOL16" s="256" t="s">
        <v>76</v>
      </c>
      <c r="HOM16" s="256" t="s">
        <v>77</v>
      </c>
      <c r="HON16" s="256" t="s">
        <v>78</v>
      </c>
      <c r="HOO16" s="256" t="s">
        <v>79</v>
      </c>
      <c r="HOP16" s="256" t="s">
        <v>80</v>
      </c>
      <c r="HOQ16" s="256" t="s">
        <v>81</v>
      </c>
      <c r="HOR16" s="283"/>
      <c r="HOS16" s="259" t="s">
        <v>55</v>
      </c>
      <c r="HOT16" s="256" t="s">
        <v>76</v>
      </c>
      <c r="HOU16" s="256" t="s">
        <v>77</v>
      </c>
      <c r="HOV16" s="256" t="s">
        <v>78</v>
      </c>
      <c r="HOW16" s="256" t="s">
        <v>79</v>
      </c>
      <c r="HOX16" s="256" t="s">
        <v>80</v>
      </c>
      <c r="HOY16" s="58" t="s">
        <v>81</v>
      </c>
      <c r="HOZ16" s="284"/>
      <c r="HPA16" s="259" t="s">
        <v>55</v>
      </c>
      <c r="HPB16" s="256" t="s">
        <v>76</v>
      </c>
      <c r="HPC16" s="256" t="s">
        <v>77</v>
      </c>
      <c r="HPD16" s="256" t="s">
        <v>78</v>
      </c>
      <c r="HPE16" s="256" t="s">
        <v>79</v>
      </c>
      <c r="HPF16" s="256" t="s">
        <v>80</v>
      </c>
      <c r="HPG16" s="256" t="s">
        <v>81</v>
      </c>
      <c r="HPH16" s="283"/>
      <c r="HPI16" s="259" t="s">
        <v>55</v>
      </c>
      <c r="HPJ16" s="256" t="s">
        <v>76</v>
      </c>
      <c r="HPK16" s="256" t="s">
        <v>77</v>
      </c>
      <c r="HPL16" s="256" t="s">
        <v>78</v>
      </c>
      <c r="HPM16" s="256" t="s">
        <v>79</v>
      </c>
      <c r="HPN16" s="256" t="s">
        <v>80</v>
      </c>
      <c r="HPO16" s="58" t="s">
        <v>81</v>
      </c>
      <c r="HPP16" s="284"/>
      <c r="HPQ16" s="259" t="s">
        <v>55</v>
      </c>
      <c r="HPR16" s="256" t="s">
        <v>76</v>
      </c>
      <c r="HPS16" s="256" t="s">
        <v>77</v>
      </c>
      <c r="HPT16" s="256" t="s">
        <v>78</v>
      </c>
      <c r="HPU16" s="256" t="s">
        <v>79</v>
      </c>
      <c r="HPV16" s="256" t="s">
        <v>80</v>
      </c>
      <c r="HPW16" s="256" t="s">
        <v>81</v>
      </c>
      <c r="HPX16" s="283"/>
      <c r="HPY16" s="259" t="s">
        <v>55</v>
      </c>
      <c r="HPZ16" s="256" t="s">
        <v>76</v>
      </c>
      <c r="HQA16" s="256" t="s">
        <v>77</v>
      </c>
      <c r="HQB16" s="256" t="s">
        <v>78</v>
      </c>
      <c r="HQC16" s="256" t="s">
        <v>79</v>
      </c>
      <c r="HQD16" s="256" t="s">
        <v>80</v>
      </c>
      <c r="HQE16" s="58" t="s">
        <v>81</v>
      </c>
      <c r="HQF16" s="284"/>
      <c r="HQG16" s="259" t="s">
        <v>55</v>
      </c>
      <c r="HQH16" s="256" t="s">
        <v>76</v>
      </c>
      <c r="HQI16" s="256" t="s">
        <v>77</v>
      </c>
      <c r="HQJ16" s="256" t="s">
        <v>78</v>
      </c>
      <c r="HQK16" s="256" t="s">
        <v>79</v>
      </c>
      <c r="HQL16" s="256" t="s">
        <v>80</v>
      </c>
      <c r="HQM16" s="256" t="s">
        <v>81</v>
      </c>
      <c r="HQN16" s="283"/>
      <c r="HQO16" s="259" t="s">
        <v>55</v>
      </c>
      <c r="HQP16" s="256" t="s">
        <v>76</v>
      </c>
      <c r="HQQ16" s="256" t="s">
        <v>77</v>
      </c>
      <c r="HQR16" s="256" t="s">
        <v>78</v>
      </c>
      <c r="HQS16" s="256" t="s">
        <v>79</v>
      </c>
      <c r="HQT16" s="256" t="s">
        <v>80</v>
      </c>
      <c r="HQU16" s="58" t="s">
        <v>81</v>
      </c>
      <c r="HQV16" s="284"/>
      <c r="HQW16" s="259" t="s">
        <v>55</v>
      </c>
      <c r="HQX16" s="256" t="s">
        <v>76</v>
      </c>
      <c r="HQY16" s="256" t="s">
        <v>77</v>
      </c>
      <c r="HQZ16" s="256" t="s">
        <v>78</v>
      </c>
      <c r="HRA16" s="256" t="s">
        <v>79</v>
      </c>
      <c r="HRB16" s="256" t="s">
        <v>80</v>
      </c>
      <c r="HRC16" s="256" t="s">
        <v>81</v>
      </c>
      <c r="HRD16" s="283"/>
      <c r="HRE16" s="259" t="s">
        <v>55</v>
      </c>
      <c r="HRF16" s="256" t="s">
        <v>76</v>
      </c>
      <c r="HRG16" s="256" t="s">
        <v>77</v>
      </c>
      <c r="HRH16" s="256" t="s">
        <v>78</v>
      </c>
      <c r="HRI16" s="256" t="s">
        <v>79</v>
      </c>
      <c r="HRJ16" s="256" t="s">
        <v>80</v>
      </c>
      <c r="HRK16" s="58" t="s">
        <v>81</v>
      </c>
      <c r="HRL16" s="284"/>
      <c r="HRM16" s="259" t="s">
        <v>55</v>
      </c>
      <c r="HRN16" s="256" t="s">
        <v>76</v>
      </c>
      <c r="HRO16" s="256" t="s">
        <v>77</v>
      </c>
      <c r="HRP16" s="256" t="s">
        <v>78</v>
      </c>
      <c r="HRQ16" s="256" t="s">
        <v>79</v>
      </c>
      <c r="HRR16" s="256" t="s">
        <v>80</v>
      </c>
      <c r="HRS16" s="256" t="s">
        <v>81</v>
      </c>
      <c r="HRT16" s="283"/>
      <c r="HRU16" s="259" t="s">
        <v>55</v>
      </c>
      <c r="HRV16" s="256" t="s">
        <v>76</v>
      </c>
      <c r="HRW16" s="256" t="s">
        <v>77</v>
      </c>
      <c r="HRX16" s="256" t="s">
        <v>78</v>
      </c>
      <c r="HRY16" s="256" t="s">
        <v>79</v>
      </c>
      <c r="HRZ16" s="256" t="s">
        <v>80</v>
      </c>
      <c r="HSA16" s="58" t="s">
        <v>81</v>
      </c>
      <c r="HSB16" s="284"/>
      <c r="HSC16" s="259" t="s">
        <v>55</v>
      </c>
      <c r="HSD16" s="256" t="s">
        <v>76</v>
      </c>
      <c r="HSE16" s="256" t="s">
        <v>77</v>
      </c>
      <c r="HSF16" s="256" t="s">
        <v>78</v>
      </c>
      <c r="HSG16" s="256" t="s">
        <v>79</v>
      </c>
      <c r="HSH16" s="256" t="s">
        <v>80</v>
      </c>
      <c r="HSI16" s="256" t="s">
        <v>81</v>
      </c>
      <c r="HSJ16" s="283"/>
      <c r="HSK16" s="259" t="s">
        <v>55</v>
      </c>
      <c r="HSL16" s="256" t="s">
        <v>76</v>
      </c>
      <c r="HSM16" s="256" t="s">
        <v>77</v>
      </c>
      <c r="HSN16" s="256" t="s">
        <v>78</v>
      </c>
      <c r="HSO16" s="256" t="s">
        <v>79</v>
      </c>
      <c r="HSP16" s="256" t="s">
        <v>80</v>
      </c>
      <c r="HSQ16" s="58" t="s">
        <v>81</v>
      </c>
      <c r="HSR16" s="284"/>
      <c r="HSS16" s="259" t="s">
        <v>55</v>
      </c>
      <c r="HST16" s="256" t="s">
        <v>76</v>
      </c>
      <c r="HSU16" s="256" t="s">
        <v>77</v>
      </c>
      <c r="HSV16" s="256" t="s">
        <v>78</v>
      </c>
      <c r="HSW16" s="256" t="s">
        <v>79</v>
      </c>
      <c r="HSX16" s="256" t="s">
        <v>80</v>
      </c>
      <c r="HSY16" s="256" t="s">
        <v>81</v>
      </c>
      <c r="HSZ16" s="283"/>
      <c r="HTA16" s="259" t="s">
        <v>55</v>
      </c>
      <c r="HTB16" s="256" t="s">
        <v>76</v>
      </c>
      <c r="HTC16" s="256" t="s">
        <v>77</v>
      </c>
      <c r="HTD16" s="256" t="s">
        <v>78</v>
      </c>
      <c r="HTE16" s="256" t="s">
        <v>79</v>
      </c>
      <c r="HTF16" s="256" t="s">
        <v>80</v>
      </c>
      <c r="HTG16" s="58" t="s">
        <v>81</v>
      </c>
      <c r="HTH16" s="284"/>
      <c r="HTI16" s="259" t="s">
        <v>55</v>
      </c>
      <c r="HTJ16" s="256" t="s">
        <v>76</v>
      </c>
      <c r="HTK16" s="256" t="s">
        <v>77</v>
      </c>
      <c r="HTL16" s="256" t="s">
        <v>78</v>
      </c>
      <c r="HTM16" s="256" t="s">
        <v>79</v>
      </c>
      <c r="HTN16" s="256" t="s">
        <v>80</v>
      </c>
      <c r="HTO16" s="256" t="s">
        <v>81</v>
      </c>
      <c r="HTP16" s="283"/>
      <c r="HTQ16" s="259" t="s">
        <v>55</v>
      </c>
      <c r="HTR16" s="256" t="s">
        <v>76</v>
      </c>
      <c r="HTS16" s="256" t="s">
        <v>77</v>
      </c>
      <c r="HTT16" s="256" t="s">
        <v>78</v>
      </c>
      <c r="HTU16" s="256" t="s">
        <v>79</v>
      </c>
      <c r="HTV16" s="256" t="s">
        <v>80</v>
      </c>
      <c r="HTW16" s="58" t="s">
        <v>81</v>
      </c>
      <c r="HTX16" s="284"/>
      <c r="HTY16" s="259" t="s">
        <v>55</v>
      </c>
      <c r="HTZ16" s="256" t="s">
        <v>76</v>
      </c>
      <c r="HUA16" s="256" t="s">
        <v>77</v>
      </c>
      <c r="HUB16" s="256" t="s">
        <v>78</v>
      </c>
      <c r="HUC16" s="256" t="s">
        <v>79</v>
      </c>
      <c r="HUD16" s="256" t="s">
        <v>80</v>
      </c>
      <c r="HUE16" s="256" t="s">
        <v>81</v>
      </c>
      <c r="HUF16" s="283"/>
      <c r="HUG16" s="259" t="s">
        <v>55</v>
      </c>
      <c r="HUH16" s="256" t="s">
        <v>76</v>
      </c>
      <c r="HUI16" s="256" t="s">
        <v>77</v>
      </c>
      <c r="HUJ16" s="256" t="s">
        <v>78</v>
      </c>
      <c r="HUK16" s="256" t="s">
        <v>79</v>
      </c>
      <c r="HUL16" s="256" t="s">
        <v>80</v>
      </c>
      <c r="HUM16" s="58" t="s">
        <v>81</v>
      </c>
      <c r="HUN16" s="284"/>
      <c r="HUO16" s="259" t="s">
        <v>55</v>
      </c>
      <c r="HUP16" s="256" t="s">
        <v>76</v>
      </c>
      <c r="HUQ16" s="256" t="s">
        <v>77</v>
      </c>
      <c r="HUR16" s="256" t="s">
        <v>78</v>
      </c>
      <c r="HUS16" s="256" t="s">
        <v>79</v>
      </c>
      <c r="HUT16" s="256" t="s">
        <v>80</v>
      </c>
      <c r="HUU16" s="256" t="s">
        <v>81</v>
      </c>
      <c r="HUV16" s="283"/>
      <c r="HUW16" s="259" t="s">
        <v>55</v>
      </c>
      <c r="HUX16" s="256" t="s">
        <v>76</v>
      </c>
      <c r="HUY16" s="256" t="s">
        <v>77</v>
      </c>
      <c r="HUZ16" s="256" t="s">
        <v>78</v>
      </c>
      <c r="HVA16" s="256" t="s">
        <v>79</v>
      </c>
      <c r="HVB16" s="256" t="s">
        <v>80</v>
      </c>
      <c r="HVC16" s="58" t="s">
        <v>81</v>
      </c>
      <c r="HVD16" s="284"/>
      <c r="HVE16" s="259" t="s">
        <v>55</v>
      </c>
      <c r="HVF16" s="256" t="s">
        <v>76</v>
      </c>
      <c r="HVG16" s="256" t="s">
        <v>77</v>
      </c>
      <c r="HVH16" s="256" t="s">
        <v>78</v>
      </c>
      <c r="HVI16" s="256" t="s">
        <v>79</v>
      </c>
      <c r="HVJ16" s="256" t="s">
        <v>80</v>
      </c>
      <c r="HVK16" s="256" t="s">
        <v>81</v>
      </c>
      <c r="HVL16" s="283"/>
      <c r="HVM16" s="259" t="s">
        <v>55</v>
      </c>
      <c r="HVN16" s="256" t="s">
        <v>76</v>
      </c>
      <c r="HVO16" s="256" t="s">
        <v>77</v>
      </c>
      <c r="HVP16" s="256" t="s">
        <v>78</v>
      </c>
      <c r="HVQ16" s="256" t="s">
        <v>79</v>
      </c>
      <c r="HVR16" s="256" t="s">
        <v>80</v>
      </c>
      <c r="HVS16" s="58" t="s">
        <v>81</v>
      </c>
      <c r="HVT16" s="284"/>
      <c r="HVU16" s="259" t="s">
        <v>55</v>
      </c>
      <c r="HVV16" s="256" t="s">
        <v>76</v>
      </c>
      <c r="HVW16" s="256" t="s">
        <v>77</v>
      </c>
      <c r="HVX16" s="256" t="s">
        <v>78</v>
      </c>
      <c r="HVY16" s="256" t="s">
        <v>79</v>
      </c>
      <c r="HVZ16" s="256" t="s">
        <v>80</v>
      </c>
      <c r="HWA16" s="256" t="s">
        <v>81</v>
      </c>
      <c r="HWB16" s="283"/>
      <c r="HWC16" s="259" t="s">
        <v>55</v>
      </c>
      <c r="HWD16" s="256" t="s">
        <v>76</v>
      </c>
      <c r="HWE16" s="256" t="s">
        <v>77</v>
      </c>
      <c r="HWF16" s="256" t="s">
        <v>78</v>
      </c>
      <c r="HWG16" s="256" t="s">
        <v>79</v>
      </c>
      <c r="HWH16" s="256" t="s">
        <v>80</v>
      </c>
      <c r="HWI16" s="58" t="s">
        <v>81</v>
      </c>
      <c r="HWJ16" s="284"/>
      <c r="HWK16" s="259" t="s">
        <v>55</v>
      </c>
      <c r="HWL16" s="256" t="s">
        <v>76</v>
      </c>
      <c r="HWM16" s="256" t="s">
        <v>77</v>
      </c>
      <c r="HWN16" s="256" t="s">
        <v>78</v>
      </c>
      <c r="HWO16" s="256" t="s">
        <v>79</v>
      </c>
      <c r="HWP16" s="256" t="s">
        <v>80</v>
      </c>
      <c r="HWQ16" s="256" t="s">
        <v>81</v>
      </c>
      <c r="HWR16" s="283"/>
      <c r="HWS16" s="259" t="s">
        <v>55</v>
      </c>
      <c r="HWT16" s="256" t="s">
        <v>76</v>
      </c>
      <c r="HWU16" s="256" t="s">
        <v>77</v>
      </c>
      <c r="HWV16" s="256" t="s">
        <v>78</v>
      </c>
      <c r="HWW16" s="256" t="s">
        <v>79</v>
      </c>
      <c r="HWX16" s="256" t="s">
        <v>80</v>
      </c>
      <c r="HWY16" s="58" t="s">
        <v>81</v>
      </c>
      <c r="HWZ16" s="284"/>
      <c r="HXA16" s="259" t="s">
        <v>55</v>
      </c>
      <c r="HXB16" s="256" t="s">
        <v>76</v>
      </c>
      <c r="HXC16" s="256" t="s">
        <v>77</v>
      </c>
      <c r="HXD16" s="256" t="s">
        <v>78</v>
      </c>
      <c r="HXE16" s="256" t="s">
        <v>79</v>
      </c>
      <c r="HXF16" s="256" t="s">
        <v>80</v>
      </c>
      <c r="HXG16" s="256" t="s">
        <v>81</v>
      </c>
      <c r="HXH16" s="283"/>
      <c r="HXI16" s="259" t="s">
        <v>55</v>
      </c>
      <c r="HXJ16" s="256" t="s">
        <v>76</v>
      </c>
      <c r="HXK16" s="256" t="s">
        <v>77</v>
      </c>
      <c r="HXL16" s="256" t="s">
        <v>78</v>
      </c>
      <c r="HXM16" s="256" t="s">
        <v>79</v>
      </c>
      <c r="HXN16" s="256" t="s">
        <v>80</v>
      </c>
      <c r="HXO16" s="58" t="s">
        <v>81</v>
      </c>
      <c r="HXP16" s="284"/>
      <c r="HXQ16" s="259" t="s">
        <v>55</v>
      </c>
      <c r="HXR16" s="256" t="s">
        <v>76</v>
      </c>
      <c r="HXS16" s="256" t="s">
        <v>77</v>
      </c>
      <c r="HXT16" s="256" t="s">
        <v>78</v>
      </c>
      <c r="HXU16" s="256" t="s">
        <v>79</v>
      </c>
      <c r="HXV16" s="256" t="s">
        <v>80</v>
      </c>
      <c r="HXW16" s="256" t="s">
        <v>81</v>
      </c>
      <c r="HXX16" s="283"/>
      <c r="HXY16" s="259" t="s">
        <v>55</v>
      </c>
      <c r="HXZ16" s="256" t="s">
        <v>76</v>
      </c>
      <c r="HYA16" s="256" t="s">
        <v>77</v>
      </c>
      <c r="HYB16" s="256" t="s">
        <v>78</v>
      </c>
      <c r="HYC16" s="256" t="s">
        <v>79</v>
      </c>
      <c r="HYD16" s="256" t="s">
        <v>80</v>
      </c>
      <c r="HYE16" s="58" t="s">
        <v>81</v>
      </c>
      <c r="HYF16" s="284"/>
      <c r="HYG16" s="259" t="s">
        <v>55</v>
      </c>
      <c r="HYH16" s="256" t="s">
        <v>76</v>
      </c>
      <c r="HYI16" s="256" t="s">
        <v>77</v>
      </c>
      <c r="HYJ16" s="256" t="s">
        <v>78</v>
      </c>
      <c r="HYK16" s="256" t="s">
        <v>79</v>
      </c>
      <c r="HYL16" s="256" t="s">
        <v>80</v>
      </c>
      <c r="HYM16" s="256" t="s">
        <v>81</v>
      </c>
      <c r="HYN16" s="283"/>
      <c r="HYO16" s="259" t="s">
        <v>55</v>
      </c>
      <c r="HYP16" s="256" t="s">
        <v>76</v>
      </c>
      <c r="HYQ16" s="256" t="s">
        <v>77</v>
      </c>
      <c r="HYR16" s="256" t="s">
        <v>78</v>
      </c>
      <c r="HYS16" s="256" t="s">
        <v>79</v>
      </c>
      <c r="HYT16" s="256" t="s">
        <v>80</v>
      </c>
      <c r="HYU16" s="58" t="s">
        <v>81</v>
      </c>
      <c r="HYV16" s="284"/>
      <c r="HYW16" s="259" t="s">
        <v>55</v>
      </c>
      <c r="HYX16" s="256" t="s">
        <v>76</v>
      </c>
      <c r="HYY16" s="256" t="s">
        <v>77</v>
      </c>
      <c r="HYZ16" s="256" t="s">
        <v>78</v>
      </c>
      <c r="HZA16" s="256" t="s">
        <v>79</v>
      </c>
      <c r="HZB16" s="256" t="s">
        <v>80</v>
      </c>
      <c r="HZC16" s="256" t="s">
        <v>81</v>
      </c>
      <c r="HZD16" s="283"/>
      <c r="HZE16" s="259" t="s">
        <v>55</v>
      </c>
      <c r="HZF16" s="256" t="s">
        <v>76</v>
      </c>
      <c r="HZG16" s="256" t="s">
        <v>77</v>
      </c>
      <c r="HZH16" s="256" t="s">
        <v>78</v>
      </c>
      <c r="HZI16" s="256" t="s">
        <v>79</v>
      </c>
      <c r="HZJ16" s="256" t="s">
        <v>80</v>
      </c>
      <c r="HZK16" s="58" t="s">
        <v>81</v>
      </c>
      <c r="HZL16" s="284"/>
      <c r="HZM16" s="259" t="s">
        <v>55</v>
      </c>
      <c r="HZN16" s="256" t="s">
        <v>76</v>
      </c>
      <c r="HZO16" s="256" t="s">
        <v>77</v>
      </c>
      <c r="HZP16" s="256" t="s">
        <v>78</v>
      </c>
      <c r="HZQ16" s="256" t="s">
        <v>79</v>
      </c>
      <c r="HZR16" s="256" t="s">
        <v>80</v>
      </c>
      <c r="HZS16" s="256" t="s">
        <v>81</v>
      </c>
      <c r="HZT16" s="283"/>
      <c r="HZU16" s="259" t="s">
        <v>55</v>
      </c>
      <c r="HZV16" s="256" t="s">
        <v>76</v>
      </c>
      <c r="HZW16" s="256" t="s">
        <v>77</v>
      </c>
      <c r="HZX16" s="256" t="s">
        <v>78</v>
      </c>
      <c r="HZY16" s="256" t="s">
        <v>79</v>
      </c>
      <c r="HZZ16" s="256" t="s">
        <v>80</v>
      </c>
      <c r="IAA16" s="58" t="s">
        <v>81</v>
      </c>
      <c r="IAB16" s="284"/>
      <c r="IAC16" s="259" t="s">
        <v>55</v>
      </c>
      <c r="IAD16" s="256" t="s">
        <v>76</v>
      </c>
      <c r="IAE16" s="256" t="s">
        <v>77</v>
      </c>
      <c r="IAF16" s="256" t="s">
        <v>78</v>
      </c>
      <c r="IAG16" s="256" t="s">
        <v>79</v>
      </c>
      <c r="IAH16" s="256" t="s">
        <v>80</v>
      </c>
      <c r="IAI16" s="256" t="s">
        <v>81</v>
      </c>
      <c r="IAJ16" s="283"/>
      <c r="IAK16" s="259" t="s">
        <v>55</v>
      </c>
      <c r="IAL16" s="256" t="s">
        <v>76</v>
      </c>
      <c r="IAM16" s="256" t="s">
        <v>77</v>
      </c>
      <c r="IAN16" s="256" t="s">
        <v>78</v>
      </c>
      <c r="IAO16" s="256" t="s">
        <v>79</v>
      </c>
      <c r="IAP16" s="256" t="s">
        <v>80</v>
      </c>
      <c r="IAQ16" s="58" t="s">
        <v>81</v>
      </c>
      <c r="IAR16" s="284"/>
      <c r="IAS16" s="259" t="s">
        <v>55</v>
      </c>
      <c r="IAT16" s="256" t="s">
        <v>76</v>
      </c>
      <c r="IAU16" s="256" t="s">
        <v>77</v>
      </c>
      <c r="IAV16" s="256" t="s">
        <v>78</v>
      </c>
      <c r="IAW16" s="256" t="s">
        <v>79</v>
      </c>
      <c r="IAX16" s="256" t="s">
        <v>80</v>
      </c>
      <c r="IAY16" s="256" t="s">
        <v>81</v>
      </c>
      <c r="IAZ16" s="283"/>
      <c r="IBA16" s="259" t="s">
        <v>55</v>
      </c>
      <c r="IBB16" s="256" t="s">
        <v>76</v>
      </c>
      <c r="IBC16" s="256" t="s">
        <v>77</v>
      </c>
      <c r="IBD16" s="256" t="s">
        <v>78</v>
      </c>
      <c r="IBE16" s="256" t="s">
        <v>79</v>
      </c>
      <c r="IBF16" s="256" t="s">
        <v>80</v>
      </c>
      <c r="IBG16" s="58" t="s">
        <v>81</v>
      </c>
      <c r="IBH16" s="284"/>
      <c r="IBI16" s="259" t="s">
        <v>55</v>
      </c>
      <c r="IBJ16" s="256" t="s">
        <v>76</v>
      </c>
      <c r="IBK16" s="256" t="s">
        <v>77</v>
      </c>
      <c r="IBL16" s="256" t="s">
        <v>78</v>
      </c>
      <c r="IBM16" s="256" t="s">
        <v>79</v>
      </c>
      <c r="IBN16" s="256" t="s">
        <v>80</v>
      </c>
      <c r="IBO16" s="256" t="s">
        <v>81</v>
      </c>
      <c r="IBP16" s="283"/>
      <c r="IBQ16" s="259" t="s">
        <v>55</v>
      </c>
      <c r="IBR16" s="256" t="s">
        <v>76</v>
      </c>
      <c r="IBS16" s="256" t="s">
        <v>77</v>
      </c>
      <c r="IBT16" s="256" t="s">
        <v>78</v>
      </c>
      <c r="IBU16" s="256" t="s">
        <v>79</v>
      </c>
      <c r="IBV16" s="256" t="s">
        <v>80</v>
      </c>
      <c r="IBW16" s="58" t="s">
        <v>81</v>
      </c>
      <c r="IBX16" s="284"/>
      <c r="IBY16" s="259" t="s">
        <v>55</v>
      </c>
      <c r="IBZ16" s="256" t="s">
        <v>76</v>
      </c>
      <c r="ICA16" s="256" t="s">
        <v>77</v>
      </c>
      <c r="ICB16" s="256" t="s">
        <v>78</v>
      </c>
      <c r="ICC16" s="256" t="s">
        <v>79</v>
      </c>
      <c r="ICD16" s="256" t="s">
        <v>80</v>
      </c>
      <c r="ICE16" s="256" t="s">
        <v>81</v>
      </c>
      <c r="ICF16" s="283"/>
      <c r="ICG16" s="259" t="s">
        <v>55</v>
      </c>
      <c r="ICH16" s="256" t="s">
        <v>76</v>
      </c>
      <c r="ICI16" s="256" t="s">
        <v>77</v>
      </c>
      <c r="ICJ16" s="256" t="s">
        <v>78</v>
      </c>
      <c r="ICK16" s="256" t="s">
        <v>79</v>
      </c>
      <c r="ICL16" s="256" t="s">
        <v>80</v>
      </c>
      <c r="ICM16" s="58" t="s">
        <v>81</v>
      </c>
      <c r="ICN16" s="284"/>
      <c r="ICO16" s="259" t="s">
        <v>55</v>
      </c>
      <c r="ICP16" s="256" t="s">
        <v>76</v>
      </c>
      <c r="ICQ16" s="256" t="s">
        <v>77</v>
      </c>
      <c r="ICR16" s="256" t="s">
        <v>78</v>
      </c>
      <c r="ICS16" s="256" t="s">
        <v>79</v>
      </c>
      <c r="ICT16" s="256" t="s">
        <v>80</v>
      </c>
      <c r="ICU16" s="256" t="s">
        <v>81</v>
      </c>
      <c r="ICV16" s="283"/>
      <c r="ICW16" s="259" t="s">
        <v>55</v>
      </c>
      <c r="ICX16" s="256" t="s">
        <v>76</v>
      </c>
      <c r="ICY16" s="256" t="s">
        <v>77</v>
      </c>
      <c r="ICZ16" s="256" t="s">
        <v>78</v>
      </c>
      <c r="IDA16" s="256" t="s">
        <v>79</v>
      </c>
      <c r="IDB16" s="256" t="s">
        <v>80</v>
      </c>
      <c r="IDC16" s="58" t="s">
        <v>81</v>
      </c>
      <c r="IDD16" s="284"/>
      <c r="IDE16" s="259" t="s">
        <v>55</v>
      </c>
      <c r="IDF16" s="256" t="s">
        <v>76</v>
      </c>
      <c r="IDG16" s="256" t="s">
        <v>77</v>
      </c>
      <c r="IDH16" s="256" t="s">
        <v>78</v>
      </c>
      <c r="IDI16" s="256" t="s">
        <v>79</v>
      </c>
      <c r="IDJ16" s="256" t="s">
        <v>80</v>
      </c>
      <c r="IDK16" s="256" t="s">
        <v>81</v>
      </c>
      <c r="IDL16" s="283"/>
      <c r="IDM16" s="259" t="s">
        <v>55</v>
      </c>
      <c r="IDN16" s="256" t="s">
        <v>76</v>
      </c>
      <c r="IDO16" s="256" t="s">
        <v>77</v>
      </c>
      <c r="IDP16" s="256" t="s">
        <v>78</v>
      </c>
      <c r="IDQ16" s="256" t="s">
        <v>79</v>
      </c>
      <c r="IDR16" s="256" t="s">
        <v>80</v>
      </c>
      <c r="IDS16" s="58" t="s">
        <v>81</v>
      </c>
      <c r="IDT16" s="284"/>
      <c r="IDU16" s="259" t="s">
        <v>55</v>
      </c>
      <c r="IDV16" s="256" t="s">
        <v>76</v>
      </c>
      <c r="IDW16" s="256" t="s">
        <v>77</v>
      </c>
      <c r="IDX16" s="256" t="s">
        <v>78</v>
      </c>
      <c r="IDY16" s="256" t="s">
        <v>79</v>
      </c>
      <c r="IDZ16" s="256" t="s">
        <v>80</v>
      </c>
      <c r="IEA16" s="256" t="s">
        <v>81</v>
      </c>
      <c r="IEB16" s="283"/>
      <c r="IEC16" s="259" t="s">
        <v>55</v>
      </c>
      <c r="IED16" s="256" t="s">
        <v>76</v>
      </c>
      <c r="IEE16" s="256" t="s">
        <v>77</v>
      </c>
      <c r="IEF16" s="256" t="s">
        <v>78</v>
      </c>
      <c r="IEG16" s="256" t="s">
        <v>79</v>
      </c>
      <c r="IEH16" s="256" t="s">
        <v>80</v>
      </c>
      <c r="IEI16" s="58" t="s">
        <v>81</v>
      </c>
      <c r="IEJ16" s="284"/>
      <c r="IEK16" s="259" t="s">
        <v>55</v>
      </c>
      <c r="IEL16" s="256" t="s">
        <v>76</v>
      </c>
      <c r="IEM16" s="256" t="s">
        <v>77</v>
      </c>
      <c r="IEN16" s="256" t="s">
        <v>78</v>
      </c>
      <c r="IEO16" s="256" t="s">
        <v>79</v>
      </c>
      <c r="IEP16" s="256" t="s">
        <v>80</v>
      </c>
      <c r="IEQ16" s="256" t="s">
        <v>81</v>
      </c>
      <c r="IER16" s="283"/>
      <c r="IES16" s="259" t="s">
        <v>55</v>
      </c>
      <c r="IET16" s="256" t="s">
        <v>76</v>
      </c>
      <c r="IEU16" s="256" t="s">
        <v>77</v>
      </c>
      <c r="IEV16" s="256" t="s">
        <v>78</v>
      </c>
      <c r="IEW16" s="256" t="s">
        <v>79</v>
      </c>
      <c r="IEX16" s="256" t="s">
        <v>80</v>
      </c>
      <c r="IEY16" s="58" t="s">
        <v>81</v>
      </c>
      <c r="IEZ16" s="284"/>
      <c r="IFA16" s="259" t="s">
        <v>55</v>
      </c>
      <c r="IFB16" s="256" t="s">
        <v>76</v>
      </c>
      <c r="IFC16" s="256" t="s">
        <v>77</v>
      </c>
      <c r="IFD16" s="256" t="s">
        <v>78</v>
      </c>
      <c r="IFE16" s="256" t="s">
        <v>79</v>
      </c>
      <c r="IFF16" s="256" t="s">
        <v>80</v>
      </c>
      <c r="IFG16" s="256" t="s">
        <v>81</v>
      </c>
      <c r="IFH16" s="283"/>
      <c r="IFI16" s="259" t="s">
        <v>55</v>
      </c>
      <c r="IFJ16" s="256" t="s">
        <v>76</v>
      </c>
      <c r="IFK16" s="256" t="s">
        <v>77</v>
      </c>
      <c r="IFL16" s="256" t="s">
        <v>78</v>
      </c>
      <c r="IFM16" s="256" t="s">
        <v>79</v>
      </c>
      <c r="IFN16" s="256" t="s">
        <v>80</v>
      </c>
      <c r="IFO16" s="58" t="s">
        <v>81</v>
      </c>
      <c r="IFP16" s="284"/>
      <c r="IFQ16" s="259" t="s">
        <v>55</v>
      </c>
      <c r="IFR16" s="256" t="s">
        <v>76</v>
      </c>
      <c r="IFS16" s="256" t="s">
        <v>77</v>
      </c>
      <c r="IFT16" s="256" t="s">
        <v>78</v>
      </c>
      <c r="IFU16" s="256" t="s">
        <v>79</v>
      </c>
      <c r="IFV16" s="256" t="s">
        <v>80</v>
      </c>
      <c r="IFW16" s="256" t="s">
        <v>81</v>
      </c>
      <c r="IFX16" s="283"/>
      <c r="IFY16" s="259" t="s">
        <v>55</v>
      </c>
      <c r="IFZ16" s="256" t="s">
        <v>76</v>
      </c>
      <c r="IGA16" s="256" t="s">
        <v>77</v>
      </c>
      <c r="IGB16" s="256" t="s">
        <v>78</v>
      </c>
      <c r="IGC16" s="256" t="s">
        <v>79</v>
      </c>
      <c r="IGD16" s="256" t="s">
        <v>80</v>
      </c>
      <c r="IGE16" s="58" t="s">
        <v>81</v>
      </c>
      <c r="IGF16" s="284"/>
      <c r="IGG16" s="259" t="s">
        <v>55</v>
      </c>
      <c r="IGH16" s="256" t="s">
        <v>76</v>
      </c>
      <c r="IGI16" s="256" t="s">
        <v>77</v>
      </c>
      <c r="IGJ16" s="256" t="s">
        <v>78</v>
      </c>
      <c r="IGK16" s="256" t="s">
        <v>79</v>
      </c>
      <c r="IGL16" s="256" t="s">
        <v>80</v>
      </c>
      <c r="IGM16" s="256" t="s">
        <v>81</v>
      </c>
      <c r="IGN16" s="283"/>
      <c r="IGO16" s="259" t="s">
        <v>55</v>
      </c>
      <c r="IGP16" s="256" t="s">
        <v>76</v>
      </c>
      <c r="IGQ16" s="256" t="s">
        <v>77</v>
      </c>
      <c r="IGR16" s="256" t="s">
        <v>78</v>
      </c>
      <c r="IGS16" s="256" t="s">
        <v>79</v>
      </c>
      <c r="IGT16" s="256" t="s">
        <v>80</v>
      </c>
      <c r="IGU16" s="58" t="s">
        <v>81</v>
      </c>
      <c r="IGV16" s="284"/>
      <c r="IGW16" s="259" t="s">
        <v>55</v>
      </c>
      <c r="IGX16" s="256" t="s">
        <v>76</v>
      </c>
      <c r="IGY16" s="256" t="s">
        <v>77</v>
      </c>
      <c r="IGZ16" s="256" t="s">
        <v>78</v>
      </c>
      <c r="IHA16" s="256" t="s">
        <v>79</v>
      </c>
      <c r="IHB16" s="256" t="s">
        <v>80</v>
      </c>
      <c r="IHC16" s="256" t="s">
        <v>81</v>
      </c>
      <c r="IHD16" s="283"/>
      <c r="IHE16" s="259" t="s">
        <v>55</v>
      </c>
      <c r="IHF16" s="256" t="s">
        <v>76</v>
      </c>
      <c r="IHG16" s="256" t="s">
        <v>77</v>
      </c>
      <c r="IHH16" s="256" t="s">
        <v>78</v>
      </c>
      <c r="IHI16" s="256" t="s">
        <v>79</v>
      </c>
      <c r="IHJ16" s="256" t="s">
        <v>80</v>
      </c>
      <c r="IHK16" s="58" t="s">
        <v>81</v>
      </c>
      <c r="IHL16" s="284"/>
      <c r="IHM16" s="259" t="s">
        <v>55</v>
      </c>
      <c r="IHN16" s="256" t="s">
        <v>76</v>
      </c>
      <c r="IHO16" s="256" t="s">
        <v>77</v>
      </c>
      <c r="IHP16" s="256" t="s">
        <v>78</v>
      </c>
      <c r="IHQ16" s="256" t="s">
        <v>79</v>
      </c>
      <c r="IHR16" s="256" t="s">
        <v>80</v>
      </c>
      <c r="IHS16" s="256" t="s">
        <v>81</v>
      </c>
      <c r="IHT16" s="283"/>
      <c r="IHU16" s="259" t="s">
        <v>55</v>
      </c>
      <c r="IHV16" s="256" t="s">
        <v>76</v>
      </c>
      <c r="IHW16" s="256" t="s">
        <v>77</v>
      </c>
      <c r="IHX16" s="256" t="s">
        <v>78</v>
      </c>
      <c r="IHY16" s="256" t="s">
        <v>79</v>
      </c>
      <c r="IHZ16" s="256" t="s">
        <v>80</v>
      </c>
      <c r="IIA16" s="58" t="s">
        <v>81</v>
      </c>
      <c r="IIB16" s="284"/>
      <c r="IIC16" s="259" t="s">
        <v>55</v>
      </c>
      <c r="IID16" s="256" t="s">
        <v>76</v>
      </c>
      <c r="IIE16" s="256" t="s">
        <v>77</v>
      </c>
      <c r="IIF16" s="256" t="s">
        <v>78</v>
      </c>
      <c r="IIG16" s="256" t="s">
        <v>79</v>
      </c>
      <c r="IIH16" s="256" t="s">
        <v>80</v>
      </c>
      <c r="III16" s="256" t="s">
        <v>81</v>
      </c>
      <c r="IIJ16" s="283"/>
      <c r="IIK16" s="259" t="s">
        <v>55</v>
      </c>
      <c r="IIL16" s="256" t="s">
        <v>76</v>
      </c>
      <c r="IIM16" s="256" t="s">
        <v>77</v>
      </c>
      <c r="IIN16" s="256" t="s">
        <v>78</v>
      </c>
      <c r="IIO16" s="256" t="s">
        <v>79</v>
      </c>
      <c r="IIP16" s="256" t="s">
        <v>80</v>
      </c>
      <c r="IIQ16" s="58" t="s">
        <v>81</v>
      </c>
      <c r="IIR16" s="284"/>
      <c r="IIS16" s="259" t="s">
        <v>55</v>
      </c>
      <c r="IIT16" s="256" t="s">
        <v>76</v>
      </c>
      <c r="IIU16" s="256" t="s">
        <v>77</v>
      </c>
      <c r="IIV16" s="256" t="s">
        <v>78</v>
      </c>
      <c r="IIW16" s="256" t="s">
        <v>79</v>
      </c>
      <c r="IIX16" s="256" t="s">
        <v>80</v>
      </c>
      <c r="IIY16" s="256" t="s">
        <v>81</v>
      </c>
      <c r="IIZ16" s="283"/>
      <c r="IJA16" s="259" t="s">
        <v>55</v>
      </c>
      <c r="IJB16" s="256" t="s">
        <v>76</v>
      </c>
      <c r="IJC16" s="256" t="s">
        <v>77</v>
      </c>
      <c r="IJD16" s="256" t="s">
        <v>78</v>
      </c>
      <c r="IJE16" s="256" t="s">
        <v>79</v>
      </c>
      <c r="IJF16" s="256" t="s">
        <v>80</v>
      </c>
      <c r="IJG16" s="58" t="s">
        <v>81</v>
      </c>
      <c r="IJH16" s="284"/>
      <c r="IJI16" s="259" t="s">
        <v>55</v>
      </c>
      <c r="IJJ16" s="256" t="s">
        <v>76</v>
      </c>
      <c r="IJK16" s="256" t="s">
        <v>77</v>
      </c>
      <c r="IJL16" s="256" t="s">
        <v>78</v>
      </c>
      <c r="IJM16" s="256" t="s">
        <v>79</v>
      </c>
      <c r="IJN16" s="256" t="s">
        <v>80</v>
      </c>
      <c r="IJO16" s="256" t="s">
        <v>81</v>
      </c>
      <c r="IJP16" s="283"/>
      <c r="IJQ16" s="259" t="s">
        <v>55</v>
      </c>
      <c r="IJR16" s="256" t="s">
        <v>76</v>
      </c>
      <c r="IJS16" s="256" t="s">
        <v>77</v>
      </c>
      <c r="IJT16" s="256" t="s">
        <v>78</v>
      </c>
      <c r="IJU16" s="256" t="s">
        <v>79</v>
      </c>
      <c r="IJV16" s="256" t="s">
        <v>80</v>
      </c>
      <c r="IJW16" s="58" t="s">
        <v>81</v>
      </c>
      <c r="IJX16" s="284"/>
      <c r="IJY16" s="259" t="s">
        <v>55</v>
      </c>
      <c r="IJZ16" s="256" t="s">
        <v>76</v>
      </c>
      <c r="IKA16" s="256" t="s">
        <v>77</v>
      </c>
      <c r="IKB16" s="256" t="s">
        <v>78</v>
      </c>
      <c r="IKC16" s="256" t="s">
        <v>79</v>
      </c>
      <c r="IKD16" s="256" t="s">
        <v>80</v>
      </c>
      <c r="IKE16" s="256" t="s">
        <v>81</v>
      </c>
      <c r="IKF16" s="283"/>
      <c r="IKG16" s="259" t="s">
        <v>55</v>
      </c>
      <c r="IKH16" s="256" t="s">
        <v>76</v>
      </c>
      <c r="IKI16" s="256" t="s">
        <v>77</v>
      </c>
      <c r="IKJ16" s="256" t="s">
        <v>78</v>
      </c>
      <c r="IKK16" s="256" t="s">
        <v>79</v>
      </c>
      <c r="IKL16" s="256" t="s">
        <v>80</v>
      </c>
      <c r="IKM16" s="58" t="s">
        <v>81</v>
      </c>
      <c r="IKN16" s="284"/>
      <c r="IKO16" s="259" t="s">
        <v>55</v>
      </c>
      <c r="IKP16" s="256" t="s">
        <v>76</v>
      </c>
      <c r="IKQ16" s="256" t="s">
        <v>77</v>
      </c>
      <c r="IKR16" s="256" t="s">
        <v>78</v>
      </c>
      <c r="IKS16" s="256" t="s">
        <v>79</v>
      </c>
      <c r="IKT16" s="256" t="s">
        <v>80</v>
      </c>
      <c r="IKU16" s="256" t="s">
        <v>81</v>
      </c>
      <c r="IKV16" s="283"/>
      <c r="IKW16" s="259" t="s">
        <v>55</v>
      </c>
      <c r="IKX16" s="256" t="s">
        <v>76</v>
      </c>
      <c r="IKY16" s="256" t="s">
        <v>77</v>
      </c>
      <c r="IKZ16" s="256" t="s">
        <v>78</v>
      </c>
      <c r="ILA16" s="256" t="s">
        <v>79</v>
      </c>
      <c r="ILB16" s="256" t="s">
        <v>80</v>
      </c>
      <c r="ILC16" s="58" t="s">
        <v>81</v>
      </c>
      <c r="ILD16" s="284"/>
      <c r="ILE16" s="259" t="s">
        <v>55</v>
      </c>
      <c r="ILF16" s="256" t="s">
        <v>76</v>
      </c>
      <c r="ILG16" s="256" t="s">
        <v>77</v>
      </c>
      <c r="ILH16" s="256" t="s">
        <v>78</v>
      </c>
      <c r="ILI16" s="256" t="s">
        <v>79</v>
      </c>
      <c r="ILJ16" s="256" t="s">
        <v>80</v>
      </c>
      <c r="ILK16" s="256" t="s">
        <v>81</v>
      </c>
      <c r="ILL16" s="283"/>
      <c r="ILM16" s="259" t="s">
        <v>55</v>
      </c>
      <c r="ILN16" s="256" t="s">
        <v>76</v>
      </c>
      <c r="ILO16" s="256" t="s">
        <v>77</v>
      </c>
      <c r="ILP16" s="256" t="s">
        <v>78</v>
      </c>
      <c r="ILQ16" s="256" t="s">
        <v>79</v>
      </c>
      <c r="ILR16" s="256" t="s">
        <v>80</v>
      </c>
      <c r="ILS16" s="58" t="s">
        <v>81</v>
      </c>
      <c r="ILT16" s="284"/>
      <c r="ILU16" s="259" t="s">
        <v>55</v>
      </c>
      <c r="ILV16" s="256" t="s">
        <v>76</v>
      </c>
      <c r="ILW16" s="256" t="s">
        <v>77</v>
      </c>
      <c r="ILX16" s="256" t="s">
        <v>78</v>
      </c>
      <c r="ILY16" s="256" t="s">
        <v>79</v>
      </c>
      <c r="ILZ16" s="256" t="s">
        <v>80</v>
      </c>
      <c r="IMA16" s="256" t="s">
        <v>81</v>
      </c>
      <c r="IMB16" s="283"/>
      <c r="IMC16" s="259" t="s">
        <v>55</v>
      </c>
      <c r="IMD16" s="256" t="s">
        <v>76</v>
      </c>
      <c r="IME16" s="256" t="s">
        <v>77</v>
      </c>
      <c r="IMF16" s="256" t="s">
        <v>78</v>
      </c>
      <c r="IMG16" s="256" t="s">
        <v>79</v>
      </c>
      <c r="IMH16" s="256" t="s">
        <v>80</v>
      </c>
      <c r="IMI16" s="58" t="s">
        <v>81</v>
      </c>
      <c r="IMJ16" s="284"/>
      <c r="IMK16" s="259" t="s">
        <v>55</v>
      </c>
      <c r="IML16" s="256" t="s">
        <v>76</v>
      </c>
      <c r="IMM16" s="256" t="s">
        <v>77</v>
      </c>
      <c r="IMN16" s="256" t="s">
        <v>78</v>
      </c>
      <c r="IMO16" s="256" t="s">
        <v>79</v>
      </c>
      <c r="IMP16" s="256" t="s">
        <v>80</v>
      </c>
      <c r="IMQ16" s="256" t="s">
        <v>81</v>
      </c>
      <c r="IMR16" s="283"/>
      <c r="IMS16" s="259" t="s">
        <v>55</v>
      </c>
      <c r="IMT16" s="256" t="s">
        <v>76</v>
      </c>
      <c r="IMU16" s="256" t="s">
        <v>77</v>
      </c>
      <c r="IMV16" s="256" t="s">
        <v>78</v>
      </c>
      <c r="IMW16" s="256" t="s">
        <v>79</v>
      </c>
      <c r="IMX16" s="256" t="s">
        <v>80</v>
      </c>
      <c r="IMY16" s="58" t="s">
        <v>81</v>
      </c>
      <c r="IMZ16" s="284"/>
      <c r="INA16" s="259" t="s">
        <v>55</v>
      </c>
      <c r="INB16" s="256" t="s">
        <v>76</v>
      </c>
      <c r="INC16" s="256" t="s">
        <v>77</v>
      </c>
      <c r="IND16" s="256" t="s">
        <v>78</v>
      </c>
      <c r="INE16" s="256" t="s">
        <v>79</v>
      </c>
      <c r="INF16" s="256" t="s">
        <v>80</v>
      </c>
      <c r="ING16" s="256" t="s">
        <v>81</v>
      </c>
      <c r="INH16" s="283"/>
      <c r="INI16" s="259" t="s">
        <v>55</v>
      </c>
      <c r="INJ16" s="256" t="s">
        <v>76</v>
      </c>
      <c r="INK16" s="256" t="s">
        <v>77</v>
      </c>
      <c r="INL16" s="256" t="s">
        <v>78</v>
      </c>
      <c r="INM16" s="256" t="s">
        <v>79</v>
      </c>
      <c r="INN16" s="256" t="s">
        <v>80</v>
      </c>
      <c r="INO16" s="58" t="s">
        <v>81</v>
      </c>
      <c r="INP16" s="284"/>
      <c r="INQ16" s="259" t="s">
        <v>55</v>
      </c>
      <c r="INR16" s="256" t="s">
        <v>76</v>
      </c>
      <c r="INS16" s="256" t="s">
        <v>77</v>
      </c>
      <c r="INT16" s="256" t="s">
        <v>78</v>
      </c>
      <c r="INU16" s="256" t="s">
        <v>79</v>
      </c>
      <c r="INV16" s="256" t="s">
        <v>80</v>
      </c>
      <c r="INW16" s="256" t="s">
        <v>81</v>
      </c>
      <c r="INX16" s="283"/>
      <c r="INY16" s="259" t="s">
        <v>55</v>
      </c>
      <c r="INZ16" s="256" t="s">
        <v>76</v>
      </c>
      <c r="IOA16" s="256" t="s">
        <v>77</v>
      </c>
      <c r="IOB16" s="256" t="s">
        <v>78</v>
      </c>
      <c r="IOC16" s="256" t="s">
        <v>79</v>
      </c>
      <c r="IOD16" s="256" t="s">
        <v>80</v>
      </c>
      <c r="IOE16" s="58" t="s">
        <v>81</v>
      </c>
      <c r="IOF16" s="284"/>
      <c r="IOG16" s="259" t="s">
        <v>55</v>
      </c>
      <c r="IOH16" s="256" t="s">
        <v>76</v>
      </c>
      <c r="IOI16" s="256" t="s">
        <v>77</v>
      </c>
      <c r="IOJ16" s="256" t="s">
        <v>78</v>
      </c>
      <c r="IOK16" s="256" t="s">
        <v>79</v>
      </c>
      <c r="IOL16" s="256" t="s">
        <v>80</v>
      </c>
      <c r="IOM16" s="256" t="s">
        <v>81</v>
      </c>
      <c r="ION16" s="283"/>
      <c r="IOO16" s="259" t="s">
        <v>55</v>
      </c>
      <c r="IOP16" s="256" t="s">
        <v>76</v>
      </c>
      <c r="IOQ16" s="256" t="s">
        <v>77</v>
      </c>
      <c r="IOR16" s="256" t="s">
        <v>78</v>
      </c>
      <c r="IOS16" s="256" t="s">
        <v>79</v>
      </c>
      <c r="IOT16" s="256" t="s">
        <v>80</v>
      </c>
      <c r="IOU16" s="58" t="s">
        <v>81</v>
      </c>
      <c r="IOV16" s="284"/>
      <c r="IOW16" s="259" t="s">
        <v>55</v>
      </c>
      <c r="IOX16" s="256" t="s">
        <v>76</v>
      </c>
      <c r="IOY16" s="256" t="s">
        <v>77</v>
      </c>
      <c r="IOZ16" s="256" t="s">
        <v>78</v>
      </c>
      <c r="IPA16" s="256" t="s">
        <v>79</v>
      </c>
      <c r="IPB16" s="256" t="s">
        <v>80</v>
      </c>
      <c r="IPC16" s="256" t="s">
        <v>81</v>
      </c>
      <c r="IPD16" s="283"/>
      <c r="IPE16" s="259" t="s">
        <v>55</v>
      </c>
      <c r="IPF16" s="256" t="s">
        <v>76</v>
      </c>
      <c r="IPG16" s="256" t="s">
        <v>77</v>
      </c>
      <c r="IPH16" s="256" t="s">
        <v>78</v>
      </c>
      <c r="IPI16" s="256" t="s">
        <v>79</v>
      </c>
      <c r="IPJ16" s="256" t="s">
        <v>80</v>
      </c>
      <c r="IPK16" s="58" t="s">
        <v>81</v>
      </c>
      <c r="IPL16" s="284"/>
      <c r="IPM16" s="259" t="s">
        <v>55</v>
      </c>
      <c r="IPN16" s="256" t="s">
        <v>76</v>
      </c>
      <c r="IPO16" s="256" t="s">
        <v>77</v>
      </c>
      <c r="IPP16" s="256" t="s">
        <v>78</v>
      </c>
      <c r="IPQ16" s="256" t="s">
        <v>79</v>
      </c>
      <c r="IPR16" s="256" t="s">
        <v>80</v>
      </c>
      <c r="IPS16" s="256" t="s">
        <v>81</v>
      </c>
      <c r="IPT16" s="283"/>
      <c r="IPU16" s="259" t="s">
        <v>55</v>
      </c>
      <c r="IPV16" s="256" t="s">
        <v>76</v>
      </c>
      <c r="IPW16" s="256" t="s">
        <v>77</v>
      </c>
      <c r="IPX16" s="256" t="s">
        <v>78</v>
      </c>
      <c r="IPY16" s="256" t="s">
        <v>79</v>
      </c>
      <c r="IPZ16" s="256" t="s">
        <v>80</v>
      </c>
      <c r="IQA16" s="58" t="s">
        <v>81</v>
      </c>
      <c r="IQB16" s="284"/>
      <c r="IQC16" s="259" t="s">
        <v>55</v>
      </c>
      <c r="IQD16" s="256" t="s">
        <v>76</v>
      </c>
      <c r="IQE16" s="256" t="s">
        <v>77</v>
      </c>
      <c r="IQF16" s="256" t="s">
        <v>78</v>
      </c>
      <c r="IQG16" s="256" t="s">
        <v>79</v>
      </c>
      <c r="IQH16" s="256" t="s">
        <v>80</v>
      </c>
      <c r="IQI16" s="256" t="s">
        <v>81</v>
      </c>
      <c r="IQJ16" s="283"/>
      <c r="IQK16" s="259" t="s">
        <v>55</v>
      </c>
      <c r="IQL16" s="256" t="s">
        <v>76</v>
      </c>
      <c r="IQM16" s="256" t="s">
        <v>77</v>
      </c>
      <c r="IQN16" s="256" t="s">
        <v>78</v>
      </c>
      <c r="IQO16" s="256" t="s">
        <v>79</v>
      </c>
      <c r="IQP16" s="256" t="s">
        <v>80</v>
      </c>
      <c r="IQQ16" s="58" t="s">
        <v>81</v>
      </c>
      <c r="IQR16" s="284"/>
      <c r="IQS16" s="259" t="s">
        <v>55</v>
      </c>
      <c r="IQT16" s="256" t="s">
        <v>76</v>
      </c>
      <c r="IQU16" s="256" t="s">
        <v>77</v>
      </c>
      <c r="IQV16" s="256" t="s">
        <v>78</v>
      </c>
      <c r="IQW16" s="256" t="s">
        <v>79</v>
      </c>
      <c r="IQX16" s="256" t="s">
        <v>80</v>
      </c>
      <c r="IQY16" s="256" t="s">
        <v>81</v>
      </c>
      <c r="IQZ16" s="283"/>
      <c r="IRA16" s="259" t="s">
        <v>55</v>
      </c>
      <c r="IRB16" s="256" t="s">
        <v>76</v>
      </c>
      <c r="IRC16" s="256" t="s">
        <v>77</v>
      </c>
      <c r="IRD16" s="256" t="s">
        <v>78</v>
      </c>
      <c r="IRE16" s="256" t="s">
        <v>79</v>
      </c>
      <c r="IRF16" s="256" t="s">
        <v>80</v>
      </c>
      <c r="IRG16" s="58" t="s">
        <v>81</v>
      </c>
      <c r="IRH16" s="284"/>
      <c r="IRI16" s="259" t="s">
        <v>55</v>
      </c>
      <c r="IRJ16" s="256" t="s">
        <v>76</v>
      </c>
      <c r="IRK16" s="256" t="s">
        <v>77</v>
      </c>
      <c r="IRL16" s="256" t="s">
        <v>78</v>
      </c>
      <c r="IRM16" s="256" t="s">
        <v>79</v>
      </c>
      <c r="IRN16" s="256" t="s">
        <v>80</v>
      </c>
      <c r="IRO16" s="256" t="s">
        <v>81</v>
      </c>
      <c r="IRP16" s="283"/>
      <c r="IRQ16" s="259" t="s">
        <v>55</v>
      </c>
      <c r="IRR16" s="256" t="s">
        <v>76</v>
      </c>
      <c r="IRS16" s="256" t="s">
        <v>77</v>
      </c>
      <c r="IRT16" s="256" t="s">
        <v>78</v>
      </c>
      <c r="IRU16" s="256" t="s">
        <v>79</v>
      </c>
      <c r="IRV16" s="256" t="s">
        <v>80</v>
      </c>
      <c r="IRW16" s="58" t="s">
        <v>81</v>
      </c>
      <c r="IRX16" s="284"/>
      <c r="IRY16" s="259" t="s">
        <v>55</v>
      </c>
      <c r="IRZ16" s="256" t="s">
        <v>76</v>
      </c>
      <c r="ISA16" s="256" t="s">
        <v>77</v>
      </c>
      <c r="ISB16" s="256" t="s">
        <v>78</v>
      </c>
      <c r="ISC16" s="256" t="s">
        <v>79</v>
      </c>
      <c r="ISD16" s="256" t="s">
        <v>80</v>
      </c>
      <c r="ISE16" s="256" t="s">
        <v>81</v>
      </c>
      <c r="ISF16" s="283"/>
      <c r="ISG16" s="259" t="s">
        <v>55</v>
      </c>
      <c r="ISH16" s="256" t="s">
        <v>76</v>
      </c>
      <c r="ISI16" s="256" t="s">
        <v>77</v>
      </c>
      <c r="ISJ16" s="256" t="s">
        <v>78</v>
      </c>
      <c r="ISK16" s="256" t="s">
        <v>79</v>
      </c>
      <c r="ISL16" s="256" t="s">
        <v>80</v>
      </c>
      <c r="ISM16" s="58" t="s">
        <v>81</v>
      </c>
      <c r="ISN16" s="284"/>
      <c r="ISO16" s="259" t="s">
        <v>55</v>
      </c>
      <c r="ISP16" s="256" t="s">
        <v>76</v>
      </c>
      <c r="ISQ16" s="256" t="s">
        <v>77</v>
      </c>
      <c r="ISR16" s="256" t="s">
        <v>78</v>
      </c>
      <c r="ISS16" s="256" t="s">
        <v>79</v>
      </c>
      <c r="IST16" s="256" t="s">
        <v>80</v>
      </c>
      <c r="ISU16" s="256" t="s">
        <v>81</v>
      </c>
      <c r="ISV16" s="283"/>
      <c r="ISW16" s="259" t="s">
        <v>55</v>
      </c>
      <c r="ISX16" s="256" t="s">
        <v>76</v>
      </c>
      <c r="ISY16" s="256" t="s">
        <v>77</v>
      </c>
      <c r="ISZ16" s="256" t="s">
        <v>78</v>
      </c>
      <c r="ITA16" s="256" t="s">
        <v>79</v>
      </c>
      <c r="ITB16" s="256" t="s">
        <v>80</v>
      </c>
      <c r="ITC16" s="58" t="s">
        <v>81</v>
      </c>
      <c r="ITD16" s="284"/>
      <c r="ITE16" s="259" t="s">
        <v>55</v>
      </c>
      <c r="ITF16" s="256" t="s">
        <v>76</v>
      </c>
      <c r="ITG16" s="256" t="s">
        <v>77</v>
      </c>
      <c r="ITH16" s="256" t="s">
        <v>78</v>
      </c>
      <c r="ITI16" s="256" t="s">
        <v>79</v>
      </c>
      <c r="ITJ16" s="256" t="s">
        <v>80</v>
      </c>
      <c r="ITK16" s="256" t="s">
        <v>81</v>
      </c>
      <c r="ITL16" s="283"/>
      <c r="ITM16" s="259" t="s">
        <v>55</v>
      </c>
      <c r="ITN16" s="256" t="s">
        <v>76</v>
      </c>
      <c r="ITO16" s="256" t="s">
        <v>77</v>
      </c>
      <c r="ITP16" s="256" t="s">
        <v>78</v>
      </c>
      <c r="ITQ16" s="256" t="s">
        <v>79</v>
      </c>
      <c r="ITR16" s="256" t="s">
        <v>80</v>
      </c>
      <c r="ITS16" s="58" t="s">
        <v>81</v>
      </c>
      <c r="ITT16" s="284"/>
      <c r="ITU16" s="259" t="s">
        <v>55</v>
      </c>
      <c r="ITV16" s="256" t="s">
        <v>76</v>
      </c>
      <c r="ITW16" s="256" t="s">
        <v>77</v>
      </c>
      <c r="ITX16" s="256" t="s">
        <v>78</v>
      </c>
      <c r="ITY16" s="256" t="s">
        <v>79</v>
      </c>
      <c r="ITZ16" s="256" t="s">
        <v>80</v>
      </c>
      <c r="IUA16" s="256" t="s">
        <v>81</v>
      </c>
      <c r="IUB16" s="283"/>
      <c r="IUC16" s="259" t="s">
        <v>55</v>
      </c>
      <c r="IUD16" s="256" t="s">
        <v>76</v>
      </c>
      <c r="IUE16" s="256" t="s">
        <v>77</v>
      </c>
      <c r="IUF16" s="256" t="s">
        <v>78</v>
      </c>
      <c r="IUG16" s="256" t="s">
        <v>79</v>
      </c>
      <c r="IUH16" s="256" t="s">
        <v>80</v>
      </c>
      <c r="IUI16" s="58" t="s">
        <v>81</v>
      </c>
      <c r="IUJ16" s="284"/>
      <c r="IUK16" s="259" t="s">
        <v>55</v>
      </c>
      <c r="IUL16" s="256" t="s">
        <v>76</v>
      </c>
      <c r="IUM16" s="256" t="s">
        <v>77</v>
      </c>
      <c r="IUN16" s="256" t="s">
        <v>78</v>
      </c>
      <c r="IUO16" s="256" t="s">
        <v>79</v>
      </c>
      <c r="IUP16" s="256" t="s">
        <v>80</v>
      </c>
      <c r="IUQ16" s="256" t="s">
        <v>81</v>
      </c>
      <c r="IUR16" s="283"/>
      <c r="IUS16" s="259" t="s">
        <v>55</v>
      </c>
      <c r="IUT16" s="256" t="s">
        <v>76</v>
      </c>
      <c r="IUU16" s="256" t="s">
        <v>77</v>
      </c>
      <c r="IUV16" s="256" t="s">
        <v>78</v>
      </c>
      <c r="IUW16" s="256" t="s">
        <v>79</v>
      </c>
      <c r="IUX16" s="256" t="s">
        <v>80</v>
      </c>
      <c r="IUY16" s="58" t="s">
        <v>81</v>
      </c>
      <c r="IUZ16" s="284"/>
      <c r="IVA16" s="259" t="s">
        <v>55</v>
      </c>
      <c r="IVB16" s="256" t="s">
        <v>76</v>
      </c>
      <c r="IVC16" s="256" t="s">
        <v>77</v>
      </c>
      <c r="IVD16" s="256" t="s">
        <v>78</v>
      </c>
      <c r="IVE16" s="256" t="s">
        <v>79</v>
      </c>
      <c r="IVF16" s="256" t="s">
        <v>80</v>
      </c>
      <c r="IVG16" s="256" t="s">
        <v>81</v>
      </c>
      <c r="IVH16" s="283"/>
      <c r="IVI16" s="259" t="s">
        <v>55</v>
      </c>
      <c r="IVJ16" s="256" t="s">
        <v>76</v>
      </c>
      <c r="IVK16" s="256" t="s">
        <v>77</v>
      </c>
      <c r="IVL16" s="256" t="s">
        <v>78</v>
      </c>
      <c r="IVM16" s="256" t="s">
        <v>79</v>
      </c>
      <c r="IVN16" s="256" t="s">
        <v>80</v>
      </c>
      <c r="IVO16" s="58" t="s">
        <v>81</v>
      </c>
      <c r="IVP16" s="284"/>
      <c r="IVQ16" s="259" t="s">
        <v>55</v>
      </c>
      <c r="IVR16" s="256" t="s">
        <v>76</v>
      </c>
      <c r="IVS16" s="256" t="s">
        <v>77</v>
      </c>
      <c r="IVT16" s="256" t="s">
        <v>78</v>
      </c>
      <c r="IVU16" s="256" t="s">
        <v>79</v>
      </c>
      <c r="IVV16" s="256" t="s">
        <v>80</v>
      </c>
      <c r="IVW16" s="256" t="s">
        <v>81</v>
      </c>
      <c r="IVX16" s="283"/>
      <c r="IVY16" s="259" t="s">
        <v>55</v>
      </c>
      <c r="IVZ16" s="256" t="s">
        <v>76</v>
      </c>
      <c r="IWA16" s="256" t="s">
        <v>77</v>
      </c>
      <c r="IWB16" s="256" t="s">
        <v>78</v>
      </c>
      <c r="IWC16" s="256" t="s">
        <v>79</v>
      </c>
      <c r="IWD16" s="256" t="s">
        <v>80</v>
      </c>
      <c r="IWE16" s="58" t="s">
        <v>81</v>
      </c>
      <c r="IWF16" s="284"/>
      <c r="IWG16" s="259" t="s">
        <v>55</v>
      </c>
      <c r="IWH16" s="256" t="s">
        <v>76</v>
      </c>
      <c r="IWI16" s="256" t="s">
        <v>77</v>
      </c>
      <c r="IWJ16" s="256" t="s">
        <v>78</v>
      </c>
      <c r="IWK16" s="256" t="s">
        <v>79</v>
      </c>
      <c r="IWL16" s="256" t="s">
        <v>80</v>
      </c>
      <c r="IWM16" s="256" t="s">
        <v>81</v>
      </c>
      <c r="IWN16" s="283"/>
      <c r="IWO16" s="259" t="s">
        <v>55</v>
      </c>
      <c r="IWP16" s="256" t="s">
        <v>76</v>
      </c>
      <c r="IWQ16" s="256" t="s">
        <v>77</v>
      </c>
      <c r="IWR16" s="256" t="s">
        <v>78</v>
      </c>
      <c r="IWS16" s="256" t="s">
        <v>79</v>
      </c>
      <c r="IWT16" s="256" t="s">
        <v>80</v>
      </c>
      <c r="IWU16" s="58" t="s">
        <v>81</v>
      </c>
      <c r="IWV16" s="284"/>
      <c r="IWW16" s="259" t="s">
        <v>55</v>
      </c>
      <c r="IWX16" s="256" t="s">
        <v>76</v>
      </c>
      <c r="IWY16" s="256" t="s">
        <v>77</v>
      </c>
      <c r="IWZ16" s="256" t="s">
        <v>78</v>
      </c>
      <c r="IXA16" s="256" t="s">
        <v>79</v>
      </c>
      <c r="IXB16" s="256" t="s">
        <v>80</v>
      </c>
      <c r="IXC16" s="256" t="s">
        <v>81</v>
      </c>
      <c r="IXD16" s="283"/>
      <c r="IXE16" s="259" t="s">
        <v>55</v>
      </c>
      <c r="IXF16" s="256" t="s">
        <v>76</v>
      </c>
      <c r="IXG16" s="256" t="s">
        <v>77</v>
      </c>
      <c r="IXH16" s="256" t="s">
        <v>78</v>
      </c>
      <c r="IXI16" s="256" t="s">
        <v>79</v>
      </c>
      <c r="IXJ16" s="256" t="s">
        <v>80</v>
      </c>
      <c r="IXK16" s="58" t="s">
        <v>81</v>
      </c>
      <c r="IXL16" s="284"/>
      <c r="IXM16" s="259" t="s">
        <v>55</v>
      </c>
      <c r="IXN16" s="256" t="s">
        <v>76</v>
      </c>
      <c r="IXO16" s="256" t="s">
        <v>77</v>
      </c>
      <c r="IXP16" s="256" t="s">
        <v>78</v>
      </c>
      <c r="IXQ16" s="256" t="s">
        <v>79</v>
      </c>
      <c r="IXR16" s="256" t="s">
        <v>80</v>
      </c>
      <c r="IXS16" s="256" t="s">
        <v>81</v>
      </c>
      <c r="IXT16" s="283"/>
      <c r="IXU16" s="259" t="s">
        <v>55</v>
      </c>
      <c r="IXV16" s="256" t="s">
        <v>76</v>
      </c>
      <c r="IXW16" s="256" t="s">
        <v>77</v>
      </c>
      <c r="IXX16" s="256" t="s">
        <v>78</v>
      </c>
      <c r="IXY16" s="256" t="s">
        <v>79</v>
      </c>
      <c r="IXZ16" s="256" t="s">
        <v>80</v>
      </c>
      <c r="IYA16" s="58" t="s">
        <v>81</v>
      </c>
      <c r="IYB16" s="284"/>
      <c r="IYC16" s="259" t="s">
        <v>55</v>
      </c>
      <c r="IYD16" s="256" t="s">
        <v>76</v>
      </c>
      <c r="IYE16" s="256" t="s">
        <v>77</v>
      </c>
      <c r="IYF16" s="256" t="s">
        <v>78</v>
      </c>
      <c r="IYG16" s="256" t="s">
        <v>79</v>
      </c>
      <c r="IYH16" s="256" t="s">
        <v>80</v>
      </c>
      <c r="IYI16" s="256" t="s">
        <v>81</v>
      </c>
      <c r="IYJ16" s="283"/>
      <c r="IYK16" s="259" t="s">
        <v>55</v>
      </c>
      <c r="IYL16" s="256" t="s">
        <v>76</v>
      </c>
      <c r="IYM16" s="256" t="s">
        <v>77</v>
      </c>
      <c r="IYN16" s="256" t="s">
        <v>78</v>
      </c>
      <c r="IYO16" s="256" t="s">
        <v>79</v>
      </c>
      <c r="IYP16" s="256" t="s">
        <v>80</v>
      </c>
      <c r="IYQ16" s="58" t="s">
        <v>81</v>
      </c>
      <c r="IYR16" s="284"/>
      <c r="IYS16" s="259" t="s">
        <v>55</v>
      </c>
      <c r="IYT16" s="256" t="s">
        <v>76</v>
      </c>
      <c r="IYU16" s="256" t="s">
        <v>77</v>
      </c>
      <c r="IYV16" s="256" t="s">
        <v>78</v>
      </c>
      <c r="IYW16" s="256" t="s">
        <v>79</v>
      </c>
      <c r="IYX16" s="256" t="s">
        <v>80</v>
      </c>
      <c r="IYY16" s="256" t="s">
        <v>81</v>
      </c>
      <c r="IYZ16" s="283"/>
      <c r="IZA16" s="259" t="s">
        <v>55</v>
      </c>
      <c r="IZB16" s="256" t="s">
        <v>76</v>
      </c>
      <c r="IZC16" s="256" t="s">
        <v>77</v>
      </c>
      <c r="IZD16" s="256" t="s">
        <v>78</v>
      </c>
      <c r="IZE16" s="256" t="s">
        <v>79</v>
      </c>
      <c r="IZF16" s="256" t="s">
        <v>80</v>
      </c>
      <c r="IZG16" s="58" t="s">
        <v>81</v>
      </c>
      <c r="IZH16" s="284"/>
      <c r="IZI16" s="259" t="s">
        <v>55</v>
      </c>
      <c r="IZJ16" s="256" t="s">
        <v>76</v>
      </c>
      <c r="IZK16" s="256" t="s">
        <v>77</v>
      </c>
      <c r="IZL16" s="256" t="s">
        <v>78</v>
      </c>
      <c r="IZM16" s="256" t="s">
        <v>79</v>
      </c>
      <c r="IZN16" s="256" t="s">
        <v>80</v>
      </c>
      <c r="IZO16" s="256" t="s">
        <v>81</v>
      </c>
      <c r="IZP16" s="283"/>
      <c r="IZQ16" s="259" t="s">
        <v>55</v>
      </c>
      <c r="IZR16" s="256" t="s">
        <v>76</v>
      </c>
      <c r="IZS16" s="256" t="s">
        <v>77</v>
      </c>
      <c r="IZT16" s="256" t="s">
        <v>78</v>
      </c>
      <c r="IZU16" s="256" t="s">
        <v>79</v>
      </c>
      <c r="IZV16" s="256" t="s">
        <v>80</v>
      </c>
      <c r="IZW16" s="58" t="s">
        <v>81</v>
      </c>
      <c r="IZX16" s="284"/>
      <c r="IZY16" s="259" t="s">
        <v>55</v>
      </c>
      <c r="IZZ16" s="256" t="s">
        <v>76</v>
      </c>
      <c r="JAA16" s="256" t="s">
        <v>77</v>
      </c>
      <c r="JAB16" s="256" t="s">
        <v>78</v>
      </c>
      <c r="JAC16" s="256" t="s">
        <v>79</v>
      </c>
      <c r="JAD16" s="256" t="s">
        <v>80</v>
      </c>
      <c r="JAE16" s="256" t="s">
        <v>81</v>
      </c>
      <c r="JAF16" s="283"/>
      <c r="JAG16" s="259" t="s">
        <v>55</v>
      </c>
      <c r="JAH16" s="256" t="s">
        <v>76</v>
      </c>
      <c r="JAI16" s="256" t="s">
        <v>77</v>
      </c>
      <c r="JAJ16" s="256" t="s">
        <v>78</v>
      </c>
      <c r="JAK16" s="256" t="s">
        <v>79</v>
      </c>
      <c r="JAL16" s="256" t="s">
        <v>80</v>
      </c>
      <c r="JAM16" s="58" t="s">
        <v>81</v>
      </c>
      <c r="JAN16" s="284"/>
      <c r="JAO16" s="259" t="s">
        <v>55</v>
      </c>
      <c r="JAP16" s="256" t="s">
        <v>76</v>
      </c>
      <c r="JAQ16" s="256" t="s">
        <v>77</v>
      </c>
      <c r="JAR16" s="256" t="s">
        <v>78</v>
      </c>
      <c r="JAS16" s="256" t="s">
        <v>79</v>
      </c>
      <c r="JAT16" s="256" t="s">
        <v>80</v>
      </c>
      <c r="JAU16" s="256" t="s">
        <v>81</v>
      </c>
      <c r="JAV16" s="283"/>
      <c r="JAW16" s="259" t="s">
        <v>55</v>
      </c>
      <c r="JAX16" s="256" t="s">
        <v>76</v>
      </c>
      <c r="JAY16" s="256" t="s">
        <v>77</v>
      </c>
      <c r="JAZ16" s="256" t="s">
        <v>78</v>
      </c>
      <c r="JBA16" s="256" t="s">
        <v>79</v>
      </c>
      <c r="JBB16" s="256" t="s">
        <v>80</v>
      </c>
      <c r="JBC16" s="58" t="s">
        <v>81</v>
      </c>
      <c r="JBD16" s="284"/>
      <c r="JBE16" s="259" t="s">
        <v>55</v>
      </c>
      <c r="JBF16" s="256" t="s">
        <v>76</v>
      </c>
      <c r="JBG16" s="256" t="s">
        <v>77</v>
      </c>
      <c r="JBH16" s="256" t="s">
        <v>78</v>
      </c>
      <c r="JBI16" s="256" t="s">
        <v>79</v>
      </c>
      <c r="JBJ16" s="256" t="s">
        <v>80</v>
      </c>
      <c r="JBK16" s="256" t="s">
        <v>81</v>
      </c>
      <c r="JBL16" s="283"/>
      <c r="JBM16" s="259" t="s">
        <v>55</v>
      </c>
      <c r="JBN16" s="256" t="s">
        <v>76</v>
      </c>
      <c r="JBO16" s="256" t="s">
        <v>77</v>
      </c>
      <c r="JBP16" s="256" t="s">
        <v>78</v>
      </c>
      <c r="JBQ16" s="256" t="s">
        <v>79</v>
      </c>
      <c r="JBR16" s="256" t="s">
        <v>80</v>
      </c>
      <c r="JBS16" s="58" t="s">
        <v>81</v>
      </c>
      <c r="JBT16" s="284"/>
      <c r="JBU16" s="259" t="s">
        <v>55</v>
      </c>
      <c r="JBV16" s="256" t="s">
        <v>76</v>
      </c>
      <c r="JBW16" s="256" t="s">
        <v>77</v>
      </c>
      <c r="JBX16" s="256" t="s">
        <v>78</v>
      </c>
      <c r="JBY16" s="256" t="s">
        <v>79</v>
      </c>
      <c r="JBZ16" s="256" t="s">
        <v>80</v>
      </c>
      <c r="JCA16" s="256" t="s">
        <v>81</v>
      </c>
      <c r="JCB16" s="283"/>
      <c r="JCC16" s="259" t="s">
        <v>55</v>
      </c>
      <c r="JCD16" s="256" t="s">
        <v>76</v>
      </c>
      <c r="JCE16" s="256" t="s">
        <v>77</v>
      </c>
      <c r="JCF16" s="256" t="s">
        <v>78</v>
      </c>
      <c r="JCG16" s="256" t="s">
        <v>79</v>
      </c>
      <c r="JCH16" s="256" t="s">
        <v>80</v>
      </c>
      <c r="JCI16" s="58" t="s">
        <v>81</v>
      </c>
      <c r="JCJ16" s="284"/>
      <c r="JCK16" s="259" t="s">
        <v>55</v>
      </c>
      <c r="JCL16" s="256" t="s">
        <v>76</v>
      </c>
      <c r="JCM16" s="256" t="s">
        <v>77</v>
      </c>
      <c r="JCN16" s="256" t="s">
        <v>78</v>
      </c>
      <c r="JCO16" s="256" t="s">
        <v>79</v>
      </c>
      <c r="JCP16" s="256" t="s">
        <v>80</v>
      </c>
      <c r="JCQ16" s="256" t="s">
        <v>81</v>
      </c>
      <c r="JCR16" s="283"/>
      <c r="JCS16" s="259" t="s">
        <v>55</v>
      </c>
      <c r="JCT16" s="256" t="s">
        <v>76</v>
      </c>
      <c r="JCU16" s="256" t="s">
        <v>77</v>
      </c>
      <c r="JCV16" s="256" t="s">
        <v>78</v>
      </c>
      <c r="JCW16" s="256" t="s">
        <v>79</v>
      </c>
      <c r="JCX16" s="256" t="s">
        <v>80</v>
      </c>
      <c r="JCY16" s="58" t="s">
        <v>81</v>
      </c>
      <c r="JCZ16" s="284"/>
      <c r="JDA16" s="259" t="s">
        <v>55</v>
      </c>
      <c r="JDB16" s="256" t="s">
        <v>76</v>
      </c>
      <c r="JDC16" s="256" t="s">
        <v>77</v>
      </c>
      <c r="JDD16" s="256" t="s">
        <v>78</v>
      </c>
      <c r="JDE16" s="256" t="s">
        <v>79</v>
      </c>
      <c r="JDF16" s="256" t="s">
        <v>80</v>
      </c>
      <c r="JDG16" s="256" t="s">
        <v>81</v>
      </c>
      <c r="JDH16" s="283"/>
      <c r="JDI16" s="259" t="s">
        <v>55</v>
      </c>
      <c r="JDJ16" s="256" t="s">
        <v>76</v>
      </c>
      <c r="JDK16" s="256" t="s">
        <v>77</v>
      </c>
      <c r="JDL16" s="256" t="s">
        <v>78</v>
      </c>
      <c r="JDM16" s="256" t="s">
        <v>79</v>
      </c>
      <c r="JDN16" s="256" t="s">
        <v>80</v>
      </c>
      <c r="JDO16" s="58" t="s">
        <v>81</v>
      </c>
      <c r="JDP16" s="284"/>
      <c r="JDQ16" s="259" t="s">
        <v>55</v>
      </c>
      <c r="JDR16" s="256" t="s">
        <v>76</v>
      </c>
      <c r="JDS16" s="256" t="s">
        <v>77</v>
      </c>
      <c r="JDT16" s="256" t="s">
        <v>78</v>
      </c>
      <c r="JDU16" s="256" t="s">
        <v>79</v>
      </c>
      <c r="JDV16" s="256" t="s">
        <v>80</v>
      </c>
      <c r="JDW16" s="256" t="s">
        <v>81</v>
      </c>
      <c r="JDX16" s="283"/>
      <c r="JDY16" s="259" t="s">
        <v>55</v>
      </c>
      <c r="JDZ16" s="256" t="s">
        <v>76</v>
      </c>
      <c r="JEA16" s="256" t="s">
        <v>77</v>
      </c>
      <c r="JEB16" s="256" t="s">
        <v>78</v>
      </c>
      <c r="JEC16" s="256" t="s">
        <v>79</v>
      </c>
      <c r="JED16" s="256" t="s">
        <v>80</v>
      </c>
      <c r="JEE16" s="58" t="s">
        <v>81</v>
      </c>
      <c r="JEF16" s="284"/>
      <c r="JEG16" s="259" t="s">
        <v>55</v>
      </c>
      <c r="JEH16" s="256" t="s">
        <v>76</v>
      </c>
      <c r="JEI16" s="256" t="s">
        <v>77</v>
      </c>
      <c r="JEJ16" s="256" t="s">
        <v>78</v>
      </c>
      <c r="JEK16" s="256" t="s">
        <v>79</v>
      </c>
      <c r="JEL16" s="256" t="s">
        <v>80</v>
      </c>
      <c r="JEM16" s="256" t="s">
        <v>81</v>
      </c>
      <c r="JEN16" s="283"/>
      <c r="JEO16" s="259" t="s">
        <v>55</v>
      </c>
      <c r="JEP16" s="256" t="s">
        <v>76</v>
      </c>
      <c r="JEQ16" s="256" t="s">
        <v>77</v>
      </c>
      <c r="JER16" s="256" t="s">
        <v>78</v>
      </c>
      <c r="JES16" s="256" t="s">
        <v>79</v>
      </c>
      <c r="JET16" s="256" t="s">
        <v>80</v>
      </c>
      <c r="JEU16" s="58" t="s">
        <v>81</v>
      </c>
      <c r="JEV16" s="284"/>
      <c r="JEW16" s="259" t="s">
        <v>55</v>
      </c>
      <c r="JEX16" s="256" t="s">
        <v>76</v>
      </c>
      <c r="JEY16" s="256" t="s">
        <v>77</v>
      </c>
      <c r="JEZ16" s="256" t="s">
        <v>78</v>
      </c>
      <c r="JFA16" s="256" t="s">
        <v>79</v>
      </c>
      <c r="JFB16" s="256" t="s">
        <v>80</v>
      </c>
      <c r="JFC16" s="256" t="s">
        <v>81</v>
      </c>
      <c r="JFD16" s="283"/>
      <c r="JFE16" s="259" t="s">
        <v>55</v>
      </c>
      <c r="JFF16" s="256" t="s">
        <v>76</v>
      </c>
      <c r="JFG16" s="256" t="s">
        <v>77</v>
      </c>
      <c r="JFH16" s="256" t="s">
        <v>78</v>
      </c>
      <c r="JFI16" s="256" t="s">
        <v>79</v>
      </c>
      <c r="JFJ16" s="256" t="s">
        <v>80</v>
      </c>
      <c r="JFK16" s="58" t="s">
        <v>81</v>
      </c>
      <c r="JFL16" s="284"/>
      <c r="JFM16" s="259" t="s">
        <v>55</v>
      </c>
      <c r="JFN16" s="256" t="s">
        <v>76</v>
      </c>
      <c r="JFO16" s="256" t="s">
        <v>77</v>
      </c>
      <c r="JFP16" s="256" t="s">
        <v>78</v>
      </c>
      <c r="JFQ16" s="256" t="s">
        <v>79</v>
      </c>
      <c r="JFR16" s="256" t="s">
        <v>80</v>
      </c>
      <c r="JFS16" s="256" t="s">
        <v>81</v>
      </c>
      <c r="JFT16" s="283"/>
      <c r="JFU16" s="259" t="s">
        <v>55</v>
      </c>
      <c r="JFV16" s="256" t="s">
        <v>76</v>
      </c>
      <c r="JFW16" s="256" t="s">
        <v>77</v>
      </c>
      <c r="JFX16" s="256" t="s">
        <v>78</v>
      </c>
      <c r="JFY16" s="256" t="s">
        <v>79</v>
      </c>
      <c r="JFZ16" s="256" t="s">
        <v>80</v>
      </c>
      <c r="JGA16" s="58" t="s">
        <v>81</v>
      </c>
      <c r="JGB16" s="284"/>
      <c r="JGC16" s="259" t="s">
        <v>55</v>
      </c>
      <c r="JGD16" s="256" t="s">
        <v>76</v>
      </c>
      <c r="JGE16" s="256" t="s">
        <v>77</v>
      </c>
      <c r="JGF16" s="256" t="s">
        <v>78</v>
      </c>
      <c r="JGG16" s="256" t="s">
        <v>79</v>
      </c>
      <c r="JGH16" s="256" t="s">
        <v>80</v>
      </c>
      <c r="JGI16" s="256" t="s">
        <v>81</v>
      </c>
      <c r="JGJ16" s="283"/>
      <c r="JGK16" s="259" t="s">
        <v>55</v>
      </c>
      <c r="JGL16" s="256" t="s">
        <v>76</v>
      </c>
      <c r="JGM16" s="256" t="s">
        <v>77</v>
      </c>
      <c r="JGN16" s="256" t="s">
        <v>78</v>
      </c>
      <c r="JGO16" s="256" t="s">
        <v>79</v>
      </c>
      <c r="JGP16" s="256" t="s">
        <v>80</v>
      </c>
      <c r="JGQ16" s="58" t="s">
        <v>81</v>
      </c>
      <c r="JGR16" s="284"/>
      <c r="JGS16" s="259" t="s">
        <v>55</v>
      </c>
      <c r="JGT16" s="256" t="s">
        <v>76</v>
      </c>
      <c r="JGU16" s="256" t="s">
        <v>77</v>
      </c>
      <c r="JGV16" s="256" t="s">
        <v>78</v>
      </c>
      <c r="JGW16" s="256" t="s">
        <v>79</v>
      </c>
      <c r="JGX16" s="256" t="s">
        <v>80</v>
      </c>
      <c r="JGY16" s="256" t="s">
        <v>81</v>
      </c>
      <c r="JGZ16" s="283"/>
      <c r="JHA16" s="259" t="s">
        <v>55</v>
      </c>
      <c r="JHB16" s="256" t="s">
        <v>76</v>
      </c>
      <c r="JHC16" s="256" t="s">
        <v>77</v>
      </c>
      <c r="JHD16" s="256" t="s">
        <v>78</v>
      </c>
      <c r="JHE16" s="256" t="s">
        <v>79</v>
      </c>
      <c r="JHF16" s="256" t="s">
        <v>80</v>
      </c>
      <c r="JHG16" s="58" t="s">
        <v>81</v>
      </c>
      <c r="JHH16" s="284"/>
      <c r="JHI16" s="259" t="s">
        <v>55</v>
      </c>
      <c r="JHJ16" s="256" t="s">
        <v>76</v>
      </c>
      <c r="JHK16" s="256" t="s">
        <v>77</v>
      </c>
      <c r="JHL16" s="256" t="s">
        <v>78</v>
      </c>
      <c r="JHM16" s="256" t="s">
        <v>79</v>
      </c>
      <c r="JHN16" s="256" t="s">
        <v>80</v>
      </c>
      <c r="JHO16" s="256" t="s">
        <v>81</v>
      </c>
      <c r="JHP16" s="283"/>
      <c r="JHQ16" s="259" t="s">
        <v>55</v>
      </c>
      <c r="JHR16" s="256" t="s">
        <v>76</v>
      </c>
      <c r="JHS16" s="256" t="s">
        <v>77</v>
      </c>
      <c r="JHT16" s="256" t="s">
        <v>78</v>
      </c>
      <c r="JHU16" s="256" t="s">
        <v>79</v>
      </c>
      <c r="JHV16" s="256" t="s">
        <v>80</v>
      </c>
      <c r="JHW16" s="58" t="s">
        <v>81</v>
      </c>
      <c r="JHX16" s="284"/>
      <c r="JHY16" s="259" t="s">
        <v>55</v>
      </c>
      <c r="JHZ16" s="256" t="s">
        <v>76</v>
      </c>
      <c r="JIA16" s="256" t="s">
        <v>77</v>
      </c>
      <c r="JIB16" s="256" t="s">
        <v>78</v>
      </c>
      <c r="JIC16" s="256" t="s">
        <v>79</v>
      </c>
      <c r="JID16" s="256" t="s">
        <v>80</v>
      </c>
      <c r="JIE16" s="256" t="s">
        <v>81</v>
      </c>
      <c r="JIF16" s="283"/>
      <c r="JIG16" s="259" t="s">
        <v>55</v>
      </c>
      <c r="JIH16" s="256" t="s">
        <v>76</v>
      </c>
      <c r="JII16" s="256" t="s">
        <v>77</v>
      </c>
      <c r="JIJ16" s="256" t="s">
        <v>78</v>
      </c>
      <c r="JIK16" s="256" t="s">
        <v>79</v>
      </c>
      <c r="JIL16" s="256" t="s">
        <v>80</v>
      </c>
      <c r="JIM16" s="58" t="s">
        <v>81</v>
      </c>
      <c r="JIN16" s="284"/>
      <c r="JIO16" s="259" t="s">
        <v>55</v>
      </c>
      <c r="JIP16" s="256" t="s">
        <v>76</v>
      </c>
      <c r="JIQ16" s="256" t="s">
        <v>77</v>
      </c>
      <c r="JIR16" s="256" t="s">
        <v>78</v>
      </c>
      <c r="JIS16" s="256" t="s">
        <v>79</v>
      </c>
      <c r="JIT16" s="256" t="s">
        <v>80</v>
      </c>
      <c r="JIU16" s="256" t="s">
        <v>81</v>
      </c>
      <c r="JIV16" s="283"/>
      <c r="JIW16" s="259" t="s">
        <v>55</v>
      </c>
      <c r="JIX16" s="256" t="s">
        <v>76</v>
      </c>
      <c r="JIY16" s="256" t="s">
        <v>77</v>
      </c>
      <c r="JIZ16" s="256" t="s">
        <v>78</v>
      </c>
      <c r="JJA16" s="256" t="s">
        <v>79</v>
      </c>
      <c r="JJB16" s="256" t="s">
        <v>80</v>
      </c>
      <c r="JJC16" s="58" t="s">
        <v>81</v>
      </c>
      <c r="JJD16" s="284"/>
      <c r="JJE16" s="259" t="s">
        <v>55</v>
      </c>
      <c r="JJF16" s="256" t="s">
        <v>76</v>
      </c>
      <c r="JJG16" s="256" t="s">
        <v>77</v>
      </c>
      <c r="JJH16" s="256" t="s">
        <v>78</v>
      </c>
      <c r="JJI16" s="256" t="s">
        <v>79</v>
      </c>
      <c r="JJJ16" s="256" t="s">
        <v>80</v>
      </c>
      <c r="JJK16" s="256" t="s">
        <v>81</v>
      </c>
      <c r="JJL16" s="283"/>
      <c r="JJM16" s="259" t="s">
        <v>55</v>
      </c>
      <c r="JJN16" s="256" t="s">
        <v>76</v>
      </c>
      <c r="JJO16" s="256" t="s">
        <v>77</v>
      </c>
      <c r="JJP16" s="256" t="s">
        <v>78</v>
      </c>
      <c r="JJQ16" s="256" t="s">
        <v>79</v>
      </c>
      <c r="JJR16" s="256" t="s">
        <v>80</v>
      </c>
      <c r="JJS16" s="58" t="s">
        <v>81</v>
      </c>
      <c r="JJT16" s="284"/>
      <c r="JJU16" s="259" t="s">
        <v>55</v>
      </c>
      <c r="JJV16" s="256" t="s">
        <v>76</v>
      </c>
      <c r="JJW16" s="256" t="s">
        <v>77</v>
      </c>
      <c r="JJX16" s="256" t="s">
        <v>78</v>
      </c>
      <c r="JJY16" s="256" t="s">
        <v>79</v>
      </c>
      <c r="JJZ16" s="256" t="s">
        <v>80</v>
      </c>
      <c r="JKA16" s="256" t="s">
        <v>81</v>
      </c>
      <c r="JKB16" s="283"/>
      <c r="JKC16" s="259" t="s">
        <v>55</v>
      </c>
      <c r="JKD16" s="256" t="s">
        <v>76</v>
      </c>
      <c r="JKE16" s="256" t="s">
        <v>77</v>
      </c>
      <c r="JKF16" s="256" t="s">
        <v>78</v>
      </c>
      <c r="JKG16" s="256" t="s">
        <v>79</v>
      </c>
      <c r="JKH16" s="256" t="s">
        <v>80</v>
      </c>
      <c r="JKI16" s="58" t="s">
        <v>81</v>
      </c>
      <c r="JKJ16" s="284"/>
      <c r="JKK16" s="259" t="s">
        <v>55</v>
      </c>
      <c r="JKL16" s="256" t="s">
        <v>76</v>
      </c>
      <c r="JKM16" s="256" t="s">
        <v>77</v>
      </c>
      <c r="JKN16" s="256" t="s">
        <v>78</v>
      </c>
      <c r="JKO16" s="256" t="s">
        <v>79</v>
      </c>
      <c r="JKP16" s="256" t="s">
        <v>80</v>
      </c>
      <c r="JKQ16" s="256" t="s">
        <v>81</v>
      </c>
      <c r="JKR16" s="283"/>
      <c r="JKS16" s="259" t="s">
        <v>55</v>
      </c>
      <c r="JKT16" s="256" t="s">
        <v>76</v>
      </c>
      <c r="JKU16" s="256" t="s">
        <v>77</v>
      </c>
      <c r="JKV16" s="256" t="s">
        <v>78</v>
      </c>
      <c r="JKW16" s="256" t="s">
        <v>79</v>
      </c>
      <c r="JKX16" s="256" t="s">
        <v>80</v>
      </c>
      <c r="JKY16" s="58" t="s">
        <v>81</v>
      </c>
      <c r="JKZ16" s="284"/>
      <c r="JLA16" s="259" t="s">
        <v>55</v>
      </c>
      <c r="JLB16" s="256" t="s">
        <v>76</v>
      </c>
      <c r="JLC16" s="256" t="s">
        <v>77</v>
      </c>
      <c r="JLD16" s="256" t="s">
        <v>78</v>
      </c>
      <c r="JLE16" s="256" t="s">
        <v>79</v>
      </c>
      <c r="JLF16" s="256" t="s">
        <v>80</v>
      </c>
      <c r="JLG16" s="256" t="s">
        <v>81</v>
      </c>
      <c r="JLH16" s="283"/>
      <c r="JLI16" s="259" t="s">
        <v>55</v>
      </c>
      <c r="JLJ16" s="256" t="s">
        <v>76</v>
      </c>
      <c r="JLK16" s="256" t="s">
        <v>77</v>
      </c>
      <c r="JLL16" s="256" t="s">
        <v>78</v>
      </c>
      <c r="JLM16" s="256" t="s">
        <v>79</v>
      </c>
      <c r="JLN16" s="256" t="s">
        <v>80</v>
      </c>
      <c r="JLO16" s="58" t="s">
        <v>81</v>
      </c>
      <c r="JLP16" s="284"/>
      <c r="JLQ16" s="259" t="s">
        <v>55</v>
      </c>
      <c r="JLR16" s="256" t="s">
        <v>76</v>
      </c>
      <c r="JLS16" s="256" t="s">
        <v>77</v>
      </c>
      <c r="JLT16" s="256" t="s">
        <v>78</v>
      </c>
      <c r="JLU16" s="256" t="s">
        <v>79</v>
      </c>
      <c r="JLV16" s="256" t="s">
        <v>80</v>
      </c>
      <c r="JLW16" s="256" t="s">
        <v>81</v>
      </c>
      <c r="JLX16" s="283"/>
      <c r="JLY16" s="259" t="s">
        <v>55</v>
      </c>
      <c r="JLZ16" s="256" t="s">
        <v>76</v>
      </c>
      <c r="JMA16" s="256" t="s">
        <v>77</v>
      </c>
      <c r="JMB16" s="256" t="s">
        <v>78</v>
      </c>
      <c r="JMC16" s="256" t="s">
        <v>79</v>
      </c>
      <c r="JMD16" s="256" t="s">
        <v>80</v>
      </c>
      <c r="JME16" s="58" t="s">
        <v>81</v>
      </c>
      <c r="JMF16" s="284"/>
      <c r="JMG16" s="259" t="s">
        <v>55</v>
      </c>
      <c r="JMH16" s="256" t="s">
        <v>76</v>
      </c>
      <c r="JMI16" s="256" t="s">
        <v>77</v>
      </c>
      <c r="JMJ16" s="256" t="s">
        <v>78</v>
      </c>
      <c r="JMK16" s="256" t="s">
        <v>79</v>
      </c>
      <c r="JML16" s="256" t="s">
        <v>80</v>
      </c>
      <c r="JMM16" s="256" t="s">
        <v>81</v>
      </c>
      <c r="JMN16" s="283"/>
      <c r="JMO16" s="259" t="s">
        <v>55</v>
      </c>
      <c r="JMP16" s="256" t="s">
        <v>76</v>
      </c>
      <c r="JMQ16" s="256" t="s">
        <v>77</v>
      </c>
      <c r="JMR16" s="256" t="s">
        <v>78</v>
      </c>
      <c r="JMS16" s="256" t="s">
        <v>79</v>
      </c>
      <c r="JMT16" s="256" t="s">
        <v>80</v>
      </c>
      <c r="JMU16" s="58" t="s">
        <v>81</v>
      </c>
      <c r="JMV16" s="284"/>
      <c r="JMW16" s="259" t="s">
        <v>55</v>
      </c>
      <c r="JMX16" s="256" t="s">
        <v>76</v>
      </c>
      <c r="JMY16" s="256" t="s">
        <v>77</v>
      </c>
      <c r="JMZ16" s="256" t="s">
        <v>78</v>
      </c>
      <c r="JNA16" s="256" t="s">
        <v>79</v>
      </c>
      <c r="JNB16" s="256" t="s">
        <v>80</v>
      </c>
      <c r="JNC16" s="256" t="s">
        <v>81</v>
      </c>
      <c r="JND16" s="283"/>
      <c r="JNE16" s="259" t="s">
        <v>55</v>
      </c>
      <c r="JNF16" s="256" t="s">
        <v>76</v>
      </c>
      <c r="JNG16" s="256" t="s">
        <v>77</v>
      </c>
      <c r="JNH16" s="256" t="s">
        <v>78</v>
      </c>
      <c r="JNI16" s="256" t="s">
        <v>79</v>
      </c>
      <c r="JNJ16" s="256" t="s">
        <v>80</v>
      </c>
      <c r="JNK16" s="58" t="s">
        <v>81</v>
      </c>
      <c r="JNL16" s="284"/>
      <c r="JNM16" s="259" t="s">
        <v>55</v>
      </c>
      <c r="JNN16" s="256" t="s">
        <v>76</v>
      </c>
      <c r="JNO16" s="256" t="s">
        <v>77</v>
      </c>
      <c r="JNP16" s="256" t="s">
        <v>78</v>
      </c>
      <c r="JNQ16" s="256" t="s">
        <v>79</v>
      </c>
      <c r="JNR16" s="256" t="s">
        <v>80</v>
      </c>
      <c r="JNS16" s="256" t="s">
        <v>81</v>
      </c>
      <c r="JNT16" s="283"/>
      <c r="JNU16" s="259" t="s">
        <v>55</v>
      </c>
      <c r="JNV16" s="256" t="s">
        <v>76</v>
      </c>
      <c r="JNW16" s="256" t="s">
        <v>77</v>
      </c>
      <c r="JNX16" s="256" t="s">
        <v>78</v>
      </c>
      <c r="JNY16" s="256" t="s">
        <v>79</v>
      </c>
      <c r="JNZ16" s="256" t="s">
        <v>80</v>
      </c>
      <c r="JOA16" s="58" t="s">
        <v>81</v>
      </c>
      <c r="JOB16" s="284"/>
      <c r="JOC16" s="259" t="s">
        <v>55</v>
      </c>
      <c r="JOD16" s="256" t="s">
        <v>76</v>
      </c>
      <c r="JOE16" s="256" t="s">
        <v>77</v>
      </c>
      <c r="JOF16" s="256" t="s">
        <v>78</v>
      </c>
      <c r="JOG16" s="256" t="s">
        <v>79</v>
      </c>
      <c r="JOH16" s="256" t="s">
        <v>80</v>
      </c>
      <c r="JOI16" s="256" t="s">
        <v>81</v>
      </c>
      <c r="JOJ16" s="283"/>
      <c r="JOK16" s="259" t="s">
        <v>55</v>
      </c>
      <c r="JOL16" s="256" t="s">
        <v>76</v>
      </c>
      <c r="JOM16" s="256" t="s">
        <v>77</v>
      </c>
      <c r="JON16" s="256" t="s">
        <v>78</v>
      </c>
      <c r="JOO16" s="256" t="s">
        <v>79</v>
      </c>
      <c r="JOP16" s="256" t="s">
        <v>80</v>
      </c>
      <c r="JOQ16" s="58" t="s">
        <v>81</v>
      </c>
      <c r="JOR16" s="284"/>
      <c r="JOS16" s="259" t="s">
        <v>55</v>
      </c>
      <c r="JOT16" s="256" t="s">
        <v>76</v>
      </c>
      <c r="JOU16" s="256" t="s">
        <v>77</v>
      </c>
      <c r="JOV16" s="256" t="s">
        <v>78</v>
      </c>
      <c r="JOW16" s="256" t="s">
        <v>79</v>
      </c>
      <c r="JOX16" s="256" t="s">
        <v>80</v>
      </c>
      <c r="JOY16" s="256" t="s">
        <v>81</v>
      </c>
      <c r="JOZ16" s="283"/>
      <c r="JPA16" s="259" t="s">
        <v>55</v>
      </c>
      <c r="JPB16" s="256" t="s">
        <v>76</v>
      </c>
      <c r="JPC16" s="256" t="s">
        <v>77</v>
      </c>
      <c r="JPD16" s="256" t="s">
        <v>78</v>
      </c>
      <c r="JPE16" s="256" t="s">
        <v>79</v>
      </c>
      <c r="JPF16" s="256" t="s">
        <v>80</v>
      </c>
      <c r="JPG16" s="58" t="s">
        <v>81</v>
      </c>
      <c r="JPH16" s="284"/>
      <c r="JPI16" s="259" t="s">
        <v>55</v>
      </c>
      <c r="JPJ16" s="256" t="s">
        <v>76</v>
      </c>
      <c r="JPK16" s="256" t="s">
        <v>77</v>
      </c>
      <c r="JPL16" s="256" t="s">
        <v>78</v>
      </c>
      <c r="JPM16" s="256" t="s">
        <v>79</v>
      </c>
      <c r="JPN16" s="256" t="s">
        <v>80</v>
      </c>
      <c r="JPO16" s="256" t="s">
        <v>81</v>
      </c>
      <c r="JPP16" s="283"/>
      <c r="JPQ16" s="259" t="s">
        <v>55</v>
      </c>
      <c r="JPR16" s="256" t="s">
        <v>76</v>
      </c>
      <c r="JPS16" s="256" t="s">
        <v>77</v>
      </c>
      <c r="JPT16" s="256" t="s">
        <v>78</v>
      </c>
      <c r="JPU16" s="256" t="s">
        <v>79</v>
      </c>
      <c r="JPV16" s="256" t="s">
        <v>80</v>
      </c>
      <c r="JPW16" s="58" t="s">
        <v>81</v>
      </c>
      <c r="JPX16" s="284"/>
      <c r="JPY16" s="259" t="s">
        <v>55</v>
      </c>
      <c r="JPZ16" s="256" t="s">
        <v>76</v>
      </c>
      <c r="JQA16" s="256" t="s">
        <v>77</v>
      </c>
      <c r="JQB16" s="256" t="s">
        <v>78</v>
      </c>
      <c r="JQC16" s="256" t="s">
        <v>79</v>
      </c>
      <c r="JQD16" s="256" t="s">
        <v>80</v>
      </c>
      <c r="JQE16" s="256" t="s">
        <v>81</v>
      </c>
      <c r="JQF16" s="283"/>
      <c r="JQG16" s="259" t="s">
        <v>55</v>
      </c>
      <c r="JQH16" s="256" t="s">
        <v>76</v>
      </c>
      <c r="JQI16" s="256" t="s">
        <v>77</v>
      </c>
      <c r="JQJ16" s="256" t="s">
        <v>78</v>
      </c>
      <c r="JQK16" s="256" t="s">
        <v>79</v>
      </c>
      <c r="JQL16" s="256" t="s">
        <v>80</v>
      </c>
      <c r="JQM16" s="58" t="s">
        <v>81</v>
      </c>
      <c r="JQN16" s="284"/>
      <c r="JQO16" s="259" t="s">
        <v>55</v>
      </c>
      <c r="JQP16" s="256" t="s">
        <v>76</v>
      </c>
      <c r="JQQ16" s="256" t="s">
        <v>77</v>
      </c>
      <c r="JQR16" s="256" t="s">
        <v>78</v>
      </c>
      <c r="JQS16" s="256" t="s">
        <v>79</v>
      </c>
      <c r="JQT16" s="256" t="s">
        <v>80</v>
      </c>
      <c r="JQU16" s="256" t="s">
        <v>81</v>
      </c>
      <c r="JQV16" s="283"/>
      <c r="JQW16" s="259" t="s">
        <v>55</v>
      </c>
      <c r="JQX16" s="256" t="s">
        <v>76</v>
      </c>
      <c r="JQY16" s="256" t="s">
        <v>77</v>
      </c>
      <c r="JQZ16" s="256" t="s">
        <v>78</v>
      </c>
      <c r="JRA16" s="256" t="s">
        <v>79</v>
      </c>
      <c r="JRB16" s="256" t="s">
        <v>80</v>
      </c>
      <c r="JRC16" s="58" t="s">
        <v>81</v>
      </c>
      <c r="JRD16" s="284"/>
      <c r="JRE16" s="259" t="s">
        <v>55</v>
      </c>
      <c r="JRF16" s="256" t="s">
        <v>76</v>
      </c>
      <c r="JRG16" s="256" t="s">
        <v>77</v>
      </c>
      <c r="JRH16" s="256" t="s">
        <v>78</v>
      </c>
      <c r="JRI16" s="256" t="s">
        <v>79</v>
      </c>
      <c r="JRJ16" s="256" t="s">
        <v>80</v>
      </c>
      <c r="JRK16" s="256" t="s">
        <v>81</v>
      </c>
      <c r="JRL16" s="283"/>
      <c r="JRM16" s="259" t="s">
        <v>55</v>
      </c>
      <c r="JRN16" s="256" t="s">
        <v>76</v>
      </c>
      <c r="JRO16" s="256" t="s">
        <v>77</v>
      </c>
      <c r="JRP16" s="256" t="s">
        <v>78</v>
      </c>
      <c r="JRQ16" s="256" t="s">
        <v>79</v>
      </c>
      <c r="JRR16" s="256" t="s">
        <v>80</v>
      </c>
      <c r="JRS16" s="58" t="s">
        <v>81</v>
      </c>
      <c r="JRT16" s="284"/>
      <c r="JRU16" s="259" t="s">
        <v>55</v>
      </c>
      <c r="JRV16" s="256" t="s">
        <v>76</v>
      </c>
      <c r="JRW16" s="256" t="s">
        <v>77</v>
      </c>
      <c r="JRX16" s="256" t="s">
        <v>78</v>
      </c>
      <c r="JRY16" s="256" t="s">
        <v>79</v>
      </c>
      <c r="JRZ16" s="256" t="s">
        <v>80</v>
      </c>
      <c r="JSA16" s="256" t="s">
        <v>81</v>
      </c>
      <c r="JSB16" s="283"/>
      <c r="JSC16" s="259" t="s">
        <v>55</v>
      </c>
      <c r="JSD16" s="256" t="s">
        <v>76</v>
      </c>
      <c r="JSE16" s="256" t="s">
        <v>77</v>
      </c>
      <c r="JSF16" s="256" t="s">
        <v>78</v>
      </c>
      <c r="JSG16" s="256" t="s">
        <v>79</v>
      </c>
      <c r="JSH16" s="256" t="s">
        <v>80</v>
      </c>
      <c r="JSI16" s="58" t="s">
        <v>81</v>
      </c>
      <c r="JSJ16" s="284"/>
      <c r="JSK16" s="259" t="s">
        <v>55</v>
      </c>
      <c r="JSL16" s="256" t="s">
        <v>76</v>
      </c>
      <c r="JSM16" s="256" t="s">
        <v>77</v>
      </c>
      <c r="JSN16" s="256" t="s">
        <v>78</v>
      </c>
      <c r="JSO16" s="256" t="s">
        <v>79</v>
      </c>
      <c r="JSP16" s="256" t="s">
        <v>80</v>
      </c>
      <c r="JSQ16" s="256" t="s">
        <v>81</v>
      </c>
      <c r="JSR16" s="283"/>
      <c r="JSS16" s="259" t="s">
        <v>55</v>
      </c>
      <c r="JST16" s="256" t="s">
        <v>76</v>
      </c>
      <c r="JSU16" s="256" t="s">
        <v>77</v>
      </c>
      <c r="JSV16" s="256" t="s">
        <v>78</v>
      </c>
      <c r="JSW16" s="256" t="s">
        <v>79</v>
      </c>
      <c r="JSX16" s="256" t="s">
        <v>80</v>
      </c>
      <c r="JSY16" s="58" t="s">
        <v>81</v>
      </c>
      <c r="JSZ16" s="284"/>
      <c r="JTA16" s="259" t="s">
        <v>55</v>
      </c>
      <c r="JTB16" s="256" t="s">
        <v>76</v>
      </c>
      <c r="JTC16" s="256" t="s">
        <v>77</v>
      </c>
      <c r="JTD16" s="256" t="s">
        <v>78</v>
      </c>
      <c r="JTE16" s="256" t="s">
        <v>79</v>
      </c>
      <c r="JTF16" s="256" t="s">
        <v>80</v>
      </c>
      <c r="JTG16" s="256" t="s">
        <v>81</v>
      </c>
      <c r="JTH16" s="283"/>
      <c r="JTI16" s="259" t="s">
        <v>55</v>
      </c>
      <c r="JTJ16" s="256" t="s">
        <v>76</v>
      </c>
      <c r="JTK16" s="256" t="s">
        <v>77</v>
      </c>
      <c r="JTL16" s="256" t="s">
        <v>78</v>
      </c>
      <c r="JTM16" s="256" t="s">
        <v>79</v>
      </c>
      <c r="JTN16" s="256" t="s">
        <v>80</v>
      </c>
      <c r="JTO16" s="58" t="s">
        <v>81</v>
      </c>
      <c r="JTP16" s="284"/>
      <c r="JTQ16" s="259" t="s">
        <v>55</v>
      </c>
      <c r="JTR16" s="256" t="s">
        <v>76</v>
      </c>
      <c r="JTS16" s="256" t="s">
        <v>77</v>
      </c>
      <c r="JTT16" s="256" t="s">
        <v>78</v>
      </c>
      <c r="JTU16" s="256" t="s">
        <v>79</v>
      </c>
      <c r="JTV16" s="256" t="s">
        <v>80</v>
      </c>
      <c r="JTW16" s="256" t="s">
        <v>81</v>
      </c>
      <c r="JTX16" s="283"/>
      <c r="JTY16" s="259" t="s">
        <v>55</v>
      </c>
      <c r="JTZ16" s="256" t="s">
        <v>76</v>
      </c>
      <c r="JUA16" s="256" t="s">
        <v>77</v>
      </c>
      <c r="JUB16" s="256" t="s">
        <v>78</v>
      </c>
      <c r="JUC16" s="256" t="s">
        <v>79</v>
      </c>
      <c r="JUD16" s="256" t="s">
        <v>80</v>
      </c>
      <c r="JUE16" s="58" t="s">
        <v>81</v>
      </c>
      <c r="JUF16" s="284"/>
      <c r="JUG16" s="259" t="s">
        <v>55</v>
      </c>
      <c r="JUH16" s="256" t="s">
        <v>76</v>
      </c>
      <c r="JUI16" s="256" t="s">
        <v>77</v>
      </c>
      <c r="JUJ16" s="256" t="s">
        <v>78</v>
      </c>
      <c r="JUK16" s="256" t="s">
        <v>79</v>
      </c>
      <c r="JUL16" s="256" t="s">
        <v>80</v>
      </c>
      <c r="JUM16" s="256" t="s">
        <v>81</v>
      </c>
      <c r="JUN16" s="283"/>
      <c r="JUO16" s="259" t="s">
        <v>55</v>
      </c>
      <c r="JUP16" s="256" t="s">
        <v>76</v>
      </c>
      <c r="JUQ16" s="256" t="s">
        <v>77</v>
      </c>
      <c r="JUR16" s="256" t="s">
        <v>78</v>
      </c>
      <c r="JUS16" s="256" t="s">
        <v>79</v>
      </c>
      <c r="JUT16" s="256" t="s">
        <v>80</v>
      </c>
      <c r="JUU16" s="58" t="s">
        <v>81</v>
      </c>
      <c r="JUV16" s="284"/>
      <c r="JUW16" s="259" t="s">
        <v>55</v>
      </c>
      <c r="JUX16" s="256" t="s">
        <v>76</v>
      </c>
      <c r="JUY16" s="256" t="s">
        <v>77</v>
      </c>
      <c r="JUZ16" s="256" t="s">
        <v>78</v>
      </c>
      <c r="JVA16" s="256" t="s">
        <v>79</v>
      </c>
      <c r="JVB16" s="256" t="s">
        <v>80</v>
      </c>
      <c r="JVC16" s="256" t="s">
        <v>81</v>
      </c>
      <c r="JVD16" s="283"/>
      <c r="JVE16" s="259" t="s">
        <v>55</v>
      </c>
      <c r="JVF16" s="256" t="s">
        <v>76</v>
      </c>
      <c r="JVG16" s="256" t="s">
        <v>77</v>
      </c>
      <c r="JVH16" s="256" t="s">
        <v>78</v>
      </c>
      <c r="JVI16" s="256" t="s">
        <v>79</v>
      </c>
      <c r="JVJ16" s="256" t="s">
        <v>80</v>
      </c>
      <c r="JVK16" s="58" t="s">
        <v>81</v>
      </c>
      <c r="JVL16" s="284"/>
      <c r="JVM16" s="259" t="s">
        <v>55</v>
      </c>
      <c r="JVN16" s="256" t="s">
        <v>76</v>
      </c>
      <c r="JVO16" s="256" t="s">
        <v>77</v>
      </c>
      <c r="JVP16" s="256" t="s">
        <v>78</v>
      </c>
      <c r="JVQ16" s="256" t="s">
        <v>79</v>
      </c>
      <c r="JVR16" s="256" t="s">
        <v>80</v>
      </c>
      <c r="JVS16" s="256" t="s">
        <v>81</v>
      </c>
      <c r="JVT16" s="283"/>
      <c r="JVU16" s="259" t="s">
        <v>55</v>
      </c>
      <c r="JVV16" s="256" t="s">
        <v>76</v>
      </c>
      <c r="JVW16" s="256" t="s">
        <v>77</v>
      </c>
      <c r="JVX16" s="256" t="s">
        <v>78</v>
      </c>
      <c r="JVY16" s="256" t="s">
        <v>79</v>
      </c>
      <c r="JVZ16" s="256" t="s">
        <v>80</v>
      </c>
      <c r="JWA16" s="58" t="s">
        <v>81</v>
      </c>
      <c r="JWB16" s="284"/>
      <c r="JWC16" s="259" t="s">
        <v>55</v>
      </c>
      <c r="JWD16" s="256" t="s">
        <v>76</v>
      </c>
      <c r="JWE16" s="256" t="s">
        <v>77</v>
      </c>
      <c r="JWF16" s="256" t="s">
        <v>78</v>
      </c>
      <c r="JWG16" s="256" t="s">
        <v>79</v>
      </c>
      <c r="JWH16" s="256" t="s">
        <v>80</v>
      </c>
      <c r="JWI16" s="256" t="s">
        <v>81</v>
      </c>
      <c r="JWJ16" s="283"/>
      <c r="JWK16" s="259" t="s">
        <v>55</v>
      </c>
      <c r="JWL16" s="256" t="s">
        <v>76</v>
      </c>
      <c r="JWM16" s="256" t="s">
        <v>77</v>
      </c>
      <c r="JWN16" s="256" t="s">
        <v>78</v>
      </c>
      <c r="JWO16" s="256" t="s">
        <v>79</v>
      </c>
      <c r="JWP16" s="256" t="s">
        <v>80</v>
      </c>
      <c r="JWQ16" s="58" t="s">
        <v>81</v>
      </c>
      <c r="JWR16" s="284"/>
      <c r="JWS16" s="259" t="s">
        <v>55</v>
      </c>
      <c r="JWT16" s="256" t="s">
        <v>76</v>
      </c>
      <c r="JWU16" s="256" t="s">
        <v>77</v>
      </c>
      <c r="JWV16" s="256" t="s">
        <v>78</v>
      </c>
      <c r="JWW16" s="256" t="s">
        <v>79</v>
      </c>
      <c r="JWX16" s="256" t="s">
        <v>80</v>
      </c>
      <c r="JWY16" s="256" t="s">
        <v>81</v>
      </c>
      <c r="JWZ16" s="283"/>
      <c r="JXA16" s="259" t="s">
        <v>55</v>
      </c>
      <c r="JXB16" s="256" t="s">
        <v>76</v>
      </c>
      <c r="JXC16" s="256" t="s">
        <v>77</v>
      </c>
      <c r="JXD16" s="256" t="s">
        <v>78</v>
      </c>
      <c r="JXE16" s="256" t="s">
        <v>79</v>
      </c>
      <c r="JXF16" s="256" t="s">
        <v>80</v>
      </c>
      <c r="JXG16" s="58" t="s">
        <v>81</v>
      </c>
      <c r="JXH16" s="284"/>
      <c r="JXI16" s="259" t="s">
        <v>55</v>
      </c>
      <c r="JXJ16" s="256" t="s">
        <v>76</v>
      </c>
      <c r="JXK16" s="256" t="s">
        <v>77</v>
      </c>
      <c r="JXL16" s="256" t="s">
        <v>78</v>
      </c>
      <c r="JXM16" s="256" t="s">
        <v>79</v>
      </c>
      <c r="JXN16" s="256" t="s">
        <v>80</v>
      </c>
      <c r="JXO16" s="256" t="s">
        <v>81</v>
      </c>
      <c r="JXP16" s="283"/>
      <c r="JXQ16" s="259" t="s">
        <v>55</v>
      </c>
      <c r="JXR16" s="256" t="s">
        <v>76</v>
      </c>
      <c r="JXS16" s="256" t="s">
        <v>77</v>
      </c>
      <c r="JXT16" s="256" t="s">
        <v>78</v>
      </c>
      <c r="JXU16" s="256" t="s">
        <v>79</v>
      </c>
      <c r="JXV16" s="256" t="s">
        <v>80</v>
      </c>
      <c r="JXW16" s="58" t="s">
        <v>81</v>
      </c>
      <c r="JXX16" s="284"/>
      <c r="JXY16" s="259" t="s">
        <v>55</v>
      </c>
      <c r="JXZ16" s="256" t="s">
        <v>76</v>
      </c>
      <c r="JYA16" s="256" t="s">
        <v>77</v>
      </c>
      <c r="JYB16" s="256" t="s">
        <v>78</v>
      </c>
      <c r="JYC16" s="256" t="s">
        <v>79</v>
      </c>
      <c r="JYD16" s="256" t="s">
        <v>80</v>
      </c>
      <c r="JYE16" s="256" t="s">
        <v>81</v>
      </c>
      <c r="JYF16" s="283"/>
      <c r="JYG16" s="259" t="s">
        <v>55</v>
      </c>
      <c r="JYH16" s="256" t="s">
        <v>76</v>
      </c>
      <c r="JYI16" s="256" t="s">
        <v>77</v>
      </c>
      <c r="JYJ16" s="256" t="s">
        <v>78</v>
      </c>
      <c r="JYK16" s="256" t="s">
        <v>79</v>
      </c>
      <c r="JYL16" s="256" t="s">
        <v>80</v>
      </c>
      <c r="JYM16" s="58" t="s">
        <v>81</v>
      </c>
      <c r="JYN16" s="284"/>
      <c r="JYO16" s="259" t="s">
        <v>55</v>
      </c>
      <c r="JYP16" s="256" t="s">
        <v>76</v>
      </c>
      <c r="JYQ16" s="256" t="s">
        <v>77</v>
      </c>
      <c r="JYR16" s="256" t="s">
        <v>78</v>
      </c>
      <c r="JYS16" s="256" t="s">
        <v>79</v>
      </c>
      <c r="JYT16" s="256" t="s">
        <v>80</v>
      </c>
      <c r="JYU16" s="256" t="s">
        <v>81</v>
      </c>
      <c r="JYV16" s="283"/>
      <c r="JYW16" s="259" t="s">
        <v>55</v>
      </c>
      <c r="JYX16" s="256" t="s">
        <v>76</v>
      </c>
      <c r="JYY16" s="256" t="s">
        <v>77</v>
      </c>
      <c r="JYZ16" s="256" t="s">
        <v>78</v>
      </c>
      <c r="JZA16" s="256" t="s">
        <v>79</v>
      </c>
      <c r="JZB16" s="256" t="s">
        <v>80</v>
      </c>
      <c r="JZC16" s="58" t="s">
        <v>81</v>
      </c>
      <c r="JZD16" s="284"/>
      <c r="JZE16" s="259" t="s">
        <v>55</v>
      </c>
      <c r="JZF16" s="256" t="s">
        <v>76</v>
      </c>
      <c r="JZG16" s="256" t="s">
        <v>77</v>
      </c>
      <c r="JZH16" s="256" t="s">
        <v>78</v>
      </c>
      <c r="JZI16" s="256" t="s">
        <v>79</v>
      </c>
      <c r="JZJ16" s="256" t="s">
        <v>80</v>
      </c>
      <c r="JZK16" s="256" t="s">
        <v>81</v>
      </c>
      <c r="JZL16" s="283"/>
      <c r="JZM16" s="259" t="s">
        <v>55</v>
      </c>
      <c r="JZN16" s="256" t="s">
        <v>76</v>
      </c>
      <c r="JZO16" s="256" t="s">
        <v>77</v>
      </c>
      <c r="JZP16" s="256" t="s">
        <v>78</v>
      </c>
      <c r="JZQ16" s="256" t="s">
        <v>79</v>
      </c>
      <c r="JZR16" s="256" t="s">
        <v>80</v>
      </c>
      <c r="JZS16" s="58" t="s">
        <v>81</v>
      </c>
      <c r="JZT16" s="284"/>
      <c r="JZU16" s="259" t="s">
        <v>55</v>
      </c>
      <c r="JZV16" s="256" t="s">
        <v>76</v>
      </c>
      <c r="JZW16" s="256" t="s">
        <v>77</v>
      </c>
      <c r="JZX16" s="256" t="s">
        <v>78</v>
      </c>
      <c r="JZY16" s="256" t="s">
        <v>79</v>
      </c>
      <c r="JZZ16" s="256" t="s">
        <v>80</v>
      </c>
      <c r="KAA16" s="256" t="s">
        <v>81</v>
      </c>
      <c r="KAB16" s="283"/>
      <c r="KAC16" s="259" t="s">
        <v>55</v>
      </c>
      <c r="KAD16" s="256" t="s">
        <v>76</v>
      </c>
      <c r="KAE16" s="256" t="s">
        <v>77</v>
      </c>
      <c r="KAF16" s="256" t="s">
        <v>78</v>
      </c>
      <c r="KAG16" s="256" t="s">
        <v>79</v>
      </c>
      <c r="KAH16" s="256" t="s">
        <v>80</v>
      </c>
      <c r="KAI16" s="58" t="s">
        <v>81</v>
      </c>
      <c r="KAJ16" s="284"/>
      <c r="KAK16" s="259" t="s">
        <v>55</v>
      </c>
      <c r="KAL16" s="256" t="s">
        <v>76</v>
      </c>
      <c r="KAM16" s="256" t="s">
        <v>77</v>
      </c>
      <c r="KAN16" s="256" t="s">
        <v>78</v>
      </c>
      <c r="KAO16" s="256" t="s">
        <v>79</v>
      </c>
      <c r="KAP16" s="256" t="s">
        <v>80</v>
      </c>
      <c r="KAQ16" s="256" t="s">
        <v>81</v>
      </c>
      <c r="KAR16" s="283"/>
      <c r="KAS16" s="259" t="s">
        <v>55</v>
      </c>
      <c r="KAT16" s="256" t="s">
        <v>76</v>
      </c>
      <c r="KAU16" s="256" t="s">
        <v>77</v>
      </c>
      <c r="KAV16" s="256" t="s">
        <v>78</v>
      </c>
      <c r="KAW16" s="256" t="s">
        <v>79</v>
      </c>
      <c r="KAX16" s="256" t="s">
        <v>80</v>
      </c>
      <c r="KAY16" s="58" t="s">
        <v>81</v>
      </c>
      <c r="KAZ16" s="284"/>
      <c r="KBA16" s="259" t="s">
        <v>55</v>
      </c>
      <c r="KBB16" s="256" t="s">
        <v>76</v>
      </c>
      <c r="KBC16" s="256" t="s">
        <v>77</v>
      </c>
      <c r="KBD16" s="256" t="s">
        <v>78</v>
      </c>
      <c r="KBE16" s="256" t="s">
        <v>79</v>
      </c>
      <c r="KBF16" s="256" t="s">
        <v>80</v>
      </c>
      <c r="KBG16" s="256" t="s">
        <v>81</v>
      </c>
      <c r="KBH16" s="283"/>
      <c r="KBI16" s="259" t="s">
        <v>55</v>
      </c>
      <c r="KBJ16" s="256" t="s">
        <v>76</v>
      </c>
      <c r="KBK16" s="256" t="s">
        <v>77</v>
      </c>
      <c r="KBL16" s="256" t="s">
        <v>78</v>
      </c>
      <c r="KBM16" s="256" t="s">
        <v>79</v>
      </c>
      <c r="KBN16" s="256" t="s">
        <v>80</v>
      </c>
      <c r="KBO16" s="58" t="s">
        <v>81</v>
      </c>
      <c r="KBP16" s="284"/>
      <c r="KBQ16" s="259" t="s">
        <v>55</v>
      </c>
      <c r="KBR16" s="256" t="s">
        <v>76</v>
      </c>
      <c r="KBS16" s="256" t="s">
        <v>77</v>
      </c>
      <c r="KBT16" s="256" t="s">
        <v>78</v>
      </c>
      <c r="KBU16" s="256" t="s">
        <v>79</v>
      </c>
      <c r="KBV16" s="256" t="s">
        <v>80</v>
      </c>
      <c r="KBW16" s="256" t="s">
        <v>81</v>
      </c>
      <c r="KBX16" s="283"/>
      <c r="KBY16" s="259" t="s">
        <v>55</v>
      </c>
      <c r="KBZ16" s="256" t="s">
        <v>76</v>
      </c>
      <c r="KCA16" s="256" t="s">
        <v>77</v>
      </c>
      <c r="KCB16" s="256" t="s">
        <v>78</v>
      </c>
      <c r="KCC16" s="256" t="s">
        <v>79</v>
      </c>
      <c r="KCD16" s="256" t="s">
        <v>80</v>
      </c>
      <c r="KCE16" s="58" t="s">
        <v>81</v>
      </c>
      <c r="KCF16" s="284"/>
      <c r="KCG16" s="259" t="s">
        <v>55</v>
      </c>
      <c r="KCH16" s="256" t="s">
        <v>76</v>
      </c>
      <c r="KCI16" s="256" t="s">
        <v>77</v>
      </c>
      <c r="KCJ16" s="256" t="s">
        <v>78</v>
      </c>
      <c r="KCK16" s="256" t="s">
        <v>79</v>
      </c>
      <c r="KCL16" s="256" t="s">
        <v>80</v>
      </c>
      <c r="KCM16" s="256" t="s">
        <v>81</v>
      </c>
      <c r="KCN16" s="283"/>
      <c r="KCO16" s="259" t="s">
        <v>55</v>
      </c>
      <c r="KCP16" s="256" t="s">
        <v>76</v>
      </c>
      <c r="KCQ16" s="256" t="s">
        <v>77</v>
      </c>
      <c r="KCR16" s="256" t="s">
        <v>78</v>
      </c>
      <c r="KCS16" s="256" t="s">
        <v>79</v>
      </c>
      <c r="KCT16" s="256" t="s">
        <v>80</v>
      </c>
      <c r="KCU16" s="58" t="s">
        <v>81</v>
      </c>
      <c r="KCV16" s="284"/>
      <c r="KCW16" s="259" t="s">
        <v>55</v>
      </c>
      <c r="KCX16" s="256" t="s">
        <v>76</v>
      </c>
      <c r="KCY16" s="256" t="s">
        <v>77</v>
      </c>
      <c r="KCZ16" s="256" t="s">
        <v>78</v>
      </c>
      <c r="KDA16" s="256" t="s">
        <v>79</v>
      </c>
      <c r="KDB16" s="256" t="s">
        <v>80</v>
      </c>
      <c r="KDC16" s="256" t="s">
        <v>81</v>
      </c>
      <c r="KDD16" s="283"/>
      <c r="KDE16" s="259" t="s">
        <v>55</v>
      </c>
      <c r="KDF16" s="256" t="s">
        <v>76</v>
      </c>
      <c r="KDG16" s="256" t="s">
        <v>77</v>
      </c>
      <c r="KDH16" s="256" t="s">
        <v>78</v>
      </c>
      <c r="KDI16" s="256" t="s">
        <v>79</v>
      </c>
      <c r="KDJ16" s="256" t="s">
        <v>80</v>
      </c>
      <c r="KDK16" s="58" t="s">
        <v>81</v>
      </c>
      <c r="KDL16" s="284"/>
      <c r="KDM16" s="259" t="s">
        <v>55</v>
      </c>
      <c r="KDN16" s="256" t="s">
        <v>76</v>
      </c>
      <c r="KDO16" s="256" t="s">
        <v>77</v>
      </c>
      <c r="KDP16" s="256" t="s">
        <v>78</v>
      </c>
      <c r="KDQ16" s="256" t="s">
        <v>79</v>
      </c>
      <c r="KDR16" s="256" t="s">
        <v>80</v>
      </c>
      <c r="KDS16" s="256" t="s">
        <v>81</v>
      </c>
      <c r="KDT16" s="283"/>
      <c r="KDU16" s="259" t="s">
        <v>55</v>
      </c>
      <c r="KDV16" s="256" t="s">
        <v>76</v>
      </c>
      <c r="KDW16" s="256" t="s">
        <v>77</v>
      </c>
      <c r="KDX16" s="256" t="s">
        <v>78</v>
      </c>
      <c r="KDY16" s="256" t="s">
        <v>79</v>
      </c>
      <c r="KDZ16" s="256" t="s">
        <v>80</v>
      </c>
      <c r="KEA16" s="58" t="s">
        <v>81</v>
      </c>
      <c r="KEB16" s="284"/>
      <c r="KEC16" s="259" t="s">
        <v>55</v>
      </c>
      <c r="KED16" s="256" t="s">
        <v>76</v>
      </c>
      <c r="KEE16" s="256" t="s">
        <v>77</v>
      </c>
      <c r="KEF16" s="256" t="s">
        <v>78</v>
      </c>
      <c r="KEG16" s="256" t="s">
        <v>79</v>
      </c>
      <c r="KEH16" s="256" t="s">
        <v>80</v>
      </c>
      <c r="KEI16" s="256" t="s">
        <v>81</v>
      </c>
      <c r="KEJ16" s="283"/>
      <c r="KEK16" s="259" t="s">
        <v>55</v>
      </c>
      <c r="KEL16" s="256" t="s">
        <v>76</v>
      </c>
      <c r="KEM16" s="256" t="s">
        <v>77</v>
      </c>
      <c r="KEN16" s="256" t="s">
        <v>78</v>
      </c>
      <c r="KEO16" s="256" t="s">
        <v>79</v>
      </c>
      <c r="KEP16" s="256" t="s">
        <v>80</v>
      </c>
      <c r="KEQ16" s="58" t="s">
        <v>81</v>
      </c>
      <c r="KER16" s="284"/>
      <c r="KES16" s="259" t="s">
        <v>55</v>
      </c>
      <c r="KET16" s="256" t="s">
        <v>76</v>
      </c>
      <c r="KEU16" s="256" t="s">
        <v>77</v>
      </c>
      <c r="KEV16" s="256" t="s">
        <v>78</v>
      </c>
      <c r="KEW16" s="256" t="s">
        <v>79</v>
      </c>
      <c r="KEX16" s="256" t="s">
        <v>80</v>
      </c>
      <c r="KEY16" s="256" t="s">
        <v>81</v>
      </c>
      <c r="KEZ16" s="283"/>
      <c r="KFA16" s="259" t="s">
        <v>55</v>
      </c>
      <c r="KFB16" s="256" t="s">
        <v>76</v>
      </c>
      <c r="KFC16" s="256" t="s">
        <v>77</v>
      </c>
      <c r="KFD16" s="256" t="s">
        <v>78</v>
      </c>
      <c r="KFE16" s="256" t="s">
        <v>79</v>
      </c>
      <c r="KFF16" s="256" t="s">
        <v>80</v>
      </c>
      <c r="KFG16" s="58" t="s">
        <v>81</v>
      </c>
      <c r="KFH16" s="284"/>
      <c r="KFI16" s="259" t="s">
        <v>55</v>
      </c>
      <c r="KFJ16" s="256" t="s">
        <v>76</v>
      </c>
      <c r="KFK16" s="256" t="s">
        <v>77</v>
      </c>
      <c r="KFL16" s="256" t="s">
        <v>78</v>
      </c>
      <c r="KFM16" s="256" t="s">
        <v>79</v>
      </c>
      <c r="KFN16" s="256" t="s">
        <v>80</v>
      </c>
      <c r="KFO16" s="256" t="s">
        <v>81</v>
      </c>
      <c r="KFP16" s="283"/>
      <c r="KFQ16" s="259" t="s">
        <v>55</v>
      </c>
      <c r="KFR16" s="256" t="s">
        <v>76</v>
      </c>
      <c r="KFS16" s="256" t="s">
        <v>77</v>
      </c>
      <c r="KFT16" s="256" t="s">
        <v>78</v>
      </c>
      <c r="KFU16" s="256" t="s">
        <v>79</v>
      </c>
      <c r="KFV16" s="256" t="s">
        <v>80</v>
      </c>
      <c r="KFW16" s="58" t="s">
        <v>81</v>
      </c>
      <c r="KFX16" s="284"/>
      <c r="KFY16" s="259" t="s">
        <v>55</v>
      </c>
      <c r="KFZ16" s="256" t="s">
        <v>76</v>
      </c>
      <c r="KGA16" s="256" t="s">
        <v>77</v>
      </c>
      <c r="KGB16" s="256" t="s">
        <v>78</v>
      </c>
      <c r="KGC16" s="256" t="s">
        <v>79</v>
      </c>
      <c r="KGD16" s="256" t="s">
        <v>80</v>
      </c>
      <c r="KGE16" s="256" t="s">
        <v>81</v>
      </c>
      <c r="KGF16" s="283"/>
      <c r="KGG16" s="259" t="s">
        <v>55</v>
      </c>
      <c r="KGH16" s="256" t="s">
        <v>76</v>
      </c>
      <c r="KGI16" s="256" t="s">
        <v>77</v>
      </c>
      <c r="KGJ16" s="256" t="s">
        <v>78</v>
      </c>
      <c r="KGK16" s="256" t="s">
        <v>79</v>
      </c>
      <c r="KGL16" s="256" t="s">
        <v>80</v>
      </c>
      <c r="KGM16" s="58" t="s">
        <v>81</v>
      </c>
      <c r="KGN16" s="284"/>
      <c r="KGO16" s="259" t="s">
        <v>55</v>
      </c>
      <c r="KGP16" s="256" t="s">
        <v>76</v>
      </c>
      <c r="KGQ16" s="256" t="s">
        <v>77</v>
      </c>
      <c r="KGR16" s="256" t="s">
        <v>78</v>
      </c>
      <c r="KGS16" s="256" t="s">
        <v>79</v>
      </c>
      <c r="KGT16" s="256" t="s">
        <v>80</v>
      </c>
      <c r="KGU16" s="256" t="s">
        <v>81</v>
      </c>
      <c r="KGV16" s="283"/>
      <c r="KGW16" s="259" t="s">
        <v>55</v>
      </c>
      <c r="KGX16" s="256" t="s">
        <v>76</v>
      </c>
      <c r="KGY16" s="256" t="s">
        <v>77</v>
      </c>
      <c r="KGZ16" s="256" t="s">
        <v>78</v>
      </c>
      <c r="KHA16" s="256" t="s">
        <v>79</v>
      </c>
      <c r="KHB16" s="256" t="s">
        <v>80</v>
      </c>
      <c r="KHC16" s="58" t="s">
        <v>81</v>
      </c>
      <c r="KHD16" s="284"/>
      <c r="KHE16" s="259" t="s">
        <v>55</v>
      </c>
      <c r="KHF16" s="256" t="s">
        <v>76</v>
      </c>
      <c r="KHG16" s="256" t="s">
        <v>77</v>
      </c>
      <c r="KHH16" s="256" t="s">
        <v>78</v>
      </c>
      <c r="KHI16" s="256" t="s">
        <v>79</v>
      </c>
      <c r="KHJ16" s="256" t="s">
        <v>80</v>
      </c>
      <c r="KHK16" s="256" t="s">
        <v>81</v>
      </c>
      <c r="KHL16" s="283"/>
      <c r="KHM16" s="259" t="s">
        <v>55</v>
      </c>
      <c r="KHN16" s="256" t="s">
        <v>76</v>
      </c>
      <c r="KHO16" s="256" t="s">
        <v>77</v>
      </c>
      <c r="KHP16" s="256" t="s">
        <v>78</v>
      </c>
      <c r="KHQ16" s="256" t="s">
        <v>79</v>
      </c>
      <c r="KHR16" s="256" t="s">
        <v>80</v>
      </c>
      <c r="KHS16" s="58" t="s">
        <v>81</v>
      </c>
      <c r="KHT16" s="284"/>
      <c r="KHU16" s="259" t="s">
        <v>55</v>
      </c>
      <c r="KHV16" s="256" t="s">
        <v>76</v>
      </c>
      <c r="KHW16" s="256" t="s">
        <v>77</v>
      </c>
      <c r="KHX16" s="256" t="s">
        <v>78</v>
      </c>
      <c r="KHY16" s="256" t="s">
        <v>79</v>
      </c>
      <c r="KHZ16" s="256" t="s">
        <v>80</v>
      </c>
      <c r="KIA16" s="256" t="s">
        <v>81</v>
      </c>
      <c r="KIB16" s="283"/>
      <c r="KIC16" s="259" t="s">
        <v>55</v>
      </c>
      <c r="KID16" s="256" t="s">
        <v>76</v>
      </c>
      <c r="KIE16" s="256" t="s">
        <v>77</v>
      </c>
      <c r="KIF16" s="256" t="s">
        <v>78</v>
      </c>
      <c r="KIG16" s="256" t="s">
        <v>79</v>
      </c>
      <c r="KIH16" s="256" t="s">
        <v>80</v>
      </c>
      <c r="KII16" s="58" t="s">
        <v>81</v>
      </c>
      <c r="KIJ16" s="284"/>
      <c r="KIK16" s="259" t="s">
        <v>55</v>
      </c>
      <c r="KIL16" s="256" t="s">
        <v>76</v>
      </c>
      <c r="KIM16" s="256" t="s">
        <v>77</v>
      </c>
      <c r="KIN16" s="256" t="s">
        <v>78</v>
      </c>
      <c r="KIO16" s="256" t="s">
        <v>79</v>
      </c>
      <c r="KIP16" s="256" t="s">
        <v>80</v>
      </c>
      <c r="KIQ16" s="256" t="s">
        <v>81</v>
      </c>
      <c r="KIR16" s="283"/>
      <c r="KIS16" s="259" t="s">
        <v>55</v>
      </c>
      <c r="KIT16" s="256" t="s">
        <v>76</v>
      </c>
      <c r="KIU16" s="256" t="s">
        <v>77</v>
      </c>
      <c r="KIV16" s="256" t="s">
        <v>78</v>
      </c>
      <c r="KIW16" s="256" t="s">
        <v>79</v>
      </c>
      <c r="KIX16" s="256" t="s">
        <v>80</v>
      </c>
      <c r="KIY16" s="58" t="s">
        <v>81</v>
      </c>
      <c r="KIZ16" s="284"/>
      <c r="KJA16" s="259" t="s">
        <v>55</v>
      </c>
      <c r="KJB16" s="256" t="s">
        <v>76</v>
      </c>
      <c r="KJC16" s="256" t="s">
        <v>77</v>
      </c>
      <c r="KJD16" s="256" t="s">
        <v>78</v>
      </c>
      <c r="KJE16" s="256" t="s">
        <v>79</v>
      </c>
      <c r="KJF16" s="256" t="s">
        <v>80</v>
      </c>
      <c r="KJG16" s="256" t="s">
        <v>81</v>
      </c>
      <c r="KJH16" s="283"/>
      <c r="KJI16" s="259" t="s">
        <v>55</v>
      </c>
      <c r="KJJ16" s="256" t="s">
        <v>76</v>
      </c>
      <c r="KJK16" s="256" t="s">
        <v>77</v>
      </c>
      <c r="KJL16" s="256" t="s">
        <v>78</v>
      </c>
      <c r="KJM16" s="256" t="s">
        <v>79</v>
      </c>
      <c r="KJN16" s="256" t="s">
        <v>80</v>
      </c>
      <c r="KJO16" s="58" t="s">
        <v>81</v>
      </c>
      <c r="KJP16" s="284"/>
      <c r="KJQ16" s="259" t="s">
        <v>55</v>
      </c>
      <c r="KJR16" s="256" t="s">
        <v>76</v>
      </c>
      <c r="KJS16" s="256" t="s">
        <v>77</v>
      </c>
      <c r="KJT16" s="256" t="s">
        <v>78</v>
      </c>
      <c r="KJU16" s="256" t="s">
        <v>79</v>
      </c>
      <c r="KJV16" s="256" t="s">
        <v>80</v>
      </c>
      <c r="KJW16" s="256" t="s">
        <v>81</v>
      </c>
      <c r="KJX16" s="283"/>
      <c r="KJY16" s="259" t="s">
        <v>55</v>
      </c>
      <c r="KJZ16" s="256" t="s">
        <v>76</v>
      </c>
      <c r="KKA16" s="256" t="s">
        <v>77</v>
      </c>
      <c r="KKB16" s="256" t="s">
        <v>78</v>
      </c>
      <c r="KKC16" s="256" t="s">
        <v>79</v>
      </c>
      <c r="KKD16" s="256" t="s">
        <v>80</v>
      </c>
      <c r="KKE16" s="58" t="s">
        <v>81</v>
      </c>
      <c r="KKF16" s="284"/>
      <c r="KKG16" s="259" t="s">
        <v>55</v>
      </c>
      <c r="KKH16" s="256" t="s">
        <v>76</v>
      </c>
      <c r="KKI16" s="256" t="s">
        <v>77</v>
      </c>
      <c r="KKJ16" s="256" t="s">
        <v>78</v>
      </c>
      <c r="KKK16" s="256" t="s">
        <v>79</v>
      </c>
      <c r="KKL16" s="256" t="s">
        <v>80</v>
      </c>
      <c r="KKM16" s="256" t="s">
        <v>81</v>
      </c>
      <c r="KKN16" s="283"/>
      <c r="KKO16" s="259" t="s">
        <v>55</v>
      </c>
      <c r="KKP16" s="256" t="s">
        <v>76</v>
      </c>
      <c r="KKQ16" s="256" t="s">
        <v>77</v>
      </c>
      <c r="KKR16" s="256" t="s">
        <v>78</v>
      </c>
      <c r="KKS16" s="256" t="s">
        <v>79</v>
      </c>
      <c r="KKT16" s="256" t="s">
        <v>80</v>
      </c>
      <c r="KKU16" s="58" t="s">
        <v>81</v>
      </c>
      <c r="KKV16" s="284"/>
      <c r="KKW16" s="259" t="s">
        <v>55</v>
      </c>
      <c r="KKX16" s="256" t="s">
        <v>76</v>
      </c>
      <c r="KKY16" s="256" t="s">
        <v>77</v>
      </c>
      <c r="KKZ16" s="256" t="s">
        <v>78</v>
      </c>
      <c r="KLA16" s="256" t="s">
        <v>79</v>
      </c>
      <c r="KLB16" s="256" t="s">
        <v>80</v>
      </c>
      <c r="KLC16" s="256" t="s">
        <v>81</v>
      </c>
      <c r="KLD16" s="283"/>
      <c r="KLE16" s="259" t="s">
        <v>55</v>
      </c>
      <c r="KLF16" s="256" t="s">
        <v>76</v>
      </c>
      <c r="KLG16" s="256" t="s">
        <v>77</v>
      </c>
      <c r="KLH16" s="256" t="s">
        <v>78</v>
      </c>
      <c r="KLI16" s="256" t="s">
        <v>79</v>
      </c>
      <c r="KLJ16" s="256" t="s">
        <v>80</v>
      </c>
      <c r="KLK16" s="58" t="s">
        <v>81</v>
      </c>
      <c r="KLL16" s="284"/>
      <c r="KLM16" s="259" t="s">
        <v>55</v>
      </c>
      <c r="KLN16" s="256" t="s">
        <v>76</v>
      </c>
      <c r="KLO16" s="256" t="s">
        <v>77</v>
      </c>
      <c r="KLP16" s="256" t="s">
        <v>78</v>
      </c>
      <c r="KLQ16" s="256" t="s">
        <v>79</v>
      </c>
      <c r="KLR16" s="256" t="s">
        <v>80</v>
      </c>
      <c r="KLS16" s="256" t="s">
        <v>81</v>
      </c>
      <c r="KLT16" s="283"/>
      <c r="KLU16" s="259" t="s">
        <v>55</v>
      </c>
      <c r="KLV16" s="256" t="s">
        <v>76</v>
      </c>
      <c r="KLW16" s="256" t="s">
        <v>77</v>
      </c>
      <c r="KLX16" s="256" t="s">
        <v>78</v>
      </c>
      <c r="KLY16" s="256" t="s">
        <v>79</v>
      </c>
      <c r="KLZ16" s="256" t="s">
        <v>80</v>
      </c>
      <c r="KMA16" s="58" t="s">
        <v>81</v>
      </c>
      <c r="KMB16" s="284"/>
      <c r="KMC16" s="259" t="s">
        <v>55</v>
      </c>
      <c r="KMD16" s="256" t="s">
        <v>76</v>
      </c>
      <c r="KME16" s="256" t="s">
        <v>77</v>
      </c>
      <c r="KMF16" s="256" t="s">
        <v>78</v>
      </c>
      <c r="KMG16" s="256" t="s">
        <v>79</v>
      </c>
      <c r="KMH16" s="256" t="s">
        <v>80</v>
      </c>
      <c r="KMI16" s="256" t="s">
        <v>81</v>
      </c>
      <c r="KMJ16" s="283"/>
      <c r="KMK16" s="259" t="s">
        <v>55</v>
      </c>
      <c r="KML16" s="256" t="s">
        <v>76</v>
      </c>
      <c r="KMM16" s="256" t="s">
        <v>77</v>
      </c>
      <c r="KMN16" s="256" t="s">
        <v>78</v>
      </c>
      <c r="KMO16" s="256" t="s">
        <v>79</v>
      </c>
      <c r="KMP16" s="256" t="s">
        <v>80</v>
      </c>
      <c r="KMQ16" s="58" t="s">
        <v>81</v>
      </c>
      <c r="KMR16" s="284"/>
      <c r="KMS16" s="259" t="s">
        <v>55</v>
      </c>
      <c r="KMT16" s="256" t="s">
        <v>76</v>
      </c>
      <c r="KMU16" s="256" t="s">
        <v>77</v>
      </c>
      <c r="KMV16" s="256" t="s">
        <v>78</v>
      </c>
      <c r="KMW16" s="256" t="s">
        <v>79</v>
      </c>
      <c r="KMX16" s="256" t="s">
        <v>80</v>
      </c>
      <c r="KMY16" s="256" t="s">
        <v>81</v>
      </c>
      <c r="KMZ16" s="283"/>
      <c r="KNA16" s="259" t="s">
        <v>55</v>
      </c>
      <c r="KNB16" s="256" t="s">
        <v>76</v>
      </c>
      <c r="KNC16" s="256" t="s">
        <v>77</v>
      </c>
      <c r="KND16" s="256" t="s">
        <v>78</v>
      </c>
      <c r="KNE16" s="256" t="s">
        <v>79</v>
      </c>
      <c r="KNF16" s="256" t="s">
        <v>80</v>
      </c>
      <c r="KNG16" s="58" t="s">
        <v>81</v>
      </c>
      <c r="KNH16" s="284"/>
      <c r="KNI16" s="259" t="s">
        <v>55</v>
      </c>
      <c r="KNJ16" s="256" t="s">
        <v>76</v>
      </c>
      <c r="KNK16" s="256" t="s">
        <v>77</v>
      </c>
      <c r="KNL16" s="256" t="s">
        <v>78</v>
      </c>
      <c r="KNM16" s="256" t="s">
        <v>79</v>
      </c>
      <c r="KNN16" s="256" t="s">
        <v>80</v>
      </c>
      <c r="KNO16" s="256" t="s">
        <v>81</v>
      </c>
      <c r="KNP16" s="283"/>
      <c r="KNQ16" s="259" t="s">
        <v>55</v>
      </c>
      <c r="KNR16" s="256" t="s">
        <v>76</v>
      </c>
      <c r="KNS16" s="256" t="s">
        <v>77</v>
      </c>
      <c r="KNT16" s="256" t="s">
        <v>78</v>
      </c>
      <c r="KNU16" s="256" t="s">
        <v>79</v>
      </c>
      <c r="KNV16" s="256" t="s">
        <v>80</v>
      </c>
      <c r="KNW16" s="58" t="s">
        <v>81</v>
      </c>
      <c r="KNX16" s="284"/>
      <c r="KNY16" s="259" t="s">
        <v>55</v>
      </c>
      <c r="KNZ16" s="256" t="s">
        <v>76</v>
      </c>
      <c r="KOA16" s="256" t="s">
        <v>77</v>
      </c>
      <c r="KOB16" s="256" t="s">
        <v>78</v>
      </c>
      <c r="KOC16" s="256" t="s">
        <v>79</v>
      </c>
      <c r="KOD16" s="256" t="s">
        <v>80</v>
      </c>
      <c r="KOE16" s="256" t="s">
        <v>81</v>
      </c>
      <c r="KOF16" s="283"/>
      <c r="KOG16" s="259" t="s">
        <v>55</v>
      </c>
      <c r="KOH16" s="256" t="s">
        <v>76</v>
      </c>
      <c r="KOI16" s="256" t="s">
        <v>77</v>
      </c>
      <c r="KOJ16" s="256" t="s">
        <v>78</v>
      </c>
      <c r="KOK16" s="256" t="s">
        <v>79</v>
      </c>
      <c r="KOL16" s="256" t="s">
        <v>80</v>
      </c>
      <c r="KOM16" s="58" t="s">
        <v>81</v>
      </c>
      <c r="KON16" s="284"/>
      <c r="KOO16" s="259" t="s">
        <v>55</v>
      </c>
      <c r="KOP16" s="256" t="s">
        <v>76</v>
      </c>
      <c r="KOQ16" s="256" t="s">
        <v>77</v>
      </c>
      <c r="KOR16" s="256" t="s">
        <v>78</v>
      </c>
      <c r="KOS16" s="256" t="s">
        <v>79</v>
      </c>
      <c r="KOT16" s="256" t="s">
        <v>80</v>
      </c>
      <c r="KOU16" s="256" t="s">
        <v>81</v>
      </c>
      <c r="KOV16" s="283"/>
      <c r="KOW16" s="259" t="s">
        <v>55</v>
      </c>
      <c r="KOX16" s="256" t="s">
        <v>76</v>
      </c>
      <c r="KOY16" s="256" t="s">
        <v>77</v>
      </c>
      <c r="KOZ16" s="256" t="s">
        <v>78</v>
      </c>
      <c r="KPA16" s="256" t="s">
        <v>79</v>
      </c>
      <c r="KPB16" s="256" t="s">
        <v>80</v>
      </c>
      <c r="KPC16" s="58" t="s">
        <v>81</v>
      </c>
      <c r="KPD16" s="284"/>
      <c r="KPE16" s="259" t="s">
        <v>55</v>
      </c>
      <c r="KPF16" s="256" t="s">
        <v>76</v>
      </c>
      <c r="KPG16" s="256" t="s">
        <v>77</v>
      </c>
      <c r="KPH16" s="256" t="s">
        <v>78</v>
      </c>
      <c r="KPI16" s="256" t="s">
        <v>79</v>
      </c>
      <c r="KPJ16" s="256" t="s">
        <v>80</v>
      </c>
      <c r="KPK16" s="256" t="s">
        <v>81</v>
      </c>
      <c r="KPL16" s="283"/>
      <c r="KPM16" s="259" t="s">
        <v>55</v>
      </c>
      <c r="KPN16" s="256" t="s">
        <v>76</v>
      </c>
      <c r="KPO16" s="256" t="s">
        <v>77</v>
      </c>
      <c r="KPP16" s="256" t="s">
        <v>78</v>
      </c>
      <c r="KPQ16" s="256" t="s">
        <v>79</v>
      </c>
      <c r="KPR16" s="256" t="s">
        <v>80</v>
      </c>
      <c r="KPS16" s="58" t="s">
        <v>81</v>
      </c>
      <c r="KPT16" s="284"/>
      <c r="KPU16" s="259" t="s">
        <v>55</v>
      </c>
      <c r="KPV16" s="256" t="s">
        <v>76</v>
      </c>
      <c r="KPW16" s="256" t="s">
        <v>77</v>
      </c>
      <c r="KPX16" s="256" t="s">
        <v>78</v>
      </c>
      <c r="KPY16" s="256" t="s">
        <v>79</v>
      </c>
      <c r="KPZ16" s="256" t="s">
        <v>80</v>
      </c>
      <c r="KQA16" s="256" t="s">
        <v>81</v>
      </c>
      <c r="KQB16" s="283"/>
      <c r="KQC16" s="259" t="s">
        <v>55</v>
      </c>
      <c r="KQD16" s="256" t="s">
        <v>76</v>
      </c>
      <c r="KQE16" s="256" t="s">
        <v>77</v>
      </c>
      <c r="KQF16" s="256" t="s">
        <v>78</v>
      </c>
      <c r="KQG16" s="256" t="s">
        <v>79</v>
      </c>
      <c r="KQH16" s="256" t="s">
        <v>80</v>
      </c>
      <c r="KQI16" s="58" t="s">
        <v>81</v>
      </c>
      <c r="KQJ16" s="284"/>
      <c r="KQK16" s="259" t="s">
        <v>55</v>
      </c>
      <c r="KQL16" s="256" t="s">
        <v>76</v>
      </c>
      <c r="KQM16" s="256" t="s">
        <v>77</v>
      </c>
      <c r="KQN16" s="256" t="s">
        <v>78</v>
      </c>
      <c r="KQO16" s="256" t="s">
        <v>79</v>
      </c>
      <c r="KQP16" s="256" t="s">
        <v>80</v>
      </c>
      <c r="KQQ16" s="256" t="s">
        <v>81</v>
      </c>
      <c r="KQR16" s="283"/>
      <c r="KQS16" s="259" t="s">
        <v>55</v>
      </c>
      <c r="KQT16" s="256" t="s">
        <v>76</v>
      </c>
      <c r="KQU16" s="256" t="s">
        <v>77</v>
      </c>
      <c r="KQV16" s="256" t="s">
        <v>78</v>
      </c>
      <c r="KQW16" s="256" t="s">
        <v>79</v>
      </c>
      <c r="KQX16" s="256" t="s">
        <v>80</v>
      </c>
      <c r="KQY16" s="58" t="s">
        <v>81</v>
      </c>
      <c r="KQZ16" s="284"/>
      <c r="KRA16" s="259" t="s">
        <v>55</v>
      </c>
      <c r="KRB16" s="256" t="s">
        <v>76</v>
      </c>
      <c r="KRC16" s="256" t="s">
        <v>77</v>
      </c>
      <c r="KRD16" s="256" t="s">
        <v>78</v>
      </c>
      <c r="KRE16" s="256" t="s">
        <v>79</v>
      </c>
      <c r="KRF16" s="256" t="s">
        <v>80</v>
      </c>
      <c r="KRG16" s="256" t="s">
        <v>81</v>
      </c>
      <c r="KRH16" s="283"/>
      <c r="KRI16" s="259" t="s">
        <v>55</v>
      </c>
      <c r="KRJ16" s="256" t="s">
        <v>76</v>
      </c>
      <c r="KRK16" s="256" t="s">
        <v>77</v>
      </c>
      <c r="KRL16" s="256" t="s">
        <v>78</v>
      </c>
      <c r="KRM16" s="256" t="s">
        <v>79</v>
      </c>
      <c r="KRN16" s="256" t="s">
        <v>80</v>
      </c>
      <c r="KRO16" s="58" t="s">
        <v>81</v>
      </c>
      <c r="KRP16" s="284"/>
      <c r="KRQ16" s="259" t="s">
        <v>55</v>
      </c>
      <c r="KRR16" s="256" t="s">
        <v>76</v>
      </c>
      <c r="KRS16" s="256" t="s">
        <v>77</v>
      </c>
      <c r="KRT16" s="256" t="s">
        <v>78</v>
      </c>
      <c r="KRU16" s="256" t="s">
        <v>79</v>
      </c>
      <c r="KRV16" s="256" t="s">
        <v>80</v>
      </c>
      <c r="KRW16" s="256" t="s">
        <v>81</v>
      </c>
      <c r="KRX16" s="283"/>
      <c r="KRY16" s="259" t="s">
        <v>55</v>
      </c>
      <c r="KRZ16" s="256" t="s">
        <v>76</v>
      </c>
      <c r="KSA16" s="256" t="s">
        <v>77</v>
      </c>
      <c r="KSB16" s="256" t="s">
        <v>78</v>
      </c>
      <c r="KSC16" s="256" t="s">
        <v>79</v>
      </c>
      <c r="KSD16" s="256" t="s">
        <v>80</v>
      </c>
      <c r="KSE16" s="58" t="s">
        <v>81</v>
      </c>
      <c r="KSF16" s="284"/>
      <c r="KSG16" s="259" t="s">
        <v>55</v>
      </c>
      <c r="KSH16" s="256" t="s">
        <v>76</v>
      </c>
      <c r="KSI16" s="256" t="s">
        <v>77</v>
      </c>
      <c r="KSJ16" s="256" t="s">
        <v>78</v>
      </c>
      <c r="KSK16" s="256" t="s">
        <v>79</v>
      </c>
      <c r="KSL16" s="256" t="s">
        <v>80</v>
      </c>
      <c r="KSM16" s="256" t="s">
        <v>81</v>
      </c>
      <c r="KSN16" s="283"/>
      <c r="KSO16" s="259" t="s">
        <v>55</v>
      </c>
      <c r="KSP16" s="256" t="s">
        <v>76</v>
      </c>
      <c r="KSQ16" s="256" t="s">
        <v>77</v>
      </c>
      <c r="KSR16" s="256" t="s">
        <v>78</v>
      </c>
      <c r="KSS16" s="256" t="s">
        <v>79</v>
      </c>
      <c r="KST16" s="256" t="s">
        <v>80</v>
      </c>
      <c r="KSU16" s="58" t="s">
        <v>81</v>
      </c>
      <c r="KSV16" s="284"/>
      <c r="KSW16" s="259" t="s">
        <v>55</v>
      </c>
      <c r="KSX16" s="256" t="s">
        <v>76</v>
      </c>
      <c r="KSY16" s="256" t="s">
        <v>77</v>
      </c>
      <c r="KSZ16" s="256" t="s">
        <v>78</v>
      </c>
      <c r="KTA16" s="256" t="s">
        <v>79</v>
      </c>
      <c r="KTB16" s="256" t="s">
        <v>80</v>
      </c>
      <c r="KTC16" s="256" t="s">
        <v>81</v>
      </c>
      <c r="KTD16" s="283"/>
      <c r="KTE16" s="259" t="s">
        <v>55</v>
      </c>
      <c r="KTF16" s="256" t="s">
        <v>76</v>
      </c>
      <c r="KTG16" s="256" t="s">
        <v>77</v>
      </c>
      <c r="KTH16" s="256" t="s">
        <v>78</v>
      </c>
      <c r="KTI16" s="256" t="s">
        <v>79</v>
      </c>
      <c r="KTJ16" s="256" t="s">
        <v>80</v>
      </c>
      <c r="KTK16" s="58" t="s">
        <v>81</v>
      </c>
      <c r="KTL16" s="284"/>
      <c r="KTM16" s="259" t="s">
        <v>55</v>
      </c>
      <c r="KTN16" s="256" t="s">
        <v>76</v>
      </c>
      <c r="KTO16" s="256" t="s">
        <v>77</v>
      </c>
      <c r="KTP16" s="256" t="s">
        <v>78</v>
      </c>
      <c r="KTQ16" s="256" t="s">
        <v>79</v>
      </c>
      <c r="KTR16" s="256" t="s">
        <v>80</v>
      </c>
      <c r="KTS16" s="256" t="s">
        <v>81</v>
      </c>
      <c r="KTT16" s="283"/>
      <c r="KTU16" s="259" t="s">
        <v>55</v>
      </c>
      <c r="KTV16" s="256" t="s">
        <v>76</v>
      </c>
      <c r="KTW16" s="256" t="s">
        <v>77</v>
      </c>
      <c r="KTX16" s="256" t="s">
        <v>78</v>
      </c>
      <c r="KTY16" s="256" t="s">
        <v>79</v>
      </c>
      <c r="KTZ16" s="256" t="s">
        <v>80</v>
      </c>
      <c r="KUA16" s="58" t="s">
        <v>81</v>
      </c>
      <c r="KUB16" s="284"/>
      <c r="KUC16" s="259" t="s">
        <v>55</v>
      </c>
      <c r="KUD16" s="256" t="s">
        <v>76</v>
      </c>
      <c r="KUE16" s="256" t="s">
        <v>77</v>
      </c>
      <c r="KUF16" s="256" t="s">
        <v>78</v>
      </c>
      <c r="KUG16" s="256" t="s">
        <v>79</v>
      </c>
      <c r="KUH16" s="256" t="s">
        <v>80</v>
      </c>
      <c r="KUI16" s="256" t="s">
        <v>81</v>
      </c>
      <c r="KUJ16" s="283"/>
      <c r="KUK16" s="259" t="s">
        <v>55</v>
      </c>
      <c r="KUL16" s="256" t="s">
        <v>76</v>
      </c>
      <c r="KUM16" s="256" t="s">
        <v>77</v>
      </c>
      <c r="KUN16" s="256" t="s">
        <v>78</v>
      </c>
      <c r="KUO16" s="256" t="s">
        <v>79</v>
      </c>
      <c r="KUP16" s="256" t="s">
        <v>80</v>
      </c>
      <c r="KUQ16" s="58" t="s">
        <v>81</v>
      </c>
      <c r="KUR16" s="284"/>
      <c r="KUS16" s="259" t="s">
        <v>55</v>
      </c>
      <c r="KUT16" s="256" t="s">
        <v>76</v>
      </c>
      <c r="KUU16" s="256" t="s">
        <v>77</v>
      </c>
      <c r="KUV16" s="256" t="s">
        <v>78</v>
      </c>
      <c r="KUW16" s="256" t="s">
        <v>79</v>
      </c>
      <c r="KUX16" s="256" t="s">
        <v>80</v>
      </c>
      <c r="KUY16" s="256" t="s">
        <v>81</v>
      </c>
      <c r="KUZ16" s="283"/>
      <c r="KVA16" s="259" t="s">
        <v>55</v>
      </c>
      <c r="KVB16" s="256" t="s">
        <v>76</v>
      </c>
      <c r="KVC16" s="256" t="s">
        <v>77</v>
      </c>
      <c r="KVD16" s="256" t="s">
        <v>78</v>
      </c>
      <c r="KVE16" s="256" t="s">
        <v>79</v>
      </c>
      <c r="KVF16" s="256" t="s">
        <v>80</v>
      </c>
      <c r="KVG16" s="58" t="s">
        <v>81</v>
      </c>
      <c r="KVH16" s="284"/>
      <c r="KVI16" s="259" t="s">
        <v>55</v>
      </c>
      <c r="KVJ16" s="256" t="s">
        <v>76</v>
      </c>
      <c r="KVK16" s="256" t="s">
        <v>77</v>
      </c>
      <c r="KVL16" s="256" t="s">
        <v>78</v>
      </c>
      <c r="KVM16" s="256" t="s">
        <v>79</v>
      </c>
      <c r="KVN16" s="256" t="s">
        <v>80</v>
      </c>
      <c r="KVO16" s="256" t="s">
        <v>81</v>
      </c>
      <c r="KVP16" s="283"/>
      <c r="KVQ16" s="259" t="s">
        <v>55</v>
      </c>
      <c r="KVR16" s="256" t="s">
        <v>76</v>
      </c>
      <c r="KVS16" s="256" t="s">
        <v>77</v>
      </c>
      <c r="KVT16" s="256" t="s">
        <v>78</v>
      </c>
      <c r="KVU16" s="256" t="s">
        <v>79</v>
      </c>
      <c r="KVV16" s="256" t="s">
        <v>80</v>
      </c>
      <c r="KVW16" s="58" t="s">
        <v>81</v>
      </c>
      <c r="KVX16" s="284"/>
      <c r="KVY16" s="259" t="s">
        <v>55</v>
      </c>
      <c r="KVZ16" s="256" t="s">
        <v>76</v>
      </c>
      <c r="KWA16" s="256" t="s">
        <v>77</v>
      </c>
      <c r="KWB16" s="256" t="s">
        <v>78</v>
      </c>
      <c r="KWC16" s="256" t="s">
        <v>79</v>
      </c>
      <c r="KWD16" s="256" t="s">
        <v>80</v>
      </c>
      <c r="KWE16" s="256" t="s">
        <v>81</v>
      </c>
      <c r="KWF16" s="283"/>
      <c r="KWG16" s="259" t="s">
        <v>55</v>
      </c>
      <c r="KWH16" s="256" t="s">
        <v>76</v>
      </c>
      <c r="KWI16" s="256" t="s">
        <v>77</v>
      </c>
      <c r="KWJ16" s="256" t="s">
        <v>78</v>
      </c>
      <c r="KWK16" s="256" t="s">
        <v>79</v>
      </c>
      <c r="KWL16" s="256" t="s">
        <v>80</v>
      </c>
      <c r="KWM16" s="58" t="s">
        <v>81</v>
      </c>
      <c r="KWN16" s="284"/>
      <c r="KWO16" s="259" t="s">
        <v>55</v>
      </c>
      <c r="KWP16" s="256" t="s">
        <v>76</v>
      </c>
      <c r="KWQ16" s="256" t="s">
        <v>77</v>
      </c>
      <c r="KWR16" s="256" t="s">
        <v>78</v>
      </c>
      <c r="KWS16" s="256" t="s">
        <v>79</v>
      </c>
      <c r="KWT16" s="256" t="s">
        <v>80</v>
      </c>
      <c r="KWU16" s="256" t="s">
        <v>81</v>
      </c>
      <c r="KWV16" s="283"/>
      <c r="KWW16" s="259" t="s">
        <v>55</v>
      </c>
      <c r="KWX16" s="256" t="s">
        <v>76</v>
      </c>
      <c r="KWY16" s="256" t="s">
        <v>77</v>
      </c>
      <c r="KWZ16" s="256" t="s">
        <v>78</v>
      </c>
      <c r="KXA16" s="256" t="s">
        <v>79</v>
      </c>
      <c r="KXB16" s="256" t="s">
        <v>80</v>
      </c>
      <c r="KXC16" s="58" t="s">
        <v>81</v>
      </c>
      <c r="KXD16" s="284"/>
      <c r="KXE16" s="259" t="s">
        <v>55</v>
      </c>
      <c r="KXF16" s="256" t="s">
        <v>76</v>
      </c>
      <c r="KXG16" s="256" t="s">
        <v>77</v>
      </c>
      <c r="KXH16" s="256" t="s">
        <v>78</v>
      </c>
      <c r="KXI16" s="256" t="s">
        <v>79</v>
      </c>
      <c r="KXJ16" s="256" t="s">
        <v>80</v>
      </c>
      <c r="KXK16" s="256" t="s">
        <v>81</v>
      </c>
      <c r="KXL16" s="283"/>
      <c r="KXM16" s="259" t="s">
        <v>55</v>
      </c>
      <c r="KXN16" s="256" t="s">
        <v>76</v>
      </c>
      <c r="KXO16" s="256" t="s">
        <v>77</v>
      </c>
      <c r="KXP16" s="256" t="s">
        <v>78</v>
      </c>
      <c r="KXQ16" s="256" t="s">
        <v>79</v>
      </c>
      <c r="KXR16" s="256" t="s">
        <v>80</v>
      </c>
      <c r="KXS16" s="58" t="s">
        <v>81</v>
      </c>
      <c r="KXT16" s="284"/>
      <c r="KXU16" s="259" t="s">
        <v>55</v>
      </c>
      <c r="KXV16" s="256" t="s">
        <v>76</v>
      </c>
      <c r="KXW16" s="256" t="s">
        <v>77</v>
      </c>
      <c r="KXX16" s="256" t="s">
        <v>78</v>
      </c>
      <c r="KXY16" s="256" t="s">
        <v>79</v>
      </c>
      <c r="KXZ16" s="256" t="s">
        <v>80</v>
      </c>
      <c r="KYA16" s="256" t="s">
        <v>81</v>
      </c>
      <c r="KYB16" s="283"/>
      <c r="KYC16" s="259" t="s">
        <v>55</v>
      </c>
      <c r="KYD16" s="256" t="s">
        <v>76</v>
      </c>
      <c r="KYE16" s="256" t="s">
        <v>77</v>
      </c>
      <c r="KYF16" s="256" t="s">
        <v>78</v>
      </c>
      <c r="KYG16" s="256" t="s">
        <v>79</v>
      </c>
      <c r="KYH16" s="256" t="s">
        <v>80</v>
      </c>
      <c r="KYI16" s="58" t="s">
        <v>81</v>
      </c>
      <c r="KYJ16" s="284"/>
      <c r="KYK16" s="259" t="s">
        <v>55</v>
      </c>
      <c r="KYL16" s="256" t="s">
        <v>76</v>
      </c>
      <c r="KYM16" s="256" t="s">
        <v>77</v>
      </c>
      <c r="KYN16" s="256" t="s">
        <v>78</v>
      </c>
      <c r="KYO16" s="256" t="s">
        <v>79</v>
      </c>
      <c r="KYP16" s="256" t="s">
        <v>80</v>
      </c>
      <c r="KYQ16" s="256" t="s">
        <v>81</v>
      </c>
      <c r="KYR16" s="283"/>
      <c r="KYS16" s="259" t="s">
        <v>55</v>
      </c>
      <c r="KYT16" s="256" t="s">
        <v>76</v>
      </c>
      <c r="KYU16" s="256" t="s">
        <v>77</v>
      </c>
      <c r="KYV16" s="256" t="s">
        <v>78</v>
      </c>
      <c r="KYW16" s="256" t="s">
        <v>79</v>
      </c>
      <c r="KYX16" s="256" t="s">
        <v>80</v>
      </c>
      <c r="KYY16" s="58" t="s">
        <v>81</v>
      </c>
      <c r="KYZ16" s="284"/>
      <c r="KZA16" s="259" t="s">
        <v>55</v>
      </c>
      <c r="KZB16" s="256" t="s">
        <v>76</v>
      </c>
      <c r="KZC16" s="256" t="s">
        <v>77</v>
      </c>
      <c r="KZD16" s="256" t="s">
        <v>78</v>
      </c>
      <c r="KZE16" s="256" t="s">
        <v>79</v>
      </c>
      <c r="KZF16" s="256" t="s">
        <v>80</v>
      </c>
      <c r="KZG16" s="256" t="s">
        <v>81</v>
      </c>
      <c r="KZH16" s="283"/>
      <c r="KZI16" s="259" t="s">
        <v>55</v>
      </c>
      <c r="KZJ16" s="256" t="s">
        <v>76</v>
      </c>
      <c r="KZK16" s="256" t="s">
        <v>77</v>
      </c>
      <c r="KZL16" s="256" t="s">
        <v>78</v>
      </c>
      <c r="KZM16" s="256" t="s">
        <v>79</v>
      </c>
      <c r="KZN16" s="256" t="s">
        <v>80</v>
      </c>
      <c r="KZO16" s="58" t="s">
        <v>81</v>
      </c>
      <c r="KZP16" s="284"/>
      <c r="KZQ16" s="259" t="s">
        <v>55</v>
      </c>
      <c r="KZR16" s="256" t="s">
        <v>76</v>
      </c>
      <c r="KZS16" s="256" t="s">
        <v>77</v>
      </c>
      <c r="KZT16" s="256" t="s">
        <v>78</v>
      </c>
      <c r="KZU16" s="256" t="s">
        <v>79</v>
      </c>
      <c r="KZV16" s="256" t="s">
        <v>80</v>
      </c>
      <c r="KZW16" s="256" t="s">
        <v>81</v>
      </c>
      <c r="KZX16" s="283"/>
      <c r="KZY16" s="259" t="s">
        <v>55</v>
      </c>
      <c r="KZZ16" s="256" t="s">
        <v>76</v>
      </c>
      <c r="LAA16" s="256" t="s">
        <v>77</v>
      </c>
      <c r="LAB16" s="256" t="s">
        <v>78</v>
      </c>
      <c r="LAC16" s="256" t="s">
        <v>79</v>
      </c>
      <c r="LAD16" s="256" t="s">
        <v>80</v>
      </c>
      <c r="LAE16" s="58" t="s">
        <v>81</v>
      </c>
      <c r="LAF16" s="284"/>
      <c r="LAG16" s="259" t="s">
        <v>55</v>
      </c>
      <c r="LAH16" s="256" t="s">
        <v>76</v>
      </c>
      <c r="LAI16" s="256" t="s">
        <v>77</v>
      </c>
      <c r="LAJ16" s="256" t="s">
        <v>78</v>
      </c>
      <c r="LAK16" s="256" t="s">
        <v>79</v>
      </c>
      <c r="LAL16" s="256" t="s">
        <v>80</v>
      </c>
      <c r="LAM16" s="256" t="s">
        <v>81</v>
      </c>
      <c r="LAN16" s="283"/>
      <c r="LAO16" s="259" t="s">
        <v>55</v>
      </c>
      <c r="LAP16" s="256" t="s">
        <v>76</v>
      </c>
      <c r="LAQ16" s="256" t="s">
        <v>77</v>
      </c>
      <c r="LAR16" s="256" t="s">
        <v>78</v>
      </c>
      <c r="LAS16" s="256" t="s">
        <v>79</v>
      </c>
      <c r="LAT16" s="256" t="s">
        <v>80</v>
      </c>
      <c r="LAU16" s="58" t="s">
        <v>81</v>
      </c>
      <c r="LAV16" s="284"/>
      <c r="LAW16" s="259" t="s">
        <v>55</v>
      </c>
      <c r="LAX16" s="256" t="s">
        <v>76</v>
      </c>
      <c r="LAY16" s="256" t="s">
        <v>77</v>
      </c>
      <c r="LAZ16" s="256" t="s">
        <v>78</v>
      </c>
      <c r="LBA16" s="256" t="s">
        <v>79</v>
      </c>
      <c r="LBB16" s="256" t="s">
        <v>80</v>
      </c>
      <c r="LBC16" s="256" t="s">
        <v>81</v>
      </c>
      <c r="LBD16" s="283"/>
      <c r="LBE16" s="259" t="s">
        <v>55</v>
      </c>
      <c r="LBF16" s="256" t="s">
        <v>76</v>
      </c>
      <c r="LBG16" s="256" t="s">
        <v>77</v>
      </c>
      <c r="LBH16" s="256" t="s">
        <v>78</v>
      </c>
      <c r="LBI16" s="256" t="s">
        <v>79</v>
      </c>
      <c r="LBJ16" s="256" t="s">
        <v>80</v>
      </c>
      <c r="LBK16" s="58" t="s">
        <v>81</v>
      </c>
      <c r="LBL16" s="284"/>
      <c r="LBM16" s="259" t="s">
        <v>55</v>
      </c>
      <c r="LBN16" s="256" t="s">
        <v>76</v>
      </c>
      <c r="LBO16" s="256" t="s">
        <v>77</v>
      </c>
      <c r="LBP16" s="256" t="s">
        <v>78</v>
      </c>
      <c r="LBQ16" s="256" t="s">
        <v>79</v>
      </c>
      <c r="LBR16" s="256" t="s">
        <v>80</v>
      </c>
      <c r="LBS16" s="256" t="s">
        <v>81</v>
      </c>
      <c r="LBT16" s="283"/>
      <c r="LBU16" s="259" t="s">
        <v>55</v>
      </c>
      <c r="LBV16" s="256" t="s">
        <v>76</v>
      </c>
      <c r="LBW16" s="256" t="s">
        <v>77</v>
      </c>
      <c r="LBX16" s="256" t="s">
        <v>78</v>
      </c>
      <c r="LBY16" s="256" t="s">
        <v>79</v>
      </c>
      <c r="LBZ16" s="256" t="s">
        <v>80</v>
      </c>
      <c r="LCA16" s="58" t="s">
        <v>81</v>
      </c>
      <c r="LCB16" s="284"/>
      <c r="LCC16" s="259" t="s">
        <v>55</v>
      </c>
      <c r="LCD16" s="256" t="s">
        <v>76</v>
      </c>
      <c r="LCE16" s="256" t="s">
        <v>77</v>
      </c>
      <c r="LCF16" s="256" t="s">
        <v>78</v>
      </c>
      <c r="LCG16" s="256" t="s">
        <v>79</v>
      </c>
      <c r="LCH16" s="256" t="s">
        <v>80</v>
      </c>
      <c r="LCI16" s="256" t="s">
        <v>81</v>
      </c>
      <c r="LCJ16" s="283"/>
      <c r="LCK16" s="259" t="s">
        <v>55</v>
      </c>
      <c r="LCL16" s="256" t="s">
        <v>76</v>
      </c>
      <c r="LCM16" s="256" t="s">
        <v>77</v>
      </c>
      <c r="LCN16" s="256" t="s">
        <v>78</v>
      </c>
      <c r="LCO16" s="256" t="s">
        <v>79</v>
      </c>
      <c r="LCP16" s="256" t="s">
        <v>80</v>
      </c>
      <c r="LCQ16" s="58" t="s">
        <v>81</v>
      </c>
      <c r="LCR16" s="284"/>
      <c r="LCS16" s="259" t="s">
        <v>55</v>
      </c>
      <c r="LCT16" s="256" t="s">
        <v>76</v>
      </c>
      <c r="LCU16" s="256" t="s">
        <v>77</v>
      </c>
      <c r="LCV16" s="256" t="s">
        <v>78</v>
      </c>
      <c r="LCW16" s="256" t="s">
        <v>79</v>
      </c>
      <c r="LCX16" s="256" t="s">
        <v>80</v>
      </c>
      <c r="LCY16" s="256" t="s">
        <v>81</v>
      </c>
      <c r="LCZ16" s="283"/>
      <c r="LDA16" s="259" t="s">
        <v>55</v>
      </c>
      <c r="LDB16" s="256" t="s">
        <v>76</v>
      </c>
      <c r="LDC16" s="256" t="s">
        <v>77</v>
      </c>
      <c r="LDD16" s="256" t="s">
        <v>78</v>
      </c>
      <c r="LDE16" s="256" t="s">
        <v>79</v>
      </c>
      <c r="LDF16" s="256" t="s">
        <v>80</v>
      </c>
      <c r="LDG16" s="58" t="s">
        <v>81</v>
      </c>
      <c r="LDH16" s="284"/>
      <c r="LDI16" s="259" t="s">
        <v>55</v>
      </c>
      <c r="LDJ16" s="256" t="s">
        <v>76</v>
      </c>
      <c r="LDK16" s="256" t="s">
        <v>77</v>
      </c>
      <c r="LDL16" s="256" t="s">
        <v>78</v>
      </c>
      <c r="LDM16" s="256" t="s">
        <v>79</v>
      </c>
      <c r="LDN16" s="256" t="s">
        <v>80</v>
      </c>
      <c r="LDO16" s="256" t="s">
        <v>81</v>
      </c>
      <c r="LDP16" s="283"/>
      <c r="LDQ16" s="259" t="s">
        <v>55</v>
      </c>
      <c r="LDR16" s="256" t="s">
        <v>76</v>
      </c>
      <c r="LDS16" s="256" t="s">
        <v>77</v>
      </c>
      <c r="LDT16" s="256" t="s">
        <v>78</v>
      </c>
      <c r="LDU16" s="256" t="s">
        <v>79</v>
      </c>
      <c r="LDV16" s="256" t="s">
        <v>80</v>
      </c>
      <c r="LDW16" s="58" t="s">
        <v>81</v>
      </c>
      <c r="LDX16" s="284"/>
      <c r="LDY16" s="259" t="s">
        <v>55</v>
      </c>
      <c r="LDZ16" s="256" t="s">
        <v>76</v>
      </c>
      <c r="LEA16" s="256" t="s">
        <v>77</v>
      </c>
      <c r="LEB16" s="256" t="s">
        <v>78</v>
      </c>
      <c r="LEC16" s="256" t="s">
        <v>79</v>
      </c>
      <c r="LED16" s="256" t="s">
        <v>80</v>
      </c>
      <c r="LEE16" s="256" t="s">
        <v>81</v>
      </c>
      <c r="LEF16" s="283"/>
      <c r="LEG16" s="259" t="s">
        <v>55</v>
      </c>
      <c r="LEH16" s="256" t="s">
        <v>76</v>
      </c>
      <c r="LEI16" s="256" t="s">
        <v>77</v>
      </c>
      <c r="LEJ16" s="256" t="s">
        <v>78</v>
      </c>
      <c r="LEK16" s="256" t="s">
        <v>79</v>
      </c>
      <c r="LEL16" s="256" t="s">
        <v>80</v>
      </c>
      <c r="LEM16" s="58" t="s">
        <v>81</v>
      </c>
      <c r="LEN16" s="284"/>
      <c r="LEO16" s="259" t="s">
        <v>55</v>
      </c>
      <c r="LEP16" s="256" t="s">
        <v>76</v>
      </c>
      <c r="LEQ16" s="256" t="s">
        <v>77</v>
      </c>
      <c r="LER16" s="256" t="s">
        <v>78</v>
      </c>
      <c r="LES16" s="256" t="s">
        <v>79</v>
      </c>
      <c r="LET16" s="256" t="s">
        <v>80</v>
      </c>
      <c r="LEU16" s="256" t="s">
        <v>81</v>
      </c>
      <c r="LEV16" s="283"/>
      <c r="LEW16" s="259" t="s">
        <v>55</v>
      </c>
      <c r="LEX16" s="256" t="s">
        <v>76</v>
      </c>
      <c r="LEY16" s="256" t="s">
        <v>77</v>
      </c>
      <c r="LEZ16" s="256" t="s">
        <v>78</v>
      </c>
      <c r="LFA16" s="256" t="s">
        <v>79</v>
      </c>
      <c r="LFB16" s="256" t="s">
        <v>80</v>
      </c>
      <c r="LFC16" s="58" t="s">
        <v>81</v>
      </c>
      <c r="LFD16" s="284"/>
      <c r="LFE16" s="259" t="s">
        <v>55</v>
      </c>
      <c r="LFF16" s="256" t="s">
        <v>76</v>
      </c>
      <c r="LFG16" s="256" t="s">
        <v>77</v>
      </c>
      <c r="LFH16" s="256" t="s">
        <v>78</v>
      </c>
      <c r="LFI16" s="256" t="s">
        <v>79</v>
      </c>
      <c r="LFJ16" s="256" t="s">
        <v>80</v>
      </c>
      <c r="LFK16" s="256" t="s">
        <v>81</v>
      </c>
      <c r="LFL16" s="283"/>
      <c r="LFM16" s="259" t="s">
        <v>55</v>
      </c>
      <c r="LFN16" s="256" t="s">
        <v>76</v>
      </c>
      <c r="LFO16" s="256" t="s">
        <v>77</v>
      </c>
      <c r="LFP16" s="256" t="s">
        <v>78</v>
      </c>
      <c r="LFQ16" s="256" t="s">
        <v>79</v>
      </c>
      <c r="LFR16" s="256" t="s">
        <v>80</v>
      </c>
      <c r="LFS16" s="58" t="s">
        <v>81</v>
      </c>
      <c r="LFT16" s="284"/>
      <c r="LFU16" s="259" t="s">
        <v>55</v>
      </c>
      <c r="LFV16" s="256" t="s">
        <v>76</v>
      </c>
      <c r="LFW16" s="256" t="s">
        <v>77</v>
      </c>
      <c r="LFX16" s="256" t="s">
        <v>78</v>
      </c>
      <c r="LFY16" s="256" t="s">
        <v>79</v>
      </c>
      <c r="LFZ16" s="256" t="s">
        <v>80</v>
      </c>
      <c r="LGA16" s="256" t="s">
        <v>81</v>
      </c>
      <c r="LGB16" s="283"/>
      <c r="LGC16" s="259" t="s">
        <v>55</v>
      </c>
      <c r="LGD16" s="256" t="s">
        <v>76</v>
      </c>
      <c r="LGE16" s="256" t="s">
        <v>77</v>
      </c>
      <c r="LGF16" s="256" t="s">
        <v>78</v>
      </c>
      <c r="LGG16" s="256" t="s">
        <v>79</v>
      </c>
      <c r="LGH16" s="256" t="s">
        <v>80</v>
      </c>
      <c r="LGI16" s="58" t="s">
        <v>81</v>
      </c>
      <c r="LGJ16" s="284"/>
      <c r="LGK16" s="259" t="s">
        <v>55</v>
      </c>
      <c r="LGL16" s="256" t="s">
        <v>76</v>
      </c>
      <c r="LGM16" s="256" t="s">
        <v>77</v>
      </c>
      <c r="LGN16" s="256" t="s">
        <v>78</v>
      </c>
      <c r="LGO16" s="256" t="s">
        <v>79</v>
      </c>
      <c r="LGP16" s="256" t="s">
        <v>80</v>
      </c>
      <c r="LGQ16" s="256" t="s">
        <v>81</v>
      </c>
      <c r="LGR16" s="283"/>
      <c r="LGS16" s="259" t="s">
        <v>55</v>
      </c>
      <c r="LGT16" s="256" t="s">
        <v>76</v>
      </c>
      <c r="LGU16" s="256" t="s">
        <v>77</v>
      </c>
      <c r="LGV16" s="256" t="s">
        <v>78</v>
      </c>
      <c r="LGW16" s="256" t="s">
        <v>79</v>
      </c>
      <c r="LGX16" s="256" t="s">
        <v>80</v>
      </c>
      <c r="LGY16" s="58" t="s">
        <v>81</v>
      </c>
      <c r="LGZ16" s="284"/>
      <c r="LHA16" s="259" t="s">
        <v>55</v>
      </c>
      <c r="LHB16" s="256" t="s">
        <v>76</v>
      </c>
      <c r="LHC16" s="256" t="s">
        <v>77</v>
      </c>
      <c r="LHD16" s="256" t="s">
        <v>78</v>
      </c>
      <c r="LHE16" s="256" t="s">
        <v>79</v>
      </c>
      <c r="LHF16" s="256" t="s">
        <v>80</v>
      </c>
      <c r="LHG16" s="256" t="s">
        <v>81</v>
      </c>
      <c r="LHH16" s="283"/>
      <c r="LHI16" s="259" t="s">
        <v>55</v>
      </c>
      <c r="LHJ16" s="256" t="s">
        <v>76</v>
      </c>
      <c r="LHK16" s="256" t="s">
        <v>77</v>
      </c>
      <c r="LHL16" s="256" t="s">
        <v>78</v>
      </c>
      <c r="LHM16" s="256" t="s">
        <v>79</v>
      </c>
      <c r="LHN16" s="256" t="s">
        <v>80</v>
      </c>
      <c r="LHO16" s="58" t="s">
        <v>81</v>
      </c>
      <c r="LHP16" s="284"/>
      <c r="LHQ16" s="259" t="s">
        <v>55</v>
      </c>
      <c r="LHR16" s="256" t="s">
        <v>76</v>
      </c>
      <c r="LHS16" s="256" t="s">
        <v>77</v>
      </c>
      <c r="LHT16" s="256" t="s">
        <v>78</v>
      </c>
      <c r="LHU16" s="256" t="s">
        <v>79</v>
      </c>
      <c r="LHV16" s="256" t="s">
        <v>80</v>
      </c>
      <c r="LHW16" s="256" t="s">
        <v>81</v>
      </c>
      <c r="LHX16" s="283"/>
      <c r="LHY16" s="259" t="s">
        <v>55</v>
      </c>
      <c r="LHZ16" s="256" t="s">
        <v>76</v>
      </c>
      <c r="LIA16" s="256" t="s">
        <v>77</v>
      </c>
      <c r="LIB16" s="256" t="s">
        <v>78</v>
      </c>
      <c r="LIC16" s="256" t="s">
        <v>79</v>
      </c>
      <c r="LID16" s="256" t="s">
        <v>80</v>
      </c>
      <c r="LIE16" s="58" t="s">
        <v>81</v>
      </c>
      <c r="LIF16" s="284"/>
      <c r="LIG16" s="259" t="s">
        <v>55</v>
      </c>
      <c r="LIH16" s="256" t="s">
        <v>76</v>
      </c>
      <c r="LII16" s="256" t="s">
        <v>77</v>
      </c>
      <c r="LIJ16" s="256" t="s">
        <v>78</v>
      </c>
      <c r="LIK16" s="256" t="s">
        <v>79</v>
      </c>
      <c r="LIL16" s="256" t="s">
        <v>80</v>
      </c>
      <c r="LIM16" s="256" t="s">
        <v>81</v>
      </c>
      <c r="LIN16" s="283"/>
      <c r="LIO16" s="259" t="s">
        <v>55</v>
      </c>
      <c r="LIP16" s="256" t="s">
        <v>76</v>
      </c>
      <c r="LIQ16" s="256" t="s">
        <v>77</v>
      </c>
      <c r="LIR16" s="256" t="s">
        <v>78</v>
      </c>
      <c r="LIS16" s="256" t="s">
        <v>79</v>
      </c>
      <c r="LIT16" s="256" t="s">
        <v>80</v>
      </c>
      <c r="LIU16" s="58" t="s">
        <v>81</v>
      </c>
      <c r="LIV16" s="284"/>
      <c r="LIW16" s="259" t="s">
        <v>55</v>
      </c>
      <c r="LIX16" s="256" t="s">
        <v>76</v>
      </c>
      <c r="LIY16" s="256" t="s">
        <v>77</v>
      </c>
      <c r="LIZ16" s="256" t="s">
        <v>78</v>
      </c>
      <c r="LJA16" s="256" t="s">
        <v>79</v>
      </c>
      <c r="LJB16" s="256" t="s">
        <v>80</v>
      </c>
      <c r="LJC16" s="256" t="s">
        <v>81</v>
      </c>
      <c r="LJD16" s="283"/>
      <c r="LJE16" s="259" t="s">
        <v>55</v>
      </c>
      <c r="LJF16" s="256" t="s">
        <v>76</v>
      </c>
      <c r="LJG16" s="256" t="s">
        <v>77</v>
      </c>
      <c r="LJH16" s="256" t="s">
        <v>78</v>
      </c>
      <c r="LJI16" s="256" t="s">
        <v>79</v>
      </c>
      <c r="LJJ16" s="256" t="s">
        <v>80</v>
      </c>
      <c r="LJK16" s="58" t="s">
        <v>81</v>
      </c>
      <c r="LJL16" s="284"/>
      <c r="LJM16" s="259" t="s">
        <v>55</v>
      </c>
      <c r="LJN16" s="256" t="s">
        <v>76</v>
      </c>
      <c r="LJO16" s="256" t="s">
        <v>77</v>
      </c>
      <c r="LJP16" s="256" t="s">
        <v>78</v>
      </c>
      <c r="LJQ16" s="256" t="s">
        <v>79</v>
      </c>
      <c r="LJR16" s="256" t="s">
        <v>80</v>
      </c>
      <c r="LJS16" s="256" t="s">
        <v>81</v>
      </c>
      <c r="LJT16" s="283"/>
      <c r="LJU16" s="259" t="s">
        <v>55</v>
      </c>
      <c r="LJV16" s="256" t="s">
        <v>76</v>
      </c>
      <c r="LJW16" s="256" t="s">
        <v>77</v>
      </c>
      <c r="LJX16" s="256" t="s">
        <v>78</v>
      </c>
      <c r="LJY16" s="256" t="s">
        <v>79</v>
      </c>
      <c r="LJZ16" s="256" t="s">
        <v>80</v>
      </c>
      <c r="LKA16" s="58" t="s">
        <v>81</v>
      </c>
      <c r="LKB16" s="284"/>
      <c r="LKC16" s="259" t="s">
        <v>55</v>
      </c>
      <c r="LKD16" s="256" t="s">
        <v>76</v>
      </c>
      <c r="LKE16" s="256" t="s">
        <v>77</v>
      </c>
      <c r="LKF16" s="256" t="s">
        <v>78</v>
      </c>
      <c r="LKG16" s="256" t="s">
        <v>79</v>
      </c>
      <c r="LKH16" s="256" t="s">
        <v>80</v>
      </c>
      <c r="LKI16" s="256" t="s">
        <v>81</v>
      </c>
      <c r="LKJ16" s="283"/>
      <c r="LKK16" s="259" t="s">
        <v>55</v>
      </c>
      <c r="LKL16" s="256" t="s">
        <v>76</v>
      </c>
      <c r="LKM16" s="256" t="s">
        <v>77</v>
      </c>
      <c r="LKN16" s="256" t="s">
        <v>78</v>
      </c>
      <c r="LKO16" s="256" t="s">
        <v>79</v>
      </c>
      <c r="LKP16" s="256" t="s">
        <v>80</v>
      </c>
      <c r="LKQ16" s="58" t="s">
        <v>81</v>
      </c>
      <c r="LKR16" s="284"/>
      <c r="LKS16" s="259" t="s">
        <v>55</v>
      </c>
      <c r="LKT16" s="256" t="s">
        <v>76</v>
      </c>
      <c r="LKU16" s="256" t="s">
        <v>77</v>
      </c>
      <c r="LKV16" s="256" t="s">
        <v>78</v>
      </c>
      <c r="LKW16" s="256" t="s">
        <v>79</v>
      </c>
      <c r="LKX16" s="256" t="s">
        <v>80</v>
      </c>
      <c r="LKY16" s="256" t="s">
        <v>81</v>
      </c>
      <c r="LKZ16" s="283"/>
      <c r="LLA16" s="259" t="s">
        <v>55</v>
      </c>
      <c r="LLB16" s="256" t="s">
        <v>76</v>
      </c>
      <c r="LLC16" s="256" t="s">
        <v>77</v>
      </c>
      <c r="LLD16" s="256" t="s">
        <v>78</v>
      </c>
      <c r="LLE16" s="256" t="s">
        <v>79</v>
      </c>
      <c r="LLF16" s="256" t="s">
        <v>80</v>
      </c>
      <c r="LLG16" s="58" t="s">
        <v>81</v>
      </c>
      <c r="LLH16" s="284"/>
      <c r="LLI16" s="259" t="s">
        <v>55</v>
      </c>
      <c r="LLJ16" s="256" t="s">
        <v>76</v>
      </c>
      <c r="LLK16" s="256" t="s">
        <v>77</v>
      </c>
      <c r="LLL16" s="256" t="s">
        <v>78</v>
      </c>
      <c r="LLM16" s="256" t="s">
        <v>79</v>
      </c>
      <c r="LLN16" s="256" t="s">
        <v>80</v>
      </c>
      <c r="LLO16" s="256" t="s">
        <v>81</v>
      </c>
      <c r="LLP16" s="283"/>
      <c r="LLQ16" s="259" t="s">
        <v>55</v>
      </c>
      <c r="LLR16" s="256" t="s">
        <v>76</v>
      </c>
      <c r="LLS16" s="256" t="s">
        <v>77</v>
      </c>
      <c r="LLT16" s="256" t="s">
        <v>78</v>
      </c>
      <c r="LLU16" s="256" t="s">
        <v>79</v>
      </c>
      <c r="LLV16" s="256" t="s">
        <v>80</v>
      </c>
      <c r="LLW16" s="58" t="s">
        <v>81</v>
      </c>
      <c r="LLX16" s="284"/>
      <c r="LLY16" s="259" t="s">
        <v>55</v>
      </c>
      <c r="LLZ16" s="256" t="s">
        <v>76</v>
      </c>
      <c r="LMA16" s="256" t="s">
        <v>77</v>
      </c>
      <c r="LMB16" s="256" t="s">
        <v>78</v>
      </c>
      <c r="LMC16" s="256" t="s">
        <v>79</v>
      </c>
      <c r="LMD16" s="256" t="s">
        <v>80</v>
      </c>
      <c r="LME16" s="256" t="s">
        <v>81</v>
      </c>
      <c r="LMF16" s="283"/>
      <c r="LMG16" s="259" t="s">
        <v>55</v>
      </c>
      <c r="LMH16" s="256" t="s">
        <v>76</v>
      </c>
      <c r="LMI16" s="256" t="s">
        <v>77</v>
      </c>
      <c r="LMJ16" s="256" t="s">
        <v>78</v>
      </c>
      <c r="LMK16" s="256" t="s">
        <v>79</v>
      </c>
      <c r="LML16" s="256" t="s">
        <v>80</v>
      </c>
      <c r="LMM16" s="58" t="s">
        <v>81</v>
      </c>
      <c r="LMN16" s="284"/>
      <c r="LMO16" s="259" t="s">
        <v>55</v>
      </c>
      <c r="LMP16" s="256" t="s">
        <v>76</v>
      </c>
      <c r="LMQ16" s="256" t="s">
        <v>77</v>
      </c>
      <c r="LMR16" s="256" t="s">
        <v>78</v>
      </c>
      <c r="LMS16" s="256" t="s">
        <v>79</v>
      </c>
      <c r="LMT16" s="256" t="s">
        <v>80</v>
      </c>
      <c r="LMU16" s="256" t="s">
        <v>81</v>
      </c>
      <c r="LMV16" s="283"/>
      <c r="LMW16" s="259" t="s">
        <v>55</v>
      </c>
      <c r="LMX16" s="256" t="s">
        <v>76</v>
      </c>
      <c r="LMY16" s="256" t="s">
        <v>77</v>
      </c>
      <c r="LMZ16" s="256" t="s">
        <v>78</v>
      </c>
      <c r="LNA16" s="256" t="s">
        <v>79</v>
      </c>
      <c r="LNB16" s="256" t="s">
        <v>80</v>
      </c>
      <c r="LNC16" s="58" t="s">
        <v>81</v>
      </c>
      <c r="LND16" s="284"/>
      <c r="LNE16" s="259" t="s">
        <v>55</v>
      </c>
      <c r="LNF16" s="256" t="s">
        <v>76</v>
      </c>
      <c r="LNG16" s="256" t="s">
        <v>77</v>
      </c>
      <c r="LNH16" s="256" t="s">
        <v>78</v>
      </c>
      <c r="LNI16" s="256" t="s">
        <v>79</v>
      </c>
      <c r="LNJ16" s="256" t="s">
        <v>80</v>
      </c>
      <c r="LNK16" s="256" t="s">
        <v>81</v>
      </c>
      <c r="LNL16" s="283"/>
      <c r="LNM16" s="259" t="s">
        <v>55</v>
      </c>
      <c r="LNN16" s="256" t="s">
        <v>76</v>
      </c>
      <c r="LNO16" s="256" t="s">
        <v>77</v>
      </c>
      <c r="LNP16" s="256" t="s">
        <v>78</v>
      </c>
      <c r="LNQ16" s="256" t="s">
        <v>79</v>
      </c>
      <c r="LNR16" s="256" t="s">
        <v>80</v>
      </c>
      <c r="LNS16" s="58" t="s">
        <v>81</v>
      </c>
      <c r="LNT16" s="284"/>
      <c r="LNU16" s="259" t="s">
        <v>55</v>
      </c>
      <c r="LNV16" s="256" t="s">
        <v>76</v>
      </c>
      <c r="LNW16" s="256" t="s">
        <v>77</v>
      </c>
      <c r="LNX16" s="256" t="s">
        <v>78</v>
      </c>
      <c r="LNY16" s="256" t="s">
        <v>79</v>
      </c>
      <c r="LNZ16" s="256" t="s">
        <v>80</v>
      </c>
      <c r="LOA16" s="256" t="s">
        <v>81</v>
      </c>
      <c r="LOB16" s="283"/>
      <c r="LOC16" s="259" t="s">
        <v>55</v>
      </c>
      <c r="LOD16" s="256" t="s">
        <v>76</v>
      </c>
      <c r="LOE16" s="256" t="s">
        <v>77</v>
      </c>
      <c r="LOF16" s="256" t="s">
        <v>78</v>
      </c>
      <c r="LOG16" s="256" t="s">
        <v>79</v>
      </c>
      <c r="LOH16" s="256" t="s">
        <v>80</v>
      </c>
      <c r="LOI16" s="58" t="s">
        <v>81</v>
      </c>
      <c r="LOJ16" s="284"/>
      <c r="LOK16" s="259" t="s">
        <v>55</v>
      </c>
      <c r="LOL16" s="256" t="s">
        <v>76</v>
      </c>
      <c r="LOM16" s="256" t="s">
        <v>77</v>
      </c>
      <c r="LON16" s="256" t="s">
        <v>78</v>
      </c>
      <c r="LOO16" s="256" t="s">
        <v>79</v>
      </c>
      <c r="LOP16" s="256" t="s">
        <v>80</v>
      </c>
      <c r="LOQ16" s="256" t="s">
        <v>81</v>
      </c>
      <c r="LOR16" s="283"/>
      <c r="LOS16" s="259" t="s">
        <v>55</v>
      </c>
      <c r="LOT16" s="256" t="s">
        <v>76</v>
      </c>
      <c r="LOU16" s="256" t="s">
        <v>77</v>
      </c>
      <c r="LOV16" s="256" t="s">
        <v>78</v>
      </c>
      <c r="LOW16" s="256" t="s">
        <v>79</v>
      </c>
      <c r="LOX16" s="256" t="s">
        <v>80</v>
      </c>
      <c r="LOY16" s="58" t="s">
        <v>81</v>
      </c>
      <c r="LOZ16" s="284"/>
      <c r="LPA16" s="259" t="s">
        <v>55</v>
      </c>
      <c r="LPB16" s="256" t="s">
        <v>76</v>
      </c>
      <c r="LPC16" s="256" t="s">
        <v>77</v>
      </c>
      <c r="LPD16" s="256" t="s">
        <v>78</v>
      </c>
      <c r="LPE16" s="256" t="s">
        <v>79</v>
      </c>
      <c r="LPF16" s="256" t="s">
        <v>80</v>
      </c>
      <c r="LPG16" s="256" t="s">
        <v>81</v>
      </c>
      <c r="LPH16" s="283"/>
      <c r="LPI16" s="259" t="s">
        <v>55</v>
      </c>
      <c r="LPJ16" s="256" t="s">
        <v>76</v>
      </c>
      <c r="LPK16" s="256" t="s">
        <v>77</v>
      </c>
      <c r="LPL16" s="256" t="s">
        <v>78</v>
      </c>
      <c r="LPM16" s="256" t="s">
        <v>79</v>
      </c>
      <c r="LPN16" s="256" t="s">
        <v>80</v>
      </c>
      <c r="LPO16" s="58" t="s">
        <v>81</v>
      </c>
      <c r="LPP16" s="284"/>
      <c r="LPQ16" s="259" t="s">
        <v>55</v>
      </c>
      <c r="LPR16" s="256" t="s">
        <v>76</v>
      </c>
      <c r="LPS16" s="256" t="s">
        <v>77</v>
      </c>
      <c r="LPT16" s="256" t="s">
        <v>78</v>
      </c>
      <c r="LPU16" s="256" t="s">
        <v>79</v>
      </c>
      <c r="LPV16" s="256" t="s">
        <v>80</v>
      </c>
      <c r="LPW16" s="256" t="s">
        <v>81</v>
      </c>
      <c r="LPX16" s="283"/>
      <c r="LPY16" s="259" t="s">
        <v>55</v>
      </c>
      <c r="LPZ16" s="256" t="s">
        <v>76</v>
      </c>
      <c r="LQA16" s="256" t="s">
        <v>77</v>
      </c>
      <c r="LQB16" s="256" t="s">
        <v>78</v>
      </c>
      <c r="LQC16" s="256" t="s">
        <v>79</v>
      </c>
      <c r="LQD16" s="256" t="s">
        <v>80</v>
      </c>
      <c r="LQE16" s="58" t="s">
        <v>81</v>
      </c>
      <c r="LQF16" s="284"/>
      <c r="LQG16" s="259" t="s">
        <v>55</v>
      </c>
      <c r="LQH16" s="256" t="s">
        <v>76</v>
      </c>
      <c r="LQI16" s="256" t="s">
        <v>77</v>
      </c>
      <c r="LQJ16" s="256" t="s">
        <v>78</v>
      </c>
      <c r="LQK16" s="256" t="s">
        <v>79</v>
      </c>
      <c r="LQL16" s="256" t="s">
        <v>80</v>
      </c>
      <c r="LQM16" s="256" t="s">
        <v>81</v>
      </c>
      <c r="LQN16" s="283"/>
      <c r="LQO16" s="259" t="s">
        <v>55</v>
      </c>
      <c r="LQP16" s="256" t="s">
        <v>76</v>
      </c>
      <c r="LQQ16" s="256" t="s">
        <v>77</v>
      </c>
      <c r="LQR16" s="256" t="s">
        <v>78</v>
      </c>
      <c r="LQS16" s="256" t="s">
        <v>79</v>
      </c>
      <c r="LQT16" s="256" t="s">
        <v>80</v>
      </c>
      <c r="LQU16" s="58" t="s">
        <v>81</v>
      </c>
      <c r="LQV16" s="284"/>
      <c r="LQW16" s="259" t="s">
        <v>55</v>
      </c>
      <c r="LQX16" s="256" t="s">
        <v>76</v>
      </c>
      <c r="LQY16" s="256" t="s">
        <v>77</v>
      </c>
      <c r="LQZ16" s="256" t="s">
        <v>78</v>
      </c>
      <c r="LRA16" s="256" t="s">
        <v>79</v>
      </c>
      <c r="LRB16" s="256" t="s">
        <v>80</v>
      </c>
      <c r="LRC16" s="256" t="s">
        <v>81</v>
      </c>
      <c r="LRD16" s="283"/>
      <c r="LRE16" s="259" t="s">
        <v>55</v>
      </c>
      <c r="LRF16" s="256" t="s">
        <v>76</v>
      </c>
      <c r="LRG16" s="256" t="s">
        <v>77</v>
      </c>
      <c r="LRH16" s="256" t="s">
        <v>78</v>
      </c>
      <c r="LRI16" s="256" t="s">
        <v>79</v>
      </c>
      <c r="LRJ16" s="256" t="s">
        <v>80</v>
      </c>
      <c r="LRK16" s="58" t="s">
        <v>81</v>
      </c>
      <c r="LRL16" s="284"/>
      <c r="LRM16" s="259" t="s">
        <v>55</v>
      </c>
      <c r="LRN16" s="256" t="s">
        <v>76</v>
      </c>
      <c r="LRO16" s="256" t="s">
        <v>77</v>
      </c>
      <c r="LRP16" s="256" t="s">
        <v>78</v>
      </c>
      <c r="LRQ16" s="256" t="s">
        <v>79</v>
      </c>
      <c r="LRR16" s="256" t="s">
        <v>80</v>
      </c>
      <c r="LRS16" s="256" t="s">
        <v>81</v>
      </c>
      <c r="LRT16" s="283"/>
      <c r="LRU16" s="259" t="s">
        <v>55</v>
      </c>
      <c r="LRV16" s="256" t="s">
        <v>76</v>
      </c>
      <c r="LRW16" s="256" t="s">
        <v>77</v>
      </c>
      <c r="LRX16" s="256" t="s">
        <v>78</v>
      </c>
      <c r="LRY16" s="256" t="s">
        <v>79</v>
      </c>
      <c r="LRZ16" s="256" t="s">
        <v>80</v>
      </c>
      <c r="LSA16" s="58" t="s">
        <v>81</v>
      </c>
      <c r="LSB16" s="284"/>
      <c r="LSC16" s="259" t="s">
        <v>55</v>
      </c>
      <c r="LSD16" s="256" t="s">
        <v>76</v>
      </c>
      <c r="LSE16" s="256" t="s">
        <v>77</v>
      </c>
      <c r="LSF16" s="256" t="s">
        <v>78</v>
      </c>
      <c r="LSG16" s="256" t="s">
        <v>79</v>
      </c>
      <c r="LSH16" s="256" t="s">
        <v>80</v>
      </c>
      <c r="LSI16" s="256" t="s">
        <v>81</v>
      </c>
      <c r="LSJ16" s="283"/>
      <c r="LSK16" s="259" t="s">
        <v>55</v>
      </c>
      <c r="LSL16" s="256" t="s">
        <v>76</v>
      </c>
      <c r="LSM16" s="256" t="s">
        <v>77</v>
      </c>
      <c r="LSN16" s="256" t="s">
        <v>78</v>
      </c>
      <c r="LSO16" s="256" t="s">
        <v>79</v>
      </c>
      <c r="LSP16" s="256" t="s">
        <v>80</v>
      </c>
      <c r="LSQ16" s="58" t="s">
        <v>81</v>
      </c>
      <c r="LSR16" s="284"/>
      <c r="LSS16" s="259" t="s">
        <v>55</v>
      </c>
      <c r="LST16" s="256" t="s">
        <v>76</v>
      </c>
      <c r="LSU16" s="256" t="s">
        <v>77</v>
      </c>
      <c r="LSV16" s="256" t="s">
        <v>78</v>
      </c>
      <c r="LSW16" s="256" t="s">
        <v>79</v>
      </c>
      <c r="LSX16" s="256" t="s">
        <v>80</v>
      </c>
      <c r="LSY16" s="256" t="s">
        <v>81</v>
      </c>
      <c r="LSZ16" s="283"/>
      <c r="LTA16" s="259" t="s">
        <v>55</v>
      </c>
      <c r="LTB16" s="256" t="s">
        <v>76</v>
      </c>
      <c r="LTC16" s="256" t="s">
        <v>77</v>
      </c>
      <c r="LTD16" s="256" t="s">
        <v>78</v>
      </c>
      <c r="LTE16" s="256" t="s">
        <v>79</v>
      </c>
      <c r="LTF16" s="256" t="s">
        <v>80</v>
      </c>
      <c r="LTG16" s="58" t="s">
        <v>81</v>
      </c>
      <c r="LTH16" s="284"/>
      <c r="LTI16" s="259" t="s">
        <v>55</v>
      </c>
      <c r="LTJ16" s="256" t="s">
        <v>76</v>
      </c>
      <c r="LTK16" s="256" t="s">
        <v>77</v>
      </c>
      <c r="LTL16" s="256" t="s">
        <v>78</v>
      </c>
      <c r="LTM16" s="256" t="s">
        <v>79</v>
      </c>
      <c r="LTN16" s="256" t="s">
        <v>80</v>
      </c>
      <c r="LTO16" s="256" t="s">
        <v>81</v>
      </c>
      <c r="LTP16" s="283"/>
      <c r="LTQ16" s="259" t="s">
        <v>55</v>
      </c>
      <c r="LTR16" s="256" t="s">
        <v>76</v>
      </c>
      <c r="LTS16" s="256" t="s">
        <v>77</v>
      </c>
      <c r="LTT16" s="256" t="s">
        <v>78</v>
      </c>
      <c r="LTU16" s="256" t="s">
        <v>79</v>
      </c>
      <c r="LTV16" s="256" t="s">
        <v>80</v>
      </c>
      <c r="LTW16" s="58" t="s">
        <v>81</v>
      </c>
      <c r="LTX16" s="284"/>
      <c r="LTY16" s="259" t="s">
        <v>55</v>
      </c>
      <c r="LTZ16" s="256" t="s">
        <v>76</v>
      </c>
      <c r="LUA16" s="256" t="s">
        <v>77</v>
      </c>
      <c r="LUB16" s="256" t="s">
        <v>78</v>
      </c>
      <c r="LUC16" s="256" t="s">
        <v>79</v>
      </c>
      <c r="LUD16" s="256" t="s">
        <v>80</v>
      </c>
      <c r="LUE16" s="256" t="s">
        <v>81</v>
      </c>
      <c r="LUF16" s="283"/>
      <c r="LUG16" s="259" t="s">
        <v>55</v>
      </c>
      <c r="LUH16" s="256" t="s">
        <v>76</v>
      </c>
      <c r="LUI16" s="256" t="s">
        <v>77</v>
      </c>
      <c r="LUJ16" s="256" t="s">
        <v>78</v>
      </c>
      <c r="LUK16" s="256" t="s">
        <v>79</v>
      </c>
      <c r="LUL16" s="256" t="s">
        <v>80</v>
      </c>
      <c r="LUM16" s="58" t="s">
        <v>81</v>
      </c>
      <c r="LUN16" s="284"/>
      <c r="LUO16" s="259" t="s">
        <v>55</v>
      </c>
      <c r="LUP16" s="256" t="s">
        <v>76</v>
      </c>
      <c r="LUQ16" s="256" t="s">
        <v>77</v>
      </c>
      <c r="LUR16" s="256" t="s">
        <v>78</v>
      </c>
      <c r="LUS16" s="256" t="s">
        <v>79</v>
      </c>
      <c r="LUT16" s="256" t="s">
        <v>80</v>
      </c>
      <c r="LUU16" s="256" t="s">
        <v>81</v>
      </c>
      <c r="LUV16" s="283"/>
      <c r="LUW16" s="259" t="s">
        <v>55</v>
      </c>
      <c r="LUX16" s="256" t="s">
        <v>76</v>
      </c>
      <c r="LUY16" s="256" t="s">
        <v>77</v>
      </c>
      <c r="LUZ16" s="256" t="s">
        <v>78</v>
      </c>
      <c r="LVA16" s="256" t="s">
        <v>79</v>
      </c>
      <c r="LVB16" s="256" t="s">
        <v>80</v>
      </c>
      <c r="LVC16" s="58" t="s">
        <v>81</v>
      </c>
      <c r="LVD16" s="284"/>
      <c r="LVE16" s="259" t="s">
        <v>55</v>
      </c>
      <c r="LVF16" s="256" t="s">
        <v>76</v>
      </c>
      <c r="LVG16" s="256" t="s">
        <v>77</v>
      </c>
      <c r="LVH16" s="256" t="s">
        <v>78</v>
      </c>
      <c r="LVI16" s="256" t="s">
        <v>79</v>
      </c>
      <c r="LVJ16" s="256" t="s">
        <v>80</v>
      </c>
      <c r="LVK16" s="256" t="s">
        <v>81</v>
      </c>
      <c r="LVL16" s="283"/>
      <c r="LVM16" s="259" t="s">
        <v>55</v>
      </c>
      <c r="LVN16" s="256" t="s">
        <v>76</v>
      </c>
      <c r="LVO16" s="256" t="s">
        <v>77</v>
      </c>
      <c r="LVP16" s="256" t="s">
        <v>78</v>
      </c>
      <c r="LVQ16" s="256" t="s">
        <v>79</v>
      </c>
      <c r="LVR16" s="256" t="s">
        <v>80</v>
      </c>
      <c r="LVS16" s="58" t="s">
        <v>81</v>
      </c>
      <c r="LVT16" s="284"/>
      <c r="LVU16" s="259" t="s">
        <v>55</v>
      </c>
      <c r="LVV16" s="256" t="s">
        <v>76</v>
      </c>
      <c r="LVW16" s="256" t="s">
        <v>77</v>
      </c>
      <c r="LVX16" s="256" t="s">
        <v>78</v>
      </c>
      <c r="LVY16" s="256" t="s">
        <v>79</v>
      </c>
      <c r="LVZ16" s="256" t="s">
        <v>80</v>
      </c>
      <c r="LWA16" s="256" t="s">
        <v>81</v>
      </c>
      <c r="LWB16" s="283"/>
      <c r="LWC16" s="259" t="s">
        <v>55</v>
      </c>
      <c r="LWD16" s="256" t="s">
        <v>76</v>
      </c>
      <c r="LWE16" s="256" t="s">
        <v>77</v>
      </c>
      <c r="LWF16" s="256" t="s">
        <v>78</v>
      </c>
      <c r="LWG16" s="256" t="s">
        <v>79</v>
      </c>
      <c r="LWH16" s="256" t="s">
        <v>80</v>
      </c>
      <c r="LWI16" s="58" t="s">
        <v>81</v>
      </c>
      <c r="LWJ16" s="284"/>
      <c r="LWK16" s="259" t="s">
        <v>55</v>
      </c>
      <c r="LWL16" s="256" t="s">
        <v>76</v>
      </c>
      <c r="LWM16" s="256" t="s">
        <v>77</v>
      </c>
      <c r="LWN16" s="256" t="s">
        <v>78</v>
      </c>
      <c r="LWO16" s="256" t="s">
        <v>79</v>
      </c>
      <c r="LWP16" s="256" t="s">
        <v>80</v>
      </c>
      <c r="LWQ16" s="256" t="s">
        <v>81</v>
      </c>
      <c r="LWR16" s="283"/>
      <c r="LWS16" s="259" t="s">
        <v>55</v>
      </c>
      <c r="LWT16" s="256" t="s">
        <v>76</v>
      </c>
      <c r="LWU16" s="256" t="s">
        <v>77</v>
      </c>
      <c r="LWV16" s="256" t="s">
        <v>78</v>
      </c>
      <c r="LWW16" s="256" t="s">
        <v>79</v>
      </c>
      <c r="LWX16" s="256" t="s">
        <v>80</v>
      </c>
      <c r="LWY16" s="58" t="s">
        <v>81</v>
      </c>
      <c r="LWZ16" s="284"/>
      <c r="LXA16" s="259" t="s">
        <v>55</v>
      </c>
      <c r="LXB16" s="256" t="s">
        <v>76</v>
      </c>
      <c r="LXC16" s="256" t="s">
        <v>77</v>
      </c>
      <c r="LXD16" s="256" t="s">
        <v>78</v>
      </c>
      <c r="LXE16" s="256" t="s">
        <v>79</v>
      </c>
      <c r="LXF16" s="256" t="s">
        <v>80</v>
      </c>
      <c r="LXG16" s="256" t="s">
        <v>81</v>
      </c>
      <c r="LXH16" s="283"/>
      <c r="LXI16" s="259" t="s">
        <v>55</v>
      </c>
      <c r="LXJ16" s="256" t="s">
        <v>76</v>
      </c>
      <c r="LXK16" s="256" t="s">
        <v>77</v>
      </c>
      <c r="LXL16" s="256" t="s">
        <v>78</v>
      </c>
      <c r="LXM16" s="256" t="s">
        <v>79</v>
      </c>
      <c r="LXN16" s="256" t="s">
        <v>80</v>
      </c>
      <c r="LXO16" s="58" t="s">
        <v>81</v>
      </c>
      <c r="LXP16" s="284"/>
      <c r="LXQ16" s="259" t="s">
        <v>55</v>
      </c>
      <c r="LXR16" s="256" t="s">
        <v>76</v>
      </c>
      <c r="LXS16" s="256" t="s">
        <v>77</v>
      </c>
      <c r="LXT16" s="256" t="s">
        <v>78</v>
      </c>
      <c r="LXU16" s="256" t="s">
        <v>79</v>
      </c>
      <c r="LXV16" s="256" t="s">
        <v>80</v>
      </c>
      <c r="LXW16" s="256" t="s">
        <v>81</v>
      </c>
      <c r="LXX16" s="283"/>
      <c r="LXY16" s="259" t="s">
        <v>55</v>
      </c>
      <c r="LXZ16" s="256" t="s">
        <v>76</v>
      </c>
      <c r="LYA16" s="256" t="s">
        <v>77</v>
      </c>
      <c r="LYB16" s="256" t="s">
        <v>78</v>
      </c>
      <c r="LYC16" s="256" t="s">
        <v>79</v>
      </c>
      <c r="LYD16" s="256" t="s">
        <v>80</v>
      </c>
      <c r="LYE16" s="58" t="s">
        <v>81</v>
      </c>
      <c r="LYF16" s="284"/>
      <c r="LYG16" s="259" t="s">
        <v>55</v>
      </c>
      <c r="LYH16" s="256" t="s">
        <v>76</v>
      </c>
      <c r="LYI16" s="256" t="s">
        <v>77</v>
      </c>
      <c r="LYJ16" s="256" t="s">
        <v>78</v>
      </c>
      <c r="LYK16" s="256" t="s">
        <v>79</v>
      </c>
      <c r="LYL16" s="256" t="s">
        <v>80</v>
      </c>
      <c r="LYM16" s="256" t="s">
        <v>81</v>
      </c>
      <c r="LYN16" s="283"/>
      <c r="LYO16" s="259" t="s">
        <v>55</v>
      </c>
      <c r="LYP16" s="256" t="s">
        <v>76</v>
      </c>
      <c r="LYQ16" s="256" t="s">
        <v>77</v>
      </c>
      <c r="LYR16" s="256" t="s">
        <v>78</v>
      </c>
      <c r="LYS16" s="256" t="s">
        <v>79</v>
      </c>
      <c r="LYT16" s="256" t="s">
        <v>80</v>
      </c>
      <c r="LYU16" s="58" t="s">
        <v>81</v>
      </c>
      <c r="LYV16" s="284"/>
      <c r="LYW16" s="259" t="s">
        <v>55</v>
      </c>
      <c r="LYX16" s="256" t="s">
        <v>76</v>
      </c>
      <c r="LYY16" s="256" t="s">
        <v>77</v>
      </c>
      <c r="LYZ16" s="256" t="s">
        <v>78</v>
      </c>
      <c r="LZA16" s="256" t="s">
        <v>79</v>
      </c>
      <c r="LZB16" s="256" t="s">
        <v>80</v>
      </c>
      <c r="LZC16" s="256" t="s">
        <v>81</v>
      </c>
      <c r="LZD16" s="283"/>
      <c r="LZE16" s="259" t="s">
        <v>55</v>
      </c>
      <c r="LZF16" s="256" t="s">
        <v>76</v>
      </c>
      <c r="LZG16" s="256" t="s">
        <v>77</v>
      </c>
      <c r="LZH16" s="256" t="s">
        <v>78</v>
      </c>
      <c r="LZI16" s="256" t="s">
        <v>79</v>
      </c>
      <c r="LZJ16" s="256" t="s">
        <v>80</v>
      </c>
      <c r="LZK16" s="58" t="s">
        <v>81</v>
      </c>
      <c r="LZL16" s="284"/>
      <c r="LZM16" s="259" t="s">
        <v>55</v>
      </c>
      <c r="LZN16" s="256" t="s">
        <v>76</v>
      </c>
      <c r="LZO16" s="256" t="s">
        <v>77</v>
      </c>
      <c r="LZP16" s="256" t="s">
        <v>78</v>
      </c>
      <c r="LZQ16" s="256" t="s">
        <v>79</v>
      </c>
      <c r="LZR16" s="256" t="s">
        <v>80</v>
      </c>
      <c r="LZS16" s="256" t="s">
        <v>81</v>
      </c>
      <c r="LZT16" s="283"/>
      <c r="LZU16" s="259" t="s">
        <v>55</v>
      </c>
      <c r="LZV16" s="256" t="s">
        <v>76</v>
      </c>
      <c r="LZW16" s="256" t="s">
        <v>77</v>
      </c>
      <c r="LZX16" s="256" t="s">
        <v>78</v>
      </c>
      <c r="LZY16" s="256" t="s">
        <v>79</v>
      </c>
      <c r="LZZ16" s="256" t="s">
        <v>80</v>
      </c>
      <c r="MAA16" s="58" t="s">
        <v>81</v>
      </c>
      <c r="MAB16" s="284"/>
      <c r="MAC16" s="259" t="s">
        <v>55</v>
      </c>
      <c r="MAD16" s="256" t="s">
        <v>76</v>
      </c>
      <c r="MAE16" s="256" t="s">
        <v>77</v>
      </c>
      <c r="MAF16" s="256" t="s">
        <v>78</v>
      </c>
      <c r="MAG16" s="256" t="s">
        <v>79</v>
      </c>
      <c r="MAH16" s="256" t="s">
        <v>80</v>
      </c>
      <c r="MAI16" s="256" t="s">
        <v>81</v>
      </c>
      <c r="MAJ16" s="283"/>
      <c r="MAK16" s="259" t="s">
        <v>55</v>
      </c>
      <c r="MAL16" s="256" t="s">
        <v>76</v>
      </c>
      <c r="MAM16" s="256" t="s">
        <v>77</v>
      </c>
      <c r="MAN16" s="256" t="s">
        <v>78</v>
      </c>
      <c r="MAO16" s="256" t="s">
        <v>79</v>
      </c>
      <c r="MAP16" s="256" t="s">
        <v>80</v>
      </c>
      <c r="MAQ16" s="58" t="s">
        <v>81</v>
      </c>
      <c r="MAR16" s="284"/>
      <c r="MAS16" s="259" t="s">
        <v>55</v>
      </c>
      <c r="MAT16" s="256" t="s">
        <v>76</v>
      </c>
      <c r="MAU16" s="256" t="s">
        <v>77</v>
      </c>
      <c r="MAV16" s="256" t="s">
        <v>78</v>
      </c>
      <c r="MAW16" s="256" t="s">
        <v>79</v>
      </c>
      <c r="MAX16" s="256" t="s">
        <v>80</v>
      </c>
      <c r="MAY16" s="256" t="s">
        <v>81</v>
      </c>
      <c r="MAZ16" s="283"/>
      <c r="MBA16" s="259" t="s">
        <v>55</v>
      </c>
      <c r="MBB16" s="256" t="s">
        <v>76</v>
      </c>
      <c r="MBC16" s="256" t="s">
        <v>77</v>
      </c>
      <c r="MBD16" s="256" t="s">
        <v>78</v>
      </c>
      <c r="MBE16" s="256" t="s">
        <v>79</v>
      </c>
      <c r="MBF16" s="256" t="s">
        <v>80</v>
      </c>
      <c r="MBG16" s="58" t="s">
        <v>81</v>
      </c>
      <c r="MBH16" s="284"/>
      <c r="MBI16" s="259" t="s">
        <v>55</v>
      </c>
      <c r="MBJ16" s="256" t="s">
        <v>76</v>
      </c>
      <c r="MBK16" s="256" t="s">
        <v>77</v>
      </c>
      <c r="MBL16" s="256" t="s">
        <v>78</v>
      </c>
      <c r="MBM16" s="256" t="s">
        <v>79</v>
      </c>
      <c r="MBN16" s="256" t="s">
        <v>80</v>
      </c>
      <c r="MBO16" s="256" t="s">
        <v>81</v>
      </c>
      <c r="MBP16" s="283"/>
      <c r="MBQ16" s="259" t="s">
        <v>55</v>
      </c>
      <c r="MBR16" s="256" t="s">
        <v>76</v>
      </c>
      <c r="MBS16" s="256" t="s">
        <v>77</v>
      </c>
      <c r="MBT16" s="256" t="s">
        <v>78</v>
      </c>
      <c r="MBU16" s="256" t="s">
        <v>79</v>
      </c>
      <c r="MBV16" s="256" t="s">
        <v>80</v>
      </c>
      <c r="MBW16" s="58" t="s">
        <v>81</v>
      </c>
      <c r="MBX16" s="284"/>
      <c r="MBY16" s="259" t="s">
        <v>55</v>
      </c>
      <c r="MBZ16" s="256" t="s">
        <v>76</v>
      </c>
      <c r="MCA16" s="256" t="s">
        <v>77</v>
      </c>
      <c r="MCB16" s="256" t="s">
        <v>78</v>
      </c>
      <c r="MCC16" s="256" t="s">
        <v>79</v>
      </c>
      <c r="MCD16" s="256" t="s">
        <v>80</v>
      </c>
      <c r="MCE16" s="256" t="s">
        <v>81</v>
      </c>
      <c r="MCF16" s="283"/>
      <c r="MCG16" s="259" t="s">
        <v>55</v>
      </c>
      <c r="MCH16" s="256" t="s">
        <v>76</v>
      </c>
      <c r="MCI16" s="256" t="s">
        <v>77</v>
      </c>
      <c r="MCJ16" s="256" t="s">
        <v>78</v>
      </c>
      <c r="MCK16" s="256" t="s">
        <v>79</v>
      </c>
      <c r="MCL16" s="256" t="s">
        <v>80</v>
      </c>
      <c r="MCM16" s="58" t="s">
        <v>81</v>
      </c>
      <c r="MCN16" s="284"/>
      <c r="MCO16" s="259" t="s">
        <v>55</v>
      </c>
      <c r="MCP16" s="256" t="s">
        <v>76</v>
      </c>
      <c r="MCQ16" s="256" t="s">
        <v>77</v>
      </c>
      <c r="MCR16" s="256" t="s">
        <v>78</v>
      </c>
      <c r="MCS16" s="256" t="s">
        <v>79</v>
      </c>
      <c r="MCT16" s="256" t="s">
        <v>80</v>
      </c>
      <c r="MCU16" s="256" t="s">
        <v>81</v>
      </c>
      <c r="MCV16" s="283"/>
      <c r="MCW16" s="259" t="s">
        <v>55</v>
      </c>
      <c r="MCX16" s="256" t="s">
        <v>76</v>
      </c>
      <c r="MCY16" s="256" t="s">
        <v>77</v>
      </c>
      <c r="MCZ16" s="256" t="s">
        <v>78</v>
      </c>
      <c r="MDA16" s="256" t="s">
        <v>79</v>
      </c>
      <c r="MDB16" s="256" t="s">
        <v>80</v>
      </c>
      <c r="MDC16" s="58" t="s">
        <v>81</v>
      </c>
      <c r="MDD16" s="284"/>
      <c r="MDE16" s="259" t="s">
        <v>55</v>
      </c>
      <c r="MDF16" s="256" t="s">
        <v>76</v>
      </c>
      <c r="MDG16" s="256" t="s">
        <v>77</v>
      </c>
      <c r="MDH16" s="256" t="s">
        <v>78</v>
      </c>
      <c r="MDI16" s="256" t="s">
        <v>79</v>
      </c>
      <c r="MDJ16" s="256" t="s">
        <v>80</v>
      </c>
      <c r="MDK16" s="256" t="s">
        <v>81</v>
      </c>
      <c r="MDL16" s="283"/>
      <c r="MDM16" s="259" t="s">
        <v>55</v>
      </c>
      <c r="MDN16" s="256" t="s">
        <v>76</v>
      </c>
      <c r="MDO16" s="256" t="s">
        <v>77</v>
      </c>
      <c r="MDP16" s="256" t="s">
        <v>78</v>
      </c>
      <c r="MDQ16" s="256" t="s">
        <v>79</v>
      </c>
      <c r="MDR16" s="256" t="s">
        <v>80</v>
      </c>
      <c r="MDS16" s="58" t="s">
        <v>81</v>
      </c>
      <c r="MDT16" s="284"/>
      <c r="MDU16" s="259" t="s">
        <v>55</v>
      </c>
      <c r="MDV16" s="256" t="s">
        <v>76</v>
      </c>
      <c r="MDW16" s="256" t="s">
        <v>77</v>
      </c>
      <c r="MDX16" s="256" t="s">
        <v>78</v>
      </c>
      <c r="MDY16" s="256" t="s">
        <v>79</v>
      </c>
      <c r="MDZ16" s="256" t="s">
        <v>80</v>
      </c>
      <c r="MEA16" s="256" t="s">
        <v>81</v>
      </c>
      <c r="MEB16" s="283"/>
      <c r="MEC16" s="259" t="s">
        <v>55</v>
      </c>
      <c r="MED16" s="256" t="s">
        <v>76</v>
      </c>
      <c r="MEE16" s="256" t="s">
        <v>77</v>
      </c>
      <c r="MEF16" s="256" t="s">
        <v>78</v>
      </c>
      <c r="MEG16" s="256" t="s">
        <v>79</v>
      </c>
      <c r="MEH16" s="256" t="s">
        <v>80</v>
      </c>
      <c r="MEI16" s="58" t="s">
        <v>81</v>
      </c>
      <c r="MEJ16" s="284"/>
      <c r="MEK16" s="259" t="s">
        <v>55</v>
      </c>
      <c r="MEL16" s="256" t="s">
        <v>76</v>
      </c>
      <c r="MEM16" s="256" t="s">
        <v>77</v>
      </c>
      <c r="MEN16" s="256" t="s">
        <v>78</v>
      </c>
      <c r="MEO16" s="256" t="s">
        <v>79</v>
      </c>
      <c r="MEP16" s="256" t="s">
        <v>80</v>
      </c>
      <c r="MEQ16" s="256" t="s">
        <v>81</v>
      </c>
      <c r="MER16" s="283"/>
      <c r="MES16" s="259" t="s">
        <v>55</v>
      </c>
      <c r="MET16" s="256" t="s">
        <v>76</v>
      </c>
      <c r="MEU16" s="256" t="s">
        <v>77</v>
      </c>
      <c r="MEV16" s="256" t="s">
        <v>78</v>
      </c>
      <c r="MEW16" s="256" t="s">
        <v>79</v>
      </c>
      <c r="MEX16" s="256" t="s">
        <v>80</v>
      </c>
      <c r="MEY16" s="58" t="s">
        <v>81</v>
      </c>
      <c r="MEZ16" s="284"/>
      <c r="MFA16" s="259" t="s">
        <v>55</v>
      </c>
      <c r="MFB16" s="256" t="s">
        <v>76</v>
      </c>
      <c r="MFC16" s="256" t="s">
        <v>77</v>
      </c>
      <c r="MFD16" s="256" t="s">
        <v>78</v>
      </c>
      <c r="MFE16" s="256" t="s">
        <v>79</v>
      </c>
      <c r="MFF16" s="256" t="s">
        <v>80</v>
      </c>
      <c r="MFG16" s="256" t="s">
        <v>81</v>
      </c>
      <c r="MFH16" s="283"/>
      <c r="MFI16" s="259" t="s">
        <v>55</v>
      </c>
      <c r="MFJ16" s="256" t="s">
        <v>76</v>
      </c>
      <c r="MFK16" s="256" t="s">
        <v>77</v>
      </c>
      <c r="MFL16" s="256" t="s">
        <v>78</v>
      </c>
      <c r="MFM16" s="256" t="s">
        <v>79</v>
      </c>
      <c r="MFN16" s="256" t="s">
        <v>80</v>
      </c>
      <c r="MFO16" s="58" t="s">
        <v>81</v>
      </c>
      <c r="MFP16" s="284"/>
      <c r="MFQ16" s="259" t="s">
        <v>55</v>
      </c>
      <c r="MFR16" s="256" t="s">
        <v>76</v>
      </c>
      <c r="MFS16" s="256" t="s">
        <v>77</v>
      </c>
      <c r="MFT16" s="256" t="s">
        <v>78</v>
      </c>
      <c r="MFU16" s="256" t="s">
        <v>79</v>
      </c>
      <c r="MFV16" s="256" t="s">
        <v>80</v>
      </c>
      <c r="MFW16" s="256" t="s">
        <v>81</v>
      </c>
      <c r="MFX16" s="283"/>
      <c r="MFY16" s="259" t="s">
        <v>55</v>
      </c>
      <c r="MFZ16" s="256" t="s">
        <v>76</v>
      </c>
      <c r="MGA16" s="256" t="s">
        <v>77</v>
      </c>
      <c r="MGB16" s="256" t="s">
        <v>78</v>
      </c>
      <c r="MGC16" s="256" t="s">
        <v>79</v>
      </c>
      <c r="MGD16" s="256" t="s">
        <v>80</v>
      </c>
      <c r="MGE16" s="58" t="s">
        <v>81</v>
      </c>
      <c r="MGF16" s="284"/>
      <c r="MGG16" s="259" t="s">
        <v>55</v>
      </c>
      <c r="MGH16" s="256" t="s">
        <v>76</v>
      </c>
      <c r="MGI16" s="256" t="s">
        <v>77</v>
      </c>
      <c r="MGJ16" s="256" t="s">
        <v>78</v>
      </c>
      <c r="MGK16" s="256" t="s">
        <v>79</v>
      </c>
      <c r="MGL16" s="256" t="s">
        <v>80</v>
      </c>
      <c r="MGM16" s="256" t="s">
        <v>81</v>
      </c>
      <c r="MGN16" s="283"/>
      <c r="MGO16" s="259" t="s">
        <v>55</v>
      </c>
      <c r="MGP16" s="256" t="s">
        <v>76</v>
      </c>
      <c r="MGQ16" s="256" t="s">
        <v>77</v>
      </c>
      <c r="MGR16" s="256" t="s">
        <v>78</v>
      </c>
      <c r="MGS16" s="256" t="s">
        <v>79</v>
      </c>
      <c r="MGT16" s="256" t="s">
        <v>80</v>
      </c>
      <c r="MGU16" s="58" t="s">
        <v>81</v>
      </c>
      <c r="MGV16" s="284"/>
      <c r="MGW16" s="259" t="s">
        <v>55</v>
      </c>
      <c r="MGX16" s="256" t="s">
        <v>76</v>
      </c>
      <c r="MGY16" s="256" t="s">
        <v>77</v>
      </c>
      <c r="MGZ16" s="256" t="s">
        <v>78</v>
      </c>
      <c r="MHA16" s="256" t="s">
        <v>79</v>
      </c>
      <c r="MHB16" s="256" t="s">
        <v>80</v>
      </c>
      <c r="MHC16" s="256" t="s">
        <v>81</v>
      </c>
      <c r="MHD16" s="283"/>
      <c r="MHE16" s="259" t="s">
        <v>55</v>
      </c>
      <c r="MHF16" s="256" t="s">
        <v>76</v>
      </c>
      <c r="MHG16" s="256" t="s">
        <v>77</v>
      </c>
      <c r="MHH16" s="256" t="s">
        <v>78</v>
      </c>
      <c r="MHI16" s="256" t="s">
        <v>79</v>
      </c>
      <c r="MHJ16" s="256" t="s">
        <v>80</v>
      </c>
      <c r="MHK16" s="58" t="s">
        <v>81</v>
      </c>
      <c r="MHL16" s="284"/>
      <c r="MHM16" s="259" t="s">
        <v>55</v>
      </c>
      <c r="MHN16" s="256" t="s">
        <v>76</v>
      </c>
      <c r="MHO16" s="256" t="s">
        <v>77</v>
      </c>
      <c r="MHP16" s="256" t="s">
        <v>78</v>
      </c>
      <c r="MHQ16" s="256" t="s">
        <v>79</v>
      </c>
      <c r="MHR16" s="256" t="s">
        <v>80</v>
      </c>
      <c r="MHS16" s="256" t="s">
        <v>81</v>
      </c>
      <c r="MHT16" s="283"/>
      <c r="MHU16" s="259" t="s">
        <v>55</v>
      </c>
      <c r="MHV16" s="256" t="s">
        <v>76</v>
      </c>
      <c r="MHW16" s="256" t="s">
        <v>77</v>
      </c>
      <c r="MHX16" s="256" t="s">
        <v>78</v>
      </c>
      <c r="MHY16" s="256" t="s">
        <v>79</v>
      </c>
      <c r="MHZ16" s="256" t="s">
        <v>80</v>
      </c>
      <c r="MIA16" s="58" t="s">
        <v>81</v>
      </c>
      <c r="MIB16" s="284"/>
      <c r="MIC16" s="259" t="s">
        <v>55</v>
      </c>
      <c r="MID16" s="256" t="s">
        <v>76</v>
      </c>
      <c r="MIE16" s="256" t="s">
        <v>77</v>
      </c>
      <c r="MIF16" s="256" t="s">
        <v>78</v>
      </c>
      <c r="MIG16" s="256" t="s">
        <v>79</v>
      </c>
      <c r="MIH16" s="256" t="s">
        <v>80</v>
      </c>
      <c r="MII16" s="256" t="s">
        <v>81</v>
      </c>
      <c r="MIJ16" s="283"/>
      <c r="MIK16" s="259" t="s">
        <v>55</v>
      </c>
      <c r="MIL16" s="256" t="s">
        <v>76</v>
      </c>
      <c r="MIM16" s="256" t="s">
        <v>77</v>
      </c>
      <c r="MIN16" s="256" t="s">
        <v>78</v>
      </c>
      <c r="MIO16" s="256" t="s">
        <v>79</v>
      </c>
      <c r="MIP16" s="256" t="s">
        <v>80</v>
      </c>
      <c r="MIQ16" s="58" t="s">
        <v>81</v>
      </c>
      <c r="MIR16" s="284"/>
      <c r="MIS16" s="259" t="s">
        <v>55</v>
      </c>
      <c r="MIT16" s="256" t="s">
        <v>76</v>
      </c>
      <c r="MIU16" s="256" t="s">
        <v>77</v>
      </c>
      <c r="MIV16" s="256" t="s">
        <v>78</v>
      </c>
      <c r="MIW16" s="256" t="s">
        <v>79</v>
      </c>
      <c r="MIX16" s="256" t="s">
        <v>80</v>
      </c>
      <c r="MIY16" s="256" t="s">
        <v>81</v>
      </c>
      <c r="MIZ16" s="283"/>
      <c r="MJA16" s="259" t="s">
        <v>55</v>
      </c>
      <c r="MJB16" s="256" t="s">
        <v>76</v>
      </c>
      <c r="MJC16" s="256" t="s">
        <v>77</v>
      </c>
      <c r="MJD16" s="256" t="s">
        <v>78</v>
      </c>
      <c r="MJE16" s="256" t="s">
        <v>79</v>
      </c>
      <c r="MJF16" s="256" t="s">
        <v>80</v>
      </c>
      <c r="MJG16" s="58" t="s">
        <v>81</v>
      </c>
      <c r="MJH16" s="284"/>
      <c r="MJI16" s="259" t="s">
        <v>55</v>
      </c>
      <c r="MJJ16" s="256" t="s">
        <v>76</v>
      </c>
      <c r="MJK16" s="256" t="s">
        <v>77</v>
      </c>
      <c r="MJL16" s="256" t="s">
        <v>78</v>
      </c>
      <c r="MJM16" s="256" t="s">
        <v>79</v>
      </c>
      <c r="MJN16" s="256" t="s">
        <v>80</v>
      </c>
      <c r="MJO16" s="256" t="s">
        <v>81</v>
      </c>
      <c r="MJP16" s="283"/>
      <c r="MJQ16" s="259" t="s">
        <v>55</v>
      </c>
      <c r="MJR16" s="256" t="s">
        <v>76</v>
      </c>
      <c r="MJS16" s="256" t="s">
        <v>77</v>
      </c>
      <c r="MJT16" s="256" t="s">
        <v>78</v>
      </c>
      <c r="MJU16" s="256" t="s">
        <v>79</v>
      </c>
      <c r="MJV16" s="256" t="s">
        <v>80</v>
      </c>
      <c r="MJW16" s="58" t="s">
        <v>81</v>
      </c>
      <c r="MJX16" s="284"/>
      <c r="MJY16" s="259" t="s">
        <v>55</v>
      </c>
      <c r="MJZ16" s="256" t="s">
        <v>76</v>
      </c>
      <c r="MKA16" s="256" t="s">
        <v>77</v>
      </c>
      <c r="MKB16" s="256" t="s">
        <v>78</v>
      </c>
      <c r="MKC16" s="256" t="s">
        <v>79</v>
      </c>
      <c r="MKD16" s="256" t="s">
        <v>80</v>
      </c>
      <c r="MKE16" s="256" t="s">
        <v>81</v>
      </c>
      <c r="MKF16" s="283"/>
      <c r="MKG16" s="259" t="s">
        <v>55</v>
      </c>
      <c r="MKH16" s="256" t="s">
        <v>76</v>
      </c>
      <c r="MKI16" s="256" t="s">
        <v>77</v>
      </c>
      <c r="MKJ16" s="256" t="s">
        <v>78</v>
      </c>
      <c r="MKK16" s="256" t="s">
        <v>79</v>
      </c>
      <c r="MKL16" s="256" t="s">
        <v>80</v>
      </c>
      <c r="MKM16" s="58" t="s">
        <v>81</v>
      </c>
      <c r="MKN16" s="284"/>
      <c r="MKO16" s="259" t="s">
        <v>55</v>
      </c>
      <c r="MKP16" s="256" t="s">
        <v>76</v>
      </c>
      <c r="MKQ16" s="256" t="s">
        <v>77</v>
      </c>
      <c r="MKR16" s="256" t="s">
        <v>78</v>
      </c>
      <c r="MKS16" s="256" t="s">
        <v>79</v>
      </c>
      <c r="MKT16" s="256" t="s">
        <v>80</v>
      </c>
      <c r="MKU16" s="256" t="s">
        <v>81</v>
      </c>
      <c r="MKV16" s="283"/>
      <c r="MKW16" s="259" t="s">
        <v>55</v>
      </c>
      <c r="MKX16" s="256" t="s">
        <v>76</v>
      </c>
      <c r="MKY16" s="256" t="s">
        <v>77</v>
      </c>
      <c r="MKZ16" s="256" t="s">
        <v>78</v>
      </c>
      <c r="MLA16" s="256" t="s">
        <v>79</v>
      </c>
      <c r="MLB16" s="256" t="s">
        <v>80</v>
      </c>
      <c r="MLC16" s="58" t="s">
        <v>81</v>
      </c>
      <c r="MLD16" s="284"/>
      <c r="MLE16" s="259" t="s">
        <v>55</v>
      </c>
      <c r="MLF16" s="256" t="s">
        <v>76</v>
      </c>
      <c r="MLG16" s="256" t="s">
        <v>77</v>
      </c>
      <c r="MLH16" s="256" t="s">
        <v>78</v>
      </c>
      <c r="MLI16" s="256" t="s">
        <v>79</v>
      </c>
      <c r="MLJ16" s="256" t="s">
        <v>80</v>
      </c>
      <c r="MLK16" s="256" t="s">
        <v>81</v>
      </c>
      <c r="MLL16" s="283"/>
      <c r="MLM16" s="259" t="s">
        <v>55</v>
      </c>
      <c r="MLN16" s="256" t="s">
        <v>76</v>
      </c>
      <c r="MLO16" s="256" t="s">
        <v>77</v>
      </c>
      <c r="MLP16" s="256" t="s">
        <v>78</v>
      </c>
      <c r="MLQ16" s="256" t="s">
        <v>79</v>
      </c>
      <c r="MLR16" s="256" t="s">
        <v>80</v>
      </c>
      <c r="MLS16" s="58" t="s">
        <v>81</v>
      </c>
      <c r="MLT16" s="284"/>
      <c r="MLU16" s="259" t="s">
        <v>55</v>
      </c>
      <c r="MLV16" s="256" t="s">
        <v>76</v>
      </c>
      <c r="MLW16" s="256" t="s">
        <v>77</v>
      </c>
      <c r="MLX16" s="256" t="s">
        <v>78</v>
      </c>
      <c r="MLY16" s="256" t="s">
        <v>79</v>
      </c>
      <c r="MLZ16" s="256" t="s">
        <v>80</v>
      </c>
      <c r="MMA16" s="256" t="s">
        <v>81</v>
      </c>
      <c r="MMB16" s="283"/>
      <c r="MMC16" s="259" t="s">
        <v>55</v>
      </c>
      <c r="MMD16" s="256" t="s">
        <v>76</v>
      </c>
      <c r="MME16" s="256" t="s">
        <v>77</v>
      </c>
      <c r="MMF16" s="256" t="s">
        <v>78</v>
      </c>
      <c r="MMG16" s="256" t="s">
        <v>79</v>
      </c>
      <c r="MMH16" s="256" t="s">
        <v>80</v>
      </c>
      <c r="MMI16" s="58" t="s">
        <v>81</v>
      </c>
      <c r="MMJ16" s="284"/>
      <c r="MMK16" s="259" t="s">
        <v>55</v>
      </c>
      <c r="MML16" s="256" t="s">
        <v>76</v>
      </c>
      <c r="MMM16" s="256" t="s">
        <v>77</v>
      </c>
      <c r="MMN16" s="256" t="s">
        <v>78</v>
      </c>
      <c r="MMO16" s="256" t="s">
        <v>79</v>
      </c>
      <c r="MMP16" s="256" t="s">
        <v>80</v>
      </c>
      <c r="MMQ16" s="256" t="s">
        <v>81</v>
      </c>
      <c r="MMR16" s="283"/>
      <c r="MMS16" s="259" t="s">
        <v>55</v>
      </c>
      <c r="MMT16" s="256" t="s">
        <v>76</v>
      </c>
      <c r="MMU16" s="256" t="s">
        <v>77</v>
      </c>
      <c r="MMV16" s="256" t="s">
        <v>78</v>
      </c>
      <c r="MMW16" s="256" t="s">
        <v>79</v>
      </c>
      <c r="MMX16" s="256" t="s">
        <v>80</v>
      </c>
      <c r="MMY16" s="58" t="s">
        <v>81</v>
      </c>
      <c r="MMZ16" s="284"/>
      <c r="MNA16" s="259" t="s">
        <v>55</v>
      </c>
      <c r="MNB16" s="256" t="s">
        <v>76</v>
      </c>
      <c r="MNC16" s="256" t="s">
        <v>77</v>
      </c>
      <c r="MND16" s="256" t="s">
        <v>78</v>
      </c>
      <c r="MNE16" s="256" t="s">
        <v>79</v>
      </c>
      <c r="MNF16" s="256" t="s">
        <v>80</v>
      </c>
      <c r="MNG16" s="256" t="s">
        <v>81</v>
      </c>
      <c r="MNH16" s="283"/>
      <c r="MNI16" s="259" t="s">
        <v>55</v>
      </c>
      <c r="MNJ16" s="256" t="s">
        <v>76</v>
      </c>
      <c r="MNK16" s="256" t="s">
        <v>77</v>
      </c>
      <c r="MNL16" s="256" t="s">
        <v>78</v>
      </c>
      <c r="MNM16" s="256" t="s">
        <v>79</v>
      </c>
      <c r="MNN16" s="256" t="s">
        <v>80</v>
      </c>
      <c r="MNO16" s="58" t="s">
        <v>81</v>
      </c>
      <c r="MNP16" s="284"/>
      <c r="MNQ16" s="259" t="s">
        <v>55</v>
      </c>
      <c r="MNR16" s="256" t="s">
        <v>76</v>
      </c>
      <c r="MNS16" s="256" t="s">
        <v>77</v>
      </c>
      <c r="MNT16" s="256" t="s">
        <v>78</v>
      </c>
      <c r="MNU16" s="256" t="s">
        <v>79</v>
      </c>
      <c r="MNV16" s="256" t="s">
        <v>80</v>
      </c>
      <c r="MNW16" s="256" t="s">
        <v>81</v>
      </c>
      <c r="MNX16" s="283"/>
      <c r="MNY16" s="259" t="s">
        <v>55</v>
      </c>
      <c r="MNZ16" s="256" t="s">
        <v>76</v>
      </c>
      <c r="MOA16" s="256" t="s">
        <v>77</v>
      </c>
      <c r="MOB16" s="256" t="s">
        <v>78</v>
      </c>
      <c r="MOC16" s="256" t="s">
        <v>79</v>
      </c>
      <c r="MOD16" s="256" t="s">
        <v>80</v>
      </c>
      <c r="MOE16" s="58" t="s">
        <v>81</v>
      </c>
      <c r="MOF16" s="284"/>
      <c r="MOG16" s="259" t="s">
        <v>55</v>
      </c>
      <c r="MOH16" s="256" t="s">
        <v>76</v>
      </c>
      <c r="MOI16" s="256" t="s">
        <v>77</v>
      </c>
      <c r="MOJ16" s="256" t="s">
        <v>78</v>
      </c>
      <c r="MOK16" s="256" t="s">
        <v>79</v>
      </c>
      <c r="MOL16" s="256" t="s">
        <v>80</v>
      </c>
      <c r="MOM16" s="256" t="s">
        <v>81</v>
      </c>
      <c r="MON16" s="283"/>
      <c r="MOO16" s="259" t="s">
        <v>55</v>
      </c>
      <c r="MOP16" s="256" t="s">
        <v>76</v>
      </c>
      <c r="MOQ16" s="256" t="s">
        <v>77</v>
      </c>
      <c r="MOR16" s="256" t="s">
        <v>78</v>
      </c>
      <c r="MOS16" s="256" t="s">
        <v>79</v>
      </c>
      <c r="MOT16" s="256" t="s">
        <v>80</v>
      </c>
      <c r="MOU16" s="58" t="s">
        <v>81</v>
      </c>
      <c r="MOV16" s="284"/>
      <c r="MOW16" s="259" t="s">
        <v>55</v>
      </c>
      <c r="MOX16" s="256" t="s">
        <v>76</v>
      </c>
      <c r="MOY16" s="256" t="s">
        <v>77</v>
      </c>
      <c r="MOZ16" s="256" t="s">
        <v>78</v>
      </c>
      <c r="MPA16" s="256" t="s">
        <v>79</v>
      </c>
      <c r="MPB16" s="256" t="s">
        <v>80</v>
      </c>
      <c r="MPC16" s="256" t="s">
        <v>81</v>
      </c>
      <c r="MPD16" s="283"/>
      <c r="MPE16" s="259" t="s">
        <v>55</v>
      </c>
      <c r="MPF16" s="256" t="s">
        <v>76</v>
      </c>
      <c r="MPG16" s="256" t="s">
        <v>77</v>
      </c>
      <c r="MPH16" s="256" t="s">
        <v>78</v>
      </c>
      <c r="MPI16" s="256" t="s">
        <v>79</v>
      </c>
      <c r="MPJ16" s="256" t="s">
        <v>80</v>
      </c>
      <c r="MPK16" s="58" t="s">
        <v>81</v>
      </c>
      <c r="MPL16" s="284"/>
      <c r="MPM16" s="259" t="s">
        <v>55</v>
      </c>
      <c r="MPN16" s="256" t="s">
        <v>76</v>
      </c>
      <c r="MPO16" s="256" t="s">
        <v>77</v>
      </c>
      <c r="MPP16" s="256" t="s">
        <v>78</v>
      </c>
      <c r="MPQ16" s="256" t="s">
        <v>79</v>
      </c>
      <c r="MPR16" s="256" t="s">
        <v>80</v>
      </c>
      <c r="MPS16" s="256" t="s">
        <v>81</v>
      </c>
      <c r="MPT16" s="283"/>
      <c r="MPU16" s="259" t="s">
        <v>55</v>
      </c>
      <c r="MPV16" s="256" t="s">
        <v>76</v>
      </c>
      <c r="MPW16" s="256" t="s">
        <v>77</v>
      </c>
      <c r="MPX16" s="256" t="s">
        <v>78</v>
      </c>
      <c r="MPY16" s="256" t="s">
        <v>79</v>
      </c>
      <c r="MPZ16" s="256" t="s">
        <v>80</v>
      </c>
      <c r="MQA16" s="58" t="s">
        <v>81</v>
      </c>
      <c r="MQB16" s="284"/>
      <c r="MQC16" s="259" t="s">
        <v>55</v>
      </c>
      <c r="MQD16" s="256" t="s">
        <v>76</v>
      </c>
      <c r="MQE16" s="256" t="s">
        <v>77</v>
      </c>
      <c r="MQF16" s="256" t="s">
        <v>78</v>
      </c>
      <c r="MQG16" s="256" t="s">
        <v>79</v>
      </c>
      <c r="MQH16" s="256" t="s">
        <v>80</v>
      </c>
      <c r="MQI16" s="256" t="s">
        <v>81</v>
      </c>
      <c r="MQJ16" s="283"/>
      <c r="MQK16" s="259" t="s">
        <v>55</v>
      </c>
      <c r="MQL16" s="256" t="s">
        <v>76</v>
      </c>
      <c r="MQM16" s="256" t="s">
        <v>77</v>
      </c>
      <c r="MQN16" s="256" t="s">
        <v>78</v>
      </c>
      <c r="MQO16" s="256" t="s">
        <v>79</v>
      </c>
      <c r="MQP16" s="256" t="s">
        <v>80</v>
      </c>
      <c r="MQQ16" s="58" t="s">
        <v>81</v>
      </c>
      <c r="MQR16" s="284"/>
      <c r="MQS16" s="259" t="s">
        <v>55</v>
      </c>
      <c r="MQT16" s="256" t="s">
        <v>76</v>
      </c>
      <c r="MQU16" s="256" t="s">
        <v>77</v>
      </c>
      <c r="MQV16" s="256" t="s">
        <v>78</v>
      </c>
      <c r="MQW16" s="256" t="s">
        <v>79</v>
      </c>
      <c r="MQX16" s="256" t="s">
        <v>80</v>
      </c>
      <c r="MQY16" s="256" t="s">
        <v>81</v>
      </c>
      <c r="MQZ16" s="283"/>
      <c r="MRA16" s="259" t="s">
        <v>55</v>
      </c>
      <c r="MRB16" s="256" t="s">
        <v>76</v>
      </c>
      <c r="MRC16" s="256" t="s">
        <v>77</v>
      </c>
      <c r="MRD16" s="256" t="s">
        <v>78</v>
      </c>
      <c r="MRE16" s="256" t="s">
        <v>79</v>
      </c>
      <c r="MRF16" s="256" t="s">
        <v>80</v>
      </c>
      <c r="MRG16" s="58" t="s">
        <v>81</v>
      </c>
      <c r="MRH16" s="284"/>
      <c r="MRI16" s="259" t="s">
        <v>55</v>
      </c>
      <c r="MRJ16" s="256" t="s">
        <v>76</v>
      </c>
      <c r="MRK16" s="256" t="s">
        <v>77</v>
      </c>
      <c r="MRL16" s="256" t="s">
        <v>78</v>
      </c>
      <c r="MRM16" s="256" t="s">
        <v>79</v>
      </c>
      <c r="MRN16" s="256" t="s">
        <v>80</v>
      </c>
      <c r="MRO16" s="256" t="s">
        <v>81</v>
      </c>
      <c r="MRP16" s="283"/>
      <c r="MRQ16" s="259" t="s">
        <v>55</v>
      </c>
      <c r="MRR16" s="256" t="s">
        <v>76</v>
      </c>
      <c r="MRS16" s="256" t="s">
        <v>77</v>
      </c>
      <c r="MRT16" s="256" t="s">
        <v>78</v>
      </c>
      <c r="MRU16" s="256" t="s">
        <v>79</v>
      </c>
      <c r="MRV16" s="256" t="s">
        <v>80</v>
      </c>
      <c r="MRW16" s="58" t="s">
        <v>81</v>
      </c>
      <c r="MRX16" s="284"/>
      <c r="MRY16" s="259" t="s">
        <v>55</v>
      </c>
      <c r="MRZ16" s="256" t="s">
        <v>76</v>
      </c>
      <c r="MSA16" s="256" t="s">
        <v>77</v>
      </c>
      <c r="MSB16" s="256" t="s">
        <v>78</v>
      </c>
      <c r="MSC16" s="256" t="s">
        <v>79</v>
      </c>
      <c r="MSD16" s="256" t="s">
        <v>80</v>
      </c>
      <c r="MSE16" s="256" t="s">
        <v>81</v>
      </c>
      <c r="MSF16" s="283"/>
      <c r="MSG16" s="259" t="s">
        <v>55</v>
      </c>
      <c r="MSH16" s="256" t="s">
        <v>76</v>
      </c>
      <c r="MSI16" s="256" t="s">
        <v>77</v>
      </c>
      <c r="MSJ16" s="256" t="s">
        <v>78</v>
      </c>
      <c r="MSK16" s="256" t="s">
        <v>79</v>
      </c>
      <c r="MSL16" s="256" t="s">
        <v>80</v>
      </c>
      <c r="MSM16" s="58" t="s">
        <v>81</v>
      </c>
      <c r="MSN16" s="284"/>
      <c r="MSO16" s="259" t="s">
        <v>55</v>
      </c>
      <c r="MSP16" s="256" t="s">
        <v>76</v>
      </c>
      <c r="MSQ16" s="256" t="s">
        <v>77</v>
      </c>
      <c r="MSR16" s="256" t="s">
        <v>78</v>
      </c>
      <c r="MSS16" s="256" t="s">
        <v>79</v>
      </c>
      <c r="MST16" s="256" t="s">
        <v>80</v>
      </c>
      <c r="MSU16" s="256" t="s">
        <v>81</v>
      </c>
      <c r="MSV16" s="283"/>
      <c r="MSW16" s="259" t="s">
        <v>55</v>
      </c>
      <c r="MSX16" s="256" t="s">
        <v>76</v>
      </c>
      <c r="MSY16" s="256" t="s">
        <v>77</v>
      </c>
      <c r="MSZ16" s="256" t="s">
        <v>78</v>
      </c>
      <c r="MTA16" s="256" t="s">
        <v>79</v>
      </c>
      <c r="MTB16" s="256" t="s">
        <v>80</v>
      </c>
      <c r="MTC16" s="58" t="s">
        <v>81</v>
      </c>
      <c r="MTD16" s="284"/>
      <c r="MTE16" s="259" t="s">
        <v>55</v>
      </c>
      <c r="MTF16" s="256" t="s">
        <v>76</v>
      </c>
      <c r="MTG16" s="256" t="s">
        <v>77</v>
      </c>
      <c r="MTH16" s="256" t="s">
        <v>78</v>
      </c>
      <c r="MTI16" s="256" t="s">
        <v>79</v>
      </c>
      <c r="MTJ16" s="256" t="s">
        <v>80</v>
      </c>
      <c r="MTK16" s="256" t="s">
        <v>81</v>
      </c>
      <c r="MTL16" s="283"/>
      <c r="MTM16" s="259" t="s">
        <v>55</v>
      </c>
      <c r="MTN16" s="256" t="s">
        <v>76</v>
      </c>
      <c r="MTO16" s="256" t="s">
        <v>77</v>
      </c>
      <c r="MTP16" s="256" t="s">
        <v>78</v>
      </c>
      <c r="MTQ16" s="256" t="s">
        <v>79</v>
      </c>
      <c r="MTR16" s="256" t="s">
        <v>80</v>
      </c>
      <c r="MTS16" s="58" t="s">
        <v>81</v>
      </c>
      <c r="MTT16" s="284"/>
      <c r="MTU16" s="259" t="s">
        <v>55</v>
      </c>
      <c r="MTV16" s="256" t="s">
        <v>76</v>
      </c>
      <c r="MTW16" s="256" t="s">
        <v>77</v>
      </c>
      <c r="MTX16" s="256" t="s">
        <v>78</v>
      </c>
      <c r="MTY16" s="256" t="s">
        <v>79</v>
      </c>
      <c r="MTZ16" s="256" t="s">
        <v>80</v>
      </c>
      <c r="MUA16" s="256" t="s">
        <v>81</v>
      </c>
      <c r="MUB16" s="283"/>
      <c r="MUC16" s="259" t="s">
        <v>55</v>
      </c>
      <c r="MUD16" s="256" t="s">
        <v>76</v>
      </c>
      <c r="MUE16" s="256" t="s">
        <v>77</v>
      </c>
      <c r="MUF16" s="256" t="s">
        <v>78</v>
      </c>
      <c r="MUG16" s="256" t="s">
        <v>79</v>
      </c>
      <c r="MUH16" s="256" t="s">
        <v>80</v>
      </c>
      <c r="MUI16" s="58" t="s">
        <v>81</v>
      </c>
      <c r="MUJ16" s="284"/>
      <c r="MUK16" s="259" t="s">
        <v>55</v>
      </c>
      <c r="MUL16" s="256" t="s">
        <v>76</v>
      </c>
      <c r="MUM16" s="256" t="s">
        <v>77</v>
      </c>
      <c r="MUN16" s="256" t="s">
        <v>78</v>
      </c>
      <c r="MUO16" s="256" t="s">
        <v>79</v>
      </c>
      <c r="MUP16" s="256" t="s">
        <v>80</v>
      </c>
      <c r="MUQ16" s="256" t="s">
        <v>81</v>
      </c>
      <c r="MUR16" s="283"/>
      <c r="MUS16" s="259" t="s">
        <v>55</v>
      </c>
      <c r="MUT16" s="256" t="s">
        <v>76</v>
      </c>
      <c r="MUU16" s="256" t="s">
        <v>77</v>
      </c>
      <c r="MUV16" s="256" t="s">
        <v>78</v>
      </c>
      <c r="MUW16" s="256" t="s">
        <v>79</v>
      </c>
      <c r="MUX16" s="256" t="s">
        <v>80</v>
      </c>
      <c r="MUY16" s="58" t="s">
        <v>81</v>
      </c>
      <c r="MUZ16" s="284"/>
      <c r="MVA16" s="259" t="s">
        <v>55</v>
      </c>
      <c r="MVB16" s="256" t="s">
        <v>76</v>
      </c>
      <c r="MVC16" s="256" t="s">
        <v>77</v>
      </c>
      <c r="MVD16" s="256" t="s">
        <v>78</v>
      </c>
      <c r="MVE16" s="256" t="s">
        <v>79</v>
      </c>
      <c r="MVF16" s="256" t="s">
        <v>80</v>
      </c>
      <c r="MVG16" s="256" t="s">
        <v>81</v>
      </c>
      <c r="MVH16" s="283"/>
      <c r="MVI16" s="259" t="s">
        <v>55</v>
      </c>
      <c r="MVJ16" s="256" t="s">
        <v>76</v>
      </c>
      <c r="MVK16" s="256" t="s">
        <v>77</v>
      </c>
      <c r="MVL16" s="256" t="s">
        <v>78</v>
      </c>
      <c r="MVM16" s="256" t="s">
        <v>79</v>
      </c>
      <c r="MVN16" s="256" t="s">
        <v>80</v>
      </c>
      <c r="MVO16" s="58" t="s">
        <v>81</v>
      </c>
      <c r="MVP16" s="284"/>
      <c r="MVQ16" s="259" t="s">
        <v>55</v>
      </c>
      <c r="MVR16" s="256" t="s">
        <v>76</v>
      </c>
      <c r="MVS16" s="256" t="s">
        <v>77</v>
      </c>
      <c r="MVT16" s="256" t="s">
        <v>78</v>
      </c>
      <c r="MVU16" s="256" t="s">
        <v>79</v>
      </c>
      <c r="MVV16" s="256" t="s">
        <v>80</v>
      </c>
      <c r="MVW16" s="256" t="s">
        <v>81</v>
      </c>
      <c r="MVX16" s="283"/>
      <c r="MVY16" s="259" t="s">
        <v>55</v>
      </c>
      <c r="MVZ16" s="256" t="s">
        <v>76</v>
      </c>
      <c r="MWA16" s="256" t="s">
        <v>77</v>
      </c>
      <c r="MWB16" s="256" t="s">
        <v>78</v>
      </c>
      <c r="MWC16" s="256" t="s">
        <v>79</v>
      </c>
      <c r="MWD16" s="256" t="s">
        <v>80</v>
      </c>
      <c r="MWE16" s="58" t="s">
        <v>81</v>
      </c>
      <c r="MWF16" s="284"/>
      <c r="MWG16" s="259" t="s">
        <v>55</v>
      </c>
      <c r="MWH16" s="256" t="s">
        <v>76</v>
      </c>
      <c r="MWI16" s="256" t="s">
        <v>77</v>
      </c>
      <c r="MWJ16" s="256" t="s">
        <v>78</v>
      </c>
      <c r="MWK16" s="256" t="s">
        <v>79</v>
      </c>
      <c r="MWL16" s="256" t="s">
        <v>80</v>
      </c>
      <c r="MWM16" s="256" t="s">
        <v>81</v>
      </c>
      <c r="MWN16" s="283"/>
      <c r="MWO16" s="259" t="s">
        <v>55</v>
      </c>
      <c r="MWP16" s="256" t="s">
        <v>76</v>
      </c>
      <c r="MWQ16" s="256" t="s">
        <v>77</v>
      </c>
      <c r="MWR16" s="256" t="s">
        <v>78</v>
      </c>
      <c r="MWS16" s="256" t="s">
        <v>79</v>
      </c>
      <c r="MWT16" s="256" t="s">
        <v>80</v>
      </c>
      <c r="MWU16" s="58" t="s">
        <v>81</v>
      </c>
      <c r="MWV16" s="284"/>
      <c r="MWW16" s="259" t="s">
        <v>55</v>
      </c>
      <c r="MWX16" s="256" t="s">
        <v>76</v>
      </c>
      <c r="MWY16" s="256" t="s">
        <v>77</v>
      </c>
      <c r="MWZ16" s="256" t="s">
        <v>78</v>
      </c>
      <c r="MXA16" s="256" t="s">
        <v>79</v>
      </c>
      <c r="MXB16" s="256" t="s">
        <v>80</v>
      </c>
      <c r="MXC16" s="256" t="s">
        <v>81</v>
      </c>
      <c r="MXD16" s="283"/>
      <c r="MXE16" s="259" t="s">
        <v>55</v>
      </c>
      <c r="MXF16" s="256" t="s">
        <v>76</v>
      </c>
      <c r="MXG16" s="256" t="s">
        <v>77</v>
      </c>
      <c r="MXH16" s="256" t="s">
        <v>78</v>
      </c>
      <c r="MXI16" s="256" t="s">
        <v>79</v>
      </c>
      <c r="MXJ16" s="256" t="s">
        <v>80</v>
      </c>
      <c r="MXK16" s="58" t="s">
        <v>81</v>
      </c>
      <c r="MXL16" s="284"/>
      <c r="MXM16" s="259" t="s">
        <v>55</v>
      </c>
      <c r="MXN16" s="256" t="s">
        <v>76</v>
      </c>
      <c r="MXO16" s="256" t="s">
        <v>77</v>
      </c>
      <c r="MXP16" s="256" t="s">
        <v>78</v>
      </c>
      <c r="MXQ16" s="256" t="s">
        <v>79</v>
      </c>
      <c r="MXR16" s="256" t="s">
        <v>80</v>
      </c>
      <c r="MXS16" s="256" t="s">
        <v>81</v>
      </c>
      <c r="MXT16" s="283"/>
      <c r="MXU16" s="259" t="s">
        <v>55</v>
      </c>
      <c r="MXV16" s="256" t="s">
        <v>76</v>
      </c>
      <c r="MXW16" s="256" t="s">
        <v>77</v>
      </c>
      <c r="MXX16" s="256" t="s">
        <v>78</v>
      </c>
      <c r="MXY16" s="256" t="s">
        <v>79</v>
      </c>
      <c r="MXZ16" s="256" t="s">
        <v>80</v>
      </c>
      <c r="MYA16" s="58" t="s">
        <v>81</v>
      </c>
      <c r="MYB16" s="284"/>
      <c r="MYC16" s="259" t="s">
        <v>55</v>
      </c>
      <c r="MYD16" s="256" t="s">
        <v>76</v>
      </c>
      <c r="MYE16" s="256" t="s">
        <v>77</v>
      </c>
      <c r="MYF16" s="256" t="s">
        <v>78</v>
      </c>
      <c r="MYG16" s="256" t="s">
        <v>79</v>
      </c>
      <c r="MYH16" s="256" t="s">
        <v>80</v>
      </c>
      <c r="MYI16" s="256" t="s">
        <v>81</v>
      </c>
      <c r="MYJ16" s="283"/>
      <c r="MYK16" s="259" t="s">
        <v>55</v>
      </c>
      <c r="MYL16" s="256" t="s">
        <v>76</v>
      </c>
      <c r="MYM16" s="256" t="s">
        <v>77</v>
      </c>
      <c r="MYN16" s="256" t="s">
        <v>78</v>
      </c>
      <c r="MYO16" s="256" t="s">
        <v>79</v>
      </c>
      <c r="MYP16" s="256" t="s">
        <v>80</v>
      </c>
      <c r="MYQ16" s="58" t="s">
        <v>81</v>
      </c>
      <c r="MYR16" s="284"/>
      <c r="MYS16" s="259" t="s">
        <v>55</v>
      </c>
      <c r="MYT16" s="256" t="s">
        <v>76</v>
      </c>
      <c r="MYU16" s="256" t="s">
        <v>77</v>
      </c>
      <c r="MYV16" s="256" t="s">
        <v>78</v>
      </c>
      <c r="MYW16" s="256" t="s">
        <v>79</v>
      </c>
      <c r="MYX16" s="256" t="s">
        <v>80</v>
      </c>
      <c r="MYY16" s="256" t="s">
        <v>81</v>
      </c>
      <c r="MYZ16" s="283"/>
      <c r="MZA16" s="259" t="s">
        <v>55</v>
      </c>
      <c r="MZB16" s="256" t="s">
        <v>76</v>
      </c>
      <c r="MZC16" s="256" t="s">
        <v>77</v>
      </c>
      <c r="MZD16" s="256" t="s">
        <v>78</v>
      </c>
      <c r="MZE16" s="256" t="s">
        <v>79</v>
      </c>
      <c r="MZF16" s="256" t="s">
        <v>80</v>
      </c>
      <c r="MZG16" s="58" t="s">
        <v>81</v>
      </c>
      <c r="MZH16" s="284"/>
      <c r="MZI16" s="259" t="s">
        <v>55</v>
      </c>
      <c r="MZJ16" s="256" t="s">
        <v>76</v>
      </c>
      <c r="MZK16" s="256" t="s">
        <v>77</v>
      </c>
      <c r="MZL16" s="256" t="s">
        <v>78</v>
      </c>
      <c r="MZM16" s="256" t="s">
        <v>79</v>
      </c>
      <c r="MZN16" s="256" t="s">
        <v>80</v>
      </c>
      <c r="MZO16" s="256" t="s">
        <v>81</v>
      </c>
      <c r="MZP16" s="283"/>
      <c r="MZQ16" s="259" t="s">
        <v>55</v>
      </c>
      <c r="MZR16" s="256" t="s">
        <v>76</v>
      </c>
      <c r="MZS16" s="256" t="s">
        <v>77</v>
      </c>
      <c r="MZT16" s="256" t="s">
        <v>78</v>
      </c>
      <c r="MZU16" s="256" t="s">
        <v>79</v>
      </c>
      <c r="MZV16" s="256" t="s">
        <v>80</v>
      </c>
      <c r="MZW16" s="58" t="s">
        <v>81</v>
      </c>
      <c r="MZX16" s="284"/>
      <c r="MZY16" s="259" t="s">
        <v>55</v>
      </c>
      <c r="MZZ16" s="256" t="s">
        <v>76</v>
      </c>
      <c r="NAA16" s="256" t="s">
        <v>77</v>
      </c>
      <c r="NAB16" s="256" t="s">
        <v>78</v>
      </c>
      <c r="NAC16" s="256" t="s">
        <v>79</v>
      </c>
      <c r="NAD16" s="256" t="s">
        <v>80</v>
      </c>
      <c r="NAE16" s="256" t="s">
        <v>81</v>
      </c>
      <c r="NAF16" s="283"/>
      <c r="NAG16" s="259" t="s">
        <v>55</v>
      </c>
      <c r="NAH16" s="256" t="s">
        <v>76</v>
      </c>
      <c r="NAI16" s="256" t="s">
        <v>77</v>
      </c>
      <c r="NAJ16" s="256" t="s">
        <v>78</v>
      </c>
      <c r="NAK16" s="256" t="s">
        <v>79</v>
      </c>
      <c r="NAL16" s="256" t="s">
        <v>80</v>
      </c>
      <c r="NAM16" s="58" t="s">
        <v>81</v>
      </c>
      <c r="NAN16" s="284"/>
      <c r="NAO16" s="259" t="s">
        <v>55</v>
      </c>
      <c r="NAP16" s="256" t="s">
        <v>76</v>
      </c>
      <c r="NAQ16" s="256" t="s">
        <v>77</v>
      </c>
      <c r="NAR16" s="256" t="s">
        <v>78</v>
      </c>
      <c r="NAS16" s="256" t="s">
        <v>79</v>
      </c>
      <c r="NAT16" s="256" t="s">
        <v>80</v>
      </c>
      <c r="NAU16" s="256" t="s">
        <v>81</v>
      </c>
      <c r="NAV16" s="283"/>
      <c r="NAW16" s="259" t="s">
        <v>55</v>
      </c>
      <c r="NAX16" s="256" t="s">
        <v>76</v>
      </c>
      <c r="NAY16" s="256" t="s">
        <v>77</v>
      </c>
      <c r="NAZ16" s="256" t="s">
        <v>78</v>
      </c>
      <c r="NBA16" s="256" t="s">
        <v>79</v>
      </c>
      <c r="NBB16" s="256" t="s">
        <v>80</v>
      </c>
      <c r="NBC16" s="58" t="s">
        <v>81</v>
      </c>
      <c r="NBD16" s="284"/>
      <c r="NBE16" s="259" t="s">
        <v>55</v>
      </c>
      <c r="NBF16" s="256" t="s">
        <v>76</v>
      </c>
      <c r="NBG16" s="256" t="s">
        <v>77</v>
      </c>
      <c r="NBH16" s="256" t="s">
        <v>78</v>
      </c>
      <c r="NBI16" s="256" t="s">
        <v>79</v>
      </c>
      <c r="NBJ16" s="256" t="s">
        <v>80</v>
      </c>
      <c r="NBK16" s="256" t="s">
        <v>81</v>
      </c>
      <c r="NBL16" s="283"/>
      <c r="NBM16" s="259" t="s">
        <v>55</v>
      </c>
      <c r="NBN16" s="256" t="s">
        <v>76</v>
      </c>
      <c r="NBO16" s="256" t="s">
        <v>77</v>
      </c>
      <c r="NBP16" s="256" t="s">
        <v>78</v>
      </c>
      <c r="NBQ16" s="256" t="s">
        <v>79</v>
      </c>
      <c r="NBR16" s="256" t="s">
        <v>80</v>
      </c>
      <c r="NBS16" s="58" t="s">
        <v>81</v>
      </c>
      <c r="NBT16" s="284"/>
      <c r="NBU16" s="259" t="s">
        <v>55</v>
      </c>
      <c r="NBV16" s="256" t="s">
        <v>76</v>
      </c>
      <c r="NBW16" s="256" t="s">
        <v>77</v>
      </c>
      <c r="NBX16" s="256" t="s">
        <v>78</v>
      </c>
      <c r="NBY16" s="256" t="s">
        <v>79</v>
      </c>
      <c r="NBZ16" s="256" t="s">
        <v>80</v>
      </c>
      <c r="NCA16" s="256" t="s">
        <v>81</v>
      </c>
      <c r="NCB16" s="283"/>
      <c r="NCC16" s="259" t="s">
        <v>55</v>
      </c>
      <c r="NCD16" s="256" t="s">
        <v>76</v>
      </c>
      <c r="NCE16" s="256" t="s">
        <v>77</v>
      </c>
      <c r="NCF16" s="256" t="s">
        <v>78</v>
      </c>
      <c r="NCG16" s="256" t="s">
        <v>79</v>
      </c>
      <c r="NCH16" s="256" t="s">
        <v>80</v>
      </c>
      <c r="NCI16" s="58" t="s">
        <v>81</v>
      </c>
      <c r="NCJ16" s="284"/>
      <c r="NCK16" s="259" t="s">
        <v>55</v>
      </c>
      <c r="NCL16" s="256" t="s">
        <v>76</v>
      </c>
      <c r="NCM16" s="256" t="s">
        <v>77</v>
      </c>
      <c r="NCN16" s="256" t="s">
        <v>78</v>
      </c>
      <c r="NCO16" s="256" t="s">
        <v>79</v>
      </c>
      <c r="NCP16" s="256" t="s">
        <v>80</v>
      </c>
      <c r="NCQ16" s="256" t="s">
        <v>81</v>
      </c>
      <c r="NCR16" s="283"/>
      <c r="NCS16" s="259" t="s">
        <v>55</v>
      </c>
      <c r="NCT16" s="256" t="s">
        <v>76</v>
      </c>
      <c r="NCU16" s="256" t="s">
        <v>77</v>
      </c>
      <c r="NCV16" s="256" t="s">
        <v>78</v>
      </c>
      <c r="NCW16" s="256" t="s">
        <v>79</v>
      </c>
      <c r="NCX16" s="256" t="s">
        <v>80</v>
      </c>
      <c r="NCY16" s="58" t="s">
        <v>81</v>
      </c>
      <c r="NCZ16" s="284"/>
      <c r="NDA16" s="259" t="s">
        <v>55</v>
      </c>
      <c r="NDB16" s="256" t="s">
        <v>76</v>
      </c>
      <c r="NDC16" s="256" t="s">
        <v>77</v>
      </c>
      <c r="NDD16" s="256" t="s">
        <v>78</v>
      </c>
      <c r="NDE16" s="256" t="s">
        <v>79</v>
      </c>
      <c r="NDF16" s="256" t="s">
        <v>80</v>
      </c>
      <c r="NDG16" s="256" t="s">
        <v>81</v>
      </c>
      <c r="NDH16" s="283"/>
      <c r="NDI16" s="259" t="s">
        <v>55</v>
      </c>
      <c r="NDJ16" s="256" t="s">
        <v>76</v>
      </c>
      <c r="NDK16" s="256" t="s">
        <v>77</v>
      </c>
      <c r="NDL16" s="256" t="s">
        <v>78</v>
      </c>
      <c r="NDM16" s="256" t="s">
        <v>79</v>
      </c>
      <c r="NDN16" s="256" t="s">
        <v>80</v>
      </c>
      <c r="NDO16" s="58" t="s">
        <v>81</v>
      </c>
      <c r="NDP16" s="284"/>
      <c r="NDQ16" s="259" t="s">
        <v>55</v>
      </c>
      <c r="NDR16" s="256" t="s">
        <v>76</v>
      </c>
      <c r="NDS16" s="256" t="s">
        <v>77</v>
      </c>
      <c r="NDT16" s="256" t="s">
        <v>78</v>
      </c>
      <c r="NDU16" s="256" t="s">
        <v>79</v>
      </c>
      <c r="NDV16" s="256" t="s">
        <v>80</v>
      </c>
      <c r="NDW16" s="256" t="s">
        <v>81</v>
      </c>
      <c r="NDX16" s="283"/>
      <c r="NDY16" s="259" t="s">
        <v>55</v>
      </c>
      <c r="NDZ16" s="256" t="s">
        <v>76</v>
      </c>
      <c r="NEA16" s="256" t="s">
        <v>77</v>
      </c>
      <c r="NEB16" s="256" t="s">
        <v>78</v>
      </c>
      <c r="NEC16" s="256" t="s">
        <v>79</v>
      </c>
      <c r="NED16" s="256" t="s">
        <v>80</v>
      </c>
      <c r="NEE16" s="58" t="s">
        <v>81</v>
      </c>
      <c r="NEF16" s="284"/>
      <c r="NEG16" s="259" t="s">
        <v>55</v>
      </c>
      <c r="NEH16" s="256" t="s">
        <v>76</v>
      </c>
      <c r="NEI16" s="256" t="s">
        <v>77</v>
      </c>
      <c r="NEJ16" s="256" t="s">
        <v>78</v>
      </c>
      <c r="NEK16" s="256" t="s">
        <v>79</v>
      </c>
      <c r="NEL16" s="256" t="s">
        <v>80</v>
      </c>
      <c r="NEM16" s="256" t="s">
        <v>81</v>
      </c>
      <c r="NEN16" s="283"/>
      <c r="NEO16" s="259" t="s">
        <v>55</v>
      </c>
      <c r="NEP16" s="256" t="s">
        <v>76</v>
      </c>
      <c r="NEQ16" s="256" t="s">
        <v>77</v>
      </c>
      <c r="NER16" s="256" t="s">
        <v>78</v>
      </c>
      <c r="NES16" s="256" t="s">
        <v>79</v>
      </c>
      <c r="NET16" s="256" t="s">
        <v>80</v>
      </c>
      <c r="NEU16" s="58" t="s">
        <v>81</v>
      </c>
      <c r="NEV16" s="284"/>
      <c r="NEW16" s="259" t="s">
        <v>55</v>
      </c>
      <c r="NEX16" s="256" t="s">
        <v>76</v>
      </c>
      <c r="NEY16" s="256" t="s">
        <v>77</v>
      </c>
      <c r="NEZ16" s="256" t="s">
        <v>78</v>
      </c>
      <c r="NFA16" s="256" t="s">
        <v>79</v>
      </c>
      <c r="NFB16" s="256" t="s">
        <v>80</v>
      </c>
      <c r="NFC16" s="256" t="s">
        <v>81</v>
      </c>
      <c r="NFD16" s="283"/>
      <c r="NFE16" s="259" t="s">
        <v>55</v>
      </c>
      <c r="NFF16" s="256" t="s">
        <v>76</v>
      </c>
      <c r="NFG16" s="256" t="s">
        <v>77</v>
      </c>
      <c r="NFH16" s="256" t="s">
        <v>78</v>
      </c>
      <c r="NFI16" s="256" t="s">
        <v>79</v>
      </c>
      <c r="NFJ16" s="256" t="s">
        <v>80</v>
      </c>
      <c r="NFK16" s="58" t="s">
        <v>81</v>
      </c>
      <c r="NFL16" s="284"/>
      <c r="NFM16" s="259" t="s">
        <v>55</v>
      </c>
      <c r="NFN16" s="256" t="s">
        <v>76</v>
      </c>
      <c r="NFO16" s="256" t="s">
        <v>77</v>
      </c>
      <c r="NFP16" s="256" t="s">
        <v>78</v>
      </c>
      <c r="NFQ16" s="256" t="s">
        <v>79</v>
      </c>
      <c r="NFR16" s="256" t="s">
        <v>80</v>
      </c>
      <c r="NFS16" s="256" t="s">
        <v>81</v>
      </c>
      <c r="NFT16" s="283"/>
      <c r="NFU16" s="259" t="s">
        <v>55</v>
      </c>
      <c r="NFV16" s="256" t="s">
        <v>76</v>
      </c>
      <c r="NFW16" s="256" t="s">
        <v>77</v>
      </c>
      <c r="NFX16" s="256" t="s">
        <v>78</v>
      </c>
      <c r="NFY16" s="256" t="s">
        <v>79</v>
      </c>
      <c r="NFZ16" s="256" t="s">
        <v>80</v>
      </c>
      <c r="NGA16" s="58" t="s">
        <v>81</v>
      </c>
      <c r="NGB16" s="284"/>
      <c r="NGC16" s="259" t="s">
        <v>55</v>
      </c>
      <c r="NGD16" s="256" t="s">
        <v>76</v>
      </c>
      <c r="NGE16" s="256" t="s">
        <v>77</v>
      </c>
      <c r="NGF16" s="256" t="s">
        <v>78</v>
      </c>
      <c r="NGG16" s="256" t="s">
        <v>79</v>
      </c>
      <c r="NGH16" s="256" t="s">
        <v>80</v>
      </c>
      <c r="NGI16" s="256" t="s">
        <v>81</v>
      </c>
      <c r="NGJ16" s="283"/>
      <c r="NGK16" s="259" t="s">
        <v>55</v>
      </c>
      <c r="NGL16" s="256" t="s">
        <v>76</v>
      </c>
      <c r="NGM16" s="256" t="s">
        <v>77</v>
      </c>
      <c r="NGN16" s="256" t="s">
        <v>78</v>
      </c>
      <c r="NGO16" s="256" t="s">
        <v>79</v>
      </c>
      <c r="NGP16" s="256" t="s">
        <v>80</v>
      </c>
      <c r="NGQ16" s="58" t="s">
        <v>81</v>
      </c>
      <c r="NGR16" s="284"/>
      <c r="NGS16" s="259" t="s">
        <v>55</v>
      </c>
      <c r="NGT16" s="256" t="s">
        <v>76</v>
      </c>
      <c r="NGU16" s="256" t="s">
        <v>77</v>
      </c>
      <c r="NGV16" s="256" t="s">
        <v>78</v>
      </c>
      <c r="NGW16" s="256" t="s">
        <v>79</v>
      </c>
      <c r="NGX16" s="256" t="s">
        <v>80</v>
      </c>
      <c r="NGY16" s="256" t="s">
        <v>81</v>
      </c>
      <c r="NGZ16" s="283"/>
      <c r="NHA16" s="259" t="s">
        <v>55</v>
      </c>
      <c r="NHB16" s="256" t="s">
        <v>76</v>
      </c>
      <c r="NHC16" s="256" t="s">
        <v>77</v>
      </c>
      <c r="NHD16" s="256" t="s">
        <v>78</v>
      </c>
      <c r="NHE16" s="256" t="s">
        <v>79</v>
      </c>
      <c r="NHF16" s="256" t="s">
        <v>80</v>
      </c>
      <c r="NHG16" s="58" t="s">
        <v>81</v>
      </c>
      <c r="NHH16" s="284"/>
      <c r="NHI16" s="259" t="s">
        <v>55</v>
      </c>
      <c r="NHJ16" s="256" t="s">
        <v>76</v>
      </c>
      <c r="NHK16" s="256" t="s">
        <v>77</v>
      </c>
      <c r="NHL16" s="256" t="s">
        <v>78</v>
      </c>
      <c r="NHM16" s="256" t="s">
        <v>79</v>
      </c>
      <c r="NHN16" s="256" t="s">
        <v>80</v>
      </c>
      <c r="NHO16" s="256" t="s">
        <v>81</v>
      </c>
      <c r="NHP16" s="283"/>
      <c r="NHQ16" s="259" t="s">
        <v>55</v>
      </c>
      <c r="NHR16" s="256" t="s">
        <v>76</v>
      </c>
      <c r="NHS16" s="256" t="s">
        <v>77</v>
      </c>
      <c r="NHT16" s="256" t="s">
        <v>78</v>
      </c>
      <c r="NHU16" s="256" t="s">
        <v>79</v>
      </c>
      <c r="NHV16" s="256" t="s">
        <v>80</v>
      </c>
      <c r="NHW16" s="58" t="s">
        <v>81</v>
      </c>
      <c r="NHX16" s="284"/>
      <c r="NHY16" s="259" t="s">
        <v>55</v>
      </c>
      <c r="NHZ16" s="256" t="s">
        <v>76</v>
      </c>
      <c r="NIA16" s="256" t="s">
        <v>77</v>
      </c>
      <c r="NIB16" s="256" t="s">
        <v>78</v>
      </c>
      <c r="NIC16" s="256" t="s">
        <v>79</v>
      </c>
      <c r="NID16" s="256" t="s">
        <v>80</v>
      </c>
      <c r="NIE16" s="256" t="s">
        <v>81</v>
      </c>
      <c r="NIF16" s="283"/>
      <c r="NIG16" s="259" t="s">
        <v>55</v>
      </c>
      <c r="NIH16" s="256" t="s">
        <v>76</v>
      </c>
      <c r="NII16" s="256" t="s">
        <v>77</v>
      </c>
      <c r="NIJ16" s="256" t="s">
        <v>78</v>
      </c>
      <c r="NIK16" s="256" t="s">
        <v>79</v>
      </c>
      <c r="NIL16" s="256" t="s">
        <v>80</v>
      </c>
      <c r="NIM16" s="58" t="s">
        <v>81</v>
      </c>
      <c r="NIN16" s="284"/>
      <c r="NIO16" s="259" t="s">
        <v>55</v>
      </c>
      <c r="NIP16" s="256" t="s">
        <v>76</v>
      </c>
      <c r="NIQ16" s="256" t="s">
        <v>77</v>
      </c>
      <c r="NIR16" s="256" t="s">
        <v>78</v>
      </c>
      <c r="NIS16" s="256" t="s">
        <v>79</v>
      </c>
      <c r="NIT16" s="256" t="s">
        <v>80</v>
      </c>
      <c r="NIU16" s="256" t="s">
        <v>81</v>
      </c>
      <c r="NIV16" s="283"/>
      <c r="NIW16" s="259" t="s">
        <v>55</v>
      </c>
      <c r="NIX16" s="256" t="s">
        <v>76</v>
      </c>
      <c r="NIY16" s="256" t="s">
        <v>77</v>
      </c>
      <c r="NIZ16" s="256" t="s">
        <v>78</v>
      </c>
      <c r="NJA16" s="256" t="s">
        <v>79</v>
      </c>
      <c r="NJB16" s="256" t="s">
        <v>80</v>
      </c>
      <c r="NJC16" s="58" t="s">
        <v>81</v>
      </c>
      <c r="NJD16" s="284"/>
      <c r="NJE16" s="259" t="s">
        <v>55</v>
      </c>
      <c r="NJF16" s="256" t="s">
        <v>76</v>
      </c>
      <c r="NJG16" s="256" t="s">
        <v>77</v>
      </c>
      <c r="NJH16" s="256" t="s">
        <v>78</v>
      </c>
      <c r="NJI16" s="256" t="s">
        <v>79</v>
      </c>
      <c r="NJJ16" s="256" t="s">
        <v>80</v>
      </c>
      <c r="NJK16" s="256" t="s">
        <v>81</v>
      </c>
      <c r="NJL16" s="283"/>
      <c r="NJM16" s="259" t="s">
        <v>55</v>
      </c>
      <c r="NJN16" s="256" t="s">
        <v>76</v>
      </c>
      <c r="NJO16" s="256" t="s">
        <v>77</v>
      </c>
      <c r="NJP16" s="256" t="s">
        <v>78</v>
      </c>
      <c r="NJQ16" s="256" t="s">
        <v>79</v>
      </c>
      <c r="NJR16" s="256" t="s">
        <v>80</v>
      </c>
      <c r="NJS16" s="58" t="s">
        <v>81</v>
      </c>
      <c r="NJT16" s="284"/>
      <c r="NJU16" s="259" t="s">
        <v>55</v>
      </c>
      <c r="NJV16" s="256" t="s">
        <v>76</v>
      </c>
      <c r="NJW16" s="256" t="s">
        <v>77</v>
      </c>
      <c r="NJX16" s="256" t="s">
        <v>78</v>
      </c>
      <c r="NJY16" s="256" t="s">
        <v>79</v>
      </c>
      <c r="NJZ16" s="256" t="s">
        <v>80</v>
      </c>
      <c r="NKA16" s="256" t="s">
        <v>81</v>
      </c>
      <c r="NKB16" s="283"/>
      <c r="NKC16" s="259" t="s">
        <v>55</v>
      </c>
      <c r="NKD16" s="256" t="s">
        <v>76</v>
      </c>
      <c r="NKE16" s="256" t="s">
        <v>77</v>
      </c>
      <c r="NKF16" s="256" t="s">
        <v>78</v>
      </c>
      <c r="NKG16" s="256" t="s">
        <v>79</v>
      </c>
      <c r="NKH16" s="256" t="s">
        <v>80</v>
      </c>
      <c r="NKI16" s="58" t="s">
        <v>81</v>
      </c>
      <c r="NKJ16" s="284"/>
      <c r="NKK16" s="259" t="s">
        <v>55</v>
      </c>
      <c r="NKL16" s="256" t="s">
        <v>76</v>
      </c>
      <c r="NKM16" s="256" t="s">
        <v>77</v>
      </c>
      <c r="NKN16" s="256" t="s">
        <v>78</v>
      </c>
      <c r="NKO16" s="256" t="s">
        <v>79</v>
      </c>
      <c r="NKP16" s="256" t="s">
        <v>80</v>
      </c>
      <c r="NKQ16" s="256" t="s">
        <v>81</v>
      </c>
      <c r="NKR16" s="283"/>
      <c r="NKS16" s="259" t="s">
        <v>55</v>
      </c>
      <c r="NKT16" s="256" t="s">
        <v>76</v>
      </c>
      <c r="NKU16" s="256" t="s">
        <v>77</v>
      </c>
      <c r="NKV16" s="256" t="s">
        <v>78</v>
      </c>
      <c r="NKW16" s="256" t="s">
        <v>79</v>
      </c>
      <c r="NKX16" s="256" t="s">
        <v>80</v>
      </c>
      <c r="NKY16" s="58" t="s">
        <v>81</v>
      </c>
      <c r="NKZ16" s="284"/>
      <c r="NLA16" s="259" t="s">
        <v>55</v>
      </c>
      <c r="NLB16" s="256" t="s">
        <v>76</v>
      </c>
      <c r="NLC16" s="256" t="s">
        <v>77</v>
      </c>
      <c r="NLD16" s="256" t="s">
        <v>78</v>
      </c>
      <c r="NLE16" s="256" t="s">
        <v>79</v>
      </c>
      <c r="NLF16" s="256" t="s">
        <v>80</v>
      </c>
      <c r="NLG16" s="256" t="s">
        <v>81</v>
      </c>
      <c r="NLH16" s="283"/>
      <c r="NLI16" s="259" t="s">
        <v>55</v>
      </c>
      <c r="NLJ16" s="256" t="s">
        <v>76</v>
      </c>
      <c r="NLK16" s="256" t="s">
        <v>77</v>
      </c>
      <c r="NLL16" s="256" t="s">
        <v>78</v>
      </c>
      <c r="NLM16" s="256" t="s">
        <v>79</v>
      </c>
      <c r="NLN16" s="256" t="s">
        <v>80</v>
      </c>
      <c r="NLO16" s="58" t="s">
        <v>81</v>
      </c>
      <c r="NLP16" s="284"/>
      <c r="NLQ16" s="259" t="s">
        <v>55</v>
      </c>
      <c r="NLR16" s="256" t="s">
        <v>76</v>
      </c>
      <c r="NLS16" s="256" t="s">
        <v>77</v>
      </c>
      <c r="NLT16" s="256" t="s">
        <v>78</v>
      </c>
      <c r="NLU16" s="256" t="s">
        <v>79</v>
      </c>
      <c r="NLV16" s="256" t="s">
        <v>80</v>
      </c>
      <c r="NLW16" s="256" t="s">
        <v>81</v>
      </c>
      <c r="NLX16" s="283"/>
      <c r="NLY16" s="259" t="s">
        <v>55</v>
      </c>
      <c r="NLZ16" s="256" t="s">
        <v>76</v>
      </c>
      <c r="NMA16" s="256" t="s">
        <v>77</v>
      </c>
      <c r="NMB16" s="256" t="s">
        <v>78</v>
      </c>
      <c r="NMC16" s="256" t="s">
        <v>79</v>
      </c>
      <c r="NMD16" s="256" t="s">
        <v>80</v>
      </c>
      <c r="NME16" s="58" t="s">
        <v>81</v>
      </c>
      <c r="NMF16" s="284"/>
      <c r="NMG16" s="259" t="s">
        <v>55</v>
      </c>
      <c r="NMH16" s="256" t="s">
        <v>76</v>
      </c>
      <c r="NMI16" s="256" t="s">
        <v>77</v>
      </c>
      <c r="NMJ16" s="256" t="s">
        <v>78</v>
      </c>
      <c r="NMK16" s="256" t="s">
        <v>79</v>
      </c>
      <c r="NML16" s="256" t="s">
        <v>80</v>
      </c>
      <c r="NMM16" s="256" t="s">
        <v>81</v>
      </c>
      <c r="NMN16" s="283"/>
      <c r="NMO16" s="259" t="s">
        <v>55</v>
      </c>
      <c r="NMP16" s="256" t="s">
        <v>76</v>
      </c>
      <c r="NMQ16" s="256" t="s">
        <v>77</v>
      </c>
      <c r="NMR16" s="256" t="s">
        <v>78</v>
      </c>
      <c r="NMS16" s="256" t="s">
        <v>79</v>
      </c>
      <c r="NMT16" s="256" t="s">
        <v>80</v>
      </c>
      <c r="NMU16" s="58" t="s">
        <v>81</v>
      </c>
      <c r="NMV16" s="284"/>
      <c r="NMW16" s="259" t="s">
        <v>55</v>
      </c>
      <c r="NMX16" s="256" t="s">
        <v>76</v>
      </c>
      <c r="NMY16" s="256" t="s">
        <v>77</v>
      </c>
      <c r="NMZ16" s="256" t="s">
        <v>78</v>
      </c>
      <c r="NNA16" s="256" t="s">
        <v>79</v>
      </c>
      <c r="NNB16" s="256" t="s">
        <v>80</v>
      </c>
      <c r="NNC16" s="256" t="s">
        <v>81</v>
      </c>
      <c r="NND16" s="283"/>
      <c r="NNE16" s="259" t="s">
        <v>55</v>
      </c>
      <c r="NNF16" s="256" t="s">
        <v>76</v>
      </c>
      <c r="NNG16" s="256" t="s">
        <v>77</v>
      </c>
      <c r="NNH16" s="256" t="s">
        <v>78</v>
      </c>
      <c r="NNI16" s="256" t="s">
        <v>79</v>
      </c>
      <c r="NNJ16" s="256" t="s">
        <v>80</v>
      </c>
      <c r="NNK16" s="58" t="s">
        <v>81</v>
      </c>
      <c r="NNL16" s="284"/>
      <c r="NNM16" s="259" t="s">
        <v>55</v>
      </c>
      <c r="NNN16" s="256" t="s">
        <v>76</v>
      </c>
      <c r="NNO16" s="256" t="s">
        <v>77</v>
      </c>
      <c r="NNP16" s="256" t="s">
        <v>78</v>
      </c>
      <c r="NNQ16" s="256" t="s">
        <v>79</v>
      </c>
      <c r="NNR16" s="256" t="s">
        <v>80</v>
      </c>
      <c r="NNS16" s="256" t="s">
        <v>81</v>
      </c>
      <c r="NNT16" s="283"/>
      <c r="NNU16" s="259" t="s">
        <v>55</v>
      </c>
      <c r="NNV16" s="256" t="s">
        <v>76</v>
      </c>
      <c r="NNW16" s="256" t="s">
        <v>77</v>
      </c>
      <c r="NNX16" s="256" t="s">
        <v>78</v>
      </c>
      <c r="NNY16" s="256" t="s">
        <v>79</v>
      </c>
      <c r="NNZ16" s="256" t="s">
        <v>80</v>
      </c>
      <c r="NOA16" s="58" t="s">
        <v>81</v>
      </c>
      <c r="NOB16" s="284"/>
      <c r="NOC16" s="259" t="s">
        <v>55</v>
      </c>
      <c r="NOD16" s="256" t="s">
        <v>76</v>
      </c>
      <c r="NOE16" s="256" t="s">
        <v>77</v>
      </c>
      <c r="NOF16" s="256" t="s">
        <v>78</v>
      </c>
      <c r="NOG16" s="256" t="s">
        <v>79</v>
      </c>
      <c r="NOH16" s="256" t="s">
        <v>80</v>
      </c>
      <c r="NOI16" s="256" t="s">
        <v>81</v>
      </c>
      <c r="NOJ16" s="283"/>
      <c r="NOK16" s="259" t="s">
        <v>55</v>
      </c>
      <c r="NOL16" s="256" t="s">
        <v>76</v>
      </c>
      <c r="NOM16" s="256" t="s">
        <v>77</v>
      </c>
      <c r="NON16" s="256" t="s">
        <v>78</v>
      </c>
      <c r="NOO16" s="256" t="s">
        <v>79</v>
      </c>
      <c r="NOP16" s="256" t="s">
        <v>80</v>
      </c>
      <c r="NOQ16" s="58" t="s">
        <v>81</v>
      </c>
      <c r="NOR16" s="284"/>
      <c r="NOS16" s="259" t="s">
        <v>55</v>
      </c>
      <c r="NOT16" s="256" t="s">
        <v>76</v>
      </c>
      <c r="NOU16" s="256" t="s">
        <v>77</v>
      </c>
      <c r="NOV16" s="256" t="s">
        <v>78</v>
      </c>
      <c r="NOW16" s="256" t="s">
        <v>79</v>
      </c>
      <c r="NOX16" s="256" t="s">
        <v>80</v>
      </c>
      <c r="NOY16" s="256" t="s">
        <v>81</v>
      </c>
      <c r="NOZ16" s="283"/>
      <c r="NPA16" s="259" t="s">
        <v>55</v>
      </c>
      <c r="NPB16" s="256" t="s">
        <v>76</v>
      </c>
      <c r="NPC16" s="256" t="s">
        <v>77</v>
      </c>
      <c r="NPD16" s="256" t="s">
        <v>78</v>
      </c>
      <c r="NPE16" s="256" t="s">
        <v>79</v>
      </c>
      <c r="NPF16" s="256" t="s">
        <v>80</v>
      </c>
      <c r="NPG16" s="58" t="s">
        <v>81</v>
      </c>
      <c r="NPH16" s="284"/>
      <c r="NPI16" s="259" t="s">
        <v>55</v>
      </c>
      <c r="NPJ16" s="256" t="s">
        <v>76</v>
      </c>
      <c r="NPK16" s="256" t="s">
        <v>77</v>
      </c>
      <c r="NPL16" s="256" t="s">
        <v>78</v>
      </c>
      <c r="NPM16" s="256" t="s">
        <v>79</v>
      </c>
      <c r="NPN16" s="256" t="s">
        <v>80</v>
      </c>
      <c r="NPO16" s="256" t="s">
        <v>81</v>
      </c>
      <c r="NPP16" s="283"/>
      <c r="NPQ16" s="259" t="s">
        <v>55</v>
      </c>
      <c r="NPR16" s="256" t="s">
        <v>76</v>
      </c>
      <c r="NPS16" s="256" t="s">
        <v>77</v>
      </c>
      <c r="NPT16" s="256" t="s">
        <v>78</v>
      </c>
      <c r="NPU16" s="256" t="s">
        <v>79</v>
      </c>
      <c r="NPV16" s="256" t="s">
        <v>80</v>
      </c>
      <c r="NPW16" s="58" t="s">
        <v>81</v>
      </c>
      <c r="NPX16" s="284"/>
      <c r="NPY16" s="259" t="s">
        <v>55</v>
      </c>
      <c r="NPZ16" s="256" t="s">
        <v>76</v>
      </c>
      <c r="NQA16" s="256" t="s">
        <v>77</v>
      </c>
      <c r="NQB16" s="256" t="s">
        <v>78</v>
      </c>
      <c r="NQC16" s="256" t="s">
        <v>79</v>
      </c>
      <c r="NQD16" s="256" t="s">
        <v>80</v>
      </c>
      <c r="NQE16" s="256" t="s">
        <v>81</v>
      </c>
      <c r="NQF16" s="283"/>
      <c r="NQG16" s="259" t="s">
        <v>55</v>
      </c>
      <c r="NQH16" s="256" t="s">
        <v>76</v>
      </c>
      <c r="NQI16" s="256" t="s">
        <v>77</v>
      </c>
      <c r="NQJ16" s="256" t="s">
        <v>78</v>
      </c>
      <c r="NQK16" s="256" t="s">
        <v>79</v>
      </c>
      <c r="NQL16" s="256" t="s">
        <v>80</v>
      </c>
      <c r="NQM16" s="58" t="s">
        <v>81</v>
      </c>
      <c r="NQN16" s="284"/>
      <c r="NQO16" s="259" t="s">
        <v>55</v>
      </c>
      <c r="NQP16" s="256" t="s">
        <v>76</v>
      </c>
      <c r="NQQ16" s="256" t="s">
        <v>77</v>
      </c>
      <c r="NQR16" s="256" t="s">
        <v>78</v>
      </c>
      <c r="NQS16" s="256" t="s">
        <v>79</v>
      </c>
      <c r="NQT16" s="256" t="s">
        <v>80</v>
      </c>
      <c r="NQU16" s="256" t="s">
        <v>81</v>
      </c>
      <c r="NQV16" s="283"/>
      <c r="NQW16" s="259" t="s">
        <v>55</v>
      </c>
      <c r="NQX16" s="256" t="s">
        <v>76</v>
      </c>
      <c r="NQY16" s="256" t="s">
        <v>77</v>
      </c>
      <c r="NQZ16" s="256" t="s">
        <v>78</v>
      </c>
      <c r="NRA16" s="256" t="s">
        <v>79</v>
      </c>
      <c r="NRB16" s="256" t="s">
        <v>80</v>
      </c>
      <c r="NRC16" s="58" t="s">
        <v>81</v>
      </c>
      <c r="NRD16" s="284"/>
      <c r="NRE16" s="259" t="s">
        <v>55</v>
      </c>
      <c r="NRF16" s="256" t="s">
        <v>76</v>
      </c>
      <c r="NRG16" s="256" t="s">
        <v>77</v>
      </c>
      <c r="NRH16" s="256" t="s">
        <v>78</v>
      </c>
      <c r="NRI16" s="256" t="s">
        <v>79</v>
      </c>
      <c r="NRJ16" s="256" t="s">
        <v>80</v>
      </c>
      <c r="NRK16" s="256" t="s">
        <v>81</v>
      </c>
      <c r="NRL16" s="283"/>
      <c r="NRM16" s="259" t="s">
        <v>55</v>
      </c>
      <c r="NRN16" s="256" t="s">
        <v>76</v>
      </c>
      <c r="NRO16" s="256" t="s">
        <v>77</v>
      </c>
      <c r="NRP16" s="256" t="s">
        <v>78</v>
      </c>
      <c r="NRQ16" s="256" t="s">
        <v>79</v>
      </c>
      <c r="NRR16" s="256" t="s">
        <v>80</v>
      </c>
      <c r="NRS16" s="58" t="s">
        <v>81</v>
      </c>
      <c r="NRT16" s="284"/>
      <c r="NRU16" s="259" t="s">
        <v>55</v>
      </c>
      <c r="NRV16" s="256" t="s">
        <v>76</v>
      </c>
      <c r="NRW16" s="256" t="s">
        <v>77</v>
      </c>
      <c r="NRX16" s="256" t="s">
        <v>78</v>
      </c>
      <c r="NRY16" s="256" t="s">
        <v>79</v>
      </c>
      <c r="NRZ16" s="256" t="s">
        <v>80</v>
      </c>
      <c r="NSA16" s="256" t="s">
        <v>81</v>
      </c>
      <c r="NSB16" s="283"/>
      <c r="NSC16" s="259" t="s">
        <v>55</v>
      </c>
      <c r="NSD16" s="256" t="s">
        <v>76</v>
      </c>
      <c r="NSE16" s="256" t="s">
        <v>77</v>
      </c>
      <c r="NSF16" s="256" t="s">
        <v>78</v>
      </c>
      <c r="NSG16" s="256" t="s">
        <v>79</v>
      </c>
      <c r="NSH16" s="256" t="s">
        <v>80</v>
      </c>
      <c r="NSI16" s="58" t="s">
        <v>81</v>
      </c>
      <c r="NSJ16" s="284"/>
      <c r="NSK16" s="259" t="s">
        <v>55</v>
      </c>
      <c r="NSL16" s="256" t="s">
        <v>76</v>
      </c>
      <c r="NSM16" s="256" t="s">
        <v>77</v>
      </c>
      <c r="NSN16" s="256" t="s">
        <v>78</v>
      </c>
      <c r="NSO16" s="256" t="s">
        <v>79</v>
      </c>
      <c r="NSP16" s="256" t="s">
        <v>80</v>
      </c>
      <c r="NSQ16" s="256" t="s">
        <v>81</v>
      </c>
      <c r="NSR16" s="283"/>
      <c r="NSS16" s="259" t="s">
        <v>55</v>
      </c>
      <c r="NST16" s="256" t="s">
        <v>76</v>
      </c>
      <c r="NSU16" s="256" t="s">
        <v>77</v>
      </c>
      <c r="NSV16" s="256" t="s">
        <v>78</v>
      </c>
      <c r="NSW16" s="256" t="s">
        <v>79</v>
      </c>
      <c r="NSX16" s="256" t="s">
        <v>80</v>
      </c>
      <c r="NSY16" s="58" t="s">
        <v>81</v>
      </c>
      <c r="NSZ16" s="284"/>
      <c r="NTA16" s="259" t="s">
        <v>55</v>
      </c>
      <c r="NTB16" s="256" t="s">
        <v>76</v>
      </c>
      <c r="NTC16" s="256" t="s">
        <v>77</v>
      </c>
      <c r="NTD16" s="256" t="s">
        <v>78</v>
      </c>
      <c r="NTE16" s="256" t="s">
        <v>79</v>
      </c>
      <c r="NTF16" s="256" t="s">
        <v>80</v>
      </c>
      <c r="NTG16" s="256" t="s">
        <v>81</v>
      </c>
      <c r="NTH16" s="283"/>
      <c r="NTI16" s="259" t="s">
        <v>55</v>
      </c>
      <c r="NTJ16" s="256" t="s">
        <v>76</v>
      </c>
      <c r="NTK16" s="256" t="s">
        <v>77</v>
      </c>
      <c r="NTL16" s="256" t="s">
        <v>78</v>
      </c>
      <c r="NTM16" s="256" t="s">
        <v>79</v>
      </c>
      <c r="NTN16" s="256" t="s">
        <v>80</v>
      </c>
      <c r="NTO16" s="58" t="s">
        <v>81</v>
      </c>
      <c r="NTP16" s="284"/>
      <c r="NTQ16" s="259" t="s">
        <v>55</v>
      </c>
      <c r="NTR16" s="256" t="s">
        <v>76</v>
      </c>
      <c r="NTS16" s="256" t="s">
        <v>77</v>
      </c>
      <c r="NTT16" s="256" t="s">
        <v>78</v>
      </c>
      <c r="NTU16" s="256" t="s">
        <v>79</v>
      </c>
      <c r="NTV16" s="256" t="s">
        <v>80</v>
      </c>
      <c r="NTW16" s="256" t="s">
        <v>81</v>
      </c>
      <c r="NTX16" s="283"/>
      <c r="NTY16" s="259" t="s">
        <v>55</v>
      </c>
      <c r="NTZ16" s="256" t="s">
        <v>76</v>
      </c>
      <c r="NUA16" s="256" t="s">
        <v>77</v>
      </c>
      <c r="NUB16" s="256" t="s">
        <v>78</v>
      </c>
      <c r="NUC16" s="256" t="s">
        <v>79</v>
      </c>
      <c r="NUD16" s="256" t="s">
        <v>80</v>
      </c>
      <c r="NUE16" s="58" t="s">
        <v>81</v>
      </c>
      <c r="NUF16" s="284"/>
      <c r="NUG16" s="259" t="s">
        <v>55</v>
      </c>
      <c r="NUH16" s="256" t="s">
        <v>76</v>
      </c>
      <c r="NUI16" s="256" t="s">
        <v>77</v>
      </c>
      <c r="NUJ16" s="256" t="s">
        <v>78</v>
      </c>
      <c r="NUK16" s="256" t="s">
        <v>79</v>
      </c>
      <c r="NUL16" s="256" t="s">
        <v>80</v>
      </c>
      <c r="NUM16" s="256" t="s">
        <v>81</v>
      </c>
      <c r="NUN16" s="283"/>
      <c r="NUO16" s="259" t="s">
        <v>55</v>
      </c>
      <c r="NUP16" s="256" t="s">
        <v>76</v>
      </c>
      <c r="NUQ16" s="256" t="s">
        <v>77</v>
      </c>
      <c r="NUR16" s="256" t="s">
        <v>78</v>
      </c>
      <c r="NUS16" s="256" t="s">
        <v>79</v>
      </c>
      <c r="NUT16" s="256" t="s">
        <v>80</v>
      </c>
      <c r="NUU16" s="58" t="s">
        <v>81</v>
      </c>
      <c r="NUV16" s="284"/>
      <c r="NUW16" s="259" t="s">
        <v>55</v>
      </c>
      <c r="NUX16" s="256" t="s">
        <v>76</v>
      </c>
      <c r="NUY16" s="256" t="s">
        <v>77</v>
      </c>
      <c r="NUZ16" s="256" t="s">
        <v>78</v>
      </c>
      <c r="NVA16" s="256" t="s">
        <v>79</v>
      </c>
      <c r="NVB16" s="256" t="s">
        <v>80</v>
      </c>
      <c r="NVC16" s="256" t="s">
        <v>81</v>
      </c>
      <c r="NVD16" s="283"/>
      <c r="NVE16" s="259" t="s">
        <v>55</v>
      </c>
      <c r="NVF16" s="256" t="s">
        <v>76</v>
      </c>
      <c r="NVG16" s="256" t="s">
        <v>77</v>
      </c>
      <c r="NVH16" s="256" t="s">
        <v>78</v>
      </c>
      <c r="NVI16" s="256" t="s">
        <v>79</v>
      </c>
      <c r="NVJ16" s="256" t="s">
        <v>80</v>
      </c>
      <c r="NVK16" s="58" t="s">
        <v>81</v>
      </c>
      <c r="NVL16" s="284"/>
      <c r="NVM16" s="259" t="s">
        <v>55</v>
      </c>
      <c r="NVN16" s="256" t="s">
        <v>76</v>
      </c>
      <c r="NVO16" s="256" t="s">
        <v>77</v>
      </c>
      <c r="NVP16" s="256" t="s">
        <v>78</v>
      </c>
      <c r="NVQ16" s="256" t="s">
        <v>79</v>
      </c>
      <c r="NVR16" s="256" t="s">
        <v>80</v>
      </c>
      <c r="NVS16" s="256" t="s">
        <v>81</v>
      </c>
      <c r="NVT16" s="283"/>
      <c r="NVU16" s="259" t="s">
        <v>55</v>
      </c>
      <c r="NVV16" s="256" t="s">
        <v>76</v>
      </c>
      <c r="NVW16" s="256" t="s">
        <v>77</v>
      </c>
      <c r="NVX16" s="256" t="s">
        <v>78</v>
      </c>
      <c r="NVY16" s="256" t="s">
        <v>79</v>
      </c>
      <c r="NVZ16" s="256" t="s">
        <v>80</v>
      </c>
      <c r="NWA16" s="58" t="s">
        <v>81</v>
      </c>
      <c r="NWB16" s="284"/>
      <c r="NWC16" s="259" t="s">
        <v>55</v>
      </c>
      <c r="NWD16" s="256" t="s">
        <v>76</v>
      </c>
      <c r="NWE16" s="256" t="s">
        <v>77</v>
      </c>
      <c r="NWF16" s="256" t="s">
        <v>78</v>
      </c>
      <c r="NWG16" s="256" t="s">
        <v>79</v>
      </c>
      <c r="NWH16" s="256" t="s">
        <v>80</v>
      </c>
      <c r="NWI16" s="256" t="s">
        <v>81</v>
      </c>
      <c r="NWJ16" s="283"/>
      <c r="NWK16" s="259" t="s">
        <v>55</v>
      </c>
      <c r="NWL16" s="256" t="s">
        <v>76</v>
      </c>
      <c r="NWM16" s="256" t="s">
        <v>77</v>
      </c>
      <c r="NWN16" s="256" t="s">
        <v>78</v>
      </c>
      <c r="NWO16" s="256" t="s">
        <v>79</v>
      </c>
      <c r="NWP16" s="256" t="s">
        <v>80</v>
      </c>
      <c r="NWQ16" s="58" t="s">
        <v>81</v>
      </c>
      <c r="NWR16" s="284"/>
      <c r="NWS16" s="259" t="s">
        <v>55</v>
      </c>
      <c r="NWT16" s="256" t="s">
        <v>76</v>
      </c>
      <c r="NWU16" s="256" t="s">
        <v>77</v>
      </c>
      <c r="NWV16" s="256" t="s">
        <v>78</v>
      </c>
      <c r="NWW16" s="256" t="s">
        <v>79</v>
      </c>
      <c r="NWX16" s="256" t="s">
        <v>80</v>
      </c>
      <c r="NWY16" s="256" t="s">
        <v>81</v>
      </c>
      <c r="NWZ16" s="283"/>
      <c r="NXA16" s="259" t="s">
        <v>55</v>
      </c>
      <c r="NXB16" s="256" t="s">
        <v>76</v>
      </c>
      <c r="NXC16" s="256" t="s">
        <v>77</v>
      </c>
      <c r="NXD16" s="256" t="s">
        <v>78</v>
      </c>
      <c r="NXE16" s="256" t="s">
        <v>79</v>
      </c>
      <c r="NXF16" s="256" t="s">
        <v>80</v>
      </c>
      <c r="NXG16" s="58" t="s">
        <v>81</v>
      </c>
      <c r="NXH16" s="284"/>
      <c r="NXI16" s="259" t="s">
        <v>55</v>
      </c>
      <c r="NXJ16" s="256" t="s">
        <v>76</v>
      </c>
      <c r="NXK16" s="256" t="s">
        <v>77</v>
      </c>
      <c r="NXL16" s="256" t="s">
        <v>78</v>
      </c>
      <c r="NXM16" s="256" t="s">
        <v>79</v>
      </c>
      <c r="NXN16" s="256" t="s">
        <v>80</v>
      </c>
      <c r="NXO16" s="256" t="s">
        <v>81</v>
      </c>
      <c r="NXP16" s="283"/>
      <c r="NXQ16" s="259" t="s">
        <v>55</v>
      </c>
      <c r="NXR16" s="256" t="s">
        <v>76</v>
      </c>
      <c r="NXS16" s="256" t="s">
        <v>77</v>
      </c>
      <c r="NXT16" s="256" t="s">
        <v>78</v>
      </c>
      <c r="NXU16" s="256" t="s">
        <v>79</v>
      </c>
      <c r="NXV16" s="256" t="s">
        <v>80</v>
      </c>
      <c r="NXW16" s="58" t="s">
        <v>81</v>
      </c>
      <c r="NXX16" s="284"/>
      <c r="NXY16" s="259" t="s">
        <v>55</v>
      </c>
      <c r="NXZ16" s="256" t="s">
        <v>76</v>
      </c>
      <c r="NYA16" s="256" t="s">
        <v>77</v>
      </c>
      <c r="NYB16" s="256" t="s">
        <v>78</v>
      </c>
      <c r="NYC16" s="256" t="s">
        <v>79</v>
      </c>
      <c r="NYD16" s="256" t="s">
        <v>80</v>
      </c>
      <c r="NYE16" s="256" t="s">
        <v>81</v>
      </c>
      <c r="NYF16" s="283"/>
      <c r="NYG16" s="259" t="s">
        <v>55</v>
      </c>
      <c r="NYH16" s="256" t="s">
        <v>76</v>
      </c>
      <c r="NYI16" s="256" t="s">
        <v>77</v>
      </c>
      <c r="NYJ16" s="256" t="s">
        <v>78</v>
      </c>
      <c r="NYK16" s="256" t="s">
        <v>79</v>
      </c>
      <c r="NYL16" s="256" t="s">
        <v>80</v>
      </c>
      <c r="NYM16" s="58" t="s">
        <v>81</v>
      </c>
      <c r="NYN16" s="284"/>
      <c r="NYO16" s="259" t="s">
        <v>55</v>
      </c>
      <c r="NYP16" s="256" t="s">
        <v>76</v>
      </c>
      <c r="NYQ16" s="256" t="s">
        <v>77</v>
      </c>
      <c r="NYR16" s="256" t="s">
        <v>78</v>
      </c>
      <c r="NYS16" s="256" t="s">
        <v>79</v>
      </c>
      <c r="NYT16" s="256" t="s">
        <v>80</v>
      </c>
      <c r="NYU16" s="256" t="s">
        <v>81</v>
      </c>
      <c r="NYV16" s="283"/>
      <c r="NYW16" s="259" t="s">
        <v>55</v>
      </c>
      <c r="NYX16" s="256" t="s">
        <v>76</v>
      </c>
      <c r="NYY16" s="256" t="s">
        <v>77</v>
      </c>
      <c r="NYZ16" s="256" t="s">
        <v>78</v>
      </c>
      <c r="NZA16" s="256" t="s">
        <v>79</v>
      </c>
      <c r="NZB16" s="256" t="s">
        <v>80</v>
      </c>
      <c r="NZC16" s="58" t="s">
        <v>81</v>
      </c>
      <c r="NZD16" s="284"/>
      <c r="NZE16" s="259" t="s">
        <v>55</v>
      </c>
      <c r="NZF16" s="256" t="s">
        <v>76</v>
      </c>
      <c r="NZG16" s="256" t="s">
        <v>77</v>
      </c>
      <c r="NZH16" s="256" t="s">
        <v>78</v>
      </c>
      <c r="NZI16" s="256" t="s">
        <v>79</v>
      </c>
      <c r="NZJ16" s="256" t="s">
        <v>80</v>
      </c>
      <c r="NZK16" s="256" t="s">
        <v>81</v>
      </c>
      <c r="NZL16" s="283"/>
      <c r="NZM16" s="259" t="s">
        <v>55</v>
      </c>
      <c r="NZN16" s="256" t="s">
        <v>76</v>
      </c>
      <c r="NZO16" s="256" t="s">
        <v>77</v>
      </c>
      <c r="NZP16" s="256" t="s">
        <v>78</v>
      </c>
      <c r="NZQ16" s="256" t="s">
        <v>79</v>
      </c>
      <c r="NZR16" s="256" t="s">
        <v>80</v>
      </c>
      <c r="NZS16" s="58" t="s">
        <v>81</v>
      </c>
      <c r="NZT16" s="284"/>
      <c r="NZU16" s="259" t="s">
        <v>55</v>
      </c>
      <c r="NZV16" s="256" t="s">
        <v>76</v>
      </c>
      <c r="NZW16" s="256" t="s">
        <v>77</v>
      </c>
      <c r="NZX16" s="256" t="s">
        <v>78</v>
      </c>
      <c r="NZY16" s="256" t="s">
        <v>79</v>
      </c>
      <c r="NZZ16" s="256" t="s">
        <v>80</v>
      </c>
      <c r="OAA16" s="256" t="s">
        <v>81</v>
      </c>
      <c r="OAB16" s="283"/>
      <c r="OAC16" s="259" t="s">
        <v>55</v>
      </c>
      <c r="OAD16" s="256" t="s">
        <v>76</v>
      </c>
      <c r="OAE16" s="256" t="s">
        <v>77</v>
      </c>
      <c r="OAF16" s="256" t="s">
        <v>78</v>
      </c>
      <c r="OAG16" s="256" t="s">
        <v>79</v>
      </c>
      <c r="OAH16" s="256" t="s">
        <v>80</v>
      </c>
      <c r="OAI16" s="58" t="s">
        <v>81</v>
      </c>
      <c r="OAJ16" s="284"/>
      <c r="OAK16" s="259" t="s">
        <v>55</v>
      </c>
      <c r="OAL16" s="256" t="s">
        <v>76</v>
      </c>
      <c r="OAM16" s="256" t="s">
        <v>77</v>
      </c>
      <c r="OAN16" s="256" t="s">
        <v>78</v>
      </c>
      <c r="OAO16" s="256" t="s">
        <v>79</v>
      </c>
      <c r="OAP16" s="256" t="s">
        <v>80</v>
      </c>
      <c r="OAQ16" s="256" t="s">
        <v>81</v>
      </c>
      <c r="OAR16" s="283"/>
      <c r="OAS16" s="259" t="s">
        <v>55</v>
      </c>
      <c r="OAT16" s="256" t="s">
        <v>76</v>
      </c>
      <c r="OAU16" s="256" t="s">
        <v>77</v>
      </c>
      <c r="OAV16" s="256" t="s">
        <v>78</v>
      </c>
      <c r="OAW16" s="256" t="s">
        <v>79</v>
      </c>
      <c r="OAX16" s="256" t="s">
        <v>80</v>
      </c>
      <c r="OAY16" s="58" t="s">
        <v>81</v>
      </c>
      <c r="OAZ16" s="284"/>
      <c r="OBA16" s="259" t="s">
        <v>55</v>
      </c>
      <c r="OBB16" s="256" t="s">
        <v>76</v>
      </c>
      <c r="OBC16" s="256" t="s">
        <v>77</v>
      </c>
      <c r="OBD16" s="256" t="s">
        <v>78</v>
      </c>
      <c r="OBE16" s="256" t="s">
        <v>79</v>
      </c>
      <c r="OBF16" s="256" t="s">
        <v>80</v>
      </c>
      <c r="OBG16" s="256" t="s">
        <v>81</v>
      </c>
      <c r="OBH16" s="283"/>
      <c r="OBI16" s="259" t="s">
        <v>55</v>
      </c>
      <c r="OBJ16" s="256" t="s">
        <v>76</v>
      </c>
      <c r="OBK16" s="256" t="s">
        <v>77</v>
      </c>
      <c r="OBL16" s="256" t="s">
        <v>78</v>
      </c>
      <c r="OBM16" s="256" t="s">
        <v>79</v>
      </c>
      <c r="OBN16" s="256" t="s">
        <v>80</v>
      </c>
      <c r="OBO16" s="58" t="s">
        <v>81</v>
      </c>
      <c r="OBP16" s="284"/>
      <c r="OBQ16" s="259" t="s">
        <v>55</v>
      </c>
      <c r="OBR16" s="256" t="s">
        <v>76</v>
      </c>
      <c r="OBS16" s="256" t="s">
        <v>77</v>
      </c>
      <c r="OBT16" s="256" t="s">
        <v>78</v>
      </c>
      <c r="OBU16" s="256" t="s">
        <v>79</v>
      </c>
      <c r="OBV16" s="256" t="s">
        <v>80</v>
      </c>
      <c r="OBW16" s="256" t="s">
        <v>81</v>
      </c>
      <c r="OBX16" s="283"/>
      <c r="OBY16" s="259" t="s">
        <v>55</v>
      </c>
      <c r="OBZ16" s="256" t="s">
        <v>76</v>
      </c>
      <c r="OCA16" s="256" t="s">
        <v>77</v>
      </c>
      <c r="OCB16" s="256" t="s">
        <v>78</v>
      </c>
      <c r="OCC16" s="256" t="s">
        <v>79</v>
      </c>
      <c r="OCD16" s="256" t="s">
        <v>80</v>
      </c>
      <c r="OCE16" s="58" t="s">
        <v>81</v>
      </c>
      <c r="OCF16" s="284"/>
      <c r="OCG16" s="259" t="s">
        <v>55</v>
      </c>
      <c r="OCH16" s="256" t="s">
        <v>76</v>
      </c>
      <c r="OCI16" s="256" t="s">
        <v>77</v>
      </c>
      <c r="OCJ16" s="256" t="s">
        <v>78</v>
      </c>
      <c r="OCK16" s="256" t="s">
        <v>79</v>
      </c>
      <c r="OCL16" s="256" t="s">
        <v>80</v>
      </c>
      <c r="OCM16" s="256" t="s">
        <v>81</v>
      </c>
      <c r="OCN16" s="283"/>
      <c r="OCO16" s="259" t="s">
        <v>55</v>
      </c>
      <c r="OCP16" s="256" t="s">
        <v>76</v>
      </c>
      <c r="OCQ16" s="256" t="s">
        <v>77</v>
      </c>
      <c r="OCR16" s="256" t="s">
        <v>78</v>
      </c>
      <c r="OCS16" s="256" t="s">
        <v>79</v>
      </c>
      <c r="OCT16" s="256" t="s">
        <v>80</v>
      </c>
      <c r="OCU16" s="58" t="s">
        <v>81</v>
      </c>
      <c r="OCV16" s="284"/>
      <c r="OCW16" s="259" t="s">
        <v>55</v>
      </c>
      <c r="OCX16" s="256" t="s">
        <v>76</v>
      </c>
      <c r="OCY16" s="256" t="s">
        <v>77</v>
      </c>
      <c r="OCZ16" s="256" t="s">
        <v>78</v>
      </c>
      <c r="ODA16" s="256" t="s">
        <v>79</v>
      </c>
      <c r="ODB16" s="256" t="s">
        <v>80</v>
      </c>
      <c r="ODC16" s="256" t="s">
        <v>81</v>
      </c>
      <c r="ODD16" s="283"/>
      <c r="ODE16" s="259" t="s">
        <v>55</v>
      </c>
      <c r="ODF16" s="256" t="s">
        <v>76</v>
      </c>
      <c r="ODG16" s="256" t="s">
        <v>77</v>
      </c>
      <c r="ODH16" s="256" t="s">
        <v>78</v>
      </c>
      <c r="ODI16" s="256" t="s">
        <v>79</v>
      </c>
      <c r="ODJ16" s="256" t="s">
        <v>80</v>
      </c>
      <c r="ODK16" s="58" t="s">
        <v>81</v>
      </c>
      <c r="ODL16" s="284"/>
      <c r="ODM16" s="259" t="s">
        <v>55</v>
      </c>
      <c r="ODN16" s="256" t="s">
        <v>76</v>
      </c>
      <c r="ODO16" s="256" t="s">
        <v>77</v>
      </c>
      <c r="ODP16" s="256" t="s">
        <v>78</v>
      </c>
      <c r="ODQ16" s="256" t="s">
        <v>79</v>
      </c>
      <c r="ODR16" s="256" t="s">
        <v>80</v>
      </c>
      <c r="ODS16" s="256" t="s">
        <v>81</v>
      </c>
      <c r="ODT16" s="283"/>
      <c r="ODU16" s="259" t="s">
        <v>55</v>
      </c>
      <c r="ODV16" s="256" t="s">
        <v>76</v>
      </c>
      <c r="ODW16" s="256" t="s">
        <v>77</v>
      </c>
      <c r="ODX16" s="256" t="s">
        <v>78</v>
      </c>
      <c r="ODY16" s="256" t="s">
        <v>79</v>
      </c>
      <c r="ODZ16" s="256" t="s">
        <v>80</v>
      </c>
      <c r="OEA16" s="58" t="s">
        <v>81</v>
      </c>
      <c r="OEB16" s="284"/>
      <c r="OEC16" s="259" t="s">
        <v>55</v>
      </c>
      <c r="OED16" s="256" t="s">
        <v>76</v>
      </c>
      <c r="OEE16" s="256" t="s">
        <v>77</v>
      </c>
      <c r="OEF16" s="256" t="s">
        <v>78</v>
      </c>
      <c r="OEG16" s="256" t="s">
        <v>79</v>
      </c>
      <c r="OEH16" s="256" t="s">
        <v>80</v>
      </c>
      <c r="OEI16" s="256" t="s">
        <v>81</v>
      </c>
      <c r="OEJ16" s="283"/>
      <c r="OEK16" s="259" t="s">
        <v>55</v>
      </c>
      <c r="OEL16" s="256" t="s">
        <v>76</v>
      </c>
      <c r="OEM16" s="256" t="s">
        <v>77</v>
      </c>
      <c r="OEN16" s="256" t="s">
        <v>78</v>
      </c>
      <c r="OEO16" s="256" t="s">
        <v>79</v>
      </c>
      <c r="OEP16" s="256" t="s">
        <v>80</v>
      </c>
      <c r="OEQ16" s="58" t="s">
        <v>81</v>
      </c>
      <c r="OER16" s="284"/>
      <c r="OES16" s="259" t="s">
        <v>55</v>
      </c>
      <c r="OET16" s="256" t="s">
        <v>76</v>
      </c>
      <c r="OEU16" s="256" t="s">
        <v>77</v>
      </c>
      <c r="OEV16" s="256" t="s">
        <v>78</v>
      </c>
      <c r="OEW16" s="256" t="s">
        <v>79</v>
      </c>
      <c r="OEX16" s="256" t="s">
        <v>80</v>
      </c>
      <c r="OEY16" s="256" t="s">
        <v>81</v>
      </c>
      <c r="OEZ16" s="283"/>
      <c r="OFA16" s="259" t="s">
        <v>55</v>
      </c>
      <c r="OFB16" s="256" t="s">
        <v>76</v>
      </c>
      <c r="OFC16" s="256" t="s">
        <v>77</v>
      </c>
      <c r="OFD16" s="256" t="s">
        <v>78</v>
      </c>
      <c r="OFE16" s="256" t="s">
        <v>79</v>
      </c>
      <c r="OFF16" s="256" t="s">
        <v>80</v>
      </c>
      <c r="OFG16" s="58" t="s">
        <v>81</v>
      </c>
      <c r="OFH16" s="284"/>
      <c r="OFI16" s="259" t="s">
        <v>55</v>
      </c>
      <c r="OFJ16" s="256" t="s">
        <v>76</v>
      </c>
      <c r="OFK16" s="256" t="s">
        <v>77</v>
      </c>
      <c r="OFL16" s="256" t="s">
        <v>78</v>
      </c>
      <c r="OFM16" s="256" t="s">
        <v>79</v>
      </c>
      <c r="OFN16" s="256" t="s">
        <v>80</v>
      </c>
      <c r="OFO16" s="256" t="s">
        <v>81</v>
      </c>
      <c r="OFP16" s="283"/>
      <c r="OFQ16" s="259" t="s">
        <v>55</v>
      </c>
      <c r="OFR16" s="256" t="s">
        <v>76</v>
      </c>
      <c r="OFS16" s="256" t="s">
        <v>77</v>
      </c>
      <c r="OFT16" s="256" t="s">
        <v>78</v>
      </c>
      <c r="OFU16" s="256" t="s">
        <v>79</v>
      </c>
      <c r="OFV16" s="256" t="s">
        <v>80</v>
      </c>
      <c r="OFW16" s="58" t="s">
        <v>81</v>
      </c>
      <c r="OFX16" s="284"/>
      <c r="OFY16" s="259" t="s">
        <v>55</v>
      </c>
      <c r="OFZ16" s="256" t="s">
        <v>76</v>
      </c>
      <c r="OGA16" s="256" t="s">
        <v>77</v>
      </c>
      <c r="OGB16" s="256" t="s">
        <v>78</v>
      </c>
      <c r="OGC16" s="256" t="s">
        <v>79</v>
      </c>
      <c r="OGD16" s="256" t="s">
        <v>80</v>
      </c>
      <c r="OGE16" s="256" t="s">
        <v>81</v>
      </c>
      <c r="OGF16" s="283"/>
      <c r="OGG16" s="259" t="s">
        <v>55</v>
      </c>
      <c r="OGH16" s="256" t="s">
        <v>76</v>
      </c>
      <c r="OGI16" s="256" t="s">
        <v>77</v>
      </c>
      <c r="OGJ16" s="256" t="s">
        <v>78</v>
      </c>
      <c r="OGK16" s="256" t="s">
        <v>79</v>
      </c>
      <c r="OGL16" s="256" t="s">
        <v>80</v>
      </c>
      <c r="OGM16" s="58" t="s">
        <v>81</v>
      </c>
      <c r="OGN16" s="284"/>
      <c r="OGO16" s="259" t="s">
        <v>55</v>
      </c>
      <c r="OGP16" s="256" t="s">
        <v>76</v>
      </c>
      <c r="OGQ16" s="256" t="s">
        <v>77</v>
      </c>
      <c r="OGR16" s="256" t="s">
        <v>78</v>
      </c>
      <c r="OGS16" s="256" t="s">
        <v>79</v>
      </c>
      <c r="OGT16" s="256" t="s">
        <v>80</v>
      </c>
      <c r="OGU16" s="256" t="s">
        <v>81</v>
      </c>
      <c r="OGV16" s="283"/>
      <c r="OGW16" s="259" t="s">
        <v>55</v>
      </c>
      <c r="OGX16" s="256" t="s">
        <v>76</v>
      </c>
      <c r="OGY16" s="256" t="s">
        <v>77</v>
      </c>
      <c r="OGZ16" s="256" t="s">
        <v>78</v>
      </c>
      <c r="OHA16" s="256" t="s">
        <v>79</v>
      </c>
      <c r="OHB16" s="256" t="s">
        <v>80</v>
      </c>
      <c r="OHC16" s="58" t="s">
        <v>81</v>
      </c>
      <c r="OHD16" s="284"/>
      <c r="OHE16" s="259" t="s">
        <v>55</v>
      </c>
      <c r="OHF16" s="256" t="s">
        <v>76</v>
      </c>
      <c r="OHG16" s="256" t="s">
        <v>77</v>
      </c>
      <c r="OHH16" s="256" t="s">
        <v>78</v>
      </c>
      <c r="OHI16" s="256" t="s">
        <v>79</v>
      </c>
      <c r="OHJ16" s="256" t="s">
        <v>80</v>
      </c>
      <c r="OHK16" s="256" t="s">
        <v>81</v>
      </c>
      <c r="OHL16" s="283"/>
      <c r="OHM16" s="259" t="s">
        <v>55</v>
      </c>
      <c r="OHN16" s="256" t="s">
        <v>76</v>
      </c>
      <c r="OHO16" s="256" t="s">
        <v>77</v>
      </c>
      <c r="OHP16" s="256" t="s">
        <v>78</v>
      </c>
      <c r="OHQ16" s="256" t="s">
        <v>79</v>
      </c>
      <c r="OHR16" s="256" t="s">
        <v>80</v>
      </c>
      <c r="OHS16" s="58" t="s">
        <v>81</v>
      </c>
      <c r="OHT16" s="284"/>
      <c r="OHU16" s="259" t="s">
        <v>55</v>
      </c>
      <c r="OHV16" s="256" t="s">
        <v>76</v>
      </c>
      <c r="OHW16" s="256" t="s">
        <v>77</v>
      </c>
      <c r="OHX16" s="256" t="s">
        <v>78</v>
      </c>
      <c r="OHY16" s="256" t="s">
        <v>79</v>
      </c>
      <c r="OHZ16" s="256" t="s">
        <v>80</v>
      </c>
      <c r="OIA16" s="256" t="s">
        <v>81</v>
      </c>
      <c r="OIB16" s="283"/>
      <c r="OIC16" s="259" t="s">
        <v>55</v>
      </c>
      <c r="OID16" s="256" t="s">
        <v>76</v>
      </c>
      <c r="OIE16" s="256" t="s">
        <v>77</v>
      </c>
      <c r="OIF16" s="256" t="s">
        <v>78</v>
      </c>
      <c r="OIG16" s="256" t="s">
        <v>79</v>
      </c>
      <c r="OIH16" s="256" t="s">
        <v>80</v>
      </c>
      <c r="OII16" s="58" t="s">
        <v>81</v>
      </c>
      <c r="OIJ16" s="284"/>
      <c r="OIK16" s="259" t="s">
        <v>55</v>
      </c>
      <c r="OIL16" s="256" t="s">
        <v>76</v>
      </c>
      <c r="OIM16" s="256" t="s">
        <v>77</v>
      </c>
      <c r="OIN16" s="256" t="s">
        <v>78</v>
      </c>
      <c r="OIO16" s="256" t="s">
        <v>79</v>
      </c>
      <c r="OIP16" s="256" t="s">
        <v>80</v>
      </c>
      <c r="OIQ16" s="256" t="s">
        <v>81</v>
      </c>
      <c r="OIR16" s="283"/>
      <c r="OIS16" s="259" t="s">
        <v>55</v>
      </c>
      <c r="OIT16" s="256" t="s">
        <v>76</v>
      </c>
      <c r="OIU16" s="256" t="s">
        <v>77</v>
      </c>
      <c r="OIV16" s="256" t="s">
        <v>78</v>
      </c>
      <c r="OIW16" s="256" t="s">
        <v>79</v>
      </c>
      <c r="OIX16" s="256" t="s">
        <v>80</v>
      </c>
      <c r="OIY16" s="58" t="s">
        <v>81</v>
      </c>
      <c r="OIZ16" s="284"/>
      <c r="OJA16" s="259" t="s">
        <v>55</v>
      </c>
      <c r="OJB16" s="256" t="s">
        <v>76</v>
      </c>
      <c r="OJC16" s="256" t="s">
        <v>77</v>
      </c>
      <c r="OJD16" s="256" t="s">
        <v>78</v>
      </c>
      <c r="OJE16" s="256" t="s">
        <v>79</v>
      </c>
      <c r="OJF16" s="256" t="s">
        <v>80</v>
      </c>
      <c r="OJG16" s="256" t="s">
        <v>81</v>
      </c>
      <c r="OJH16" s="283"/>
      <c r="OJI16" s="259" t="s">
        <v>55</v>
      </c>
      <c r="OJJ16" s="256" t="s">
        <v>76</v>
      </c>
      <c r="OJK16" s="256" t="s">
        <v>77</v>
      </c>
      <c r="OJL16" s="256" t="s">
        <v>78</v>
      </c>
      <c r="OJM16" s="256" t="s">
        <v>79</v>
      </c>
      <c r="OJN16" s="256" t="s">
        <v>80</v>
      </c>
      <c r="OJO16" s="58" t="s">
        <v>81</v>
      </c>
      <c r="OJP16" s="284"/>
      <c r="OJQ16" s="259" t="s">
        <v>55</v>
      </c>
      <c r="OJR16" s="256" t="s">
        <v>76</v>
      </c>
      <c r="OJS16" s="256" t="s">
        <v>77</v>
      </c>
      <c r="OJT16" s="256" t="s">
        <v>78</v>
      </c>
      <c r="OJU16" s="256" t="s">
        <v>79</v>
      </c>
      <c r="OJV16" s="256" t="s">
        <v>80</v>
      </c>
      <c r="OJW16" s="256" t="s">
        <v>81</v>
      </c>
      <c r="OJX16" s="283"/>
      <c r="OJY16" s="259" t="s">
        <v>55</v>
      </c>
      <c r="OJZ16" s="256" t="s">
        <v>76</v>
      </c>
      <c r="OKA16" s="256" t="s">
        <v>77</v>
      </c>
      <c r="OKB16" s="256" t="s">
        <v>78</v>
      </c>
      <c r="OKC16" s="256" t="s">
        <v>79</v>
      </c>
      <c r="OKD16" s="256" t="s">
        <v>80</v>
      </c>
      <c r="OKE16" s="58" t="s">
        <v>81</v>
      </c>
      <c r="OKF16" s="284"/>
      <c r="OKG16" s="259" t="s">
        <v>55</v>
      </c>
      <c r="OKH16" s="256" t="s">
        <v>76</v>
      </c>
      <c r="OKI16" s="256" t="s">
        <v>77</v>
      </c>
      <c r="OKJ16" s="256" t="s">
        <v>78</v>
      </c>
      <c r="OKK16" s="256" t="s">
        <v>79</v>
      </c>
      <c r="OKL16" s="256" t="s">
        <v>80</v>
      </c>
      <c r="OKM16" s="256" t="s">
        <v>81</v>
      </c>
      <c r="OKN16" s="283"/>
      <c r="OKO16" s="259" t="s">
        <v>55</v>
      </c>
      <c r="OKP16" s="256" t="s">
        <v>76</v>
      </c>
      <c r="OKQ16" s="256" t="s">
        <v>77</v>
      </c>
      <c r="OKR16" s="256" t="s">
        <v>78</v>
      </c>
      <c r="OKS16" s="256" t="s">
        <v>79</v>
      </c>
      <c r="OKT16" s="256" t="s">
        <v>80</v>
      </c>
      <c r="OKU16" s="58" t="s">
        <v>81</v>
      </c>
      <c r="OKV16" s="284"/>
      <c r="OKW16" s="259" t="s">
        <v>55</v>
      </c>
      <c r="OKX16" s="256" t="s">
        <v>76</v>
      </c>
      <c r="OKY16" s="256" t="s">
        <v>77</v>
      </c>
      <c r="OKZ16" s="256" t="s">
        <v>78</v>
      </c>
      <c r="OLA16" s="256" t="s">
        <v>79</v>
      </c>
      <c r="OLB16" s="256" t="s">
        <v>80</v>
      </c>
      <c r="OLC16" s="256" t="s">
        <v>81</v>
      </c>
      <c r="OLD16" s="283"/>
      <c r="OLE16" s="259" t="s">
        <v>55</v>
      </c>
      <c r="OLF16" s="256" t="s">
        <v>76</v>
      </c>
      <c r="OLG16" s="256" t="s">
        <v>77</v>
      </c>
      <c r="OLH16" s="256" t="s">
        <v>78</v>
      </c>
      <c r="OLI16" s="256" t="s">
        <v>79</v>
      </c>
      <c r="OLJ16" s="256" t="s">
        <v>80</v>
      </c>
      <c r="OLK16" s="58" t="s">
        <v>81</v>
      </c>
      <c r="OLL16" s="284"/>
      <c r="OLM16" s="259" t="s">
        <v>55</v>
      </c>
      <c r="OLN16" s="256" t="s">
        <v>76</v>
      </c>
      <c r="OLO16" s="256" t="s">
        <v>77</v>
      </c>
      <c r="OLP16" s="256" t="s">
        <v>78</v>
      </c>
      <c r="OLQ16" s="256" t="s">
        <v>79</v>
      </c>
      <c r="OLR16" s="256" t="s">
        <v>80</v>
      </c>
      <c r="OLS16" s="256" t="s">
        <v>81</v>
      </c>
      <c r="OLT16" s="283"/>
      <c r="OLU16" s="259" t="s">
        <v>55</v>
      </c>
      <c r="OLV16" s="256" t="s">
        <v>76</v>
      </c>
      <c r="OLW16" s="256" t="s">
        <v>77</v>
      </c>
      <c r="OLX16" s="256" t="s">
        <v>78</v>
      </c>
      <c r="OLY16" s="256" t="s">
        <v>79</v>
      </c>
      <c r="OLZ16" s="256" t="s">
        <v>80</v>
      </c>
      <c r="OMA16" s="58" t="s">
        <v>81</v>
      </c>
      <c r="OMB16" s="284"/>
      <c r="OMC16" s="259" t="s">
        <v>55</v>
      </c>
      <c r="OMD16" s="256" t="s">
        <v>76</v>
      </c>
      <c r="OME16" s="256" t="s">
        <v>77</v>
      </c>
      <c r="OMF16" s="256" t="s">
        <v>78</v>
      </c>
      <c r="OMG16" s="256" t="s">
        <v>79</v>
      </c>
      <c r="OMH16" s="256" t="s">
        <v>80</v>
      </c>
      <c r="OMI16" s="256" t="s">
        <v>81</v>
      </c>
      <c r="OMJ16" s="283"/>
      <c r="OMK16" s="259" t="s">
        <v>55</v>
      </c>
      <c r="OML16" s="256" t="s">
        <v>76</v>
      </c>
      <c r="OMM16" s="256" t="s">
        <v>77</v>
      </c>
      <c r="OMN16" s="256" t="s">
        <v>78</v>
      </c>
      <c r="OMO16" s="256" t="s">
        <v>79</v>
      </c>
      <c r="OMP16" s="256" t="s">
        <v>80</v>
      </c>
      <c r="OMQ16" s="58" t="s">
        <v>81</v>
      </c>
      <c r="OMR16" s="284"/>
      <c r="OMS16" s="259" t="s">
        <v>55</v>
      </c>
      <c r="OMT16" s="256" t="s">
        <v>76</v>
      </c>
      <c r="OMU16" s="256" t="s">
        <v>77</v>
      </c>
      <c r="OMV16" s="256" t="s">
        <v>78</v>
      </c>
      <c r="OMW16" s="256" t="s">
        <v>79</v>
      </c>
      <c r="OMX16" s="256" t="s">
        <v>80</v>
      </c>
      <c r="OMY16" s="256" t="s">
        <v>81</v>
      </c>
      <c r="OMZ16" s="283"/>
      <c r="ONA16" s="259" t="s">
        <v>55</v>
      </c>
      <c r="ONB16" s="256" t="s">
        <v>76</v>
      </c>
      <c r="ONC16" s="256" t="s">
        <v>77</v>
      </c>
      <c r="OND16" s="256" t="s">
        <v>78</v>
      </c>
      <c r="ONE16" s="256" t="s">
        <v>79</v>
      </c>
      <c r="ONF16" s="256" t="s">
        <v>80</v>
      </c>
      <c r="ONG16" s="58" t="s">
        <v>81</v>
      </c>
      <c r="ONH16" s="284"/>
      <c r="ONI16" s="259" t="s">
        <v>55</v>
      </c>
      <c r="ONJ16" s="256" t="s">
        <v>76</v>
      </c>
      <c r="ONK16" s="256" t="s">
        <v>77</v>
      </c>
      <c r="ONL16" s="256" t="s">
        <v>78</v>
      </c>
      <c r="ONM16" s="256" t="s">
        <v>79</v>
      </c>
      <c r="ONN16" s="256" t="s">
        <v>80</v>
      </c>
      <c r="ONO16" s="256" t="s">
        <v>81</v>
      </c>
      <c r="ONP16" s="283"/>
      <c r="ONQ16" s="259" t="s">
        <v>55</v>
      </c>
      <c r="ONR16" s="256" t="s">
        <v>76</v>
      </c>
      <c r="ONS16" s="256" t="s">
        <v>77</v>
      </c>
      <c r="ONT16" s="256" t="s">
        <v>78</v>
      </c>
      <c r="ONU16" s="256" t="s">
        <v>79</v>
      </c>
      <c r="ONV16" s="256" t="s">
        <v>80</v>
      </c>
      <c r="ONW16" s="58" t="s">
        <v>81</v>
      </c>
      <c r="ONX16" s="284"/>
      <c r="ONY16" s="259" t="s">
        <v>55</v>
      </c>
      <c r="ONZ16" s="256" t="s">
        <v>76</v>
      </c>
      <c r="OOA16" s="256" t="s">
        <v>77</v>
      </c>
      <c r="OOB16" s="256" t="s">
        <v>78</v>
      </c>
      <c r="OOC16" s="256" t="s">
        <v>79</v>
      </c>
      <c r="OOD16" s="256" t="s">
        <v>80</v>
      </c>
      <c r="OOE16" s="256" t="s">
        <v>81</v>
      </c>
      <c r="OOF16" s="283"/>
      <c r="OOG16" s="259" t="s">
        <v>55</v>
      </c>
      <c r="OOH16" s="256" t="s">
        <v>76</v>
      </c>
      <c r="OOI16" s="256" t="s">
        <v>77</v>
      </c>
      <c r="OOJ16" s="256" t="s">
        <v>78</v>
      </c>
      <c r="OOK16" s="256" t="s">
        <v>79</v>
      </c>
      <c r="OOL16" s="256" t="s">
        <v>80</v>
      </c>
      <c r="OOM16" s="58" t="s">
        <v>81</v>
      </c>
      <c r="OON16" s="284"/>
      <c r="OOO16" s="259" t="s">
        <v>55</v>
      </c>
      <c r="OOP16" s="256" t="s">
        <v>76</v>
      </c>
      <c r="OOQ16" s="256" t="s">
        <v>77</v>
      </c>
      <c r="OOR16" s="256" t="s">
        <v>78</v>
      </c>
      <c r="OOS16" s="256" t="s">
        <v>79</v>
      </c>
      <c r="OOT16" s="256" t="s">
        <v>80</v>
      </c>
      <c r="OOU16" s="256" t="s">
        <v>81</v>
      </c>
      <c r="OOV16" s="283"/>
      <c r="OOW16" s="259" t="s">
        <v>55</v>
      </c>
      <c r="OOX16" s="256" t="s">
        <v>76</v>
      </c>
      <c r="OOY16" s="256" t="s">
        <v>77</v>
      </c>
      <c r="OOZ16" s="256" t="s">
        <v>78</v>
      </c>
      <c r="OPA16" s="256" t="s">
        <v>79</v>
      </c>
      <c r="OPB16" s="256" t="s">
        <v>80</v>
      </c>
      <c r="OPC16" s="58" t="s">
        <v>81</v>
      </c>
      <c r="OPD16" s="284"/>
      <c r="OPE16" s="259" t="s">
        <v>55</v>
      </c>
      <c r="OPF16" s="256" t="s">
        <v>76</v>
      </c>
      <c r="OPG16" s="256" t="s">
        <v>77</v>
      </c>
      <c r="OPH16" s="256" t="s">
        <v>78</v>
      </c>
      <c r="OPI16" s="256" t="s">
        <v>79</v>
      </c>
      <c r="OPJ16" s="256" t="s">
        <v>80</v>
      </c>
      <c r="OPK16" s="256" t="s">
        <v>81</v>
      </c>
      <c r="OPL16" s="283"/>
      <c r="OPM16" s="259" t="s">
        <v>55</v>
      </c>
      <c r="OPN16" s="256" t="s">
        <v>76</v>
      </c>
      <c r="OPO16" s="256" t="s">
        <v>77</v>
      </c>
      <c r="OPP16" s="256" t="s">
        <v>78</v>
      </c>
      <c r="OPQ16" s="256" t="s">
        <v>79</v>
      </c>
      <c r="OPR16" s="256" t="s">
        <v>80</v>
      </c>
      <c r="OPS16" s="58" t="s">
        <v>81</v>
      </c>
      <c r="OPT16" s="284"/>
      <c r="OPU16" s="259" t="s">
        <v>55</v>
      </c>
      <c r="OPV16" s="256" t="s">
        <v>76</v>
      </c>
      <c r="OPW16" s="256" t="s">
        <v>77</v>
      </c>
      <c r="OPX16" s="256" t="s">
        <v>78</v>
      </c>
      <c r="OPY16" s="256" t="s">
        <v>79</v>
      </c>
      <c r="OPZ16" s="256" t="s">
        <v>80</v>
      </c>
      <c r="OQA16" s="256" t="s">
        <v>81</v>
      </c>
      <c r="OQB16" s="283"/>
      <c r="OQC16" s="259" t="s">
        <v>55</v>
      </c>
      <c r="OQD16" s="256" t="s">
        <v>76</v>
      </c>
      <c r="OQE16" s="256" t="s">
        <v>77</v>
      </c>
      <c r="OQF16" s="256" t="s">
        <v>78</v>
      </c>
      <c r="OQG16" s="256" t="s">
        <v>79</v>
      </c>
      <c r="OQH16" s="256" t="s">
        <v>80</v>
      </c>
      <c r="OQI16" s="58" t="s">
        <v>81</v>
      </c>
      <c r="OQJ16" s="284"/>
      <c r="OQK16" s="259" t="s">
        <v>55</v>
      </c>
      <c r="OQL16" s="256" t="s">
        <v>76</v>
      </c>
      <c r="OQM16" s="256" t="s">
        <v>77</v>
      </c>
      <c r="OQN16" s="256" t="s">
        <v>78</v>
      </c>
      <c r="OQO16" s="256" t="s">
        <v>79</v>
      </c>
      <c r="OQP16" s="256" t="s">
        <v>80</v>
      </c>
      <c r="OQQ16" s="256" t="s">
        <v>81</v>
      </c>
      <c r="OQR16" s="283"/>
      <c r="OQS16" s="259" t="s">
        <v>55</v>
      </c>
      <c r="OQT16" s="256" t="s">
        <v>76</v>
      </c>
      <c r="OQU16" s="256" t="s">
        <v>77</v>
      </c>
      <c r="OQV16" s="256" t="s">
        <v>78</v>
      </c>
      <c r="OQW16" s="256" t="s">
        <v>79</v>
      </c>
      <c r="OQX16" s="256" t="s">
        <v>80</v>
      </c>
      <c r="OQY16" s="58" t="s">
        <v>81</v>
      </c>
      <c r="OQZ16" s="284"/>
      <c r="ORA16" s="259" t="s">
        <v>55</v>
      </c>
      <c r="ORB16" s="256" t="s">
        <v>76</v>
      </c>
      <c r="ORC16" s="256" t="s">
        <v>77</v>
      </c>
      <c r="ORD16" s="256" t="s">
        <v>78</v>
      </c>
      <c r="ORE16" s="256" t="s">
        <v>79</v>
      </c>
      <c r="ORF16" s="256" t="s">
        <v>80</v>
      </c>
      <c r="ORG16" s="256" t="s">
        <v>81</v>
      </c>
      <c r="ORH16" s="283"/>
      <c r="ORI16" s="259" t="s">
        <v>55</v>
      </c>
      <c r="ORJ16" s="256" t="s">
        <v>76</v>
      </c>
      <c r="ORK16" s="256" t="s">
        <v>77</v>
      </c>
      <c r="ORL16" s="256" t="s">
        <v>78</v>
      </c>
      <c r="ORM16" s="256" t="s">
        <v>79</v>
      </c>
      <c r="ORN16" s="256" t="s">
        <v>80</v>
      </c>
      <c r="ORO16" s="58" t="s">
        <v>81</v>
      </c>
      <c r="ORP16" s="284"/>
      <c r="ORQ16" s="259" t="s">
        <v>55</v>
      </c>
      <c r="ORR16" s="256" t="s">
        <v>76</v>
      </c>
      <c r="ORS16" s="256" t="s">
        <v>77</v>
      </c>
      <c r="ORT16" s="256" t="s">
        <v>78</v>
      </c>
      <c r="ORU16" s="256" t="s">
        <v>79</v>
      </c>
      <c r="ORV16" s="256" t="s">
        <v>80</v>
      </c>
      <c r="ORW16" s="256" t="s">
        <v>81</v>
      </c>
      <c r="ORX16" s="283"/>
      <c r="ORY16" s="259" t="s">
        <v>55</v>
      </c>
      <c r="ORZ16" s="256" t="s">
        <v>76</v>
      </c>
      <c r="OSA16" s="256" t="s">
        <v>77</v>
      </c>
      <c r="OSB16" s="256" t="s">
        <v>78</v>
      </c>
      <c r="OSC16" s="256" t="s">
        <v>79</v>
      </c>
      <c r="OSD16" s="256" t="s">
        <v>80</v>
      </c>
      <c r="OSE16" s="58" t="s">
        <v>81</v>
      </c>
      <c r="OSF16" s="284"/>
      <c r="OSG16" s="259" t="s">
        <v>55</v>
      </c>
      <c r="OSH16" s="256" t="s">
        <v>76</v>
      </c>
      <c r="OSI16" s="256" t="s">
        <v>77</v>
      </c>
      <c r="OSJ16" s="256" t="s">
        <v>78</v>
      </c>
      <c r="OSK16" s="256" t="s">
        <v>79</v>
      </c>
      <c r="OSL16" s="256" t="s">
        <v>80</v>
      </c>
      <c r="OSM16" s="256" t="s">
        <v>81</v>
      </c>
      <c r="OSN16" s="283"/>
      <c r="OSO16" s="259" t="s">
        <v>55</v>
      </c>
      <c r="OSP16" s="256" t="s">
        <v>76</v>
      </c>
      <c r="OSQ16" s="256" t="s">
        <v>77</v>
      </c>
      <c r="OSR16" s="256" t="s">
        <v>78</v>
      </c>
      <c r="OSS16" s="256" t="s">
        <v>79</v>
      </c>
      <c r="OST16" s="256" t="s">
        <v>80</v>
      </c>
      <c r="OSU16" s="58" t="s">
        <v>81</v>
      </c>
      <c r="OSV16" s="284"/>
      <c r="OSW16" s="259" t="s">
        <v>55</v>
      </c>
      <c r="OSX16" s="256" t="s">
        <v>76</v>
      </c>
      <c r="OSY16" s="256" t="s">
        <v>77</v>
      </c>
      <c r="OSZ16" s="256" t="s">
        <v>78</v>
      </c>
      <c r="OTA16" s="256" t="s">
        <v>79</v>
      </c>
      <c r="OTB16" s="256" t="s">
        <v>80</v>
      </c>
      <c r="OTC16" s="256" t="s">
        <v>81</v>
      </c>
      <c r="OTD16" s="283"/>
      <c r="OTE16" s="259" t="s">
        <v>55</v>
      </c>
      <c r="OTF16" s="256" t="s">
        <v>76</v>
      </c>
      <c r="OTG16" s="256" t="s">
        <v>77</v>
      </c>
      <c r="OTH16" s="256" t="s">
        <v>78</v>
      </c>
      <c r="OTI16" s="256" t="s">
        <v>79</v>
      </c>
      <c r="OTJ16" s="256" t="s">
        <v>80</v>
      </c>
      <c r="OTK16" s="58" t="s">
        <v>81</v>
      </c>
      <c r="OTL16" s="284"/>
      <c r="OTM16" s="259" t="s">
        <v>55</v>
      </c>
      <c r="OTN16" s="256" t="s">
        <v>76</v>
      </c>
      <c r="OTO16" s="256" t="s">
        <v>77</v>
      </c>
      <c r="OTP16" s="256" t="s">
        <v>78</v>
      </c>
      <c r="OTQ16" s="256" t="s">
        <v>79</v>
      </c>
      <c r="OTR16" s="256" t="s">
        <v>80</v>
      </c>
      <c r="OTS16" s="256" t="s">
        <v>81</v>
      </c>
      <c r="OTT16" s="283"/>
      <c r="OTU16" s="259" t="s">
        <v>55</v>
      </c>
      <c r="OTV16" s="256" t="s">
        <v>76</v>
      </c>
      <c r="OTW16" s="256" t="s">
        <v>77</v>
      </c>
      <c r="OTX16" s="256" t="s">
        <v>78</v>
      </c>
      <c r="OTY16" s="256" t="s">
        <v>79</v>
      </c>
      <c r="OTZ16" s="256" t="s">
        <v>80</v>
      </c>
      <c r="OUA16" s="58" t="s">
        <v>81</v>
      </c>
      <c r="OUB16" s="284"/>
      <c r="OUC16" s="259" t="s">
        <v>55</v>
      </c>
      <c r="OUD16" s="256" t="s">
        <v>76</v>
      </c>
      <c r="OUE16" s="256" t="s">
        <v>77</v>
      </c>
      <c r="OUF16" s="256" t="s">
        <v>78</v>
      </c>
      <c r="OUG16" s="256" t="s">
        <v>79</v>
      </c>
      <c r="OUH16" s="256" t="s">
        <v>80</v>
      </c>
      <c r="OUI16" s="256" t="s">
        <v>81</v>
      </c>
      <c r="OUJ16" s="283"/>
      <c r="OUK16" s="259" t="s">
        <v>55</v>
      </c>
      <c r="OUL16" s="256" t="s">
        <v>76</v>
      </c>
      <c r="OUM16" s="256" t="s">
        <v>77</v>
      </c>
      <c r="OUN16" s="256" t="s">
        <v>78</v>
      </c>
      <c r="OUO16" s="256" t="s">
        <v>79</v>
      </c>
      <c r="OUP16" s="256" t="s">
        <v>80</v>
      </c>
      <c r="OUQ16" s="58" t="s">
        <v>81</v>
      </c>
      <c r="OUR16" s="284"/>
      <c r="OUS16" s="259" t="s">
        <v>55</v>
      </c>
      <c r="OUT16" s="256" t="s">
        <v>76</v>
      </c>
      <c r="OUU16" s="256" t="s">
        <v>77</v>
      </c>
      <c r="OUV16" s="256" t="s">
        <v>78</v>
      </c>
      <c r="OUW16" s="256" t="s">
        <v>79</v>
      </c>
      <c r="OUX16" s="256" t="s">
        <v>80</v>
      </c>
      <c r="OUY16" s="256" t="s">
        <v>81</v>
      </c>
      <c r="OUZ16" s="283"/>
      <c r="OVA16" s="259" t="s">
        <v>55</v>
      </c>
      <c r="OVB16" s="256" t="s">
        <v>76</v>
      </c>
      <c r="OVC16" s="256" t="s">
        <v>77</v>
      </c>
      <c r="OVD16" s="256" t="s">
        <v>78</v>
      </c>
      <c r="OVE16" s="256" t="s">
        <v>79</v>
      </c>
      <c r="OVF16" s="256" t="s">
        <v>80</v>
      </c>
      <c r="OVG16" s="58" t="s">
        <v>81</v>
      </c>
      <c r="OVH16" s="284"/>
      <c r="OVI16" s="259" t="s">
        <v>55</v>
      </c>
      <c r="OVJ16" s="256" t="s">
        <v>76</v>
      </c>
      <c r="OVK16" s="256" t="s">
        <v>77</v>
      </c>
      <c r="OVL16" s="256" t="s">
        <v>78</v>
      </c>
      <c r="OVM16" s="256" t="s">
        <v>79</v>
      </c>
      <c r="OVN16" s="256" t="s">
        <v>80</v>
      </c>
      <c r="OVO16" s="256" t="s">
        <v>81</v>
      </c>
      <c r="OVP16" s="283"/>
      <c r="OVQ16" s="259" t="s">
        <v>55</v>
      </c>
      <c r="OVR16" s="256" t="s">
        <v>76</v>
      </c>
      <c r="OVS16" s="256" t="s">
        <v>77</v>
      </c>
      <c r="OVT16" s="256" t="s">
        <v>78</v>
      </c>
      <c r="OVU16" s="256" t="s">
        <v>79</v>
      </c>
      <c r="OVV16" s="256" t="s">
        <v>80</v>
      </c>
      <c r="OVW16" s="58" t="s">
        <v>81</v>
      </c>
      <c r="OVX16" s="284"/>
      <c r="OVY16" s="259" t="s">
        <v>55</v>
      </c>
      <c r="OVZ16" s="256" t="s">
        <v>76</v>
      </c>
      <c r="OWA16" s="256" t="s">
        <v>77</v>
      </c>
      <c r="OWB16" s="256" t="s">
        <v>78</v>
      </c>
      <c r="OWC16" s="256" t="s">
        <v>79</v>
      </c>
      <c r="OWD16" s="256" t="s">
        <v>80</v>
      </c>
      <c r="OWE16" s="256" t="s">
        <v>81</v>
      </c>
      <c r="OWF16" s="283"/>
      <c r="OWG16" s="259" t="s">
        <v>55</v>
      </c>
      <c r="OWH16" s="256" t="s">
        <v>76</v>
      </c>
      <c r="OWI16" s="256" t="s">
        <v>77</v>
      </c>
      <c r="OWJ16" s="256" t="s">
        <v>78</v>
      </c>
      <c r="OWK16" s="256" t="s">
        <v>79</v>
      </c>
      <c r="OWL16" s="256" t="s">
        <v>80</v>
      </c>
      <c r="OWM16" s="58" t="s">
        <v>81</v>
      </c>
      <c r="OWN16" s="284"/>
      <c r="OWO16" s="259" t="s">
        <v>55</v>
      </c>
      <c r="OWP16" s="256" t="s">
        <v>76</v>
      </c>
      <c r="OWQ16" s="256" t="s">
        <v>77</v>
      </c>
      <c r="OWR16" s="256" t="s">
        <v>78</v>
      </c>
      <c r="OWS16" s="256" t="s">
        <v>79</v>
      </c>
      <c r="OWT16" s="256" t="s">
        <v>80</v>
      </c>
      <c r="OWU16" s="256" t="s">
        <v>81</v>
      </c>
      <c r="OWV16" s="283"/>
      <c r="OWW16" s="259" t="s">
        <v>55</v>
      </c>
      <c r="OWX16" s="256" t="s">
        <v>76</v>
      </c>
      <c r="OWY16" s="256" t="s">
        <v>77</v>
      </c>
      <c r="OWZ16" s="256" t="s">
        <v>78</v>
      </c>
      <c r="OXA16" s="256" t="s">
        <v>79</v>
      </c>
      <c r="OXB16" s="256" t="s">
        <v>80</v>
      </c>
      <c r="OXC16" s="58" t="s">
        <v>81</v>
      </c>
      <c r="OXD16" s="284"/>
      <c r="OXE16" s="259" t="s">
        <v>55</v>
      </c>
      <c r="OXF16" s="256" t="s">
        <v>76</v>
      </c>
      <c r="OXG16" s="256" t="s">
        <v>77</v>
      </c>
      <c r="OXH16" s="256" t="s">
        <v>78</v>
      </c>
      <c r="OXI16" s="256" t="s">
        <v>79</v>
      </c>
      <c r="OXJ16" s="256" t="s">
        <v>80</v>
      </c>
      <c r="OXK16" s="256" t="s">
        <v>81</v>
      </c>
      <c r="OXL16" s="283"/>
      <c r="OXM16" s="259" t="s">
        <v>55</v>
      </c>
      <c r="OXN16" s="256" t="s">
        <v>76</v>
      </c>
      <c r="OXO16" s="256" t="s">
        <v>77</v>
      </c>
      <c r="OXP16" s="256" t="s">
        <v>78</v>
      </c>
      <c r="OXQ16" s="256" t="s">
        <v>79</v>
      </c>
      <c r="OXR16" s="256" t="s">
        <v>80</v>
      </c>
      <c r="OXS16" s="58" t="s">
        <v>81</v>
      </c>
      <c r="OXT16" s="284"/>
      <c r="OXU16" s="259" t="s">
        <v>55</v>
      </c>
      <c r="OXV16" s="256" t="s">
        <v>76</v>
      </c>
      <c r="OXW16" s="256" t="s">
        <v>77</v>
      </c>
      <c r="OXX16" s="256" t="s">
        <v>78</v>
      </c>
      <c r="OXY16" s="256" t="s">
        <v>79</v>
      </c>
      <c r="OXZ16" s="256" t="s">
        <v>80</v>
      </c>
      <c r="OYA16" s="256" t="s">
        <v>81</v>
      </c>
      <c r="OYB16" s="283"/>
      <c r="OYC16" s="259" t="s">
        <v>55</v>
      </c>
      <c r="OYD16" s="256" t="s">
        <v>76</v>
      </c>
      <c r="OYE16" s="256" t="s">
        <v>77</v>
      </c>
      <c r="OYF16" s="256" t="s">
        <v>78</v>
      </c>
      <c r="OYG16" s="256" t="s">
        <v>79</v>
      </c>
      <c r="OYH16" s="256" t="s">
        <v>80</v>
      </c>
      <c r="OYI16" s="58" t="s">
        <v>81</v>
      </c>
      <c r="OYJ16" s="284"/>
      <c r="OYK16" s="259" t="s">
        <v>55</v>
      </c>
      <c r="OYL16" s="256" t="s">
        <v>76</v>
      </c>
      <c r="OYM16" s="256" t="s">
        <v>77</v>
      </c>
      <c r="OYN16" s="256" t="s">
        <v>78</v>
      </c>
      <c r="OYO16" s="256" t="s">
        <v>79</v>
      </c>
      <c r="OYP16" s="256" t="s">
        <v>80</v>
      </c>
      <c r="OYQ16" s="256" t="s">
        <v>81</v>
      </c>
      <c r="OYR16" s="283"/>
      <c r="OYS16" s="259" t="s">
        <v>55</v>
      </c>
      <c r="OYT16" s="256" t="s">
        <v>76</v>
      </c>
      <c r="OYU16" s="256" t="s">
        <v>77</v>
      </c>
      <c r="OYV16" s="256" t="s">
        <v>78</v>
      </c>
      <c r="OYW16" s="256" t="s">
        <v>79</v>
      </c>
      <c r="OYX16" s="256" t="s">
        <v>80</v>
      </c>
      <c r="OYY16" s="58" t="s">
        <v>81</v>
      </c>
      <c r="OYZ16" s="284"/>
      <c r="OZA16" s="259" t="s">
        <v>55</v>
      </c>
      <c r="OZB16" s="256" t="s">
        <v>76</v>
      </c>
      <c r="OZC16" s="256" t="s">
        <v>77</v>
      </c>
      <c r="OZD16" s="256" t="s">
        <v>78</v>
      </c>
      <c r="OZE16" s="256" t="s">
        <v>79</v>
      </c>
      <c r="OZF16" s="256" t="s">
        <v>80</v>
      </c>
      <c r="OZG16" s="256" t="s">
        <v>81</v>
      </c>
      <c r="OZH16" s="283"/>
      <c r="OZI16" s="259" t="s">
        <v>55</v>
      </c>
      <c r="OZJ16" s="256" t="s">
        <v>76</v>
      </c>
      <c r="OZK16" s="256" t="s">
        <v>77</v>
      </c>
      <c r="OZL16" s="256" t="s">
        <v>78</v>
      </c>
      <c r="OZM16" s="256" t="s">
        <v>79</v>
      </c>
      <c r="OZN16" s="256" t="s">
        <v>80</v>
      </c>
      <c r="OZO16" s="58" t="s">
        <v>81</v>
      </c>
      <c r="OZP16" s="284"/>
      <c r="OZQ16" s="259" t="s">
        <v>55</v>
      </c>
      <c r="OZR16" s="256" t="s">
        <v>76</v>
      </c>
      <c r="OZS16" s="256" t="s">
        <v>77</v>
      </c>
      <c r="OZT16" s="256" t="s">
        <v>78</v>
      </c>
      <c r="OZU16" s="256" t="s">
        <v>79</v>
      </c>
      <c r="OZV16" s="256" t="s">
        <v>80</v>
      </c>
      <c r="OZW16" s="256" t="s">
        <v>81</v>
      </c>
      <c r="OZX16" s="283"/>
      <c r="OZY16" s="259" t="s">
        <v>55</v>
      </c>
      <c r="OZZ16" s="256" t="s">
        <v>76</v>
      </c>
      <c r="PAA16" s="256" t="s">
        <v>77</v>
      </c>
      <c r="PAB16" s="256" t="s">
        <v>78</v>
      </c>
      <c r="PAC16" s="256" t="s">
        <v>79</v>
      </c>
      <c r="PAD16" s="256" t="s">
        <v>80</v>
      </c>
      <c r="PAE16" s="58" t="s">
        <v>81</v>
      </c>
      <c r="PAF16" s="284"/>
      <c r="PAG16" s="259" t="s">
        <v>55</v>
      </c>
      <c r="PAH16" s="256" t="s">
        <v>76</v>
      </c>
      <c r="PAI16" s="256" t="s">
        <v>77</v>
      </c>
      <c r="PAJ16" s="256" t="s">
        <v>78</v>
      </c>
      <c r="PAK16" s="256" t="s">
        <v>79</v>
      </c>
      <c r="PAL16" s="256" t="s">
        <v>80</v>
      </c>
      <c r="PAM16" s="256" t="s">
        <v>81</v>
      </c>
      <c r="PAN16" s="283"/>
      <c r="PAO16" s="259" t="s">
        <v>55</v>
      </c>
      <c r="PAP16" s="256" t="s">
        <v>76</v>
      </c>
      <c r="PAQ16" s="256" t="s">
        <v>77</v>
      </c>
      <c r="PAR16" s="256" t="s">
        <v>78</v>
      </c>
      <c r="PAS16" s="256" t="s">
        <v>79</v>
      </c>
      <c r="PAT16" s="256" t="s">
        <v>80</v>
      </c>
      <c r="PAU16" s="58" t="s">
        <v>81</v>
      </c>
      <c r="PAV16" s="284"/>
      <c r="PAW16" s="259" t="s">
        <v>55</v>
      </c>
      <c r="PAX16" s="256" t="s">
        <v>76</v>
      </c>
      <c r="PAY16" s="256" t="s">
        <v>77</v>
      </c>
      <c r="PAZ16" s="256" t="s">
        <v>78</v>
      </c>
      <c r="PBA16" s="256" t="s">
        <v>79</v>
      </c>
      <c r="PBB16" s="256" t="s">
        <v>80</v>
      </c>
      <c r="PBC16" s="256" t="s">
        <v>81</v>
      </c>
      <c r="PBD16" s="283"/>
      <c r="PBE16" s="259" t="s">
        <v>55</v>
      </c>
      <c r="PBF16" s="256" t="s">
        <v>76</v>
      </c>
      <c r="PBG16" s="256" t="s">
        <v>77</v>
      </c>
      <c r="PBH16" s="256" t="s">
        <v>78</v>
      </c>
      <c r="PBI16" s="256" t="s">
        <v>79</v>
      </c>
      <c r="PBJ16" s="256" t="s">
        <v>80</v>
      </c>
      <c r="PBK16" s="58" t="s">
        <v>81</v>
      </c>
      <c r="PBL16" s="284"/>
      <c r="PBM16" s="259" t="s">
        <v>55</v>
      </c>
      <c r="PBN16" s="256" t="s">
        <v>76</v>
      </c>
      <c r="PBO16" s="256" t="s">
        <v>77</v>
      </c>
      <c r="PBP16" s="256" t="s">
        <v>78</v>
      </c>
      <c r="PBQ16" s="256" t="s">
        <v>79</v>
      </c>
      <c r="PBR16" s="256" t="s">
        <v>80</v>
      </c>
      <c r="PBS16" s="256" t="s">
        <v>81</v>
      </c>
      <c r="PBT16" s="283"/>
      <c r="PBU16" s="259" t="s">
        <v>55</v>
      </c>
      <c r="PBV16" s="256" t="s">
        <v>76</v>
      </c>
      <c r="PBW16" s="256" t="s">
        <v>77</v>
      </c>
      <c r="PBX16" s="256" t="s">
        <v>78</v>
      </c>
      <c r="PBY16" s="256" t="s">
        <v>79</v>
      </c>
      <c r="PBZ16" s="256" t="s">
        <v>80</v>
      </c>
      <c r="PCA16" s="58" t="s">
        <v>81</v>
      </c>
      <c r="PCB16" s="284"/>
      <c r="PCC16" s="259" t="s">
        <v>55</v>
      </c>
      <c r="PCD16" s="256" t="s">
        <v>76</v>
      </c>
      <c r="PCE16" s="256" t="s">
        <v>77</v>
      </c>
      <c r="PCF16" s="256" t="s">
        <v>78</v>
      </c>
      <c r="PCG16" s="256" t="s">
        <v>79</v>
      </c>
      <c r="PCH16" s="256" t="s">
        <v>80</v>
      </c>
      <c r="PCI16" s="256" t="s">
        <v>81</v>
      </c>
      <c r="PCJ16" s="283"/>
      <c r="PCK16" s="259" t="s">
        <v>55</v>
      </c>
      <c r="PCL16" s="256" t="s">
        <v>76</v>
      </c>
      <c r="PCM16" s="256" t="s">
        <v>77</v>
      </c>
      <c r="PCN16" s="256" t="s">
        <v>78</v>
      </c>
      <c r="PCO16" s="256" t="s">
        <v>79</v>
      </c>
      <c r="PCP16" s="256" t="s">
        <v>80</v>
      </c>
      <c r="PCQ16" s="58" t="s">
        <v>81</v>
      </c>
      <c r="PCR16" s="284"/>
      <c r="PCS16" s="259" t="s">
        <v>55</v>
      </c>
      <c r="PCT16" s="256" t="s">
        <v>76</v>
      </c>
      <c r="PCU16" s="256" t="s">
        <v>77</v>
      </c>
      <c r="PCV16" s="256" t="s">
        <v>78</v>
      </c>
      <c r="PCW16" s="256" t="s">
        <v>79</v>
      </c>
      <c r="PCX16" s="256" t="s">
        <v>80</v>
      </c>
      <c r="PCY16" s="256" t="s">
        <v>81</v>
      </c>
      <c r="PCZ16" s="283"/>
      <c r="PDA16" s="259" t="s">
        <v>55</v>
      </c>
      <c r="PDB16" s="256" t="s">
        <v>76</v>
      </c>
      <c r="PDC16" s="256" t="s">
        <v>77</v>
      </c>
      <c r="PDD16" s="256" t="s">
        <v>78</v>
      </c>
      <c r="PDE16" s="256" t="s">
        <v>79</v>
      </c>
      <c r="PDF16" s="256" t="s">
        <v>80</v>
      </c>
      <c r="PDG16" s="58" t="s">
        <v>81</v>
      </c>
      <c r="PDH16" s="284"/>
      <c r="PDI16" s="259" t="s">
        <v>55</v>
      </c>
      <c r="PDJ16" s="256" t="s">
        <v>76</v>
      </c>
      <c r="PDK16" s="256" t="s">
        <v>77</v>
      </c>
      <c r="PDL16" s="256" t="s">
        <v>78</v>
      </c>
      <c r="PDM16" s="256" t="s">
        <v>79</v>
      </c>
      <c r="PDN16" s="256" t="s">
        <v>80</v>
      </c>
      <c r="PDO16" s="256" t="s">
        <v>81</v>
      </c>
      <c r="PDP16" s="283"/>
      <c r="PDQ16" s="259" t="s">
        <v>55</v>
      </c>
      <c r="PDR16" s="256" t="s">
        <v>76</v>
      </c>
      <c r="PDS16" s="256" t="s">
        <v>77</v>
      </c>
      <c r="PDT16" s="256" t="s">
        <v>78</v>
      </c>
      <c r="PDU16" s="256" t="s">
        <v>79</v>
      </c>
      <c r="PDV16" s="256" t="s">
        <v>80</v>
      </c>
      <c r="PDW16" s="58" t="s">
        <v>81</v>
      </c>
      <c r="PDX16" s="284"/>
      <c r="PDY16" s="259" t="s">
        <v>55</v>
      </c>
      <c r="PDZ16" s="256" t="s">
        <v>76</v>
      </c>
      <c r="PEA16" s="256" t="s">
        <v>77</v>
      </c>
      <c r="PEB16" s="256" t="s">
        <v>78</v>
      </c>
      <c r="PEC16" s="256" t="s">
        <v>79</v>
      </c>
      <c r="PED16" s="256" t="s">
        <v>80</v>
      </c>
      <c r="PEE16" s="256" t="s">
        <v>81</v>
      </c>
      <c r="PEF16" s="283"/>
      <c r="PEG16" s="259" t="s">
        <v>55</v>
      </c>
      <c r="PEH16" s="256" t="s">
        <v>76</v>
      </c>
      <c r="PEI16" s="256" t="s">
        <v>77</v>
      </c>
      <c r="PEJ16" s="256" t="s">
        <v>78</v>
      </c>
      <c r="PEK16" s="256" t="s">
        <v>79</v>
      </c>
      <c r="PEL16" s="256" t="s">
        <v>80</v>
      </c>
      <c r="PEM16" s="58" t="s">
        <v>81</v>
      </c>
      <c r="PEN16" s="284"/>
      <c r="PEO16" s="259" t="s">
        <v>55</v>
      </c>
      <c r="PEP16" s="256" t="s">
        <v>76</v>
      </c>
      <c r="PEQ16" s="256" t="s">
        <v>77</v>
      </c>
      <c r="PER16" s="256" t="s">
        <v>78</v>
      </c>
      <c r="PES16" s="256" t="s">
        <v>79</v>
      </c>
      <c r="PET16" s="256" t="s">
        <v>80</v>
      </c>
      <c r="PEU16" s="256" t="s">
        <v>81</v>
      </c>
      <c r="PEV16" s="283"/>
      <c r="PEW16" s="259" t="s">
        <v>55</v>
      </c>
      <c r="PEX16" s="256" t="s">
        <v>76</v>
      </c>
      <c r="PEY16" s="256" t="s">
        <v>77</v>
      </c>
      <c r="PEZ16" s="256" t="s">
        <v>78</v>
      </c>
      <c r="PFA16" s="256" t="s">
        <v>79</v>
      </c>
      <c r="PFB16" s="256" t="s">
        <v>80</v>
      </c>
      <c r="PFC16" s="58" t="s">
        <v>81</v>
      </c>
      <c r="PFD16" s="284"/>
      <c r="PFE16" s="259" t="s">
        <v>55</v>
      </c>
      <c r="PFF16" s="256" t="s">
        <v>76</v>
      </c>
      <c r="PFG16" s="256" t="s">
        <v>77</v>
      </c>
      <c r="PFH16" s="256" t="s">
        <v>78</v>
      </c>
      <c r="PFI16" s="256" t="s">
        <v>79</v>
      </c>
      <c r="PFJ16" s="256" t="s">
        <v>80</v>
      </c>
      <c r="PFK16" s="256" t="s">
        <v>81</v>
      </c>
      <c r="PFL16" s="283"/>
      <c r="PFM16" s="259" t="s">
        <v>55</v>
      </c>
      <c r="PFN16" s="256" t="s">
        <v>76</v>
      </c>
      <c r="PFO16" s="256" t="s">
        <v>77</v>
      </c>
      <c r="PFP16" s="256" t="s">
        <v>78</v>
      </c>
      <c r="PFQ16" s="256" t="s">
        <v>79</v>
      </c>
      <c r="PFR16" s="256" t="s">
        <v>80</v>
      </c>
      <c r="PFS16" s="58" t="s">
        <v>81</v>
      </c>
      <c r="PFT16" s="284"/>
      <c r="PFU16" s="259" t="s">
        <v>55</v>
      </c>
      <c r="PFV16" s="256" t="s">
        <v>76</v>
      </c>
      <c r="PFW16" s="256" t="s">
        <v>77</v>
      </c>
      <c r="PFX16" s="256" t="s">
        <v>78</v>
      </c>
      <c r="PFY16" s="256" t="s">
        <v>79</v>
      </c>
      <c r="PFZ16" s="256" t="s">
        <v>80</v>
      </c>
      <c r="PGA16" s="256" t="s">
        <v>81</v>
      </c>
      <c r="PGB16" s="283"/>
      <c r="PGC16" s="259" t="s">
        <v>55</v>
      </c>
      <c r="PGD16" s="256" t="s">
        <v>76</v>
      </c>
      <c r="PGE16" s="256" t="s">
        <v>77</v>
      </c>
      <c r="PGF16" s="256" t="s">
        <v>78</v>
      </c>
      <c r="PGG16" s="256" t="s">
        <v>79</v>
      </c>
      <c r="PGH16" s="256" t="s">
        <v>80</v>
      </c>
      <c r="PGI16" s="58" t="s">
        <v>81</v>
      </c>
      <c r="PGJ16" s="284"/>
      <c r="PGK16" s="259" t="s">
        <v>55</v>
      </c>
      <c r="PGL16" s="256" t="s">
        <v>76</v>
      </c>
      <c r="PGM16" s="256" t="s">
        <v>77</v>
      </c>
      <c r="PGN16" s="256" t="s">
        <v>78</v>
      </c>
      <c r="PGO16" s="256" t="s">
        <v>79</v>
      </c>
      <c r="PGP16" s="256" t="s">
        <v>80</v>
      </c>
      <c r="PGQ16" s="256" t="s">
        <v>81</v>
      </c>
      <c r="PGR16" s="283"/>
      <c r="PGS16" s="259" t="s">
        <v>55</v>
      </c>
      <c r="PGT16" s="256" t="s">
        <v>76</v>
      </c>
      <c r="PGU16" s="256" t="s">
        <v>77</v>
      </c>
      <c r="PGV16" s="256" t="s">
        <v>78</v>
      </c>
      <c r="PGW16" s="256" t="s">
        <v>79</v>
      </c>
      <c r="PGX16" s="256" t="s">
        <v>80</v>
      </c>
      <c r="PGY16" s="58" t="s">
        <v>81</v>
      </c>
      <c r="PGZ16" s="284"/>
      <c r="PHA16" s="259" t="s">
        <v>55</v>
      </c>
      <c r="PHB16" s="256" t="s">
        <v>76</v>
      </c>
      <c r="PHC16" s="256" t="s">
        <v>77</v>
      </c>
      <c r="PHD16" s="256" t="s">
        <v>78</v>
      </c>
      <c r="PHE16" s="256" t="s">
        <v>79</v>
      </c>
      <c r="PHF16" s="256" t="s">
        <v>80</v>
      </c>
      <c r="PHG16" s="256" t="s">
        <v>81</v>
      </c>
      <c r="PHH16" s="283"/>
      <c r="PHI16" s="259" t="s">
        <v>55</v>
      </c>
      <c r="PHJ16" s="256" t="s">
        <v>76</v>
      </c>
      <c r="PHK16" s="256" t="s">
        <v>77</v>
      </c>
      <c r="PHL16" s="256" t="s">
        <v>78</v>
      </c>
      <c r="PHM16" s="256" t="s">
        <v>79</v>
      </c>
      <c r="PHN16" s="256" t="s">
        <v>80</v>
      </c>
      <c r="PHO16" s="58" t="s">
        <v>81</v>
      </c>
      <c r="PHP16" s="284"/>
      <c r="PHQ16" s="259" t="s">
        <v>55</v>
      </c>
      <c r="PHR16" s="256" t="s">
        <v>76</v>
      </c>
      <c r="PHS16" s="256" t="s">
        <v>77</v>
      </c>
      <c r="PHT16" s="256" t="s">
        <v>78</v>
      </c>
      <c r="PHU16" s="256" t="s">
        <v>79</v>
      </c>
      <c r="PHV16" s="256" t="s">
        <v>80</v>
      </c>
      <c r="PHW16" s="256" t="s">
        <v>81</v>
      </c>
      <c r="PHX16" s="283"/>
      <c r="PHY16" s="259" t="s">
        <v>55</v>
      </c>
      <c r="PHZ16" s="256" t="s">
        <v>76</v>
      </c>
      <c r="PIA16" s="256" t="s">
        <v>77</v>
      </c>
      <c r="PIB16" s="256" t="s">
        <v>78</v>
      </c>
      <c r="PIC16" s="256" t="s">
        <v>79</v>
      </c>
      <c r="PID16" s="256" t="s">
        <v>80</v>
      </c>
      <c r="PIE16" s="58" t="s">
        <v>81</v>
      </c>
      <c r="PIF16" s="284"/>
      <c r="PIG16" s="259" t="s">
        <v>55</v>
      </c>
      <c r="PIH16" s="256" t="s">
        <v>76</v>
      </c>
      <c r="PII16" s="256" t="s">
        <v>77</v>
      </c>
      <c r="PIJ16" s="256" t="s">
        <v>78</v>
      </c>
      <c r="PIK16" s="256" t="s">
        <v>79</v>
      </c>
      <c r="PIL16" s="256" t="s">
        <v>80</v>
      </c>
      <c r="PIM16" s="256" t="s">
        <v>81</v>
      </c>
      <c r="PIN16" s="283"/>
      <c r="PIO16" s="259" t="s">
        <v>55</v>
      </c>
      <c r="PIP16" s="256" t="s">
        <v>76</v>
      </c>
      <c r="PIQ16" s="256" t="s">
        <v>77</v>
      </c>
      <c r="PIR16" s="256" t="s">
        <v>78</v>
      </c>
      <c r="PIS16" s="256" t="s">
        <v>79</v>
      </c>
      <c r="PIT16" s="256" t="s">
        <v>80</v>
      </c>
      <c r="PIU16" s="58" t="s">
        <v>81</v>
      </c>
      <c r="PIV16" s="284"/>
      <c r="PIW16" s="259" t="s">
        <v>55</v>
      </c>
      <c r="PIX16" s="256" t="s">
        <v>76</v>
      </c>
      <c r="PIY16" s="256" t="s">
        <v>77</v>
      </c>
      <c r="PIZ16" s="256" t="s">
        <v>78</v>
      </c>
      <c r="PJA16" s="256" t="s">
        <v>79</v>
      </c>
      <c r="PJB16" s="256" t="s">
        <v>80</v>
      </c>
      <c r="PJC16" s="256" t="s">
        <v>81</v>
      </c>
      <c r="PJD16" s="283"/>
      <c r="PJE16" s="259" t="s">
        <v>55</v>
      </c>
      <c r="PJF16" s="256" t="s">
        <v>76</v>
      </c>
      <c r="PJG16" s="256" t="s">
        <v>77</v>
      </c>
      <c r="PJH16" s="256" t="s">
        <v>78</v>
      </c>
      <c r="PJI16" s="256" t="s">
        <v>79</v>
      </c>
      <c r="PJJ16" s="256" t="s">
        <v>80</v>
      </c>
      <c r="PJK16" s="58" t="s">
        <v>81</v>
      </c>
      <c r="PJL16" s="284"/>
      <c r="PJM16" s="259" t="s">
        <v>55</v>
      </c>
      <c r="PJN16" s="256" t="s">
        <v>76</v>
      </c>
      <c r="PJO16" s="256" t="s">
        <v>77</v>
      </c>
      <c r="PJP16" s="256" t="s">
        <v>78</v>
      </c>
      <c r="PJQ16" s="256" t="s">
        <v>79</v>
      </c>
      <c r="PJR16" s="256" t="s">
        <v>80</v>
      </c>
      <c r="PJS16" s="256" t="s">
        <v>81</v>
      </c>
      <c r="PJT16" s="283"/>
      <c r="PJU16" s="259" t="s">
        <v>55</v>
      </c>
      <c r="PJV16" s="256" t="s">
        <v>76</v>
      </c>
      <c r="PJW16" s="256" t="s">
        <v>77</v>
      </c>
      <c r="PJX16" s="256" t="s">
        <v>78</v>
      </c>
      <c r="PJY16" s="256" t="s">
        <v>79</v>
      </c>
      <c r="PJZ16" s="256" t="s">
        <v>80</v>
      </c>
      <c r="PKA16" s="58" t="s">
        <v>81</v>
      </c>
      <c r="PKB16" s="284"/>
      <c r="PKC16" s="259" t="s">
        <v>55</v>
      </c>
      <c r="PKD16" s="256" t="s">
        <v>76</v>
      </c>
      <c r="PKE16" s="256" t="s">
        <v>77</v>
      </c>
      <c r="PKF16" s="256" t="s">
        <v>78</v>
      </c>
      <c r="PKG16" s="256" t="s">
        <v>79</v>
      </c>
      <c r="PKH16" s="256" t="s">
        <v>80</v>
      </c>
      <c r="PKI16" s="256" t="s">
        <v>81</v>
      </c>
      <c r="PKJ16" s="283"/>
      <c r="PKK16" s="259" t="s">
        <v>55</v>
      </c>
      <c r="PKL16" s="256" t="s">
        <v>76</v>
      </c>
      <c r="PKM16" s="256" t="s">
        <v>77</v>
      </c>
      <c r="PKN16" s="256" t="s">
        <v>78</v>
      </c>
      <c r="PKO16" s="256" t="s">
        <v>79</v>
      </c>
      <c r="PKP16" s="256" t="s">
        <v>80</v>
      </c>
      <c r="PKQ16" s="58" t="s">
        <v>81</v>
      </c>
      <c r="PKR16" s="284"/>
      <c r="PKS16" s="259" t="s">
        <v>55</v>
      </c>
      <c r="PKT16" s="256" t="s">
        <v>76</v>
      </c>
      <c r="PKU16" s="256" t="s">
        <v>77</v>
      </c>
      <c r="PKV16" s="256" t="s">
        <v>78</v>
      </c>
      <c r="PKW16" s="256" t="s">
        <v>79</v>
      </c>
      <c r="PKX16" s="256" t="s">
        <v>80</v>
      </c>
      <c r="PKY16" s="256" t="s">
        <v>81</v>
      </c>
      <c r="PKZ16" s="283"/>
      <c r="PLA16" s="259" t="s">
        <v>55</v>
      </c>
      <c r="PLB16" s="256" t="s">
        <v>76</v>
      </c>
      <c r="PLC16" s="256" t="s">
        <v>77</v>
      </c>
      <c r="PLD16" s="256" t="s">
        <v>78</v>
      </c>
      <c r="PLE16" s="256" t="s">
        <v>79</v>
      </c>
      <c r="PLF16" s="256" t="s">
        <v>80</v>
      </c>
      <c r="PLG16" s="58" t="s">
        <v>81</v>
      </c>
      <c r="PLH16" s="284"/>
      <c r="PLI16" s="259" t="s">
        <v>55</v>
      </c>
      <c r="PLJ16" s="256" t="s">
        <v>76</v>
      </c>
      <c r="PLK16" s="256" t="s">
        <v>77</v>
      </c>
      <c r="PLL16" s="256" t="s">
        <v>78</v>
      </c>
      <c r="PLM16" s="256" t="s">
        <v>79</v>
      </c>
      <c r="PLN16" s="256" t="s">
        <v>80</v>
      </c>
      <c r="PLO16" s="256" t="s">
        <v>81</v>
      </c>
      <c r="PLP16" s="283"/>
      <c r="PLQ16" s="259" t="s">
        <v>55</v>
      </c>
      <c r="PLR16" s="256" t="s">
        <v>76</v>
      </c>
      <c r="PLS16" s="256" t="s">
        <v>77</v>
      </c>
      <c r="PLT16" s="256" t="s">
        <v>78</v>
      </c>
      <c r="PLU16" s="256" t="s">
        <v>79</v>
      </c>
      <c r="PLV16" s="256" t="s">
        <v>80</v>
      </c>
      <c r="PLW16" s="58" t="s">
        <v>81</v>
      </c>
      <c r="PLX16" s="284"/>
      <c r="PLY16" s="259" t="s">
        <v>55</v>
      </c>
      <c r="PLZ16" s="256" t="s">
        <v>76</v>
      </c>
      <c r="PMA16" s="256" t="s">
        <v>77</v>
      </c>
      <c r="PMB16" s="256" t="s">
        <v>78</v>
      </c>
      <c r="PMC16" s="256" t="s">
        <v>79</v>
      </c>
      <c r="PMD16" s="256" t="s">
        <v>80</v>
      </c>
      <c r="PME16" s="256" t="s">
        <v>81</v>
      </c>
      <c r="PMF16" s="283"/>
      <c r="PMG16" s="259" t="s">
        <v>55</v>
      </c>
      <c r="PMH16" s="256" t="s">
        <v>76</v>
      </c>
      <c r="PMI16" s="256" t="s">
        <v>77</v>
      </c>
      <c r="PMJ16" s="256" t="s">
        <v>78</v>
      </c>
      <c r="PMK16" s="256" t="s">
        <v>79</v>
      </c>
      <c r="PML16" s="256" t="s">
        <v>80</v>
      </c>
      <c r="PMM16" s="58" t="s">
        <v>81</v>
      </c>
      <c r="PMN16" s="284"/>
      <c r="PMO16" s="259" t="s">
        <v>55</v>
      </c>
      <c r="PMP16" s="256" t="s">
        <v>76</v>
      </c>
      <c r="PMQ16" s="256" t="s">
        <v>77</v>
      </c>
      <c r="PMR16" s="256" t="s">
        <v>78</v>
      </c>
      <c r="PMS16" s="256" t="s">
        <v>79</v>
      </c>
      <c r="PMT16" s="256" t="s">
        <v>80</v>
      </c>
      <c r="PMU16" s="256" t="s">
        <v>81</v>
      </c>
      <c r="PMV16" s="283"/>
      <c r="PMW16" s="259" t="s">
        <v>55</v>
      </c>
      <c r="PMX16" s="256" t="s">
        <v>76</v>
      </c>
      <c r="PMY16" s="256" t="s">
        <v>77</v>
      </c>
      <c r="PMZ16" s="256" t="s">
        <v>78</v>
      </c>
      <c r="PNA16" s="256" t="s">
        <v>79</v>
      </c>
      <c r="PNB16" s="256" t="s">
        <v>80</v>
      </c>
      <c r="PNC16" s="58" t="s">
        <v>81</v>
      </c>
      <c r="PND16" s="284"/>
      <c r="PNE16" s="259" t="s">
        <v>55</v>
      </c>
      <c r="PNF16" s="256" t="s">
        <v>76</v>
      </c>
      <c r="PNG16" s="256" t="s">
        <v>77</v>
      </c>
      <c r="PNH16" s="256" t="s">
        <v>78</v>
      </c>
      <c r="PNI16" s="256" t="s">
        <v>79</v>
      </c>
      <c r="PNJ16" s="256" t="s">
        <v>80</v>
      </c>
      <c r="PNK16" s="256" t="s">
        <v>81</v>
      </c>
      <c r="PNL16" s="283"/>
      <c r="PNM16" s="259" t="s">
        <v>55</v>
      </c>
      <c r="PNN16" s="256" t="s">
        <v>76</v>
      </c>
      <c r="PNO16" s="256" t="s">
        <v>77</v>
      </c>
      <c r="PNP16" s="256" t="s">
        <v>78</v>
      </c>
      <c r="PNQ16" s="256" t="s">
        <v>79</v>
      </c>
      <c r="PNR16" s="256" t="s">
        <v>80</v>
      </c>
      <c r="PNS16" s="58" t="s">
        <v>81</v>
      </c>
      <c r="PNT16" s="284"/>
      <c r="PNU16" s="259" t="s">
        <v>55</v>
      </c>
      <c r="PNV16" s="256" t="s">
        <v>76</v>
      </c>
      <c r="PNW16" s="256" t="s">
        <v>77</v>
      </c>
      <c r="PNX16" s="256" t="s">
        <v>78</v>
      </c>
      <c r="PNY16" s="256" t="s">
        <v>79</v>
      </c>
      <c r="PNZ16" s="256" t="s">
        <v>80</v>
      </c>
      <c r="POA16" s="256" t="s">
        <v>81</v>
      </c>
      <c r="POB16" s="283"/>
      <c r="POC16" s="259" t="s">
        <v>55</v>
      </c>
      <c r="POD16" s="256" t="s">
        <v>76</v>
      </c>
      <c r="POE16" s="256" t="s">
        <v>77</v>
      </c>
      <c r="POF16" s="256" t="s">
        <v>78</v>
      </c>
      <c r="POG16" s="256" t="s">
        <v>79</v>
      </c>
      <c r="POH16" s="256" t="s">
        <v>80</v>
      </c>
      <c r="POI16" s="58" t="s">
        <v>81</v>
      </c>
      <c r="POJ16" s="284"/>
      <c r="POK16" s="259" t="s">
        <v>55</v>
      </c>
      <c r="POL16" s="256" t="s">
        <v>76</v>
      </c>
      <c r="POM16" s="256" t="s">
        <v>77</v>
      </c>
      <c r="PON16" s="256" t="s">
        <v>78</v>
      </c>
      <c r="POO16" s="256" t="s">
        <v>79</v>
      </c>
      <c r="POP16" s="256" t="s">
        <v>80</v>
      </c>
      <c r="POQ16" s="256" t="s">
        <v>81</v>
      </c>
      <c r="POR16" s="283"/>
      <c r="POS16" s="259" t="s">
        <v>55</v>
      </c>
      <c r="POT16" s="256" t="s">
        <v>76</v>
      </c>
      <c r="POU16" s="256" t="s">
        <v>77</v>
      </c>
      <c r="POV16" s="256" t="s">
        <v>78</v>
      </c>
      <c r="POW16" s="256" t="s">
        <v>79</v>
      </c>
      <c r="POX16" s="256" t="s">
        <v>80</v>
      </c>
      <c r="POY16" s="58" t="s">
        <v>81</v>
      </c>
      <c r="POZ16" s="284"/>
      <c r="PPA16" s="259" t="s">
        <v>55</v>
      </c>
      <c r="PPB16" s="256" t="s">
        <v>76</v>
      </c>
      <c r="PPC16" s="256" t="s">
        <v>77</v>
      </c>
      <c r="PPD16" s="256" t="s">
        <v>78</v>
      </c>
      <c r="PPE16" s="256" t="s">
        <v>79</v>
      </c>
      <c r="PPF16" s="256" t="s">
        <v>80</v>
      </c>
      <c r="PPG16" s="256" t="s">
        <v>81</v>
      </c>
      <c r="PPH16" s="283"/>
      <c r="PPI16" s="259" t="s">
        <v>55</v>
      </c>
      <c r="PPJ16" s="256" t="s">
        <v>76</v>
      </c>
      <c r="PPK16" s="256" t="s">
        <v>77</v>
      </c>
      <c r="PPL16" s="256" t="s">
        <v>78</v>
      </c>
      <c r="PPM16" s="256" t="s">
        <v>79</v>
      </c>
      <c r="PPN16" s="256" t="s">
        <v>80</v>
      </c>
      <c r="PPO16" s="58" t="s">
        <v>81</v>
      </c>
      <c r="PPP16" s="284"/>
      <c r="PPQ16" s="259" t="s">
        <v>55</v>
      </c>
      <c r="PPR16" s="256" t="s">
        <v>76</v>
      </c>
      <c r="PPS16" s="256" t="s">
        <v>77</v>
      </c>
      <c r="PPT16" s="256" t="s">
        <v>78</v>
      </c>
      <c r="PPU16" s="256" t="s">
        <v>79</v>
      </c>
      <c r="PPV16" s="256" t="s">
        <v>80</v>
      </c>
      <c r="PPW16" s="256" t="s">
        <v>81</v>
      </c>
      <c r="PPX16" s="283"/>
      <c r="PPY16" s="259" t="s">
        <v>55</v>
      </c>
      <c r="PPZ16" s="256" t="s">
        <v>76</v>
      </c>
      <c r="PQA16" s="256" t="s">
        <v>77</v>
      </c>
      <c r="PQB16" s="256" t="s">
        <v>78</v>
      </c>
      <c r="PQC16" s="256" t="s">
        <v>79</v>
      </c>
      <c r="PQD16" s="256" t="s">
        <v>80</v>
      </c>
      <c r="PQE16" s="58" t="s">
        <v>81</v>
      </c>
      <c r="PQF16" s="284"/>
      <c r="PQG16" s="259" t="s">
        <v>55</v>
      </c>
      <c r="PQH16" s="256" t="s">
        <v>76</v>
      </c>
      <c r="PQI16" s="256" t="s">
        <v>77</v>
      </c>
      <c r="PQJ16" s="256" t="s">
        <v>78</v>
      </c>
      <c r="PQK16" s="256" t="s">
        <v>79</v>
      </c>
      <c r="PQL16" s="256" t="s">
        <v>80</v>
      </c>
      <c r="PQM16" s="256" t="s">
        <v>81</v>
      </c>
      <c r="PQN16" s="283"/>
      <c r="PQO16" s="259" t="s">
        <v>55</v>
      </c>
      <c r="PQP16" s="256" t="s">
        <v>76</v>
      </c>
      <c r="PQQ16" s="256" t="s">
        <v>77</v>
      </c>
      <c r="PQR16" s="256" t="s">
        <v>78</v>
      </c>
      <c r="PQS16" s="256" t="s">
        <v>79</v>
      </c>
      <c r="PQT16" s="256" t="s">
        <v>80</v>
      </c>
      <c r="PQU16" s="58" t="s">
        <v>81</v>
      </c>
      <c r="PQV16" s="284"/>
      <c r="PQW16" s="259" t="s">
        <v>55</v>
      </c>
      <c r="PQX16" s="256" t="s">
        <v>76</v>
      </c>
      <c r="PQY16" s="256" t="s">
        <v>77</v>
      </c>
      <c r="PQZ16" s="256" t="s">
        <v>78</v>
      </c>
      <c r="PRA16" s="256" t="s">
        <v>79</v>
      </c>
      <c r="PRB16" s="256" t="s">
        <v>80</v>
      </c>
      <c r="PRC16" s="256" t="s">
        <v>81</v>
      </c>
      <c r="PRD16" s="283"/>
      <c r="PRE16" s="259" t="s">
        <v>55</v>
      </c>
      <c r="PRF16" s="256" t="s">
        <v>76</v>
      </c>
      <c r="PRG16" s="256" t="s">
        <v>77</v>
      </c>
      <c r="PRH16" s="256" t="s">
        <v>78</v>
      </c>
      <c r="PRI16" s="256" t="s">
        <v>79</v>
      </c>
      <c r="PRJ16" s="256" t="s">
        <v>80</v>
      </c>
      <c r="PRK16" s="58" t="s">
        <v>81</v>
      </c>
      <c r="PRL16" s="284"/>
      <c r="PRM16" s="259" t="s">
        <v>55</v>
      </c>
      <c r="PRN16" s="256" t="s">
        <v>76</v>
      </c>
      <c r="PRO16" s="256" t="s">
        <v>77</v>
      </c>
      <c r="PRP16" s="256" t="s">
        <v>78</v>
      </c>
      <c r="PRQ16" s="256" t="s">
        <v>79</v>
      </c>
      <c r="PRR16" s="256" t="s">
        <v>80</v>
      </c>
      <c r="PRS16" s="256" t="s">
        <v>81</v>
      </c>
      <c r="PRT16" s="283"/>
      <c r="PRU16" s="259" t="s">
        <v>55</v>
      </c>
      <c r="PRV16" s="256" t="s">
        <v>76</v>
      </c>
      <c r="PRW16" s="256" t="s">
        <v>77</v>
      </c>
      <c r="PRX16" s="256" t="s">
        <v>78</v>
      </c>
      <c r="PRY16" s="256" t="s">
        <v>79</v>
      </c>
      <c r="PRZ16" s="256" t="s">
        <v>80</v>
      </c>
      <c r="PSA16" s="58" t="s">
        <v>81</v>
      </c>
      <c r="PSB16" s="284"/>
      <c r="PSC16" s="259" t="s">
        <v>55</v>
      </c>
      <c r="PSD16" s="256" t="s">
        <v>76</v>
      </c>
      <c r="PSE16" s="256" t="s">
        <v>77</v>
      </c>
      <c r="PSF16" s="256" t="s">
        <v>78</v>
      </c>
      <c r="PSG16" s="256" t="s">
        <v>79</v>
      </c>
      <c r="PSH16" s="256" t="s">
        <v>80</v>
      </c>
      <c r="PSI16" s="256" t="s">
        <v>81</v>
      </c>
      <c r="PSJ16" s="283"/>
      <c r="PSK16" s="259" t="s">
        <v>55</v>
      </c>
      <c r="PSL16" s="256" t="s">
        <v>76</v>
      </c>
      <c r="PSM16" s="256" t="s">
        <v>77</v>
      </c>
      <c r="PSN16" s="256" t="s">
        <v>78</v>
      </c>
      <c r="PSO16" s="256" t="s">
        <v>79</v>
      </c>
      <c r="PSP16" s="256" t="s">
        <v>80</v>
      </c>
      <c r="PSQ16" s="58" t="s">
        <v>81</v>
      </c>
      <c r="PSR16" s="284"/>
      <c r="PSS16" s="259" t="s">
        <v>55</v>
      </c>
      <c r="PST16" s="256" t="s">
        <v>76</v>
      </c>
      <c r="PSU16" s="256" t="s">
        <v>77</v>
      </c>
      <c r="PSV16" s="256" t="s">
        <v>78</v>
      </c>
      <c r="PSW16" s="256" t="s">
        <v>79</v>
      </c>
      <c r="PSX16" s="256" t="s">
        <v>80</v>
      </c>
      <c r="PSY16" s="256" t="s">
        <v>81</v>
      </c>
      <c r="PSZ16" s="283"/>
      <c r="PTA16" s="259" t="s">
        <v>55</v>
      </c>
      <c r="PTB16" s="256" t="s">
        <v>76</v>
      </c>
      <c r="PTC16" s="256" t="s">
        <v>77</v>
      </c>
      <c r="PTD16" s="256" t="s">
        <v>78</v>
      </c>
      <c r="PTE16" s="256" t="s">
        <v>79</v>
      </c>
      <c r="PTF16" s="256" t="s">
        <v>80</v>
      </c>
      <c r="PTG16" s="58" t="s">
        <v>81</v>
      </c>
      <c r="PTH16" s="284"/>
      <c r="PTI16" s="259" t="s">
        <v>55</v>
      </c>
      <c r="PTJ16" s="256" t="s">
        <v>76</v>
      </c>
      <c r="PTK16" s="256" t="s">
        <v>77</v>
      </c>
      <c r="PTL16" s="256" t="s">
        <v>78</v>
      </c>
      <c r="PTM16" s="256" t="s">
        <v>79</v>
      </c>
      <c r="PTN16" s="256" t="s">
        <v>80</v>
      </c>
      <c r="PTO16" s="256" t="s">
        <v>81</v>
      </c>
      <c r="PTP16" s="283"/>
      <c r="PTQ16" s="259" t="s">
        <v>55</v>
      </c>
      <c r="PTR16" s="256" t="s">
        <v>76</v>
      </c>
      <c r="PTS16" s="256" t="s">
        <v>77</v>
      </c>
      <c r="PTT16" s="256" t="s">
        <v>78</v>
      </c>
      <c r="PTU16" s="256" t="s">
        <v>79</v>
      </c>
      <c r="PTV16" s="256" t="s">
        <v>80</v>
      </c>
      <c r="PTW16" s="58" t="s">
        <v>81</v>
      </c>
      <c r="PTX16" s="284"/>
      <c r="PTY16" s="259" t="s">
        <v>55</v>
      </c>
      <c r="PTZ16" s="256" t="s">
        <v>76</v>
      </c>
      <c r="PUA16" s="256" t="s">
        <v>77</v>
      </c>
      <c r="PUB16" s="256" t="s">
        <v>78</v>
      </c>
      <c r="PUC16" s="256" t="s">
        <v>79</v>
      </c>
      <c r="PUD16" s="256" t="s">
        <v>80</v>
      </c>
      <c r="PUE16" s="256" t="s">
        <v>81</v>
      </c>
      <c r="PUF16" s="283"/>
      <c r="PUG16" s="259" t="s">
        <v>55</v>
      </c>
      <c r="PUH16" s="256" t="s">
        <v>76</v>
      </c>
      <c r="PUI16" s="256" t="s">
        <v>77</v>
      </c>
      <c r="PUJ16" s="256" t="s">
        <v>78</v>
      </c>
      <c r="PUK16" s="256" t="s">
        <v>79</v>
      </c>
      <c r="PUL16" s="256" t="s">
        <v>80</v>
      </c>
      <c r="PUM16" s="58" t="s">
        <v>81</v>
      </c>
      <c r="PUN16" s="284"/>
      <c r="PUO16" s="259" t="s">
        <v>55</v>
      </c>
      <c r="PUP16" s="256" t="s">
        <v>76</v>
      </c>
      <c r="PUQ16" s="256" t="s">
        <v>77</v>
      </c>
      <c r="PUR16" s="256" t="s">
        <v>78</v>
      </c>
      <c r="PUS16" s="256" t="s">
        <v>79</v>
      </c>
      <c r="PUT16" s="256" t="s">
        <v>80</v>
      </c>
      <c r="PUU16" s="256" t="s">
        <v>81</v>
      </c>
      <c r="PUV16" s="283"/>
      <c r="PUW16" s="259" t="s">
        <v>55</v>
      </c>
      <c r="PUX16" s="256" t="s">
        <v>76</v>
      </c>
      <c r="PUY16" s="256" t="s">
        <v>77</v>
      </c>
      <c r="PUZ16" s="256" t="s">
        <v>78</v>
      </c>
      <c r="PVA16" s="256" t="s">
        <v>79</v>
      </c>
      <c r="PVB16" s="256" t="s">
        <v>80</v>
      </c>
      <c r="PVC16" s="58" t="s">
        <v>81</v>
      </c>
      <c r="PVD16" s="284"/>
      <c r="PVE16" s="259" t="s">
        <v>55</v>
      </c>
      <c r="PVF16" s="256" t="s">
        <v>76</v>
      </c>
      <c r="PVG16" s="256" t="s">
        <v>77</v>
      </c>
      <c r="PVH16" s="256" t="s">
        <v>78</v>
      </c>
      <c r="PVI16" s="256" t="s">
        <v>79</v>
      </c>
      <c r="PVJ16" s="256" t="s">
        <v>80</v>
      </c>
      <c r="PVK16" s="256" t="s">
        <v>81</v>
      </c>
      <c r="PVL16" s="283"/>
      <c r="PVM16" s="259" t="s">
        <v>55</v>
      </c>
      <c r="PVN16" s="256" t="s">
        <v>76</v>
      </c>
      <c r="PVO16" s="256" t="s">
        <v>77</v>
      </c>
      <c r="PVP16" s="256" t="s">
        <v>78</v>
      </c>
      <c r="PVQ16" s="256" t="s">
        <v>79</v>
      </c>
      <c r="PVR16" s="256" t="s">
        <v>80</v>
      </c>
      <c r="PVS16" s="58" t="s">
        <v>81</v>
      </c>
      <c r="PVT16" s="284"/>
      <c r="PVU16" s="259" t="s">
        <v>55</v>
      </c>
      <c r="PVV16" s="256" t="s">
        <v>76</v>
      </c>
      <c r="PVW16" s="256" t="s">
        <v>77</v>
      </c>
      <c r="PVX16" s="256" t="s">
        <v>78</v>
      </c>
      <c r="PVY16" s="256" t="s">
        <v>79</v>
      </c>
      <c r="PVZ16" s="256" t="s">
        <v>80</v>
      </c>
      <c r="PWA16" s="256" t="s">
        <v>81</v>
      </c>
      <c r="PWB16" s="283"/>
      <c r="PWC16" s="259" t="s">
        <v>55</v>
      </c>
      <c r="PWD16" s="256" t="s">
        <v>76</v>
      </c>
      <c r="PWE16" s="256" t="s">
        <v>77</v>
      </c>
      <c r="PWF16" s="256" t="s">
        <v>78</v>
      </c>
      <c r="PWG16" s="256" t="s">
        <v>79</v>
      </c>
      <c r="PWH16" s="256" t="s">
        <v>80</v>
      </c>
      <c r="PWI16" s="58" t="s">
        <v>81</v>
      </c>
      <c r="PWJ16" s="284"/>
      <c r="PWK16" s="259" t="s">
        <v>55</v>
      </c>
      <c r="PWL16" s="256" t="s">
        <v>76</v>
      </c>
      <c r="PWM16" s="256" t="s">
        <v>77</v>
      </c>
      <c r="PWN16" s="256" t="s">
        <v>78</v>
      </c>
      <c r="PWO16" s="256" t="s">
        <v>79</v>
      </c>
      <c r="PWP16" s="256" t="s">
        <v>80</v>
      </c>
      <c r="PWQ16" s="256" t="s">
        <v>81</v>
      </c>
      <c r="PWR16" s="283"/>
      <c r="PWS16" s="259" t="s">
        <v>55</v>
      </c>
      <c r="PWT16" s="256" t="s">
        <v>76</v>
      </c>
      <c r="PWU16" s="256" t="s">
        <v>77</v>
      </c>
      <c r="PWV16" s="256" t="s">
        <v>78</v>
      </c>
      <c r="PWW16" s="256" t="s">
        <v>79</v>
      </c>
      <c r="PWX16" s="256" t="s">
        <v>80</v>
      </c>
      <c r="PWY16" s="58" t="s">
        <v>81</v>
      </c>
      <c r="PWZ16" s="284"/>
      <c r="PXA16" s="259" t="s">
        <v>55</v>
      </c>
      <c r="PXB16" s="256" t="s">
        <v>76</v>
      </c>
      <c r="PXC16" s="256" t="s">
        <v>77</v>
      </c>
      <c r="PXD16" s="256" t="s">
        <v>78</v>
      </c>
      <c r="PXE16" s="256" t="s">
        <v>79</v>
      </c>
      <c r="PXF16" s="256" t="s">
        <v>80</v>
      </c>
      <c r="PXG16" s="256" t="s">
        <v>81</v>
      </c>
      <c r="PXH16" s="283"/>
      <c r="PXI16" s="259" t="s">
        <v>55</v>
      </c>
      <c r="PXJ16" s="256" t="s">
        <v>76</v>
      </c>
      <c r="PXK16" s="256" t="s">
        <v>77</v>
      </c>
      <c r="PXL16" s="256" t="s">
        <v>78</v>
      </c>
      <c r="PXM16" s="256" t="s">
        <v>79</v>
      </c>
      <c r="PXN16" s="256" t="s">
        <v>80</v>
      </c>
      <c r="PXO16" s="58" t="s">
        <v>81</v>
      </c>
      <c r="PXP16" s="284"/>
      <c r="PXQ16" s="259" t="s">
        <v>55</v>
      </c>
      <c r="PXR16" s="256" t="s">
        <v>76</v>
      </c>
      <c r="PXS16" s="256" t="s">
        <v>77</v>
      </c>
      <c r="PXT16" s="256" t="s">
        <v>78</v>
      </c>
      <c r="PXU16" s="256" t="s">
        <v>79</v>
      </c>
      <c r="PXV16" s="256" t="s">
        <v>80</v>
      </c>
      <c r="PXW16" s="256" t="s">
        <v>81</v>
      </c>
      <c r="PXX16" s="283"/>
      <c r="PXY16" s="259" t="s">
        <v>55</v>
      </c>
      <c r="PXZ16" s="256" t="s">
        <v>76</v>
      </c>
      <c r="PYA16" s="256" t="s">
        <v>77</v>
      </c>
      <c r="PYB16" s="256" t="s">
        <v>78</v>
      </c>
      <c r="PYC16" s="256" t="s">
        <v>79</v>
      </c>
      <c r="PYD16" s="256" t="s">
        <v>80</v>
      </c>
      <c r="PYE16" s="58" t="s">
        <v>81</v>
      </c>
      <c r="PYF16" s="284"/>
      <c r="PYG16" s="259" t="s">
        <v>55</v>
      </c>
      <c r="PYH16" s="256" t="s">
        <v>76</v>
      </c>
      <c r="PYI16" s="256" t="s">
        <v>77</v>
      </c>
      <c r="PYJ16" s="256" t="s">
        <v>78</v>
      </c>
      <c r="PYK16" s="256" t="s">
        <v>79</v>
      </c>
      <c r="PYL16" s="256" t="s">
        <v>80</v>
      </c>
      <c r="PYM16" s="256" t="s">
        <v>81</v>
      </c>
      <c r="PYN16" s="283"/>
      <c r="PYO16" s="259" t="s">
        <v>55</v>
      </c>
      <c r="PYP16" s="256" t="s">
        <v>76</v>
      </c>
      <c r="PYQ16" s="256" t="s">
        <v>77</v>
      </c>
      <c r="PYR16" s="256" t="s">
        <v>78</v>
      </c>
      <c r="PYS16" s="256" t="s">
        <v>79</v>
      </c>
      <c r="PYT16" s="256" t="s">
        <v>80</v>
      </c>
      <c r="PYU16" s="58" t="s">
        <v>81</v>
      </c>
      <c r="PYV16" s="284"/>
      <c r="PYW16" s="259" t="s">
        <v>55</v>
      </c>
      <c r="PYX16" s="256" t="s">
        <v>76</v>
      </c>
      <c r="PYY16" s="256" t="s">
        <v>77</v>
      </c>
      <c r="PYZ16" s="256" t="s">
        <v>78</v>
      </c>
      <c r="PZA16" s="256" t="s">
        <v>79</v>
      </c>
      <c r="PZB16" s="256" t="s">
        <v>80</v>
      </c>
      <c r="PZC16" s="256" t="s">
        <v>81</v>
      </c>
      <c r="PZD16" s="283"/>
      <c r="PZE16" s="259" t="s">
        <v>55</v>
      </c>
      <c r="PZF16" s="256" t="s">
        <v>76</v>
      </c>
      <c r="PZG16" s="256" t="s">
        <v>77</v>
      </c>
      <c r="PZH16" s="256" t="s">
        <v>78</v>
      </c>
      <c r="PZI16" s="256" t="s">
        <v>79</v>
      </c>
      <c r="PZJ16" s="256" t="s">
        <v>80</v>
      </c>
      <c r="PZK16" s="58" t="s">
        <v>81</v>
      </c>
      <c r="PZL16" s="284"/>
      <c r="PZM16" s="259" t="s">
        <v>55</v>
      </c>
      <c r="PZN16" s="256" t="s">
        <v>76</v>
      </c>
      <c r="PZO16" s="256" t="s">
        <v>77</v>
      </c>
      <c r="PZP16" s="256" t="s">
        <v>78</v>
      </c>
      <c r="PZQ16" s="256" t="s">
        <v>79</v>
      </c>
      <c r="PZR16" s="256" t="s">
        <v>80</v>
      </c>
      <c r="PZS16" s="256" t="s">
        <v>81</v>
      </c>
      <c r="PZT16" s="283"/>
      <c r="PZU16" s="259" t="s">
        <v>55</v>
      </c>
      <c r="PZV16" s="256" t="s">
        <v>76</v>
      </c>
      <c r="PZW16" s="256" t="s">
        <v>77</v>
      </c>
      <c r="PZX16" s="256" t="s">
        <v>78</v>
      </c>
      <c r="PZY16" s="256" t="s">
        <v>79</v>
      </c>
      <c r="PZZ16" s="256" t="s">
        <v>80</v>
      </c>
      <c r="QAA16" s="58" t="s">
        <v>81</v>
      </c>
      <c r="QAB16" s="284"/>
      <c r="QAC16" s="259" t="s">
        <v>55</v>
      </c>
      <c r="QAD16" s="256" t="s">
        <v>76</v>
      </c>
      <c r="QAE16" s="256" t="s">
        <v>77</v>
      </c>
      <c r="QAF16" s="256" t="s">
        <v>78</v>
      </c>
      <c r="QAG16" s="256" t="s">
        <v>79</v>
      </c>
      <c r="QAH16" s="256" t="s">
        <v>80</v>
      </c>
      <c r="QAI16" s="256" t="s">
        <v>81</v>
      </c>
      <c r="QAJ16" s="283"/>
      <c r="QAK16" s="259" t="s">
        <v>55</v>
      </c>
      <c r="QAL16" s="256" t="s">
        <v>76</v>
      </c>
      <c r="QAM16" s="256" t="s">
        <v>77</v>
      </c>
      <c r="QAN16" s="256" t="s">
        <v>78</v>
      </c>
      <c r="QAO16" s="256" t="s">
        <v>79</v>
      </c>
      <c r="QAP16" s="256" t="s">
        <v>80</v>
      </c>
      <c r="QAQ16" s="58" t="s">
        <v>81</v>
      </c>
      <c r="QAR16" s="284"/>
      <c r="QAS16" s="259" t="s">
        <v>55</v>
      </c>
      <c r="QAT16" s="256" t="s">
        <v>76</v>
      </c>
      <c r="QAU16" s="256" t="s">
        <v>77</v>
      </c>
      <c r="QAV16" s="256" t="s">
        <v>78</v>
      </c>
      <c r="QAW16" s="256" t="s">
        <v>79</v>
      </c>
      <c r="QAX16" s="256" t="s">
        <v>80</v>
      </c>
      <c r="QAY16" s="256" t="s">
        <v>81</v>
      </c>
      <c r="QAZ16" s="283"/>
      <c r="QBA16" s="259" t="s">
        <v>55</v>
      </c>
      <c r="QBB16" s="256" t="s">
        <v>76</v>
      </c>
      <c r="QBC16" s="256" t="s">
        <v>77</v>
      </c>
      <c r="QBD16" s="256" t="s">
        <v>78</v>
      </c>
      <c r="QBE16" s="256" t="s">
        <v>79</v>
      </c>
      <c r="QBF16" s="256" t="s">
        <v>80</v>
      </c>
      <c r="QBG16" s="58" t="s">
        <v>81</v>
      </c>
      <c r="QBH16" s="284"/>
      <c r="QBI16" s="259" t="s">
        <v>55</v>
      </c>
      <c r="QBJ16" s="256" t="s">
        <v>76</v>
      </c>
      <c r="QBK16" s="256" t="s">
        <v>77</v>
      </c>
      <c r="QBL16" s="256" t="s">
        <v>78</v>
      </c>
      <c r="QBM16" s="256" t="s">
        <v>79</v>
      </c>
      <c r="QBN16" s="256" t="s">
        <v>80</v>
      </c>
      <c r="QBO16" s="256" t="s">
        <v>81</v>
      </c>
      <c r="QBP16" s="283"/>
      <c r="QBQ16" s="259" t="s">
        <v>55</v>
      </c>
      <c r="QBR16" s="256" t="s">
        <v>76</v>
      </c>
      <c r="QBS16" s="256" t="s">
        <v>77</v>
      </c>
      <c r="QBT16" s="256" t="s">
        <v>78</v>
      </c>
      <c r="QBU16" s="256" t="s">
        <v>79</v>
      </c>
      <c r="QBV16" s="256" t="s">
        <v>80</v>
      </c>
      <c r="QBW16" s="58" t="s">
        <v>81</v>
      </c>
      <c r="QBX16" s="284"/>
      <c r="QBY16" s="259" t="s">
        <v>55</v>
      </c>
      <c r="QBZ16" s="256" t="s">
        <v>76</v>
      </c>
      <c r="QCA16" s="256" t="s">
        <v>77</v>
      </c>
      <c r="QCB16" s="256" t="s">
        <v>78</v>
      </c>
      <c r="QCC16" s="256" t="s">
        <v>79</v>
      </c>
      <c r="QCD16" s="256" t="s">
        <v>80</v>
      </c>
      <c r="QCE16" s="256" t="s">
        <v>81</v>
      </c>
      <c r="QCF16" s="283"/>
      <c r="QCG16" s="259" t="s">
        <v>55</v>
      </c>
      <c r="QCH16" s="256" t="s">
        <v>76</v>
      </c>
      <c r="QCI16" s="256" t="s">
        <v>77</v>
      </c>
      <c r="QCJ16" s="256" t="s">
        <v>78</v>
      </c>
      <c r="QCK16" s="256" t="s">
        <v>79</v>
      </c>
      <c r="QCL16" s="256" t="s">
        <v>80</v>
      </c>
      <c r="QCM16" s="58" t="s">
        <v>81</v>
      </c>
      <c r="QCN16" s="284"/>
      <c r="QCO16" s="259" t="s">
        <v>55</v>
      </c>
      <c r="QCP16" s="256" t="s">
        <v>76</v>
      </c>
      <c r="QCQ16" s="256" t="s">
        <v>77</v>
      </c>
      <c r="QCR16" s="256" t="s">
        <v>78</v>
      </c>
      <c r="QCS16" s="256" t="s">
        <v>79</v>
      </c>
      <c r="QCT16" s="256" t="s">
        <v>80</v>
      </c>
      <c r="QCU16" s="256" t="s">
        <v>81</v>
      </c>
      <c r="QCV16" s="283"/>
      <c r="QCW16" s="259" t="s">
        <v>55</v>
      </c>
      <c r="QCX16" s="256" t="s">
        <v>76</v>
      </c>
      <c r="QCY16" s="256" t="s">
        <v>77</v>
      </c>
      <c r="QCZ16" s="256" t="s">
        <v>78</v>
      </c>
      <c r="QDA16" s="256" t="s">
        <v>79</v>
      </c>
      <c r="QDB16" s="256" t="s">
        <v>80</v>
      </c>
      <c r="QDC16" s="58" t="s">
        <v>81</v>
      </c>
      <c r="QDD16" s="284"/>
      <c r="QDE16" s="259" t="s">
        <v>55</v>
      </c>
      <c r="QDF16" s="256" t="s">
        <v>76</v>
      </c>
      <c r="QDG16" s="256" t="s">
        <v>77</v>
      </c>
      <c r="QDH16" s="256" t="s">
        <v>78</v>
      </c>
      <c r="QDI16" s="256" t="s">
        <v>79</v>
      </c>
      <c r="QDJ16" s="256" t="s">
        <v>80</v>
      </c>
      <c r="QDK16" s="256" t="s">
        <v>81</v>
      </c>
      <c r="QDL16" s="283"/>
      <c r="QDM16" s="259" t="s">
        <v>55</v>
      </c>
      <c r="QDN16" s="256" t="s">
        <v>76</v>
      </c>
      <c r="QDO16" s="256" t="s">
        <v>77</v>
      </c>
      <c r="QDP16" s="256" t="s">
        <v>78</v>
      </c>
      <c r="QDQ16" s="256" t="s">
        <v>79</v>
      </c>
      <c r="QDR16" s="256" t="s">
        <v>80</v>
      </c>
      <c r="QDS16" s="58" t="s">
        <v>81</v>
      </c>
      <c r="QDT16" s="284"/>
      <c r="QDU16" s="259" t="s">
        <v>55</v>
      </c>
      <c r="QDV16" s="256" t="s">
        <v>76</v>
      </c>
      <c r="QDW16" s="256" t="s">
        <v>77</v>
      </c>
      <c r="QDX16" s="256" t="s">
        <v>78</v>
      </c>
      <c r="QDY16" s="256" t="s">
        <v>79</v>
      </c>
      <c r="QDZ16" s="256" t="s">
        <v>80</v>
      </c>
      <c r="QEA16" s="256" t="s">
        <v>81</v>
      </c>
      <c r="QEB16" s="283"/>
      <c r="QEC16" s="259" t="s">
        <v>55</v>
      </c>
      <c r="QED16" s="256" t="s">
        <v>76</v>
      </c>
      <c r="QEE16" s="256" t="s">
        <v>77</v>
      </c>
      <c r="QEF16" s="256" t="s">
        <v>78</v>
      </c>
      <c r="QEG16" s="256" t="s">
        <v>79</v>
      </c>
      <c r="QEH16" s="256" t="s">
        <v>80</v>
      </c>
      <c r="QEI16" s="58" t="s">
        <v>81</v>
      </c>
      <c r="QEJ16" s="284"/>
      <c r="QEK16" s="259" t="s">
        <v>55</v>
      </c>
      <c r="QEL16" s="256" t="s">
        <v>76</v>
      </c>
      <c r="QEM16" s="256" t="s">
        <v>77</v>
      </c>
      <c r="QEN16" s="256" t="s">
        <v>78</v>
      </c>
      <c r="QEO16" s="256" t="s">
        <v>79</v>
      </c>
      <c r="QEP16" s="256" t="s">
        <v>80</v>
      </c>
      <c r="QEQ16" s="256" t="s">
        <v>81</v>
      </c>
      <c r="QER16" s="283"/>
      <c r="QES16" s="259" t="s">
        <v>55</v>
      </c>
      <c r="QET16" s="256" t="s">
        <v>76</v>
      </c>
      <c r="QEU16" s="256" t="s">
        <v>77</v>
      </c>
      <c r="QEV16" s="256" t="s">
        <v>78</v>
      </c>
      <c r="QEW16" s="256" t="s">
        <v>79</v>
      </c>
      <c r="QEX16" s="256" t="s">
        <v>80</v>
      </c>
      <c r="QEY16" s="58" t="s">
        <v>81</v>
      </c>
      <c r="QEZ16" s="284"/>
      <c r="QFA16" s="259" t="s">
        <v>55</v>
      </c>
      <c r="QFB16" s="256" t="s">
        <v>76</v>
      </c>
      <c r="QFC16" s="256" t="s">
        <v>77</v>
      </c>
      <c r="QFD16" s="256" t="s">
        <v>78</v>
      </c>
      <c r="QFE16" s="256" t="s">
        <v>79</v>
      </c>
      <c r="QFF16" s="256" t="s">
        <v>80</v>
      </c>
      <c r="QFG16" s="256" t="s">
        <v>81</v>
      </c>
      <c r="QFH16" s="283"/>
      <c r="QFI16" s="259" t="s">
        <v>55</v>
      </c>
      <c r="QFJ16" s="256" t="s">
        <v>76</v>
      </c>
      <c r="QFK16" s="256" t="s">
        <v>77</v>
      </c>
      <c r="QFL16" s="256" t="s">
        <v>78</v>
      </c>
      <c r="QFM16" s="256" t="s">
        <v>79</v>
      </c>
      <c r="QFN16" s="256" t="s">
        <v>80</v>
      </c>
      <c r="QFO16" s="58" t="s">
        <v>81</v>
      </c>
      <c r="QFP16" s="284"/>
      <c r="QFQ16" s="259" t="s">
        <v>55</v>
      </c>
      <c r="QFR16" s="256" t="s">
        <v>76</v>
      </c>
      <c r="QFS16" s="256" t="s">
        <v>77</v>
      </c>
      <c r="QFT16" s="256" t="s">
        <v>78</v>
      </c>
      <c r="QFU16" s="256" t="s">
        <v>79</v>
      </c>
      <c r="QFV16" s="256" t="s">
        <v>80</v>
      </c>
      <c r="QFW16" s="256" t="s">
        <v>81</v>
      </c>
      <c r="QFX16" s="283"/>
      <c r="QFY16" s="259" t="s">
        <v>55</v>
      </c>
      <c r="QFZ16" s="256" t="s">
        <v>76</v>
      </c>
      <c r="QGA16" s="256" t="s">
        <v>77</v>
      </c>
      <c r="QGB16" s="256" t="s">
        <v>78</v>
      </c>
      <c r="QGC16" s="256" t="s">
        <v>79</v>
      </c>
      <c r="QGD16" s="256" t="s">
        <v>80</v>
      </c>
      <c r="QGE16" s="58" t="s">
        <v>81</v>
      </c>
      <c r="QGF16" s="284"/>
      <c r="QGG16" s="259" t="s">
        <v>55</v>
      </c>
      <c r="QGH16" s="256" t="s">
        <v>76</v>
      </c>
      <c r="QGI16" s="256" t="s">
        <v>77</v>
      </c>
      <c r="QGJ16" s="256" t="s">
        <v>78</v>
      </c>
      <c r="QGK16" s="256" t="s">
        <v>79</v>
      </c>
      <c r="QGL16" s="256" t="s">
        <v>80</v>
      </c>
      <c r="QGM16" s="256" t="s">
        <v>81</v>
      </c>
      <c r="QGN16" s="283"/>
      <c r="QGO16" s="259" t="s">
        <v>55</v>
      </c>
      <c r="QGP16" s="256" t="s">
        <v>76</v>
      </c>
      <c r="QGQ16" s="256" t="s">
        <v>77</v>
      </c>
      <c r="QGR16" s="256" t="s">
        <v>78</v>
      </c>
      <c r="QGS16" s="256" t="s">
        <v>79</v>
      </c>
      <c r="QGT16" s="256" t="s">
        <v>80</v>
      </c>
      <c r="QGU16" s="58" t="s">
        <v>81</v>
      </c>
      <c r="QGV16" s="284"/>
      <c r="QGW16" s="259" t="s">
        <v>55</v>
      </c>
      <c r="QGX16" s="256" t="s">
        <v>76</v>
      </c>
      <c r="QGY16" s="256" t="s">
        <v>77</v>
      </c>
      <c r="QGZ16" s="256" t="s">
        <v>78</v>
      </c>
      <c r="QHA16" s="256" t="s">
        <v>79</v>
      </c>
      <c r="QHB16" s="256" t="s">
        <v>80</v>
      </c>
      <c r="QHC16" s="256" t="s">
        <v>81</v>
      </c>
      <c r="QHD16" s="283"/>
      <c r="QHE16" s="259" t="s">
        <v>55</v>
      </c>
      <c r="QHF16" s="256" t="s">
        <v>76</v>
      </c>
      <c r="QHG16" s="256" t="s">
        <v>77</v>
      </c>
      <c r="QHH16" s="256" t="s">
        <v>78</v>
      </c>
      <c r="QHI16" s="256" t="s">
        <v>79</v>
      </c>
      <c r="QHJ16" s="256" t="s">
        <v>80</v>
      </c>
      <c r="QHK16" s="58" t="s">
        <v>81</v>
      </c>
      <c r="QHL16" s="284"/>
      <c r="QHM16" s="259" t="s">
        <v>55</v>
      </c>
      <c r="QHN16" s="256" t="s">
        <v>76</v>
      </c>
      <c r="QHO16" s="256" t="s">
        <v>77</v>
      </c>
      <c r="QHP16" s="256" t="s">
        <v>78</v>
      </c>
      <c r="QHQ16" s="256" t="s">
        <v>79</v>
      </c>
      <c r="QHR16" s="256" t="s">
        <v>80</v>
      </c>
      <c r="QHS16" s="256" t="s">
        <v>81</v>
      </c>
      <c r="QHT16" s="283"/>
      <c r="QHU16" s="259" t="s">
        <v>55</v>
      </c>
      <c r="QHV16" s="256" t="s">
        <v>76</v>
      </c>
      <c r="QHW16" s="256" t="s">
        <v>77</v>
      </c>
      <c r="QHX16" s="256" t="s">
        <v>78</v>
      </c>
      <c r="QHY16" s="256" t="s">
        <v>79</v>
      </c>
      <c r="QHZ16" s="256" t="s">
        <v>80</v>
      </c>
      <c r="QIA16" s="58" t="s">
        <v>81</v>
      </c>
      <c r="QIB16" s="284"/>
      <c r="QIC16" s="259" t="s">
        <v>55</v>
      </c>
      <c r="QID16" s="256" t="s">
        <v>76</v>
      </c>
      <c r="QIE16" s="256" t="s">
        <v>77</v>
      </c>
      <c r="QIF16" s="256" t="s">
        <v>78</v>
      </c>
      <c r="QIG16" s="256" t="s">
        <v>79</v>
      </c>
      <c r="QIH16" s="256" t="s">
        <v>80</v>
      </c>
      <c r="QII16" s="256" t="s">
        <v>81</v>
      </c>
      <c r="QIJ16" s="283"/>
      <c r="QIK16" s="259" t="s">
        <v>55</v>
      </c>
      <c r="QIL16" s="256" t="s">
        <v>76</v>
      </c>
      <c r="QIM16" s="256" t="s">
        <v>77</v>
      </c>
      <c r="QIN16" s="256" t="s">
        <v>78</v>
      </c>
      <c r="QIO16" s="256" t="s">
        <v>79</v>
      </c>
      <c r="QIP16" s="256" t="s">
        <v>80</v>
      </c>
      <c r="QIQ16" s="58" t="s">
        <v>81</v>
      </c>
      <c r="QIR16" s="284"/>
      <c r="QIS16" s="259" t="s">
        <v>55</v>
      </c>
      <c r="QIT16" s="256" t="s">
        <v>76</v>
      </c>
      <c r="QIU16" s="256" t="s">
        <v>77</v>
      </c>
      <c r="QIV16" s="256" t="s">
        <v>78</v>
      </c>
      <c r="QIW16" s="256" t="s">
        <v>79</v>
      </c>
      <c r="QIX16" s="256" t="s">
        <v>80</v>
      </c>
      <c r="QIY16" s="256" t="s">
        <v>81</v>
      </c>
      <c r="QIZ16" s="283"/>
      <c r="QJA16" s="259" t="s">
        <v>55</v>
      </c>
      <c r="QJB16" s="256" t="s">
        <v>76</v>
      </c>
      <c r="QJC16" s="256" t="s">
        <v>77</v>
      </c>
      <c r="QJD16" s="256" t="s">
        <v>78</v>
      </c>
      <c r="QJE16" s="256" t="s">
        <v>79</v>
      </c>
      <c r="QJF16" s="256" t="s">
        <v>80</v>
      </c>
      <c r="QJG16" s="58" t="s">
        <v>81</v>
      </c>
      <c r="QJH16" s="284"/>
      <c r="QJI16" s="259" t="s">
        <v>55</v>
      </c>
      <c r="QJJ16" s="256" t="s">
        <v>76</v>
      </c>
      <c r="QJK16" s="256" t="s">
        <v>77</v>
      </c>
      <c r="QJL16" s="256" t="s">
        <v>78</v>
      </c>
      <c r="QJM16" s="256" t="s">
        <v>79</v>
      </c>
      <c r="QJN16" s="256" t="s">
        <v>80</v>
      </c>
      <c r="QJO16" s="256" t="s">
        <v>81</v>
      </c>
      <c r="QJP16" s="283"/>
      <c r="QJQ16" s="259" t="s">
        <v>55</v>
      </c>
      <c r="QJR16" s="256" t="s">
        <v>76</v>
      </c>
      <c r="QJS16" s="256" t="s">
        <v>77</v>
      </c>
      <c r="QJT16" s="256" t="s">
        <v>78</v>
      </c>
      <c r="QJU16" s="256" t="s">
        <v>79</v>
      </c>
      <c r="QJV16" s="256" t="s">
        <v>80</v>
      </c>
      <c r="QJW16" s="58" t="s">
        <v>81</v>
      </c>
      <c r="QJX16" s="284"/>
      <c r="QJY16" s="259" t="s">
        <v>55</v>
      </c>
      <c r="QJZ16" s="256" t="s">
        <v>76</v>
      </c>
      <c r="QKA16" s="256" t="s">
        <v>77</v>
      </c>
      <c r="QKB16" s="256" t="s">
        <v>78</v>
      </c>
      <c r="QKC16" s="256" t="s">
        <v>79</v>
      </c>
      <c r="QKD16" s="256" t="s">
        <v>80</v>
      </c>
      <c r="QKE16" s="256" t="s">
        <v>81</v>
      </c>
      <c r="QKF16" s="283"/>
      <c r="QKG16" s="259" t="s">
        <v>55</v>
      </c>
      <c r="QKH16" s="256" t="s">
        <v>76</v>
      </c>
      <c r="QKI16" s="256" t="s">
        <v>77</v>
      </c>
      <c r="QKJ16" s="256" t="s">
        <v>78</v>
      </c>
      <c r="QKK16" s="256" t="s">
        <v>79</v>
      </c>
      <c r="QKL16" s="256" t="s">
        <v>80</v>
      </c>
      <c r="QKM16" s="58" t="s">
        <v>81</v>
      </c>
      <c r="QKN16" s="284"/>
      <c r="QKO16" s="259" t="s">
        <v>55</v>
      </c>
      <c r="QKP16" s="256" t="s">
        <v>76</v>
      </c>
      <c r="QKQ16" s="256" t="s">
        <v>77</v>
      </c>
      <c r="QKR16" s="256" t="s">
        <v>78</v>
      </c>
      <c r="QKS16" s="256" t="s">
        <v>79</v>
      </c>
      <c r="QKT16" s="256" t="s">
        <v>80</v>
      </c>
      <c r="QKU16" s="256" t="s">
        <v>81</v>
      </c>
      <c r="QKV16" s="283"/>
      <c r="QKW16" s="259" t="s">
        <v>55</v>
      </c>
      <c r="QKX16" s="256" t="s">
        <v>76</v>
      </c>
      <c r="QKY16" s="256" t="s">
        <v>77</v>
      </c>
      <c r="QKZ16" s="256" t="s">
        <v>78</v>
      </c>
      <c r="QLA16" s="256" t="s">
        <v>79</v>
      </c>
      <c r="QLB16" s="256" t="s">
        <v>80</v>
      </c>
      <c r="QLC16" s="58" t="s">
        <v>81</v>
      </c>
      <c r="QLD16" s="284"/>
      <c r="QLE16" s="259" t="s">
        <v>55</v>
      </c>
      <c r="QLF16" s="256" t="s">
        <v>76</v>
      </c>
      <c r="QLG16" s="256" t="s">
        <v>77</v>
      </c>
      <c r="QLH16" s="256" t="s">
        <v>78</v>
      </c>
      <c r="QLI16" s="256" t="s">
        <v>79</v>
      </c>
      <c r="QLJ16" s="256" t="s">
        <v>80</v>
      </c>
      <c r="QLK16" s="256" t="s">
        <v>81</v>
      </c>
      <c r="QLL16" s="283"/>
      <c r="QLM16" s="259" t="s">
        <v>55</v>
      </c>
      <c r="QLN16" s="256" t="s">
        <v>76</v>
      </c>
      <c r="QLO16" s="256" t="s">
        <v>77</v>
      </c>
      <c r="QLP16" s="256" t="s">
        <v>78</v>
      </c>
      <c r="QLQ16" s="256" t="s">
        <v>79</v>
      </c>
      <c r="QLR16" s="256" t="s">
        <v>80</v>
      </c>
      <c r="QLS16" s="58" t="s">
        <v>81</v>
      </c>
      <c r="QLT16" s="284"/>
      <c r="QLU16" s="259" t="s">
        <v>55</v>
      </c>
      <c r="QLV16" s="256" t="s">
        <v>76</v>
      </c>
      <c r="QLW16" s="256" t="s">
        <v>77</v>
      </c>
      <c r="QLX16" s="256" t="s">
        <v>78</v>
      </c>
      <c r="QLY16" s="256" t="s">
        <v>79</v>
      </c>
      <c r="QLZ16" s="256" t="s">
        <v>80</v>
      </c>
      <c r="QMA16" s="256" t="s">
        <v>81</v>
      </c>
      <c r="QMB16" s="283"/>
      <c r="QMC16" s="259" t="s">
        <v>55</v>
      </c>
      <c r="QMD16" s="256" t="s">
        <v>76</v>
      </c>
      <c r="QME16" s="256" t="s">
        <v>77</v>
      </c>
      <c r="QMF16" s="256" t="s">
        <v>78</v>
      </c>
      <c r="QMG16" s="256" t="s">
        <v>79</v>
      </c>
      <c r="QMH16" s="256" t="s">
        <v>80</v>
      </c>
      <c r="QMI16" s="58" t="s">
        <v>81</v>
      </c>
      <c r="QMJ16" s="284"/>
      <c r="QMK16" s="259" t="s">
        <v>55</v>
      </c>
      <c r="QML16" s="256" t="s">
        <v>76</v>
      </c>
      <c r="QMM16" s="256" t="s">
        <v>77</v>
      </c>
      <c r="QMN16" s="256" t="s">
        <v>78</v>
      </c>
      <c r="QMO16" s="256" t="s">
        <v>79</v>
      </c>
      <c r="QMP16" s="256" t="s">
        <v>80</v>
      </c>
      <c r="QMQ16" s="256" t="s">
        <v>81</v>
      </c>
      <c r="QMR16" s="283"/>
      <c r="QMS16" s="259" t="s">
        <v>55</v>
      </c>
      <c r="QMT16" s="256" t="s">
        <v>76</v>
      </c>
      <c r="QMU16" s="256" t="s">
        <v>77</v>
      </c>
      <c r="QMV16" s="256" t="s">
        <v>78</v>
      </c>
      <c r="QMW16" s="256" t="s">
        <v>79</v>
      </c>
      <c r="QMX16" s="256" t="s">
        <v>80</v>
      </c>
      <c r="QMY16" s="58" t="s">
        <v>81</v>
      </c>
      <c r="QMZ16" s="284"/>
      <c r="QNA16" s="259" t="s">
        <v>55</v>
      </c>
      <c r="QNB16" s="256" t="s">
        <v>76</v>
      </c>
      <c r="QNC16" s="256" t="s">
        <v>77</v>
      </c>
      <c r="QND16" s="256" t="s">
        <v>78</v>
      </c>
      <c r="QNE16" s="256" t="s">
        <v>79</v>
      </c>
      <c r="QNF16" s="256" t="s">
        <v>80</v>
      </c>
      <c r="QNG16" s="256" t="s">
        <v>81</v>
      </c>
      <c r="QNH16" s="283"/>
      <c r="QNI16" s="259" t="s">
        <v>55</v>
      </c>
      <c r="QNJ16" s="256" t="s">
        <v>76</v>
      </c>
      <c r="QNK16" s="256" t="s">
        <v>77</v>
      </c>
      <c r="QNL16" s="256" t="s">
        <v>78</v>
      </c>
      <c r="QNM16" s="256" t="s">
        <v>79</v>
      </c>
      <c r="QNN16" s="256" t="s">
        <v>80</v>
      </c>
      <c r="QNO16" s="58" t="s">
        <v>81</v>
      </c>
      <c r="QNP16" s="284"/>
      <c r="QNQ16" s="259" t="s">
        <v>55</v>
      </c>
      <c r="QNR16" s="256" t="s">
        <v>76</v>
      </c>
      <c r="QNS16" s="256" t="s">
        <v>77</v>
      </c>
      <c r="QNT16" s="256" t="s">
        <v>78</v>
      </c>
      <c r="QNU16" s="256" t="s">
        <v>79</v>
      </c>
      <c r="QNV16" s="256" t="s">
        <v>80</v>
      </c>
      <c r="QNW16" s="256" t="s">
        <v>81</v>
      </c>
      <c r="QNX16" s="283"/>
      <c r="QNY16" s="259" t="s">
        <v>55</v>
      </c>
      <c r="QNZ16" s="256" t="s">
        <v>76</v>
      </c>
      <c r="QOA16" s="256" t="s">
        <v>77</v>
      </c>
      <c r="QOB16" s="256" t="s">
        <v>78</v>
      </c>
      <c r="QOC16" s="256" t="s">
        <v>79</v>
      </c>
      <c r="QOD16" s="256" t="s">
        <v>80</v>
      </c>
      <c r="QOE16" s="58" t="s">
        <v>81</v>
      </c>
      <c r="QOF16" s="284"/>
      <c r="QOG16" s="259" t="s">
        <v>55</v>
      </c>
      <c r="QOH16" s="256" t="s">
        <v>76</v>
      </c>
      <c r="QOI16" s="256" t="s">
        <v>77</v>
      </c>
      <c r="QOJ16" s="256" t="s">
        <v>78</v>
      </c>
      <c r="QOK16" s="256" t="s">
        <v>79</v>
      </c>
      <c r="QOL16" s="256" t="s">
        <v>80</v>
      </c>
      <c r="QOM16" s="256" t="s">
        <v>81</v>
      </c>
      <c r="QON16" s="283"/>
      <c r="QOO16" s="259" t="s">
        <v>55</v>
      </c>
      <c r="QOP16" s="256" t="s">
        <v>76</v>
      </c>
      <c r="QOQ16" s="256" t="s">
        <v>77</v>
      </c>
      <c r="QOR16" s="256" t="s">
        <v>78</v>
      </c>
      <c r="QOS16" s="256" t="s">
        <v>79</v>
      </c>
      <c r="QOT16" s="256" t="s">
        <v>80</v>
      </c>
      <c r="QOU16" s="58" t="s">
        <v>81</v>
      </c>
      <c r="QOV16" s="284"/>
      <c r="QOW16" s="259" t="s">
        <v>55</v>
      </c>
      <c r="QOX16" s="256" t="s">
        <v>76</v>
      </c>
      <c r="QOY16" s="256" t="s">
        <v>77</v>
      </c>
      <c r="QOZ16" s="256" t="s">
        <v>78</v>
      </c>
      <c r="QPA16" s="256" t="s">
        <v>79</v>
      </c>
      <c r="QPB16" s="256" t="s">
        <v>80</v>
      </c>
      <c r="QPC16" s="256" t="s">
        <v>81</v>
      </c>
      <c r="QPD16" s="283"/>
      <c r="QPE16" s="259" t="s">
        <v>55</v>
      </c>
      <c r="QPF16" s="256" t="s">
        <v>76</v>
      </c>
      <c r="QPG16" s="256" t="s">
        <v>77</v>
      </c>
      <c r="QPH16" s="256" t="s">
        <v>78</v>
      </c>
      <c r="QPI16" s="256" t="s">
        <v>79</v>
      </c>
      <c r="QPJ16" s="256" t="s">
        <v>80</v>
      </c>
      <c r="QPK16" s="58" t="s">
        <v>81</v>
      </c>
      <c r="QPL16" s="284"/>
      <c r="QPM16" s="259" t="s">
        <v>55</v>
      </c>
      <c r="QPN16" s="256" t="s">
        <v>76</v>
      </c>
      <c r="QPO16" s="256" t="s">
        <v>77</v>
      </c>
      <c r="QPP16" s="256" t="s">
        <v>78</v>
      </c>
      <c r="QPQ16" s="256" t="s">
        <v>79</v>
      </c>
      <c r="QPR16" s="256" t="s">
        <v>80</v>
      </c>
      <c r="QPS16" s="256" t="s">
        <v>81</v>
      </c>
      <c r="QPT16" s="283"/>
      <c r="QPU16" s="259" t="s">
        <v>55</v>
      </c>
      <c r="QPV16" s="256" t="s">
        <v>76</v>
      </c>
      <c r="QPW16" s="256" t="s">
        <v>77</v>
      </c>
      <c r="QPX16" s="256" t="s">
        <v>78</v>
      </c>
      <c r="QPY16" s="256" t="s">
        <v>79</v>
      </c>
      <c r="QPZ16" s="256" t="s">
        <v>80</v>
      </c>
      <c r="QQA16" s="58" t="s">
        <v>81</v>
      </c>
      <c r="QQB16" s="284"/>
      <c r="QQC16" s="259" t="s">
        <v>55</v>
      </c>
      <c r="QQD16" s="256" t="s">
        <v>76</v>
      </c>
      <c r="QQE16" s="256" t="s">
        <v>77</v>
      </c>
      <c r="QQF16" s="256" t="s">
        <v>78</v>
      </c>
      <c r="QQG16" s="256" t="s">
        <v>79</v>
      </c>
      <c r="QQH16" s="256" t="s">
        <v>80</v>
      </c>
      <c r="QQI16" s="256" t="s">
        <v>81</v>
      </c>
      <c r="QQJ16" s="283"/>
      <c r="QQK16" s="259" t="s">
        <v>55</v>
      </c>
      <c r="QQL16" s="256" t="s">
        <v>76</v>
      </c>
      <c r="QQM16" s="256" t="s">
        <v>77</v>
      </c>
      <c r="QQN16" s="256" t="s">
        <v>78</v>
      </c>
      <c r="QQO16" s="256" t="s">
        <v>79</v>
      </c>
      <c r="QQP16" s="256" t="s">
        <v>80</v>
      </c>
      <c r="QQQ16" s="58" t="s">
        <v>81</v>
      </c>
      <c r="QQR16" s="284"/>
      <c r="QQS16" s="259" t="s">
        <v>55</v>
      </c>
      <c r="QQT16" s="256" t="s">
        <v>76</v>
      </c>
      <c r="QQU16" s="256" t="s">
        <v>77</v>
      </c>
      <c r="QQV16" s="256" t="s">
        <v>78</v>
      </c>
      <c r="QQW16" s="256" t="s">
        <v>79</v>
      </c>
      <c r="QQX16" s="256" t="s">
        <v>80</v>
      </c>
      <c r="QQY16" s="256" t="s">
        <v>81</v>
      </c>
      <c r="QQZ16" s="283"/>
      <c r="QRA16" s="259" t="s">
        <v>55</v>
      </c>
      <c r="QRB16" s="256" t="s">
        <v>76</v>
      </c>
      <c r="QRC16" s="256" t="s">
        <v>77</v>
      </c>
      <c r="QRD16" s="256" t="s">
        <v>78</v>
      </c>
      <c r="QRE16" s="256" t="s">
        <v>79</v>
      </c>
      <c r="QRF16" s="256" t="s">
        <v>80</v>
      </c>
      <c r="QRG16" s="58" t="s">
        <v>81</v>
      </c>
      <c r="QRH16" s="284"/>
      <c r="QRI16" s="259" t="s">
        <v>55</v>
      </c>
      <c r="QRJ16" s="256" t="s">
        <v>76</v>
      </c>
      <c r="QRK16" s="256" t="s">
        <v>77</v>
      </c>
      <c r="QRL16" s="256" t="s">
        <v>78</v>
      </c>
      <c r="QRM16" s="256" t="s">
        <v>79</v>
      </c>
      <c r="QRN16" s="256" t="s">
        <v>80</v>
      </c>
      <c r="QRO16" s="256" t="s">
        <v>81</v>
      </c>
      <c r="QRP16" s="283"/>
      <c r="QRQ16" s="259" t="s">
        <v>55</v>
      </c>
      <c r="QRR16" s="256" t="s">
        <v>76</v>
      </c>
      <c r="QRS16" s="256" t="s">
        <v>77</v>
      </c>
      <c r="QRT16" s="256" t="s">
        <v>78</v>
      </c>
      <c r="QRU16" s="256" t="s">
        <v>79</v>
      </c>
      <c r="QRV16" s="256" t="s">
        <v>80</v>
      </c>
      <c r="QRW16" s="58" t="s">
        <v>81</v>
      </c>
      <c r="QRX16" s="284"/>
      <c r="QRY16" s="259" t="s">
        <v>55</v>
      </c>
      <c r="QRZ16" s="256" t="s">
        <v>76</v>
      </c>
      <c r="QSA16" s="256" t="s">
        <v>77</v>
      </c>
      <c r="QSB16" s="256" t="s">
        <v>78</v>
      </c>
      <c r="QSC16" s="256" t="s">
        <v>79</v>
      </c>
      <c r="QSD16" s="256" t="s">
        <v>80</v>
      </c>
      <c r="QSE16" s="256" t="s">
        <v>81</v>
      </c>
      <c r="QSF16" s="283"/>
      <c r="QSG16" s="259" t="s">
        <v>55</v>
      </c>
      <c r="QSH16" s="256" t="s">
        <v>76</v>
      </c>
      <c r="QSI16" s="256" t="s">
        <v>77</v>
      </c>
      <c r="QSJ16" s="256" t="s">
        <v>78</v>
      </c>
      <c r="QSK16" s="256" t="s">
        <v>79</v>
      </c>
      <c r="QSL16" s="256" t="s">
        <v>80</v>
      </c>
      <c r="QSM16" s="58" t="s">
        <v>81</v>
      </c>
      <c r="QSN16" s="284"/>
      <c r="QSO16" s="259" t="s">
        <v>55</v>
      </c>
      <c r="QSP16" s="256" t="s">
        <v>76</v>
      </c>
      <c r="QSQ16" s="256" t="s">
        <v>77</v>
      </c>
      <c r="QSR16" s="256" t="s">
        <v>78</v>
      </c>
      <c r="QSS16" s="256" t="s">
        <v>79</v>
      </c>
      <c r="QST16" s="256" t="s">
        <v>80</v>
      </c>
      <c r="QSU16" s="256" t="s">
        <v>81</v>
      </c>
      <c r="QSV16" s="283"/>
      <c r="QSW16" s="259" t="s">
        <v>55</v>
      </c>
      <c r="QSX16" s="256" t="s">
        <v>76</v>
      </c>
      <c r="QSY16" s="256" t="s">
        <v>77</v>
      </c>
      <c r="QSZ16" s="256" t="s">
        <v>78</v>
      </c>
      <c r="QTA16" s="256" t="s">
        <v>79</v>
      </c>
      <c r="QTB16" s="256" t="s">
        <v>80</v>
      </c>
      <c r="QTC16" s="58" t="s">
        <v>81</v>
      </c>
      <c r="QTD16" s="284"/>
      <c r="QTE16" s="259" t="s">
        <v>55</v>
      </c>
      <c r="QTF16" s="256" t="s">
        <v>76</v>
      </c>
      <c r="QTG16" s="256" t="s">
        <v>77</v>
      </c>
      <c r="QTH16" s="256" t="s">
        <v>78</v>
      </c>
      <c r="QTI16" s="256" t="s">
        <v>79</v>
      </c>
      <c r="QTJ16" s="256" t="s">
        <v>80</v>
      </c>
      <c r="QTK16" s="256" t="s">
        <v>81</v>
      </c>
      <c r="QTL16" s="283"/>
      <c r="QTM16" s="259" t="s">
        <v>55</v>
      </c>
      <c r="QTN16" s="256" t="s">
        <v>76</v>
      </c>
      <c r="QTO16" s="256" t="s">
        <v>77</v>
      </c>
      <c r="QTP16" s="256" t="s">
        <v>78</v>
      </c>
      <c r="QTQ16" s="256" t="s">
        <v>79</v>
      </c>
      <c r="QTR16" s="256" t="s">
        <v>80</v>
      </c>
      <c r="QTS16" s="58" t="s">
        <v>81</v>
      </c>
      <c r="QTT16" s="284"/>
      <c r="QTU16" s="259" t="s">
        <v>55</v>
      </c>
      <c r="QTV16" s="256" t="s">
        <v>76</v>
      </c>
      <c r="QTW16" s="256" t="s">
        <v>77</v>
      </c>
      <c r="QTX16" s="256" t="s">
        <v>78</v>
      </c>
      <c r="QTY16" s="256" t="s">
        <v>79</v>
      </c>
      <c r="QTZ16" s="256" t="s">
        <v>80</v>
      </c>
      <c r="QUA16" s="256" t="s">
        <v>81</v>
      </c>
      <c r="QUB16" s="283"/>
      <c r="QUC16" s="259" t="s">
        <v>55</v>
      </c>
      <c r="QUD16" s="256" t="s">
        <v>76</v>
      </c>
      <c r="QUE16" s="256" t="s">
        <v>77</v>
      </c>
      <c r="QUF16" s="256" t="s">
        <v>78</v>
      </c>
      <c r="QUG16" s="256" t="s">
        <v>79</v>
      </c>
      <c r="QUH16" s="256" t="s">
        <v>80</v>
      </c>
      <c r="QUI16" s="58" t="s">
        <v>81</v>
      </c>
      <c r="QUJ16" s="284"/>
      <c r="QUK16" s="259" t="s">
        <v>55</v>
      </c>
      <c r="QUL16" s="256" t="s">
        <v>76</v>
      </c>
      <c r="QUM16" s="256" t="s">
        <v>77</v>
      </c>
      <c r="QUN16" s="256" t="s">
        <v>78</v>
      </c>
      <c r="QUO16" s="256" t="s">
        <v>79</v>
      </c>
      <c r="QUP16" s="256" t="s">
        <v>80</v>
      </c>
      <c r="QUQ16" s="256" t="s">
        <v>81</v>
      </c>
      <c r="QUR16" s="283"/>
      <c r="QUS16" s="259" t="s">
        <v>55</v>
      </c>
      <c r="QUT16" s="256" t="s">
        <v>76</v>
      </c>
      <c r="QUU16" s="256" t="s">
        <v>77</v>
      </c>
      <c r="QUV16" s="256" t="s">
        <v>78</v>
      </c>
      <c r="QUW16" s="256" t="s">
        <v>79</v>
      </c>
      <c r="QUX16" s="256" t="s">
        <v>80</v>
      </c>
      <c r="QUY16" s="58" t="s">
        <v>81</v>
      </c>
      <c r="QUZ16" s="284"/>
      <c r="QVA16" s="259" t="s">
        <v>55</v>
      </c>
      <c r="QVB16" s="256" t="s">
        <v>76</v>
      </c>
      <c r="QVC16" s="256" t="s">
        <v>77</v>
      </c>
      <c r="QVD16" s="256" t="s">
        <v>78</v>
      </c>
      <c r="QVE16" s="256" t="s">
        <v>79</v>
      </c>
      <c r="QVF16" s="256" t="s">
        <v>80</v>
      </c>
      <c r="QVG16" s="256" t="s">
        <v>81</v>
      </c>
      <c r="QVH16" s="283"/>
      <c r="QVI16" s="259" t="s">
        <v>55</v>
      </c>
      <c r="QVJ16" s="256" t="s">
        <v>76</v>
      </c>
      <c r="QVK16" s="256" t="s">
        <v>77</v>
      </c>
      <c r="QVL16" s="256" t="s">
        <v>78</v>
      </c>
      <c r="QVM16" s="256" t="s">
        <v>79</v>
      </c>
      <c r="QVN16" s="256" t="s">
        <v>80</v>
      </c>
      <c r="QVO16" s="58" t="s">
        <v>81</v>
      </c>
      <c r="QVP16" s="284"/>
      <c r="QVQ16" s="259" t="s">
        <v>55</v>
      </c>
      <c r="QVR16" s="256" t="s">
        <v>76</v>
      </c>
      <c r="QVS16" s="256" t="s">
        <v>77</v>
      </c>
      <c r="QVT16" s="256" t="s">
        <v>78</v>
      </c>
      <c r="QVU16" s="256" t="s">
        <v>79</v>
      </c>
      <c r="QVV16" s="256" t="s">
        <v>80</v>
      </c>
      <c r="QVW16" s="256" t="s">
        <v>81</v>
      </c>
      <c r="QVX16" s="283"/>
      <c r="QVY16" s="259" t="s">
        <v>55</v>
      </c>
      <c r="QVZ16" s="256" t="s">
        <v>76</v>
      </c>
      <c r="QWA16" s="256" t="s">
        <v>77</v>
      </c>
      <c r="QWB16" s="256" t="s">
        <v>78</v>
      </c>
      <c r="QWC16" s="256" t="s">
        <v>79</v>
      </c>
      <c r="QWD16" s="256" t="s">
        <v>80</v>
      </c>
      <c r="QWE16" s="58" t="s">
        <v>81</v>
      </c>
      <c r="QWF16" s="284"/>
      <c r="QWG16" s="259" t="s">
        <v>55</v>
      </c>
      <c r="QWH16" s="256" t="s">
        <v>76</v>
      </c>
      <c r="QWI16" s="256" t="s">
        <v>77</v>
      </c>
      <c r="QWJ16" s="256" t="s">
        <v>78</v>
      </c>
      <c r="QWK16" s="256" t="s">
        <v>79</v>
      </c>
      <c r="QWL16" s="256" t="s">
        <v>80</v>
      </c>
      <c r="QWM16" s="256" t="s">
        <v>81</v>
      </c>
      <c r="QWN16" s="283"/>
      <c r="QWO16" s="259" t="s">
        <v>55</v>
      </c>
      <c r="QWP16" s="256" t="s">
        <v>76</v>
      </c>
      <c r="QWQ16" s="256" t="s">
        <v>77</v>
      </c>
      <c r="QWR16" s="256" t="s">
        <v>78</v>
      </c>
      <c r="QWS16" s="256" t="s">
        <v>79</v>
      </c>
      <c r="QWT16" s="256" t="s">
        <v>80</v>
      </c>
      <c r="QWU16" s="58" t="s">
        <v>81</v>
      </c>
      <c r="QWV16" s="284"/>
      <c r="QWW16" s="259" t="s">
        <v>55</v>
      </c>
      <c r="QWX16" s="256" t="s">
        <v>76</v>
      </c>
      <c r="QWY16" s="256" t="s">
        <v>77</v>
      </c>
      <c r="QWZ16" s="256" t="s">
        <v>78</v>
      </c>
      <c r="QXA16" s="256" t="s">
        <v>79</v>
      </c>
      <c r="QXB16" s="256" t="s">
        <v>80</v>
      </c>
      <c r="QXC16" s="256" t="s">
        <v>81</v>
      </c>
      <c r="QXD16" s="283"/>
      <c r="QXE16" s="259" t="s">
        <v>55</v>
      </c>
      <c r="QXF16" s="256" t="s">
        <v>76</v>
      </c>
      <c r="QXG16" s="256" t="s">
        <v>77</v>
      </c>
      <c r="QXH16" s="256" t="s">
        <v>78</v>
      </c>
      <c r="QXI16" s="256" t="s">
        <v>79</v>
      </c>
      <c r="QXJ16" s="256" t="s">
        <v>80</v>
      </c>
      <c r="QXK16" s="58" t="s">
        <v>81</v>
      </c>
      <c r="QXL16" s="284"/>
      <c r="QXM16" s="259" t="s">
        <v>55</v>
      </c>
      <c r="QXN16" s="256" t="s">
        <v>76</v>
      </c>
      <c r="QXO16" s="256" t="s">
        <v>77</v>
      </c>
      <c r="QXP16" s="256" t="s">
        <v>78</v>
      </c>
      <c r="QXQ16" s="256" t="s">
        <v>79</v>
      </c>
      <c r="QXR16" s="256" t="s">
        <v>80</v>
      </c>
      <c r="QXS16" s="256" t="s">
        <v>81</v>
      </c>
      <c r="QXT16" s="283"/>
      <c r="QXU16" s="259" t="s">
        <v>55</v>
      </c>
      <c r="QXV16" s="256" t="s">
        <v>76</v>
      </c>
      <c r="QXW16" s="256" t="s">
        <v>77</v>
      </c>
      <c r="QXX16" s="256" t="s">
        <v>78</v>
      </c>
      <c r="QXY16" s="256" t="s">
        <v>79</v>
      </c>
      <c r="QXZ16" s="256" t="s">
        <v>80</v>
      </c>
      <c r="QYA16" s="58" t="s">
        <v>81</v>
      </c>
      <c r="QYB16" s="284"/>
      <c r="QYC16" s="259" t="s">
        <v>55</v>
      </c>
      <c r="QYD16" s="256" t="s">
        <v>76</v>
      </c>
      <c r="QYE16" s="256" t="s">
        <v>77</v>
      </c>
      <c r="QYF16" s="256" t="s">
        <v>78</v>
      </c>
      <c r="QYG16" s="256" t="s">
        <v>79</v>
      </c>
      <c r="QYH16" s="256" t="s">
        <v>80</v>
      </c>
      <c r="QYI16" s="256" t="s">
        <v>81</v>
      </c>
      <c r="QYJ16" s="283"/>
      <c r="QYK16" s="259" t="s">
        <v>55</v>
      </c>
      <c r="QYL16" s="256" t="s">
        <v>76</v>
      </c>
      <c r="QYM16" s="256" t="s">
        <v>77</v>
      </c>
      <c r="QYN16" s="256" t="s">
        <v>78</v>
      </c>
      <c r="QYO16" s="256" t="s">
        <v>79</v>
      </c>
      <c r="QYP16" s="256" t="s">
        <v>80</v>
      </c>
      <c r="QYQ16" s="58" t="s">
        <v>81</v>
      </c>
      <c r="QYR16" s="284"/>
      <c r="QYS16" s="259" t="s">
        <v>55</v>
      </c>
      <c r="QYT16" s="256" t="s">
        <v>76</v>
      </c>
      <c r="QYU16" s="256" t="s">
        <v>77</v>
      </c>
      <c r="QYV16" s="256" t="s">
        <v>78</v>
      </c>
      <c r="QYW16" s="256" t="s">
        <v>79</v>
      </c>
      <c r="QYX16" s="256" t="s">
        <v>80</v>
      </c>
      <c r="QYY16" s="256" t="s">
        <v>81</v>
      </c>
      <c r="QYZ16" s="283"/>
      <c r="QZA16" s="259" t="s">
        <v>55</v>
      </c>
      <c r="QZB16" s="256" t="s">
        <v>76</v>
      </c>
      <c r="QZC16" s="256" t="s">
        <v>77</v>
      </c>
      <c r="QZD16" s="256" t="s">
        <v>78</v>
      </c>
      <c r="QZE16" s="256" t="s">
        <v>79</v>
      </c>
      <c r="QZF16" s="256" t="s">
        <v>80</v>
      </c>
      <c r="QZG16" s="58" t="s">
        <v>81</v>
      </c>
      <c r="QZH16" s="284"/>
      <c r="QZI16" s="259" t="s">
        <v>55</v>
      </c>
      <c r="QZJ16" s="256" t="s">
        <v>76</v>
      </c>
      <c r="QZK16" s="256" t="s">
        <v>77</v>
      </c>
      <c r="QZL16" s="256" t="s">
        <v>78</v>
      </c>
      <c r="QZM16" s="256" t="s">
        <v>79</v>
      </c>
      <c r="QZN16" s="256" t="s">
        <v>80</v>
      </c>
      <c r="QZO16" s="256" t="s">
        <v>81</v>
      </c>
      <c r="QZP16" s="283"/>
      <c r="QZQ16" s="259" t="s">
        <v>55</v>
      </c>
      <c r="QZR16" s="256" t="s">
        <v>76</v>
      </c>
      <c r="QZS16" s="256" t="s">
        <v>77</v>
      </c>
      <c r="QZT16" s="256" t="s">
        <v>78</v>
      </c>
      <c r="QZU16" s="256" t="s">
        <v>79</v>
      </c>
      <c r="QZV16" s="256" t="s">
        <v>80</v>
      </c>
      <c r="QZW16" s="58" t="s">
        <v>81</v>
      </c>
      <c r="QZX16" s="284"/>
      <c r="QZY16" s="259" t="s">
        <v>55</v>
      </c>
      <c r="QZZ16" s="256" t="s">
        <v>76</v>
      </c>
      <c r="RAA16" s="256" t="s">
        <v>77</v>
      </c>
      <c r="RAB16" s="256" t="s">
        <v>78</v>
      </c>
      <c r="RAC16" s="256" t="s">
        <v>79</v>
      </c>
      <c r="RAD16" s="256" t="s">
        <v>80</v>
      </c>
      <c r="RAE16" s="256" t="s">
        <v>81</v>
      </c>
      <c r="RAF16" s="283"/>
      <c r="RAG16" s="259" t="s">
        <v>55</v>
      </c>
      <c r="RAH16" s="256" t="s">
        <v>76</v>
      </c>
      <c r="RAI16" s="256" t="s">
        <v>77</v>
      </c>
      <c r="RAJ16" s="256" t="s">
        <v>78</v>
      </c>
      <c r="RAK16" s="256" t="s">
        <v>79</v>
      </c>
      <c r="RAL16" s="256" t="s">
        <v>80</v>
      </c>
      <c r="RAM16" s="58" t="s">
        <v>81</v>
      </c>
      <c r="RAN16" s="284"/>
      <c r="RAO16" s="259" t="s">
        <v>55</v>
      </c>
      <c r="RAP16" s="256" t="s">
        <v>76</v>
      </c>
      <c r="RAQ16" s="256" t="s">
        <v>77</v>
      </c>
      <c r="RAR16" s="256" t="s">
        <v>78</v>
      </c>
      <c r="RAS16" s="256" t="s">
        <v>79</v>
      </c>
      <c r="RAT16" s="256" t="s">
        <v>80</v>
      </c>
      <c r="RAU16" s="256" t="s">
        <v>81</v>
      </c>
      <c r="RAV16" s="283"/>
      <c r="RAW16" s="259" t="s">
        <v>55</v>
      </c>
      <c r="RAX16" s="256" t="s">
        <v>76</v>
      </c>
      <c r="RAY16" s="256" t="s">
        <v>77</v>
      </c>
      <c r="RAZ16" s="256" t="s">
        <v>78</v>
      </c>
      <c r="RBA16" s="256" t="s">
        <v>79</v>
      </c>
      <c r="RBB16" s="256" t="s">
        <v>80</v>
      </c>
      <c r="RBC16" s="58" t="s">
        <v>81</v>
      </c>
      <c r="RBD16" s="284"/>
      <c r="RBE16" s="259" t="s">
        <v>55</v>
      </c>
      <c r="RBF16" s="256" t="s">
        <v>76</v>
      </c>
      <c r="RBG16" s="256" t="s">
        <v>77</v>
      </c>
      <c r="RBH16" s="256" t="s">
        <v>78</v>
      </c>
      <c r="RBI16" s="256" t="s">
        <v>79</v>
      </c>
      <c r="RBJ16" s="256" t="s">
        <v>80</v>
      </c>
      <c r="RBK16" s="256" t="s">
        <v>81</v>
      </c>
      <c r="RBL16" s="283"/>
      <c r="RBM16" s="259" t="s">
        <v>55</v>
      </c>
      <c r="RBN16" s="256" t="s">
        <v>76</v>
      </c>
      <c r="RBO16" s="256" t="s">
        <v>77</v>
      </c>
      <c r="RBP16" s="256" t="s">
        <v>78</v>
      </c>
      <c r="RBQ16" s="256" t="s">
        <v>79</v>
      </c>
      <c r="RBR16" s="256" t="s">
        <v>80</v>
      </c>
      <c r="RBS16" s="58" t="s">
        <v>81</v>
      </c>
      <c r="RBT16" s="284"/>
      <c r="RBU16" s="259" t="s">
        <v>55</v>
      </c>
      <c r="RBV16" s="256" t="s">
        <v>76</v>
      </c>
      <c r="RBW16" s="256" t="s">
        <v>77</v>
      </c>
      <c r="RBX16" s="256" t="s">
        <v>78</v>
      </c>
      <c r="RBY16" s="256" t="s">
        <v>79</v>
      </c>
      <c r="RBZ16" s="256" t="s">
        <v>80</v>
      </c>
      <c r="RCA16" s="256" t="s">
        <v>81</v>
      </c>
      <c r="RCB16" s="283"/>
      <c r="RCC16" s="259" t="s">
        <v>55</v>
      </c>
      <c r="RCD16" s="256" t="s">
        <v>76</v>
      </c>
      <c r="RCE16" s="256" t="s">
        <v>77</v>
      </c>
      <c r="RCF16" s="256" t="s">
        <v>78</v>
      </c>
      <c r="RCG16" s="256" t="s">
        <v>79</v>
      </c>
      <c r="RCH16" s="256" t="s">
        <v>80</v>
      </c>
      <c r="RCI16" s="58" t="s">
        <v>81</v>
      </c>
      <c r="RCJ16" s="284"/>
      <c r="RCK16" s="259" t="s">
        <v>55</v>
      </c>
      <c r="RCL16" s="256" t="s">
        <v>76</v>
      </c>
      <c r="RCM16" s="256" t="s">
        <v>77</v>
      </c>
      <c r="RCN16" s="256" t="s">
        <v>78</v>
      </c>
      <c r="RCO16" s="256" t="s">
        <v>79</v>
      </c>
      <c r="RCP16" s="256" t="s">
        <v>80</v>
      </c>
      <c r="RCQ16" s="256" t="s">
        <v>81</v>
      </c>
      <c r="RCR16" s="283"/>
      <c r="RCS16" s="259" t="s">
        <v>55</v>
      </c>
      <c r="RCT16" s="256" t="s">
        <v>76</v>
      </c>
      <c r="RCU16" s="256" t="s">
        <v>77</v>
      </c>
      <c r="RCV16" s="256" t="s">
        <v>78</v>
      </c>
      <c r="RCW16" s="256" t="s">
        <v>79</v>
      </c>
      <c r="RCX16" s="256" t="s">
        <v>80</v>
      </c>
      <c r="RCY16" s="58" t="s">
        <v>81</v>
      </c>
      <c r="RCZ16" s="284"/>
      <c r="RDA16" s="259" t="s">
        <v>55</v>
      </c>
      <c r="RDB16" s="256" t="s">
        <v>76</v>
      </c>
      <c r="RDC16" s="256" t="s">
        <v>77</v>
      </c>
      <c r="RDD16" s="256" t="s">
        <v>78</v>
      </c>
      <c r="RDE16" s="256" t="s">
        <v>79</v>
      </c>
      <c r="RDF16" s="256" t="s">
        <v>80</v>
      </c>
      <c r="RDG16" s="256" t="s">
        <v>81</v>
      </c>
      <c r="RDH16" s="283"/>
      <c r="RDI16" s="259" t="s">
        <v>55</v>
      </c>
      <c r="RDJ16" s="256" t="s">
        <v>76</v>
      </c>
      <c r="RDK16" s="256" t="s">
        <v>77</v>
      </c>
      <c r="RDL16" s="256" t="s">
        <v>78</v>
      </c>
      <c r="RDM16" s="256" t="s">
        <v>79</v>
      </c>
      <c r="RDN16" s="256" t="s">
        <v>80</v>
      </c>
      <c r="RDO16" s="58" t="s">
        <v>81</v>
      </c>
      <c r="RDP16" s="284"/>
      <c r="RDQ16" s="259" t="s">
        <v>55</v>
      </c>
      <c r="RDR16" s="256" t="s">
        <v>76</v>
      </c>
      <c r="RDS16" s="256" t="s">
        <v>77</v>
      </c>
      <c r="RDT16" s="256" t="s">
        <v>78</v>
      </c>
      <c r="RDU16" s="256" t="s">
        <v>79</v>
      </c>
      <c r="RDV16" s="256" t="s">
        <v>80</v>
      </c>
      <c r="RDW16" s="256" t="s">
        <v>81</v>
      </c>
      <c r="RDX16" s="283"/>
      <c r="RDY16" s="259" t="s">
        <v>55</v>
      </c>
      <c r="RDZ16" s="256" t="s">
        <v>76</v>
      </c>
      <c r="REA16" s="256" t="s">
        <v>77</v>
      </c>
      <c r="REB16" s="256" t="s">
        <v>78</v>
      </c>
      <c r="REC16" s="256" t="s">
        <v>79</v>
      </c>
      <c r="RED16" s="256" t="s">
        <v>80</v>
      </c>
      <c r="REE16" s="58" t="s">
        <v>81</v>
      </c>
      <c r="REF16" s="284"/>
      <c r="REG16" s="259" t="s">
        <v>55</v>
      </c>
      <c r="REH16" s="256" t="s">
        <v>76</v>
      </c>
      <c r="REI16" s="256" t="s">
        <v>77</v>
      </c>
      <c r="REJ16" s="256" t="s">
        <v>78</v>
      </c>
      <c r="REK16" s="256" t="s">
        <v>79</v>
      </c>
      <c r="REL16" s="256" t="s">
        <v>80</v>
      </c>
      <c r="REM16" s="256" t="s">
        <v>81</v>
      </c>
      <c r="REN16" s="283"/>
      <c r="REO16" s="259" t="s">
        <v>55</v>
      </c>
      <c r="REP16" s="256" t="s">
        <v>76</v>
      </c>
      <c r="REQ16" s="256" t="s">
        <v>77</v>
      </c>
      <c r="RER16" s="256" t="s">
        <v>78</v>
      </c>
      <c r="RES16" s="256" t="s">
        <v>79</v>
      </c>
      <c r="RET16" s="256" t="s">
        <v>80</v>
      </c>
      <c r="REU16" s="58" t="s">
        <v>81</v>
      </c>
      <c r="REV16" s="284"/>
      <c r="REW16" s="259" t="s">
        <v>55</v>
      </c>
      <c r="REX16" s="256" t="s">
        <v>76</v>
      </c>
      <c r="REY16" s="256" t="s">
        <v>77</v>
      </c>
      <c r="REZ16" s="256" t="s">
        <v>78</v>
      </c>
      <c r="RFA16" s="256" t="s">
        <v>79</v>
      </c>
      <c r="RFB16" s="256" t="s">
        <v>80</v>
      </c>
      <c r="RFC16" s="256" t="s">
        <v>81</v>
      </c>
      <c r="RFD16" s="283"/>
      <c r="RFE16" s="259" t="s">
        <v>55</v>
      </c>
      <c r="RFF16" s="256" t="s">
        <v>76</v>
      </c>
      <c r="RFG16" s="256" t="s">
        <v>77</v>
      </c>
      <c r="RFH16" s="256" t="s">
        <v>78</v>
      </c>
      <c r="RFI16" s="256" t="s">
        <v>79</v>
      </c>
      <c r="RFJ16" s="256" t="s">
        <v>80</v>
      </c>
      <c r="RFK16" s="58" t="s">
        <v>81</v>
      </c>
      <c r="RFL16" s="284"/>
      <c r="RFM16" s="259" t="s">
        <v>55</v>
      </c>
      <c r="RFN16" s="256" t="s">
        <v>76</v>
      </c>
      <c r="RFO16" s="256" t="s">
        <v>77</v>
      </c>
      <c r="RFP16" s="256" t="s">
        <v>78</v>
      </c>
      <c r="RFQ16" s="256" t="s">
        <v>79</v>
      </c>
      <c r="RFR16" s="256" t="s">
        <v>80</v>
      </c>
      <c r="RFS16" s="256" t="s">
        <v>81</v>
      </c>
      <c r="RFT16" s="283"/>
      <c r="RFU16" s="259" t="s">
        <v>55</v>
      </c>
      <c r="RFV16" s="256" t="s">
        <v>76</v>
      </c>
      <c r="RFW16" s="256" t="s">
        <v>77</v>
      </c>
      <c r="RFX16" s="256" t="s">
        <v>78</v>
      </c>
      <c r="RFY16" s="256" t="s">
        <v>79</v>
      </c>
      <c r="RFZ16" s="256" t="s">
        <v>80</v>
      </c>
      <c r="RGA16" s="58" t="s">
        <v>81</v>
      </c>
      <c r="RGB16" s="284"/>
      <c r="RGC16" s="259" t="s">
        <v>55</v>
      </c>
      <c r="RGD16" s="256" t="s">
        <v>76</v>
      </c>
      <c r="RGE16" s="256" t="s">
        <v>77</v>
      </c>
      <c r="RGF16" s="256" t="s">
        <v>78</v>
      </c>
      <c r="RGG16" s="256" t="s">
        <v>79</v>
      </c>
      <c r="RGH16" s="256" t="s">
        <v>80</v>
      </c>
      <c r="RGI16" s="256" t="s">
        <v>81</v>
      </c>
      <c r="RGJ16" s="283"/>
      <c r="RGK16" s="259" t="s">
        <v>55</v>
      </c>
      <c r="RGL16" s="256" t="s">
        <v>76</v>
      </c>
      <c r="RGM16" s="256" t="s">
        <v>77</v>
      </c>
      <c r="RGN16" s="256" t="s">
        <v>78</v>
      </c>
      <c r="RGO16" s="256" t="s">
        <v>79</v>
      </c>
      <c r="RGP16" s="256" t="s">
        <v>80</v>
      </c>
      <c r="RGQ16" s="58" t="s">
        <v>81</v>
      </c>
      <c r="RGR16" s="284"/>
      <c r="RGS16" s="259" t="s">
        <v>55</v>
      </c>
      <c r="RGT16" s="256" t="s">
        <v>76</v>
      </c>
      <c r="RGU16" s="256" t="s">
        <v>77</v>
      </c>
      <c r="RGV16" s="256" t="s">
        <v>78</v>
      </c>
      <c r="RGW16" s="256" t="s">
        <v>79</v>
      </c>
      <c r="RGX16" s="256" t="s">
        <v>80</v>
      </c>
      <c r="RGY16" s="256" t="s">
        <v>81</v>
      </c>
      <c r="RGZ16" s="283"/>
      <c r="RHA16" s="259" t="s">
        <v>55</v>
      </c>
      <c r="RHB16" s="256" t="s">
        <v>76</v>
      </c>
      <c r="RHC16" s="256" t="s">
        <v>77</v>
      </c>
      <c r="RHD16" s="256" t="s">
        <v>78</v>
      </c>
      <c r="RHE16" s="256" t="s">
        <v>79</v>
      </c>
      <c r="RHF16" s="256" t="s">
        <v>80</v>
      </c>
      <c r="RHG16" s="58" t="s">
        <v>81</v>
      </c>
      <c r="RHH16" s="284"/>
      <c r="RHI16" s="259" t="s">
        <v>55</v>
      </c>
      <c r="RHJ16" s="256" t="s">
        <v>76</v>
      </c>
      <c r="RHK16" s="256" t="s">
        <v>77</v>
      </c>
      <c r="RHL16" s="256" t="s">
        <v>78</v>
      </c>
      <c r="RHM16" s="256" t="s">
        <v>79</v>
      </c>
      <c r="RHN16" s="256" t="s">
        <v>80</v>
      </c>
      <c r="RHO16" s="256" t="s">
        <v>81</v>
      </c>
      <c r="RHP16" s="283"/>
      <c r="RHQ16" s="259" t="s">
        <v>55</v>
      </c>
      <c r="RHR16" s="256" t="s">
        <v>76</v>
      </c>
      <c r="RHS16" s="256" t="s">
        <v>77</v>
      </c>
      <c r="RHT16" s="256" t="s">
        <v>78</v>
      </c>
      <c r="RHU16" s="256" t="s">
        <v>79</v>
      </c>
      <c r="RHV16" s="256" t="s">
        <v>80</v>
      </c>
      <c r="RHW16" s="58" t="s">
        <v>81</v>
      </c>
      <c r="RHX16" s="284"/>
      <c r="RHY16" s="259" t="s">
        <v>55</v>
      </c>
      <c r="RHZ16" s="256" t="s">
        <v>76</v>
      </c>
      <c r="RIA16" s="256" t="s">
        <v>77</v>
      </c>
      <c r="RIB16" s="256" t="s">
        <v>78</v>
      </c>
      <c r="RIC16" s="256" t="s">
        <v>79</v>
      </c>
      <c r="RID16" s="256" t="s">
        <v>80</v>
      </c>
      <c r="RIE16" s="256" t="s">
        <v>81</v>
      </c>
      <c r="RIF16" s="283"/>
      <c r="RIG16" s="259" t="s">
        <v>55</v>
      </c>
      <c r="RIH16" s="256" t="s">
        <v>76</v>
      </c>
      <c r="RII16" s="256" t="s">
        <v>77</v>
      </c>
      <c r="RIJ16" s="256" t="s">
        <v>78</v>
      </c>
      <c r="RIK16" s="256" t="s">
        <v>79</v>
      </c>
      <c r="RIL16" s="256" t="s">
        <v>80</v>
      </c>
      <c r="RIM16" s="58" t="s">
        <v>81</v>
      </c>
      <c r="RIN16" s="284"/>
      <c r="RIO16" s="259" t="s">
        <v>55</v>
      </c>
      <c r="RIP16" s="256" t="s">
        <v>76</v>
      </c>
      <c r="RIQ16" s="256" t="s">
        <v>77</v>
      </c>
      <c r="RIR16" s="256" t="s">
        <v>78</v>
      </c>
      <c r="RIS16" s="256" t="s">
        <v>79</v>
      </c>
      <c r="RIT16" s="256" t="s">
        <v>80</v>
      </c>
      <c r="RIU16" s="256" t="s">
        <v>81</v>
      </c>
      <c r="RIV16" s="283"/>
      <c r="RIW16" s="259" t="s">
        <v>55</v>
      </c>
      <c r="RIX16" s="256" t="s">
        <v>76</v>
      </c>
      <c r="RIY16" s="256" t="s">
        <v>77</v>
      </c>
      <c r="RIZ16" s="256" t="s">
        <v>78</v>
      </c>
      <c r="RJA16" s="256" t="s">
        <v>79</v>
      </c>
      <c r="RJB16" s="256" t="s">
        <v>80</v>
      </c>
      <c r="RJC16" s="58" t="s">
        <v>81</v>
      </c>
      <c r="RJD16" s="284"/>
      <c r="RJE16" s="259" t="s">
        <v>55</v>
      </c>
      <c r="RJF16" s="256" t="s">
        <v>76</v>
      </c>
      <c r="RJG16" s="256" t="s">
        <v>77</v>
      </c>
      <c r="RJH16" s="256" t="s">
        <v>78</v>
      </c>
      <c r="RJI16" s="256" t="s">
        <v>79</v>
      </c>
      <c r="RJJ16" s="256" t="s">
        <v>80</v>
      </c>
      <c r="RJK16" s="256" t="s">
        <v>81</v>
      </c>
      <c r="RJL16" s="283"/>
      <c r="RJM16" s="259" t="s">
        <v>55</v>
      </c>
      <c r="RJN16" s="256" t="s">
        <v>76</v>
      </c>
      <c r="RJO16" s="256" t="s">
        <v>77</v>
      </c>
      <c r="RJP16" s="256" t="s">
        <v>78</v>
      </c>
      <c r="RJQ16" s="256" t="s">
        <v>79</v>
      </c>
      <c r="RJR16" s="256" t="s">
        <v>80</v>
      </c>
      <c r="RJS16" s="58" t="s">
        <v>81</v>
      </c>
      <c r="RJT16" s="284"/>
      <c r="RJU16" s="259" t="s">
        <v>55</v>
      </c>
      <c r="RJV16" s="256" t="s">
        <v>76</v>
      </c>
      <c r="RJW16" s="256" t="s">
        <v>77</v>
      </c>
      <c r="RJX16" s="256" t="s">
        <v>78</v>
      </c>
      <c r="RJY16" s="256" t="s">
        <v>79</v>
      </c>
      <c r="RJZ16" s="256" t="s">
        <v>80</v>
      </c>
      <c r="RKA16" s="256" t="s">
        <v>81</v>
      </c>
      <c r="RKB16" s="283"/>
      <c r="RKC16" s="259" t="s">
        <v>55</v>
      </c>
      <c r="RKD16" s="256" t="s">
        <v>76</v>
      </c>
      <c r="RKE16" s="256" t="s">
        <v>77</v>
      </c>
      <c r="RKF16" s="256" t="s">
        <v>78</v>
      </c>
      <c r="RKG16" s="256" t="s">
        <v>79</v>
      </c>
      <c r="RKH16" s="256" t="s">
        <v>80</v>
      </c>
      <c r="RKI16" s="58" t="s">
        <v>81</v>
      </c>
      <c r="RKJ16" s="284"/>
      <c r="RKK16" s="259" t="s">
        <v>55</v>
      </c>
      <c r="RKL16" s="256" t="s">
        <v>76</v>
      </c>
      <c r="RKM16" s="256" t="s">
        <v>77</v>
      </c>
      <c r="RKN16" s="256" t="s">
        <v>78</v>
      </c>
      <c r="RKO16" s="256" t="s">
        <v>79</v>
      </c>
      <c r="RKP16" s="256" t="s">
        <v>80</v>
      </c>
      <c r="RKQ16" s="256" t="s">
        <v>81</v>
      </c>
      <c r="RKR16" s="283"/>
      <c r="RKS16" s="259" t="s">
        <v>55</v>
      </c>
      <c r="RKT16" s="256" t="s">
        <v>76</v>
      </c>
      <c r="RKU16" s="256" t="s">
        <v>77</v>
      </c>
      <c r="RKV16" s="256" t="s">
        <v>78</v>
      </c>
      <c r="RKW16" s="256" t="s">
        <v>79</v>
      </c>
      <c r="RKX16" s="256" t="s">
        <v>80</v>
      </c>
      <c r="RKY16" s="58" t="s">
        <v>81</v>
      </c>
      <c r="RKZ16" s="284"/>
      <c r="RLA16" s="259" t="s">
        <v>55</v>
      </c>
      <c r="RLB16" s="256" t="s">
        <v>76</v>
      </c>
      <c r="RLC16" s="256" t="s">
        <v>77</v>
      </c>
      <c r="RLD16" s="256" t="s">
        <v>78</v>
      </c>
      <c r="RLE16" s="256" t="s">
        <v>79</v>
      </c>
      <c r="RLF16" s="256" t="s">
        <v>80</v>
      </c>
      <c r="RLG16" s="256" t="s">
        <v>81</v>
      </c>
      <c r="RLH16" s="283"/>
      <c r="RLI16" s="259" t="s">
        <v>55</v>
      </c>
      <c r="RLJ16" s="256" t="s">
        <v>76</v>
      </c>
      <c r="RLK16" s="256" t="s">
        <v>77</v>
      </c>
      <c r="RLL16" s="256" t="s">
        <v>78</v>
      </c>
      <c r="RLM16" s="256" t="s">
        <v>79</v>
      </c>
      <c r="RLN16" s="256" t="s">
        <v>80</v>
      </c>
      <c r="RLO16" s="58" t="s">
        <v>81</v>
      </c>
      <c r="RLP16" s="284"/>
      <c r="RLQ16" s="259" t="s">
        <v>55</v>
      </c>
      <c r="RLR16" s="256" t="s">
        <v>76</v>
      </c>
      <c r="RLS16" s="256" t="s">
        <v>77</v>
      </c>
      <c r="RLT16" s="256" t="s">
        <v>78</v>
      </c>
      <c r="RLU16" s="256" t="s">
        <v>79</v>
      </c>
      <c r="RLV16" s="256" t="s">
        <v>80</v>
      </c>
      <c r="RLW16" s="256" t="s">
        <v>81</v>
      </c>
      <c r="RLX16" s="283"/>
      <c r="RLY16" s="259" t="s">
        <v>55</v>
      </c>
      <c r="RLZ16" s="256" t="s">
        <v>76</v>
      </c>
      <c r="RMA16" s="256" t="s">
        <v>77</v>
      </c>
      <c r="RMB16" s="256" t="s">
        <v>78</v>
      </c>
      <c r="RMC16" s="256" t="s">
        <v>79</v>
      </c>
      <c r="RMD16" s="256" t="s">
        <v>80</v>
      </c>
      <c r="RME16" s="58" t="s">
        <v>81</v>
      </c>
      <c r="RMF16" s="284"/>
      <c r="RMG16" s="259" t="s">
        <v>55</v>
      </c>
      <c r="RMH16" s="256" t="s">
        <v>76</v>
      </c>
      <c r="RMI16" s="256" t="s">
        <v>77</v>
      </c>
      <c r="RMJ16" s="256" t="s">
        <v>78</v>
      </c>
      <c r="RMK16" s="256" t="s">
        <v>79</v>
      </c>
      <c r="RML16" s="256" t="s">
        <v>80</v>
      </c>
      <c r="RMM16" s="256" t="s">
        <v>81</v>
      </c>
      <c r="RMN16" s="283"/>
      <c r="RMO16" s="259" t="s">
        <v>55</v>
      </c>
      <c r="RMP16" s="256" t="s">
        <v>76</v>
      </c>
      <c r="RMQ16" s="256" t="s">
        <v>77</v>
      </c>
      <c r="RMR16" s="256" t="s">
        <v>78</v>
      </c>
      <c r="RMS16" s="256" t="s">
        <v>79</v>
      </c>
      <c r="RMT16" s="256" t="s">
        <v>80</v>
      </c>
      <c r="RMU16" s="58" t="s">
        <v>81</v>
      </c>
      <c r="RMV16" s="284"/>
      <c r="RMW16" s="259" t="s">
        <v>55</v>
      </c>
      <c r="RMX16" s="256" t="s">
        <v>76</v>
      </c>
      <c r="RMY16" s="256" t="s">
        <v>77</v>
      </c>
      <c r="RMZ16" s="256" t="s">
        <v>78</v>
      </c>
      <c r="RNA16" s="256" t="s">
        <v>79</v>
      </c>
      <c r="RNB16" s="256" t="s">
        <v>80</v>
      </c>
      <c r="RNC16" s="256" t="s">
        <v>81</v>
      </c>
      <c r="RND16" s="283"/>
      <c r="RNE16" s="259" t="s">
        <v>55</v>
      </c>
      <c r="RNF16" s="256" t="s">
        <v>76</v>
      </c>
      <c r="RNG16" s="256" t="s">
        <v>77</v>
      </c>
      <c r="RNH16" s="256" t="s">
        <v>78</v>
      </c>
      <c r="RNI16" s="256" t="s">
        <v>79</v>
      </c>
      <c r="RNJ16" s="256" t="s">
        <v>80</v>
      </c>
      <c r="RNK16" s="58" t="s">
        <v>81</v>
      </c>
      <c r="RNL16" s="284"/>
      <c r="RNM16" s="259" t="s">
        <v>55</v>
      </c>
      <c r="RNN16" s="256" t="s">
        <v>76</v>
      </c>
      <c r="RNO16" s="256" t="s">
        <v>77</v>
      </c>
      <c r="RNP16" s="256" t="s">
        <v>78</v>
      </c>
      <c r="RNQ16" s="256" t="s">
        <v>79</v>
      </c>
      <c r="RNR16" s="256" t="s">
        <v>80</v>
      </c>
      <c r="RNS16" s="256" t="s">
        <v>81</v>
      </c>
      <c r="RNT16" s="283"/>
      <c r="RNU16" s="259" t="s">
        <v>55</v>
      </c>
      <c r="RNV16" s="256" t="s">
        <v>76</v>
      </c>
      <c r="RNW16" s="256" t="s">
        <v>77</v>
      </c>
      <c r="RNX16" s="256" t="s">
        <v>78</v>
      </c>
      <c r="RNY16" s="256" t="s">
        <v>79</v>
      </c>
      <c r="RNZ16" s="256" t="s">
        <v>80</v>
      </c>
      <c r="ROA16" s="58" t="s">
        <v>81</v>
      </c>
      <c r="ROB16" s="284"/>
      <c r="ROC16" s="259" t="s">
        <v>55</v>
      </c>
      <c r="ROD16" s="256" t="s">
        <v>76</v>
      </c>
      <c r="ROE16" s="256" t="s">
        <v>77</v>
      </c>
      <c r="ROF16" s="256" t="s">
        <v>78</v>
      </c>
      <c r="ROG16" s="256" t="s">
        <v>79</v>
      </c>
      <c r="ROH16" s="256" t="s">
        <v>80</v>
      </c>
      <c r="ROI16" s="256" t="s">
        <v>81</v>
      </c>
      <c r="ROJ16" s="283"/>
      <c r="ROK16" s="259" t="s">
        <v>55</v>
      </c>
      <c r="ROL16" s="256" t="s">
        <v>76</v>
      </c>
      <c r="ROM16" s="256" t="s">
        <v>77</v>
      </c>
      <c r="RON16" s="256" t="s">
        <v>78</v>
      </c>
      <c r="ROO16" s="256" t="s">
        <v>79</v>
      </c>
      <c r="ROP16" s="256" t="s">
        <v>80</v>
      </c>
      <c r="ROQ16" s="58" t="s">
        <v>81</v>
      </c>
      <c r="ROR16" s="284"/>
      <c r="ROS16" s="259" t="s">
        <v>55</v>
      </c>
      <c r="ROT16" s="256" t="s">
        <v>76</v>
      </c>
      <c r="ROU16" s="256" t="s">
        <v>77</v>
      </c>
      <c r="ROV16" s="256" t="s">
        <v>78</v>
      </c>
      <c r="ROW16" s="256" t="s">
        <v>79</v>
      </c>
      <c r="ROX16" s="256" t="s">
        <v>80</v>
      </c>
      <c r="ROY16" s="256" t="s">
        <v>81</v>
      </c>
      <c r="ROZ16" s="283"/>
      <c r="RPA16" s="259" t="s">
        <v>55</v>
      </c>
      <c r="RPB16" s="256" t="s">
        <v>76</v>
      </c>
      <c r="RPC16" s="256" t="s">
        <v>77</v>
      </c>
      <c r="RPD16" s="256" t="s">
        <v>78</v>
      </c>
      <c r="RPE16" s="256" t="s">
        <v>79</v>
      </c>
      <c r="RPF16" s="256" t="s">
        <v>80</v>
      </c>
      <c r="RPG16" s="58" t="s">
        <v>81</v>
      </c>
      <c r="RPH16" s="284"/>
      <c r="RPI16" s="259" t="s">
        <v>55</v>
      </c>
      <c r="RPJ16" s="256" t="s">
        <v>76</v>
      </c>
      <c r="RPK16" s="256" t="s">
        <v>77</v>
      </c>
      <c r="RPL16" s="256" t="s">
        <v>78</v>
      </c>
      <c r="RPM16" s="256" t="s">
        <v>79</v>
      </c>
      <c r="RPN16" s="256" t="s">
        <v>80</v>
      </c>
      <c r="RPO16" s="256" t="s">
        <v>81</v>
      </c>
      <c r="RPP16" s="283"/>
      <c r="RPQ16" s="259" t="s">
        <v>55</v>
      </c>
      <c r="RPR16" s="256" t="s">
        <v>76</v>
      </c>
      <c r="RPS16" s="256" t="s">
        <v>77</v>
      </c>
      <c r="RPT16" s="256" t="s">
        <v>78</v>
      </c>
      <c r="RPU16" s="256" t="s">
        <v>79</v>
      </c>
      <c r="RPV16" s="256" t="s">
        <v>80</v>
      </c>
      <c r="RPW16" s="58" t="s">
        <v>81</v>
      </c>
      <c r="RPX16" s="284"/>
      <c r="RPY16" s="259" t="s">
        <v>55</v>
      </c>
      <c r="RPZ16" s="256" t="s">
        <v>76</v>
      </c>
      <c r="RQA16" s="256" t="s">
        <v>77</v>
      </c>
      <c r="RQB16" s="256" t="s">
        <v>78</v>
      </c>
      <c r="RQC16" s="256" t="s">
        <v>79</v>
      </c>
      <c r="RQD16" s="256" t="s">
        <v>80</v>
      </c>
      <c r="RQE16" s="256" t="s">
        <v>81</v>
      </c>
      <c r="RQF16" s="283"/>
      <c r="RQG16" s="259" t="s">
        <v>55</v>
      </c>
      <c r="RQH16" s="256" t="s">
        <v>76</v>
      </c>
      <c r="RQI16" s="256" t="s">
        <v>77</v>
      </c>
      <c r="RQJ16" s="256" t="s">
        <v>78</v>
      </c>
      <c r="RQK16" s="256" t="s">
        <v>79</v>
      </c>
      <c r="RQL16" s="256" t="s">
        <v>80</v>
      </c>
      <c r="RQM16" s="58" t="s">
        <v>81</v>
      </c>
      <c r="RQN16" s="284"/>
      <c r="RQO16" s="259" t="s">
        <v>55</v>
      </c>
      <c r="RQP16" s="256" t="s">
        <v>76</v>
      </c>
      <c r="RQQ16" s="256" t="s">
        <v>77</v>
      </c>
      <c r="RQR16" s="256" t="s">
        <v>78</v>
      </c>
      <c r="RQS16" s="256" t="s">
        <v>79</v>
      </c>
      <c r="RQT16" s="256" t="s">
        <v>80</v>
      </c>
      <c r="RQU16" s="256" t="s">
        <v>81</v>
      </c>
      <c r="RQV16" s="283"/>
      <c r="RQW16" s="259" t="s">
        <v>55</v>
      </c>
      <c r="RQX16" s="256" t="s">
        <v>76</v>
      </c>
      <c r="RQY16" s="256" t="s">
        <v>77</v>
      </c>
      <c r="RQZ16" s="256" t="s">
        <v>78</v>
      </c>
      <c r="RRA16" s="256" t="s">
        <v>79</v>
      </c>
      <c r="RRB16" s="256" t="s">
        <v>80</v>
      </c>
      <c r="RRC16" s="58" t="s">
        <v>81</v>
      </c>
      <c r="RRD16" s="284"/>
      <c r="RRE16" s="259" t="s">
        <v>55</v>
      </c>
      <c r="RRF16" s="256" t="s">
        <v>76</v>
      </c>
      <c r="RRG16" s="256" t="s">
        <v>77</v>
      </c>
      <c r="RRH16" s="256" t="s">
        <v>78</v>
      </c>
      <c r="RRI16" s="256" t="s">
        <v>79</v>
      </c>
      <c r="RRJ16" s="256" t="s">
        <v>80</v>
      </c>
      <c r="RRK16" s="256" t="s">
        <v>81</v>
      </c>
      <c r="RRL16" s="283"/>
      <c r="RRM16" s="259" t="s">
        <v>55</v>
      </c>
      <c r="RRN16" s="256" t="s">
        <v>76</v>
      </c>
      <c r="RRO16" s="256" t="s">
        <v>77</v>
      </c>
      <c r="RRP16" s="256" t="s">
        <v>78</v>
      </c>
      <c r="RRQ16" s="256" t="s">
        <v>79</v>
      </c>
      <c r="RRR16" s="256" t="s">
        <v>80</v>
      </c>
      <c r="RRS16" s="58" t="s">
        <v>81</v>
      </c>
      <c r="RRT16" s="284"/>
      <c r="RRU16" s="259" t="s">
        <v>55</v>
      </c>
      <c r="RRV16" s="256" t="s">
        <v>76</v>
      </c>
      <c r="RRW16" s="256" t="s">
        <v>77</v>
      </c>
      <c r="RRX16" s="256" t="s">
        <v>78</v>
      </c>
      <c r="RRY16" s="256" t="s">
        <v>79</v>
      </c>
      <c r="RRZ16" s="256" t="s">
        <v>80</v>
      </c>
      <c r="RSA16" s="256" t="s">
        <v>81</v>
      </c>
      <c r="RSB16" s="283"/>
      <c r="RSC16" s="259" t="s">
        <v>55</v>
      </c>
      <c r="RSD16" s="256" t="s">
        <v>76</v>
      </c>
      <c r="RSE16" s="256" t="s">
        <v>77</v>
      </c>
      <c r="RSF16" s="256" t="s">
        <v>78</v>
      </c>
      <c r="RSG16" s="256" t="s">
        <v>79</v>
      </c>
      <c r="RSH16" s="256" t="s">
        <v>80</v>
      </c>
      <c r="RSI16" s="58" t="s">
        <v>81</v>
      </c>
      <c r="RSJ16" s="284"/>
      <c r="RSK16" s="259" t="s">
        <v>55</v>
      </c>
      <c r="RSL16" s="256" t="s">
        <v>76</v>
      </c>
      <c r="RSM16" s="256" t="s">
        <v>77</v>
      </c>
      <c r="RSN16" s="256" t="s">
        <v>78</v>
      </c>
      <c r="RSO16" s="256" t="s">
        <v>79</v>
      </c>
      <c r="RSP16" s="256" t="s">
        <v>80</v>
      </c>
      <c r="RSQ16" s="256" t="s">
        <v>81</v>
      </c>
      <c r="RSR16" s="283"/>
      <c r="RSS16" s="259" t="s">
        <v>55</v>
      </c>
      <c r="RST16" s="256" t="s">
        <v>76</v>
      </c>
      <c r="RSU16" s="256" t="s">
        <v>77</v>
      </c>
      <c r="RSV16" s="256" t="s">
        <v>78</v>
      </c>
      <c r="RSW16" s="256" t="s">
        <v>79</v>
      </c>
      <c r="RSX16" s="256" t="s">
        <v>80</v>
      </c>
      <c r="RSY16" s="58" t="s">
        <v>81</v>
      </c>
      <c r="RSZ16" s="284"/>
      <c r="RTA16" s="259" t="s">
        <v>55</v>
      </c>
      <c r="RTB16" s="256" t="s">
        <v>76</v>
      </c>
      <c r="RTC16" s="256" t="s">
        <v>77</v>
      </c>
      <c r="RTD16" s="256" t="s">
        <v>78</v>
      </c>
      <c r="RTE16" s="256" t="s">
        <v>79</v>
      </c>
      <c r="RTF16" s="256" t="s">
        <v>80</v>
      </c>
      <c r="RTG16" s="256" t="s">
        <v>81</v>
      </c>
      <c r="RTH16" s="283"/>
      <c r="RTI16" s="259" t="s">
        <v>55</v>
      </c>
      <c r="RTJ16" s="256" t="s">
        <v>76</v>
      </c>
      <c r="RTK16" s="256" t="s">
        <v>77</v>
      </c>
      <c r="RTL16" s="256" t="s">
        <v>78</v>
      </c>
      <c r="RTM16" s="256" t="s">
        <v>79</v>
      </c>
      <c r="RTN16" s="256" t="s">
        <v>80</v>
      </c>
      <c r="RTO16" s="58" t="s">
        <v>81</v>
      </c>
      <c r="RTP16" s="284"/>
      <c r="RTQ16" s="259" t="s">
        <v>55</v>
      </c>
      <c r="RTR16" s="256" t="s">
        <v>76</v>
      </c>
      <c r="RTS16" s="256" t="s">
        <v>77</v>
      </c>
      <c r="RTT16" s="256" t="s">
        <v>78</v>
      </c>
      <c r="RTU16" s="256" t="s">
        <v>79</v>
      </c>
      <c r="RTV16" s="256" t="s">
        <v>80</v>
      </c>
      <c r="RTW16" s="256" t="s">
        <v>81</v>
      </c>
      <c r="RTX16" s="283"/>
      <c r="RTY16" s="259" t="s">
        <v>55</v>
      </c>
      <c r="RTZ16" s="256" t="s">
        <v>76</v>
      </c>
      <c r="RUA16" s="256" t="s">
        <v>77</v>
      </c>
      <c r="RUB16" s="256" t="s">
        <v>78</v>
      </c>
      <c r="RUC16" s="256" t="s">
        <v>79</v>
      </c>
      <c r="RUD16" s="256" t="s">
        <v>80</v>
      </c>
      <c r="RUE16" s="58" t="s">
        <v>81</v>
      </c>
      <c r="RUF16" s="284"/>
      <c r="RUG16" s="259" t="s">
        <v>55</v>
      </c>
      <c r="RUH16" s="256" t="s">
        <v>76</v>
      </c>
      <c r="RUI16" s="256" t="s">
        <v>77</v>
      </c>
      <c r="RUJ16" s="256" t="s">
        <v>78</v>
      </c>
      <c r="RUK16" s="256" t="s">
        <v>79</v>
      </c>
      <c r="RUL16" s="256" t="s">
        <v>80</v>
      </c>
      <c r="RUM16" s="256" t="s">
        <v>81</v>
      </c>
      <c r="RUN16" s="283"/>
      <c r="RUO16" s="259" t="s">
        <v>55</v>
      </c>
      <c r="RUP16" s="256" t="s">
        <v>76</v>
      </c>
      <c r="RUQ16" s="256" t="s">
        <v>77</v>
      </c>
      <c r="RUR16" s="256" t="s">
        <v>78</v>
      </c>
      <c r="RUS16" s="256" t="s">
        <v>79</v>
      </c>
      <c r="RUT16" s="256" t="s">
        <v>80</v>
      </c>
      <c r="RUU16" s="58" t="s">
        <v>81</v>
      </c>
      <c r="RUV16" s="284"/>
      <c r="RUW16" s="259" t="s">
        <v>55</v>
      </c>
      <c r="RUX16" s="256" t="s">
        <v>76</v>
      </c>
      <c r="RUY16" s="256" t="s">
        <v>77</v>
      </c>
      <c r="RUZ16" s="256" t="s">
        <v>78</v>
      </c>
      <c r="RVA16" s="256" t="s">
        <v>79</v>
      </c>
      <c r="RVB16" s="256" t="s">
        <v>80</v>
      </c>
      <c r="RVC16" s="256" t="s">
        <v>81</v>
      </c>
      <c r="RVD16" s="283"/>
      <c r="RVE16" s="259" t="s">
        <v>55</v>
      </c>
      <c r="RVF16" s="256" t="s">
        <v>76</v>
      </c>
      <c r="RVG16" s="256" t="s">
        <v>77</v>
      </c>
      <c r="RVH16" s="256" t="s">
        <v>78</v>
      </c>
      <c r="RVI16" s="256" t="s">
        <v>79</v>
      </c>
      <c r="RVJ16" s="256" t="s">
        <v>80</v>
      </c>
      <c r="RVK16" s="58" t="s">
        <v>81</v>
      </c>
      <c r="RVL16" s="284"/>
      <c r="RVM16" s="259" t="s">
        <v>55</v>
      </c>
      <c r="RVN16" s="256" t="s">
        <v>76</v>
      </c>
      <c r="RVO16" s="256" t="s">
        <v>77</v>
      </c>
      <c r="RVP16" s="256" t="s">
        <v>78</v>
      </c>
      <c r="RVQ16" s="256" t="s">
        <v>79</v>
      </c>
      <c r="RVR16" s="256" t="s">
        <v>80</v>
      </c>
      <c r="RVS16" s="256" t="s">
        <v>81</v>
      </c>
      <c r="RVT16" s="283"/>
      <c r="RVU16" s="259" t="s">
        <v>55</v>
      </c>
      <c r="RVV16" s="256" t="s">
        <v>76</v>
      </c>
      <c r="RVW16" s="256" t="s">
        <v>77</v>
      </c>
      <c r="RVX16" s="256" t="s">
        <v>78</v>
      </c>
      <c r="RVY16" s="256" t="s">
        <v>79</v>
      </c>
      <c r="RVZ16" s="256" t="s">
        <v>80</v>
      </c>
      <c r="RWA16" s="58" t="s">
        <v>81</v>
      </c>
      <c r="RWB16" s="284"/>
      <c r="RWC16" s="259" t="s">
        <v>55</v>
      </c>
      <c r="RWD16" s="256" t="s">
        <v>76</v>
      </c>
      <c r="RWE16" s="256" t="s">
        <v>77</v>
      </c>
      <c r="RWF16" s="256" t="s">
        <v>78</v>
      </c>
      <c r="RWG16" s="256" t="s">
        <v>79</v>
      </c>
      <c r="RWH16" s="256" t="s">
        <v>80</v>
      </c>
      <c r="RWI16" s="256" t="s">
        <v>81</v>
      </c>
      <c r="RWJ16" s="283"/>
      <c r="RWK16" s="259" t="s">
        <v>55</v>
      </c>
      <c r="RWL16" s="256" t="s">
        <v>76</v>
      </c>
      <c r="RWM16" s="256" t="s">
        <v>77</v>
      </c>
      <c r="RWN16" s="256" t="s">
        <v>78</v>
      </c>
      <c r="RWO16" s="256" t="s">
        <v>79</v>
      </c>
      <c r="RWP16" s="256" t="s">
        <v>80</v>
      </c>
      <c r="RWQ16" s="58" t="s">
        <v>81</v>
      </c>
      <c r="RWR16" s="284"/>
      <c r="RWS16" s="259" t="s">
        <v>55</v>
      </c>
      <c r="RWT16" s="256" t="s">
        <v>76</v>
      </c>
      <c r="RWU16" s="256" t="s">
        <v>77</v>
      </c>
      <c r="RWV16" s="256" t="s">
        <v>78</v>
      </c>
      <c r="RWW16" s="256" t="s">
        <v>79</v>
      </c>
      <c r="RWX16" s="256" t="s">
        <v>80</v>
      </c>
      <c r="RWY16" s="256" t="s">
        <v>81</v>
      </c>
      <c r="RWZ16" s="283"/>
      <c r="RXA16" s="259" t="s">
        <v>55</v>
      </c>
      <c r="RXB16" s="256" t="s">
        <v>76</v>
      </c>
      <c r="RXC16" s="256" t="s">
        <v>77</v>
      </c>
      <c r="RXD16" s="256" t="s">
        <v>78</v>
      </c>
      <c r="RXE16" s="256" t="s">
        <v>79</v>
      </c>
      <c r="RXF16" s="256" t="s">
        <v>80</v>
      </c>
      <c r="RXG16" s="58" t="s">
        <v>81</v>
      </c>
      <c r="RXH16" s="284"/>
      <c r="RXI16" s="259" t="s">
        <v>55</v>
      </c>
      <c r="RXJ16" s="256" t="s">
        <v>76</v>
      </c>
      <c r="RXK16" s="256" t="s">
        <v>77</v>
      </c>
      <c r="RXL16" s="256" t="s">
        <v>78</v>
      </c>
      <c r="RXM16" s="256" t="s">
        <v>79</v>
      </c>
      <c r="RXN16" s="256" t="s">
        <v>80</v>
      </c>
      <c r="RXO16" s="256" t="s">
        <v>81</v>
      </c>
      <c r="RXP16" s="283"/>
      <c r="RXQ16" s="259" t="s">
        <v>55</v>
      </c>
      <c r="RXR16" s="256" t="s">
        <v>76</v>
      </c>
      <c r="RXS16" s="256" t="s">
        <v>77</v>
      </c>
      <c r="RXT16" s="256" t="s">
        <v>78</v>
      </c>
      <c r="RXU16" s="256" t="s">
        <v>79</v>
      </c>
      <c r="RXV16" s="256" t="s">
        <v>80</v>
      </c>
      <c r="RXW16" s="58" t="s">
        <v>81</v>
      </c>
      <c r="RXX16" s="284"/>
      <c r="RXY16" s="259" t="s">
        <v>55</v>
      </c>
      <c r="RXZ16" s="256" t="s">
        <v>76</v>
      </c>
      <c r="RYA16" s="256" t="s">
        <v>77</v>
      </c>
      <c r="RYB16" s="256" t="s">
        <v>78</v>
      </c>
      <c r="RYC16" s="256" t="s">
        <v>79</v>
      </c>
      <c r="RYD16" s="256" t="s">
        <v>80</v>
      </c>
      <c r="RYE16" s="256" t="s">
        <v>81</v>
      </c>
      <c r="RYF16" s="283"/>
      <c r="RYG16" s="259" t="s">
        <v>55</v>
      </c>
      <c r="RYH16" s="256" t="s">
        <v>76</v>
      </c>
      <c r="RYI16" s="256" t="s">
        <v>77</v>
      </c>
      <c r="RYJ16" s="256" t="s">
        <v>78</v>
      </c>
      <c r="RYK16" s="256" t="s">
        <v>79</v>
      </c>
      <c r="RYL16" s="256" t="s">
        <v>80</v>
      </c>
      <c r="RYM16" s="58" t="s">
        <v>81</v>
      </c>
      <c r="RYN16" s="284"/>
      <c r="RYO16" s="259" t="s">
        <v>55</v>
      </c>
      <c r="RYP16" s="256" t="s">
        <v>76</v>
      </c>
      <c r="RYQ16" s="256" t="s">
        <v>77</v>
      </c>
      <c r="RYR16" s="256" t="s">
        <v>78</v>
      </c>
      <c r="RYS16" s="256" t="s">
        <v>79</v>
      </c>
      <c r="RYT16" s="256" t="s">
        <v>80</v>
      </c>
      <c r="RYU16" s="256" t="s">
        <v>81</v>
      </c>
      <c r="RYV16" s="283"/>
      <c r="RYW16" s="259" t="s">
        <v>55</v>
      </c>
      <c r="RYX16" s="256" t="s">
        <v>76</v>
      </c>
      <c r="RYY16" s="256" t="s">
        <v>77</v>
      </c>
      <c r="RYZ16" s="256" t="s">
        <v>78</v>
      </c>
      <c r="RZA16" s="256" t="s">
        <v>79</v>
      </c>
      <c r="RZB16" s="256" t="s">
        <v>80</v>
      </c>
      <c r="RZC16" s="58" t="s">
        <v>81</v>
      </c>
      <c r="RZD16" s="284"/>
      <c r="RZE16" s="259" t="s">
        <v>55</v>
      </c>
      <c r="RZF16" s="256" t="s">
        <v>76</v>
      </c>
      <c r="RZG16" s="256" t="s">
        <v>77</v>
      </c>
      <c r="RZH16" s="256" t="s">
        <v>78</v>
      </c>
      <c r="RZI16" s="256" t="s">
        <v>79</v>
      </c>
      <c r="RZJ16" s="256" t="s">
        <v>80</v>
      </c>
      <c r="RZK16" s="256" t="s">
        <v>81</v>
      </c>
      <c r="RZL16" s="283"/>
      <c r="RZM16" s="259" t="s">
        <v>55</v>
      </c>
      <c r="RZN16" s="256" t="s">
        <v>76</v>
      </c>
      <c r="RZO16" s="256" t="s">
        <v>77</v>
      </c>
      <c r="RZP16" s="256" t="s">
        <v>78</v>
      </c>
      <c r="RZQ16" s="256" t="s">
        <v>79</v>
      </c>
      <c r="RZR16" s="256" t="s">
        <v>80</v>
      </c>
      <c r="RZS16" s="58" t="s">
        <v>81</v>
      </c>
      <c r="RZT16" s="284"/>
      <c r="RZU16" s="259" t="s">
        <v>55</v>
      </c>
      <c r="RZV16" s="256" t="s">
        <v>76</v>
      </c>
      <c r="RZW16" s="256" t="s">
        <v>77</v>
      </c>
      <c r="RZX16" s="256" t="s">
        <v>78</v>
      </c>
      <c r="RZY16" s="256" t="s">
        <v>79</v>
      </c>
      <c r="RZZ16" s="256" t="s">
        <v>80</v>
      </c>
      <c r="SAA16" s="256" t="s">
        <v>81</v>
      </c>
      <c r="SAB16" s="283"/>
      <c r="SAC16" s="259" t="s">
        <v>55</v>
      </c>
      <c r="SAD16" s="256" t="s">
        <v>76</v>
      </c>
      <c r="SAE16" s="256" t="s">
        <v>77</v>
      </c>
      <c r="SAF16" s="256" t="s">
        <v>78</v>
      </c>
      <c r="SAG16" s="256" t="s">
        <v>79</v>
      </c>
      <c r="SAH16" s="256" t="s">
        <v>80</v>
      </c>
      <c r="SAI16" s="58" t="s">
        <v>81</v>
      </c>
      <c r="SAJ16" s="284"/>
      <c r="SAK16" s="259" t="s">
        <v>55</v>
      </c>
      <c r="SAL16" s="256" t="s">
        <v>76</v>
      </c>
      <c r="SAM16" s="256" t="s">
        <v>77</v>
      </c>
      <c r="SAN16" s="256" t="s">
        <v>78</v>
      </c>
      <c r="SAO16" s="256" t="s">
        <v>79</v>
      </c>
      <c r="SAP16" s="256" t="s">
        <v>80</v>
      </c>
      <c r="SAQ16" s="256" t="s">
        <v>81</v>
      </c>
      <c r="SAR16" s="283"/>
      <c r="SAS16" s="259" t="s">
        <v>55</v>
      </c>
      <c r="SAT16" s="256" t="s">
        <v>76</v>
      </c>
      <c r="SAU16" s="256" t="s">
        <v>77</v>
      </c>
      <c r="SAV16" s="256" t="s">
        <v>78</v>
      </c>
      <c r="SAW16" s="256" t="s">
        <v>79</v>
      </c>
      <c r="SAX16" s="256" t="s">
        <v>80</v>
      </c>
      <c r="SAY16" s="58" t="s">
        <v>81</v>
      </c>
      <c r="SAZ16" s="284"/>
      <c r="SBA16" s="259" t="s">
        <v>55</v>
      </c>
      <c r="SBB16" s="256" t="s">
        <v>76</v>
      </c>
      <c r="SBC16" s="256" t="s">
        <v>77</v>
      </c>
      <c r="SBD16" s="256" t="s">
        <v>78</v>
      </c>
      <c r="SBE16" s="256" t="s">
        <v>79</v>
      </c>
      <c r="SBF16" s="256" t="s">
        <v>80</v>
      </c>
      <c r="SBG16" s="256" t="s">
        <v>81</v>
      </c>
      <c r="SBH16" s="283"/>
      <c r="SBI16" s="259" t="s">
        <v>55</v>
      </c>
      <c r="SBJ16" s="256" t="s">
        <v>76</v>
      </c>
      <c r="SBK16" s="256" t="s">
        <v>77</v>
      </c>
      <c r="SBL16" s="256" t="s">
        <v>78</v>
      </c>
      <c r="SBM16" s="256" t="s">
        <v>79</v>
      </c>
      <c r="SBN16" s="256" t="s">
        <v>80</v>
      </c>
      <c r="SBO16" s="58" t="s">
        <v>81</v>
      </c>
      <c r="SBP16" s="284"/>
      <c r="SBQ16" s="259" t="s">
        <v>55</v>
      </c>
      <c r="SBR16" s="256" t="s">
        <v>76</v>
      </c>
      <c r="SBS16" s="256" t="s">
        <v>77</v>
      </c>
      <c r="SBT16" s="256" t="s">
        <v>78</v>
      </c>
      <c r="SBU16" s="256" t="s">
        <v>79</v>
      </c>
      <c r="SBV16" s="256" t="s">
        <v>80</v>
      </c>
      <c r="SBW16" s="256" t="s">
        <v>81</v>
      </c>
      <c r="SBX16" s="283"/>
      <c r="SBY16" s="259" t="s">
        <v>55</v>
      </c>
      <c r="SBZ16" s="256" t="s">
        <v>76</v>
      </c>
      <c r="SCA16" s="256" t="s">
        <v>77</v>
      </c>
      <c r="SCB16" s="256" t="s">
        <v>78</v>
      </c>
      <c r="SCC16" s="256" t="s">
        <v>79</v>
      </c>
      <c r="SCD16" s="256" t="s">
        <v>80</v>
      </c>
      <c r="SCE16" s="58" t="s">
        <v>81</v>
      </c>
      <c r="SCF16" s="284"/>
      <c r="SCG16" s="259" t="s">
        <v>55</v>
      </c>
      <c r="SCH16" s="256" t="s">
        <v>76</v>
      </c>
      <c r="SCI16" s="256" t="s">
        <v>77</v>
      </c>
      <c r="SCJ16" s="256" t="s">
        <v>78</v>
      </c>
      <c r="SCK16" s="256" t="s">
        <v>79</v>
      </c>
      <c r="SCL16" s="256" t="s">
        <v>80</v>
      </c>
      <c r="SCM16" s="256" t="s">
        <v>81</v>
      </c>
      <c r="SCN16" s="283"/>
      <c r="SCO16" s="259" t="s">
        <v>55</v>
      </c>
      <c r="SCP16" s="256" t="s">
        <v>76</v>
      </c>
      <c r="SCQ16" s="256" t="s">
        <v>77</v>
      </c>
      <c r="SCR16" s="256" t="s">
        <v>78</v>
      </c>
      <c r="SCS16" s="256" t="s">
        <v>79</v>
      </c>
      <c r="SCT16" s="256" t="s">
        <v>80</v>
      </c>
      <c r="SCU16" s="58" t="s">
        <v>81</v>
      </c>
      <c r="SCV16" s="284"/>
      <c r="SCW16" s="259" t="s">
        <v>55</v>
      </c>
      <c r="SCX16" s="256" t="s">
        <v>76</v>
      </c>
      <c r="SCY16" s="256" t="s">
        <v>77</v>
      </c>
      <c r="SCZ16" s="256" t="s">
        <v>78</v>
      </c>
      <c r="SDA16" s="256" t="s">
        <v>79</v>
      </c>
      <c r="SDB16" s="256" t="s">
        <v>80</v>
      </c>
      <c r="SDC16" s="256" t="s">
        <v>81</v>
      </c>
      <c r="SDD16" s="283"/>
      <c r="SDE16" s="259" t="s">
        <v>55</v>
      </c>
      <c r="SDF16" s="256" t="s">
        <v>76</v>
      </c>
      <c r="SDG16" s="256" t="s">
        <v>77</v>
      </c>
      <c r="SDH16" s="256" t="s">
        <v>78</v>
      </c>
      <c r="SDI16" s="256" t="s">
        <v>79</v>
      </c>
      <c r="SDJ16" s="256" t="s">
        <v>80</v>
      </c>
      <c r="SDK16" s="58" t="s">
        <v>81</v>
      </c>
      <c r="SDL16" s="284"/>
      <c r="SDM16" s="259" t="s">
        <v>55</v>
      </c>
      <c r="SDN16" s="256" t="s">
        <v>76</v>
      </c>
      <c r="SDO16" s="256" t="s">
        <v>77</v>
      </c>
      <c r="SDP16" s="256" t="s">
        <v>78</v>
      </c>
      <c r="SDQ16" s="256" t="s">
        <v>79</v>
      </c>
      <c r="SDR16" s="256" t="s">
        <v>80</v>
      </c>
      <c r="SDS16" s="256" t="s">
        <v>81</v>
      </c>
      <c r="SDT16" s="283"/>
      <c r="SDU16" s="259" t="s">
        <v>55</v>
      </c>
      <c r="SDV16" s="256" t="s">
        <v>76</v>
      </c>
      <c r="SDW16" s="256" t="s">
        <v>77</v>
      </c>
      <c r="SDX16" s="256" t="s">
        <v>78</v>
      </c>
      <c r="SDY16" s="256" t="s">
        <v>79</v>
      </c>
      <c r="SDZ16" s="256" t="s">
        <v>80</v>
      </c>
      <c r="SEA16" s="58" t="s">
        <v>81</v>
      </c>
      <c r="SEB16" s="284"/>
      <c r="SEC16" s="259" t="s">
        <v>55</v>
      </c>
      <c r="SED16" s="256" t="s">
        <v>76</v>
      </c>
      <c r="SEE16" s="256" t="s">
        <v>77</v>
      </c>
      <c r="SEF16" s="256" t="s">
        <v>78</v>
      </c>
      <c r="SEG16" s="256" t="s">
        <v>79</v>
      </c>
      <c r="SEH16" s="256" t="s">
        <v>80</v>
      </c>
      <c r="SEI16" s="256" t="s">
        <v>81</v>
      </c>
      <c r="SEJ16" s="283"/>
      <c r="SEK16" s="259" t="s">
        <v>55</v>
      </c>
      <c r="SEL16" s="256" t="s">
        <v>76</v>
      </c>
      <c r="SEM16" s="256" t="s">
        <v>77</v>
      </c>
      <c r="SEN16" s="256" t="s">
        <v>78</v>
      </c>
      <c r="SEO16" s="256" t="s">
        <v>79</v>
      </c>
      <c r="SEP16" s="256" t="s">
        <v>80</v>
      </c>
      <c r="SEQ16" s="58" t="s">
        <v>81</v>
      </c>
      <c r="SER16" s="284"/>
      <c r="SES16" s="259" t="s">
        <v>55</v>
      </c>
      <c r="SET16" s="256" t="s">
        <v>76</v>
      </c>
      <c r="SEU16" s="256" t="s">
        <v>77</v>
      </c>
      <c r="SEV16" s="256" t="s">
        <v>78</v>
      </c>
      <c r="SEW16" s="256" t="s">
        <v>79</v>
      </c>
      <c r="SEX16" s="256" t="s">
        <v>80</v>
      </c>
      <c r="SEY16" s="256" t="s">
        <v>81</v>
      </c>
      <c r="SEZ16" s="283"/>
      <c r="SFA16" s="259" t="s">
        <v>55</v>
      </c>
      <c r="SFB16" s="256" t="s">
        <v>76</v>
      </c>
      <c r="SFC16" s="256" t="s">
        <v>77</v>
      </c>
      <c r="SFD16" s="256" t="s">
        <v>78</v>
      </c>
      <c r="SFE16" s="256" t="s">
        <v>79</v>
      </c>
      <c r="SFF16" s="256" t="s">
        <v>80</v>
      </c>
      <c r="SFG16" s="58" t="s">
        <v>81</v>
      </c>
      <c r="SFH16" s="284"/>
      <c r="SFI16" s="259" t="s">
        <v>55</v>
      </c>
      <c r="SFJ16" s="256" t="s">
        <v>76</v>
      </c>
      <c r="SFK16" s="256" t="s">
        <v>77</v>
      </c>
      <c r="SFL16" s="256" t="s">
        <v>78</v>
      </c>
      <c r="SFM16" s="256" t="s">
        <v>79</v>
      </c>
      <c r="SFN16" s="256" t="s">
        <v>80</v>
      </c>
      <c r="SFO16" s="256" t="s">
        <v>81</v>
      </c>
      <c r="SFP16" s="283"/>
      <c r="SFQ16" s="259" t="s">
        <v>55</v>
      </c>
      <c r="SFR16" s="256" t="s">
        <v>76</v>
      </c>
      <c r="SFS16" s="256" t="s">
        <v>77</v>
      </c>
      <c r="SFT16" s="256" t="s">
        <v>78</v>
      </c>
      <c r="SFU16" s="256" t="s">
        <v>79</v>
      </c>
      <c r="SFV16" s="256" t="s">
        <v>80</v>
      </c>
      <c r="SFW16" s="58" t="s">
        <v>81</v>
      </c>
      <c r="SFX16" s="284"/>
      <c r="SFY16" s="259" t="s">
        <v>55</v>
      </c>
      <c r="SFZ16" s="256" t="s">
        <v>76</v>
      </c>
      <c r="SGA16" s="256" t="s">
        <v>77</v>
      </c>
      <c r="SGB16" s="256" t="s">
        <v>78</v>
      </c>
      <c r="SGC16" s="256" t="s">
        <v>79</v>
      </c>
      <c r="SGD16" s="256" t="s">
        <v>80</v>
      </c>
      <c r="SGE16" s="256" t="s">
        <v>81</v>
      </c>
      <c r="SGF16" s="283"/>
      <c r="SGG16" s="259" t="s">
        <v>55</v>
      </c>
      <c r="SGH16" s="256" t="s">
        <v>76</v>
      </c>
      <c r="SGI16" s="256" t="s">
        <v>77</v>
      </c>
      <c r="SGJ16" s="256" t="s">
        <v>78</v>
      </c>
      <c r="SGK16" s="256" t="s">
        <v>79</v>
      </c>
      <c r="SGL16" s="256" t="s">
        <v>80</v>
      </c>
      <c r="SGM16" s="58" t="s">
        <v>81</v>
      </c>
      <c r="SGN16" s="284"/>
      <c r="SGO16" s="259" t="s">
        <v>55</v>
      </c>
      <c r="SGP16" s="256" t="s">
        <v>76</v>
      </c>
      <c r="SGQ16" s="256" t="s">
        <v>77</v>
      </c>
      <c r="SGR16" s="256" t="s">
        <v>78</v>
      </c>
      <c r="SGS16" s="256" t="s">
        <v>79</v>
      </c>
      <c r="SGT16" s="256" t="s">
        <v>80</v>
      </c>
      <c r="SGU16" s="256" t="s">
        <v>81</v>
      </c>
      <c r="SGV16" s="283"/>
      <c r="SGW16" s="259" t="s">
        <v>55</v>
      </c>
      <c r="SGX16" s="256" t="s">
        <v>76</v>
      </c>
      <c r="SGY16" s="256" t="s">
        <v>77</v>
      </c>
      <c r="SGZ16" s="256" t="s">
        <v>78</v>
      </c>
      <c r="SHA16" s="256" t="s">
        <v>79</v>
      </c>
      <c r="SHB16" s="256" t="s">
        <v>80</v>
      </c>
      <c r="SHC16" s="58" t="s">
        <v>81</v>
      </c>
      <c r="SHD16" s="284"/>
      <c r="SHE16" s="259" t="s">
        <v>55</v>
      </c>
      <c r="SHF16" s="256" t="s">
        <v>76</v>
      </c>
      <c r="SHG16" s="256" t="s">
        <v>77</v>
      </c>
      <c r="SHH16" s="256" t="s">
        <v>78</v>
      </c>
      <c r="SHI16" s="256" t="s">
        <v>79</v>
      </c>
      <c r="SHJ16" s="256" t="s">
        <v>80</v>
      </c>
      <c r="SHK16" s="256" t="s">
        <v>81</v>
      </c>
      <c r="SHL16" s="283"/>
      <c r="SHM16" s="259" t="s">
        <v>55</v>
      </c>
      <c r="SHN16" s="256" t="s">
        <v>76</v>
      </c>
      <c r="SHO16" s="256" t="s">
        <v>77</v>
      </c>
      <c r="SHP16" s="256" t="s">
        <v>78</v>
      </c>
      <c r="SHQ16" s="256" t="s">
        <v>79</v>
      </c>
      <c r="SHR16" s="256" t="s">
        <v>80</v>
      </c>
      <c r="SHS16" s="58" t="s">
        <v>81</v>
      </c>
      <c r="SHT16" s="284"/>
      <c r="SHU16" s="259" t="s">
        <v>55</v>
      </c>
      <c r="SHV16" s="256" t="s">
        <v>76</v>
      </c>
      <c r="SHW16" s="256" t="s">
        <v>77</v>
      </c>
      <c r="SHX16" s="256" t="s">
        <v>78</v>
      </c>
      <c r="SHY16" s="256" t="s">
        <v>79</v>
      </c>
      <c r="SHZ16" s="256" t="s">
        <v>80</v>
      </c>
      <c r="SIA16" s="256" t="s">
        <v>81</v>
      </c>
      <c r="SIB16" s="283"/>
      <c r="SIC16" s="259" t="s">
        <v>55</v>
      </c>
      <c r="SID16" s="256" t="s">
        <v>76</v>
      </c>
      <c r="SIE16" s="256" t="s">
        <v>77</v>
      </c>
      <c r="SIF16" s="256" t="s">
        <v>78</v>
      </c>
      <c r="SIG16" s="256" t="s">
        <v>79</v>
      </c>
      <c r="SIH16" s="256" t="s">
        <v>80</v>
      </c>
      <c r="SII16" s="58" t="s">
        <v>81</v>
      </c>
      <c r="SIJ16" s="284"/>
      <c r="SIK16" s="259" t="s">
        <v>55</v>
      </c>
      <c r="SIL16" s="256" t="s">
        <v>76</v>
      </c>
      <c r="SIM16" s="256" t="s">
        <v>77</v>
      </c>
      <c r="SIN16" s="256" t="s">
        <v>78</v>
      </c>
      <c r="SIO16" s="256" t="s">
        <v>79</v>
      </c>
      <c r="SIP16" s="256" t="s">
        <v>80</v>
      </c>
      <c r="SIQ16" s="256" t="s">
        <v>81</v>
      </c>
      <c r="SIR16" s="283"/>
      <c r="SIS16" s="259" t="s">
        <v>55</v>
      </c>
      <c r="SIT16" s="256" t="s">
        <v>76</v>
      </c>
      <c r="SIU16" s="256" t="s">
        <v>77</v>
      </c>
      <c r="SIV16" s="256" t="s">
        <v>78</v>
      </c>
      <c r="SIW16" s="256" t="s">
        <v>79</v>
      </c>
      <c r="SIX16" s="256" t="s">
        <v>80</v>
      </c>
      <c r="SIY16" s="58" t="s">
        <v>81</v>
      </c>
      <c r="SIZ16" s="284"/>
      <c r="SJA16" s="259" t="s">
        <v>55</v>
      </c>
      <c r="SJB16" s="256" t="s">
        <v>76</v>
      </c>
      <c r="SJC16" s="256" t="s">
        <v>77</v>
      </c>
      <c r="SJD16" s="256" t="s">
        <v>78</v>
      </c>
      <c r="SJE16" s="256" t="s">
        <v>79</v>
      </c>
      <c r="SJF16" s="256" t="s">
        <v>80</v>
      </c>
      <c r="SJG16" s="256" t="s">
        <v>81</v>
      </c>
      <c r="SJH16" s="283"/>
      <c r="SJI16" s="259" t="s">
        <v>55</v>
      </c>
      <c r="SJJ16" s="256" t="s">
        <v>76</v>
      </c>
      <c r="SJK16" s="256" t="s">
        <v>77</v>
      </c>
      <c r="SJL16" s="256" t="s">
        <v>78</v>
      </c>
      <c r="SJM16" s="256" t="s">
        <v>79</v>
      </c>
      <c r="SJN16" s="256" t="s">
        <v>80</v>
      </c>
      <c r="SJO16" s="58" t="s">
        <v>81</v>
      </c>
      <c r="SJP16" s="284"/>
      <c r="SJQ16" s="259" t="s">
        <v>55</v>
      </c>
      <c r="SJR16" s="256" t="s">
        <v>76</v>
      </c>
      <c r="SJS16" s="256" t="s">
        <v>77</v>
      </c>
      <c r="SJT16" s="256" t="s">
        <v>78</v>
      </c>
      <c r="SJU16" s="256" t="s">
        <v>79</v>
      </c>
      <c r="SJV16" s="256" t="s">
        <v>80</v>
      </c>
      <c r="SJW16" s="256" t="s">
        <v>81</v>
      </c>
      <c r="SJX16" s="283"/>
      <c r="SJY16" s="259" t="s">
        <v>55</v>
      </c>
      <c r="SJZ16" s="256" t="s">
        <v>76</v>
      </c>
      <c r="SKA16" s="256" t="s">
        <v>77</v>
      </c>
      <c r="SKB16" s="256" t="s">
        <v>78</v>
      </c>
      <c r="SKC16" s="256" t="s">
        <v>79</v>
      </c>
      <c r="SKD16" s="256" t="s">
        <v>80</v>
      </c>
      <c r="SKE16" s="58" t="s">
        <v>81</v>
      </c>
      <c r="SKF16" s="284"/>
      <c r="SKG16" s="259" t="s">
        <v>55</v>
      </c>
      <c r="SKH16" s="256" t="s">
        <v>76</v>
      </c>
      <c r="SKI16" s="256" t="s">
        <v>77</v>
      </c>
      <c r="SKJ16" s="256" t="s">
        <v>78</v>
      </c>
      <c r="SKK16" s="256" t="s">
        <v>79</v>
      </c>
      <c r="SKL16" s="256" t="s">
        <v>80</v>
      </c>
      <c r="SKM16" s="256" t="s">
        <v>81</v>
      </c>
      <c r="SKN16" s="283"/>
      <c r="SKO16" s="259" t="s">
        <v>55</v>
      </c>
      <c r="SKP16" s="256" t="s">
        <v>76</v>
      </c>
      <c r="SKQ16" s="256" t="s">
        <v>77</v>
      </c>
      <c r="SKR16" s="256" t="s">
        <v>78</v>
      </c>
      <c r="SKS16" s="256" t="s">
        <v>79</v>
      </c>
      <c r="SKT16" s="256" t="s">
        <v>80</v>
      </c>
      <c r="SKU16" s="58" t="s">
        <v>81</v>
      </c>
      <c r="SKV16" s="284"/>
      <c r="SKW16" s="259" t="s">
        <v>55</v>
      </c>
      <c r="SKX16" s="256" t="s">
        <v>76</v>
      </c>
      <c r="SKY16" s="256" t="s">
        <v>77</v>
      </c>
      <c r="SKZ16" s="256" t="s">
        <v>78</v>
      </c>
      <c r="SLA16" s="256" t="s">
        <v>79</v>
      </c>
      <c r="SLB16" s="256" t="s">
        <v>80</v>
      </c>
      <c r="SLC16" s="256" t="s">
        <v>81</v>
      </c>
      <c r="SLD16" s="283"/>
      <c r="SLE16" s="259" t="s">
        <v>55</v>
      </c>
      <c r="SLF16" s="256" t="s">
        <v>76</v>
      </c>
      <c r="SLG16" s="256" t="s">
        <v>77</v>
      </c>
      <c r="SLH16" s="256" t="s">
        <v>78</v>
      </c>
      <c r="SLI16" s="256" t="s">
        <v>79</v>
      </c>
      <c r="SLJ16" s="256" t="s">
        <v>80</v>
      </c>
      <c r="SLK16" s="58" t="s">
        <v>81</v>
      </c>
      <c r="SLL16" s="284"/>
      <c r="SLM16" s="259" t="s">
        <v>55</v>
      </c>
      <c r="SLN16" s="256" t="s">
        <v>76</v>
      </c>
      <c r="SLO16" s="256" t="s">
        <v>77</v>
      </c>
      <c r="SLP16" s="256" t="s">
        <v>78</v>
      </c>
      <c r="SLQ16" s="256" t="s">
        <v>79</v>
      </c>
      <c r="SLR16" s="256" t="s">
        <v>80</v>
      </c>
      <c r="SLS16" s="256" t="s">
        <v>81</v>
      </c>
      <c r="SLT16" s="283"/>
      <c r="SLU16" s="259" t="s">
        <v>55</v>
      </c>
      <c r="SLV16" s="256" t="s">
        <v>76</v>
      </c>
      <c r="SLW16" s="256" t="s">
        <v>77</v>
      </c>
      <c r="SLX16" s="256" t="s">
        <v>78</v>
      </c>
      <c r="SLY16" s="256" t="s">
        <v>79</v>
      </c>
      <c r="SLZ16" s="256" t="s">
        <v>80</v>
      </c>
      <c r="SMA16" s="58" t="s">
        <v>81</v>
      </c>
      <c r="SMB16" s="284"/>
      <c r="SMC16" s="259" t="s">
        <v>55</v>
      </c>
      <c r="SMD16" s="256" t="s">
        <v>76</v>
      </c>
      <c r="SME16" s="256" t="s">
        <v>77</v>
      </c>
      <c r="SMF16" s="256" t="s">
        <v>78</v>
      </c>
      <c r="SMG16" s="256" t="s">
        <v>79</v>
      </c>
      <c r="SMH16" s="256" t="s">
        <v>80</v>
      </c>
      <c r="SMI16" s="256" t="s">
        <v>81</v>
      </c>
      <c r="SMJ16" s="283"/>
      <c r="SMK16" s="259" t="s">
        <v>55</v>
      </c>
      <c r="SML16" s="256" t="s">
        <v>76</v>
      </c>
      <c r="SMM16" s="256" t="s">
        <v>77</v>
      </c>
      <c r="SMN16" s="256" t="s">
        <v>78</v>
      </c>
      <c r="SMO16" s="256" t="s">
        <v>79</v>
      </c>
      <c r="SMP16" s="256" t="s">
        <v>80</v>
      </c>
      <c r="SMQ16" s="58" t="s">
        <v>81</v>
      </c>
      <c r="SMR16" s="284"/>
      <c r="SMS16" s="259" t="s">
        <v>55</v>
      </c>
      <c r="SMT16" s="256" t="s">
        <v>76</v>
      </c>
      <c r="SMU16" s="256" t="s">
        <v>77</v>
      </c>
      <c r="SMV16" s="256" t="s">
        <v>78</v>
      </c>
      <c r="SMW16" s="256" t="s">
        <v>79</v>
      </c>
      <c r="SMX16" s="256" t="s">
        <v>80</v>
      </c>
      <c r="SMY16" s="256" t="s">
        <v>81</v>
      </c>
      <c r="SMZ16" s="283"/>
      <c r="SNA16" s="259" t="s">
        <v>55</v>
      </c>
      <c r="SNB16" s="256" t="s">
        <v>76</v>
      </c>
      <c r="SNC16" s="256" t="s">
        <v>77</v>
      </c>
      <c r="SND16" s="256" t="s">
        <v>78</v>
      </c>
      <c r="SNE16" s="256" t="s">
        <v>79</v>
      </c>
      <c r="SNF16" s="256" t="s">
        <v>80</v>
      </c>
      <c r="SNG16" s="58" t="s">
        <v>81</v>
      </c>
      <c r="SNH16" s="284"/>
      <c r="SNI16" s="259" t="s">
        <v>55</v>
      </c>
      <c r="SNJ16" s="256" t="s">
        <v>76</v>
      </c>
      <c r="SNK16" s="256" t="s">
        <v>77</v>
      </c>
      <c r="SNL16" s="256" t="s">
        <v>78</v>
      </c>
      <c r="SNM16" s="256" t="s">
        <v>79</v>
      </c>
      <c r="SNN16" s="256" t="s">
        <v>80</v>
      </c>
      <c r="SNO16" s="256" t="s">
        <v>81</v>
      </c>
      <c r="SNP16" s="283"/>
      <c r="SNQ16" s="259" t="s">
        <v>55</v>
      </c>
      <c r="SNR16" s="256" t="s">
        <v>76</v>
      </c>
      <c r="SNS16" s="256" t="s">
        <v>77</v>
      </c>
      <c r="SNT16" s="256" t="s">
        <v>78</v>
      </c>
      <c r="SNU16" s="256" t="s">
        <v>79</v>
      </c>
      <c r="SNV16" s="256" t="s">
        <v>80</v>
      </c>
      <c r="SNW16" s="58" t="s">
        <v>81</v>
      </c>
      <c r="SNX16" s="284"/>
      <c r="SNY16" s="259" t="s">
        <v>55</v>
      </c>
      <c r="SNZ16" s="256" t="s">
        <v>76</v>
      </c>
      <c r="SOA16" s="256" t="s">
        <v>77</v>
      </c>
      <c r="SOB16" s="256" t="s">
        <v>78</v>
      </c>
      <c r="SOC16" s="256" t="s">
        <v>79</v>
      </c>
      <c r="SOD16" s="256" t="s">
        <v>80</v>
      </c>
      <c r="SOE16" s="256" t="s">
        <v>81</v>
      </c>
      <c r="SOF16" s="283"/>
      <c r="SOG16" s="259" t="s">
        <v>55</v>
      </c>
      <c r="SOH16" s="256" t="s">
        <v>76</v>
      </c>
      <c r="SOI16" s="256" t="s">
        <v>77</v>
      </c>
      <c r="SOJ16" s="256" t="s">
        <v>78</v>
      </c>
      <c r="SOK16" s="256" t="s">
        <v>79</v>
      </c>
      <c r="SOL16" s="256" t="s">
        <v>80</v>
      </c>
      <c r="SOM16" s="58" t="s">
        <v>81</v>
      </c>
      <c r="SON16" s="284"/>
      <c r="SOO16" s="259" t="s">
        <v>55</v>
      </c>
      <c r="SOP16" s="256" t="s">
        <v>76</v>
      </c>
      <c r="SOQ16" s="256" t="s">
        <v>77</v>
      </c>
      <c r="SOR16" s="256" t="s">
        <v>78</v>
      </c>
      <c r="SOS16" s="256" t="s">
        <v>79</v>
      </c>
      <c r="SOT16" s="256" t="s">
        <v>80</v>
      </c>
      <c r="SOU16" s="256" t="s">
        <v>81</v>
      </c>
      <c r="SOV16" s="283"/>
      <c r="SOW16" s="259" t="s">
        <v>55</v>
      </c>
      <c r="SOX16" s="256" t="s">
        <v>76</v>
      </c>
      <c r="SOY16" s="256" t="s">
        <v>77</v>
      </c>
      <c r="SOZ16" s="256" t="s">
        <v>78</v>
      </c>
      <c r="SPA16" s="256" t="s">
        <v>79</v>
      </c>
      <c r="SPB16" s="256" t="s">
        <v>80</v>
      </c>
      <c r="SPC16" s="58" t="s">
        <v>81</v>
      </c>
      <c r="SPD16" s="284"/>
      <c r="SPE16" s="259" t="s">
        <v>55</v>
      </c>
      <c r="SPF16" s="256" t="s">
        <v>76</v>
      </c>
      <c r="SPG16" s="256" t="s">
        <v>77</v>
      </c>
      <c r="SPH16" s="256" t="s">
        <v>78</v>
      </c>
      <c r="SPI16" s="256" t="s">
        <v>79</v>
      </c>
      <c r="SPJ16" s="256" t="s">
        <v>80</v>
      </c>
      <c r="SPK16" s="256" t="s">
        <v>81</v>
      </c>
      <c r="SPL16" s="283"/>
      <c r="SPM16" s="259" t="s">
        <v>55</v>
      </c>
      <c r="SPN16" s="256" t="s">
        <v>76</v>
      </c>
      <c r="SPO16" s="256" t="s">
        <v>77</v>
      </c>
      <c r="SPP16" s="256" t="s">
        <v>78</v>
      </c>
      <c r="SPQ16" s="256" t="s">
        <v>79</v>
      </c>
      <c r="SPR16" s="256" t="s">
        <v>80</v>
      </c>
      <c r="SPS16" s="58" t="s">
        <v>81</v>
      </c>
      <c r="SPT16" s="284"/>
      <c r="SPU16" s="259" t="s">
        <v>55</v>
      </c>
      <c r="SPV16" s="256" t="s">
        <v>76</v>
      </c>
      <c r="SPW16" s="256" t="s">
        <v>77</v>
      </c>
      <c r="SPX16" s="256" t="s">
        <v>78</v>
      </c>
      <c r="SPY16" s="256" t="s">
        <v>79</v>
      </c>
      <c r="SPZ16" s="256" t="s">
        <v>80</v>
      </c>
      <c r="SQA16" s="256" t="s">
        <v>81</v>
      </c>
      <c r="SQB16" s="283"/>
      <c r="SQC16" s="259" t="s">
        <v>55</v>
      </c>
      <c r="SQD16" s="256" t="s">
        <v>76</v>
      </c>
      <c r="SQE16" s="256" t="s">
        <v>77</v>
      </c>
      <c r="SQF16" s="256" t="s">
        <v>78</v>
      </c>
      <c r="SQG16" s="256" t="s">
        <v>79</v>
      </c>
      <c r="SQH16" s="256" t="s">
        <v>80</v>
      </c>
      <c r="SQI16" s="58" t="s">
        <v>81</v>
      </c>
      <c r="SQJ16" s="284"/>
      <c r="SQK16" s="259" t="s">
        <v>55</v>
      </c>
      <c r="SQL16" s="256" t="s">
        <v>76</v>
      </c>
      <c r="SQM16" s="256" t="s">
        <v>77</v>
      </c>
      <c r="SQN16" s="256" t="s">
        <v>78</v>
      </c>
      <c r="SQO16" s="256" t="s">
        <v>79</v>
      </c>
      <c r="SQP16" s="256" t="s">
        <v>80</v>
      </c>
      <c r="SQQ16" s="256" t="s">
        <v>81</v>
      </c>
      <c r="SQR16" s="283"/>
      <c r="SQS16" s="259" t="s">
        <v>55</v>
      </c>
      <c r="SQT16" s="256" t="s">
        <v>76</v>
      </c>
      <c r="SQU16" s="256" t="s">
        <v>77</v>
      </c>
      <c r="SQV16" s="256" t="s">
        <v>78</v>
      </c>
      <c r="SQW16" s="256" t="s">
        <v>79</v>
      </c>
      <c r="SQX16" s="256" t="s">
        <v>80</v>
      </c>
      <c r="SQY16" s="58" t="s">
        <v>81</v>
      </c>
      <c r="SQZ16" s="284"/>
      <c r="SRA16" s="259" t="s">
        <v>55</v>
      </c>
      <c r="SRB16" s="256" t="s">
        <v>76</v>
      </c>
      <c r="SRC16" s="256" t="s">
        <v>77</v>
      </c>
      <c r="SRD16" s="256" t="s">
        <v>78</v>
      </c>
      <c r="SRE16" s="256" t="s">
        <v>79</v>
      </c>
      <c r="SRF16" s="256" t="s">
        <v>80</v>
      </c>
      <c r="SRG16" s="256" t="s">
        <v>81</v>
      </c>
      <c r="SRH16" s="283"/>
      <c r="SRI16" s="259" t="s">
        <v>55</v>
      </c>
      <c r="SRJ16" s="256" t="s">
        <v>76</v>
      </c>
      <c r="SRK16" s="256" t="s">
        <v>77</v>
      </c>
      <c r="SRL16" s="256" t="s">
        <v>78</v>
      </c>
      <c r="SRM16" s="256" t="s">
        <v>79</v>
      </c>
      <c r="SRN16" s="256" t="s">
        <v>80</v>
      </c>
      <c r="SRO16" s="58" t="s">
        <v>81</v>
      </c>
      <c r="SRP16" s="284"/>
      <c r="SRQ16" s="259" t="s">
        <v>55</v>
      </c>
      <c r="SRR16" s="256" t="s">
        <v>76</v>
      </c>
      <c r="SRS16" s="256" t="s">
        <v>77</v>
      </c>
      <c r="SRT16" s="256" t="s">
        <v>78</v>
      </c>
      <c r="SRU16" s="256" t="s">
        <v>79</v>
      </c>
      <c r="SRV16" s="256" t="s">
        <v>80</v>
      </c>
      <c r="SRW16" s="256" t="s">
        <v>81</v>
      </c>
      <c r="SRX16" s="283"/>
      <c r="SRY16" s="259" t="s">
        <v>55</v>
      </c>
      <c r="SRZ16" s="256" t="s">
        <v>76</v>
      </c>
      <c r="SSA16" s="256" t="s">
        <v>77</v>
      </c>
      <c r="SSB16" s="256" t="s">
        <v>78</v>
      </c>
      <c r="SSC16" s="256" t="s">
        <v>79</v>
      </c>
      <c r="SSD16" s="256" t="s">
        <v>80</v>
      </c>
      <c r="SSE16" s="58" t="s">
        <v>81</v>
      </c>
      <c r="SSF16" s="284"/>
      <c r="SSG16" s="259" t="s">
        <v>55</v>
      </c>
      <c r="SSH16" s="256" t="s">
        <v>76</v>
      </c>
      <c r="SSI16" s="256" t="s">
        <v>77</v>
      </c>
      <c r="SSJ16" s="256" t="s">
        <v>78</v>
      </c>
      <c r="SSK16" s="256" t="s">
        <v>79</v>
      </c>
      <c r="SSL16" s="256" t="s">
        <v>80</v>
      </c>
      <c r="SSM16" s="256" t="s">
        <v>81</v>
      </c>
      <c r="SSN16" s="283"/>
      <c r="SSO16" s="259" t="s">
        <v>55</v>
      </c>
      <c r="SSP16" s="256" t="s">
        <v>76</v>
      </c>
      <c r="SSQ16" s="256" t="s">
        <v>77</v>
      </c>
      <c r="SSR16" s="256" t="s">
        <v>78</v>
      </c>
      <c r="SSS16" s="256" t="s">
        <v>79</v>
      </c>
      <c r="SST16" s="256" t="s">
        <v>80</v>
      </c>
      <c r="SSU16" s="58" t="s">
        <v>81</v>
      </c>
      <c r="SSV16" s="284"/>
      <c r="SSW16" s="259" t="s">
        <v>55</v>
      </c>
      <c r="SSX16" s="256" t="s">
        <v>76</v>
      </c>
      <c r="SSY16" s="256" t="s">
        <v>77</v>
      </c>
      <c r="SSZ16" s="256" t="s">
        <v>78</v>
      </c>
      <c r="STA16" s="256" t="s">
        <v>79</v>
      </c>
      <c r="STB16" s="256" t="s">
        <v>80</v>
      </c>
      <c r="STC16" s="256" t="s">
        <v>81</v>
      </c>
      <c r="STD16" s="283"/>
      <c r="STE16" s="259" t="s">
        <v>55</v>
      </c>
      <c r="STF16" s="256" t="s">
        <v>76</v>
      </c>
      <c r="STG16" s="256" t="s">
        <v>77</v>
      </c>
      <c r="STH16" s="256" t="s">
        <v>78</v>
      </c>
      <c r="STI16" s="256" t="s">
        <v>79</v>
      </c>
      <c r="STJ16" s="256" t="s">
        <v>80</v>
      </c>
      <c r="STK16" s="58" t="s">
        <v>81</v>
      </c>
      <c r="STL16" s="284"/>
      <c r="STM16" s="259" t="s">
        <v>55</v>
      </c>
      <c r="STN16" s="256" t="s">
        <v>76</v>
      </c>
      <c r="STO16" s="256" t="s">
        <v>77</v>
      </c>
      <c r="STP16" s="256" t="s">
        <v>78</v>
      </c>
      <c r="STQ16" s="256" t="s">
        <v>79</v>
      </c>
      <c r="STR16" s="256" t="s">
        <v>80</v>
      </c>
      <c r="STS16" s="256" t="s">
        <v>81</v>
      </c>
      <c r="STT16" s="283"/>
      <c r="STU16" s="259" t="s">
        <v>55</v>
      </c>
      <c r="STV16" s="256" t="s">
        <v>76</v>
      </c>
      <c r="STW16" s="256" t="s">
        <v>77</v>
      </c>
      <c r="STX16" s="256" t="s">
        <v>78</v>
      </c>
      <c r="STY16" s="256" t="s">
        <v>79</v>
      </c>
      <c r="STZ16" s="256" t="s">
        <v>80</v>
      </c>
      <c r="SUA16" s="58" t="s">
        <v>81</v>
      </c>
      <c r="SUB16" s="284"/>
      <c r="SUC16" s="259" t="s">
        <v>55</v>
      </c>
      <c r="SUD16" s="256" t="s">
        <v>76</v>
      </c>
      <c r="SUE16" s="256" t="s">
        <v>77</v>
      </c>
      <c r="SUF16" s="256" t="s">
        <v>78</v>
      </c>
      <c r="SUG16" s="256" t="s">
        <v>79</v>
      </c>
      <c r="SUH16" s="256" t="s">
        <v>80</v>
      </c>
      <c r="SUI16" s="256" t="s">
        <v>81</v>
      </c>
      <c r="SUJ16" s="283"/>
      <c r="SUK16" s="259" t="s">
        <v>55</v>
      </c>
      <c r="SUL16" s="256" t="s">
        <v>76</v>
      </c>
      <c r="SUM16" s="256" t="s">
        <v>77</v>
      </c>
      <c r="SUN16" s="256" t="s">
        <v>78</v>
      </c>
      <c r="SUO16" s="256" t="s">
        <v>79</v>
      </c>
      <c r="SUP16" s="256" t="s">
        <v>80</v>
      </c>
      <c r="SUQ16" s="58" t="s">
        <v>81</v>
      </c>
      <c r="SUR16" s="284"/>
      <c r="SUS16" s="259" t="s">
        <v>55</v>
      </c>
      <c r="SUT16" s="256" t="s">
        <v>76</v>
      </c>
      <c r="SUU16" s="256" t="s">
        <v>77</v>
      </c>
      <c r="SUV16" s="256" t="s">
        <v>78</v>
      </c>
      <c r="SUW16" s="256" t="s">
        <v>79</v>
      </c>
      <c r="SUX16" s="256" t="s">
        <v>80</v>
      </c>
      <c r="SUY16" s="256" t="s">
        <v>81</v>
      </c>
      <c r="SUZ16" s="283"/>
      <c r="SVA16" s="259" t="s">
        <v>55</v>
      </c>
      <c r="SVB16" s="256" t="s">
        <v>76</v>
      </c>
      <c r="SVC16" s="256" t="s">
        <v>77</v>
      </c>
      <c r="SVD16" s="256" t="s">
        <v>78</v>
      </c>
      <c r="SVE16" s="256" t="s">
        <v>79</v>
      </c>
      <c r="SVF16" s="256" t="s">
        <v>80</v>
      </c>
      <c r="SVG16" s="58" t="s">
        <v>81</v>
      </c>
      <c r="SVH16" s="284"/>
      <c r="SVI16" s="259" t="s">
        <v>55</v>
      </c>
      <c r="SVJ16" s="256" t="s">
        <v>76</v>
      </c>
      <c r="SVK16" s="256" t="s">
        <v>77</v>
      </c>
      <c r="SVL16" s="256" t="s">
        <v>78</v>
      </c>
      <c r="SVM16" s="256" t="s">
        <v>79</v>
      </c>
      <c r="SVN16" s="256" t="s">
        <v>80</v>
      </c>
      <c r="SVO16" s="256" t="s">
        <v>81</v>
      </c>
      <c r="SVP16" s="283"/>
      <c r="SVQ16" s="259" t="s">
        <v>55</v>
      </c>
      <c r="SVR16" s="256" t="s">
        <v>76</v>
      </c>
      <c r="SVS16" s="256" t="s">
        <v>77</v>
      </c>
      <c r="SVT16" s="256" t="s">
        <v>78</v>
      </c>
      <c r="SVU16" s="256" t="s">
        <v>79</v>
      </c>
      <c r="SVV16" s="256" t="s">
        <v>80</v>
      </c>
      <c r="SVW16" s="58" t="s">
        <v>81</v>
      </c>
      <c r="SVX16" s="284"/>
      <c r="SVY16" s="259" t="s">
        <v>55</v>
      </c>
      <c r="SVZ16" s="256" t="s">
        <v>76</v>
      </c>
      <c r="SWA16" s="256" t="s">
        <v>77</v>
      </c>
      <c r="SWB16" s="256" t="s">
        <v>78</v>
      </c>
      <c r="SWC16" s="256" t="s">
        <v>79</v>
      </c>
      <c r="SWD16" s="256" t="s">
        <v>80</v>
      </c>
      <c r="SWE16" s="256" t="s">
        <v>81</v>
      </c>
      <c r="SWF16" s="283"/>
      <c r="SWG16" s="259" t="s">
        <v>55</v>
      </c>
      <c r="SWH16" s="256" t="s">
        <v>76</v>
      </c>
      <c r="SWI16" s="256" t="s">
        <v>77</v>
      </c>
      <c r="SWJ16" s="256" t="s">
        <v>78</v>
      </c>
      <c r="SWK16" s="256" t="s">
        <v>79</v>
      </c>
      <c r="SWL16" s="256" t="s">
        <v>80</v>
      </c>
      <c r="SWM16" s="58" t="s">
        <v>81</v>
      </c>
      <c r="SWN16" s="284"/>
      <c r="SWO16" s="259" t="s">
        <v>55</v>
      </c>
      <c r="SWP16" s="256" t="s">
        <v>76</v>
      </c>
      <c r="SWQ16" s="256" t="s">
        <v>77</v>
      </c>
      <c r="SWR16" s="256" t="s">
        <v>78</v>
      </c>
      <c r="SWS16" s="256" t="s">
        <v>79</v>
      </c>
      <c r="SWT16" s="256" t="s">
        <v>80</v>
      </c>
      <c r="SWU16" s="256" t="s">
        <v>81</v>
      </c>
      <c r="SWV16" s="283"/>
      <c r="SWW16" s="259" t="s">
        <v>55</v>
      </c>
      <c r="SWX16" s="256" t="s">
        <v>76</v>
      </c>
      <c r="SWY16" s="256" t="s">
        <v>77</v>
      </c>
      <c r="SWZ16" s="256" t="s">
        <v>78</v>
      </c>
      <c r="SXA16" s="256" t="s">
        <v>79</v>
      </c>
      <c r="SXB16" s="256" t="s">
        <v>80</v>
      </c>
      <c r="SXC16" s="58" t="s">
        <v>81</v>
      </c>
      <c r="SXD16" s="284"/>
      <c r="SXE16" s="259" t="s">
        <v>55</v>
      </c>
      <c r="SXF16" s="256" t="s">
        <v>76</v>
      </c>
      <c r="SXG16" s="256" t="s">
        <v>77</v>
      </c>
      <c r="SXH16" s="256" t="s">
        <v>78</v>
      </c>
      <c r="SXI16" s="256" t="s">
        <v>79</v>
      </c>
      <c r="SXJ16" s="256" t="s">
        <v>80</v>
      </c>
      <c r="SXK16" s="256" t="s">
        <v>81</v>
      </c>
      <c r="SXL16" s="283"/>
      <c r="SXM16" s="259" t="s">
        <v>55</v>
      </c>
      <c r="SXN16" s="256" t="s">
        <v>76</v>
      </c>
      <c r="SXO16" s="256" t="s">
        <v>77</v>
      </c>
      <c r="SXP16" s="256" t="s">
        <v>78</v>
      </c>
      <c r="SXQ16" s="256" t="s">
        <v>79</v>
      </c>
      <c r="SXR16" s="256" t="s">
        <v>80</v>
      </c>
      <c r="SXS16" s="58" t="s">
        <v>81</v>
      </c>
      <c r="SXT16" s="284"/>
      <c r="SXU16" s="259" t="s">
        <v>55</v>
      </c>
      <c r="SXV16" s="256" t="s">
        <v>76</v>
      </c>
      <c r="SXW16" s="256" t="s">
        <v>77</v>
      </c>
      <c r="SXX16" s="256" t="s">
        <v>78</v>
      </c>
      <c r="SXY16" s="256" t="s">
        <v>79</v>
      </c>
      <c r="SXZ16" s="256" t="s">
        <v>80</v>
      </c>
      <c r="SYA16" s="256" t="s">
        <v>81</v>
      </c>
      <c r="SYB16" s="283"/>
      <c r="SYC16" s="259" t="s">
        <v>55</v>
      </c>
      <c r="SYD16" s="256" t="s">
        <v>76</v>
      </c>
      <c r="SYE16" s="256" t="s">
        <v>77</v>
      </c>
      <c r="SYF16" s="256" t="s">
        <v>78</v>
      </c>
      <c r="SYG16" s="256" t="s">
        <v>79</v>
      </c>
      <c r="SYH16" s="256" t="s">
        <v>80</v>
      </c>
      <c r="SYI16" s="58" t="s">
        <v>81</v>
      </c>
      <c r="SYJ16" s="284"/>
      <c r="SYK16" s="259" t="s">
        <v>55</v>
      </c>
      <c r="SYL16" s="256" t="s">
        <v>76</v>
      </c>
      <c r="SYM16" s="256" t="s">
        <v>77</v>
      </c>
      <c r="SYN16" s="256" t="s">
        <v>78</v>
      </c>
      <c r="SYO16" s="256" t="s">
        <v>79</v>
      </c>
      <c r="SYP16" s="256" t="s">
        <v>80</v>
      </c>
      <c r="SYQ16" s="256" t="s">
        <v>81</v>
      </c>
      <c r="SYR16" s="283"/>
      <c r="SYS16" s="259" t="s">
        <v>55</v>
      </c>
      <c r="SYT16" s="256" t="s">
        <v>76</v>
      </c>
      <c r="SYU16" s="256" t="s">
        <v>77</v>
      </c>
      <c r="SYV16" s="256" t="s">
        <v>78</v>
      </c>
      <c r="SYW16" s="256" t="s">
        <v>79</v>
      </c>
      <c r="SYX16" s="256" t="s">
        <v>80</v>
      </c>
      <c r="SYY16" s="58" t="s">
        <v>81</v>
      </c>
      <c r="SYZ16" s="284"/>
      <c r="SZA16" s="259" t="s">
        <v>55</v>
      </c>
      <c r="SZB16" s="256" t="s">
        <v>76</v>
      </c>
      <c r="SZC16" s="256" t="s">
        <v>77</v>
      </c>
      <c r="SZD16" s="256" t="s">
        <v>78</v>
      </c>
      <c r="SZE16" s="256" t="s">
        <v>79</v>
      </c>
      <c r="SZF16" s="256" t="s">
        <v>80</v>
      </c>
      <c r="SZG16" s="256" t="s">
        <v>81</v>
      </c>
      <c r="SZH16" s="283"/>
      <c r="SZI16" s="259" t="s">
        <v>55</v>
      </c>
      <c r="SZJ16" s="256" t="s">
        <v>76</v>
      </c>
      <c r="SZK16" s="256" t="s">
        <v>77</v>
      </c>
      <c r="SZL16" s="256" t="s">
        <v>78</v>
      </c>
      <c r="SZM16" s="256" t="s">
        <v>79</v>
      </c>
      <c r="SZN16" s="256" t="s">
        <v>80</v>
      </c>
      <c r="SZO16" s="58" t="s">
        <v>81</v>
      </c>
      <c r="SZP16" s="284"/>
      <c r="SZQ16" s="259" t="s">
        <v>55</v>
      </c>
      <c r="SZR16" s="256" t="s">
        <v>76</v>
      </c>
      <c r="SZS16" s="256" t="s">
        <v>77</v>
      </c>
      <c r="SZT16" s="256" t="s">
        <v>78</v>
      </c>
      <c r="SZU16" s="256" t="s">
        <v>79</v>
      </c>
      <c r="SZV16" s="256" t="s">
        <v>80</v>
      </c>
      <c r="SZW16" s="256" t="s">
        <v>81</v>
      </c>
      <c r="SZX16" s="283"/>
      <c r="SZY16" s="259" t="s">
        <v>55</v>
      </c>
      <c r="SZZ16" s="256" t="s">
        <v>76</v>
      </c>
      <c r="TAA16" s="256" t="s">
        <v>77</v>
      </c>
      <c r="TAB16" s="256" t="s">
        <v>78</v>
      </c>
      <c r="TAC16" s="256" t="s">
        <v>79</v>
      </c>
      <c r="TAD16" s="256" t="s">
        <v>80</v>
      </c>
      <c r="TAE16" s="58" t="s">
        <v>81</v>
      </c>
      <c r="TAF16" s="284"/>
      <c r="TAG16" s="259" t="s">
        <v>55</v>
      </c>
      <c r="TAH16" s="256" t="s">
        <v>76</v>
      </c>
      <c r="TAI16" s="256" t="s">
        <v>77</v>
      </c>
      <c r="TAJ16" s="256" t="s">
        <v>78</v>
      </c>
      <c r="TAK16" s="256" t="s">
        <v>79</v>
      </c>
      <c r="TAL16" s="256" t="s">
        <v>80</v>
      </c>
      <c r="TAM16" s="256" t="s">
        <v>81</v>
      </c>
      <c r="TAN16" s="283"/>
      <c r="TAO16" s="259" t="s">
        <v>55</v>
      </c>
      <c r="TAP16" s="256" t="s">
        <v>76</v>
      </c>
      <c r="TAQ16" s="256" t="s">
        <v>77</v>
      </c>
      <c r="TAR16" s="256" t="s">
        <v>78</v>
      </c>
      <c r="TAS16" s="256" t="s">
        <v>79</v>
      </c>
      <c r="TAT16" s="256" t="s">
        <v>80</v>
      </c>
      <c r="TAU16" s="58" t="s">
        <v>81</v>
      </c>
      <c r="TAV16" s="284"/>
      <c r="TAW16" s="259" t="s">
        <v>55</v>
      </c>
      <c r="TAX16" s="256" t="s">
        <v>76</v>
      </c>
      <c r="TAY16" s="256" t="s">
        <v>77</v>
      </c>
      <c r="TAZ16" s="256" t="s">
        <v>78</v>
      </c>
      <c r="TBA16" s="256" t="s">
        <v>79</v>
      </c>
      <c r="TBB16" s="256" t="s">
        <v>80</v>
      </c>
      <c r="TBC16" s="256" t="s">
        <v>81</v>
      </c>
      <c r="TBD16" s="283"/>
      <c r="TBE16" s="259" t="s">
        <v>55</v>
      </c>
      <c r="TBF16" s="256" t="s">
        <v>76</v>
      </c>
      <c r="TBG16" s="256" t="s">
        <v>77</v>
      </c>
      <c r="TBH16" s="256" t="s">
        <v>78</v>
      </c>
      <c r="TBI16" s="256" t="s">
        <v>79</v>
      </c>
      <c r="TBJ16" s="256" t="s">
        <v>80</v>
      </c>
      <c r="TBK16" s="58" t="s">
        <v>81</v>
      </c>
      <c r="TBL16" s="284"/>
      <c r="TBM16" s="259" t="s">
        <v>55</v>
      </c>
      <c r="TBN16" s="256" t="s">
        <v>76</v>
      </c>
      <c r="TBO16" s="256" t="s">
        <v>77</v>
      </c>
      <c r="TBP16" s="256" t="s">
        <v>78</v>
      </c>
      <c r="TBQ16" s="256" t="s">
        <v>79</v>
      </c>
      <c r="TBR16" s="256" t="s">
        <v>80</v>
      </c>
      <c r="TBS16" s="256" t="s">
        <v>81</v>
      </c>
      <c r="TBT16" s="283"/>
      <c r="TBU16" s="259" t="s">
        <v>55</v>
      </c>
      <c r="TBV16" s="256" t="s">
        <v>76</v>
      </c>
      <c r="TBW16" s="256" t="s">
        <v>77</v>
      </c>
      <c r="TBX16" s="256" t="s">
        <v>78</v>
      </c>
      <c r="TBY16" s="256" t="s">
        <v>79</v>
      </c>
      <c r="TBZ16" s="256" t="s">
        <v>80</v>
      </c>
      <c r="TCA16" s="58" t="s">
        <v>81</v>
      </c>
      <c r="TCB16" s="284"/>
      <c r="TCC16" s="259" t="s">
        <v>55</v>
      </c>
      <c r="TCD16" s="256" t="s">
        <v>76</v>
      </c>
      <c r="TCE16" s="256" t="s">
        <v>77</v>
      </c>
      <c r="TCF16" s="256" t="s">
        <v>78</v>
      </c>
      <c r="TCG16" s="256" t="s">
        <v>79</v>
      </c>
      <c r="TCH16" s="256" t="s">
        <v>80</v>
      </c>
      <c r="TCI16" s="256" t="s">
        <v>81</v>
      </c>
      <c r="TCJ16" s="283"/>
      <c r="TCK16" s="259" t="s">
        <v>55</v>
      </c>
      <c r="TCL16" s="256" t="s">
        <v>76</v>
      </c>
      <c r="TCM16" s="256" t="s">
        <v>77</v>
      </c>
      <c r="TCN16" s="256" t="s">
        <v>78</v>
      </c>
      <c r="TCO16" s="256" t="s">
        <v>79</v>
      </c>
      <c r="TCP16" s="256" t="s">
        <v>80</v>
      </c>
      <c r="TCQ16" s="58" t="s">
        <v>81</v>
      </c>
      <c r="TCR16" s="284"/>
      <c r="TCS16" s="259" t="s">
        <v>55</v>
      </c>
      <c r="TCT16" s="256" t="s">
        <v>76</v>
      </c>
      <c r="TCU16" s="256" t="s">
        <v>77</v>
      </c>
      <c r="TCV16" s="256" t="s">
        <v>78</v>
      </c>
      <c r="TCW16" s="256" t="s">
        <v>79</v>
      </c>
      <c r="TCX16" s="256" t="s">
        <v>80</v>
      </c>
      <c r="TCY16" s="256" t="s">
        <v>81</v>
      </c>
      <c r="TCZ16" s="283"/>
      <c r="TDA16" s="259" t="s">
        <v>55</v>
      </c>
      <c r="TDB16" s="256" t="s">
        <v>76</v>
      </c>
      <c r="TDC16" s="256" t="s">
        <v>77</v>
      </c>
      <c r="TDD16" s="256" t="s">
        <v>78</v>
      </c>
      <c r="TDE16" s="256" t="s">
        <v>79</v>
      </c>
      <c r="TDF16" s="256" t="s">
        <v>80</v>
      </c>
      <c r="TDG16" s="58" t="s">
        <v>81</v>
      </c>
      <c r="TDH16" s="284"/>
      <c r="TDI16" s="259" t="s">
        <v>55</v>
      </c>
      <c r="TDJ16" s="256" t="s">
        <v>76</v>
      </c>
      <c r="TDK16" s="256" t="s">
        <v>77</v>
      </c>
      <c r="TDL16" s="256" t="s">
        <v>78</v>
      </c>
      <c r="TDM16" s="256" t="s">
        <v>79</v>
      </c>
      <c r="TDN16" s="256" t="s">
        <v>80</v>
      </c>
      <c r="TDO16" s="256" t="s">
        <v>81</v>
      </c>
      <c r="TDP16" s="283"/>
      <c r="TDQ16" s="259" t="s">
        <v>55</v>
      </c>
      <c r="TDR16" s="256" t="s">
        <v>76</v>
      </c>
      <c r="TDS16" s="256" t="s">
        <v>77</v>
      </c>
      <c r="TDT16" s="256" t="s">
        <v>78</v>
      </c>
      <c r="TDU16" s="256" t="s">
        <v>79</v>
      </c>
      <c r="TDV16" s="256" t="s">
        <v>80</v>
      </c>
      <c r="TDW16" s="58" t="s">
        <v>81</v>
      </c>
      <c r="TDX16" s="284"/>
      <c r="TDY16" s="259" t="s">
        <v>55</v>
      </c>
      <c r="TDZ16" s="256" t="s">
        <v>76</v>
      </c>
      <c r="TEA16" s="256" t="s">
        <v>77</v>
      </c>
      <c r="TEB16" s="256" t="s">
        <v>78</v>
      </c>
      <c r="TEC16" s="256" t="s">
        <v>79</v>
      </c>
      <c r="TED16" s="256" t="s">
        <v>80</v>
      </c>
      <c r="TEE16" s="256" t="s">
        <v>81</v>
      </c>
      <c r="TEF16" s="283"/>
      <c r="TEG16" s="259" t="s">
        <v>55</v>
      </c>
      <c r="TEH16" s="256" t="s">
        <v>76</v>
      </c>
      <c r="TEI16" s="256" t="s">
        <v>77</v>
      </c>
      <c r="TEJ16" s="256" t="s">
        <v>78</v>
      </c>
      <c r="TEK16" s="256" t="s">
        <v>79</v>
      </c>
      <c r="TEL16" s="256" t="s">
        <v>80</v>
      </c>
      <c r="TEM16" s="58" t="s">
        <v>81</v>
      </c>
      <c r="TEN16" s="284"/>
      <c r="TEO16" s="259" t="s">
        <v>55</v>
      </c>
      <c r="TEP16" s="256" t="s">
        <v>76</v>
      </c>
      <c r="TEQ16" s="256" t="s">
        <v>77</v>
      </c>
      <c r="TER16" s="256" t="s">
        <v>78</v>
      </c>
      <c r="TES16" s="256" t="s">
        <v>79</v>
      </c>
      <c r="TET16" s="256" t="s">
        <v>80</v>
      </c>
      <c r="TEU16" s="256" t="s">
        <v>81</v>
      </c>
      <c r="TEV16" s="283"/>
      <c r="TEW16" s="259" t="s">
        <v>55</v>
      </c>
      <c r="TEX16" s="256" t="s">
        <v>76</v>
      </c>
      <c r="TEY16" s="256" t="s">
        <v>77</v>
      </c>
      <c r="TEZ16" s="256" t="s">
        <v>78</v>
      </c>
      <c r="TFA16" s="256" t="s">
        <v>79</v>
      </c>
      <c r="TFB16" s="256" t="s">
        <v>80</v>
      </c>
      <c r="TFC16" s="58" t="s">
        <v>81</v>
      </c>
      <c r="TFD16" s="284"/>
      <c r="TFE16" s="259" t="s">
        <v>55</v>
      </c>
      <c r="TFF16" s="256" t="s">
        <v>76</v>
      </c>
      <c r="TFG16" s="256" t="s">
        <v>77</v>
      </c>
      <c r="TFH16" s="256" t="s">
        <v>78</v>
      </c>
      <c r="TFI16" s="256" t="s">
        <v>79</v>
      </c>
      <c r="TFJ16" s="256" t="s">
        <v>80</v>
      </c>
      <c r="TFK16" s="256" t="s">
        <v>81</v>
      </c>
      <c r="TFL16" s="283"/>
      <c r="TFM16" s="259" t="s">
        <v>55</v>
      </c>
      <c r="TFN16" s="256" t="s">
        <v>76</v>
      </c>
      <c r="TFO16" s="256" t="s">
        <v>77</v>
      </c>
      <c r="TFP16" s="256" t="s">
        <v>78</v>
      </c>
      <c r="TFQ16" s="256" t="s">
        <v>79</v>
      </c>
      <c r="TFR16" s="256" t="s">
        <v>80</v>
      </c>
      <c r="TFS16" s="58" t="s">
        <v>81</v>
      </c>
      <c r="TFT16" s="284"/>
      <c r="TFU16" s="259" t="s">
        <v>55</v>
      </c>
      <c r="TFV16" s="256" t="s">
        <v>76</v>
      </c>
      <c r="TFW16" s="256" t="s">
        <v>77</v>
      </c>
      <c r="TFX16" s="256" t="s">
        <v>78</v>
      </c>
      <c r="TFY16" s="256" t="s">
        <v>79</v>
      </c>
      <c r="TFZ16" s="256" t="s">
        <v>80</v>
      </c>
      <c r="TGA16" s="256" t="s">
        <v>81</v>
      </c>
      <c r="TGB16" s="283"/>
      <c r="TGC16" s="259" t="s">
        <v>55</v>
      </c>
      <c r="TGD16" s="256" t="s">
        <v>76</v>
      </c>
      <c r="TGE16" s="256" t="s">
        <v>77</v>
      </c>
      <c r="TGF16" s="256" t="s">
        <v>78</v>
      </c>
      <c r="TGG16" s="256" t="s">
        <v>79</v>
      </c>
      <c r="TGH16" s="256" t="s">
        <v>80</v>
      </c>
      <c r="TGI16" s="58" t="s">
        <v>81</v>
      </c>
      <c r="TGJ16" s="284"/>
      <c r="TGK16" s="259" t="s">
        <v>55</v>
      </c>
      <c r="TGL16" s="256" t="s">
        <v>76</v>
      </c>
      <c r="TGM16" s="256" t="s">
        <v>77</v>
      </c>
      <c r="TGN16" s="256" t="s">
        <v>78</v>
      </c>
      <c r="TGO16" s="256" t="s">
        <v>79</v>
      </c>
      <c r="TGP16" s="256" t="s">
        <v>80</v>
      </c>
      <c r="TGQ16" s="256" t="s">
        <v>81</v>
      </c>
      <c r="TGR16" s="283"/>
      <c r="TGS16" s="259" t="s">
        <v>55</v>
      </c>
      <c r="TGT16" s="256" t="s">
        <v>76</v>
      </c>
      <c r="TGU16" s="256" t="s">
        <v>77</v>
      </c>
      <c r="TGV16" s="256" t="s">
        <v>78</v>
      </c>
      <c r="TGW16" s="256" t="s">
        <v>79</v>
      </c>
      <c r="TGX16" s="256" t="s">
        <v>80</v>
      </c>
      <c r="TGY16" s="58" t="s">
        <v>81</v>
      </c>
      <c r="TGZ16" s="284"/>
      <c r="THA16" s="259" t="s">
        <v>55</v>
      </c>
      <c r="THB16" s="256" t="s">
        <v>76</v>
      </c>
      <c r="THC16" s="256" t="s">
        <v>77</v>
      </c>
      <c r="THD16" s="256" t="s">
        <v>78</v>
      </c>
      <c r="THE16" s="256" t="s">
        <v>79</v>
      </c>
      <c r="THF16" s="256" t="s">
        <v>80</v>
      </c>
      <c r="THG16" s="256" t="s">
        <v>81</v>
      </c>
      <c r="THH16" s="283"/>
      <c r="THI16" s="259" t="s">
        <v>55</v>
      </c>
      <c r="THJ16" s="256" t="s">
        <v>76</v>
      </c>
      <c r="THK16" s="256" t="s">
        <v>77</v>
      </c>
      <c r="THL16" s="256" t="s">
        <v>78</v>
      </c>
      <c r="THM16" s="256" t="s">
        <v>79</v>
      </c>
      <c r="THN16" s="256" t="s">
        <v>80</v>
      </c>
      <c r="THO16" s="58" t="s">
        <v>81</v>
      </c>
      <c r="THP16" s="284"/>
      <c r="THQ16" s="259" t="s">
        <v>55</v>
      </c>
      <c r="THR16" s="256" t="s">
        <v>76</v>
      </c>
      <c r="THS16" s="256" t="s">
        <v>77</v>
      </c>
      <c r="THT16" s="256" t="s">
        <v>78</v>
      </c>
      <c r="THU16" s="256" t="s">
        <v>79</v>
      </c>
      <c r="THV16" s="256" t="s">
        <v>80</v>
      </c>
      <c r="THW16" s="256" t="s">
        <v>81</v>
      </c>
      <c r="THX16" s="283"/>
      <c r="THY16" s="259" t="s">
        <v>55</v>
      </c>
      <c r="THZ16" s="256" t="s">
        <v>76</v>
      </c>
      <c r="TIA16" s="256" t="s">
        <v>77</v>
      </c>
      <c r="TIB16" s="256" t="s">
        <v>78</v>
      </c>
      <c r="TIC16" s="256" t="s">
        <v>79</v>
      </c>
      <c r="TID16" s="256" t="s">
        <v>80</v>
      </c>
      <c r="TIE16" s="58" t="s">
        <v>81</v>
      </c>
      <c r="TIF16" s="284"/>
      <c r="TIG16" s="259" t="s">
        <v>55</v>
      </c>
      <c r="TIH16" s="256" t="s">
        <v>76</v>
      </c>
      <c r="TII16" s="256" t="s">
        <v>77</v>
      </c>
      <c r="TIJ16" s="256" t="s">
        <v>78</v>
      </c>
      <c r="TIK16" s="256" t="s">
        <v>79</v>
      </c>
      <c r="TIL16" s="256" t="s">
        <v>80</v>
      </c>
      <c r="TIM16" s="256" t="s">
        <v>81</v>
      </c>
      <c r="TIN16" s="283"/>
      <c r="TIO16" s="259" t="s">
        <v>55</v>
      </c>
      <c r="TIP16" s="256" t="s">
        <v>76</v>
      </c>
      <c r="TIQ16" s="256" t="s">
        <v>77</v>
      </c>
      <c r="TIR16" s="256" t="s">
        <v>78</v>
      </c>
      <c r="TIS16" s="256" t="s">
        <v>79</v>
      </c>
      <c r="TIT16" s="256" t="s">
        <v>80</v>
      </c>
      <c r="TIU16" s="58" t="s">
        <v>81</v>
      </c>
      <c r="TIV16" s="284"/>
      <c r="TIW16" s="259" t="s">
        <v>55</v>
      </c>
      <c r="TIX16" s="256" t="s">
        <v>76</v>
      </c>
      <c r="TIY16" s="256" t="s">
        <v>77</v>
      </c>
      <c r="TIZ16" s="256" t="s">
        <v>78</v>
      </c>
      <c r="TJA16" s="256" t="s">
        <v>79</v>
      </c>
      <c r="TJB16" s="256" t="s">
        <v>80</v>
      </c>
      <c r="TJC16" s="256" t="s">
        <v>81</v>
      </c>
      <c r="TJD16" s="283"/>
      <c r="TJE16" s="259" t="s">
        <v>55</v>
      </c>
      <c r="TJF16" s="256" t="s">
        <v>76</v>
      </c>
      <c r="TJG16" s="256" t="s">
        <v>77</v>
      </c>
      <c r="TJH16" s="256" t="s">
        <v>78</v>
      </c>
      <c r="TJI16" s="256" t="s">
        <v>79</v>
      </c>
      <c r="TJJ16" s="256" t="s">
        <v>80</v>
      </c>
      <c r="TJK16" s="58" t="s">
        <v>81</v>
      </c>
      <c r="TJL16" s="284"/>
      <c r="TJM16" s="259" t="s">
        <v>55</v>
      </c>
      <c r="TJN16" s="256" t="s">
        <v>76</v>
      </c>
      <c r="TJO16" s="256" t="s">
        <v>77</v>
      </c>
      <c r="TJP16" s="256" t="s">
        <v>78</v>
      </c>
      <c r="TJQ16" s="256" t="s">
        <v>79</v>
      </c>
      <c r="TJR16" s="256" t="s">
        <v>80</v>
      </c>
      <c r="TJS16" s="256" t="s">
        <v>81</v>
      </c>
      <c r="TJT16" s="283"/>
      <c r="TJU16" s="259" t="s">
        <v>55</v>
      </c>
      <c r="TJV16" s="256" t="s">
        <v>76</v>
      </c>
      <c r="TJW16" s="256" t="s">
        <v>77</v>
      </c>
      <c r="TJX16" s="256" t="s">
        <v>78</v>
      </c>
      <c r="TJY16" s="256" t="s">
        <v>79</v>
      </c>
      <c r="TJZ16" s="256" t="s">
        <v>80</v>
      </c>
      <c r="TKA16" s="58" t="s">
        <v>81</v>
      </c>
      <c r="TKB16" s="284"/>
      <c r="TKC16" s="259" t="s">
        <v>55</v>
      </c>
      <c r="TKD16" s="256" t="s">
        <v>76</v>
      </c>
      <c r="TKE16" s="256" t="s">
        <v>77</v>
      </c>
      <c r="TKF16" s="256" t="s">
        <v>78</v>
      </c>
      <c r="TKG16" s="256" t="s">
        <v>79</v>
      </c>
      <c r="TKH16" s="256" t="s">
        <v>80</v>
      </c>
      <c r="TKI16" s="256" t="s">
        <v>81</v>
      </c>
      <c r="TKJ16" s="283"/>
      <c r="TKK16" s="259" t="s">
        <v>55</v>
      </c>
      <c r="TKL16" s="256" t="s">
        <v>76</v>
      </c>
      <c r="TKM16" s="256" t="s">
        <v>77</v>
      </c>
      <c r="TKN16" s="256" t="s">
        <v>78</v>
      </c>
      <c r="TKO16" s="256" t="s">
        <v>79</v>
      </c>
      <c r="TKP16" s="256" t="s">
        <v>80</v>
      </c>
      <c r="TKQ16" s="58" t="s">
        <v>81</v>
      </c>
      <c r="TKR16" s="284"/>
      <c r="TKS16" s="259" t="s">
        <v>55</v>
      </c>
      <c r="TKT16" s="256" t="s">
        <v>76</v>
      </c>
      <c r="TKU16" s="256" t="s">
        <v>77</v>
      </c>
      <c r="TKV16" s="256" t="s">
        <v>78</v>
      </c>
      <c r="TKW16" s="256" t="s">
        <v>79</v>
      </c>
      <c r="TKX16" s="256" t="s">
        <v>80</v>
      </c>
      <c r="TKY16" s="256" t="s">
        <v>81</v>
      </c>
      <c r="TKZ16" s="283"/>
      <c r="TLA16" s="259" t="s">
        <v>55</v>
      </c>
      <c r="TLB16" s="256" t="s">
        <v>76</v>
      </c>
      <c r="TLC16" s="256" t="s">
        <v>77</v>
      </c>
      <c r="TLD16" s="256" t="s">
        <v>78</v>
      </c>
      <c r="TLE16" s="256" t="s">
        <v>79</v>
      </c>
      <c r="TLF16" s="256" t="s">
        <v>80</v>
      </c>
      <c r="TLG16" s="58" t="s">
        <v>81</v>
      </c>
      <c r="TLH16" s="284"/>
      <c r="TLI16" s="259" t="s">
        <v>55</v>
      </c>
      <c r="TLJ16" s="256" t="s">
        <v>76</v>
      </c>
      <c r="TLK16" s="256" t="s">
        <v>77</v>
      </c>
      <c r="TLL16" s="256" t="s">
        <v>78</v>
      </c>
      <c r="TLM16" s="256" t="s">
        <v>79</v>
      </c>
      <c r="TLN16" s="256" t="s">
        <v>80</v>
      </c>
      <c r="TLO16" s="256" t="s">
        <v>81</v>
      </c>
      <c r="TLP16" s="283"/>
      <c r="TLQ16" s="259" t="s">
        <v>55</v>
      </c>
      <c r="TLR16" s="256" t="s">
        <v>76</v>
      </c>
      <c r="TLS16" s="256" t="s">
        <v>77</v>
      </c>
      <c r="TLT16" s="256" t="s">
        <v>78</v>
      </c>
      <c r="TLU16" s="256" t="s">
        <v>79</v>
      </c>
      <c r="TLV16" s="256" t="s">
        <v>80</v>
      </c>
      <c r="TLW16" s="58" t="s">
        <v>81</v>
      </c>
      <c r="TLX16" s="284"/>
      <c r="TLY16" s="259" t="s">
        <v>55</v>
      </c>
      <c r="TLZ16" s="256" t="s">
        <v>76</v>
      </c>
      <c r="TMA16" s="256" t="s">
        <v>77</v>
      </c>
      <c r="TMB16" s="256" t="s">
        <v>78</v>
      </c>
      <c r="TMC16" s="256" t="s">
        <v>79</v>
      </c>
      <c r="TMD16" s="256" t="s">
        <v>80</v>
      </c>
      <c r="TME16" s="256" t="s">
        <v>81</v>
      </c>
      <c r="TMF16" s="283"/>
      <c r="TMG16" s="259" t="s">
        <v>55</v>
      </c>
      <c r="TMH16" s="256" t="s">
        <v>76</v>
      </c>
      <c r="TMI16" s="256" t="s">
        <v>77</v>
      </c>
      <c r="TMJ16" s="256" t="s">
        <v>78</v>
      </c>
      <c r="TMK16" s="256" t="s">
        <v>79</v>
      </c>
      <c r="TML16" s="256" t="s">
        <v>80</v>
      </c>
      <c r="TMM16" s="58" t="s">
        <v>81</v>
      </c>
      <c r="TMN16" s="284"/>
      <c r="TMO16" s="259" t="s">
        <v>55</v>
      </c>
      <c r="TMP16" s="256" t="s">
        <v>76</v>
      </c>
      <c r="TMQ16" s="256" t="s">
        <v>77</v>
      </c>
      <c r="TMR16" s="256" t="s">
        <v>78</v>
      </c>
      <c r="TMS16" s="256" t="s">
        <v>79</v>
      </c>
      <c r="TMT16" s="256" t="s">
        <v>80</v>
      </c>
      <c r="TMU16" s="256" t="s">
        <v>81</v>
      </c>
      <c r="TMV16" s="283"/>
      <c r="TMW16" s="259" t="s">
        <v>55</v>
      </c>
      <c r="TMX16" s="256" t="s">
        <v>76</v>
      </c>
      <c r="TMY16" s="256" t="s">
        <v>77</v>
      </c>
      <c r="TMZ16" s="256" t="s">
        <v>78</v>
      </c>
      <c r="TNA16" s="256" t="s">
        <v>79</v>
      </c>
      <c r="TNB16" s="256" t="s">
        <v>80</v>
      </c>
      <c r="TNC16" s="58" t="s">
        <v>81</v>
      </c>
      <c r="TND16" s="284"/>
      <c r="TNE16" s="259" t="s">
        <v>55</v>
      </c>
      <c r="TNF16" s="256" t="s">
        <v>76</v>
      </c>
      <c r="TNG16" s="256" t="s">
        <v>77</v>
      </c>
      <c r="TNH16" s="256" t="s">
        <v>78</v>
      </c>
      <c r="TNI16" s="256" t="s">
        <v>79</v>
      </c>
      <c r="TNJ16" s="256" t="s">
        <v>80</v>
      </c>
      <c r="TNK16" s="256" t="s">
        <v>81</v>
      </c>
      <c r="TNL16" s="283"/>
      <c r="TNM16" s="259" t="s">
        <v>55</v>
      </c>
      <c r="TNN16" s="256" t="s">
        <v>76</v>
      </c>
      <c r="TNO16" s="256" t="s">
        <v>77</v>
      </c>
      <c r="TNP16" s="256" t="s">
        <v>78</v>
      </c>
      <c r="TNQ16" s="256" t="s">
        <v>79</v>
      </c>
      <c r="TNR16" s="256" t="s">
        <v>80</v>
      </c>
      <c r="TNS16" s="58" t="s">
        <v>81</v>
      </c>
      <c r="TNT16" s="284"/>
      <c r="TNU16" s="259" t="s">
        <v>55</v>
      </c>
      <c r="TNV16" s="256" t="s">
        <v>76</v>
      </c>
      <c r="TNW16" s="256" t="s">
        <v>77</v>
      </c>
      <c r="TNX16" s="256" t="s">
        <v>78</v>
      </c>
      <c r="TNY16" s="256" t="s">
        <v>79</v>
      </c>
      <c r="TNZ16" s="256" t="s">
        <v>80</v>
      </c>
      <c r="TOA16" s="256" t="s">
        <v>81</v>
      </c>
      <c r="TOB16" s="283"/>
      <c r="TOC16" s="259" t="s">
        <v>55</v>
      </c>
      <c r="TOD16" s="256" t="s">
        <v>76</v>
      </c>
      <c r="TOE16" s="256" t="s">
        <v>77</v>
      </c>
      <c r="TOF16" s="256" t="s">
        <v>78</v>
      </c>
      <c r="TOG16" s="256" t="s">
        <v>79</v>
      </c>
      <c r="TOH16" s="256" t="s">
        <v>80</v>
      </c>
      <c r="TOI16" s="58" t="s">
        <v>81</v>
      </c>
      <c r="TOJ16" s="284"/>
      <c r="TOK16" s="259" t="s">
        <v>55</v>
      </c>
      <c r="TOL16" s="256" t="s">
        <v>76</v>
      </c>
      <c r="TOM16" s="256" t="s">
        <v>77</v>
      </c>
      <c r="TON16" s="256" t="s">
        <v>78</v>
      </c>
      <c r="TOO16" s="256" t="s">
        <v>79</v>
      </c>
      <c r="TOP16" s="256" t="s">
        <v>80</v>
      </c>
      <c r="TOQ16" s="256" t="s">
        <v>81</v>
      </c>
      <c r="TOR16" s="283"/>
      <c r="TOS16" s="259" t="s">
        <v>55</v>
      </c>
      <c r="TOT16" s="256" t="s">
        <v>76</v>
      </c>
      <c r="TOU16" s="256" t="s">
        <v>77</v>
      </c>
      <c r="TOV16" s="256" t="s">
        <v>78</v>
      </c>
      <c r="TOW16" s="256" t="s">
        <v>79</v>
      </c>
      <c r="TOX16" s="256" t="s">
        <v>80</v>
      </c>
      <c r="TOY16" s="58" t="s">
        <v>81</v>
      </c>
      <c r="TOZ16" s="284"/>
      <c r="TPA16" s="259" t="s">
        <v>55</v>
      </c>
      <c r="TPB16" s="256" t="s">
        <v>76</v>
      </c>
      <c r="TPC16" s="256" t="s">
        <v>77</v>
      </c>
      <c r="TPD16" s="256" t="s">
        <v>78</v>
      </c>
      <c r="TPE16" s="256" t="s">
        <v>79</v>
      </c>
      <c r="TPF16" s="256" t="s">
        <v>80</v>
      </c>
      <c r="TPG16" s="256" t="s">
        <v>81</v>
      </c>
      <c r="TPH16" s="283"/>
      <c r="TPI16" s="259" t="s">
        <v>55</v>
      </c>
      <c r="TPJ16" s="256" t="s">
        <v>76</v>
      </c>
      <c r="TPK16" s="256" t="s">
        <v>77</v>
      </c>
      <c r="TPL16" s="256" t="s">
        <v>78</v>
      </c>
      <c r="TPM16" s="256" t="s">
        <v>79</v>
      </c>
      <c r="TPN16" s="256" t="s">
        <v>80</v>
      </c>
      <c r="TPO16" s="58" t="s">
        <v>81</v>
      </c>
      <c r="TPP16" s="284"/>
      <c r="TPQ16" s="259" t="s">
        <v>55</v>
      </c>
      <c r="TPR16" s="256" t="s">
        <v>76</v>
      </c>
      <c r="TPS16" s="256" t="s">
        <v>77</v>
      </c>
      <c r="TPT16" s="256" t="s">
        <v>78</v>
      </c>
      <c r="TPU16" s="256" t="s">
        <v>79</v>
      </c>
      <c r="TPV16" s="256" t="s">
        <v>80</v>
      </c>
      <c r="TPW16" s="256" t="s">
        <v>81</v>
      </c>
      <c r="TPX16" s="283"/>
      <c r="TPY16" s="259" t="s">
        <v>55</v>
      </c>
      <c r="TPZ16" s="256" t="s">
        <v>76</v>
      </c>
      <c r="TQA16" s="256" t="s">
        <v>77</v>
      </c>
      <c r="TQB16" s="256" t="s">
        <v>78</v>
      </c>
      <c r="TQC16" s="256" t="s">
        <v>79</v>
      </c>
      <c r="TQD16" s="256" t="s">
        <v>80</v>
      </c>
      <c r="TQE16" s="58" t="s">
        <v>81</v>
      </c>
      <c r="TQF16" s="284"/>
      <c r="TQG16" s="259" t="s">
        <v>55</v>
      </c>
      <c r="TQH16" s="256" t="s">
        <v>76</v>
      </c>
      <c r="TQI16" s="256" t="s">
        <v>77</v>
      </c>
      <c r="TQJ16" s="256" t="s">
        <v>78</v>
      </c>
      <c r="TQK16" s="256" t="s">
        <v>79</v>
      </c>
      <c r="TQL16" s="256" t="s">
        <v>80</v>
      </c>
      <c r="TQM16" s="256" t="s">
        <v>81</v>
      </c>
      <c r="TQN16" s="283"/>
      <c r="TQO16" s="259" t="s">
        <v>55</v>
      </c>
      <c r="TQP16" s="256" t="s">
        <v>76</v>
      </c>
      <c r="TQQ16" s="256" t="s">
        <v>77</v>
      </c>
      <c r="TQR16" s="256" t="s">
        <v>78</v>
      </c>
      <c r="TQS16" s="256" t="s">
        <v>79</v>
      </c>
      <c r="TQT16" s="256" t="s">
        <v>80</v>
      </c>
      <c r="TQU16" s="58" t="s">
        <v>81</v>
      </c>
      <c r="TQV16" s="284"/>
      <c r="TQW16" s="259" t="s">
        <v>55</v>
      </c>
      <c r="TQX16" s="256" t="s">
        <v>76</v>
      </c>
      <c r="TQY16" s="256" t="s">
        <v>77</v>
      </c>
      <c r="TQZ16" s="256" t="s">
        <v>78</v>
      </c>
      <c r="TRA16" s="256" t="s">
        <v>79</v>
      </c>
      <c r="TRB16" s="256" t="s">
        <v>80</v>
      </c>
      <c r="TRC16" s="256" t="s">
        <v>81</v>
      </c>
      <c r="TRD16" s="283"/>
      <c r="TRE16" s="259" t="s">
        <v>55</v>
      </c>
      <c r="TRF16" s="256" t="s">
        <v>76</v>
      </c>
      <c r="TRG16" s="256" t="s">
        <v>77</v>
      </c>
      <c r="TRH16" s="256" t="s">
        <v>78</v>
      </c>
      <c r="TRI16" s="256" t="s">
        <v>79</v>
      </c>
      <c r="TRJ16" s="256" t="s">
        <v>80</v>
      </c>
      <c r="TRK16" s="58" t="s">
        <v>81</v>
      </c>
      <c r="TRL16" s="284"/>
      <c r="TRM16" s="259" t="s">
        <v>55</v>
      </c>
      <c r="TRN16" s="256" t="s">
        <v>76</v>
      </c>
      <c r="TRO16" s="256" t="s">
        <v>77</v>
      </c>
      <c r="TRP16" s="256" t="s">
        <v>78</v>
      </c>
      <c r="TRQ16" s="256" t="s">
        <v>79</v>
      </c>
      <c r="TRR16" s="256" t="s">
        <v>80</v>
      </c>
      <c r="TRS16" s="256" t="s">
        <v>81</v>
      </c>
      <c r="TRT16" s="283"/>
      <c r="TRU16" s="259" t="s">
        <v>55</v>
      </c>
      <c r="TRV16" s="256" t="s">
        <v>76</v>
      </c>
      <c r="TRW16" s="256" t="s">
        <v>77</v>
      </c>
      <c r="TRX16" s="256" t="s">
        <v>78</v>
      </c>
      <c r="TRY16" s="256" t="s">
        <v>79</v>
      </c>
      <c r="TRZ16" s="256" t="s">
        <v>80</v>
      </c>
      <c r="TSA16" s="58" t="s">
        <v>81</v>
      </c>
      <c r="TSB16" s="284"/>
      <c r="TSC16" s="259" t="s">
        <v>55</v>
      </c>
      <c r="TSD16" s="256" t="s">
        <v>76</v>
      </c>
      <c r="TSE16" s="256" t="s">
        <v>77</v>
      </c>
      <c r="TSF16" s="256" t="s">
        <v>78</v>
      </c>
      <c r="TSG16" s="256" t="s">
        <v>79</v>
      </c>
      <c r="TSH16" s="256" t="s">
        <v>80</v>
      </c>
      <c r="TSI16" s="256" t="s">
        <v>81</v>
      </c>
      <c r="TSJ16" s="283"/>
      <c r="TSK16" s="259" t="s">
        <v>55</v>
      </c>
      <c r="TSL16" s="256" t="s">
        <v>76</v>
      </c>
      <c r="TSM16" s="256" t="s">
        <v>77</v>
      </c>
      <c r="TSN16" s="256" t="s">
        <v>78</v>
      </c>
      <c r="TSO16" s="256" t="s">
        <v>79</v>
      </c>
      <c r="TSP16" s="256" t="s">
        <v>80</v>
      </c>
      <c r="TSQ16" s="58" t="s">
        <v>81</v>
      </c>
      <c r="TSR16" s="284"/>
      <c r="TSS16" s="259" t="s">
        <v>55</v>
      </c>
      <c r="TST16" s="256" t="s">
        <v>76</v>
      </c>
      <c r="TSU16" s="256" t="s">
        <v>77</v>
      </c>
      <c r="TSV16" s="256" t="s">
        <v>78</v>
      </c>
      <c r="TSW16" s="256" t="s">
        <v>79</v>
      </c>
      <c r="TSX16" s="256" t="s">
        <v>80</v>
      </c>
      <c r="TSY16" s="256" t="s">
        <v>81</v>
      </c>
      <c r="TSZ16" s="283"/>
      <c r="TTA16" s="259" t="s">
        <v>55</v>
      </c>
      <c r="TTB16" s="256" t="s">
        <v>76</v>
      </c>
      <c r="TTC16" s="256" t="s">
        <v>77</v>
      </c>
      <c r="TTD16" s="256" t="s">
        <v>78</v>
      </c>
      <c r="TTE16" s="256" t="s">
        <v>79</v>
      </c>
      <c r="TTF16" s="256" t="s">
        <v>80</v>
      </c>
      <c r="TTG16" s="58" t="s">
        <v>81</v>
      </c>
      <c r="TTH16" s="284"/>
      <c r="TTI16" s="259" t="s">
        <v>55</v>
      </c>
      <c r="TTJ16" s="256" t="s">
        <v>76</v>
      </c>
      <c r="TTK16" s="256" t="s">
        <v>77</v>
      </c>
      <c r="TTL16" s="256" t="s">
        <v>78</v>
      </c>
      <c r="TTM16" s="256" t="s">
        <v>79</v>
      </c>
      <c r="TTN16" s="256" t="s">
        <v>80</v>
      </c>
      <c r="TTO16" s="256" t="s">
        <v>81</v>
      </c>
      <c r="TTP16" s="283"/>
      <c r="TTQ16" s="259" t="s">
        <v>55</v>
      </c>
      <c r="TTR16" s="256" t="s">
        <v>76</v>
      </c>
      <c r="TTS16" s="256" t="s">
        <v>77</v>
      </c>
      <c r="TTT16" s="256" t="s">
        <v>78</v>
      </c>
      <c r="TTU16" s="256" t="s">
        <v>79</v>
      </c>
      <c r="TTV16" s="256" t="s">
        <v>80</v>
      </c>
      <c r="TTW16" s="58" t="s">
        <v>81</v>
      </c>
      <c r="TTX16" s="284"/>
      <c r="TTY16" s="259" t="s">
        <v>55</v>
      </c>
      <c r="TTZ16" s="256" t="s">
        <v>76</v>
      </c>
      <c r="TUA16" s="256" t="s">
        <v>77</v>
      </c>
      <c r="TUB16" s="256" t="s">
        <v>78</v>
      </c>
      <c r="TUC16" s="256" t="s">
        <v>79</v>
      </c>
      <c r="TUD16" s="256" t="s">
        <v>80</v>
      </c>
      <c r="TUE16" s="256" t="s">
        <v>81</v>
      </c>
      <c r="TUF16" s="283"/>
      <c r="TUG16" s="259" t="s">
        <v>55</v>
      </c>
      <c r="TUH16" s="256" t="s">
        <v>76</v>
      </c>
      <c r="TUI16" s="256" t="s">
        <v>77</v>
      </c>
      <c r="TUJ16" s="256" t="s">
        <v>78</v>
      </c>
      <c r="TUK16" s="256" t="s">
        <v>79</v>
      </c>
      <c r="TUL16" s="256" t="s">
        <v>80</v>
      </c>
      <c r="TUM16" s="58" t="s">
        <v>81</v>
      </c>
      <c r="TUN16" s="284"/>
      <c r="TUO16" s="259" t="s">
        <v>55</v>
      </c>
      <c r="TUP16" s="256" t="s">
        <v>76</v>
      </c>
      <c r="TUQ16" s="256" t="s">
        <v>77</v>
      </c>
      <c r="TUR16" s="256" t="s">
        <v>78</v>
      </c>
      <c r="TUS16" s="256" t="s">
        <v>79</v>
      </c>
      <c r="TUT16" s="256" t="s">
        <v>80</v>
      </c>
      <c r="TUU16" s="256" t="s">
        <v>81</v>
      </c>
      <c r="TUV16" s="283"/>
      <c r="TUW16" s="259" t="s">
        <v>55</v>
      </c>
      <c r="TUX16" s="256" t="s">
        <v>76</v>
      </c>
      <c r="TUY16" s="256" t="s">
        <v>77</v>
      </c>
      <c r="TUZ16" s="256" t="s">
        <v>78</v>
      </c>
      <c r="TVA16" s="256" t="s">
        <v>79</v>
      </c>
      <c r="TVB16" s="256" t="s">
        <v>80</v>
      </c>
      <c r="TVC16" s="58" t="s">
        <v>81</v>
      </c>
      <c r="TVD16" s="284"/>
      <c r="TVE16" s="259" t="s">
        <v>55</v>
      </c>
      <c r="TVF16" s="256" t="s">
        <v>76</v>
      </c>
      <c r="TVG16" s="256" t="s">
        <v>77</v>
      </c>
      <c r="TVH16" s="256" t="s">
        <v>78</v>
      </c>
      <c r="TVI16" s="256" t="s">
        <v>79</v>
      </c>
      <c r="TVJ16" s="256" t="s">
        <v>80</v>
      </c>
      <c r="TVK16" s="256" t="s">
        <v>81</v>
      </c>
      <c r="TVL16" s="283"/>
      <c r="TVM16" s="259" t="s">
        <v>55</v>
      </c>
      <c r="TVN16" s="256" t="s">
        <v>76</v>
      </c>
      <c r="TVO16" s="256" t="s">
        <v>77</v>
      </c>
      <c r="TVP16" s="256" t="s">
        <v>78</v>
      </c>
      <c r="TVQ16" s="256" t="s">
        <v>79</v>
      </c>
      <c r="TVR16" s="256" t="s">
        <v>80</v>
      </c>
      <c r="TVS16" s="58" t="s">
        <v>81</v>
      </c>
      <c r="TVT16" s="284"/>
      <c r="TVU16" s="259" t="s">
        <v>55</v>
      </c>
      <c r="TVV16" s="256" t="s">
        <v>76</v>
      </c>
      <c r="TVW16" s="256" t="s">
        <v>77</v>
      </c>
      <c r="TVX16" s="256" t="s">
        <v>78</v>
      </c>
      <c r="TVY16" s="256" t="s">
        <v>79</v>
      </c>
      <c r="TVZ16" s="256" t="s">
        <v>80</v>
      </c>
      <c r="TWA16" s="256" t="s">
        <v>81</v>
      </c>
      <c r="TWB16" s="283"/>
      <c r="TWC16" s="259" t="s">
        <v>55</v>
      </c>
      <c r="TWD16" s="256" t="s">
        <v>76</v>
      </c>
      <c r="TWE16" s="256" t="s">
        <v>77</v>
      </c>
      <c r="TWF16" s="256" t="s">
        <v>78</v>
      </c>
      <c r="TWG16" s="256" t="s">
        <v>79</v>
      </c>
      <c r="TWH16" s="256" t="s">
        <v>80</v>
      </c>
      <c r="TWI16" s="58" t="s">
        <v>81</v>
      </c>
      <c r="TWJ16" s="284"/>
      <c r="TWK16" s="259" t="s">
        <v>55</v>
      </c>
      <c r="TWL16" s="256" t="s">
        <v>76</v>
      </c>
      <c r="TWM16" s="256" t="s">
        <v>77</v>
      </c>
      <c r="TWN16" s="256" t="s">
        <v>78</v>
      </c>
      <c r="TWO16" s="256" t="s">
        <v>79</v>
      </c>
      <c r="TWP16" s="256" t="s">
        <v>80</v>
      </c>
      <c r="TWQ16" s="256" t="s">
        <v>81</v>
      </c>
      <c r="TWR16" s="283"/>
      <c r="TWS16" s="259" t="s">
        <v>55</v>
      </c>
      <c r="TWT16" s="256" t="s">
        <v>76</v>
      </c>
      <c r="TWU16" s="256" t="s">
        <v>77</v>
      </c>
      <c r="TWV16" s="256" t="s">
        <v>78</v>
      </c>
      <c r="TWW16" s="256" t="s">
        <v>79</v>
      </c>
      <c r="TWX16" s="256" t="s">
        <v>80</v>
      </c>
      <c r="TWY16" s="58" t="s">
        <v>81</v>
      </c>
      <c r="TWZ16" s="284"/>
      <c r="TXA16" s="259" t="s">
        <v>55</v>
      </c>
      <c r="TXB16" s="256" t="s">
        <v>76</v>
      </c>
      <c r="TXC16" s="256" t="s">
        <v>77</v>
      </c>
      <c r="TXD16" s="256" t="s">
        <v>78</v>
      </c>
      <c r="TXE16" s="256" t="s">
        <v>79</v>
      </c>
      <c r="TXF16" s="256" t="s">
        <v>80</v>
      </c>
      <c r="TXG16" s="256" t="s">
        <v>81</v>
      </c>
      <c r="TXH16" s="283"/>
      <c r="TXI16" s="259" t="s">
        <v>55</v>
      </c>
      <c r="TXJ16" s="256" t="s">
        <v>76</v>
      </c>
      <c r="TXK16" s="256" t="s">
        <v>77</v>
      </c>
      <c r="TXL16" s="256" t="s">
        <v>78</v>
      </c>
      <c r="TXM16" s="256" t="s">
        <v>79</v>
      </c>
      <c r="TXN16" s="256" t="s">
        <v>80</v>
      </c>
      <c r="TXO16" s="58" t="s">
        <v>81</v>
      </c>
      <c r="TXP16" s="284"/>
      <c r="TXQ16" s="259" t="s">
        <v>55</v>
      </c>
      <c r="TXR16" s="256" t="s">
        <v>76</v>
      </c>
      <c r="TXS16" s="256" t="s">
        <v>77</v>
      </c>
      <c r="TXT16" s="256" t="s">
        <v>78</v>
      </c>
      <c r="TXU16" s="256" t="s">
        <v>79</v>
      </c>
      <c r="TXV16" s="256" t="s">
        <v>80</v>
      </c>
      <c r="TXW16" s="256" t="s">
        <v>81</v>
      </c>
      <c r="TXX16" s="283"/>
      <c r="TXY16" s="259" t="s">
        <v>55</v>
      </c>
      <c r="TXZ16" s="256" t="s">
        <v>76</v>
      </c>
      <c r="TYA16" s="256" t="s">
        <v>77</v>
      </c>
      <c r="TYB16" s="256" t="s">
        <v>78</v>
      </c>
      <c r="TYC16" s="256" t="s">
        <v>79</v>
      </c>
      <c r="TYD16" s="256" t="s">
        <v>80</v>
      </c>
      <c r="TYE16" s="58" t="s">
        <v>81</v>
      </c>
      <c r="TYF16" s="284"/>
      <c r="TYG16" s="259" t="s">
        <v>55</v>
      </c>
      <c r="TYH16" s="256" t="s">
        <v>76</v>
      </c>
      <c r="TYI16" s="256" t="s">
        <v>77</v>
      </c>
      <c r="TYJ16" s="256" t="s">
        <v>78</v>
      </c>
      <c r="TYK16" s="256" t="s">
        <v>79</v>
      </c>
      <c r="TYL16" s="256" t="s">
        <v>80</v>
      </c>
      <c r="TYM16" s="256" t="s">
        <v>81</v>
      </c>
      <c r="TYN16" s="283"/>
      <c r="TYO16" s="259" t="s">
        <v>55</v>
      </c>
      <c r="TYP16" s="256" t="s">
        <v>76</v>
      </c>
      <c r="TYQ16" s="256" t="s">
        <v>77</v>
      </c>
      <c r="TYR16" s="256" t="s">
        <v>78</v>
      </c>
      <c r="TYS16" s="256" t="s">
        <v>79</v>
      </c>
      <c r="TYT16" s="256" t="s">
        <v>80</v>
      </c>
      <c r="TYU16" s="58" t="s">
        <v>81</v>
      </c>
      <c r="TYV16" s="284"/>
      <c r="TYW16" s="259" t="s">
        <v>55</v>
      </c>
      <c r="TYX16" s="256" t="s">
        <v>76</v>
      </c>
      <c r="TYY16" s="256" t="s">
        <v>77</v>
      </c>
      <c r="TYZ16" s="256" t="s">
        <v>78</v>
      </c>
      <c r="TZA16" s="256" t="s">
        <v>79</v>
      </c>
      <c r="TZB16" s="256" t="s">
        <v>80</v>
      </c>
      <c r="TZC16" s="256" t="s">
        <v>81</v>
      </c>
      <c r="TZD16" s="283"/>
      <c r="TZE16" s="259" t="s">
        <v>55</v>
      </c>
      <c r="TZF16" s="256" t="s">
        <v>76</v>
      </c>
      <c r="TZG16" s="256" t="s">
        <v>77</v>
      </c>
      <c r="TZH16" s="256" t="s">
        <v>78</v>
      </c>
      <c r="TZI16" s="256" t="s">
        <v>79</v>
      </c>
      <c r="TZJ16" s="256" t="s">
        <v>80</v>
      </c>
      <c r="TZK16" s="58" t="s">
        <v>81</v>
      </c>
      <c r="TZL16" s="284"/>
      <c r="TZM16" s="259" t="s">
        <v>55</v>
      </c>
      <c r="TZN16" s="256" t="s">
        <v>76</v>
      </c>
      <c r="TZO16" s="256" t="s">
        <v>77</v>
      </c>
      <c r="TZP16" s="256" t="s">
        <v>78</v>
      </c>
      <c r="TZQ16" s="256" t="s">
        <v>79</v>
      </c>
      <c r="TZR16" s="256" t="s">
        <v>80</v>
      </c>
      <c r="TZS16" s="256" t="s">
        <v>81</v>
      </c>
      <c r="TZT16" s="283"/>
      <c r="TZU16" s="259" t="s">
        <v>55</v>
      </c>
      <c r="TZV16" s="256" t="s">
        <v>76</v>
      </c>
      <c r="TZW16" s="256" t="s">
        <v>77</v>
      </c>
      <c r="TZX16" s="256" t="s">
        <v>78</v>
      </c>
      <c r="TZY16" s="256" t="s">
        <v>79</v>
      </c>
      <c r="TZZ16" s="256" t="s">
        <v>80</v>
      </c>
      <c r="UAA16" s="58" t="s">
        <v>81</v>
      </c>
      <c r="UAB16" s="284"/>
      <c r="UAC16" s="259" t="s">
        <v>55</v>
      </c>
      <c r="UAD16" s="256" t="s">
        <v>76</v>
      </c>
      <c r="UAE16" s="256" t="s">
        <v>77</v>
      </c>
      <c r="UAF16" s="256" t="s">
        <v>78</v>
      </c>
      <c r="UAG16" s="256" t="s">
        <v>79</v>
      </c>
      <c r="UAH16" s="256" t="s">
        <v>80</v>
      </c>
      <c r="UAI16" s="256" t="s">
        <v>81</v>
      </c>
      <c r="UAJ16" s="283"/>
      <c r="UAK16" s="259" t="s">
        <v>55</v>
      </c>
      <c r="UAL16" s="256" t="s">
        <v>76</v>
      </c>
      <c r="UAM16" s="256" t="s">
        <v>77</v>
      </c>
      <c r="UAN16" s="256" t="s">
        <v>78</v>
      </c>
      <c r="UAO16" s="256" t="s">
        <v>79</v>
      </c>
      <c r="UAP16" s="256" t="s">
        <v>80</v>
      </c>
      <c r="UAQ16" s="58" t="s">
        <v>81</v>
      </c>
      <c r="UAR16" s="284"/>
      <c r="UAS16" s="259" t="s">
        <v>55</v>
      </c>
      <c r="UAT16" s="256" t="s">
        <v>76</v>
      </c>
      <c r="UAU16" s="256" t="s">
        <v>77</v>
      </c>
      <c r="UAV16" s="256" t="s">
        <v>78</v>
      </c>
      <c r="UAW16" s="256" t="s">
        <v>79</v>
      </c>
      <c r="UAX16" s="256" t="s">
        <v>80</v>
      </c>
      <c r="UAY16" s="256" t="s">
        <v>81</v>
      </c>
      <c r="UAZ16" s="283"/>
      <c r="UBA16" s="259" t="s">
        <v>55</v>
      </c>
      <c r="UBB16" s="256" t="s">
        <v>76</v>
      </c>
      <c r="UBC16" s="256" t="s">
        <v>77</v>
      </c>
      <c r="UBD16" s="256" t="s">
        <v>78</v>
      </c>
      <c r="UBE16" s="256" t="s">
        <v>79</v>
      </c>
      <c r="UBF16" s="256" t="s">
        <v>80</v>
      </c>
      <c r="UBG16" s="58" t="s">
        <v>81</v>
      </c>
      <c r="UBH16" s="284"/>
      <c r="UBI16" s="259" t="s">
        <v>55</v>
      </c>
      <c r="UBJ16" s="256" t="s">
        <v>76</v>
      </c>
      <c r="UBK16" s="256" t="s">
        <v>77</v>
      </c>
      <c r="UBL16" s="256" t="s">
        <v>78</v>
      </c>
      <c r="UBM16" s="256" t="s">
        <v>79</v>
      </c>
      <c r="UBN16" s="256" t="s">
        <v>80</v>
      </c>
      <c r="UBO16" s="256" t="s">
        <v>81</v>
      </c>
      <c r="UBP16" s="283"/>
      <c r="UBQ16" s="259" t="s">
        <v>55</v>
      </c>
      <c r="UBR16" s="256" t="s">
        <v>76</v>
      </c>
      <c r="UBS16" s="256" t="s">
        <v>77</v>
      </c>
      <c r="UBT16" s="256" t="s">
        <v>78</v>
      </c>
      <c r="UBU16" s="256" t="s">
        <v>79</v>
      </c>
      <c r="UBV16" s="256" t="s">
        <v>80</v>
      </c>
      <c r="UBW16" s="58" t="s">
        <v>81</v>
      </c>
      <c r="UBX16" s="284"/>
      <c r="UBY16" s="259" t="s">
        <v>55</v>
      </c>
      <c r="UBZ16" s="256" t="s">
        <v>76</v>
      </c>
      <c r="UCA16" s="256" t="s">
        <v>77</v>
      </c>
      <c r="UCB16" s="256" t="s">
        <v>78</v>
      </c>
      <c r="UCC16" s="256" t="s">
        <v>79</v>
      </c>
      <c r="UCD16" s="256" t="s">
        <v>80</v>
      </c>
      <c r="UCE16" s="256" t="s">
        <v>81</v>
      </c>
      <c r="UCF16" s="283"/>
      <c r="UCG16" s="259" t="s">
        <v>55</v>
      </c>
      <c r="UCH16" s="256" t="s">
        <v>76</v>
      </c>
      <c r="UCI16" s="256" t="s">
        <v>77</v>
      </c>
      <c r="UCJ16" s="256" t="s">
        <v>78</v>
      </c>
      <c r="UCK16" s="256" t="s">
        <v>79</v>
      </c>
      <c r="UCL16" s="256" t="s">
        <v>80</v>
      </c>
      <c r="UCM16" s="58" t="s">
        <v>81</v>
      </c>
      <c r="UCN16" s="284"/>
      <c r="UCO16" s="259" t="s">
        <v>55</v>
      </c>
      <c r="UCP16" s="256" t="s">
        <v>76</v>
      </c>
      <c r="UCQ16" s="256" t="s">
        <v>77</v>
      </c>
      <c r="UCR16" s="256" t="s">
        <v>78</v>
      </c>
      <c r="UCS16" s="256" t="s">
        <v>79</v>
      </c>
      <c r="UCT16" s="256" t="s">
        <v>80</v>
      </c>
      <c r="UCU16" s="256" t="s">
        <v>81</v>
      </c>
      <c r="UCV16" s="283"/>
      <c r="UCW16" s="259" t="s">
        <v>55</v>
      </c>
      <c r="UCX16" s="256" t="s">
        <v>76</v>
      </c>
      <c r="UCY16" s="256" t="s">
        <v>77</v>
      </c>
      <c r="UCZ16" s="256" t="s">
        <v>78</v>
      </c>
      <c r="UDA16" s="256" t="s">
        <v>79</v>
      </c>
      <c r="UDB16" s="256" t="s">
        <v>80</v>
      </c>
      <c r="UDC16" s="58" t="s">
        <v>81</v>
      </c>
      <c r="UDD16" s="284"/>
      <c r="UDE16" s="259" t="s">
        <v>55</v>
      </c>
      <c r="UDF16" s="256" t="s">
        <v>76</v>
      </c>
      <c r="UDG16" s="256" t="s">
        <v>77</v>
      </c>
      <c r="UDH16" s="256" t="s">
        <v>78</v>
      </c>
      <c r="UDI16" s="256" t="s">
        <v>79</v>
      </c>
      <c r="UDJ16" s="256" t="s">
        <v>80</v>
      </c>
      <c r="UDK16" s="256" t="s">
        <v>81</v>
      </c>
      <c r="UDL16" s="283"/>
      <c r="UDM16" s="259" t="s">
        <v>55</v>
      </c>
      <c r="UDN16" s="256" t="s">
        <v>76</v>
      </c>
      <c r="UDO16" s="256" t="s">
        <v>77</v>
      </c>
      <c r="UDP16" s="256" t="s">
        <v>78</v>
      </c>
      <c r="UDQ16" s="256" t="s">
        <v>79</v>
      </c>
      <c r="UDR16" s="256" t="s">
        <v>80</v>
      </c>
      <c r="UDS16" s="58" t="s">
        <v>81</v>
      </c>
      <c r="UDT16" s="284"/>
      <c r="UDU16" s="259" t="s">
        <v>55</v>
      </c>
      <c r="UDV16" s="256" t="s">
        <v>76</v>
      </c>
      <c r="UDW16" s="256" t="s">
        <v>77</v>
      </c>
      <c r="UDX16" s="256" t="s">
        <v>78</v>
      </c>
      <c r="UDY16" s="256" t="s">
        <v>79</v>
      </c>
      <c r="UDZ16" s="256" t="s">
        <v>80</v>
      </c>
      <c r="UEA16" s="256" t="s">
        <v>81</v>
      </c>
      <c r="UEB16" s="283"/>
      <c r="UEC16" s="259" t="s">
        <v>55</v>
      </c>
      <c r="UED16" s="256" t="s">
        <v>76</v>
      </c>
      <c r="UEE16" s="256" t="s">
        <v>77</v>
      </c>
      <c r="UEF16" s="256" t="s">
        <v>78</v>
      </c>
      <c r="UEG16" s="256" t="s">
        <v>79</v>
      </c>
      <c r="UEH16" s="256" t="s">
        <v>80</v>
      </c>
      <c r="UEI16" s="58" t="s">
        <v>81</v>
      </c>
      <c r="UEJ16" s="284"/>
      <c r="UEK16" s="259" t="s">
        <v>55</v>
      </c>
      <c r="UEL16" s="256" t="s">
        <v>76</v>
      </c>
      <c r="UEM16" s="256" t="s">
        <v>77</v>
      </c>
      <c r="UEN16" s="256" t="s">
        <v>78</v>
      </c>
      <c r="UEO16" s="256" t="s">
        <v>79</v>
      </c>
      <c r="UEP16" s="256" t="s">
        <v>80</v>
      </c>
      <c r="UEQ16" s="256" t="s">
        <v>81</v>
      </c>
      <c r="UER16" s="283"/>
      <c r="UES16" s="259" t="s">
        <v>55</v>
      </c>
      <c r="UET16" s="256" t="s">
        <v>76</v>
      </c>
      <c r="UEU16" s="256" t="s">
        <v>77</v>
      </c>
      <c r="UEV16" s="256" t="s">
        <v>78</v>
      </c>
      <c r="UEW16" s="256" t="s">
        <v>79</v>
      </c>
      <c r="UEX16" s="256" t="s">
        <v>80</v>
      </c>
      <c r="UEY16" s="58" t="s">
        <v>81</v>
      </c>
      <c r="UEZ16" s="284"/>
      <c r="UFA16" s="259" t="s">
        <v>55</v>
      </c>
      <c r="UFB16" s="256" t="s">
        <v>76</v>
      </c>
      <c r="UFC16" s="256" t="s">
        <v>77</v>
      </c>
      <c r="UFD16" s="256" t="s">
        <v>78</v>
      </c>
      <c r="UFE16" s="256" t="s">
        <v>79</v>
      </c>
      <c r="UFF16" s="256" t="s">
        <v>80</v>
      </c>
      <c r="UFG16" s="256" t="s">
        <v>81</v>
      </c>
      <c r="UFH16" s="283"/>
      <c r="UFI16" s="259" t="s">
        <v>55</v>
      </c>
      <c r="UFJ16" s="256" t="s">
        <v>76</v>
      </c>
      <c r="UFK16" s="256" t="s">
        <v>77</v>
      </c>
      <c r="UFL16" s="256" t="s">
        <v>78</v>
      </c>
      <c r="UFM16" s="256" t="s">
        <v>79</v>
      </c>
      <c r="UFN16" s="256" t="s">
        <v>80</v>
      </c>
      <c r="UFO16" s="58" t="s">
        <v>81</v>
      </c>
      <c r="UFP16" s="284"/>
      <c r="UFQ16" s="259" t="s">
        <v>55</v>
      </c>
      <c r="UFR16" s="256" t="s">
        <v>76</v>
      </c>
      <c r="UFS16" s="256" t="s">
        <v>77</v>
      </c>
      <c r="UFT16" s="256" t="s">
        <v>78</v>
      </c>
      <c r="UFU16" s="256" t="s">
        <v>79</v>
      </c>
      <c r="UFV16" s="256" t="s">
        <v>80</v>
      </c>
      <c r="UFW16" s="256" t="s">
        <v>81</v>
      </c>
      <c r="UFX16" s="283"/>
      <c r="UFY16" s="259" t="s">
        <v>55</v>
      </c>
      <c r="UFZ16" s="256" t="s">
        <v>76</v>
      </c>
      <c r="UGA16" s="256" t="s">
        <v>77</v>
      </c>
      <c r="UGB16" s="256" t="s">
        <v>78</v>
      </c>
      <c r="UGC16" s="256" t="s">
        <v>79</v>
      </c>
      <c r="UGD16" s="256" t="s">
        <v>80</v>
      </c>
      <c r="UGE16" s="58" t="s">
        <v>81</v>
      </c>
      <c r="UGF16" s="284"/>
      <c r="UGG16" s="259" t="s">
        <v>55</v>
      </c>
      <c r="UGH16" s="256" t="s">
        <v>76</v>
      </c>
      <c r="UGI16" s="256" t="s">
        <v>77</v>
      </c>
      <c r="UGJ16" s="256" t="s">
        <v>78</v>
      </c>
      <c r="UGK16" s="256" t="s">
        <v>79</v>
      </c>
      <c r="UGL16" s="256" t="s">
        <v>80</v>
      </c>
      <c r="UGM16" s="256" t="s">
        <v>81</v>
      </c>
      <c r="UGN16" s="283"/>
      <c r="UGO16" s="259" t="s">
        <v>55</v>
      </c>
      <c r="UGP16" s="256" t="s">
        <v>76</v>
      </c>
      <c r="UGQ16" s="256" t="s">
        <v>77</v>
      </c>
      <c r="UGR16" s="256" t="s">
        <v>78</v>
      </c>
      <c r="UGS16" s="256" t="s">
        <v>79</v>
      </c>
      <c r="UGT16" s="256" t="s">
        <v>80</v>
      </c>
      <c r="UGU16" s="58" t="s">
        <v>81</v>
      </c>
      <c r="UGV16" s="284"/>
      <c r="UGW16" s="259" t="s">
        <v>55</v>
      </c>
      <c r="UGX16" s="256" t="s">
        <v>76</v>
      </c>
      <c r="UGY16" s="256" t="s">
        <v>77</v>
      </c>
      <c r="UGZ16" s="256" t="s">
        <v>78</v>
      </c>
      <c r="UHA16" s="256" t="s">
        <v>79</v>
      </c>
      <c r="UHB16" s="256" t="s">
        <v>80</v>
      </c>
      <c r="UHC16" s="256" t="s">
        <v>81</v>
      </c>
      <c r="UHD16" s="283"/>
      <c r="UHE16" s="259" t="s">
        <v>55</v>
      </c>
      <c r="UHF16" s="256" t="s">
        <v>76</v>
      </c>
      <c r="UHG16" s="256" t="s">
        <v>77</v>
      </c>
      <c r="UHH16" s="256" t="s">
        <v>78</v>
      </c>
      <c r="UHI16" s="256" t="s">
        <v>79</v>
      </c>
      <c r="UHJ16" s="256" t="s">
        <v>80</v>
      </c>
      <c r="UHK16" s="58" t="s">
        <v>81</v>
      </c>
      <c r="UHL16" s="284"/>
      <c r="UHM16" s="259" t="s">
        <v>55</v>
      </c>
      <c r="UHN16" s="256" t="s">
        <v>76</v>
      </c>
      <c r="UHO16" s="256" t="s">
        <v>77</v>
      </c>
      <c r="UHP16" s="256" t="s">
        <v>78</v>
      </c>
      <c r="UHQ16" s="256" t="s">
        <v>79</v>
      </c>
      <c r="UHR16" s="256" t="s">
        <v>80</v>
      </c>
      <c r="UHS16" s="256" t="s">
        <v>81</v>
      </c>
      <c r="UHT16" s="283"/>
      <c r="UHU16" s="259" t="s">
        <v>55</v>
      </c>
      <c r="UHV16" s="256" t="s">
        <v>76</v>
      </c>
      <c r="UHW16" s="256" t="s">
        <v>77</v>
      </c>
      <c r="UHX16" s="256" t="s">
        <v>78</v>
      </c>
      <c r="UHY16" s="256" t="s">
        <v>79</v>
      </c>
      <c r="UHZ16" s="256" t="s">
        <v>80</v>
      </c>
      <c r="UIA16" s="58" t="s">
        <v>81</v>
      </c>
      <c r="UIB16" s="284"/>
      <c r="UIC16" s="259" t="s">
        <v>55</v>
      </c>
      <c r="UID16" s="256" t="s">
        <v>76</v>
      </c>
      <c r="UIE16" s="256" t="s">
        <v>77</v>
      </c>
      <c r="UIF16" s="256" t="s">
        <v>78</v>
      </c>
      <c r="UIG16" s="256" t="s">
        <v>79</v>
      </c>
      <c r="UIH16" s="256" t="s">
        <v>80</v>
      </c>
      <c r="UII16" s="256" t="s">
        <v>81</v>
      </c>
      <c r="UIJ16" s="283"/>
      <c r="UIK16" s="259" t="s">
        <v>55</v>
      </c>
      <c r="UIL16" s="256" t="s">
        <v>76</v>
      </c>
      <c r="UIM16" s="256" t="s">
        <v>77</v>
      </c>
      <c r="UIN16" s="256" t="s">
        <v>78</v>
      </c>
      <c r="UIO16" s="256" t="s">
        <v>79</v>
      </c>
      <c r="UIP16" s="256" t="s">
        <v>80</v>
      </c>
      <c r="UIQ16" s="58" t="s">
        <v>81</v>
      </c>
      <c r="UIR16" s="284"/>
      <c r="UIS16" s="259" t="s">
        <v>55</v>
      </c>
      <c r="UIT16" s="256" t="s">
        <v>76</v>
      </c>
      <c r="UIU16" s="256" t="s">
        <v>77</v>
      </c>
      <c r="UIV16" s="256" t="s">
        <v>78</v>
      </c>
      <c r="UIW16" s="256" t="s">
        <v>79</v>
      </c>
      <c r="UIX16" s="256" t="s">
        <v>80</v>
      </c>
      <c r="UIY16" s="256" t="s">
        <v>81</v>
      </c>
      <c r="UIZ16" s="283"/>
      <c r="UJA16" s="259" t="s">
        <v>55</v>
      </c>
      <c r="UJB16" s="256" t="s">
        <v>76</v>
      </c>
      <c r="UJC16" s="256" t="s">
        <v>77</v>
      </c>
      <c r="UJD16" s="256" t="s">
        <v>78</v>
      </c>
      <c r="UJE16" s="256" t="s">
        <v>79</v>
      </c>
      <c r="UJF16" s="256" t="s">
        <v>80</v>
      </c>
      <c r="UJG16" s="58" t="s">
        <v>81</v>
      </c>
      <c r="UJH16" s="284"/>
      <c r="UJI16" s="259" t="s">
        <v>55</v>
      </c>
      <c r="UJJ16" s="256" t="s">
        <v>76</v>
      </c>
      <c r="UJK16" s="256" t="s">
        <v>77</v>
      </c>
      <c r="UJL16" s="256" t="s">
        <v>78</v>
      </c>
      <c r="UJM16" s="256" t="s">
        <v>79</v>
      </c>
      <c r="UJN16" s="256" t="s">
        <v>80</v>
      </c>
      <c r="UJO16" s="256" t="s">
        <v>81</v>
      </c>
      <c r="UJP16" s="283"/>
      <c r="UJQ16" s="259" t="s">
        <v>55</v>
      </c>
      <c r="UJR16" s="256" t="s">
        <v>76</v>
      </c>
      <c r="UJS16" s="256" t="s">
        <v>77</v>
      </c>
      <c r="UJT16" s="256" t="s">
        <v>78</v>
      </c>
      <c r="UJU16" s="256" t="s">
        <v>79</v>
      </c>
      <c r="UJV16" s="256" t="s">
        <v>80</v>
      </c>
      <c r="UJW16" s="58" t="s">
        <v>81</v>
      </c>
      <c r="UJX16" s="284"/>
      <c r="UJY16" s="259" t="s">
        <v>55</v>
      </c>
      <c r="UJZ16" s="256" t="s">
        <v>76</v>
      </c>
      <c r="UKA16" s="256" t="s">
        <v>77</v>
      </c>
      <c r="UKB16" s="256" t="s">
        <v>78</v>
      </c>
      <c r="UKC16" s="256" t="s">
        <v>79</v>
      </c>
      <c r="UKD16" s="256" t="s">
        <v>80</v>
      </c>
      <c r="UKE16" s="256" t="s">
        <v>81</v>
      </c>
      <c r="UKF16" s="283"/>
      <c r="UKG16" s="259" t="s">
        <v>55</v>
      </c>
      <c r="UKH16" s="256" t="s">
        <v>76</v>
      </c>
      <c r="UKI16" s="256" t="s">
        <v>77</v>
      </c>
      <c r="UKJ16" s="256" t="s">
        <v>78</v>
      </c>
      <c r="UKK16" s="256" t="s">
        <v>79</v>
      </c>
      <c r="UKL16" s="256" t="s">
        <v>80</v>
      </c>
      <c r="UKM16" s="58" t="s">
        <v>81</v>
      </c>
      <c r="UKN16" s="284"/>
      <c r="UKO16" s="259" t="s">
        <v>55</v>
      </c>
      <c r="UKP16" s="256" t="s">
        <v>76</v>
      </c>
      <c r="UKQ16" s="256" t="s">
        <v>77</v>
      </c>
      <c r="UKR16" s="256" t="s">
        <v>78</v>
      </c>
      <c r="UKS16" s="256" t="s">
        <v>79</v>
      </c>
      <c r="UKT16" s="256" t="s">
        <v>80</v>
      </c>
      <c r="UKU16" s="256" t="s">
        <v>81</v>
      </c>
      <c r="UKV16" s="283"/>
      <c r="UKW16" s="259" t="s">
        <v>55</v>
      </c>
      <c r="UKX16" s="256" t="s">
        <v>76</v>
      </c>
      <c r="UKY16" s="256" t="s">
        <v>77</v>
      </c>
      <c r="UKZ16" s="256" t="s">
        <v>78</v>
      </c>
      <c r="ULA16" s="256" t="s">
        <v>79</v>
      </c>
      <c r="ULB16" s="256" t="s">
        <v>80</v>
      </c>
      <c r="ULC16" s="58" t="s">
        <v>81</v>
      </c>
      <c r="ULD16" s="284"/>
      <c r="ULE16" s="259" t="s">
        <v>55</v>
      </c>
      <c r="ULF16" s="256" t="s">
        <v>76</v>
      </c>
      <c r="ULG16" s="256" t="s">
        <v>77</v>
      </c>
      <c r="ULH16" s="256" t="s">
        <v>78</v>
      </c>
      <c r="ULI16" s="256" t="s">
        <v>79</v>
      </c>
      <c r="ULJ16" s="256" t="s">
        <v>80</v>
      </c>
      <c r="ULK16" s="256" t="s">
        <v>81</v>
      </c>
      <c r="ULL16" s="283"/>
      <c r="ULM16" s="259" t="s">
        <v>55</v>
      </c>
      <c r="ULN16" s="256" t="s">
        <v>76</v>
      </c>
      <c r="ULO16" s="256" t="s">
        <v>77</v>
      </c>
      <c r="ULP16" s="256" t="s">
        <v>78</v>
      </c>
      <c r="ULQ16" s="256" t="s">
        <v>79</v>
      </c>
      <c r="ULR16" s="256" t="s">
        <v>80</v>
      </c>
      <c r="ULS16" s="58" t="s">
        <v>81</v>
      </c>
      <c r="ULT16" s="284"/>
      <c r="ULU16" s="259" t="s">
        <v>55</v>
      </c>
      <c r="ULV16" s="256" t="s">
        <v>76</v>
      </c>
      <c r="ULW16" s="256" t="s">
        <v>77</v>
      </c>
      <c r="ULX16" s="256" t="s">
        <v>78</v>
      </c>
      <c r="ULY16" s="256" t="s">
        <v>79</v>
      </c>
      <c r="ULZ16" s="256" t="s">
        <v>80</v>
      </c>
      <c r="UMA16" s="256" t="s">
        <v>81</v>
      </c>
      <c r="UMB16" s="283"/>
      <c r="UMC16" s="259" t="s">
        <v>55</v>
      </c>
      <c r="UMD16" s="256" t="s">
        <v>76</v>
      </c>
      <c r="UME16" s="256" t="s">
        <v>77</v>
      </c>
      <c r="UMF16" s="256" t="s">
        <v>78</v>
      </c>
      <c r="UMG16" s="256" t="s">
        <v>79</v>
      </c>
      <c r="UMH16" s="256" t="s">
        <v>80</v>
      </c>
      <c r="UMI16" s="58" t="s">
        <v>81</v>
      </c>
      <c r="UMJ16" s="284"/>
      <c r="UMK16" s="259" t="s">
        <v>55</v>
      </c>
      <c r="UML16" s="256" t="s">
        <v>76</v>
      </c>
      <c r="UMM16" s="256" t="s">
        <v>77</v>
      </c>
      <c r="UMN16" s="256" t="s">
        <v>78</v>
      </c>
      <c r="UMO16" s="256" t="s">
        <v>79</v>
      </c>
      <c r="UMP16" s="256" t="s">
        <v>80</v>
      </c>
      <c r="UMQ16" s="256" t="s">
        <v>81</v>
      </c>
      <c r="UMR16" s="283"/>
      <c r="UMS16" s="259" t="s">
        <v>55</v>
      </c>
      <c r="UMT16" s="256" t="s">
        <v>76</v>
      </c>
      <c r="UMU16" s="256" t="s">
        <v>77</v>
      </c>
      <c r="UMV16" s="256" t="s">
        <v>78</v>
      </c>
      <c r="UMW16" s="256" t="s">
        <v>79</v>
      </c>
      <c r="UMX16" s="256" t="s">
        <v>80</v>
      </c>
      <c r="UMY16" s="58" t="s">
        <v>81</v>
      </c>
      <c r="UMZ16" s="284"/>
      <c r="UNA16" s="259" t="s">
        <v>55</v>
      </c>
      <c r="UNB16" s="256" t="s">
        <v>76</v>
      </c>
      <c r="UNC16" s="256" t="s">
        <v>77</v>
      </c>
      <c r="UND16" s="256" t="s">
        <v>78</v>
      </c>
      <c r="UNE16" s="256" t="s">
        <v>79</v>
      </c>
      <c r="UNF16" s="256" t="s">
        <v>80</v>
      </c>
      <c r="UNG16" s="256" t="s">
        <v>81</v>
      </c>
      <c r="UNH16" s="283"/>
      <c r="UNI16" s="259" t="s">
        <v>55</v>
      </c>
      <c r="UNJ16" s="256" t="s">
        <v>76</v>
      </c>
      <c r="UNK16" s="256" t="s">
        <v>77</v>
      </c>
      <c r="UNL16" s="256" t="s">
        <v>78</v>
      </c>
      <c r="UNM16" s="256" t="s">
        <v>79</v>
      </c>
      <c r="UNN16" s="256" t="s">
        <v>80</v>
      </c>
      <c r="UNO16" s="58" t="s">
        <v>81</v>
      </c>
      <c r="UNP16" s="284"/>
      <c r="UNQ16" s="259" t="s">
        <v>55</v>
      </c>
      <c r="UNR16" s="256" t="s">
        <v>76</v>
      </c>
      <c r="UNS16" s="256" t="s">
        <v>77</v>
      </c>
      <c r="UNT16" s="256" t="s">
        <v>78</v>
      </c>
      <c r="UNU16" s="256" t="s">
        <v>79</v>
      </c>
      <c r="UNV16" s="256" t="s">
        <v>80</v>
      </c>
      <c r="UNW16" s="256" t="s">
        <v>81</v>
      </c>
      <c r="UNX16" s="283"/>
      <c r="UNY16" s="259" t="s">
        <v>55</v>
      </c>
      <c r="UNZ16" s="256" t="s">
        <v>76</v>
      </c>
      <c r="UOA16" s="256" t="s">
        <v>77</v>
      </c>
      <c r="UOB16" s="256" t="s">
        <v>78</v>
      </c>
      <c r="UOC16" s="256" t="s">
        <v>79</v>
      </c>
      <c r="UOD16" s="256" t="s">
        <v>80</v>
      </c>
      <c r="UOE16" s="58" t="s">
        <v>81</v>
      </c>
      <c r="UOF16" s="284"/>
      <c r="UOG16" s="259" t="s">
        <v>55</v>
      </c>
      <c r="UOH16" s="256" t="s">
        <v>76</v>
      </c>
      <c r="UOI16" s="256" t="s">
        <v>77</v>
      </c>
      <c r="UOJ16" s="256" t="s">
        <v>78</v>
      </c>
      <c r="UOK16" s="256" t="s">
        <v>79</v>
      </c>
      <c r="UOL16" s="256" t="s">
        <v>80</v>
      </c>
      <c r="UOM16" s="256" t="s">
        <v>81</v>
      </c>
      <c r="UON16" s="283"/>
      <c r="UOO16" s="259" t="s">
        <v>55</v>
      </c>
      <c r="UOP16" s="256" t="s">
        <v>76</v>
      </c>
      <c r="UOQ16" s="256" t="s">
        <v>77</v>
      </c>
      <c r="UOR16" s="256" t="s">
        <v>78</v>
      </c>
      <c r="UOS16" s="256" t="s">
        <v>79</v>
      </c>
      <c r="UOT16" s="256" t="s">
        <v>80</v>
      </c>
      <c r="UOU16" s="58" t="s">
        <v>81</v>
      </c>
      <c r="UOV16" s="284"/>
      <c r="UOW16" s="259" t="s">
        <v>55</v>
      </c>
      <c r="UOX16" s="256" t="s">
        <v>76</v>
      </c>
      <c r="UOY16" s="256" t="s">
        <v>77</v>
      </c>
      <c r="UOZ16" s="256" t="s">
        <v>78</v>
      </c>
      <c r="UPA16" s="256" t="s">
        <v>79</v>
      </c>
      <c r="UPB16" s="256" t="s">
        <v>80</v>
      </c>
      <c r="UPC16" s="256" t="s">
        <v>81</v>
      </c>
      <c r="UPD16" s="283"/>
      <c r="UPE16" s="259" t="s">
        <v>55</v>
      </c>
      <c r="UPF16" s="256" t="s">
        <v>76</v>
      </c>
      <c r="UPG16" s="256" t="s">
        <v>77</v>
      </c>
      <c r="UPH16" s="256" t="s">
        <v>78</v>
      </c>
      <c r="UPI16" s="256" t="s">
        <v>79</v>
      </c>
      <c r="UPJ16" s="256" t="s">
        <v>80</v>
      </c>
      <c r="UPK16" s="58" t="s">
        <v>81</v>
      </c>
      <c r="UPL16" s="284"/>
      <c r="UPM16" s="259" t="s">
        <v>55</v>
      </c>
      <c r="UPN16" s="256" t="s">
        <v>76</v>
      </c>
      <c r="UPO16" s="256" t="s">
        <v>77</v>
      </c>
      <c r="UPP16" s="256" t="s">
        <v>78</v>
      </c>
      <c r="UPQ16" s="256" t="s">
        <v>79</v>
      </c>
      <c r="UPR16" s="256" t="s">
        <v>80</v>
      </c>
      <c r="UPS16" s="256" t="s">
        <v>81</v>
      </c>
      <c r="UPT16" s="283"/>
      <c r="UPU16" s="259" t="s">
        <v>55</v>
      </c>
      <c r="UPV16" s="256" t="s">
        <v>76</v>
      </c>
      <c r="UPW16" s="256" t="s">
        <v>77</v>
      </c>
      <c r="UPX16" s="256" t="s">
        <v>78</v>
      </c>
      <c r="UPY16" s="256" t="s">
        <v>79</v>
      </c>
      <c r="UPZ16" s="256" t="s">
        <v>80</v>
      </c>
      <c r="UQA16" s="58" t="s">
        <v>81</v>
      </c>
      <c r="UQB16" s="284"/>
      <c r="UQC16" s="259" t="s">
        <v>55</v>
      </c>
      <c r="UQD16" s="256" t="s">
        <v>76</v>
      </c>
      <c r="UQE16" s="256" t="s">
        <v>77</v>
      </c>
      <c r="UQF16" s="256" t="s">
        <v>78</v>
      </c>
      <c r="UQG16" s="256" t="s">
        <v>79</v>
      </c>
      <c r="UQH16" s="256" t="s">
        <v>80</v>
      </c>
      <c r="UQI16" s="256" t="s">
        <v>81</v>
      </c>
      <c r="UQJ16" s="283"/>
      <c r="UQK16" s="259" t="s">
        <v>55</v>
      </c>
      <c r="UQL16" s="256" t="s">
        <v>76</v>
      </c>
      <c r="UQM16" s="256" t="s">
        <v>77</v>
      </c>
      <c r="UQN16" s="256" t="s">
        <v>78</v>
      </c>
      <c r="UQO16" s="256" t="s">
        <v>79</v>
      </c>
      <c r="UQP16" s="256" t="s">
        <v>80</v>
      </c>
      <c r="UQQ16" s="58" t="s">
        <v>81</v>
      </c>
      <c r="UQR16" s="284"/>
      <c r="UQS16" s="259" t="s">
        <v>55</v>
      </c>
      <c r="UQT16" s="256" t="s">
        <v>76</v>
      </c>
      <c r="UQU16" s="256" t="s">
        <v>77</v>
      </c>
      <c r="UQV16" s="256" t="s">
        <v>78</v>
      </c>
      <c r="UQW16" s="256" t="s">
        <v>79</v>
      </c>
      <c r="UQX16" s="256" t="s">
        <v>80</v>
      </c>
      <c r="UQY16" s="256" t="s">
        <v>81</v>
      </c>
      <c r="UQZ16" s="283"/>
      <c r="URA16" s="259" t="s">
        <v>55</v>
      </c>
      <c r="URB16" s="256" t="s">
        <v>76</v>
      </c>
      <c r="URC16" s="256" t="s">
        <v>77</v>
      </c>
      <c r="URD16" s="256" t="s">
        <v>78</v>
      </c>
      <c r="URE16" s="256" t="s">
        <v>79</v>
      </c>
      <c r="URF16" s="256" t="s">
        <v>80</v>
      </c>
      <c r="URG16" s="58" t="s">
        <v>81</v>
      </c>
      <c r="URH16" s="284"/>
      <c r="URI16" s="259" t="s">
        <v>55</v>
      </c>
      <c r="URJ16" s="256" t="s">
        <v>76</v>
      </c>
      <c r="URK16" s="256" t="s">
        <v>77</v>
      </c>
      <c r="URL16" s="256" t="s">
        <v>78</v>
      </c>
      <c r="URM16" s="256" t="s">
        <v>79</v>
      </c>
      <c r="URN16" s="256" t="s">
        <v>80</v>
      </c>
      <c r="URO16" s="256" t="s">
        <v>81</v>
      </c>
      <c r="URP16" s="283"/>
      <c r="URQ16" s="259" t="s">
        <v>55</v>
      </c>
      <c r="URR16" s="256" t="s">
        <v>76</v>
      </c>
      <c r="URS16" s="256" t="s">
        <v>77</v>
      </c>
      <c r="URT16" s="256" t="s">
        <v>78</v>
      </c>
      <c r="URU16" s="256" t="s">
        <v>79</v>
      </c>
      <c r="URV16" s="256" t="s">
        <v>80</v>
      </c>
      <c r="URW16" s="58" t="s">
        <v>81</v>
      </c>
      <c r="URX16" s="284"/>
      <c r="URY16" s="259" t="s">
        <v>55</v>
      </c>
      <c r="URZ16" s="256" t="s">
        <v>76</v>
      </c>
      <c r="USA16" s="256" t="s">
        <v>77</v>
      </c>
      <c r="USB16" s="256" t="s">
        <v>78</v>
      </c>
      <c r="USC16" s="256" t="s">
        <v>79</v>
      </c>
      <c r="USD16" s="256" t="s">
        <v>80</v>
      </c>
      <c r="USE16" s="256" t="s">
        <v>81</v>
      </c>
      <c r="USF16" s="283"/>
      <c r="USG16" s="259" t="s">
        <v>55</v>
      </c>
      <c r="USH16" s="256" t="s">
        <v>76</v>
      </c>
      <c r="USI16" s="256" t="s">
        <v>77</v>
      </c>
      <c r="USJ16" s="256" t="s">
        <v>78</v>
      </c>
      <c r="USK16" s="256" t="s">
        <v>79</v>
      </c>
      <c r="USL16" s="256" t="s">
        <v>80</v>
      </c>
      <c r="USM16" s="58" t="s">
        <v>81</v>
      </c>
      <c r="USN16" s="284"/>
      <c r="USO16" s="259" t="s">
        <v>55</v>
      </c>
      <c r="USP16" s="256" t="s">
        <v>76</v>
      </c>
      <c r="USQ16" s="256" t="s">
        <v>77</v>
      </c>
      <c r="USR16" s="256" t="s">
        <v>78</v>
      </c>
      <c r="USS16" s="256" t="s">
        <v>79</v>
      </c>
      <c r="UST16" s="256" t="s">
        <v>80</v>
      </c>
      <c r="USU16" s="256" t="s">
        <v>81</v>
      </c>
      <c r="USV16" s="283"/>
      <c r="USW16" s="259" t="s">
        <v>55</v>
      </c>
      <c r="USX16" s="256" t="s">
        <v>76</v>
      </c>
      <c r="USY16" s="256" t="s">
        <v>77</v>
      </c>
      <c r="USZ16" s="256" t="s">
        <v>78</v>
      </c>
      <c r="UTA16" s="256" t="s">
        <v>79</v>
      </c>
      <c r="UTB16" s="256" t="s">
        <v>80</v>
      </c>
      <c r="UTC16" s="58" t="s">
        <v>81</v>
      </c>
      <c r="UTD16" s="284"/>
      <c r="UTE16" s="259" t="s">
        <v>55</v>
      </c>
      <c r="UTF16" s="256" t="s">
        <v>76</v>
      </c>
      <c r="UTG16" s="256" t="s">
        <v>77</v>
      </c>
      <c r="UTH16" s="256" t="s">
        <v>78</v>
      </c>
      <c r="UTI16" s="256" t="s">
        <v>79</v>
      </c>
      <c r="UTJ16" s="256" t="s">
        <v>80</v>
      </c>
      <c r="UTK16" s="256" t="s">
        <v>81</v>
      </c>
      <c r="UTL16" s="283"/>
      <c r="UTM16" s="259" t="s">
        <v>55</v>
      </c>
      <c r="UTN16" s="256" t="s">
        <v>76</v>
      </c>
      <c r="UTO16" s="256" t="s">
        <v>77</v>
      </c>
      <c r="UTP16" s="256" t="s">
        <v>78</v>
      </c>
      <c r="UTQ16" s="256" t="s">
        <v>79</v>
      </c>
      <c r="UTR16" s="256" t="s">
        <v>80</v>
      </c>
      <c r="UTS16" s="58" t="s">
        <v>81</v>
      </c>
      <c r="UTT16" s="284"/>
      <c r="UTU16" s="259" t="s">
        <v>55</v>
      </c>
      <c r="UTV16" s="256" t="s">
        <v>76</v>
      </c>
      <c r="UTW16" s="256" t="s">
        <v>77</v>
      </c>
      <c r="UTX16" s="256" t="s">
        <v>78</v>
      </c>
      <c r="UTY16" s="256" t="s">
        <v>79</v>
      </c>
      <c r="UTZ16" s="256" t="s">
        <v>80</v>
      </c>
      <c r="UUA16" s="256" t="s">
        <v>81</v>
      </c>
      <c r="UUB16" s="283"/>
      <c r="UUC16" s="259" t="s">
        <v>55</v>
      </c>
      <c r="UUD16" s="256" t="s">
        <v>76</v>
      </c>
      <c r="UUE16" s="256" t="s">
        <v>77</v>
      </c>
      <c r="UUF16" s="256" t="s">
        <v>78</v>
      </c>
      <c r="UUG16" s="256" t="s">
        <v>79</v>
      </c>
      <c r="UUH16" s="256" t="s">
        <v>80</v>
      </c>
      <c r="UUI16" s="58" t="s">
        <v>81</v>
      </c>
      <c r="UUJ16" s="284"/>
      <c r="UUK16" s="259" t="s">
        <v>55</v>
      </c>
      <c r="UUL16" s="256" t="s">
        <v>76</v>
      </c>
      <c r="UUM16" s="256" t="s">
        <v>77</v>
      </c>
      <c r="UUN16" s="256" t="s">
        <v>78</v>
      </c>
      <c r="UUO16" s="256" t="s">
        <v>79</v>
      </c>
      <c r="UUP16" s="256" t="s">
        <v>80</v>
      </c>
      <c r="UUQ16" s="256" t="s">
        <v>81</v>
      </c>
      <c r="UUR16" s="283"/>
      <c r="UUS16" s="259" t="s">
        <v>55</v>
      </c>
      <c r="UUT16" s="256" t="s">
        <v>76</v>
      </c>
      <c r="UUU16" s="256" t="s">
        <v>77</v>
      </c>
      <c r="UUV16" s="256" t="s">
        <v>78</v>
      </c>
      <c r="UUW16" s="256" t="s">
        <v>79</v>
      </c>
      <c r="UUX16" s="256" t="s">
        <v>80</v>
      </c>
      <c r="UUY16" s="58" t="s">
        <v>81</v>
      </c>
      <c r="UUZ16" s="284"/>
      <c r="UVA16" s="259" t="s">
        <v>55</v>
      </c>
      <c r="UVB16" s="256" t="s">
        <v>76</v>
      </c>
      <c r="UVC16" s="256" t="s">
        <v>77</v>
      </c>
      <c r="UVD16" s="256" t="s">
        <v>78</v>
      </c>
      <c r="UVE16" s="256" t="s">
        <v>79</v>
      </c>
      <c r="UVF16" s="256" t="s">
        <v>80</v>
      </c>
      <c r="UVG16" s="256" t="s">
        <v>81</v>
      </c>
      <c r="UVH16" s="283"/>
      <c r="UVI16" s="259" t="s">
        <v>55</v>
      </c>
      <c r="UVJ16" s="256" t="s">
        <v>76</v>
      </c>
      <c r="UVK16" s="256" t="s">
        <v>77</v>
      </c>
      <c r="UVL16" s="256" t="s">
        <v>78</v>
      </c>
      <c r="UVM16" s="256" t="s">
        <v>79</v>
      </c>
      <c r="UVN16" s="256" t="s">
        <v>80</v>
      </c>
      <c r="UVO16" s="58" t="s">
        <v>81</v>
      </c>
      <c r="UVP16" s="284"/>
      <c r="UVQ16" s="259" t="s">
        <v>55</v>
      </c>
      <c r="UVR16" s="256" t="s">
        <v>76</v>
      </c>
      <c r="UVS16" s="256" t="s">
        <v>77</v>
      </c>
      <c r="UVT16" s="256" t="s">
        <v>78</v>
      </c>
      <c r="UVU16" s="256" t="s">
        <v>79</v>
      </c>
      <c r="UVV16" s="256" t="s">
        <v>80</v>
      </c>
      <c r="UVW16" s="256" t="s">
        <v>81</v>
      </c>
      <c r="UVX16" s="283"/>
      <c r="UVY16" s="259" t="s">
        <v>55</v>
      </c>
      <c r="UVZ16" s="256" t="s">
        <v>76</v>
      </c>
      <c r="UWA16" s="256" t="s">
        <v>77</v>
      </c>
      <c r="UWB16" s="256" t="s">
        <v>78</v>
      </c>
      <c r="UWC16" s="256" t="s">
        <v>79</v>
      </c>
      <c r="UWD16" s="256" t="s">
        <v>80</v>
      </c>
      <c r="UWE16" s="58" t="s">
        <v>81</v>
      </c>
      <c r="UWF16" s="284"/>
      <c r="UWG16" s="259" t="s">
        <v>55</v>
      </c>
      <c r="UWH16" s="256" t="s">
        <v>76</v>
      </c>
      <c r="UWI16" s="256" t="s">
        <v>77</v>
      </c>
      <c r="UWJ16" s="256" t="s">
        <v>78</v>
      </c>
      <c r="UWK16" s="256" t="s">
        <v>79</v>
      </c>
      <c r="UWL16" s="256" t="s">
        <v>80</v>
      </c>
      <c r="UWM16" s="256" t="s">
        <v>81</v>
      </c>
      <c r="UWN16" s="283"/>
      <c r="UWO16" s="259" t="s">
        <v>55</v>
      </c>
      <c r="UWP16" s="256" t="s">
        <v>76</v>
      </c>
      <c r="UWQ16" s="256" t="s">
        <v>77</v>
      </c>
      <c r="UWR16" s="256" t="s">
        <v>78</v>
      </c>
      <c r="UWS16" s="256" t="s">
        <v>79</v>
      </c>
      <c r="UWT16" s="256" t="s">
        <v>80</v>
      </c>
      <c r="UWU16" s="58" t="s">
        <v>81</v>
      </c>
      <c r="UWV16" s="284"/>
      <c r="UWW16" s="259" t="s">
        <v>55</v>
      </c>
      <c r="UWX16" s="256" t="s">
        <v>76</v>
      </c>
      <c r="UWY16" s="256" t="s">
        <v>77</v>
      </c>
      <c r="UWZ16" s="256" t="s">
        <v>78</v>
      </c>
      <c r="UXA16" s="256" t="s">
        <v>79</v>
      </c>
      <c r="UXB16" s="256" t="s">
        <v>80</v>
      </c>
      <c r="UXC16" s="256" t="s">
        <v>81</v>
      </c>
      <c r="UXD16" s="283"/>
      <c r="UXE16" s="259" t="s">
        <v>55</v>
      </c>
      <c r="UXF16" s="256" t="s">
        <v>76</v>
      </c>
      <c r="UXG16" s="256" t="s">
        <v>77</v>
      </c>
      <c r="UXH16" s="256" t="s">
        <v>78</v>
      </c>
      <c r="UXI16" s="256" t="s">
        <v>79</v>
      </c>
      <c r="UXJ16" s="256" t="s">
        <v>80</v>
      </c>
      <c r="UXK16" s="58" t="s">
        <v>81</v>
      </c>
      <c r="UXL16" s="284"/>
      <c r="UXM16" s="259" t="s">
        <v>55</v>
      </c>
      <c r="UXN16" s="256" t="s">
        <v>76</v>
      </c>
      <c r="UXO16" s="256" t="s">
        <v>77</v>
      </c>
      <c r="UXP16" s="256" t="s">
        <v>78</v>
      </c>
      <c r="UXQ16" s="256" t="s">
        <v>79</v>
      </c>
      <c r="UXR16" s="256" t="s">
        <v>80</v>
      </c>
      <c r="UXS16" s="256" t="s">
        <v>81</v>
      </c>
      <c r="UXT16" s="283"/>
      <c r="UXU16" s="259" t="s">
        <v>55</v>
      </c>
      <c r="UXV16" s="256" t="s">
        <v>76</v>
      </c>
      <c r="UXW16" s="256" t="s">
        <v>77</v>
      </c>
      <c r="UXX16" s="256" t="s">
        <v>78</v>
      </c>
      <c r="UXY16" s="256" t="s">
        <v>79</v>
      </c>
      <c r="UXZ16" s="256" t="s">
        <v>80</v>
      </c>
      <c r="UYA16" s="58" t="s">
        <v>81</v>
      </c>
      <c r="UYB16" s="284"/>
      <c r="UYC16" s="259" t="s">
        <v>55</v>
      </c>
      <c r="UYD16" s="256" t="s">
        <v>76</v>
      </c>
      <c r="UYE16" s="256" t="s">
        <v>77</v>
      </c>
      <c r="UYF16" s="256" t="s">
        <v>78</v>
      </c>
      <c r="UYG16" s="256" t="s">
        <v>79</v>
      </c>
      <c r="UYH16" s="256" t="s">
        <v>80</v>
      </c>
      <c r="UYI16" s="256" t="s">
        <v>81</v>
      </c>
      <c r="UYJ16" s="283"/>
      <c r="UYK16" s="259" t="s">
        <v>55</v>
      </c>
      <c r="UYL16" s="256" t="s">
        <v>76</v>
      </c>
      <c r="UYM16" s="256" t="s">
        <v>77</v>
      </c>
      <c r="UYN16" s="256" t="s">
        <v>78</v>
      </c>
      <c r="UYO16" s="256" t="s">
        <v>79</v>
      </c>
      <c r="UYP16" s="256" t="s">
        <v>80</v>
      </c>
      <c r="UYQ16" s="58" t="s">
        <v>81</v>
      </c>
      <c r="UYR16" s="284"/>
      <c r="UYS16" s="259" t="s">
        <v>55</v>
      </c>
      <c r="UYT16" s="256" t="s">
        <v>76</v>
      </c>
      <c r="UYU16" s="256" t="s">
        <v>77</v>
      </c>
      <c r="UYV16" s="256" t="s">
        <v>78</v>
      </c>
      <c r="UYW16" s="256" t="s">
        <v>79</v>
      </c>
      <c r="UYX16" s="256" t="s">
        <v>80</v>
      </c>
      <c r="UYY16" s="256" t="s">
        <v>81</v>
      </c>
      <c r="UYZ16" s="283"/>
      <c r="UZA16" s="259" t="s">
        <v>55</v>
      </c>
      <c r="UZB16" s="256" t="s">
        <v>76</v>
      </c>
      <c r="UZC16" s="256" t="s">
        <v>77</v>
      </c>
      <c r="UZD16" s="256" t="s">
        <v>78</v>
      </c>
      <c r="UZE16" s="256" t="s">
        <v>79</v>
      </c>
      <c r="UZF16" s="256" t="s">
        <v>80</v>
      </c>
      <c r="UZG16" s="58" t="s">
        <v>81</v>
      </c>
      <c r="UZH16" s="284"/>
      <c r="UZI16" s="259" t="s">
        <v>55</v>
      </c>
      <c r="UZJ16" s="256" t="s">
        <v>76</v>
      </c>
      <c r="UZK16" s="256" t="s">
        <v>77</v>
      </c>
      <c r="UZL16" s="256" t="s">
        <v>78</v>
      </c>
      <c r="UZM16" s="256" t="s">
        <v>79</v>
      </c>
      <c r="UZN16" s="256" t="s">
        <v>80</v>
      </c>
      <c r="UZO16" s="256" t="s">
        <v>81</v>
      </c>
      <c r="UZP16" s="283"/>
      <c r="UZQ16" s="259" t="s">
        <v>55</v>
      </c>
      <c r="UZR16" s="256" t="s">
        <v>76</v>
      </c>
      <c r="UZS16" s="256" t="s">
        <v>77</v>
      </c>
      <c r="UZT16" s="256" t="s">
        <v>78</v>
      </c>
      <c r="UZU16" s="256" t="s">
        <v>79</v>
      </c>
      <c r="UZV16" s="256" t="s">
        <v>80</v>
      </c>
      <c r="UZW16" s="58" t="s">
        <v>81</v>
      </c>
      <c r="UZX16" s="284"/>
      <c r="UZY16" s="259" t="s">
        <v>55</v>
      </c>
      <c r="UZZ16" s="256" t="s">
        <v>76</v>
      </c>
      <c r="VAA16" s="256" t="s">
        <v>77</v>
      </c>
      <c r="VAB16" s="256" t="s">
        <v>78</v>
      </c>
      <c r="VAC16" s="256" t="s">
        <v>79</v>
      </c>
      <c r="VAD16" s="256" t="s">
        <v>80</v>
      </c>
      <c r="VAE16" s="256" t="s">
        <v>81</v>
      </c>
      <c r="VAF16" s="283"/>
      <c r="VAG16" s="259" t="s">
        <v>55</v>
      </c>
      <c r="VAH16" s="256" t="s">
        <v>76</v>
      </c>
      <c r="VAI16" s="256" t="s">
        <v>77</v>
      </c>
      <c r="VAJ16" s="256" t="s">
        <v>78</v>
      </c>
      <c r="VAK16" s="256" t="s">
        <v>79</v>
      </c>
      <c r="VAL16" s="256" t="s">
        <v>80</v>
      </c>
      <c r="VAM16" s="58" t="s">
        <v>81</v>
      </c>
      <c r="VAN16" s="284"/>
      <c r="VAO16" s="259" t="s">
        <v>55</v>
      </c>
      <c r="VAP16" s="256" t="s">
        <v>76</v>
      </c>
      <c r="VAQ16" s="256" t="s">
        <v>77</v>
      </c>
      <c r="VAR16" s="256" t="s">
        <v>78</v>
      </c>
      <c r="VAS16" s="256" t="s">
        <v>79</v>
      </c>
      <c r="VAT16" s="256" t="s">
        <v>80</v>
      </c>
      <c r="VAU16" s="256" t="s">
        <v>81</v>
      </c>
      <c r="VAV16" s="283"/>
      <c r="VAW16" s="259" t="s">
        <v>55</v>
      </c>
      <c r="VAX16" s="256" t="s">
        <v>76</v>
      </c>
      <c r="VAY16" s="256" t="s">
        <v>77</v>
      </c>
      <c r="VAZ16" s="256" t="s">
        <v>78</v>
      </c>
      <c r="VBA16" s="256" t="s">
        <v>79</v>
      </c>
      <c r="VBB16" s="256" t="s">
        <v>80</v>
      </c>
      <c r="VBC16" s="58" t="s">
        <v>81</v>
      </c>
      <c r="VBD16" s="284"/>
      <c r="VBE16" s="259" t="s">
        <v>55</v>
      </c>
      <c r="VBF16" s="256" t="s">
        <v>76</v>
      </c>
      <c r="VBG16" s="256" t="s">
        <v>77</v>
      </c>
      <c r="VBH16" s="256" t="s">
        <v>78</v>
      </c>
      <c r="VBI16" s="256" t="s">
        <v>79</v>
      </c>
      <c r="VBJ16" s="256" t="s">
        <v>80</v>
      </c>
      <c r="VBK16" s="256" t="s">
        <v>81</v>
      </c>
      <c r="VBL16" s="283"/>
      <c r="VBM16" s="259" t="s">
        <v>55</v>
      </c>
      <c r="VBN16" s="256" t="s">
        <v>76</v>
      </c>
      <c r="VBO16" s="256" t="s">
        <v>77</v>
      </c>
      <c r="VBP16" s="256" t="s">
        <v>78</v>
      </c>
      <c r="VBQ16" s="256" t="s">
        <v>79</v>
      </c>
      <c r="VBR16" s="256" t="s">
        <v>80</v>
      </c>
      <c r="VBS16" s="58" t="s">
        <v>81</v>
      </c>
      <c r="VBT16" s="284"/>
      <c r="VBU16" s="259" t="s">
        <v>55</v>
      </c>
      <c r="VBV16" s="256" t="s">
        <v>76</v>
      </c>
      <c r="VBW16" s="256" t="s">
        <v>77</v>
      </c>
      <c r="VBX16" s="256" t="s">
        <v>78</v>
      </c>
      <c r="VBY16" s="256" t="s">
        <v>79</v>
      </c>
      <c r="VBZ16" s="256" t="s">
        <v>80</v>
      </c>
      <c r="VCA16" s="256" t="s">
        <v>81</v>
      </c>
      <c r="VCB16" s="283"/>
      <c r="VCC16" s="259" t="s">
        <v>55</v>
      </c>
      <c r="VCD16" s="256" t="s">
        <v>76</v>
      </c>
      <c r="VCE16" s="256" t="s">
        <v>77</v>
      </c>
      <c r="VCF16" s="256" t="s">
        <v>78</v>
      </c>
      <c r="VCG16" s="256" t="s">
        <v>79</v>
      </c>
      <c r="VCH16" s="256" t="s">
        <v>80</v>
      </c>
      <c r="VCI16" s="58" t="s">
        <v>81</v>
      </c>
      <c r="VCJ16" s="284"/>
      <c r="VCK16" s="259" t="s">
        <v>55</v>
      </c>
      <c r="VCL16" s="256" t="s">
        <v>76</v>
      </c>
      <c r="VCM16" s="256" t="s">
        <v>77</v>
      </c>
      <c r="VCN16" s="256" t="s">
        <v>78</v>
      </c>
      <c r="VCO16" s="256" t="s">
        <v>79</v>
      </c>
      <c r="VCP16" s="256" t="s">
        <v>80</v>
      </c>
      <c r="VCQ16" s="256" t="s">
        <v>81</v>
      </c>
      <c r="VCR16" s="283"/>
      <c r="VCS16" s="259" t="s">
        <v>55</v>
      </c>
      <c r="VCT16" s="256" t="s">
        <v>76</v>
      </c>
      <c r="VCU16" s="256" t="s">
        <v>77</v>
      </c>
      <c r="VCV16" s="256" t="s">
        <v>78</v>
      </c>
      <c r="VCW16" s="256" t="s">
        <v>79</v>
      </c>
      <c r="VCX16" s="256" t="s">
        <v>80</v>
      </c>
      <c r="VCY16" s="58" t="s">
        <v>81</v>
      </c>
      <c r="VCZ16" s="284"/>
      <c r="VDA16" s="259" t="s">
        <v>55</v>
      </c>
      <c r="VDB16" s="256" t="s">
        <v>76</v>
      </c>
      <c r="VDC16" s="256" t="s">
        <v>77</v>
      </c>
      <c r="VDD16" s="256" t="s">
        <v>78</v>
      </c>
      <c r="VDE16" s="256" t="s">
        <v>79</v>
      </c>
      <c r="VDF16" s="256" t="s">
        <v>80</v>
      </c>
      <c r="VDG16" s="256" t="s">
        <v>81</v>
      </c>
      <c r="VDH16" s="283"/>
      <c r="VDI16" s="259" t="s">
        <v>55</v>
      </c>
      <c r="VDJ16" s="256" t="s">
        <v>76</v>
      </c>
      <c r="VDK16" s="256" t="s">
        <v>77</v>
      </c>
      <c r="VDL16" s="256" t="s">
        <v>78</v>
      </c>
      <c r="VDM16" s="256" t="s">
        <v>79</v>
      </c>
      <c r="VDN16" s="256" t="s">
        <v>80</v>
      </c>
      <c r="VDO16" s="58" t="s">
        <v>81</v>
      </c>
      <c r="VDP16" s="284"/>
      <c r="VDQ16" s="259" t="s">
        <v>55</v>
      </c>
      <c r="VDR16" s="256" t="s">
        <v>76</v>
      </c>
      <c r="VDS16" s="256" t="s">
        <v>77</v>
      </c>
      <c r="VDT16" s="256" t="s">
        <v>78</v>
      </c>
      <c r="VDU16" s="256" t="s">
        <v>79</v>
      </c>
      <c r="VDV16" s="256" t="s">
        <v>80</v>
      </c>
      <c r="VDW16" s="256" t="s">
        <v>81</v>
      </c>
      <c r="VDX16" s="283"/>
      <c r="VDY16" s="259" t="s">
        <v>55</v>
      </c>
      <c r="VDZ16" s="256" t="s">
        <v>76</v>
      </c>
      <c r="VEA16" s="256" t="s">
        <v>77</v>
      </c>
      <c r="VEB16" s="256" t="s">
        <v>78</v>
      </c>
      <c r="VEC16" s="256" t="s">
        <v>79</v>
      </c>
      <c r="VED16" s="256" t="s">
        <v>80</v>
      </c>
      <c r="VEE16" s="58" t="s">
        <v>81</v>
      </c>
      <c r="VEF16" s="284"/>
      <c r="VEG16" s="259" t="s">
        <v>55</v>
      </c>
      <c r="VEH16" s="256" t="s">
        <v>76</v>
      </c>
      <c r="VEI16" s="256" t="s">
        <v>77</v>
      </c>
      <c r="VEJ16" s="256" t="s">
        <v>78</v>
      </c>
      <c r="VEK16" s="256" t="s">
        <v>79</v>
      </c>
      <c r="VEL16" s="256" t="s">
        <v>80</v>
      </c>
      <c r="VEM16" s="256" t="s">
        <v>81</v>
      </c>
      <c r="VEN16" s="283"/>
      <c r="VEO16" s="259" t="s">
        <v>55</v>
      </c>
      <c r="VEP16" s="256" t="s">
        <v>76</v>
      </c>
      <c r="VEQ16" s="256" t="s">
        <v>77</v>
      </c>
      <c r="VER16" s="256" t="s">
        <v>78</v>
      </c>
      <c r="VES16" s="256" t="s">
        <v>79</v>
      </c>
      <c r="VET16" s="256" t="s">
        <v>80</v>
      </c>
      <c r="VEU16" s="58" t="s">
        <v>81</v>
      </c>
      <c r="VEV16" s="284"/>
      <c r="VEW16" s="259" t="s">
        <v>55</v>
      </c>
      <c r="VEX16" s="256" t="s">
        <v>76</v>
      </c>
      <c r="VEY16" s="256" t="s">
        <v>77</v>
      </c>
      <c r="VEZ16" s="256" t="s">
        <v>78</v>
      </c>
      <c r="VFA16" s="256" t="s">
        <v>79</v>
      </c>
      <c r="VFB16" s="256" t="s">
        <v>80</v>
      </c>
      <c r="VFC16" s="256" t="s">
        <v>81</v>
      </c>
      <c r="VFD16" s="283"/>
      <c r="VFE16" s="259" t="s">
        <v>55</v>
      </c>
      <c r="VFF16" s="256" t="s">
        <v>76</v>
      </c>
      <c r="VFG16" s="256" t="s">
        <v>77</v>
      </c>
      <c r="VFH16" s="256" t="s">
        <v>78</v>
      </c>
      <c r="VFI16" s="256" t="s">
        <v>79</v>
      </c>
      <c r="VFJ16" s="256" t="s">
        <v>80</v>
      </c>
      <c r="VFK16" s="58" t="s">
        <v>81</v>
      </c>
      <c r="VFL16" s="284"/>
      <c r="VFM16" s="259" t="s">
        <v>55</v>
      </c>
      <c r="VFN16" s="256" t="s">
        <v>76</v>
      </c>
      <c r="VFO16" s="256" t="s">
        <v>77</v>
      </c>
      <c r="VFP16" s="256" t="s">
        <v>78</v>
      </c>
      <c r="VFQ16" s="256" t="s">
        <v>79</v>
      </c>
      <c r="VFR16" s="256" t="s">
        <v>80</v>
      </c>
      <c r="VFS16" s="256" t="s">
        <v>81</v>
      </c>
      <c r="VFT16" s="283"/>
      <c r="VFU16" s="259" t="s">
        <v>55</v>
      </c>
      <c r="VFV16" s="256" t="s">
        <v>76</v>
      </c>
      <c r="VFW16" s="256" t="s">
        <v>77</v>
      </c>
      <c r="VFX16" s="256" t="s">
        <v>78</v>
      </c>
      <c r="VFY16" s="256" t="s">
        <v>79</v>
      </c>
      <c r="VFZ16" s="256" t="s">
        <v>80</v>
      </c>
      <c r="VGA16" s="58" t="s">
        <v>81</v>
      </c>
      <c r="VGB16" s="284"/>
      <c r="VGC16" s="259" t="s">
        <v>55</v>
      </c>
      <c r="VGD16" s="256" t="s">
        <v>76</v>
      </c>
      <c r="VGE16" s="256" t="s">
        <v>77</v>
      </c>
      <c r="VGF16" s="256" t="s">
        <v>78</v>
      </c>
      <c r="VGG16" s="256" t="s">
        <v>79</v>
      </c>
      <c r="VGH16" s="256" t="s">
        <v>80</v>
      </c>
      <c r="VGI16" s="256" t="s">
        <v>81</v>
      </c>
      <c r="VGJ16" s="283"/>
      <c r="VGK16" s="259" t="s">
        <v>55</v>
      </c>
      <c r="VGL16" s="256" t="s">
        <v>76</v>
      </c>
      <c r="VGM16" s="256" t="s">
        <v>77</v>
      </c>
      <c r="VGN16" s="256" t="s">
        <v>78</v>
      </c>
      <c r="VGO16" s="256" t="s">
        <v>79</v>
      </c>
      <c r="VGP16" s="256" t="s">
        <v>80</v>
      </c>
      <c r="VGQ16" s="58" t="s">
        <v>81</v>
      </c>
      <c r="VGR16" s="284"/>
      <c r="VGS16" s="259" t="s">
        <v>55</v>
      </c>
      <c r="VGT16" s="256" t="s">
        <v>76</v>
      </c>
      <c r="VGU16" s="256" t="s">
        <v>77</v>
      </c>
      <c r="VGV16" s="256" t="s">
        <v>78</v>
      </c>
      <c r="VGW16" s="256" t="s">
        <v>79</v>
      </c>
      <c r="VGX16" s="256" t="s">
        <v>80</v>
      </c>
      <c r="VGY16" s="256" t="s">
        <v>81</v>
      </c>
      <c r="VGZ16" s="283"/>
      <c r="VHA16" s="259" t="s">
        <v>55</v>
      </c>
      <c r="VHB16" s="256" t="s">
        <v>76</v>
      </c>
      <c r="VHC16" s="256" t="s">
        <v>77</v>
      </c>
      <c r="VHD16" s="256" t="s">
        <v>78</v>
      </c>
      <c r="VHE16" s="256" t="s">
        <v>79</v>
      </c>
      <c r="VHF16" s="256" t="s">
        <v>80</v>
      </c>
      <c r="VHG16" s="58" t="s">
        <v>81</v>
      </c>
      <c r="VHH16" s="284"/>
      <c r="VHI16" s="259" t="s">
        <v>55</v>
      </c>
      <c r="VHJ16" s="256" t="s">
        <v>76</v>
      </c>
      <c r="VHK16" s="256" t="s">
        <v>77</v>
      </c>
      <c r="VHL16" s="256" t="s">
        <v>78</v>
      </c>
      <c r="VHM16" s="256" t="s">
        <v>79</v>
      </c>
      <c r="VHN16" s="256" t="s">
        <v>80</v>
      </c>
      <c r="VHO16" s="256" t="s">
        <v>81</v>
      </c>
      <c r="VHP16" s="283"/>
      <c r="VHQ16" s="259" t="s">
        <v>55</v>
      </c>
      <c r="VHR16" s="256" t="s">
        <v>76</v>
      </c>
      <c r="VHS16" s="256" t="s">
        <v>77</v>
      </c>
      <c r="VHT16" s="256" t="s">
        <v>78</v>
      </c>
      <c r="VHU16" s="256" t="s">
        <v>79</v>
      </c>
      <c r="VHV16" s="256" t="s">
        <v>80</v>
      </c>
      <c r="VHW16" s="58" t="s">
        <v>81</v>
      </c>
      <c r="VHX16" s="284"/>
      <c r="VHY16" s="259" t="s">
        <v>55</v>
      </c>
      <c r="VHZ16" s="256" t="s">
        <v>76</v>
      </c>
      <c r="VIA16" s="256" t="s">
        <v>77</v>
      </c>
      <c r="VIB16" s="256" t="s">
        <v>78</v>
      </c>
      <c r="VIC16" s="256" t="s">
        <v>79</v>
      </c>
      <c r="VID16" s="256" t="s">
        <v>80</v>
      </c>
      <c r="VIE16" s="256" t="s">
        <v>81</v>
      </c>
      <c r="VIF16" s="283"/>
      <c r="VIG16" s="259" t="s">
        <v>55</v>
      </c>
      <c r="VIH16" s="256" t="s">
        <v>76</v>
      </c>
      <c r="VII16" s="256" t="s">
        <v>77</v>
      </c>
      <c r="VIJ16" s="256" t="s">
        <v>78</v>
      </c>
      <c r="VIK16" s="256" t="s">
        <v>79</v>
      </c>
      <c r="VIL16" s="256" t="s">
        <v>80</v>
      </c>
      <c r="VIM16" s="58" t="s">
        <v>81</v>
      </c>
      <c r="VIN16" s="284"/>
      <c r="VIO16" s="259" t="s">
        <v>55</v>
      </c>
      <c r="VIP16" s="256" t="s">
        <v>76</v>
      </c>
      <c r="VIQ16" s="256" t="s">
        <v>77</v>
      </c>
      <c r="VIR16" s="256" t="s">
        <v>78</v>
      </c>
      <c r="VIS16" s="256" t="s">
        <v>79</v>
      </c>
      <c r="VIT16" s="256" t="s">
        <v>80</v>
      </c>
      <c r="VIU16" s="256" t="s">
        <v>81</v>
      </c>
      <c r="VIV16" s="283"/>
      <c r="VIW16" s="259" t="s">
        <v>55</v>
      </c>
      <c r="VIX16" s="256" t="s">
        <v>76</v>
      </c>
      <c r="VIY16" s="256" t="s">
        <v>77</v>
      </c>
      <c r="VIZ16" s="256" t="s">
        <v>78</v>
      </c>
      <c r="VJA16" s="256" t="s">
        <v>79</v>
      </c>
      <c r="VJB16" s="256" t="s">
        <v>80</v>
      </c>
      <c r="VJC16" s="58" t="s">
        <v>81</v>
      </c>
      <c r="VJD16" s="284"/>
      <c r="VJE16" s="259" t="s">
        <v>55</v>
      </c>
      <c r="VJF16" s="256" t="s">
        <v>76</v>
      </c>
      <c r="VJG16" s="256" t="s">
        <v>77</v>
      </c>
      <c r="VJH16" s="256" t="s">
        <v>78</v>
      </c>
      <c r="VJI16" s="256" t="s">
        <v>79</v>
      </c>
      <c r="VJJ16" s="256" t="s">
        <v>80</v>
      </c>
      <c r="VJK16" s="256" t="s">
        <v>81</v>
      </c>
      <c r="VJL16" s="283"/>
      <c r="VJM16" s="259" t="s">
        <v>55</v>
      </c>
      <c r="VJN16" s="256" t="s">
        <v>76</v>
      </c>
      <c r="VJO16" s="256" t="s">
        <v>77</v>
      </c>
      <c r="VJP16" s="256" t="s">
        <v>78</v>
      </c>
      <c r="VJQ16" s="256" t="s">
        <v>79</v>
      </c>
      <c r="VJR16" s="256" t="s">
        <v>80</v>
      </c>
      <c r="VJS16" s="58" t="s">
        <v>81</v>
      </c>
      <c r="VJT16" s="284"/>
      <c r="VJU16" s="259" t="s">
        <v>55</v>
      </c>
      <c r="VJV16" s="256" t="s">
        <v>76</v>
      </c>
      <c r="VJW16" s="256" t="s">
        <v>77</v>
      </c>
      <c r="VJX16" s="256" t="s">
        <v>78</v>
      </c>
      <c r="VJY16" s="256" t="s">
        <v>79</v>
      </c>
      <c r="VJZ16" s="256" t="s">
        <v>80</v>
      </c>
      <c r="VKA16" s="256" t="s">
        <v>81</v>
      </c>
      <c r="VKB16" s="283"/>
      <c r="VKC16" s="259" t="s">
        <v>55</v>
      </c>
      <c r="VKD16" s="256" t="s">
        <v>76</v>
      </c>
      <c r="VKE16" s="256" t="s">
        <v>77</v>
      </c>
      <c r="VKF16" s="256" t="s">
        <v>78</v>
      </c>
      <c r="VKG16" s="256" t="s">
        <v>79</v>
      </c>
      <c r="VKH16" s="256" t="s">
        <v>80</v>
      </c>
      <c r="VKI16" s="58" t="s">
        <v>81</v>
      </c>
      <c r="VKJ16" s="284"/>
      <c r="VKK16" s="259" t="s">
        <v>55</v>
      </c>
      <c r="VKL16" s="256" t="s">
        <v>76</v>
      </c>
      <c r="VKM16" s="256" t="s">
        <v>77</v>
      </c>
      <c r="VKN16" s="256" t="s">
        <v>78</v>
      </c>
      <c r="VKO16" s="256" t="s">
        <v>79</v>
      </c>
      <c r="VKP16" s="256" t="s">
        <v>80</v>
      </c>
      <c r="VKQ16" s="256" t="s">
        <v>81</v>
      </c>
      <c r="VKR16" s="283"/>
      <c r="VKS16" s="259" t="s">
        <v>55</v>
      </c>
      <c r="VKT16" s="256" t="s">
        <v>76</v>
      </c>
      <c r="VKU16" s="256" t="s">
        <v>77</v>
      </c>
      <c r="VKV16" s="256" t="s">
        <v>78</v>
      </c>
      <c r="VKW16" s="256" t="s">
        <v>79</v>
      </c>
      <c r="VKX16" s="256" t="s">
        <v>80</v>
      </c>
      <c r="VKY16" s="58" t="s">
        <v>81</v>
      </c>
      <c r="VKZ16" s="284"/>
      <c r="VLA16" s="259" t="s">
        <v>55</v>
      </c>
      <c r="VLB16" s="256" t="s">
        <v>76</v>
      </c>
      <c r="VLC16" s="256" t="s">
        <v>77</v>
      </c>
      <c r="VLD16" s="256" t="s">
        <v>78</v>
      </c>
      <c r="VLE16" s="256" t="s">
        <v>79</v>
      </c>
      <c r="VLF16" s="256" t="s">
        <v>80</v>
      </c>
      <c r="VLG16" s="256" t="s">
        <v>81</v>
      </c>
      <c r="VLH16" s="283"/>
      <c r="VLI16" s="259" t="s">
        <v>55</v>
      </c>
      <c r="VLJ16" s="256" t="s">
        <v>76</v>
      </c>
      <c r="VLK16" s="256" t="s">
        <v>77</v>
      </c>
      <c r="VLL16" s="256" t="s">
        <v>78</v>
      </c>
      <c r="VLM16" s="256" t="s">
        <v>79</v>
      </c>
      <c r="VLN16" s="256" t="s">
        <v>80</v>
      </c>
      <c r="VLO16" s="58" t="s">
        <v>81</v>
      </c>
      <c r="VLP16" s="284"/>
      <c r="VLQ16" s="259" t="s">
        <v>55</v>
      </c>
      <c r="VLR16" s="256" t="s">
        <v>76</v>
      </c>
      <c r="VLS16" s="256" t="s">
        <v>77</v>
      </c>
      <c r="VLT16" s="256" t="s">
        <v>78</v>
      </c>
      <c r="VLU16" s="256" t="s">
        <v>79</v>
      </c>
      <c r="VLV16" s="256" t="s">
        <v>80</v>
      </c>
      <c r="VLW16" s="256" t="s">
        <v>81</v>
      </c>
      <c r="VLX16" s="283"/>
      <c r="VLY16" s="259" t="s">
        <v>55</v>
      </c>
      <c r="VLZ16" s="256" t="s">
        <v>76</v>
      </c>
      <c r="VMA16" s="256" t="s">
        <v>77</v>
      </c>
      <c r="VMB16" s="256" t="s">
        <v>78</v>
      </c>
      <c r="VMC16" s="256" t="s">
        <v>79</v>
      </c>
      <c r="VMD16" s="256" t="s">
        <v>80</v>
      </c>
      <c r="VME16" s="58" t="s">
        <v>81</v>
      </c>
      <c r="VMF16" s="284"/>
      <c r="VMG16" s="259" t="s">
        <v>55</v>
      </c>
      <c r="VMH16" s="256" t="s">
        <v>76</v>
      </c>
      <c r="VMI16" s="256" t="s">
        <v>77</v>
      </c>
      <c r="VMJ16" s="256" t="s">
        <v>78</v>
      </c>
      <c r="VMK16" s="256" t="s">
        <v>79</v>
      </c>
      <c r="VML16" s="256" t="s">
        <v>80</v>
      </c>
      <c r="VMM16" s="256" t="s">
        <v>81</v>
      </c>
      <c r="VMN16" s="283"/>
      <c r="VMO16" s="259" t="s">
        <v>55</v>
      </c>
      <c r="VMP16" s="256" t="s">
        <v>76</v>
      </c>
      <c r="VMQ16" s="256" t="s">
        <v>77</v>
      </c>
      <c r="VMR16" s="256" t="s">
        <v>78</v>
      </c>
      <c r="VMS16" s="256" t="s">
        <v>79</v>
      </c>
      <c r="VMT16" s="256" t="s">
        <v>80</v>
      </c>
      <c r="VMU16" s="58" t="s">
        <v>81</v>
      </c>
      <c r="VMV16" s="284"/>
      <c r="VMW16" s="259" t="s">
        <v>55</v>
      </c>
      <c r="VMX16" s="256" t="s">
        <v>76</v>
      </c>
      <c r="VMY16" s="256" t="s">
        <v>77</v>
      </c>
      <c r="VMZ16" s="256" t="s">
        <v>78</v>
      </c>
      <c r="VNA16" s="256" t="s">
        <v>79</v>
      </c>
      <c r="VNB16" s="256" t="s">
        <v>80</v>
      </c>
      <c r="VNC16" s="256" t="s">
        <v>81</v>
      </c>
      <c r="VND16" s="283"/>
      <c r="VNE16" s="259" t="s">
        <v>55</v>
      </c>
      <c r="VNF16" s="256" t="s">
        <v>76</v>
      </c>
      <c r="VNG16" s="256" t="s">
        <v>77</v>
      </c>
      <c r="VNH16" s="256" t="s">
        <v>78</v>
      </c>
      <c r="VNI16" s="256" t="s">
        <v>79</v>
      </c>
      <c r="VNJ16" s="256" t="s">
        <v>80</v>
      </c>
      <c r="VNK16" s="58" t="s">
        <v>81</v>
      </c>
      <c r="VNL16" s="284"/>
      <c r="VNM16" s="259" t="s">
        <v>55</v>
      </c>
      <c r="VNN16" s="256" t="s">
        <v>76</v>
      </c>
      <c r="VNO16" s="256" t="s">
        <v>77</v>
      </c>
      <c r="VNP16" s="256" t="s">
        <v>78</v>
      </c>
      <c r="VNQ16" s="256" t="s">
        <v>79</v>
      </c>
      <c r="VNR16" s="256" t="s">
        <v>80</v>
      </c>
      <c r="VNS16" s="256" t="s">
        <v>81</v>
      </c>
      <c r="VNT16" s="283"/>
      <c r="VNU16" s="259" t="s">
        <v>55</v>
      </c>
      <c r="VNV16" s="256" t="s">
        <v>76</v>
      </c>
      <c r="VNW16" s="256" t="s">
        <v>77</v>
      </c>
      <c r="VNX16" s="256" t="s">
        <v>78</v>
      </c>
      <c r="VNY16" s="256" t="s">
        <v>79</v>
      </c>
      <c r="VNZ16" s="256" t="s">
        <v>80</v>
      </c>
      <c r="VOA16" s="58" t="s">
        <v>81</v>
      </c>
      <c r="VOB16" s="284"/>
      <c r="VOC16" s="259" t="s">
        <v>55</v>
      </c>
      <c r="VOD16" s="256" t="s">
        <v>76</v>
      </c>
      <c r="VOE16" s="256" t="s">
        <v>77</v>
      </c>
      <c r="VOF16" s="256" t="s">
        <v>78</v>
      </c>
      <c r="VOG16" s="256" t="s">
        <v>79</v>
      </c>
      <c r="VOH16" s="256" t="s">
        <v>80</v>
      </c>
      <c r="VOI16" s="256" t="s">
        <v>81</v>
      </c>
      <c r="VOJ16" s="283"/>
      <c r="VOK16" s="259" t="s">
        <v>55</v>
      </c>
      <c r="VOL16" s="256" t="s">
        <v>76</v>
      </c>
      <c r="VOM16" s="256" t="s">
        <v>77</v>
      </c>
      <c r="VON16" s="256" t="s">
        <v>78</v>
      </c>
      <c r="VOO16" s="256" t="s">
        <v>79</v>
      </c>
      <c r="VOP16" s="256" t="s">
        <v>80</v>
      </c>
      <c r="VOQ16" s="58" t="s">
        <v>81</v>
      </c>
      <c r="VOR16" s="284"/>
      <c r="VOS16" s="259" t="s">
        <v>55</v>
      </c>
      <c r="VOT16" s="256" t="s">
        <v>76</v>
      </c>
      <c r="VOU16" s="256" t="s">
        <v>77</v>
      </c>
      <c r="VOV16" s="256" t="s">
        <v>78</v>
      </c>
      <c r="VOW16" s="256" t="s">
        <v>79</v>
      </c>
      <c r="VOX16" s="256" t="s">
        <v>80</v>
      </c>
      <c r="VOY16" s="256" t="s">
        <v>81</v>
      </c>
      <c r="VOZ16" s="283"/>
      <c r="VPA16" s="259" t="s">
        <v>55</v>
      </c>
      <c r="VPB16" s="256" t="s">
        <v>76</v>
      </c>
      <c r="VPC16" s="256" t="s">
        <v>77</v>
      </c>
      <c r="VPD16" s="256" t="s">
        <v>78</v>
      </c>
      <c r="VPE16" s="256" t="s">
        <v>79</v>
      </c>
      <c r="VPF16" s="256" t="s">
        <v>80</v>
      </c>
      <c r="VPG16" s="58" t="s">
        <v>81</v>
      </c>
      <c r="VPH16" s="284"/>
      <c r="VPI16" s="259" t="s">
        <v>55</v>
      </c>
      <c r="VPJ16" s="256" t="s">
        <v>76</v>
      </c>
      <c r="VPK16" s="256" t="s">
        <v>77</v>
      </c>
      <c r="VPL16" s="256" t="s">
        <v>78</v>
      </c>
      <c r="VPM16" s="256" t="s">
        <v>79</v>
      </c>
      <c r="VPN16" s="256" t="s">
        <v>80</v>
      </c>
      <c r="VPO16" s="256" t="s">
        <v>81</v>
      </c>
      <c r="VPP16" s="283"/>
      <c r="VPQ16" s="259" t="s">
        <v>55</v>
      </c>
      <c r="VPR16" s="256" t="s">
        <v>76</v>
      </c>
      <c r="VPS16" s="256" t="s">
        <v>77</v>
      </c>
      <c r="VPT16" s="256" t="s">
        <v>78</v>
      </c>
      <c r="VPU16" s="256" t="s">
        <v>79</v>
      </c>
      <c r="VPV16" s="256" t="s">
        <v>80</v>
      </c>
      <c r="VPW16" s="58" t="s">
        <v>81</v>
      </c>
      <c r="VPX16" s="284"/>
      <c r="VPY16" s="259" t="s">
        <v>55</v>
      </c>
      <c r="VPZ16" s="256" t="s">
        <v>76</v>
      </c>
      <c r="VQA16" s="256" t="s">
        <v>77</v>
      </c>
      <c r="VQB16" s="256" t="s">
        <v>78</v>
      </c>
      <c r="VQC16" s="256" t="s">
        <v>79</v>
      </c>
      <c r="VQD16" s="256" t="s">
        <v>80</v>
      </c>
      <c r="VQE16" s="256" t="s">
        <v>81</v>
      </c>
      <c r="VQF16" s="283"/>
      <c r="VQG16" s="259" t="s">
        <v>55</v>
      </c>
      <c r="VQH16" s="256" t="s">
        <v>76</v>
      </c>
      <c r="VQI16" s="256" t="s">
        <v>77</v>
      </c>
      <c r="VQJ16" s="256" t="s">
        <v>78</v>
      </c>
      <c r="VQK16" s="256" t="s">
        <v>79</v>
      </c>
      <c r="VQL16" s="256" t="s">
        <v>80</v>
      </c>
      <c r="VQM16" s="58" t="s">
        <v>81</v>
      </c>
      <c r="VQN16" s="284"/>
      <c r="VQO16" s="259" t="s">
        <v>55</v>
      </c>
      <c r="VQP16" s="256" t="s">
        <v>76</v>
      </c>
      <c r="VQQ16" s="256" t="s">
        <v>77</v>
      </c>
      <c r="VQR16" s="256" t="s">
        <v>78</v>
      </c>
      <c r="VQS16" s="256" t="s">
        <v>79</v>
      </c>
      <c r="VQT16" s="256" t="s">
        <v>80</v>
      </c>
      <c r="VQU16" s="256" t="s">
        <v>81</v>
      </c>
      <c r="VQV16" s="283"/>
      <c r="VQW16" s="259" t="s">
        <v>55</v>
      </c>
      <c r="VQX16" s="256" t="s">
        <v>76</v>
      </c>
      <c r="VQY16" s="256" t="s">
        <v>77</v>
      </c>
      <c r="VQZ16" s="256" t="s">
        <v>78</v>
      </c>
      <c r="VRA16" s="256" t="s">
        <v>79</v>
      </c>
      <c r="VRB16" s="256" t="s">
        <v>80</v>
      </c>
      <c r="VRC16" s="58" t="s">
        <v>81</v>
      </c>
      <c r="VRD16" s="284"/>
      <c r="VRE16" s="259" t="s">
        <v>55</v>
      </c>
      <c r="VRF16" s="256" t="s">
        <v>76</v>
      </c>
      <c r="VRG16" s="256" t="s">
        <v>77</v>
      </c>
      <c r="VRH16" s="256" t="s">
        <v>78</v>
      </c>
      <c r="VRI16" s="256" t="s">
        <v>79</v>
      </c>
      <c r="VRJ16" s="256" t="s">
        <v>80</v>
      </c>
      <c r="VRK16" s="256" t="s">
        <v>81</v>
      </c>
      <c r="VRL16" s="283"/>
      <c r="VRM16" s="259" t="s">
        <v>55</v>
      </c>
      <c r="VRN16" s="256" t="s">
        <v>76</v>
      </c>
      <c r="VRO16" s="256" t="s">
        <v>77</v>
      </c>
      <c r="VRP16" s="256" t="s">
        <v>78</v>
      </c>
      <c r="VRQ16" s="256" t="s">
        <v>79</v>
      </c>
      <c r="VRR16" s="256" t="s">
        <v>80</v>
      </c>
      <c r="VRS16" s="58" t="s">
        <v>81</v>
      </c>
      <c r="VRT16" s="284"/>
      <c r="VRU16" s="259" t="s">
        <v>55</v>
      </c>
      <c r="VRV16" s="256" t="s">
        <v>76</v>
      </c>
      <c r="VRW16" s="256" t="s">
        <v>77</v>
      </c>
      <c r="VRX16" s="256" t="s">
        <v>78</v>
      </c>
      <c r="VRY16" s="256" t="s">
        <v>79</v>
      </c>
      <c r="VRZ16" s="256" t="s">
        <v>80</v>
      </c>
      <c r="VSA16" s="256" t="s">
        <v>81</v>
      </c>
      <c r="VSB16" s="283"/>
      <c r="VSC16" s="259" t="s">
        <v>55</v>
      </c>
      <c r="VSD16" s="256" t="s">
        <v>76</v>
      </c>
      <c r="VSE16" s="256" t="s">
        <v>77</v>
      </c>
      <c r="VSF16" s="256" t="s">
        <v>78</v>
      </c>
      <c r="VSG16" s="256" t="s">
        <v>79</v>
      </c>
      <c r="VSH16" s="256" t="s">
        <v>80</v>
      </c>
      <c r="VSI16" s="58" t="s">
        <v>81</v>
      </c>
      <c r="VSJ16" s="284"/>
      <c r="VSK16" s="259" t="s">
        <v>55</v>
      </c>
      <c r="VSL16" s="256" t="s">
        <v>76</v>
      </c>
      <c r="VSM16" s="256" t="s">
        <v>77</v>
      </c>
      <c r="VSN16" s="256" t="s">
        <v>78</v>
      </c>
      <c r="VSO16" s="256" t="s">
        <v>79</v>
      </c>
      <c r="VSP16" s="256" t="s">
        <v>80</v>
      </c>
      <c r="VSQ16" s="256" t="s">
        <v>81</v>
      </c>
      <c r="VSR16" s="283"/>
      <c r="VSS16" s="259" t="s">
        <v>55</v>
      </c>
      <c r="VST16" s="256" t="s">
        <v>76</v>
      </c>
      <c r="VSU16" s="256" t="s">
        <v>77</v>
      </c>
      <c r="VSV16" s="256" t="s">
        <v>78</v>
      </c>
      <c r="VSW16" s="256" t="s">
        <v>79</v>
      </c>
      <c r="VSX16" s="256" t="s">
        <v>80</v>
      </c>
      <c r="VSY16" s="58" t="s">
        <v>81</v>
      </c>
      <c r="VSZ16" s="284"/>
      <c r="VTA16" s="259" t="s">
        <v>55</v>
      </c>
      <c r="VTB16" s="256" t="s">
        <v>76</v>
      </c>
      <c r="VTC16" s="256" t="s">
        <v>77</v>
      </c>
      <c r="VTD16" s="256" t="s">
        <v>78</v>
      </c>
      <c r="VTE16" s="256" t="s">
        <v>79</v>
      </c>
      <c r="VTF16" s="256" t="s">
        <v>80</v>
      </c>
      <c r="VTG16" s="256" t="s">
        <v>81</v>
      </c>
      <c r="VTH16" s="283"/>
      <c r="VTI16" s="259" t="s">
        <v>55</v>
      </c>
      <c r="VTJ16" s="256" t="s">
        <v>76</v>
      </c>
      <c r="VTK16" s="256" t="s">
        <v>77</v>
      </c>
      <c r="VTL16" s="256" t="s">
        <v>78</v>
      </c>
      <c r="VTM16" s="256" t="s">
        <v>79</v>
      </c>
      <c r="VTN16" s="256" t="s">
        <v>80</v>
      </c>
      <c r="VTO16" s="58" t="s">
        <v>81</v>
      </c>
      <c r="VTP16" s="284"/>
      <c r="VTQ16" s="259" t="s">
        <v>55</v>
      </c>
      <c r="VTR16" s="256" t="s">
        <v>76</v>
      </c>
      <c r="VTS16" s="256" t="s">
        <v>77</v>
      </c>
      <c r="VTT16" s="256" t="s">
        <v>78</v>
      </c>
      <c r="VTU16" s="256" t="s">
        <v>79</v>
      </c>
      <c r="VTV16" s="256" t="s">
        <v>80</v>
      </c>
      <c r="VTW16" s="256" t="s">
        <v>81</v>
      </c>
      <c r="VTX16" s="283"/>
      <c r="VTY16" s="259" t="s">
        <v>55</v>
      </c>
      <c r="VTZ16" s="256" t="s">
        <v>76</v>
      </c>
      <c r="VUA16" s="256" t="s">
        <v>77</v>
      </c>
      <c r="VUB16" s="256" t="s">
        <v>78</v>
      </c>
      <c r="VUC16" s="256" t="s">
        <v>79</v>
      </c>
      <c r="VUD16" s="256" t="s">
        <v>80</v>
      </c>
      <c r="VUE16" s="58" t="s">
        <v>81</v>
      </c>
      <c r="VUF16" s="284"/>
      <c r="VUG16" s="259" t="s">
        <v>55</v>
      </c>
      <c r="VUH16" s="256" t="s">
        <v>76</v>
      </c>
      <c r="VUI16" s="256" t="s">
        <v>77</v>
      </c>
      <c r="VUJ16" s="256" t="s">
        <v>78</v>
      </c>
      <c r="VUK16" s="256" t="s">
        <v>79</v>
      </c>
      <c r="VUL16" s="256" t="s">
        <v>80</v>
      </c>
      <c r="VUM16" s="256" t="s">
        <v>81</v>
      </c>
      <c r="VUN16" s="283"/>
      <c r="VUO16" s="259" t="s">
        <v>55</v>
      </c>
      <c r="VUP16" s="256" t="s">
        <v>76</v>
      </c>
      <c r="VUQ16" s="256" t="s">
        <v>77</v>
      </c>
      <c r="VUR16" s="256" t="s">
        <v>78</v>
      </c>
      <c r="VUS16" s="256" t="s">
        <v>79</v>
      </c>
      <c r="VUT16" s="256" t="s">
        <v>80</v>
      </c>
      <c r="VUU16" s="58" t="s">
        <v>81</v>
      </c>
      <c r="VUV16" s="284"/>
      <c r="VUW16" s="259" t="s">
        <v>55</v>
      </c>
      <c r="VUX16" s="256" t="s">
        <v>76</v>
      </c>
      <c r="VUY16" s="256" t="s">
        <v>77</v>
      </c>
      <c r="VUZ16" s="256" t="s">
        <v>78</v>
      </c>
      <c r="VVA16" s="256" t="s">
        <v>79</v>
      </c>
      <c r="VVB16" s="256" t="s">
        <v>80</v>
      </c>
      <c r="VVC16" s="256" t="s">
        <v>81</v>
      </c>
      <c r="VVD16" s="283"/>
      <c r="VVE16" s="259" t="s">
        <v>55</v>
      </c>
      <c r="VVF16" s="256" t="s">
        <v>76</v>
      </c>
      <c r="VVG16" s="256" t="s">
        <v>77</v>
      </c>
      <c r="VVH16" s="256" t="s">
        <v>78</v>
      </c>
      <c r="VVI16" s="256" t="s">
        <v>79</v>
      </c>
      <c r="VVJ16" s="256" t="s">
        <v>80</v>
      </c>
      <c r="VVK16" s="58" t="s">
        <v>81</v>
      </c>
      <c r="VVL16" s="284"/>
      <c r="VVM16" s="259" t="s">
        <v>55</v>
      </c>
      <c r="VVN16" s="256" t="s">
        <v>76</v>
      </c>
      <c r="VVO16" s="256" t="s">
        <v>77</v>
      </c>
      <c r="VVP16" s="256" t="s">
        <v>78</v>
      </c>
      <c r="VVQ16" s="256" t="s">
        <v>79</v>
      </c>
      <c r="VVR16" s="256" t="s">
        <v>80</v>
      </c>
      <c r="VVS16" s="256" t="s">
        <v>81</v>
      </c>
      <c r="VVT16" s="283"/>
      <c r="VVU16" s="259" t="s">
        <v>55</v>
      </c>
      <c r="VVV16" s="256" t="s">
        <v>76</v>
      </c>
      <c r="VVW16" s="256" t="s">
        <v>77</v>
      </c>
      <c r="VVX16" s="256" t="s">
        <v>78</v>
      </c>
      <c r="VVY16" s="256" t="s">
        <v>79</v>
      </c>
      <c r="VVZ16" s="256" t="s">
        <v>80</v>
      </c>
      <c r="VWA16" s="58" t="s">
        <v>81</v>
      </c>
      <c r="VWB16" s="284"/>
      <c r="VWC16" s="259" t="s">
        <v>55</v>
      </c>
      <c r="VWD16" s="256" t="s">
        <v>76</v>
      </c>
      <c r="VWE16" s="256" t="s">
        <v>77</v>
      </c>
      <c r="VWF16" s="256" t="s">
        <v>78</v>
      </c>
      <c r="VWG16" s="256" t="s">
        <v>79</v>
      </c>
      <c r="VWH16" s="256" t="s">
        <v>80</v>
      </c>
      <c r="VWI16" s="256" t="s">
        <v>81</v>
      </c>
      <c r="VWJ16" s="283"/>
      <c r="VWK16" s="259" t="s">
        <v>55</v>
      </c>
      <c r="VWL16" s="256" t="s">
        <v>76</v>
      </c>
      <c r="VWM16" s="256" t="s">
        <v>77</v>
      </c>
      <c r="VWN16" s="256" t="s">
        <v>78</v>
      </c>
      <c r="VWO16" s="256" t="s">
        <v>79</v>
      </c>
      <c r="VWP16" s="256" t="s">
        <v>80</v>
      </c>
      <c r="VWQ16" s="58" t="s">
        <v>81</v>
      </c>
      <c r="VWR16" s="284"/>
      <c r="VWS16" s="259" t="s">
        <v>55</v>
      </c>
      <c r="VWT16" s="256" t="s">
        <v>76</v>
      </c>
      <c r="VWU16" s="256" t="s">
        <v>77</v>
      </c>
      <c r="VWV16" s="256" t="s">
        <v>78</v>
      </c>
      <c r="VWW16" s="256" t="s">
        <v>79</v>
      </c>
      <c r="VWX16" s="256" t="s">
        <v>80</v>
      </c>
      <c r="VWY16" s="256" t="s">
        <v>81</v>
      </c>
      <c r="VWZ16" s="283"/>
      <c r="VXA16" s="259" t="s">
        <v>55</v>
      </c>
      <c r="VXB16" s="256" t="s">
        <v>76</v>
      </c>
      <c r="VXC16" s="256" t="s">
        <v>77</v>
      </c>
      <c r="VXD16" s="256" t="s">
        <v>78</v>
      </c>
      <c r="VXE16" s="256" t="s">
        <v>79</v>
      </c>
      <c r="VXF16" s="256" t="s">
        <v>80</v>
      </c>
      <c r="VXG16" s="58" t="s">
        <v>81</v>
      </c>
      <c r="VXH16" s="284"/>
      <c r="VXI16" s="259" t="s">
        <v>55</v>
      </c>
      <c r="VXJ16" s="256" t="s">
        <v>76</v>
      </c>
      <c r="VXK16" s="256" t="s">
        <v>77</v>
      </c>
      <c r="VXL16" s="256" t="s">
        <v>78</v>
      </c>
      <c r="VXM16" s="256" t="s">
        <v>79</v>
      </c>
      <c r="VXN16" s="256" t="s">
        <v>80</v>
      </c>
      <c r="VXO16" s="256" t="s">
        <v>81</v>
      </c>
      <c r="VXP16" s="283"/>
      <c r="VXQ16" s="259" t="s">
        <v>55</v>
      </c>
      <c r="VXR16" s="256" t="s">
        <v>76</v>
      </c>
      <c r="VXS16" s="256" t="s">
        <v>77</v>
      </c>
      <c r="VXT16" s="256" t="s">
        <v>78</v>
      </c>
      <c r="VXU16" s="256" t="s">
        <v>79</v>
      </c>
      <c r="VXV16" s="256" t="s">
        <v>80</v>
      </c>
      <c r="VXW16" s="58" t="s">
        <v>81</v>
      </c>
      <c r="VXX16" s="284"/>
      <c r="VXY16" s="259" t="s">
        <v>55</v>
      </c>
      <c r="VXZ16" s="256" t="s">
        <v>76</v>
      </c>
      <c r="VYA16" s="256" t="s">
        <v>77</v>
      </c>
      <c r="VYB16" s="256" t="s">
        <v>78</v>
      </c>
      <c r="VYC16" s="256" t="s">
        <v>79</v>
      </c>
      <c r="VYD16" s="256" t="s">
        <v>80</v>
      </c>
      <c r="VYE16" s="256" t="s">
        <v>81</v>
      </c>
      <c r="VYF16" s="283"/>
      <c r="VYG16" s="259" t="s">
        <v>55</v>
      </c>
      <c r="VYH16" s="256" t="s">
        <v>76</v>
      </c>
      <c r="VYI16" s="256" t="s">
        <v>77</v>
      </c>
      <c r="VYJ16" s="256" t="s">
        <v>78</v>
      </c>
      <c r="VYK16" s="256" t="s">
        <v>79</v>
      </c>
      <c r="VYL16" s="256" t="s">
        <v>80</v>
      </c>
      <c r="VYM16" s="58" t="s">
        <v>81</v>
      </c>
      <c r="VYN16" s="284"/>
      <c r="VYO16" s="259" t="s">
        <v>55</v>
      </c>
      <c r="VYP16" s="256" t="s">
        <v>76</v>
      </c>
      <c r="VYQ16" s="256" t="s">
        <v>77</v>
      </c>
      <c r="VYR16" s="256" t="s">
        <v>78</v>
      </c>
      <c r="VYS16" s="256" t="s">
        <v>79</v>
      </c>
      <c r="VYT16" s="256" t="s">
        <v>80</v>
      </c>
      <c r="VYU16" s="256" t="s">
        <v>81</v>
      </c>
      <c r="VYV16" s="283"/>
      <c r="VYW16" s="259" t="s">
        <v>55</v>
      </c>
      <c r="VYX16" s="256" t="s">
        <v>76</v>
      </c>
      <c r="VYY16" s="256" t="s">
        <v>77</v>
      </c>
      <c r="VYZ16" s="256" t="s">
        <v>78</v>
      </c>
      <c r="VZA16" s="256" t="s">
        <v>79</v>
      </c>
      <c r="VZB16" s="256" t="s">
        <v>80</v>
      </c>
      <c r="VZC16" s="58" t="s">
        <v>81</v>
      </c>
      <c r="VZD16" s="284"/>
      <c r="VZE16" s="259" t="s">
        <v>55</v>
      </c>
      <c r="VZF16" s="256" t="s">
        <v>76</v>
      </c>
      <c r="VZG16" s="256" t="s">
        <v>77</v>
      </c>
      <c r="VZH16" s="256" t="s">
        <v>78</v>
      </c>
      <c r="VZI16" s="256" t="s">
        <v>79</v>
      </c>
      <c r="VZJ16" s="256" t="s">
        <v>80</v>
      </c>
      <c r="VZK16" s="256" t="s">
        <v>81</v>
      </c>
      <c r="VZL16" s="283"/>
      <c r="VZM16" s="259" t="s">
        <v>55</v>
      </c>
      <c r="VZN16" s="256" t="s">
        <v>76</v>
      </c>
      <c r="VZO16" s="256" t="s">
        <v>77</v>
      </c>
      <c r="VZP16" s="256" t="s">
        <v>78</v>
      </c>
      <c r="VZQ16" s="256" t="s">
        <v>79</v>
      </c>
      <c r="VZR16" s="256" t="s">
        <v>80</v>
      </c>
      <c r="VZS16" s="58" t="s">
        <v>81</v>
      </c>
      <c r="VZT16" s="284"/>
      <c r="VZU16" s="259" t="s">
        <v>55</v>
      </c>
      <c r="VZV16" s="256" t="s">
        <v>76</v>
      </c>
      <c r="VZW16" s="256" t="s">
        <v>77</v>
      </c>
      <c r="VZX16" s="256" t="s">
        <v>78</v>
      </c>
      <c r="VZY16" s="256" t="s">
        <v>79</v>
      </c>
      <c r="VZZ16" s="256" t="s">
        <v>80</v>
      </c>
      <c r="WAA16" s="256" t="s">
        <v>81</v>
      </c>
      <c r="WAB16" s="283"/>
      <c r="WAC16" s="259" t="s">
        <v>55</v>
      </c>
      <c r="WAD16" s="256" t="s">
        <v>76</v>
      </c>
      <c r="WAE16" s="256" t="s">
        <v>77</v>
      </c>
      <c r="WAF16" s="256" t="s">
        <v>78</v>
      </c>
      <c r="WAG16" s="256" t="s">
        <v>79</v>
      </c>
      <c r="WAH16" s="256" t="s">
        <v>80</v>
      </c>
      <c r="WAI16" s="58" t="s">
        <v>81</v>
      </c>
      <c r="WAJ16" s="284"/>
      <c r="WAK16" s="259" t="s">
        <v>55</v>
      </c>
      <c r="WAL16" s="256" t="s">
        <v>76</v>
      </c>
      <c r="WAM16" s="256" t="s">
        <v>77</v>
      </c>
      <c r="WAN16" s="256" t="s">
        <v>78</v>
      </c>
      <c r="WAO16" s="256" t="s">
        <v>79</v>
      </c>
      <c r="WAP16" s="256" t="s">
        <v>80</v>
      </c>
      <c r="WAQ16" s="256" t="s">
        <v>81</v>
      </c>
      <c r="WAR16" s="283"/>
      <c r="WAS16" s="259" t="s">
        <v>55</v>
      </c>
      <c r="WAT16" s="256" t="s">
        <v>76</v>
      </c>
      <c r="WAU16" s="256" t="s">
        <v>77</v>
      </c>
      <c r="WAV16" s="256" t="s">
        <v>78</v>
      </c>
      <c r="WAW16" s="256" t="s">
        <v>79</v>
      </c>
      <c r="WAX16" s="256" t="s">
        <v>80</v>
      </c>
      <c r="WAY16" s="58" t="s">
        <v>81</v>
      </c>
      <c r="WAZ16" s="284"/>
      <c r="WBA16" s="259" t="s">
        <v>55</v>
      </c>
      <c r="WBB16" s="256" t="s">
        <v>76</v>
      </c>
      <c r="WBC16" s="256" t="s">
        <v>77</v>
      </c>
      <c r="WBD16" s="256" t="s">
        <v>78</v>
      </c>
      <c r="WBE16" s="256" t="s">
        <v>79</v>
      </c>
      <c r="WBF16" s="256" t="s">
        <v>80</v>
      </c>
      <c r="WBG16" s="256" t="s">
        <v>81</v>
      </c>
      <c r="WBH16" s="283"/>
      <c r="WBI16" s="259" t="s">
        <v>55</v>
      </c>
      <c r="WBJ16" s="256" t="s">
        <v>76</v>
      </c>
      <c r="WBK16" s="256" t="s">
        <v>77</v>
      </c>
      <c r="WBL16" s="256" t="s">
        <v>78</v>
      </c>
      <c r="WBM16" s="256" t="s">
        <v>79</v>
      </c>
      <c r="WBN16" s="256" t="s">
        <v>80</v>
      </c>
      <c r="WBO16" s="58" t="s">
        <v>81</v>
      </c>
      <c r="WBP16" s="284"/>
      <c r="WBQ16" s="259" t="s">
        <v>55</v>
      </c>
      <c r="WBR16" s="256" t="s">
        <v>76</v>
      </c>
      <c r="WBS16" s="256" t="s">
        <v>77</v>
      </c>
      <c r="WBT16" s="256" t="s">
        <v>78</v>
      </c>
      <c r="WBU16" s="256" t="s">
        <v>79</v>
      </c>
      <c r="WBV16" s="256" t="s">
        <v>80</v>
      </c>
      <c r="WBW16" s="256" t="s">
        <v>81</v>
      </c>
      <c r="WBX16" s="283"/>
      <c r="WBY16" s="259" t="s">
        <v>55</v>
      </c>
      <c r="WBZ16" s="256" t="s">
        <v>76</v>
      </c>
      <c r="WCA16" s="256" t="s">
        <v>77</v>
      </c>
      <c r="WCB16" s="256" t="s">
        <v>78</v>
      </c>
      <c r="WCC16" s="256" t="s">
        <v>79</v>
      </c>
      <c r="WCD16" s="256" t="s">
        <v>80</v>
      </c>
      <c r="WCE16" s="58" t="s">
        <v>81</v>
      </c>
      <c r="WCF16" s="284"/>
      <c r="WCG16" s="259" t="s">
        <v>55</v>
      </c>
      <c r="WCH16" s="256" t="s">
        <v>76</v>
      </c>
      <c r="WCI16" s="256" t="s">
        <v>77</v>
      </c>
      <c r="WCJ16" s="256" t="s">
        <v>78</v>
      </c>
      <c r="WCK16" s="256" t="s">
        <v>79</v>
      </c>
      <c r="WCL16" s="256" t="s">
        <v>80</v>
      </c>
      <c r="WCM16" s="256" t="s">
        <v>81</v>
      </c>
      <c r="WCN16" s="283"/>
      <c r="WCO16" s="259" t="s">
        <v>55</v>
      </c>
      <c r="WCP16" s="256" t="s">
        <v>76</v>
      </c>
      <c r="WCQ16" s="256" t="s">
        <v>77</v>
      </c>
      <c r="WCR16" s="256" t="s">
        <v>78</v>
      </c>
      <c r="WCS16" s="256" t="s">
        <v>79</v>
      </c>
      <c r="WCT16" s="256" t="s">
        <v>80</v>
      </c>
      <c r="WCU16" s="58" t="s">
        <v>81</v>
      </c>
      <c r="WCV16" s="284"/>
      <c r="WCW16" s="259" t="s">
        <v>55</v>
      </c>
      <c r="WCX16" s="256" t="s">
        <v>76</v>
      </c>
      <c r="WCY16" s="256" t="s">
        <v>77</v>
      </c>
      <c r="WCZ16" s="256" t="s">
        <v>78</v>
      </c>
      <c r="WDA16" s="256" t="s">
        <v>79</v>
      </c>
      <c r="WDB16" s="256" t="s">
        <v>80</v>
      </c>
      <c r="WDC16" s="256" t="s">
        <v>81</v>
      </c>
      <c r="WDD16" s="283"/>
      <c r="WDE16" s="259" t="s">
        <v>55</v>
      </c>
      <c r="WDF16" s="256" t="s">
        <v>76</v>
      </c>
      <c r="WDG16" s="256" t="s">
        <v>77</v>
      </c>
      <c r="WDH16" s="256" t="s">
        <v>78</v>
      </c>
      <c r="WDI16" s="256" t="s">
        <v>79</v>
      </c>
      <c r="WDJ16" s="256" t="s">
        <v>80</v>
      </c>
      <c r="WDK16" s="58" t="s">
        <v>81</v>
      </c>
      <c r="WDL16" s="284"/>
      <c r="WDM16" s="259" t="s">
        <v>55</v>
      </c>
      <c r="WDN16" s="256" t="s">
        <v>76</v>
      </c>
      <c r="WDO16" s="256" t="s">
        <v>77</v>
      </c>
      <c r="WDP16" s="256" t="s">
        <v>78</v>
      </c>
      <c r="WDQ16" s="256" t="s">
        <v>79</v>
      </c>
      <c r="WDR16" s="256" t="s">
        <v>80</v>
      </c>
      <c r="WDS16" s="256" t="s">
        <v>81</v>
      </c>
      <c r="WDT16" s="283"/>
      <c r="WDU16" s="259" t="s">
        <v>55</v>
      </c>
      <c r="WDV16" s="256" t="s">
        <v>76</v>
      </c>
      <c r="WDW16" s="256" t="s">
        <v>77</v>
      </c>
      <c r="WDX16" s="256" t="s">
        <v>78</v>
      </c>
      <c r="WDY16" s="256" t="s">
        <v>79</v>
      </c>
      <c r="WDZ16" s="256" t="s">
        <v>80</v>
      </c>
      <c r="WEA16" s="58" t="s">
        <v>81</v>
      </c>
      <c r="WEB16" s="284"/>
      <c r="WEC16" s="259" t="s">
        <v>55</v>
      </c>
      <c r="WED16" s="256" t="s">
        <v>76</v>
      </c>
      <c r="WEE16" s="256" t="s">
        <v>77</v>
      </c>
      <c r="WEF16" s="256" t="s">
        <v>78</v>
      </c>
      <c r="WEG16" s="256" t="s">
        <v>79</v>
      </c>
      <c r="WEH16" s="256" t="s">
        <v>80</v>
      </c>
      <c r="WEI16" s="256" t="s">
        <v>81</v>
      </c>
      <c r="WEJ16" s="283"/>
      <c r="WEK16" s="259" t="s">
        <v>55</v>
      </c>
      <c r="WEL16" s="256" t="s">
        <v>76</v>
      </c>
      <c r="WEM16" s="256" t="s">
        <v>77</v>
      </c>
      <c r="WEN16" s="256" t="s">
        <v>78</v>
      </c>
      <c r="WEO16" s="256" t="s">
        <v>79</v>
      </c>
      <c r="WEP16" s="256" t="s">
        <v>80</v>
      </c>
      <c r="WEQ16" s="58" t="s">
        <v>81</v>
      </c>
      <c r="WER16" s="284"/>
      <c r="WES16" s="259" t="s">
        <v>55</v>
      </c>
      <c r="WET16" s="256" t="s">
        <v>76</v>
      </c>
      <c r="WEU16" s="256" t="s">
        <v>77</v>
      </c>
      <c r="WEV16" s="256" t="s">
        <v>78</v>
      </c>
      <c r="WEW16" s="256" t="s">
        <v>79</v>
      </c>
      <c r="WEX16" s="256" t="s">
        <v>80</v>
      </c>
      <c r="WEY16" s="256" t="s">
        <v>81</v>
      </c>
      <c r="WEZ16" s="283"/>
      <c r="WFA16" s="259" t="s">
        <v>55</v>
      </c>
      <c r="WFB16" s="256" t="s">
        <v>76</v>
      </c>
      <c r="WFC16" s="256" t="s">
        <v>77</v>
      </c>
      <c r="WFD16" s="256" t="s">
        <v>78</v>
      </c>
      <c r="WFE16" s="256" t="s">
        <v>79</v>
      </c>
      <c r="WFF16" s="256" t="s">
        <v>80</v>
      </c>
      <c r="WFG16" s="58" t="s">
        <v>81</v>
      </c>
      <c r="WFH16" s="284"/>
      <c r="WFI16" s="259" t="s">
        <v>55</v>
      </c>
      <c r="WFJ16" s="256" t="s">
        <v>76</v>
      </c>
      <c r="WFK16" s="256" t="s">
        <v>77</v>
      </c>
      <c r="WFL16" s="256" t="s">
        <v>78</v>
      </c>
      <c r="WFM16" s="256" t="s">
        <v>79</v>
      </c>
      <c r="WFN16" s="256" t="s">
        <v>80</v>
      </c>
      <c r="WFO16" s="256" t="s">
        <v>81</v>
      </c>
      <c r="WFP16" s="283"/>
      <c r="WFQ16" s="259" t="s">
        <v>55</v>
      </c>
      <c r="WFR16" s="256" t="s">
        <v>76</v>
      </c>
      <c r="WFS16" s="256" t="s">
        <v>77</v>
      </c>
      <c r="WFT16" s="256" t="s">
        <v>78</v>
      </c>
      <c r="WFU16" s="256" t="s">
        <v>79</v>
      </c>
      <c r="WFV16" s="256" t="s">
        <v>80</v>
      </c>
      <c r="WFW16" s="58" t="s">
        <v>81</v>
      </c>
      <c r="WFX16" s="284"/>
      <c r="WFY16" s="259" t="s">
        <v>55</v>
      </c>
      <c r="WFZ16" s="256" t="s">
        <v>76</v>
      </c>
      <c r="WGA16" s="256" t="s">
        <v>77</v>
      </c>
      <c r="WGB16" s="256" t="s">
        <v>78</v>
      </c>
      <c r="WGC16" s="256" t="s">
        <v>79</v>
      </c>
      <c r="WGD16" s="256" t="s">
        <v>80</v>
      </c>
      <c r="WGE16" s="256" t="s">
        <v>81</v>
      </c>
      <c r="WGF16" s="283"/>
      <c r="WGG16" s="259" t="s">
        <v>55</v>
      </c>
      <c r="WGH16" s="256" t="s">
        <v>76</v>
      </c>
      <c r="WGI16" s="256" t="s">
        <v>77</v>
      </c>
      <c r="WGJ16" s="256" t="s">
        <v>78</v>
      </c>
      <c r="WGK16" s="256" t="s">
        <v>79</v>
      </c>
      <c r="WGL16" s="256" t="s">
        <v>80</v>
      </c>
      <c r="WGM16" s="58" t="s">
        <v>81</v>
      </c>
      <c r="WGN16" s="284"/>
      <c r="WGO16" s="259" t="s">
        <v>55</v>
      </c>
      <c r="WGP16" s="256" t="s">
        <v>76</v>
      </c>
      <c r="WGQ16" s="256" t="s">
        <v>77</v>
      </c>
      <c r="WGR16" s="256" t="s">
        <v>78</v>
      </c>
      <c r="WGS16" s="256" t="s">
        <v>79</v>
      </c>
      <c r="WGT16" s="256" t="s">
        <v>80</v>
      </c>
      <c r="WGU16" s="256" t="s">
        <v>81</v>
      </c>
      <c r="WGV16" s="283"/>
      <c r="WGW16" s="259" t="s">
        <v>55</v>
      </c>
      <c r="WGX16" s="256" t="s">
        <v>76</v>
      </c>
      <c r="WGY16" s="256" t="s">
        <v>77</v>
      </c>
      <c r="WGZ16" s="256" t="s">
        <v>78</v>
      </c>
      <c r="WHA16" s="256" t="s">
        <v>79</v>
      </c>
      <c r="WHB16" s="256" t="s">
        <v>80</v>
      </c>
      <c r="WHC16" s="58" t="s">
        <v>81</v>
      </c>
      <c r="WHD16" s="284"/>
      <c r="WHE16" s="259" t="s">
        <v>55</v>
      </c>
      <c r="WHF16" s="256" t="s">
        <v>76</v>
      </c>
      <c r="WHG16" s="256" t="s">
        <v>77</v>
      </c>
      <c r="WHH16" s="256" t="s">
        <v>78</v>
      </c>
      <c r="WHI16" s="256" t="s">
        <v>79</v>
      </c>
      <c r="WHJ16" s="256" t="s">
        <v>80</v>
      </c>
      <c r="WHK16" s="256" t="s">
        <v>81</v>
      </c>
      <c r="WHL16" s="283"/>
      <c r="WHM16" s="259" t="s">
        <v>55</v>
      </c>
      <c r="WHN16" s="256" t="s">
        <v>76</v>
      </c>
      <c r="WHO16" s="256" t="s">
        <v>77</v>
      </c>
      <c r="WHP16" s="256" t="s">
        <v>78</v>
      </c>
      <c r="WHQ16" s="256" t="s">
        <v>79</v>
      </c>
      <c r="WHR16" s="256" t="s">
        <v>80</v>
      </c>
      <c r="WHS16" s="58" t="s">
        <v>81</v>
      </c>
      <c r="WHT16" s="284"/>
      <c r="WHU16" s="259" t="s">
        <v>55</v>
      </c>
      <c r="WHV16" s="256" t="s">
        <v>76</v>
      </c>
      <c r="WHW16" s="256" t="s">
        <v>77</v>
      </c>
      <c r="WHX16" s="256" t="s">
        <v>78</v>
      </c>
      <c r="WHY16" s="256" t="s">
        <v>79</v>
      </c>
      <c r="WHZ16" s="256" t="s">
        <v>80</v>
      </c>
      <c r="WIA16" s="256" t="s">
        <v>81</v>
      </c>
      <c r="WIB16" s="283"/>
      <c r="WIC16" s="259" t="s">
        <v>55</v>
      </c>
      <c r="WID16" s="256" t="s">
        <v>76</v>
      </c>
      <c r="WIE16" s="256" t="s">
        <v>77</v>
      </c>
      <c r="WIF16" s="256" t="s">
        <v>78</v>
      </c>
      <c r="WIG16" s="256" t="s">
        <v>79</v>
      </c>
      <c r="WIH16" s="256" t="s">
        <v>80</v>
      </c>
      <c r="WII16" s="58" t="s">
        <v>81</v>
      </c>
      <c r="WIJ16" s="284"/>
      <c r="WIK16" s="259" t="s">
        <v>55</v>
      </c>
      <c r="WIL16" s="256" t="s">
        <v>76</v>
      </c>
      <c r="WIM16" s="256" t="s">
        <v>77</v>
      </c>
      <c r="WIN16" s="256" t="s">
        <v>78</v>
      </c>
      <c r="WIO16" s="256" t="s">
        <v>79</v>
      </c>
      <c r="WIP16" s="256" t="s">
        <v>80</v>
      </c>
      <c r="WIQ16" s="256" t="s">
        <v>81</v>
      </c>
      <c r="WIR16" s="283"/>
      <c r="WIS16" s="259" t="s">
        <v>55</v>
      </c>
      <c r="WIT16" s="256" t="s">
        <v>76</v>
      </c>
      <c r="WIU16" s="256" t="s">
        <v>77</v>
      </c>
      <c r="WIV16" s="256" t="s">
        <v>78</v>
      </c>
      <c r="WIW16" s="256" t="s">
        <v>79</v>
      </c>
      <c r="WIX16" s="256" t="s">
        <v>80</v>
      </c>
      <c r="WIY16" s="58" t="s">
        <v>81</v>
      </c>
      <c r="WIZ16" s="284"/>
      <c r="WJA16" s="259" t="s">
        <v>55</v>
      </c>
      <c r="WJB16" s="256" t="s">
        <v>76</v>
      </c>
      <c r="WJC16" s="256" t="s">
        <v>77</v>
      </c>
      <c r="WJD16" s="256" t="s">
        <v>78</v>
      </c>
      <c r="WJE16" s="256" t="s">
        <v>79</v>
      </c>
      <c r="WJF16" s="256" t="s">
        <v>80</v>
      </c>
      <c r="WJG16" s="256" t="s">
        <v>81</v>
      </c>
      <c r="WJH16" s="283"/>
      <c r="WJI16" s="259" t="s">
        <v>55</v>
      </c>
      <c r="WJJ16" s="256" t="s">
        <v>76</v>
      </c>
      <c r="WJK16" s="256" t="s">
        <v>77</v>
      </c>
      <c r="WJL16" s="256" t="s">
        <v>78</v>
      </c>
      <c r="WJM16" s="256" t="s">
        <v>79</v>
      </c>
      <c r="WJN16" s="256" t="s">
        <v>80</v>
      </c>
      <c r="WJO16" s="58" t="s">
        <v>81</v>
      </c>
      <c r="WJP16" s="284"/>
      <c r="WJQ16" s="259" t="s">
        <v>55</v>
      </c>
      <c r="WJR16" s="256" t="s">
        <v>76</v>
      </c>
      <c r="WJS16" s="256" t="s">
        <v>77</v>
      </c>
      <c r="WJT16" s="256" t="s">
        <v>78</v>
      </c>
      <c r="WJU16" s="256" t="s">
        <v>79</v>
      </c>
      <c r="WJV16" s="256" t="s">
        <v>80</v>
      </c>
      <c r="WJW16" s="256" t="s">
        <v>81</v>
      </c>
      <c r="WJX16" s="283"/>
      <c r="WJY16" s="259" t="s">
        <v>55</v>
      </c>
      <c r="WJZ16" s="256" t="s">
        <v>76</v>
      </c>
      <c r="WKA16" s="256" t="s">
        <v>77</v>
      </c>
      <c r="WKB16" s="256" t="s">
        <v>78</v>
      </c>
      <c r="WKC16" s="256" t="s">
        <v>79</v>
      </c>
      <c r="WKD16" s="256" t="s">
        <v>80</v>
      </c>
      <c r="WKE16" s="58" t="s">
        <v>81</v>
      </c>
      <c r="WKF16" s="284"/>
      <c r="WKG16" s="259" t="s">
        <v>55</v>
      </c>
      <c r="WKH16" s="256" t="s">
        <v>76</v>
      </c>
      <c r="WKI16" s="256" t="s">
        <v>77</v>
      </c>
      <c r="WKJ16" s="256" t="s">
        <v>78</v>
      </c>
      <c r="WKK16" s="256" t="s">
        <v>79</v>
      </c>
      <c r="WKL16" s="256" t="s">
        <v>80</v>
      </c>
      <c r="WKM16" s="256" t="s">
        <v>81</v>
      </c>
      <c r="WKN16" s="283"/>
      <c r="WKO16" s="259" t="s">
        <v>55</v>
      </c>
      <c r="WKP16" s="256" t="s">
        <v>76</v>
      </c>
      <c r="WKQ16" s="256" t="s">
        <v>77</v>
      </c>
      <c r="WKR16" s="256" t="s">
        <v>78</v>
      </c>
      <c r="WKS16" s="256" t="s">
        <v>79</v>
      </c>
      <c r="WKT16" s="256" t="s">
        <v>80</v>
      </c>
      <c r="WKU16" s="58" t="s">
        <v>81</v>
      </c>
      <c r="WKV16" s="284"/>
      <c r="WKW16" s="259" t="s">
        <v>55</v>
      </c>
      <c r="WKX16" s="256" t="s">
        <v>76</v>
      </c>
      <c r="WKY16" s="256" t="s">
        <v>77</v>
      </c>
      <c r="WKZ16" s="256" t="s">
        <v>78</v>
      </c>
      <c r="WLA16" s="256" t="s">
        <v>79</v>
      </c>
      <c r="WLB16" s="256" t="s">
        <v>80</v>
      </c>
      <c r="WLC16" s="256" t="s">
        <v>81</v>
      </c>
      <c r="WLD16" s="283"/>
      <c r="WLE16" s="259" t="s">
        <v>55</v>
      </c>
      <c r="WLF16" s="256" t="s">
        <v>76</v>
      </c>
      <c r="WLG16" s="256" t="s">
        <v>77</v>
      </c>
      <c r="WLH16" s="256" t="s">
        <v>78</v>
      </c>
      <c r="WLI16" s="256" t="s">
        <v>79</v>
      </c>
      <c r="WLJ16" s="256" t="s">
        <v>80</v>
      </c>
      <c r="WLK16" s="58" t="s">
        <v>81</v>
      </c>
      <c r="WLL16" s="284"/>
      <c r="WLM16" s="259" t="s">
        <v>55</v>
      </c>
      <c r="WLN16" s="256" t="s">
        <v>76</v>
      </c>
      <c r="WLO16" s="256" t="s">
        <v>77</v>
      </c>
      <c r="WLP16" s="256" t="s">
        <v>78</v>
      </c>
      <c r="WLQ16" s="256" t="s">
        <v>79</v>
      </c>
      <c r="WLR16" s="256" t="s">
        <v>80</v>
      </c>
      <c r="WLS16" s="256" t="s">
        <v>81</v>
      </c>
      <c r="WLT16" s="283"/>
      <c r="WLU16" s="259" t="s">
        <v>55</v>
      </c>
      <c r="WLV16" s="256" t="s">
        <v>76</v>
      </c>
      <c r="WLW16" s="256" t="s">
        <v>77</v>
      </c>
      <c r="WLX16" s="256" t="s">
        <v>78</v>
      </c>
      <c r="WLY16" s="256" t="s">
        <v>79</v>
      </c>
      <c r="WLZ16" s="256" t="s">
        <v>80</v>
      </c>
      <c r="WMA16" s="58" t="s">
        <v>81</v>
      </c>
      <c r="WMB16" s="284"/>
      <c r="WMC16" s="259" t="s">
        <v>55</v>
      </c>
      <c r="WMD16" s="256" t="s">
        <v>76</v>
      </c>
      <c r="WME16" s="256" t="s">
        <v>77</v>
      </c>
      <c r="WMF16" s="256" t="s">
        <v>78</v>
      </c>
      <c r="WMG16" s="256" t="s">
        <v>79</v>
      </c>
      <c r="WMH16" s="256" t="s">
        <v>80</v>
      </c>
      <c r="WMI16" s="256" t="s">
        <v>81</v>
      </c>
      <c r="WMJ16" s="283"/>
      <c r="WMK16" s="259" t="s">
        <v>55</v>
      </c>
      <c r="WML16" s="256" t="s">
        <v>76</v>
      </c>
      <c r="WMM16" s="256" t="s">
        <v>77</v>
      </c>
      <c r="WMN16" s="256" t="s">
        <v>78</v>
      </c>
      <c r="WMO16" s="256" t="s">
        <v>79</v>
      </c>
      <c r="WMP16" s="256" t="s">
        <v>80</v>
      </c>
      <c r="WMQ16" s="58" t="s">
        <v>81</v>
      </c>
      <c r="WMR16" s="284"/>
      <c r="WMS16" s="259" t="s">
        <v>55</v>
      </c>
      <c r="WMT16" s="256" t="s">
        <v>76</v>
      </c>
      <c r="WMU16" s="256" t="s">
        <v>77</v>
      </c>
      <c r="WMV16" s="256" t="s">
        <v>78</v>
      </c>
      <c r="WMW16" s="256" t="s">
        <v>79</v>
      </c>
      <c r="WMX16" s="256" t="s">
        <v>80</v>
      </c>
      <c r="WMY16" s="256" t="s">
        <v>81</v>
      </c>
      <c r="WMZ16" s="283"/>
      <c r="WNA16" s="259" t="s">
        <v>55</v>
      </c>
      <c r="WNB16" s="256" t="s">
        <v>76</v>
      </c>
      <c r="WNC16" s="256" t="s">
        <v>77</v>
      </c>
      <c r="WND16" s="256" t="s">
        <v>78</v>
      </c>
      <c r="WNE16" s="256" t="s">
        <v>79</v>
      </c>
      <c r="WNF16" s="256" t="s">
        <v>80</v>
      </c>
      <c r="WNG16" s="58" t="s">
        <v>81</v>
      </c>
      <c r="WNH16" s="284"/>
      <c r="WNI16" s="259" t="s">
        <v>55</v>
      </c>
      <c r="WNJ16" s="256" t="s">
        <v>76</v>
      </c>
      <c r="WNK16" s="256" t="s">
        <v>77</v>
      </c>
      <c r="WNL16" s="256" t="s">
        <v>78</v>
      </c>
      <c r="WNM16" s="256" t="s">
        <v>79</v>
      </c>
      <c r="WNN16" s="256" t="s">
        <v>80</v>
      </c>
      <c r="WNO16" s="256" t="s">
        <v>81</v>
      </c>
      <c r="WNP16" s="283"/>
      <c r="WNQ16" s="259" t="s">
        <v>55</v>
      </c>
      <c r="WNR16" s="256" t="s">
        <v>76</v>
      </c>
      <c r="WNS16" s="256" t="s">
        <v>77</v>
      </c>
      <c r="WNT16" s="256" t="s">
        <v>78</v>
      </c>
      <c r="WNU16" s="256" t="s">
        <v>79</v>
      </c>
      <c r="WNV16" s="256" t="s">
        <v>80</v>
      </c>
      <c r="WNW16" s="58" t="s">
        <v>81</v>
      </c>
      <c r="WNX16" s="284"/>
      <c r="WNY16" s="259" t="s">
        <v>55</v>
      </c>
      <c r="WNZ16" s="256" t="s">
        <v>76</v>
      </c>
      <c r="WOA16" s="256" t="s">
        <v>77</v>
      </c>
      <c r="WOB16" s="256" t="s">
        <v>78</v>
      </c>
      <c r="WOC16" s="256" t="s">
        <v>79</v>
      </c>
      <c r="WOD16" s="256" t="s">
        <v>80</v>
      </c>
      <c r="WOE16" s="256" t="s">
        <v>81</v>
      </c>
      <c r="WOF16" s="283"/>
      <c r="WOG16" s="259" t="s">
        <v>55</v>
      </c>
      <c r="WOH16" s="256" t="s">
        <v>76</v>
      </c>
      <c r="WOI16" s="256" t="s">
        <v>77</v>
      </c>
      <c r="WOJ16" s="256" t="s">
        <v>78</v>
      </c>
      <c r="WOK16" s="256" t="s">
        <v>79</v>
      </c>
      <c r="WOL16" s="256" t="s">
        <v>80</v>
      </c>
      <c r="WOM16" s="58" t="s">
        <v>81</v>
      </c>
      <c r="WON16" s="284"/>
      <c r="WOO16" s="259" t="s">
        <v>55</v>
      </c>
      <c r="WOP16" s="256" t="s">
        <v>76</v>
      </c>
      <c r="WOQ16" s="256" t="s">
        <v>77</v>
      </c>
      <c r="WOR16" s="256" t="s">
        <v>78</v>
      </c>
      <c r="WOS16" s="256" t="s">
        <v>79</v>
      </c>
      <c r="WOT16" s="256" t="s">
        <v>80</v>
      </c>
      <c r="WOU16" s="256" t="s">
        <v>81</v>
      </c>
      <c r="WOV16" s="283"/>
      <c r="WOW16" s="259" t="s">
        <v>55</v>
      </c>
      <c r="WOX16" s="256" t="s">
        <v>76</v>
      </c>
      <c r="WOY16" s="256" t="s">
        <v>77</v>
      </c>
      <c r="WOZ16" s="256" t="s">
        <v>78</v>
      </c>
      <c r="WPA16" s="256" t="s">
        <v>79</v>
      </c>
      <c r="WPB16" s="256" t="s">
        <v>80</v>
      </c>
      <c r="WPC16" s="58" t="s">
        <v>81</v>
      </c>
      <c r="WPD16" s="284"/>
      <c r="WPE16" s="259" t="s">
        <v>55</v>
      </c>
      <c r="WPF16" s="256" t="s">
        <v>76</v>
      </c>
      <c r="WPG16" s="256" t="s">
        <v>77</v>
      </c>
      <c r="WPH16" s="256" t="s">
        <v>78</v>
      </c>
      <c r="WPI16" s="256" t="s">
        <v>79</v>
      </c>
      <c r="WPJ16" s="256" t="s">
        <v>80</v>
      </c>
      <c r="WPK16" s="256" t="s">
        <v>81</v>
      </c>
      <c r="WPL16" s="283"/>
      <c r="WPM16" s="259" t="s">
        <v>55</v>
      </c>
      <c r="WPN16" s="256" t="s">
        <v>76</v>
      </c>
      <c r="WPO16" s="256" t="s">
        <v>77</v>
      </c>
      <c r="WPP16" s="256" t="s">
        <v>78</v>
      </c>
      <c r="WPQ16" s="256" t="s">
        <v>79</v>
      </c>
      <c r="WPR16" s="256" t="s">
        <v>80</v>
      </c>
      <c r="WPS16" s="58" t="s">
        <v>81</v>
      </c>
      <c r="WPT16" s="284"/>
      <c r="WPU16" s="259" t="s">
        <v>55</v>
      </c>
      <c r="WPV16" s="256" t="s">
        <v>76</v>
      </c>
      <c r="WPW16" s="256" t="s">
        <v>77</v>
      </c>
      <c r="WPX16" s="256" t="s">
        <v>78</v>
      </c>
      <c r="WPY16" s="256" t="s">
        <v>79</v>
      </c>
      <c r="WPZ16" s="256" t="s">
        <v>80</v>
      </c>
      <c r="WQA16" s="256" t="s">
        <v>81</v>
      </c>
      <c r="WQB16" s="283"/>
      <c r="WQC16" s="259" t="s">
        <v>55</v>
      </c>
      <c r="WQD16" s="256" t="s">
        <v>76</v>
      </c>
      <c r="WQE16" s="256" t="s">
        <v>77</v>
      </c>
      <c r="WQF16" s="256" t="s">
        <v>78</v>
      </c>
      <c r="WQG16" s="256" t="s">
        <v>79</v>
      </c>
      <c r="WQH16" s="256" t="s">
        <v>80</v>
      </c>
      <c r="WQI16" s="58" t="s">
        <v>81</v>
      </c>
      <c r="WQJ16" s="284"/>
      <c r="WQK16" s="259" t="s">
        <v>55</v>
      </c>
      <c r="WQL16" s="256" t="s">
        <v>76</v>
      </c>
      <c r="WQM16" s="256" t="s">
        <v>77</v>
      </c>
      <c r="WQN16" s="256" t="s">
        <v>78</v>
      </c>
      <c r="WQO16" s="256" t="s">
        <v>79</v>
      </c>
      <c r="WQP16" s="256" t="s">
        <v>80</v>
      </c>
      <c r="WQQ16" s="256" t="s">
        <v>81</v>
      </c>
      <c r="WQR16" s="283"/>
      <c r="WQS16" s="259" t="s">
        <v>55</v>
      </c>
      <c r="WQT16" s="256" t="s">
        <v>76</v>
      </c>
      <c r="WQU16" s="256" t="s">
        <v>77</v>
      </c>
      <c r="WQV16" s="256" t="s">
        <v>78</v>
      </c>
      <c r="WQW16" s="256" t="s">
        <v>79</v>
      </c>
      <c r="WQX16" s="256" t="s">
        <v>80</v>
      </c>
      <c r="WQY16" s="58" t="s">
        <v>81</v>
      </c>
      <c r="WQZ16" s="284"/>
      <c r="WRA16" s="259" t="s">
        <v>55</v>
      </c>
      <c r="WRB16" s="256" t="s">
        <v>76</v>
      </c>
      <c r="WRC16" s="256" t="s">
        <v>77</v>
      </c>
      <c r="WRD16" s="256" t="s">
        <v>78</v>
      </c>
      <c r="WRE16" s="256" t="s">
        <v>79</v>
      </c>
      <c r="WRF16" s="256" t="s">
        <v>80</v>
      </c>
      <c r="WRG16" s="256" t="s">
        <v>81</v>
      </c>
      <c r="WRH16" s="283"/>
      <c r="WRI16" s="259" t="s">
        <v>55</v>
      </c>
      <c r="WRJ16" s="256" t="s">
        <v>76</v>
      </c>
      <c r="WRK16" s="256" t="s">
        <v>77</v>
      </c>
      <c r="WRL16" s="256" t="s">
        <v>78</v>
      </c>
      <c r="WRM16" s="256" t="s">
        <v>79</v>
      </c>
      <c r="WRN16" s="256" t="s">
        <v>80</v>
      </c>
      <c r="WRO16" s="58" t="s">
        <v>81</v>
      </c>
      <c r="WRP16" s="284"/>
      <c r="WRQ16" s="259" t="s">
        <v>55</v>
      </c>
      <c r="WRR16" s="256" t="s">
        <v>76</v>
      </c>
      <c r="WRS16" s="256" t="s">
        <v>77</v>
      </c>
      <c r="WRT16" s="256" t="s">
        <v>78</v>
      </c>
      <c r="WRU16" s="256" t="s">
        <v>79</v>
      </c>
      <c r="WRV16" s="256" t="s">
        <v>80</v>
      </c>
      <c r="WRW16" s="256" t="s">
        <v>81</v>
      </c>
      <c r="WRX16" s="283"/>
      <c r="WRY16" s="259" t="s">
        <v>55</v>
      </c>
      <c r="WRZ16" s="256" t="s">
        <v>76</v>
      </c>
      <c r="WSA16" s="256" t="s">
        <v>77</v>
      </c>
      <c r="WSB16" s="256" t="s">
        <v>78</v>
      </c>
      <c r="WSC16" s="256" t="s">
        <v>79</v>
      </c>
      <c r="WSD16" s="256" t="s">
        <v>80</v>
      </c>
      <c r="WSE16" s="58" t="s">
        <v>81</v>
      </c>
      <c r="WSF16" s="284"/>
      <c r="WSG16" s="259" t="s">
        <v>55</v>
      </c>
      <c r="WSH16" s="256" t="s">
        <v>76</v>
      </c>
      <c r="WSI16" s="256" t="s">
        <v>77</v>
      </c>
      <c r="WSJ16" s="256" t="s">
        <v>78</v>
      </c>
      <c r="WSK16" s="256" t="s">
        <v>79</v>
      </c>
      <c r="WSL16" s="256" t="s">
        <v>80</v>
      </c>
      <c r="WSM16" s="256" t="s">
        <v>81</v>
      </c>
      <c r="WSN16" s="283"/>
      <c r="WSO16" s="259" t="s">
        <v>55</v>
      </c>
      <c r="WSP16" s="256" t="s">
        <v>76</v>
      </c>
      <c r="WSQ16" s="256" t="s">
        <v>77</v>
      </c>
      <c r="WSR16" s="256" t="s">
        <v>78</v>
      </c>
      <c r="WSS16" s="256" t="s">
        <v>79</v>
      </c>
      <c r="WST16" s="256" t="s">
        <v>80</v>
      </c>
      <c r="WSU16" s="58" t="s">
        <v>81</v>
      </c>
      <c r="WSV16" s="284"/>
      <c r="WSW16" s="259" t="s">
        <v>55</v>
      </c>
      <c r="WSX16" s="256" t="s">
        <v>76</v>
      </c>
      <c r="WSY16" s="256" t="s">
        <v>77</v>
      </c>
      <c r="WSZ16" s="256" t="s">
        <v>78</v>
      </c>
      <c r="WTA16" s="256" t="s">
        <v>79</v>
      </c>
      <c r="WTB16" s="256" t="s">
        <v>80</v>
      </c>
      <c r="WTC16" s="256" t="s">
        <v>81</v>
      </c>
      <c r="WTD16" s="283"/>
      <c r="WTE16" s="259" t="s">
        <v>55</v>
      </c>
      <c r="WTF16" s="256" t="s">
        <v>76</v>
      </c>
      <c r="WTG16" s="256" t="s">
        <v>77</v>
      </c>
      <c r="WTH16" s="256" t="s">
        <v>78</v>
      </c>
      <c r="WTI16" s="256" t="s">
        <v>79</v>
      </c>
      <c r="WTJ16" s="256" t="s">
        <v>80</v>
      </c>
      <c r="WTK16" s="58" t="s">
        <v>81</v>
      </c>
      <c r="WTL16" s="284"/>
      <c r="WTM16" s="259" t="s">
        <v>55</v>
      </c>
      <c r="WTN16" s="256" t="s">
        <v>76</v>
      </c>
      <c r="WTO16" s="256" t="s">
        <v>77</v>
      </c>
      <c r="WTP16" s="256" t="s">
        <v>78</v>
      </c>
      <c r="WTQ16" s="256" t="s">
        <v>79</v>
      </c>
      <c r="WTR16" s="256" t="s">
        <v>80</v>
      </c>
      <c r="WTS16" s="256" t="s">
        <v>81</v>
      </c>
      <c r="WTT16" s="283"/>
      <c r="WTU16" s="259" t="s">
        <v>55</v>
      </c>
      <c r="WTV16" s="256" t="s">
        <v>76</v>
      </c>
      <c r="WTW16" s="256" t="s">
        <v>77</v>
      </c>
      <c r="WTX16" s="256" t="s">
        <v>78</v>
      </c>
      <c r="WTY16" s="256" t="s">
        <v>79</v>
      </c>
      <c r="WTZ16" s="256" t="s">
        <v>80</v>
      </c>
      <c r="WUA16" s="58" t="s">
        <v>81</v>
      </c>
      <c r="WUB16" s="284"/>
      <c r="WUC16" s="259" t="s">
        <v>55</v>
      </c>
      <c r="WUD16" s="256" t="s">
        <v>76</v>
      </c>
      <c r="WUE16" s="256" t="s">
        <v>77</v>
      </c>
      <c r="WUF16" s="256" t="s">
        <v>78</v>
      </c>
      <c r="WUG16" s="256" t="s">
        <v>79</v>
      </c>
      <c r="WUH16" s="256" t="s">
        <v>80</v>
      </c>
      <c r="WUI16" s="256" t="s">
        <v>81</v>
      </c>
      <c r="WUJ16" s="283"/>
      <c r="WUK16" s="259" t="s">
        <v>55</v>
      </c>
      <c r="WUL16" s="256" t="s">
        <v>76</v>
      </c>
      <c r="WUM16" s="256" t="s">
        <v>77</v>
      </c>
      <c r="WUN16" s="256" t="s">
        <v>78</v>
      </c>
      <c r="WUO16" s="256" t="s">
        <v>79</v>
      </c>
      <c r="WUP16" s="256" t="s">
        <v>80</v>
      </c>
      <c r="WUQ16" s="58" t="s">
        <v>81</v>
      </c>
      <c r="WUR16" s="284"/>
      <c r="WUS16" s="259" t="s">
        <v>55</v>
      </c>
      <c r="WUT16" s="256" t="s">
        <v>76</v>
      </c>
      <c r="WUU16" s="256" t="s">
        <v>77</v>
      </c>
      <c r="WUV16" s="256" t="s">
        <v>78</v>
      </c>
      <c r="WUW16" s="256" t="s">
        <v>79</v>
      </c>
      <c r="WUX16" s="256" t="s">
        <v>80</v>
      </c>
      <c r="WUY16" s="256" t="s">
        <v>81</v>
      </c>
      <c r="WUZ16" s="283"/>
      <c r="WVA16" s="259" t="s">
        <v>55</v>
      </c>
      <c r="WVB16" s="256" t="s">
        <v>76</v>
      </c>
      <c r="WVC16" s="256" t="s">
        <v>77</v>
      </c>
      <c r="WVD16" s="256" t="s">
        <v>78</v>
      </c>
      <c r="WVE16" s="256" t="s">
        <v>79</v>
      </c>
      <c r="WVF16" s="256" t="s">
        <v>80</v>
      </c>
      <c r="WVG16" s="58" t="s">
        <v>81</v>
      </c>
      <c r="WVH16" s="284"/>
      <c r="WVI16" s="259" t="s">
        <v>55</v>
      </c>
      <c r="WVJ16" s="256" t="s">
        <v>76</v>
      </c>
      <c r="WVK16" s="256" t="s">
        <v>77</v>
      </c>
      <c r="WVL16" s="256" t="s">
        <v>78</v>
      </c>
      <c r="WVM16" s="256" t="s">
        <v>79</v>
      </c>
      <c r="WVN16" s="256" t="s">
        <v>80</v>
      </c>
      <c r="WVO16" s="256" t="s">
        <v>81</v>
      </c>
      <c r="WVP16" s="283"/>
      <c r="WVQ16" s="259" t="s">
        <v>55</v>
      </c>
      <c r="WVR16" s="256" t="s">
        <v>76</v>
      </c>
      <c r="WVS16" s="256" t="s">
        <v>77</v>
      </c>
      <c r="WVT16" s="256" t="s">
        <v>78</v>
      </c>
      <c r="WVU16" s="256" t="s">
        <v>79</v>
      </c>
      <c r="WVV16" s="256" t="s">
        <v>80</v>
      </c>
      <c r="WVW16" s="58" t="s">
        <v>81</v>
      </c>
      <c r="WVX16" s="284"/>
      <c r="WVY16" s="259" t="s">
        <v>55</v>
      </c>
      <c r="WVZ16" s="256" t="s">
        <v>76</v>
      </c>
      <c r="WWA16" s="256" t="s">
        <v>77</v>
      </c>
      <c r="WWB16" s="256" t="s">
        <v>78</v>
      </c>
      <c r="WWC16" s="256" t="s">
        <v>79</v>
      </c>
      <c r="WWD16" s="256" t="s">
        <v>80</v>
      </c>
      <c r="WWE16" s="256" t="s">
        <v>81</v>
      </c>
      <c r="WWF16" s="283"/>
      <c r="WWG16" s="259" t="s">
        <v>55</v>
      </c>
      <c r="WWH16" s="256" t="s">
        <v>76</v>
      </c>
      <c r="WWI16" s="256" t="s">
        <v>77</v>
      </c>
      <c r="WWJ16" s="256" t="s">
        <v>78</v>
      </c>
      <c r="WWK16" s="256" t="s">
        <v>79</v>
      </c>
      <c r="WWL16" s="256" t="s">
        <v>80</v>
      </c>
      <c r="WWM16" s="58" t="s">
        <v>81</v>
      </c>
      <c r="WWN16" s="284"/>
      <c r="WWO16" s="259" t="s">
        <v>55</v>
      </c>
      <c r="WWP16" s="256" t="s">
        <v>76</v>
      </c>
      <c r="WWQ16" s="256" t="s">
        <v>77</v>
      </c>
      <c r="WWR16" s="256" t="s">
        <v>78</v>
      </c>
      <c r="WWS16" s="256" t="s">
        <v>79</v>
      </c>
      <c r="WWT16" s="256" t="s">
        <v>80</v>
      </c>
      <c r="WWU16" s="256" t="s">
        <v>81</v>
      </c>
      <c r="WWV16" s="283"/>
      <c r="WWW16" s="259" t="s">
        <v>55</v>
      </c>
      <c r="WWX16" s="256" t="s">
        <v>76</v>
      </c>
      <c r="WWY16" s="256" t="s">
        <v>77</v>
      </c>
      <c r="WWZ16" s="256" t="s">
        <v>78</v>
      </c>
      <c r="WXA16" s="256" t="s">
        <v>79</v>
      </c>
      <c r="WXB16" s="256" t="s">
        <v>80</v>
      </c>
      <c r="WXC16" s="58" t="s">
        <v>81</v>
      </c>
      <c r="WXD16" s="284"/>
      <c r="WXE16" s="259" t="s">
        <v>55</v>
      </c>
      <c r="WXF16" s="256" t="s">
        <v>76</v>
      </c>
      <c r="WXG16" s="256" t="s">
        <v>77</v>
      </c>
      <c r="WXH16" s="256" t="s">
        <v>78</v>
      </c>
      <c r="WXI16" s="256" t="s">
        <v>79</v>
      </c>
      <c r="WXJ16" s="256" t="s">
        <v>80</v>
      </c>
      <c r="WXK16" s="256" t="s">
        <v>81</v>
      </c>
      <c r="WXL16" s="283"/>
      <c r="WXM16" s="259" t="s">
        <v>55</v>
      </c>
      <c r="WXN16" s="256" t="s">
        <v>76</v>
      </c>
      <c r="WXO16" s="256" t="s">
        <v>77</v>
      </c>
      <c r="WXP16" s="256" t="s">
        <v>78</v>
      </c>
      <c r="WXQ16" s="256" t="s">
        <v>79</v>
      </c>
      <c r="WXR16" s="256" t="s">
        <v>80</v>
      </c>
      <c r="WXS16" s="58" t="s">
        <v>81</v>
      </c>
      <c r="WXT16" s="284"/>
      <c r="WXU16" s="259" t="s">
        <v>55</v>
      </c>
      <c r="WXV16" s="256" t="s">
        <v>76</v>
      </c>
      <c r="WXW16" s="256" t="s">
        <v>77</v>
      </c>
      <c r="WXX16" s="256" t="s">
        <v>78</v>
      </c>
      <c r="WXY16" s="256" t="s">
        <v>79</v>
      </c>
      <c r="WXZ16" s="256" t="s">
        <v>80</v>
      </c>
      <c r="WYA16" s="256" t="s">
        <v>81</v>
      </c>
      <c r="WYB16" s="283"/>
      <c r="WYC16" s="259" t="s">
        <v>55</v>
      </c>
      <c r="WYD16" s="256" t="s">
        <v>76</v>
      </c>
      <c r="WYE16" s="256" t="s">
        <v>77</v>
      </c>
      <c r="WYF16" s="256" t="s">
        <v>78</v>
      </c>
      <c r="WYG16" s="256" t="s">
        <v>79</v>
      </c>
      <c r="WYH16" s="256" t="s">
        <v>80</v>
      </c>
      <c r="WYI16" s="58" t="s">
        <v>81</v>
      </c>
      <c r="WYJ16" s="284"/>
      <c r="WYK16" s="259" t="s">
        <v>55</v>
      </c>
      <c r="WYL16" s="256" t="s">
        <v>76</v>
      </c>
      <c r="WYM16" s="256" t="s">
        <v>77</v>
      </c>
      <c r="WYN16" s="256" t="s">
        <v>78</v>
      </c>
      <c r="WYO16" s="256" t="s">
        <v>79</v>
      </c>
      <c r="WYP16" s="256" t="s">
        <v>80</v>
      </c>
      <c r="WYQ16" s="256" t="s">
        <v>81</v>
      </c>
      <c r="WYR16" s="283"/>
      <c r="WYS16" s="259" t="s">
        <v>55</v>
      </c>
      <c r="WYT16" s="256" t="s">
        <v>76</v>
      </c>
      <c r="WYU16" s="256" t="s">
        <v>77</v>
      </c>
      <c r="WYV16" s="256" t="s">
        <v>78</v>
      </c>
      <c r="WYW16" s="256" t="s">
        <v>79</v>
      </c>
      <c r="WYX16" s="256" t="s">
        <v>80</v>
      </c>
      <c r="WYY16" s="58" t="s">
        <v>81</v>
      </c>
      <c r="WYZ16" s="284"/>
      <c r="WZA16" s="259" t="s">
        <v>55</v>
      </c>
      <c r="WZB16" s="256" t="s">
        <v>76</v>
      </c>
      <c r="WZC16" s="256" t="s">
        <v>77</v>
      </c>
      <c r="WZD16" s="256" t="s">
        <v>78</v>
      </c>
      <c r="WZE16" s="256" t="s">
        <v>79</v>
      </c>
      <c r="WZF16" s="256" t="s">
        <v>80</v>
      </c>
      <c r="WZG16" s="256" t="s">
        <v>81</v>
      </c>
      <c r="WZH16" s="283"/>
      <c r="WZI16" s="259" t="s">
        <v>55</v>
      </c>
      <c r="WZJ16" s="256" t="s">
        <v>76</v>
      </c>
      <c r="WZK16" s="256" t="s">
        <v>77</v>
      </c>
      <c r="WZL16" s="256" t="s">
        <v>78</v>
      </c>
      <c r="WZM16" s="256" t="s">
        <v>79</v>
      </c>
      <c r="WZN16" s="256" t="s">
        <v>80</v>
      </c>
      <c r="WZO16" s="58" t="s">
        <v>81</v>
      </c>
      <c r="WZP16" s="284"/>
      <c r="WZQ16" s="259" t="s">
        <v>55</v>
      </c>
      <c r="WZR16" s="256" t="s">
        <v>76</v>
      </c>
      <c r="WZS16" s="256" t="s">
        <v>77</v>
      </c>
      <c r="WZT16" s="256" t="s">
        <v>78</v>
      </c>
      <c r="WZU16" s="256" t="s">
        <v>79</v>
      </c>
      <c r="WZV16" s="256" t="s">
        <v>80</v>
      </c>
      <c r="WZW16" s="256" t="s">
        <v>81</v>
      </c>
      <c r="WZX16" s="283"/>
      <c r="WZY16" s="259" t="s">
        <v>55</v>
      </c>
      <c r="WZZ16" s="256" t="s">
        <v>76</v>
      </c>
      <c r="XAA16" s="256" t="s">
        <v>77</v>
      </c>
      <c r="XAB16" s="256" t="s">
        <v>78</v>
      </c>
      <c r="XAC16" s="256" t="s">
        <v>79</v>
      </c>
      <c r="XAD16" s="256" t="s">
        <v>80</v>
      </c>
      <c r="XAE16" s="58" t="s">
        <v>81</v>
      </c>
      <c r="XAF16" s="284"/>
      <c r="XAG16" s="259" t="s">
        <v>55</v>
      </c>
      <c r="XAH16" s="256" t="s">
        <v>76</v>
      </c>
      <c r="XAI16" s="256" t="s">
        <v>77</v>
      </c>
      <c r="XAJ16" s="256" t="s">
        <v>78</v>
      </c>
      <c r="XAK16" s="256" t="s">
        <v>79</v>
      </c>
      <c r="XAL16" s="256" t="s">
        <v>80</v>
      </c>
      <c r="XAM16" s="256" t="s">
        <v>81</v>
      </c>
      <c r="XAN16" s="283"/>
      <c r="XAO16" s="259" t="s">
        <v>55</v>
      </c>
      <c r="XAP16" s="256" t="s">
        <v>76</v>
      </c>
      <c r="XAQ16" s="256" t="s">
        <v>77</v>
      </c>
      <c r="XAR16" s="256" t="s">
        <v>78</v>
      </c>
      <c r="XAS16" s="256" t="s">
        <v>79</v>
      </c>
      <c r="XAT16" s="256" t="s">
        <v>80</v>
      </c>
      <c r="XAU16" s="58" t="s">
        <v>81</v>
      </c>
      <c r="XAV16" s="284"/>
      <c r="XAW16" s="259" t="s">
        <v>55</v>
      </c>
      <c r="XAX16" s="256" t="s">
        <v>76</v>
      </c>
      <c r="XAY16" s="256" t="s">
        <v>77</v>
      </c>
      <c r="XAZ16" s="256" t="s">
        <v>78</v>
      </c>
      <c r="XBA16" s="256" t="s">
        <v>79</v>
      </c>
      <c r="XBB16" s="256" t="s">
        <v>80</v>
      </c>
      <c r="XBC16" s="256" t="s">
        <v>81</v>
      </c>
      <c r="XBD16" s="283"/>
      <c r="XBE16" s="259" t="s">
        <v>55</v>
      </c>
      <c r="XBF16" s="256" t="s">
        <v>76</v>
      </c>
      <c r="XBG16" s="256" t="s">
        <v>77</v>
      </c>
      <c r="XBH16" s="256" t="s">
        <v>78</v>
      </c>
      <c r="XBI16" s="256" t="s">
        <v>79</v>
      </c>
      <c r="XBJ16" s="256" t="s">
        <v>80</v>
      </c>
      <c r="XBK16" s="58" t="s">
        <v>81</v>
      </c>
      <c r="XBL16" s="284"/>
      <c r="XBM16" s="259" t="s">
        <v>55</v>
      </c>
      <c r="XBN16" s="256" t="s">
        <v>76</v>
      </c>
      <c r="XBO16" s="256" t="s">
        <v>77</v>
      </c>
      <c r="XBP16" s="256" t="s">
        <v>78</v>
      </c>
      <c r="XBQ16" s="256" t="s">
        <v>79</v>
      </c>
      <c r="XBR16" s="256" t="s">
        <v>80</v>
      </c>
      <c r="XBS16" s="256" t="s">
        <v>81</v>
      </c>
      <c r="XBT16" s="283"/>
      <c r="XBU16" s="259" t="s">
        <v>55</v>
      </c>
      <c r="XBV16" s="256" t="s">
        <v>76</v>
      </c>
      <c r="XBW16" s="256" t="s">
        <v>77</v>
      </c>
      <c r="XBX16" s="256" t="s">
        <v>78</v>
      </c>
      <c r="XBY16" s="256" t="s">
        <v>79</v>
      </c>
      <c r="XBZ16" s="256" t="s">
        <v>80</v>
      </c>
      <c r="XCA16" s="58" t="s">
        <v>81</v>
      </c>
      <c r="XCB16" s="284"/>
      <c r="XCC16" s="259" t="s">
        <v>55</v>
      </c>
      <c r="XCD16" s="256" t="s">
        <v>76</v>
      </c>
      <c r="XCE16" s="256" t="s">
        <v>77</v>
      </c>
      <c r="XCF16" s="256" t="s">
        <v>78</v>
      </c>
      <c r="XCG16" s="256" t="s">
        <v>79</v>
      </c>
      <c r="XCH16" s="256" t="s">
        <v>80</v>
      </c>
      <c r="XCI16" s="256" t="s">
        <v>81</v>
      </c>
      <c r="XCJ16" s="283"/>
      <c r="XCK16" s="259" t="s">
        <v>55</v>
      </c>
      <c r="XCL16" s="256" t="s">
        <v>76</v>
      </c>
      <c r="XCM16" s="256" t="s">
        <v>77</v>
      </c>
      <c r="XCN16" s="256" t="s">
        <v>78</v>
      </c>
      <c r="XCO16" s="256" t="s">
        <v>79</v>
      </c>
      <c r="XCP16" s="256" t="s">
        <v>80</v>
      </c>
      <c r="XCQ16" s="58" t="s">
        <v>81</v>
      </c>
      <c r="XCR16" s="284"/>
      <c r="XCS16" s="259" t="s">
        <v>55</v>
      </c>
      <c r="XCT16" s="256" t="s">
        <v>76</v>
      </c>
      <c r="XCU16" s="256" t="s">
        <v>77</v>
      </c>
      <c r="XCV16" s="256" t="s">
        <v>78</v>
      </c>
      <c r="XCW16" s="256" t="s">
        <v>79</v>
      </c>
      <c r="XCX16" s="256" t="s">
        <v>80</v>
      </c>
      <c r="XCY16" s="256" t="s">
        <v>81</v>
      </c>
      <c r="XCZ16" s="283"/>
      <c r="XDA16" s="259" t="s">
        <v>55</v>
      </c>
      <c r="XDB16" s="256" t="s">
        <v>76</v>
      </c>
      <c r="XDC16" s="256" t="s">
        <v>77</v>
      </c>
      <c r="XDD16" s="256" t="s">
        <v>78</v>
      </c>
      <c r="XDE16" s="256" t="s">
        <v>79</v>
      </c>
      <c r="XDF16" s="256" t="s">
        <v>80</v>
      </c>
      <c r="XDG16" s="58" t="s">
        <v>81</v>
      </c>
      <c r="XDH16" s="284"/>
      <c r="XDI16" s="259" t="s">
        <v>55</v>
      </c>
      <c r="XDJ16" s="256" t="s">
        <v>76</v>
      </c>
      <c r="XDK16" s="256" t="s">
        <v>77</v>
      </c>
      <c r="XDL16" s="256" t="s">
        <v>78</v>
      </c>
      <c r="XDM16" s="256" t="s">
        <v>79</v>
      </c>
      <c r="XDN16" s="256" t="s">
        <v>80</v>
      </c>
      <c r="XDO16" s="256" t="s">
        <v>81</v>
      </c>
      <c r="XDP16" s="283"/>
      <c r="XDQ16" s="259" t="s">
        <v>55</v>
      </c>
      <c r="XDR16" s="256" t="s">
        <v>76</v>
      </c>
      <c r="XDS16" s="256" t="s">
        <v>77</v>
      </c>
      <c r="XDT16" s="256" t="s">
        <v>78</v>
      </c>
      <c r="XDU16" s="256" t="s">
        <v>79</v>
      </c>
      <c r="XDV16" s="256" t="s">
        <v>80</v>
      </c>
      <c r="XDW16" s="58" t="s">
        <v>81</v>
      </c>
      <c r="XDX16" s="284"/>
      <c r="XDY16" s="259" t="s">
        <v>55</v>
      </c>
      <c r="XDZ16" s="256" t="s">
        <v>76</v>
      </c>
      <c r="XEA16" s="256" t="s">
        <v>77</v>
      </c>
      <c r="XEB16" s="256" t="s">
        <v>78</v>
      </c>
      <c r="XEC16" s="256" t="s">
        <v>79</v>
      </c>
      <c r="XED16" s="256" t="s">
        <v>80</v>
      </c>
      <c r="XEE16" s="256" t="s">
        <v>81</v>
      </c>
      <c r="XEF16" s="283"/>
      <c r="XEG16" s="259" t="s">
        <v>55</v>
      </c>
      <c r="XEH16" s="256" t="s">
        <v>76</v>
      </c>
      <c r="XEI16" s="256" t="s">
        <v>77</v>
      </c>
      <c r="XEJ16" s="256" t="s">
        <v>78</v>
      </c>
      <c r="XEK16" s="256" t="s">
        <v>79</v>
      </c>
      <c r="XEL16" s="256" t="s">
        <v>80</v>
      </c>
      <c r="XEM16" s="58" t="s">
        <v>81</v>
      </c>
      <c r="XEN16" s="284"/>
      <c r="XEO16" s="259" t="s">
        <v>55</v>
      </c>
      <c r="XEP16" s="256" t="s">
        <v>76</v>
      </c>
      <c r="XEQ16" s="256" t="s">
        <v>77</v>
      </c>
      <c r="XER16" s="256" t="s">
        <v>78</v>
      </c>
      <c r="XES16" s="256" t="s">
        <v>79</v>
      </c>
      <c r="XET16" s="256" t="s">
        <v>80</v>
      </c>
      <c r="XEU16" s="256" t="s">
        <v>81</v>
      </c>
      <c r="XEV16" s="283"/>
      <c r="XEW16" s="259" t="s">
        <v>55</v>
      </c>
      <c r="XEX16" s="256" t="s">
        <v>76</v>
      </c>
      <c r="XEY16" s="256" t="s">
        <v>77</v>
      </c>
      <c r="XEZ16" s="256" t="s">
        <v>78</v>
      </c>
      <c r="XFA16" s="256" t="s">
        <v>79</v>
      </c>
      <c r="XFB16" s="256" t="s">
        <v>80</v>
      </c>
      <c r="XFC16" s="58" t="s">
        <v>81</v>
      </c>
      <c r="XFD16" s="284"/>
    </row>
    <row r="17" spans="1:16384" ht="15" thickBot="1" x14ac:dyDescent="0.35">
      <c r="A17" s="303">
        <v>45457</v>
      </c>
      <c r="B17" s="303" t="s">
        <v>111</v>
      </c>
      <c r="C17" s="305"/>
      <c r="D17" s="305">
        <v>10</v>
      </c>
      <c r="E17" s="304">
        <f>EDATE(A17,D17)</f>
        <v>45761</v>
      </c>
      <c r="F17" s="306">
        <v>0</v>
      </c>
      <c r="G17" s="320">
        <f t="shared" ca="1" si="5"/>
        <v>0</v>
      </c>
      <c r="H17" s="289">
        <f t="shared" ca="1" si="0"/>
        <v>-353</v>
      </c>
      <c r="I17" s="321">
        <v>45491</v>
      </c>
      <c r="J17" s="322" t="s">
        <v>76</v>
      </c>
      <c r="K17" s="323" t="s">
        <v>140</v>
      </c>
      <c r="L17" s="323">
        <v>1</v>
      </c>
      <c r="M17" s="324">
        <f>EDATE(I17,L17)</f>
        <v>45522</v>
      </c>
      <c r="N17" s="325">
        <v>0</v>
      </c>
      <c r="O17" s="326">
        <f t="shared" ca="1" si="1"/>
        <v>0</v>
      </c>
      <c r="P17" s="292">
        <f ca="1">M17-$G$5</f>
        <v>-592</v>
      </c>
    </row>
    <row r="18" spans="1:16384" ht="15" thickBot="1" x14ac:dyDescent="0.35">
      <c r="A18" s="303">
        <v>45458</v>
      </c>
      <c r="B18" s="303" t="s">
        <v>111</v>
      </c>
      <c r="C18" s="305"/>
      <c r="D18" s="305">
        <v>10</v>
      </c>
      <c r="E18" s="304">
        <f t="shared" ref="E18:E19" si="9">EDATE(A18,D18)</f>
        <v>45762</v>
      </c>
      <c r="F18" s="306">
        <v>0</v>
      </c>
      <c r="G18" s="307">
        <f t="shared" ca="1" si="5"/>
        <v>0</v>
      </c>
      <c r="H18" s="289">
        <f t="shared" ca="1" si="0"/>
        <v>-352</v>
      </c>
      <c r="I18" s="290">
        <v>45492</v>
      </c>
      <c r="J18" s="259" t="s">
        <v>76</v>
      </c>
      <c r="K18" s="259"/>
      <c r="L18" s="259">
        <v>1</v>
      </c>
      <c r="M18" s="324">
        <f t="shared" ref="M18:M19" si="10">EDATE(I18,L18)</f>
        <v>45523</v>
      </c>
      <c r="N18" s="262">
        <v>0</v>
      </c>
      <c r="O18" s="327">
        <f t="shared" ca="1" si="1"/>
        <v>0</v>
      </c>
      <c r="P18" s="292">
        <f t="shared" ref="P18:P19" ca="1" si="11">M18-$G$5</f>
        <v>-591</v>
      </c>
    </row>
    <row r="19" spans="1:16384" x14ac:dyDescent="0.3">
      <c r="A19" s="285">
        <v>45459</v>
      </c>
      <c r="B19" s="304" t="s">
        <v>111</v>
      </c>
      <c r="C19" s="256"/>
      <c r="D19" s="256">
        <v>10</v>
      </c>
      <c r="E19" s="304">
        <f t="shared" si="9"/>
        <v>45763</v>
      </c>
      <c r="F19" s="287">
        <v>0</v>
      </c>
      <c r="G19" s="288">
        <f t="shared" ca="1" si="5"/>
        <v>0</v>
      </c>
      <c r="H19" s="289">
        <f t="shared" ca="1" si="0"/>
        <v>-351</v>
      </c>
      <c r="I19" s="290">
        <v>45493</v>
      </c>
      <c r="J19" s="259" t="s">
        <v>76</v>
      </c>
      <c r="K19" s="259"/>
      <c r="L19" s="259">
        <v>1</v>
      </c>
      <c r="M19" s="324">
        <f t="shared" si="10"/>
        <v>45524</v>
      </c>
      <c r="N19" s="262">
        <v>0</v>
      </c>
      <c r="O19" s="320">
        <f t="shared" ca="1" si="1"/>
        <v>0</v>
      </c>
      <c r="P19" s="292">
        <f t="shared" ca="1" si="11"/>
        <v>-590</v>
      </c>
    </row>
    <row r="20" spans="1:16384" ht="15" thickBot="1" x14ac:dyDescent="0.35">
      <c r="A20" s="328"/>
      <c r="B20" s="328"/>
      <c r="C20" s="328"/>
      <c r="D20" s="328"/>
      <c r="E20" s="329"/>
      <c r="F20" s="330" t="s">
        <v>7</v>
      </c>
      <c r="G20" s="299">
        <f ca="1">SUM(G17:G19)</f>
        <v>0</v>
      </c>
      <c r="H20" s="331"/>
      <c r="I20" s="332"/>
      <c r="J20" s="333"/>
      <c r="K20" s="334"/>
      <c r="L20" s="334"/>
      <c r="M20" s="335"/>
      <c r="N20" s="336" t="s">
        <v>7</v>
      </c>
      <c r="O20" s="337">
        <f ca="1">SUM(O17:O19)</f>
        <v>0</v>
      </c>
      <c r="P20" s="302"/>
    </row>
    <row r="21" spans="1:16384" ht="15" thickBot="1" x14ac:dyDescent="0.35">
      <c r="H21" s="338"/>
      <c r="I21" s="259" t="s">
        <v>55</v>
      </c>
      <c r="J21" s="256" t="s">
        <v>76</v>
      </c>
      <c r="K21" s="256" t="s">
        <v>77</v>
      </c>
      <c r="L21" s="256" t="s">
        <v>78</v>
      </c>
      <c r="M21" s="256" t="s">
        <v>79</v>
      </c>
      <c r="N21" s="256" t="s">
        <v>80</v>
      </c>
      <c r="O21" s="256" t="s">
        <v>81</v>
      </c>
      <c r="P21" s="292"/>
    </row>
    <row r="22" spans="1:16384" x14ac:dyDescent="0.3">
      <c r="H22" s="331"/>
      <c r="I22" s="321">
        <v>45818</v>
      </c>
      <c r="J22" s="339" t="s">
        <v>76</v>
      </c>
      <c r="K22" s="305" t="s">
        <v>82</v>
      </c>
      <c r="L22" s="305">
        <v>12</v>
      </c>
      <c r="M22" s="304">
        <f>EDATE(I22,L22)</f>
        <v>46183</v>
      </c>
      <c r="N22" s="340">
        <v>5000</v>
      </c>
      <c r="O22" s="320">
        <f t="shared" ref="O22" ca="1" si="12">IF(P22&gt;=1,(N22/L22),0)</f>
        <v>416.66666666666669</v>
      </c>
      <c r="P22" s="292">
        <f t="shared" ref="P22" ca="1" si="13">M22-$G$5</f>
        <v>69</v>
      </c>
    </row>
    <row r="23" spans="1:16384" x14ac:dyDescent="0.3">
      <c r="A23" s="259" t="s">
        <v>55</v>
      </c>
      <c r="B23" s="256" t="s">
        <v>166</v>
      </c>
      <c r="C23" s="256" t="s">
        <v>77</v>
      </c>
      <c r="D23" s="256" t="s">
        <v>78</v>
      </c>
      <c r="E23" s="256" t="s">
        <v>79</v>
      </c>
      <c r="F23" s="256" t="s">
        <v>80</v>
      </c>
      <c r="G23" s="256" t="s">
        <v>81</v>
      </c>
      <c r="H23" s="331"/>
      <c r="I23" s="290">
        <v>45857</v>
      </c>
      <c r="J23" s="259" t="s">
        <v>76</v>
      </c>
      <c r="K23" s="305"/>
      <c r="L23" s="305">
        <v>3</v>
      </c>
      <c r="M23" s="304">
        <f t="shared" ref="M23:M24" si="14">EDATE(I23,L23)</f>
        <v>45949</v>
      </c>
      <c r="N23" s="340">
        <v>1000</v>
      </c>
      <c r="O23" s="320">
        <f t="shared" ca="1" si="1"/>
        <v>0</v>
      </c>
      <c r="P23" s="292">
        <f t="shared" ref="P23:P44" ca="1" si="15">M23-$G$5</f>
        <v>-165</v>
      </c>
    </row>
    <row r="24" spans="1:16384" x14ac:dyDescent="0.3">
      <c r="A24" s="290">
        <v>45489</v>
      </c>
      <c r="B24" s="304" t="s">
        <v>112</v>
      </c>
      <c r="C24" s="256" t="s">
        <v>82</v>
      </c>
      <c r="D24" s="256">
        <v>12</v>
      </c>
      <c r="E24" s="286">
        <f>EDATE(A24,D24)</f>
        <v>45854</v>
      </c>
      <c r="F24" s="291">
        <v>0</v>
      </c>
      <c r="G24" s="288">
        <f t="shared" ref="G24:G45" ca="1" si="16">IF(H24&gt;=1,(F24/D24),0)</f>
        <v>0</v>
      </c>
      <c r="H24" s="289">
        <f ca="1">E24-$G$5</f>
        <v>-260</v>
      </c>
      <c r="I24" s="290">
        <v>45858</v>
      </c>
      <c r="J24" s="259" t="s">
        <v>76</v>
      </c>
      <c r="K24" s="305"/>
      <c r="L24" s="305">
        <v>3</v>
      </c>
      <c r="M24" s="304">
        <f t="shared" si="14"/>
        <v>45950</v>
      </c>
      <c r="N24" s="340">
        <v>1000</v>
      </c>
      <c r="O24" s="320">
        <f t="shared" ca="1" si="1"/>
        <v>0</v>
      </c>
      <c r="P24" s="292">
        <f t="shared" ca="1" si="15"/>
        <v>-164</v>
      </c>
    </row>
    <row r="25" spans="1:16384" ht="15" thickBot="1" x14ac:dyDescent="0.35">
      <c r="A25" s="290">
        <v>45490</v>
      </c>
      <c r="B25" s="304" t="s">
        <v>112</v>
      </c>
      <c r="C25" s="256" t="s">
        <v>82</v>
      </c>
      <c r="D25" s="256">
        <v>12</v>
      </c>
      <c r="E25" s="286">
        <f t="shared" ref="E25:E26" si="17">EDATE(A25,D25)</f>
        <v>45855</v>
      </c>
      <c r="F25" s="291">
        <v>0</v>
      </c>
      <c r="G25" s="288">
        <f t="shared" ca="1" si="16"/>
        <v>0</v>
      </c>
      <c r="H25" s="289">
        <f t="shared" ref="H25:H46" ca="1" si="18">E25-$G$5</f>
        <v>-259</v>
      </c>
      <c r="I25" s="635"/>
      <c r="J25" s="636"/>
      <c r="K25" s="636"/>
      <c r="L25" s="636"/>
      <c r="M25" s="637"/>
      <c r="N25" s="341" t="s">
        <v>7</v>
      </c>
      <c r="O25" s="319">
        <f ca="1">SUM(O21:O24)</f>
        <v>416.66666666666669</v>
      </c>
      <c r="P25" s="302"/>
    </row>
    <row r="26" spans="1:16384" x14ac:dyDescent="0.3">
      <c r="A26" s="290">
        <v>45491</v>
      </c>
      <c r="B26" s="304" t="s">
        <v>112</v>
      </c>
      <c r="C26" s="256" t="s">
        <v>82</v>
      </c>
      <c r="D26" s="256">
        <v>12</v>
      </c>
      <c r="E26" s="286">
        <f t="shared" si="17"/>
        <v>45856</v>
      </c>
      <c r="F26" s="291">
        <v>0</v>
      </c>
      <c r="G26" s="288">
        <f t="shared" ca="1" si="16"/>
        <v>0</v>
      </c>
      <c r="H26" s="289">
        <f t="shared" ca="1" si="18"/>
        <v>-258</v>
      </c>
      <c r="I26" s="259" t="s">
        <v>55</v>
      </c>
      <c r="J26" s="256" t="s">
        <v>76</v>
      </c>
      <c r="K26" s="256" t="s">
        <v>77</v>
      </c>
      <c r="L26" s="256" t="s">
        <v>78</v>
      </c>
      <c r="M26" s="256" t="s">
        <v>79</v>
      </c>
      <c r="N26" s="256" t="s">
        <v>80</v>
      </c>
      <c r="O26" s="256" t="s">
        <v>81</v>
      </c>
      <c r="P26" s="292"/>
    </row>
    <row r="27" spans="1:16384" ht="15" thickBot="1" x14ac:dyDescent="0.35">
      <c r="A27" s="635"/>
      <c r="B27" s="636"/>
      <c r="C27" s="636"/>
      <c r="D27" s="636"/>
      <c r="E27" s="637"/>
      <c r="F27" s="298" t="s">
        <v>7</v>
      </c>
      <c r="G27" s="299">
        <f ca="1">SUM(G24:G26)</f>
        <v>0</v>
      </c>
      <c r="H27" s="300"/>
      <c r="I27" s="308">
        <v>45493</v>
      </c>
      <c r="J27" s="259" t="s">
        <v>76</v>
      </c>
      <c r="K27" s="256"/>
      <c r="L27" s="256">
        <v>1</v>
      </c>
      <c r="M27" s="304">
        <f t="shared" ref="M27:M29" si="19">EDATE(I27,L27)</f>
        <v>45524</v>
      </c>
      <c r="N27" s="262">
        <v>0</v>
      </c>
      <c r="O27" s="307">
        <f t="shared" ref="O27:O29" ca="1" si="20">IF(P27&gt;=1,(N27/L27),0)</f>
        <v>0</v>
      </c>
      <c r="P27" s="292">
        <f t="shared" ca="1" si="15"/>
        <v>-590</v>
      </c>
    </row>
    <row r="28" spans="1:16384" x14ac:dyDescent="0.3">
      <c r="A28" s="259" t="s">
        <v>55</v>
      </c>
      <c r="B28" s="256" t="s">
        <v>165</v>
      </c>
      <c r="C28" s="256" t="s">
        <v>77</v>
      </c>
      <c r="D28" s="256" t="s">
        <v>78</v>
      </c>
      <c r="E28" s="256" t="s">
        <v>79</v>
      </c>
      <c r="F28" s="256" t="s">
        <v>80</v>
      </c>
      <c r="G28" s="256" t="s">
        <v>81</v>
      </c>
      <c r="H28" s="331"/>
      <c r="I28" s="290">
        <v>45492</v>
      </c>
      <c r="J28" s="259" t="s">
        <v>76</v>
      </c>
      <c r="K28" s="305"/>
      <c r="L28" s="305">
        <v>1</v>
      </c>
      <c r="M28" s="304">
        <f t="shared" si="19"/>
        <v>45523</v>
      </c>
      <c r="N28" s="340">
        <v>0</v>
      </c>
      <c r="O28" s="320">
        <f t="shared" ca="1" si="20"/>
        <v>0</v>
      </c>
      <c r="P28" s="292">
        <f t="shared" ref="P28" ca="1" si="21">M28-$G$5</f>
        <v>-591</v>
      </c>
      <c r="Q28" s="41"/>
      <c r="R28" s="41"/>
      <c r="S28" s="41"/>
      <c r="T28" s="41"/>
      <c r="U28" s="41"/>
      <c r="V28" s="41"/>
      <c r="W28" s="41"/>
      <c r="X28" s="255"/>
      <c r="Y28" s="40"/>
      <c r="Z28" s="41"/>
      <c r="AA28" s="41"/>
      <c r="AB28" s="41"/>
      <c r="AC28" s="352"/>
      <c r="AD28" s="353"/>
      <c r="AE28" s="354"/>
      <c r="AF28" s="355"/>
      <c r="AG28" s="41"/>
      <c r="AH28" s="41"/>
      <c r="AI28" s="41"/>
      <c r="AJ28" s="41"/>
      <c r="AK28" s="41"/>
      <c r="AL28" s="41"/>
      <c r="AM28" s="41"/>
      <c r="AN28" s="255"/>
      <c r="AO28" s="40"/>
      <c r="AP28" s="41"/>
      <c r="AQ28" s="41"/>
      <c r="AR28" s="41"/>
      <c r="AS28" s="352"/>
      <c r="AT28" s="353"/>
      <c r="AU28" s="354"/>
      <c r="AV28" s="355"/>
      <c r="AW28" s="41"/>
      <c r="AX28" s="41"/>
      <c r="AY28" s="41"/>
      <c r="AZ28" s="41"/>
      <c r="BA28" s="41"/>
      <c r="BB28" s="41"/>
      <c r="BC28" s="41"/>
      <c r="BD28" s="255"/>
      <c r="BE28" s="40"/>
      <c r="BF28" s="41"/>
      <c r="BG28" s="41"/>
      <c r="BH28" s="41"/>
      <c r="BI28" s="352"/>
      <c r="BJ28" s="353"/>
      <c r="BK28" s="354"/>
      <c r="BL28" s="355"/>
      <c r="BM28" s="41"/>
      <c r="BN28" s="41"/>
      <c r="BO28" s="41"/>
      <c r="BP28" s="41"/>
      <c r="BQ28" s="41"/>
      <c r="BR28" s="41"/>
      <c r="BS28" s="41"/>
      <c r="BT28" s="255"/>
      <c r="BU28" s="40"/>
      <c r="BV28" s="41"/>
      <c r="BW28" s="41"/>
      <c r="BX28" s="41"/>
      <c r="BY28" s="352"/>
      <c r="BZ28" s="353"/>
      <c r="CA28" s="354"/>
      <c r="CB28" s="355"/>
      <c r="CC28" s="41"/>
      <c r="CD28" s="41"/>
      <c r="CE28" s="41"/>
      <c r="CF28" s="41"/>
      <c r="CG28" s="41"/>
      <c r="CH28" s="41"/>
      <c r="CI28" s="41"/>
      <c r="CJ28" s="255"/>
      <c r="CK28" s="40"/>
      <c r="CL28" s="41"/>
      <c r="CM28" s="41"/>
      <c r="CN28" s="41"/>
      <c r="CO28" s="352"/>
      <c r="CP28" s="353"/>
      <c r="CQ28" s="354"/>
      <c r="CR28" s="355"/>
      <c r="CS28" s="41"/>
      <c r="CT28" s="41"/>
      <c r="CU28" s="41"/>
      <c r="CV28" s="41"/>
      <c r="CW28" s="41"/>
      <c r="CX28" s="41"/>
      <c r="CY28" s="41"/>
      <c r="CZ28" s="255"/>
      <c r="DA28" s="40"/>
      <c r="DB28" s="41"/>
      <c r="DC28" s="41"/>
      <c r="DD28" s="41"/>
      <c r="DE28" s="352"/>
      <c r="DF28" s="353"/>
      <c r="DG28" s="354"/>
      <c r="DH28" s="355"/>
      <c r="DI28" s="41"/>
      <c r="DJ28" s="41"/>
      <c r="DK28" s="41"/>
      <c r="DL28" s="41"/>
      <c r="DM28" s="41"/>
      <c r="DN28" s="41"/>
      <c r="DO28" s="41"/>
      <c r="DP28" s="255"/>
      <c r="DQ28" s="40"/>
      <c r="DR28" s="41"/>
      <c r="DS28" s="41"/>
      <c r="DT28" s="41"/>
      <c r="DU28" s="352"/>
      <c r="DV28" s="353"/>
      <c r="DW28" s="354"/>
      <c r="DX28" s="355"/>
      <c r="DY28" s="41"/>
      <c r="DZ28" s="41"/>
      <c r="EA28" s="41"/>
      <c r="EB28" s="41"/>
      <c r="EC28" s="41"/>
      <c r="ED28" s="41"/>
      <c r="EE28" s="41"/>
      <c r="EF28" s="255"/>
      <c r="EG28" s="40"/>
      <c r="EH28" s="41"/>
      <c r="EI28" s="41"/>
      <c r="EJ28" s="41"/>
      <c r="EK28" s="352"/>
      <c r="EL28" s="353"/>
      <c r="EM28" s="354"/>
      <c r="EN28" s="355"/>
      <c r="EO28" s="41"/>
      <c r="EP28" s="41"/>
      <c r="EQ28" s="41"/>
      <c r="ER28" s="41"/>
      <c r="ES28" s="41"/>
      <c r="ET28" s="41"/>
      <c r="EU28" s="41"/>
      <c r="EV28" s="255"/>
      <c r="EW28" s="40"/>
      <c r="EX28" s="41"/>
      <c r="EY28" s="41"/>
      <c r="EZ28" s="41"/>
      <c r="FA28" s="352"/>
      <c r="FB28" s="353"/>
      <c r="FC28" s="354"/>
      <c r="FD28" s="355"/>
      <c r="FE28" s="41"/>
      <c r="FF28" s="41"/>
      <c r="FG28" s="41"/>
      <c r="FH28" s="41"/>
      <c r="FI28" s="41"/>
      <c r="FJ28" s="41"/>
      <c r="FK28" s="41"/>
      <c r="FL28" s="255"/>
      <c r="FM28" s="40"/>
      <c r="FN28" s="41"/>
      <c r="FO28" s="41"/>
      <c r="FP28" s="41"/>
      <c r="FQ28" s="352"/>
      <c r="FR28" s="353"/>
      <c r="FS28" s="354"/>
      <c r="FT28" s="355"/>
      <c r="FU28" s="41"/>
      <c r="FV28" s="41"/>
      <c r="FW28" s="41"/>
      <c r="FX28" s="41"/>
      <c r="FY28" s="41"/>
      <c r="FZ28" s="41"/>
      <c r="GA28" s="41"/>
      <c r="GB28" s="255"/>
      <c r="GC28" s="40"/>
      <c r="GD28" s="41"/>
      <c r="GE28" s="41"/>
      <c r="GF28" s="41"/>
      <c r="GG28" s="352"/>
      <c r="GH28" s="353"/>
      <c r="GI28" s="354"/>
      <c r="GJ28" s="355"/>
      <c r="GK28" s="41"/>
      <c r="GL28" s="41"/>
      <c r="GM28" s="41"/>
      <c r="GN28" s="41"/>
      <c r="GO28" s="41"/>
      <c r="GP28" s="41"/>
      <c r="GQ28" s="41"/>
      <c r="GR28" s="255"/>
      <c r="GS28" s="40"/>
      <c r="GT28" s="41"/>
      <c r="GU28" s="41"/>
      <c r="GV28" s="41"/>
      <c r="GW28" s="352"/>
      <c r="GX28" s="353"/>
      <c r="GY28" s="354"/>
      <c r="GZ28" s="355"/>
      <c r="HA28" s="41"/>
      <c r="HB28" s="41"/>
      <c r="HC28" s="41"/>
      <c r="HD28" s="41"/>
      <c r="HE28" s="41"/>
      <c r="HF28" s="41"/>
      <c r="HG28" s="41"/>
      <c r="HH28" s="255"/>
      <c r="HI28" s="40"/>
      <c r="HJ28" s="41"/>
      <c r="HK28" s="41"/>
      <c r="HL28" s="41"/>
      <c r="HM28" s="352"/>
      <c r="HN28" s="353"/>
      <c r="HO28" s="354"/>
      <c r="HP28" s="355"/>
      <c r="HQ28" s="41"/>
      <c r="HR28" s="41"/>
      <c r="HS28" s="41"/>
      <c r="HT28" s="41"/>
      <c r="HU28" s="41"/>
      <c r="HV28" s="41"/>
      <c r="HW28" s="41"/>
      <c r="HX28" s="255"/>
      <c r="HY28" s="40"/>
      <c r="HZ28" s="41"/>
      <c r="IA28" s="41"/>
      <c r="IB28" s="41"/>
      <c r="IC28" s="352"/>
      <c r="ID28" s="353"/>
      <c r="IE28" s="354"/>
      <c r="IF28" s="355"/>
      <c r="IG28" s="41"/>
      <c r="IH28" s="41"/>
      <c r="II28" s="41"/>
      <c r="IJ28" s="41"/>
      <c r="IK28" s="41"/>
      <c r="IL28" s="41"/>
      <c r="IM28" s="41"/>
      <c r="IN28" s="255"/>
      <c r="IO28" s="40"/>
      <c r="IP28" s="41"/>
      <c r="IQ28" s="41"/>
      <c r="IR28" s="41"/>
      <c r="IS28" s="352"/>
      <c r="IT28" s="353"/>
      <c r="IU28" s="354"/>
      <c r="IV28" s="355"/>
      <c r="IW28" s="41"/>
      <c r="IX28" s="41"/>
      <c r="IY28" s="41"/>
      <c r="IZ28" s="41"/>
      <c r="JA28" s="41"/>
      <c r="JB28" s="41"/>
      <c r="JC28" s="41"/>
      <c r="JD28" s="255"/>
      <c r="JE28" s="40"/>
      <c r="JF28" s="41"/>
      <c r="JG28" s="41"/>
      <c r="JH28" s="41"/>
      <c r="JI28" s="352"/>
      <c r="JJ28" s="353"/>
      <c r="JK28" s="354"/>
      <c r="JL28" s="355"/>
      <c r="JM28" s="41"/>
      <c r="JN28" s="41"/>
      <c r="JO28" s="41"/>
      <c r="JP28" s="41"/>
      <c r="JQ28" s="41"/>
      <c r="JR28" s="41"/>
      <c r="JS28" s="41"/>
      <c r="JT28" s="255"/>
      <c r="JU28" s="40"/>
      <c r="JV28" s="41"/>
      <c r="JW28" s="41"/>
      <c r="JX28" s="41"/>
      <c r="JY28" s="352"/>
      <c r="JZ28" s="353"/>
      <c r="KA28" s="354"/>
      <c r="KB28" s="355"/>
      <c r="KC28" s="41"/>
      <c r="KD28" s="41"/>
      <c r="KE28" s="41"/>
      <c r="KF28" s="41"/>
      <c r="KG28" s="41"/>
      <c r="KH28" s="41"/>
      <c r="KI28" s="41"/>
      <c r="KJ28" s="255"/>
      <c r="KK28" s="40"/>
      <c r="KL28" s="41"/>
      <c r="KM28" s="41"/>
      <c r="KN28" s="41"/>
      <c r="KO28" s="352"/>
      <c r="KP28" s="353"/>
      <c r="KQ28" s="354"/>
      <c r="KR28" s="355"/>
      <c r="KS28" s="41"/>
      <c r="KT28" s="41"/>
      <c r="KU28" s="41"/>
      <c r="KV28" s="41"/>
      <c r="KW28" s="41"/>
      <c r="KX28" s="41"/>
      <c r="KY28" s="41"/>
      <c r="KZ28" s="255"/>
      <c r="LA28" s="40"/>
      <c r="LB28" s="41"/>
      <c r="LC28" s="41"/>
      <c r="LD28" s="41"/>
      <c r="LE28" s="352"/>
      <c r="LF28" s="353"/>
      <c r="LG28" s="354"/>
      <c r="LH28" s="355"/>
      <c r="LI28" s="41"/>
      <c r="LJ28" s="41"/>
      <c r="LK28" s="41"/>
      <c r="LL28" s="41"/>
      <c r="LM28" s="41"/>
      <c r="LN28" s="41"/>
      <c r="LO28" s="41"/>
      <c r="LP28" s="255"/>
      <c r="LQ28" s="40"/>
      <c r="LR28" s="41"/>
      <c r="LS28" s="41"/>
      <c r="LT28" s="41"/>
      <c r="LU28" s="352"/>
      <c r="LV28" s="353"/>
      <c r="LW28" s="354"/>
      <c r="LX28" s="355"/>
      <c r="LY28" s="41"/>
      <c r="LZ28" s="41"/>
      <c r="MA28" s="41"/>
      <c r="MB28" s="41"/>
      <c r="MC28" s="41"/>
      <c r="MD28" s="41"/>
      <c r="ME28" s="41"/>
      <c r="MF28" s="255"/>
      <c r="MG28" s="40"/>
      <c r="MH28" s="41"/>
      <c r="MI28" s="41"/>
      <c r="MJ28" s="41"/>
      <c r="MK28" s="352"/>
      <c r="ML28" s="353"/>
      <c r="MM28" s="354"/>
      <c r="MN28" s="355"/>
      <c r="MO28" s="41"/>
      <c r="MP28" s="41"/>
      <c r="MQ28" s="41"/>
      <c r="MR28" s="41"/>
      <c r="MS28" s="41"/>
      <c r="MT28" s="41"/>
      <c r="MU28" s="41"/>
      <c r="MV28" s="255"/>
      <c r="MW28" s="40"/>
      <c r="MX28" s="41"/>
      <c r="MY28" s="41"/>
      <c r="MZ28" s="41"/>
      <c r="NA28" s="352"/>
      <c r="NB28" s="353"/>
      <c r="NC28" s="354"/>
      <c r="ND28" s="355"/>
      <c r="NE28" s="41"/>
      <c r="NF28" s="41"/>
      <c r="NG28" s="41"/>
      <c r="NH28" s="41"/>
      <c r="NI28" s="41"/>
      <c r="NJ28" s="41"/>
      <c r="NK28" s="41"/>
      <c r="NL28" s="255"/>
      <c r="NM28" s="40"/>
      <c r="NN28" s="41"/>
      <c r="NO28" s="41"/>
      <c r="NP28" s="41"/>
      <c r="NQ28" s="352"/>
      <c r="NR28" s="353"/>
      <c r="NS28" s="354"/>
      <c r="NT28" s="355"/>
      <c r="NU28" s="41"/>
      <c r="NV28" s="41"/>
      <c r="NW28" s="41"/>
      <c r="NX28" s="41"/>
      <c r="NY28" s="41"/>
      <c r="NZ28" s="41"/>
      <c r="OA28" s="41"/>
      <c r="OB28" s="255"/>
      <c r="OC28" s="40"/>
      <c r="OD28" s="41"/>
      <c r="OE28" s="41"/>
      <c r="OF28" s="41"/>
      <c r="OG28" s="352"/>
      <c r="OH28" s="353"/>
      <c r="OI28" s="354"/>
      <c r="OJ28" s="355"/>
      <c r="OK28" s="41"/>
      <c r="OL28" s="41"/>
      <c r="OM28" s="41"/>
      <c r="ON28" s="41"/>
      <c r="OO28" s="41"/>
      <c r="OP28" s="41"/>
      <c r="OQ28" s="41"/>
      <c r="OR28" s="255"/>
      <c r="OS28" s="40"/>
      <c r="OT28" s="41"/>
      <c r="OU28" s="41"/>
      <c r="OV28" s="41"/>
      <c r="OW28" s="352"/>
      <c r="OX28" s="353"/>
      <c r="OY28" s="354"/>
      <c r="OZ28" s="355"/>
      <c r="PA28" s="41"/>
      <c r="PB28" s="41"/>
      <c r="PC28" s="41"/>
      <c r="PD28" s="41"/>
      <c r="PE28" s="41"/>
      <c r="PF28" s="41"/>
      <c r="PG28" s="41"/>
      <c r="PH28" s="255"/>
      <c r="PI28" s="40"/>
      <c r="PJ28" s="41"/>
      <c r="PK28" s="41"/>
      <c r="PL28" s="41"/>
      <c r="PM28" s="352"/>
      <c r="PN28" s="353"/>
      <c r="PO28" s="354"/>
      <c r="PP28" s="355"/>
      <c r="PQ28" s="41"/>
      <c r="PR28" s="41"/>
      <c r="PS28" s="41"/>
      <c r="PT28" s="41"/>
      <c r="PU28" s="41"/>
      <c r="PV28" s="41"/>
      <c r="PW28" s="41"/>
      <c r="PX28" s="255"/>
      <c r="PY28" s="40"/>
      <c r="PZ28" s="41"/>
      <c r="QA28" s="41"/>
      <c r="QB28" s="41"/>
      <c r="QC28" s="352"/>
      <c r="QD28" s="353"/>
      <c r="QE28" s="354"/>
      <c r="QF28" s="355"/>
      <c r="QG28" s="41"/>
      <c r="QH28" s="41"/>
      <c r="QI28" s="41"/>
      <c r="QJ28" s="41"/>
      <c r="QK28" s="41"/>
      <c r="QL28" s="41"/>
      <c r="QM28" s="41"/>
      <c r="QN28" s="255"/>
      <c r="QO28" s="40"/>
      <c r="QP28" s="41"/>
      <c r="QQ28" s="41"/>
      <c r="QR28" s="41"/>
      <c r="QS28" s="352"/>
      <c r="QT28" s="353"/>
      <c r="QU28" s="354"/>
      <c r="QV28" s="355"/>
      <c r="QW28" s="41"/>
      <c r="QX28" s="41"/>
      <c r="QY28" s="41"/>
      <c r="QZ28" s="41"/>
      <c r="RA28" s="41"/>
      <c r="RB28" s="41"/>
      <c r="RC28" s="41"/>
      <c r="RD28" s="255"/>
      <c r="RE28" s="40"/>
      <c r="RF28" s="41"/>
      <c r="RG28" s="41"/>
      <c r="RH28" s="41"/>
      <c r="RI28" s="352"/>
      <c r="RJ28" s="353"/>
      <c r="RK28" s="354"/>
      <c r="RL28" s="355"/>
      <c r="RM28" s="41"/>
      <c r="RN28" s="41"/>
      <c r="RO28" s="41"/>
      <c r="RP28" s="41"/>
      <c r="RQ28" s="41"/>
      <c r="RR28" s="41"/>
      <c r="RS28" s="41"/>
      <c r="RT28" s="255"/>
      <c r="RU28" s="40"/>
      <c r="RV28" s="41"/>
      <c r="RW28" s="41"/>
      <c r="RX28" s="41"/>
      <c r="RY28" s="352"/>
      <c r="RZ28" s="353"/>
      <c r="SA28" s="354"/>
      <c r="SB28" s="355"/>
      <c r="SC28" s="41"/>
      <c r="SD28" s="41"/>
      <c r="SE28" s="41"/>
      <c r="SF28" s="41"/>
      <c r="SG28" s="41"/>
      <c r="SH28" s="41"/>
      <c r="SI28" s="41"/>
      <c r="SJ28" s="255"/>
      <c r="SK28" s="40"/>
      <c r="SL28" s="41"/>
      <c r="SM28" s="41"/>
      <c r="SN28" s="41"/>
      <c r="SO28" s="352"/>
      <c r="SP28" s="353"/>
      <c r="SQ28" s="354"/>
      <c r="SR28" s="355"/>
      <c r="SS28" s="41"/>
      <c r="ST28" s="41"/>
      <c r="SU28" s="41"/>
      <c r="SV28" s="41"/>
      <c r="SW28" s="41"/>
      <c r="SX28" s="41"/>
      <c r="SY28" s="41"/>
      <c r="SZ28" s="255"/>
      <c r="TA28" s="40"/>
      <c r="TB28" s="41"/>
      <c r="TC28" s="41"/>
      <c r="TD28" s="41"/>
      <c r="TE28" s="352"/>
      <c r="TF28" s="353"/>
      <c r="TG28" s="354"/>
      <c r="TH28" s="355"/>
      <c r="TI28" s="41"/>
      <c r="TJ28" s="41"/>
      <c r="TK28" s="41"/>
      <c r="TL28" s="41"/>
      <c r="TM28" s="41"/>
      <c r="TN28" s="41"/>
      <c r="TO28" s="41"/>
      <c r="TP28" s="255"/>
      <c r="TQ28" s="40"/>
      <c r="TR28" s="41"/>
      <c r="TS28" s="41"/>
      <c r="TT28" s="41"/>
      <c r="TU28" s="352"/>
      <c r="TV28" s="353"/>
      <c r="TW28" s="354"/>
      <c r="TX28" s="355"/>
      <c r="TY28" s="41"/>
      <c r="TZ28" s="41"/>
      <c r="UA28" s="41"/>
      <c r="UB28" s="41"/>
      <c r="UC28" s="41"/>
      <c r="UD28" s="41"/>
      <c r="UE28" s="41"/>
      <c r="UF28" s="255"/>
      <c r="UG28" s="40"/>
      <c r="UH28" s="41"/>
      <c r="UI28" s="41"/>
      <c r="UJ28" s="41"/>
      <c r="UK28" s="352"/>
      <c r="UL28" s="353"/>
      <c r="UM28" s="354"/>
      <c r="UN28" s="355"/>
      <c r="UO28" s="41"/>
      <c r="UP28" s="41"/>
      <c r="UQ28" s="41"/>
      <c r="UR28" s="41"/>
      <c r="US28" s="41"/>
      <c r="UT28" s="41"/>
      <c r="UU28" s="41"/>
      <c r="UV28" s="255"/>
      <c r="UW28" s="40"/>
      <c r="UX28" s="41"/>
      <c r="UY28" s="41"/>
      <c r="UZ28" s="41"/>
      <c r="VA28" s="352"/>
      <c r="VB28" s="353"/>
      <c r="VC28" s="354"/>
      <c r="VD28" s="355"/>
      <c r="VE28" s="41"/>
      <c r="VF28" s="41"/>
      <c r="VG28" s="41"/>
      <c r="VH28" s="41"/>
      <c r="VI28" s="41"/>
      <c r="VJ28" s="41"/>
      <c r="VK28" s="41"/>
      <c r="VL28" s="255"/>
      <c r="VM28" s="40"/>
      <c r="VN28" s="41"/>
      <c r="VO28" s="41"/>
      <c r="VP28" s="41"/>
      <c r="VQ28" s="352"/>
      <c r="VR28" s="353"/>
      <c r="VS28" s="354"/>
      <c r="VT28" s="355"/>
      <c r="VU28" s="41"/>
      <c r="VV28" s="41"/>
      <c r="VW28" s="41"/>
      <c r="VX28" s="41"/>
      <c r="VY28" s="41"/>
      <c r="VZ28" s="41"/>
      <c r="WA28" s="41"/>
      <c r="WB28" s="255"/>
      <c r="WC28" s="40"/>
      <c r="WD28" s="41"/>
      <c r="WE28" s="41"/>
      <c r="WF28" s="41"/>
      <c r="WG28" s="352"/>
      <c r="WH28" s="353"/>
      <c r="WI28" s="354"/>
      <c r="WJ28" s="355"/>
      <c r="WK28" s="41"/>
      <c r="WL28" s="41"/>
      <c r="WM28" s="41"/>
      <c r="WN28" s="41"/>
      <c r="WO28" s="41"/>
      <c r="WP28" s="41"/>
      <c r="WQ28" s="41"/>
      <c r="WR28" s="255"/>
      <c r="WS28" s="40"/>
      <c r="WT28" s="41"/>
      <c r="WU28" s="41"/>
      <c r="WV28" s="41"/>
      <c r="WW28" s="352"/>
      <c r="WX28" s="353"/>
      <c r="WY28" s="354"/>
      <c r="WZ28" s="355"/>
      <c r="XA28" s="41"/>
      <c r="XB28" s="41"/>
      <c r="XC28" s="41"/>
      <c r="XD28" s="41"/>
      <c r="XE28" s="41"/>
      <c r="XF28" s="41"/>
      <c r="XG28" s="41"/>
      <c r="XH28" s="255"/>
      <c r="XI28" s="40"/>
      <c r="XJ28" s="41"/>
      <c r="XK28" s="41"/>
      <c r="XL28" s="41"/>
      <c r="XM28" s="352"/>
      <c r="XN28" s="353"/>
      <c r="XO28" s="354"/>
      <c r="XP28" s="355"/>
      <c r="XQ28" s="41"/>
      <c r="XR28" s="41"/>
      <c r="XS28" s="41"/>
      <c r="XT28" s="41"/>
      <c r="XU28" s="41"/>
      <c r="XV28" s="41"/>
      <c r="XW28" s="41"/>
      <c r="XX28" s="255"/>
      <c r="XY28" s="40"/>
      <c r="XZ28" s="41"/>
      <c r="YA28" s="41"/>
      <c r="YB28" s="41"/>
      <c r="YC28" s="352"/>
      <c r="YD28" s="353"/>
      <c r="YE28" s="354"/>
      <c r="YF28" s="355"/>
      <c r="YG28" s="41"/>
      <c r="YH28" s="41"/>
      <c r="YI28" s="41"/>
      <c r="YJ28" s="41"/>
      <c r="YK28" s="41"/>
      <c r="YL28" s="41"/>
      <c r="YM28" s="41"/>
      <c r="YN28" s="255"/>
      <c r="YO28" s="40"/>
      <c r="YP28" s="41"/>
      <c r="YQ28" s="41"/>
      <c r="YR28" s="41"/>
      <c r="YS28" s="352"/>
      <c r="YT28" s="353"/>
      <c r="YU28" s="354"/>
      <c r="YV28" s="355"/>
      <c r="YW28" s="41"/>
      <c r="YX28" s="41"/>
      <c r="YY28" s="41"/>
      <c r="YZ28" s="41"/>
      <c r="ZA28" s="41"/>
      <c r="ZB28" s="41"/>
      <c r="ZC28" s="41"/>
      <c r="ZD28" s="255"/>
      <c r="ZE28" s="40"/>
      <c r="ZF28" s="41"/>
      <c r="ZG28" s="41"/>
      <c r="ZH28" s="41"/>
      <c r="ZI28" s="352"/>
      <c r="ZJ28" s="353"/>
      <c r="ZK28" s="354"/>
      <c r="ZL28" s="355"/>
      <c r="ZM28" s="41"/>
      <c r="ZN28" s="41"/>
      <c r="ZO28" s="41"/>
      <c r="ZP28" s="41"/>
      <c r="ZQ28" s="41"/>
      <c r="ZR28" s="41"/>
      <c r="ZS28" s="41"/>
      <c r="ZT28" s="255"/>
      <c r="ZU28" s="40"/>
      <c r="ZV28" s="41"/>
      <c r="ZW28" s="41"/>
      <c r="ZX28" s="41"/>
      <c r="ZY28" s="352"/>
      <c r="ZZ28" s="353"/>
      <c r="AAA28" s="354"/>
      <c r="AAB28" s="355"/>
      <c r="AAC28" s="41"/>
      <c r="AAD28" s="41"/>
      <c r="AAE28" s="41"/>
      <c r="AAF28" s="41"/>
      <c r="AAG28" s="41"/>
      <c r="AAH28" s="41"/>
      <c r="AAI28" s="41"/>
      <c r="AAJ28" s="255"/>
      <c r="AAK28" s="40"/>
      <c r="AAL28" s="41"/>
      <c r="AAM28" s="41"/>
      <c r="AAN28" s="41"/>
      <c r="AAO28" s="352"/>
      <c r="AAP28" s="353"/>
      <c r="AAQ28" s="354"/>
      <c r="AAR28" s="355"/>
      <c r="AAS28" s="41"/>
      <c r="AAT28" s="41"/>
      <c r="AAU28" s="41"/>
      <c r="AAV28" s="41"/>
      <c r="AAW28" s="41"/>
      <c r="AAX28" s="41"/>
      <c r="AAY28" s="41"/>
      <c r="AAZ28" s="255"/>
      <c r="ABA28" s="40"/>
      <c r="ABB28" s="41"/>
      <c r="ABC28" s="41"/>
      <c r="ABD28" s="41"/>
      <c r="ABE28" s="352"/>
      <c r="ABF28" s="353"/>
      <c r="ABG28" s="354"/>
      <c r="ABH28" s="355"/>
      <c r="ABI28" s="41"/>
      <c r="ABJ28" s="41"/>
      <c r="ABK28" s="41"/>
      <c r="ABL28" s="41"/>
      <c r="ABM28" s="41"/>
      <c r="ABN28" s="41"/>
      <c r="ABO28" s="41"/>
      <c r="ABP28" s="255"/>
      <c r="ABQ28" s="40"/>
      <c r="ABR28" s="41"/>
      <c r="ABS28" s="41"/>
      <c r="ABT28" s="41"/>
      <c r="ABU28" s="352"/>
      <c r="ABV28" s="353"/>
      <c r="ABW28" s="354"/>
      <c r="ABX28" s="355"/>
      <c r="ABY28" s="41"/>
      <c r="ABZ28" s="41"/>
      <c r="ACA28" s="41"/>
      <c r="ACB28" s="41"/>
      <c r="ACC28" s="41"/>
      <c r="ACD28" s="41"/>
      <c r="ACE28" s="41"/>
      <c r="ACF28" s="255"/>
      <c r="ACG28" s="40"/>
      <c r="ACH28" s="41"/>
      <c r="ACI28" s="41"/>
      <c r="ACJ28" s="41"/>
      <c r="ACK28" s="352"/>
      <c r="ACL28" s="353"/>
      <c r="ACM28" s="354"/>
      <c r="ACN28" s="355"/>
      <c r="ACO28" s="41"/>
      <c r="ACP28" s="41"/>
      <c r="ACQ28" s="41"/>
      <c r="ACR28" s="41"/>
      <c r="ACS28" s="41"/>
      <c r="ACT28" s="41"/>
      <c r="ACU28" s="41"/>
      <c r="ACV28" s="255"/>
      <c r="ACW28" s="40"/>
      <c r="ACX28" s="41"/>
      <c r="ACY28" s="41"/>
      <c r="ACZ28" s="41"/>
      <c r="ADA28" s="352"/>
      <c r="ADB28" s="353"/>
      <c r="ADC28" s="354"/>
      <c r="ADD28" s="355"/>
      <c r="ADE28" s="41"/>
      <c r="ADF28" s="41"/>
      <c r="ADG28" s="41"/>
      <c r="ADH28" s="41"/>
      <c r="ADI28" s="41"/>
      <c r="ADJ28" s="41"/>
      <c r="ADK28" s="41"/>
      <c r="ADL28" s="255"/>
      <c r="ADM28" s="40"/>
      <c r="ADN28" s="41"/>
      <c r="ADO28" s="41"/>
      <c r="ADP28" s="41"/>
      <c r="ADQ28" s="352"/>
      <c r="ADR28" s="353"/>
      <c r="ADS28" s="354"/>
      <c r="ADT28" s="355"/>
      <c r="ADU28" s="41"/>
      <c r="ADV28" s="41"/>
      <c r="ADW28" s="41"/>
      <c r="ADX28" s="41"/>
      <c r="ADY28" s="41"/>
      <c r="ADZ28" s="41"/>
      <c r="AEA28" s="41"/>
      <c r="AEB28" s="255"/>
      <c r="AEC28" s="40"/>
      <c r="AED28" s="41"/>
      <c r="AEE28" s="41"/>
      <c r="AEF28" s="41"/>
      <c r="AEG28" s="352"/>
      <c r="AEH28" s="353"/>
      <c r="AEI28" s="354"/>
      <c r="AEJ28" s="355"/>
      <c r="AEK28" s="41"/>
      <c r="AEL28" s="41"/>
      <c r="AEM28" s="41"/>
      <c r="AEN28" s="41"/>
      <c r="AEO28" s="41"/>
      <c r="AEP28" s="41"/>
      <c r="AEQ28" s="41"/>
      <c r="AER28" s="255"/>
      <c r="AES28" s="40"/>
      <c r="AET28" s="41"/>
      <c r="AEU28" s="41"/>
      <c r="AEV28" s="41"/>
      <c r="AEW28" s="352"/>
      <c r="AEX28" s="353"/>
      <c r="AEY28" s="354"/>
      <c r="AEZ28" s="355"/>
      <c r="AFA28" s="41"/>
      <c r="AFB28" s="41"/>
      <c r="AFC28" s="41"/>
      <c r="AFD28" s="41"/>
      <c r="AFE28" s="41"/>
      <c r="AFF28" s="41"/>
      <c r="AFG28" s="41"/>
      <c r="AFH28" s="255"/>
      <c r="AFI28" s="40"/>
      <c r="AFJ28" s="41"/>
      <c r="AFK28" s="41"/>
      <c r="AFL28" s="41"/>
      <c r="AFM28" s="352"/>
      <c r="AFN28" s="353"/>
      <c r="AFO28" s="354"/>
      <c r="AFP28" s="355"/>
      <c r="AFQ28" s="41"/>
      <c r="AFR28" s="41"/>
      <c r="AFS28" s="41"/>
      <c r="AFT28" s="41"/>
      <c r="AFU28" s="41"/>
      <c r="AFV28" s="41"/>
      <c r="AFW28" s="41"/>
      <c r="AFX28" s="255"/>
      <c r="AFY28" s="40"/>
      <c r="AFZ28" s="41"/>
      <c r="AGA28" s="41"/>
      <c r="AGB28" s="41"/>
      <c r="AGC28" s="352"/>
      <c r="AGD28" s="353"/>
      <c r="AGE28" s="354"/>
      <c r="AGF28" s="355"/>
      <c r="AGG28" s="41"/>
      <c r="AGH28" s="41"/>
      <c r="AGI28" s="41"/>
      <c r="AGJ28" s="41"/>
      <c r="AGK28" s="41"/>
      <c r="AGL28" s="41"/>
      <c r="AGM28" s="41"/>
      <c r="AGN28" s="255"/>
      <c r="AGO28" s="40"/>
      <c r="AGP28" s="41"/>
      <c r="AGQ28" s="41"/>
      <c r="AGR28" s="41"/>
      <c r="AGS28" s="352"/>
      <c r="AGT28" s="353"/>
      <c r="AGU28" s="354"/>
      <c r="AGV28" s="355"/>
      <c r="AGW28" s="41"/>
      <c r="AGX28" s="41"/>
      <c r="AGY28" s="41"/>
      <c r="AGZ28" s="41"/>
      <c r="AHA28" s="41"/>
      <c r="AHB28" s="41"/>
      <c r="AHC28" s="41"/>
      <c r="AHD28" s="255"/>
      <c r="AHE28" s="40"/>
      <c r="AHF28" s="41"/>
      <c r="AHG28" s="41"/>
      <c r="AHH28" s="41"/>
      <c r="AHI28" s="352"/>
      <c r="AHJ28" s="353"/>
      <c r="AHK28" s="354"/>
      <c r="AHL28" s="355"/>
      <c r="AHM28" s="41"/>
      <c r="AHN28" s="41"/>
      <c r="AHO28" s="41"/>
      <c r="AHP28" s="41"/>
      <c r="AHQ28" s="41"/>
      <c r="AHR28" s="41"/>
      <c r="AHS28" s="41"/>
      <c r="AHT28" s="255"/>
      <c r="AHU28" s="40"/>
      <c r="AHV28" s="41"/>
      <c r="AHW28" s="41"/>
      <c r="AHX28" s="41"/>
      <c r="AHY28" s="352"/>
      <c r="AHZ28" s="353"/>
      <c r="AIA28" s="354"/>
      <c r="AIB28" s="355"/>
      <c r="AIC28" s="41"/>
      <c r="AID28" s="41"/>
      <c r="AIE28" s="41"/>
      <c r="AIF28" s="41"/>
      <c r="AIG28" s="41"/>
      <c r="AIH28" s="41"/>
      <c r="AII28" s="41"/>
      <c r="AIJ28" s="255"/>
      <c r="AIK28" s="40"/>
      <c r="AIL28" s="41"/>
      <c r="AIM28" s="41"/>
      <c r="AIN28" s="41"/>
      <c r="AIO28" s="352"/>
      <c r="AIP28" s="353"/>
      <c r="AIQ28" s="354"/>
      <c r="AIR28" s="355"/>
      <c r="AIS28" s="41"/>
      <c r="AIT28" s="41"/>
      <c r="AIU28" s="41"/>
      <c r="AIV28" s="41"/>
      <c r="AIW28" s="41"/>
      <c r="AIX28" s="41"/>
      <c r="AIY28" s="41"/>
      <c r="AIZ28" s="255"/>
      <c r="AJA28" s="40"/>
      <c r="AJB28" s="41"/>
      <c r="AJC28" s="41"/>
      <c r="AJD28" s="41"/>
      <c r="AJE28" s="352"/>
      <c r="AJF28" s="353"/>
      <c r="AJG28" s="354"/>
      <c r="AJH28" s="355"/>
      <c r="AJI28" s="41"/>
      <c r="AJJ28" s="41"/>
      <c r="AJK28" s="41"/>
      <c r="AJL28" s="41"/>
      <c r="AJM28" s="41"/>
      <c r="AJN28" s="41"/>
      <c r="AJO28" s="41"/>
      <c r="AJP28" s="255"/>
      <c r="AJQ28" s="40"/>
      <c r="AJR28" s="41"/>
      <c r="AJS28" s="41"/>
      <c r="AJT28" s="41"/>
      <c r="AJU28" s="352"/>
      <c r="AJV28" s="353"/>
      <c r="AJW28" s="354"/>
      <c r="AJX28" s="355"/>
      <c r="AJY28" s="41"/>
      <c r="AJZ28" s="41"/>
      <c r="AKA28" s="41"/>
      <c r="AKB28" s="41"/>
      <c r="AKC28" s="41"/>
      <c r="AKD28" s="41"/>
      <c r="AKE28" s="41"/>
      <c r="AKF28" s="255"/>
      <c r="AKG28" s="40"/>
      <c r="AKH28" s="41"/>
      <c r="AKI28" s="41"/>
      <c r="AKJ28" s="41"/>
      <c r="AKK28" s="352"/>
      <c r="AKL28" s="353"/>
      <c r="AKM28" s="354"/>
      <c r="AKN28" s="355"/>
      <c r="AKO28" s="41"/>
      <c r="AKP28" s="41"/>
      <c r="AKQ28" s="41"/>
      <c r="AKR28" s="41"/>
      <c r="AKS28" s="41"/>
      <c r="AKT28" s="41"/>
      <c r="AKU28" s="41"/>
      <c r="AKV28" s="255"/>
      <c r="AKW28" s="40"/>
      <c r="AKX28" s="41"/>
      <c r="AKY28" s="41"/>
      <c r="AKZ28" s="41"/>
      <c r="ALA28" s="352"/>
      <c r="ALB28" s="353"/>
      <c r="ALC28" s="354"/>
      <c r="ALD28" s="355"/>
      <c r="ALE28" s="41"/>
      <c r="ALF28" s="41"/>
      <c r="ALG28" s="41"/>
      <c r="ALH28" s="41"/>
      <c r="ALI28" s="41"/>
      <c r="ALJ28" s="41"/>
      <c r="ALK28" s="41"/>
      <c r="ALL28" s="255"/>
      <c r="ALM28" s="40"/>
      <c r="ALN28" s="41"/>
      <c r="ALO28" s="41"/>
      <c r="ALP28" s="41"/>
      <c r="ALQ28" s="352"/>
      <c r="ALR28" s="353"/>
      <c r="ALS28" s="354"/>
      <c r="ALT28" s="355"/>
      <c r="ALU28" s="41"/>
      <c r="ALV28" s="41"/>
      <c r="ALW28" s="41"/>
      <c r="ALX28" s="41"/>
      <c r="ALY28" s="41"/>
      <c r="ALZ28" s="41"/>
      <c r="AMA28" s="41"/>
      <c r="AMB28" s="255"/>
      <c r="AMC28" s="40"/>
      <c r="AMD28" s="41"/>
      <c r="AME28" s="41"/>
      <c r="AMF28" s="41"/>
      <c r="AMG28" s="352"/>
      <c r="AMH28" s="353"/>
      <c r="AMI28" s="354"/>
      <c r="AMJ28" s="355"/>
      <c r="AMK28" s="41"/>
      <c r="AML28" s="41"/>
      <c r="AMM28" s="41"/>
      <c r="AMN28" s="41"/>
      <c r="AMO28" s="41"/>
      <c r="AMP28" s="41"/>
      <c r="AMQ28" s="41"/>
      <c r="AMR28" s="255"/>
      <c r="AMS28" s="40"/>
      <c r="AMT28" s="41"/>
      <c r="AMU28" s="41"/>
      <c r="AMV28" s="41"/>
      <c r="AMW28" s="352"/>
      <c r="AMX28" s="353"/>
      <c r="AMY28" s="354"/>
      <c r="AMZ28" s="355"/>
      <c r="ANA28" s="41"/>
      <c r="ANB28" s="41"/>
      <c r="ANC28" s="41"/>
      <c r="AND28" s="41"/>
      <c r="ANE28" s="41"/>
      <c r="ANF28" s="41"/>
      <c r="ANG28" s="41"/>
      <c r="ANH28" s="255"/>
      <c r="ANI28" s="40"/>
      <c r="ANJ28" s="41"/>
      <c r="ANK28" s="41"/>
      <c r="ANL28" s="41"/>
      <c r="ANM28" s="352"/>
      <c r="ANN28" s="353"/>
      <c r="ANO28" s="354"/>
      <c r="ANP28" s="355"/>
      <c r="ANQ28" s="41"/>
      <c r="ANR28" s="41"/>
      <c r="ANS28" s="41"/>
      <c r="ANT28" s="41"/>
      <c r="ANU28" s="41"/>
      <c r="ANV28" s="41"/>
      <c r="ANW28" s="41"/>
      <c r="ANX28" s="255"/>
      <c r="ANY28" s="40"/>
      <c r="ANZ28" s="41"/>
      <c r="AOA28" s="41"/>
      <c r="AOB28" s="41"/>
      <c r="AOC28" s="352"/>
      <c r="AOD28" s="353"/>
      <c r="AOE28" s="354"/>
      <c r="AOF28" s="355"/>
      <c r="AOG28" s="41"/>
      <c r="AOH28" s="41"/>
      <c r="AOI28" s="41"/>
      <c r="AOJ28" s="41"/>
      <c r="AOK28" s="41"/>
      <c r="AOL28" s="41"/>
      <c r="AOM28" s="41"/>
      <c r="AON28" s="255"/>
      <c r="AOO28" s="40"/>
      <c r="AOP28" s="41"/>
      <c r="AOQ28" s="41"/>
      <c r="AOR28" s="41"/>
      <c r="AOS28" s="352"/>
      <c r="AOT28" s="353"/>
      <c r="AOU28" s="354"/>
      <c r="AOV28" s="355"/>
      <c r="AOW28" s="41"/>
      <c r="AOX28" s="41"/>
      <c r="AOY28" s="41"/>
      <c r="AOZ28" s="41"/>
      <c r="APA28" s="41"/>
      <c r="APB28" s="41"/>
      <c r="APC28" s="41"/>
      <c r="APD28" s="255"/>
      <c r="APE28" s="40"/>
      <c r="APF28" s="41"/>
      <c r="APG28" s="41"/>
      <c r="APH28" s="41"/>
      <c r="API28" s="352"/>
      <c r="APJ28" s="353"/>
      <c r="APK28" s="354"/>
      <c r="APL28" s="355"/>
      <c r="APM28" s="41"/>
      <c r="APN28" s="41"/>
      <c r="APO28" s="41"/>
      <c r="APP28" s="41"/>
      <c r="APQ28" s="41"/>
      <c r="APR28" s="41"/>
      <c r="APS28" s="41"/>
      <c r="APT28" s="255"/>
      <c r="APU28" s="40"/>
      <c r="APV28" s="41"/>
      <c r="APW28" s="41"/>
      <c r="APX28" s="41"/>
      <c r="APY28" s="352"/>
      <c r="APZ28" s="353"/>
      <c r="AQA28" s="354"/>
      <c r="AQB28" s="355"/>
      <c r="AQC28" s="41"/>
      <c r="AQD28" s="41"/>
      <c r="AQE28" s="41"/>
      <c r="AQF28" s="41"/>
      <c r="AQG28" s="41"/>
      <c r="AQH28" s="41"/>
      <c r="AQI28" s="41"/>
      <c r="AQJ28" s="255"/>
      <c r="AQK28" s="40"/>
      <c r="AQL28" s="41"/>
      <c r="AQM28" s="41"/>
      <c r="AQN28" s="41"/>
      <c r="AQO28" s="352"/>
      <c r="AQP28" s="353"/>
      <c r="AQQ28" s="354"/>
      <c r="AQR28" s="355"/>
      <c r="AQS28" s="41"/>
      <c r="AQT28" s="41"/>
      <c r="AQU28" s="41"/>
      <c r="AQV28" s="41"/>
      <c r="AQW28" s="41"/>
      <c r="AQX28" s="41"/>
      <c r="AQY28" s="41"/>
      <c r="AQZ28" s="255"/>
      <c r="ARA28" s="40"/>
      <c r="ARB28" s="41"/>
      <c r="ARC28" s="41"/>
      <c r="ARD28" s="41"/>
      <c r="ARE28" s="352"/>
      <c r="ARF28" s="353"/>
      <c r="ARG28" s="354"/>
      <c r="ARH28" s="355"/>
      <c r="ARI28" s="41"/>
      <c r="ARJ28" s="41"/>
      <c r="ARK28" s="41"/>
      <c r="ARL28" s="41"/>
      <c r="ARM28" s="41"/>
      <c r="ARN28" s="41"/>
      <c r="ARO28" s="41"/>
      <c r="ARP28" s="255"/>
      <c r="ARQ28" s="40"/>
      <c r="ARR28" s="41"/>
      <c r="ARS28" s="41"/>
      <c r="ART28" s="41"/>
      <c r="ARU28" s="352"/>
      <c r="ARV28" s="353"/>
      <c r="ARW28" s="354"/>
      <c r="ARX28" s="355"/>
      <c r="ARY28" s="41"/>
      <c r="ARZ28" s="41"/>
      <c r="ASA28" s="41"/>
      <c r="ASB28" s="41"/>
      <c r="ASC28" s="41"/>
      <c r="ASD28" s="41"/>
      <c r="ASE28" s="41"/>
      <c r="ASF28" s="255"/>
      <c r="ASG28" s="40"/>
      <c r="ASH28" s="41"/>
      <c r="ASI28" s="41"/>
      <c r="ASJ28" s="41"/>
      <c r="ASK28" s="352"/>
      <c r="ASL28" s="353"/>
      <c r="ASM28" s="354"/>
      <c r="ASN28" s="355"/>
      <c r="ASO28" s="41"/>
      <c r="ASP28" s="41"/>
      <c r="ASQ28" s="41"/>
      <c r="ASR28" s="41"/>
      <c r="ASS28" s="41"/>
      <c r="AST28" s="41"/>
      <c r="ASU28" s="41"/>
      <c r="ASV28" s="255"/>
      <c r="ASW28" s="40"/>
      <c r="ASX28" s="41"/>
      <c r="ASY28" s="41"/>
      <c r="ASZ28" s="41"/>
      <c r="ATA28" s="352"/>
      <c r="ATB28" s="353"/>
      <c r="ATC28" s="354"/>
      <c r="ATD28" s="355"/>
      <c r="ATE28" s="41"/>
      <c r="ATF28" s="41"/>
      <c r="ATG28" s="41"/>
      <c r="ATH28" s="41"/>
      <c r="ATI28" s="41"/>
      <c r="ATJ28" s="41"/>
      <c r="ATK28" s="41"/>
      <c r="ATL28" s="255"/>
      <c r="ATM28" s="40"/>
      <c r="ATN28" s="41"/>
      <c r="ATO28" s="41"/>
      <c r="ATP28" s="41"/>
      <c r="ATQ28" s="352"/>
      <c r="ATR28" s="353"/>
      <c r="ATS28" s="354"/>
      <c r="ATT28" s="355"/>
      <c r="ATU28" s="41"/>
      <c r="ATV28" s="41"/>
      <c r="ATW28" s="41"/>
      <c r="ATX28" s="41"/>
      <c r="ATY28" s="41"/>
      <c r="ATZ28" s="41"/>
      <c r="AUA28" s="41"/>
      <c r="AUB28" s="255"/>
      <c r="AUC28" s="40"/>
      <c r="AUD28" s="41"/>
      <c r="AUE28" s="41"/>
      <c r="AUF28" s="41"/>
      <c r="AUG28" s="352"/>
      <c r="AUH28" s="353"/>
      <c r="AUI28" s="354"/>
      <c r="AUJ28" s="355"/>
      <c r="AUK28" s="41"/>
      <c r="AUL28" s="41"/>
      <c r="AUM28" s="41"/>
      <c r="AUN28" s="41"/>
      <c r="AUO28" s="41"/>
      <c r="AUP28" s="41"/>
      <c r="AUQ28" s="41"/>
      <c r="AUR28" s="255"/>
      <c r="AUS28" s="40"/>
      <c r="AUT28" s="41"/>
      <c r="AUU28" s="41"/>
      <c r="AUV28" s="41"/>
      <c r="AUW28" s="352"/>
      <c r="AUX28" s="353"/>
      <c r="AUY28" s="354"/>
      <c r="AUZ28" s="355"/>
      <c r="AVA28" s="41"/>
      <c r="AVB28" s="41"/>
      <c r="AVC28" s="41"/>
      <c r="AVD28" s="41"/>
      <c r="AVE28" s="41"/>
      <c r="AVF28" s="41"/>
      <c r="AVG28" s="41"/>
      <c r="AVH28" s="255"/>
      <c r="AVI28" s="40"/>
      <c r="AVJ28" s="41"/>
      <c r="AVK28" s="41"/>
      <c r="AVL28" s="41"/>
      <c r="AVM28" s="352"/>
      <c r="AVN28" s="353"/>
      <c r="AVO28" s="354"/>
      <c r="AVP28" s="355"/>
      <c r="AVQ28" s="41"/>
      <c r="AVR28" s="41"/>
      <c r="AVS28" s="41"/>
      <c r="AVT28" s="41"/>
      <c r="AVU28" s="41"/>
      <c r="AVV28" s="41"/>
      <c r="AVW28" s="41"/>
      <c r="AVX28" s="255"/>
      <c r="AVY28" s="40"/>
      <c r="AVZ28" s="41"/>
      <c r="AWA28" s="41"/>
      <c r="AWB28" s="41"/>
      <c r="AWC28" s="352"/>
      <c r="AWD28" s="353"/>
      <c r="AWE28" s="354"/>
      <c r="AWF28" s="355"/>
      <c r="AWG28" s="41"/>
      <c r="AWH28" s="41"/>
      <c r="AWI28" s="41"/>
      <c r="AWJ28" s="41"/>
      <c r="AWK28" s="41"/>
      <c r="AWL28" s="41"/>
      <c r="AWM28" s="41"/>
      <c r="AWN28" s="255"/>
      <c r="AWO28" s="40"/>
      <c r="AWP28" s="41"/>
      <c r="AWQ28" s="41"/>
      <c r="AWR28" s="41"/>
      <c r="AWS28" s="352"/>
      <c r="AWT28" s="353"/>
      <c r="AWU28" s="354"/>
      <c r="AWV28" s="355"/>
      <c r="AWW28" s="41"/>
      <c r="AWX28" s="41"/>
      <c r="AWY28" s="41"/>
      <c r="AWZ28" s="41"/>
      <c r="AXA28" s="41"/>
      <c r="AXB28" s="41"/>
      <c r="AXC28" s="41"/>
      <c r="AXD28" s="255"/>
      <c r="AXE28" s="40"/>
      <c r="AXF28" s="41"/>
      <c r="AXG28" s="41"/>
      <c r="AXH28" s="41"/>
      <c r="AXI28" s="352"/>
      <c r="AXJ28" s="353"/>
      <c r="AXK28" s="354"/>
      <c r="AXL28" s="355"/>
      <c r="AXM28" s="41"/>
      <c r="AXN28" s="41"/>
      <c r="AXO28" s="41"/>
      <c r="AXP28" s="41"/>
      <c r="AXQ28" s="41"/>
      <c r="AXR28" s="41"/>
      <c r="AXS28" s="41"/>
      <c r="AXT28" s="255"/>
      <c r="AXU28" s="40"/>
      <c r="AXV28" s="41"/>
      <c r="AXW28" s="41"/>
      <c r="AXX28" s="41"/>
      <c r="AXY28" s="352"/>
      <c r="AXZ28" s="353"/>
      <c r="AYA28" s="354"/>
      <c r="AYB28" s="355"/>
      <c r="AYC28" s="41"/>
      <c r="AYD28" s="41"/>
      <c r="AYE28" s="41"/>
      <c r="AYF28" s="41"/>
      <c r="AYG28" s="41"/>
      <c r="AYH28" s="41"/>
      <c r="AYI28" s="41"/>
      <c r="AYJ28" s="255"/>
      <c r="AYK28" s="40"/>
      <c r="AYL28" s="41"/>
      <c r="AYM28" s="41"/>
      <c r="AYN28" s="41"/>
      <c r="AYO28" s="352"/>
      <c r="AYP28" s="353"/>
      <c r="AYQ28" s="354"/>
      <c r="AYR28" s="355"/>
      <c r="AYS28" s="41"/>
      <c r="AYT28" s="41"/>
      <c r="AYU28" s="41"/>
      <c r="AYV28" s="41"/>
      <c r="AYW28" s="41"/>
      <c r="AYX28" s="41"/>
      <c r="AYY28" s="41"/>
      <c r="AYZ28" s="255"/>
      <c r="AZA28" s="40"/>
      <c r="AZB28" s="41"/>
      <c r="AZC28" s="41"/>
      <c r="AZD28" s="41"/>
      <c r="AZE28" s="352"/>
      <c r="AZF28" s="353"/>
      <c r="AZG28" s="354"/>
      <c r="AZH28" s="355"/>
      <c r="AZI28" s="41"/>
      <c r="AZJ28" s="41"/>
      <c r="AZK28" s="41"/>
      <c r="AZL28" s="41"/>
      <c r="AZM28" s="41"/>
      <c r="AZN28" s="41"/>
      <c r="AZO28" s="41"/>
      <c r="AZP28" s="255"/>
      <c r="AZQ28" s="40"/>
      <c r="AZR28" s="41"/>
      <c r="AZS28" s="41"/>
      <c r="AZT28" s="41"/>
      <c r="AZU28" s="352"/>
      <c r="AZV28" s="353"/>
      <c r="AZW28" s="354"/>
      <c r="AZX28" s="355"/>
      <c r="AZY28" s="41"/>
      <c r="AZZ28" s="41"/>
      <c r="BAA28" s="41"/>
      <c r="BAB28" s="41"/>
      <c r="BAC28" s="41"/>
      <c r="BAD28" s="41"/>
      <c r="BAE28" s="41"/>
      <c r="BAF28" s="255"/>
      <c r="BAG28" s="40"/>
      <c r="BAH28" s="41"/>
      <c r="BAI28" s="41"/>
      <c r="BAJ28" s="41"/>
      <c r="BAK28" s="352"/>
      <c r="BAL28" s="353"/>
      <c r="BAM28" s="354"/>
      <c r="BAN28" s="355"/>
      <c r="BAO28" s="41"/>
      <c r="BAP28" s="41"/>
      <c r="BAQ28" s="41"/>
      <c r="BAR28" s="41"/>
      <c r="BAS28" s="41"/>
      <c r="BAT28" s="41"/>
      <c r="BAU28" s="41"/>
      <c r="BAV28" s="255"/>
      <c r="BAW28" s="40"/>
      <c r="BAX28" s="41"/>
      <c r="BAY28" s="41"/>
      <c r="BAZ28" s="41"/>
      <c r="BBA28" s="352"/>
      <c r="BBB28" s="353"/>
      <c r="BBC28" s="354"/>
      <c r="BBD28" s="355"/>
      <c r="BBE28" s="41"/>
      <c r="BBF28" s="41"/>
      <c r="BBG28" s="41"/>
      <c r="BBH28" s="41"/>
      <c r="BBI28" s="41"/>
      <c r="BBJ28" s="41"/>
      <c r="BBK28" s="41"/>
      <c r="BBL28" s="255"/>
      <c r="BBM28" s="40"/>
      <c r="BBN28" s="41"/>
      <c r="BBO28" s="41"/>
      <c r="BBP28" s="41"/>
      <c r="BBQ28" s="352"/>
      <c r="BBR28" s="353"/>
      <c r="BBS28" s="354"/>
      <c r="BBT28" s="355"/>
      <c r="BBU28" s="41"/>
      <c r="BBV28" s="41"/>
      <c r="BBW28" s="41"/>
      <c r="BBX28" s="41"/>
      <c r="BBY28" s="41"/>
      <c r="BBZ28" s="41"/>
      <c r="BCA28" s="41"/>
      <c r="BCB28" s="255"/>
      <c r="BCC28" s="40"/>
      <c r="BCD28" s="41"/>
      <c r="BCE28" s="41"/>
      <c r="BCF28" s="41"/>
      <c r="BCG28" s="352"/>
      <c r="BCH28" s="353"/>
      <c r="BCI28" s="354"/>
      <c r="BCJ28" s="355"/>
      <c r="BCK28" s="41"/>
      <c r="BCL28" s="41"/>
      <c r="BCM28" s="41"/>
      <c r="BCN28" s="41"/>
      <c r="BCO28" s="41"/>
      <c r="BCP28" s="41"/>
      <c r="BCQ28" s="49" t="s">
        <v>81</v>
      </c>
      <c r="BCR28" s="331"/>
      <c r="BCS28" s="290">
        <v>45492</v>
      </c>
      <c r="BCT28" s="339" t="s">
        <v>141</v>
      </c>
      <c r="BCU28" s="305"/>
      <c r="BCV28" s="305">
        <v>1</v>
      </c>
      <c r="BCW28" s="304">
        <f t="shared" ref="BCW28" si="22">EDATE(BCS28,BCV28)</f>
        <v>45523</v>
      </c>
      <c r="BCX28" s="340">
        <v>0</v>
      </c>
      <c r="BCY28" s="320">
        <f t="shared" ref="BCY28" ca="1" si="23">IF(BCZ28&gt;=1,(BCX28/BCV28),0)</f>
        <v>0</v>
      </c>
      <c r="BCZ28" s="292">
        <f t="shared" ref="BCZ28" ca="1" si="24">BCW28-$G$5</f>
        <v>-591</v>
      </c>
      <c r="BDA28" s="259" t="s">
        <v>55</v>
      </c>
      <c r="BDB28" s="256" t="s">
        <v>76</v>
      </c>
      <c r="BDC28" s="256" t="s">
        <v>77</v>
      </c>
      <c r="BDD28" s="256" t="s">
        <v>78</v>
      </c>
      <c r="BDE28" s="256" t="s">
        <v>79</v>
      </c>
      <c r="BDF28" s="256" t="s">
        <v>80</v>
      </c>
      <c r="BDG28" s="256" t="s">
        <v>81</v>
      </c>
      <c r="BDH28" s="331"/>
      <c r="BDI28" s="290">
        <v>45492</v>
      </c>
      <c r="BDJ28" s="339" t="s">
        <v>141</v>
      </c>
      <c r="BDK28" s="305"/>
      <c r="BDL28" s="305">
        <v>1</v>
      </c>
      <c r="BDM28" s="304">
        <f t="shared" ref="BDM28" si="25">EDATE(BDI28,BDL28)</f>
        <v>45523</v>
      </c>
      <c r="BDN28" s="340">
        <v>0</v>
      </c>
      <c r="BDO28" s="320">
        <f t="shared" ref="BDO28" ca="1" si="26">IF(BDP28&gt;=1,(BDN28/BDL28),0)</f>
        <v>0</v>
      </c>
      <c r="BDP28" s="292">
        <f t="shared" ref="BDP28" ca="1" si="27">BDM28-$G$5</f>
        <v>-591</v>
      </c>
      <c r="BDQ28" s="259" t="s">
        <v>55</v>
      </c>
      <c r="BDR28" s="256" t="s">
        <v>76</v>
      </c>
      <c r="BDS28" s="256" t="s">
        <v>77</v>
      </c>
      <c r="BDT28" s="256" t="s">
        <v>78</v>
      </c>
      <c r="BDU28" s="256" t="s">
        <v>79</v>
      </c>
      <c r="BDV28" s="256" t="s">
        <v>80</v>
      </c>
      <c r="BDW28" s="256" t="s">
        <v>81</v>
      </c>
      <c r="BDX28" s="331"/>
      <c r="BDY28" s="290">
        <v>45492</v>
      </c>
      <c r="BDZ28" s="339" t="s">
        <v>141</v>
      </c>
      <c r="BEA28" s="305"/>
      <c r="BEB28" s="305">
        <v>1</v>
      </c>
      <c r="BEC28" s="304">
        <f t="shared" ref="BEC28" si="28">EDATE(BDY28,BEB28)</f>
        <v>45523</v>
      </c>
      <c r="BED28" s="340">
        <v>0</v>
      </c>
      <c r="BEE28" s="320">
        <f t="shared" ref="BEE28" ca="1" si="29">IF(BEF28&gt;=1,(BED28/BEB28),0)</f>
        <v>0</v>
      </c>
      <c r="BEF28" s="292">
        <f t="shared" ref="BEF28" ca="1" si="30">BEC28-$G$5</f>
        <v>-591</v>
      </c>
      <c r="BEG28" s="259" t="s">
        <v>55</v>
      </c>
      <c r="BEH28" s="256" t="s">
        <v>76</v>
      </c>
      <c r="BEI28" s="256" t="s">
        <v>77</v>
      </c>
      <c r="BEJ28" s="256" t="s">
        <v>78</v>
      </c>
      <c r="BEK28" s="256" t="s">
        <v>79</v>
      </c>
      <c r="BEL28" s="256" t="s">
        <v>80</v>
      </c>
      <c r="BEM28" s="256" t="s">
        <v>81</v>
      </c>
      <c r="BEN28" s="331"/>
      <c r="BEO28" s="290">
        <v>45492</v>
      </c>
      <c r="BEP28" s="339" t="s">
        <v>141</v>
      </c>
      <c r="BEQ28" s="305"/>
      <c r="BER28" s="305">
        <v>1</v>
      </c>
      <c r="BES28" s="304">
        <f t="shared" ref="BES28" si="31">EDATE(BEO28,BER28)</f>
        <v>45523</v>
      </c>
      <c r="BET28" s="340">
        <v>0</v>
      </c>
      <c r="BEU28" s="320">
        <f t="shared" ref="BEU28" ca="1" si="32">IF(BEV28&gt;=1,(BET28/BER28),0)</f>
        <v>0</v>
      </c>
      <c r="BEV28" s="292">
        <f t="shared" ref="BEV28" ca="1" si="33">BES28-$G$5</f>
        <v>-591</v>
      </c>
      <c r="BEW28" s="259" t="s">
        <v>55</v>
      </c>
      <c r="BEX28" s="256" t="s">
        <v>76</v>
      </c>
      <c r="BEY28" s="256" t="s">
        <v>77</v>
      </c>
      <c r="BEZ28" s="256" t="s">
        <v>78</v>
      </c>
      <c r="BFA28" s="256" t="s">
        <v>79</v>
      </c>
      <c r="BFB28" s="256" t="s">
        <v>80</v>
      </c>
      <c r="BFC28" s="256" t="s">
        <v>81</v>
      </c>
      <c r="BFD28" s="331"/>
      <c r="BFE28" s="290">
        <v>45492</v>
      </c>
      <c r="BFF28" s="339" t="s">
        <v>141</v>
      </c>
      <c r="BFG28" s="305"/>
      <c r="BFH28" s="305">
        <v>1</v>
      </c>
      <c r="BFI28" s="304">
        <f t="shared" ref="BFI28" si="34">EDATE(BFE28,BFH28)</f>
        <v>45523</v>
      </c>
      <c r="BFJ28" s="340">
        <v>0</v>
      </c>
      <c r="BFK28" s="320">
        <f t="shared" ref="BFK28" ca="1" si="35">IF(BFL28&gt;=1,(BFJ28/BFH28),0)</f>
        <v>0</v>
      </c>
      <c r="BFL28" s="292">
        <f t="shared" ref="BFL28" ca="1" si="36">BFI28-$G$5</f>
        <v>-591</v>
      </c>
      <c r="BFM28" s="259" t="s">
        <v>55</v>
      </c>
      <c r="BFN28" s="256" t="s">
        <v>76</v>
      </c>
      <c r="BFO28" s="256" t="s">
        <v>77</v>
      </c>
      <c r="BFP28" s="256" t="s">
        <v>78</v>
      </c>
      <c r="BFQ28" s="256" t="s">
        <v>79</v>
      </c>
      <c r="BFR28" s="256" t="s">
        <v>80</v>
      </c>
      <c r="BFS28" s="256" t="s">
        <v>81</v>
      </c>
      <c r="BFT28" s="331"/>
      <c r="BFU28" s="290">
        <v>45492</v>
      </c>
      <c r="BFV28" s="339" t="s">
        <v>141</v>
      </c>
      <c r="BFW28" s="305"/>
      <c r="BFX28" s="305">
        <v>1</v>
      </c>
      <c r="BFY28" s="304">
        <f t="shared" ref="BFY28" si="37">EDATE(BFU28,BFX28)</f>
        <v>45523</v>
      </c>
      <c r="BFZ28" s="340">
        <v>0</v>
      </c>
      <c r="BGA28" s="320">
        <f t="shared" ref="BGA28" ca="1" si="38">IF(BGB28&gt;=1,(BFZ28/BFX28),0)</f>
        <v>0</v>
      </c>
      <c r="BGB28" s="292">
        <f t="shared" ref="BGB28" ca="1" si="39">BFY28-$G$5</f>
        <v>-591</v>
      </c>
      <c r="BGC28" s="259" t="s">
        <v>55</v>
      </c>
      <c r="BGD28" s="256" t="s">
        <v>76</v>
      </c>
      <c r="BGE28" s="256" t="s">
        <v>77</v>
      </c>
      <c r="BGF28" s="256" t="s">
        <v>78</v>
      </c>
      <c r="BGG28" s="256" t="s">
        <v>79</v>
      </c>
      <c r="BGH28" s="256" t="s">
        <v>80</v>
      </c>
      <c r="BGI28" s="256" t="s">
        <v>81</v>
      </c>
      <c r="BGJ28" s="331"/>
      <c r="BGK28" s="290">
        <v>45492</v>
      </c>
      <c r="BGL28" s="339" t="s">
        <v>141</v>
      </c>
      <c r="BGM28" s="305"/>
      <c r="BGN28" s="305">
        <v>1</v>
      </c>
      <c r="BGO28" s="304">
        <f t="shared" ref="BGO28" si="40">EDATE(BGK28,BGN28)</f>
        <v>45523</v>
      </c>
      <c r="BGP28" s="340">
        <v>0</v>
      </c>
      <c r="BGQ28" s="320">
        <f t="shared" ref="BGQ28" ca="1" si="41">IF(BGR28&gt;=1,(BGP28/BGN28),0)</f>
        <v>0</v>
      </c>
      <c r="BGR28" s="292">
        <f t="shared" ref="BGR28" ca="1" si="42">BGO28-$G$5</f>
        <v>-591</v>
      </c>
      <c r="BGS28" s="259" t="s">
        <v>55</v>
      </c>
      <c r="BGT28" s="256" t="s">
        <v>76</v>
      </c>
      <c r="BGU28" s="256" t="s">
        <v>77</v>
      </c>
      <c r="BGV28" s="256" t="s">
        <v>78</v>
      </c>
      <c r="BGW28" s="256" t="s">
        <v>79</v>
      </c>
      <c r="BGX28" s="256" t="s">
        <v>80</v>
      </c>
      <c r="BGY28" s="256" t="s">
        <v>81</v>
      </c>
      <c r="BGZ28" s="331"/>
      <c r="BHA28" s="290">
        <v>45492</v>
      </c>
      <c r="BHB28" s="339" t="s">
        <v>141</v>
      </c>
      <c r="BHC28" s="305"/>
      <c r="BHD28" s="305">
        <v>1</v>
      </c>
      <c r="BHE28" s="304">
        <f t="shared" ref="BHE28" si="43">EDATE(BHA28,BHD28)</f>
        <v>45523</v>
      </c>
      <c r="BHF28" s="340">
        <v>0</v>
      </c>
      <c r="BHG28" s="320">
        <f t="shared" ref="BHG28" ca="1" si="44">IF(BHH28&gt;=1,(BHF28/BHD28),0)</f>
        <v>0</v>
      </c>
      <c r="BHH28" s="292">
        <f t="shared" ref="BHH28" ca="1" si="45">BHE28-$G$5</f>
        <v>-591</v>
      </c>
      <c r="BHI28" s="259" t="s">
        <v>55</v>
      </c>
      <c r="BHJ28" s="256" t="s">
        <v>76</v>
      </c>
      <c r="BHK28" s="256" t="s">
        <v>77</v>
      </c>
      <c r="BHL28" s="256" t="s">
        <v>78</v>
      </c>
      <c r="BHM28" s="256" t="s">
        <v>79</v>
      </c>
      <c r="BHN28" s="256" t="s">
        <v>80</v>
      </c>
      <c r="BHO28" s="256" t="s">
        <v>81</v>
      </c>
      <c r="BHP28" s="331"/>
      <c r="BHQ28" s="290">
        <v>45492</v>
      </c>
      <c r="BHR28" s="339" t="s">
        <v>141</v>
      </c>
      <c r="BHS28" s="305"/>
      <c r="BHT28" s="305">
        <v>1</v>
      </c>
      <c r="BHU28" s="304">
        <f t="shared" ref="BHU28" si="46">EDATE(BHQ28,BHT28)</f>
        <v>45523</v>
      </c>
      <c r="BHV28" s="340">
        <v>0</v>
      </c>
      <c r="BHW28" s="320">
        <f t="shared" ref="BHW28" ca="1" si="47">IF(BHX28&gt;=1,(BHV28/BHT28),0)</f>
        <v>0</v>
      </c>
      <c r="BHX28" s="292">
        <f t="shared" ref="BHX28" ca="1" si="48">BHU28-$G$5</f>
        <v>-591</v>
      </c>
      <c r="BHY28" s="259" t="s">
        <v>55</v>
      </c>
      <c r="BHZ28" s="256" t="s">
        <v>76</v>
      </c>
      <c r="BIA28" s="256" t="s">
        <v>77</v>
      </c>
      <c r="BIB28" s="256" t="s">
        <v>78</v>
      </c>
      <c r="BIC28" s="256" t="s">
        <v>79</v>
      </c>
      <c r="BID28" s="256" t="s">
        <v>80</v>
      </c>
      <c r="BIE28" s="256" t="s">
        <v>81</v>
      </c>
      <c r="BIF28" s="331"/>
      <c r="BIG28" s="290">
        <v>45492</v>
      </c>
      <c r="BIH28" s="339" t="s">
        <v>141</v>
      </c>
      <c r="BII28" s="305"/>
      <c r="BIJ28" s="305">
        <v>1</v>
      </c>
      <c r="BIK28" s="304">
        <f t="shared" ref="BIK28" si="49">EDATE(BIG28,BIJ28)</f>
        <v>45523</v>
      </c>
      <c r="BIL28" s="340">
        <v>0</v>
      </c>
      <c r="BIM28" s="320">
        <f t="shared" ref="BIM28" ca="1" si="50">IF(BIN28&gt;=1,(BIL28/BIJ28),0)</f>
        <v>0</v>
      </c>
      <c r="BIN28" s="292">
        <f t="shared" ref="BIN28" ca="1" si="51">BIK28-$G$5</f>
        <v>-591</v>
      </c>
      <c r="BIO28" s="259" t="s">
        <v>55</v>
      </c>
      <c r="BIP28" s="256" t="s">
        <v>76</v>
      </c>
      <c r="BIQ28" s="256" t="s">
        <v>77</v>
      </c>
      <c r="BIR28" s="256" t="s">
        <v>78</v>
      </c>
      <c r="BIS28" s="256" t="s">
        <v>79</v>
      </c>
      <c r="BIT28" s="256" t="s">
        <v>80</v>
      </c>
      <c r="BIU28" s="256" t="s">
        <v>81</v>
      </c>
      <c r="BIV28" s="331"/>
      <c r="BIW28" s="290">
        <v>45492</v>
      </c>
      <c r="BIX28" s="339" t="s">
        <v>141</v>
      </c>
      <c r="BIY28" s="305"/>
      <c r="BIZ28" s="305">
        <v>1</v>
      </c>
      <c r="BJA28" s="304">
        <f t="shared" ref="BJA28" si="52">EDATE(BIW28,BIZ28)</f>
        <v>45523</v>
      </c>
      <c r="BJB28" s="340">
        <v>0</v>
      </c>
      <c r="BJC28" s="320">
        <f t="shared" ref="BJC28" ca="1" si="53">IF(BJD28&gt;=1,(BJB28/BIZ28),0)</f>
        <v>0</v>
      </c>
      <c r="BJD28" s="292">
        <f t="shared" ref="BJD28" ca="1" si="54">BJA28-$G$5</f>
        <v>-591</v>
      </c>
      <c r="BJE28" s="259" t="s">
        <v>55</v>
      </c>
      <c r="BJF28" s="256" t="s">
        <v>76</v>
      </c>
      <c r="BJG28" s="256" t="s">
        <v>77</v>
      </c>
      <c r="BJH28" s="256" t="s">
        <v>78</v>
      </c>
      <c r="BJI28" s="256" t="s">
        <v>79</v>
      </c>
      <c r="BJJ28" s="256" t="s">
        <v>80</v>
      </c>
      <c r="BJK28" s="256" t="s">
        <v>81</v>
      </c>
      <c r="BJL28" s="331"/>
      <c r="BJM28" s="290">
        <v>45492</v>
      </c>
      <c r="BJN28" s="339" t="s">
        <v>141</v>
      </c>
      <c r="BJO28" s="305"/>
      <c r="BJP28" s="305">
        <v>1</v>
      </c>
      <c r="BJQ28" s="304">
        <f t="shared" ref="BJQ28" si="55">EDATE(BJM28,BJP28)</f>
        <v>45523</v>
      </c>
      <c r="BJR28" s="340">
        <v>0</v>
      </c>
      <c r="BJS28" s="320">
        <f t="shared" ref="BJS28" ca="1" si="56">IF(BJT28&gt;=1,(BJR28/BJP28),0)</f>
        <v>0</v>
      </c>
      <c r="BJT28" s="292">
        <f t="shared" ref="BJT28" ca="1" si="57">BJQ28-$G$5</f>
        <v>-591</v>
      </c>
      <c r="BJU28" s="259" t="s">
        <v>55</v>
      </c>
      <c r="BJV28" s="256" t="s">
        <v>76</v>
      </c>
      <c r="BJW28" s="256" t="s">
        <v>77</v>
      </c>
      <c r="BJX28" s="256" t="s">
        <v>78</v>
      </c>
      <c r="BJY28" s="256" t="s">
        <v>79</v>
      </c>
      <c r="BJZ28" s="256" t="s">
        <v>80</v>
      </c>
      <c r="BKA28" s="256" t="s">
        <v>81</v>
      </c>
      <c r="BKB28" s="331"/>
      <c r="BKC28" s="290">
        <v>45492</v>
      </c>
      <c r="BKD28" s="339" t="s">
        <v>141</v>
      </c>
      <c r="BKE28" s="305"/>
      <c r="BKF28" s="305">
        <v>1</v>
      </c>
      <c r="BKG28" s="304">
        <f t="shared" ref="BKG28" si="58">EDATE(BKC28,BKF28)</f>
        <v>45523</v>
      </c>
      <c r="BKH28" s="340">
        <v>0</v>
      </c>
      <c r="BKI28" s="320">
        <f t="shared" ref="BKI28" ca="1" si="59">IF(BKJ28&gt;=1,(BKH28/BKF28),0)</f>
        <v>0</v>
      </c>
      <c r="BKJ28" s="292">
        <f t="shared" ref="BKJ28" ca="1" si="60">BKG28-$G$5</f>
        <v>-591</v>
      </c>
      <c r="BKK28" s="259" t="s">
        <v>55</v>
      </c>
      <c r="BKL28" s="256" t="s">
        <v>76</v>
      </c>
      <c r="BKM28" s="256" t="s">
        <v>77</v>
      </c>
      <c r="BKN28" s="256" t="s">
        <v>78</v>
      </c>
      <c r="BKO28" s="256" t="s">
        <v>79</v>
      </c>
      <c r="BKP28" s="256" t="s">
        <v>80</v>
      </c>
      <c r="BKQ28" s="256" t="s">
        <v>81</v>
      </c>
      <c r="BKR28" s="331"/>
      <c r="BKS28" s="290">
        <v>45492</v>
      </c>
      <c r="BKT28" s="339" t="s">
        <v>141</v>
      </c>
      <c r="BKU28" s="305"/>
      <c r="BKV28" s="305">
        <v>1</v>
      </c>
      <c r="BKW28" s="304">
        <f t="shared" ref="BKW28" si="61">EDATE(BKS28,BKV28)</f>
        <v>45523</v>
      </c>
      <c r="BKX28" s="340">
        <v>0</v>
      </c>
      <c r="BKY28" s="320">
        <f t="shared" ref="BKY28" ca="1" si="62">IF(BKZ28&gt;=1,(BKX28/BKV28),0)</f>
        <v>0</v>
      </c>
      <c r="BKZ28" s="292">
        <f t="shared" ref="BKZ28" ca="1" si="63">BKW28-$G$5</f>
        <v>-591</v>
      </c>
      <c r="BLA28" s="259" t="s">
        <v>55</v>
      </c>
      <c r="BLB28" s="256" t="s">
        <v>76</v>
      </c>
      <c r="BLC28" s="256" t="s">
        <v>77</v>
      </c>
      <c r="BLD28" s="256" t="s">
        <v>78</v>
      </c>
      <c r="BLE28" s="256" t="s">
        <v>79</v>
      </c>
      <c r="BLF28" s="256" t="s">
        <v>80</v>
      </c>
      <c r="BLG28" s="256" t="s">
        <v>81</v>
      </c>
      <c r="BLH28" s="331"/>
      <c r="BLI28" s="290">
        <v>45492</v>
      </c>
      <c r="BLJ28" s="339" t="s">
        <v>141</v>
      </c>
      <c r="BLK28" s="305"/>
      <c r="BLL28" s="305">
        <v>1</v>
      </c>
      <c r="BLM28" s="304">
        <f t="shared" ref="BLM28" si="64">EDATE(BLI28,BLL28)</f>
        <v>45523</v>
      </c>
      <c r="BLN28" s="340">
        <v>0</v>
      </c>
      <c r="BLO28" s="320">
        <f t="shared" ref="BLO28" ca="1" si="65">IF(BLP28&gt;=1,(BLN28/BLL28),0)</f>
        <v>0</v>
      </c>
      <c r="BLP28" s="292">
        <f t="shared" ref="BLP28" ca="1" si="66">BLM28-$G$5</f>
        <v>-591</v>
      </c>
      <c r="BLQ28" s="259" t="s">
        <v>55</v>
      </c>
      <c r="BLR28" s="256" t="s">
        <v>76</v>
      </c>
      <c r="BLS28" s="256" t="s">
        <v>77</v>
      </c>
      <c r="BLT28" s="256" t="s">
        <v>78</v>
      </c>
      <c r="BLU28" s="256" t="s">
        <v>79</v>
      </c>
      <c r="BLV28" s="256" t="s">
        <v>80</v>
      </c>
      <c r="BLW28" s="256" t="s">
        <v>81</v>
      </c>
      <c r="BLX28" s="331"/>
      <c r="BLY28" s="290">
        <v>45492</v>
      </c>
      <c r="BLZ28" s="339" t="s">
        <v>141</v>
      </c>
      <c r="BMA28" s="305"/>
      <c r="BMB28" s="305">
        <v>1</v>
      </c>
      <c r="BMC28" s="304">
        <f t="shared" ref="BMC28" si="67">EDATE(BLY28,BMB28)</f>
        <v>45523</v>
      </c>
      <c r="BMD28" s="340">
        <v>0</v>
      </c>
      <c r="BME28" s="320">
        <f t="shared" ref="BME28" ca="1" si="68">IF(BMF28&gt;=1,(BMD28/BMB28),0)</f>
        <v>0</v>
      </c>
      <c r="BMF28" s="292">
        <f t="shared" ref="BMF28" ca="1" si="69">BMC28-$G$5</f>
        <v>-591</v>
      </c>
      <c r="BMG28" s="259" t="s">
        <v>55</v>
      </c>
      <c r="BMH28" s="256" t="s">
        <v>76</v>
      </c>
      <c r="BMI28" s="256" t="s">
        <v>77</v>
      </c>
      <c r="BMJ28" s="256" t="s">
        <v>78</v>
      </c>
      <c r="BMK28" s="256" t="s">
        <v>79</v>
      </c>
      <c r="BML28" s="256" t="s">
        <v>80</v>
      </c>
      <c r="BMM28" s="256" t="s">
        <v>81</v>
      </c>
      <c r="BMN28" s="331"/>
      <c r="BMO28" s="290">
        <v>45492</v>
      </c>
      <c r="BMP28" s="339" t="s">
        <v>141</v>
      </c>
      <c r="BMQ28" s="305"/>
      <c r="BMR28" s="305">
        <v>1</v>
      </c>
      <c r="BMS28" s="304">
        <f t="shared" ref="BMS28" si="70">EDATE(BMO28,BMR28)</f>
        <v>45523</v>
      </c>
      <c r="BMT28" s="340">
        <v>0</v>
      </c>
      <c r="BMU28" s="320">
        <f t="shared" ref="BMU28" ca="1" si="71">IF(BMV28&gt;=1,(BMT28/BMR28),0)</f>
        <v>0</v>
      </c>
      <c r="BMV28" s="292">
        <f t="shared" ref="BMV28" ca="1" si="72">BMS28-$G$5</f>
        <v>-591</v>
      </c>
      <c r="BMW28" s="259" t="s">
        <v>55</v>
      </c>
      <c r="BMX28" s="256" t="s">
        <v>76</v>
      </c>
      <c r="BMY28" s="256" t="s">
        <v>77</v>
      </c>
      <c r="BMZ28" s="256" t="s">
        <v>78</v>
      </c>
      <c r="BNA28" s="256" t="s">
        <v>79</v>
      </c>
      <c r="BNB28" s="256" t="s">
        <v>80</v>
      </c>
      <c r="BNC28" s="256" t="s">
        <v>81</v>
      </c>
      <c r="BND28" s="331"/>
      <c r="BNE28" s="290">
        <v>45492</v>
      </c>
      <c r="BNF28" s="339" t="s">
        <v>141</v>
      </c>
      <c r="BNG28" s="305"/>
      <c r="BNH28" s="305">
        <v>1</v>
      </c>
      <c r="BNI28" s="304">
        <f t="shared" ref="BNI28" si="73">EDATE(BNE28,BNH28)</f>
        <v>45523</v>
      </c>
      <c r="BNJ28" s="340">
        <v>0</v>
      </c>
      <c r="BNK28" s="320">
        <f t="shared" ref="BNK28" ca="1" si="74">IF(BNL28&gt;=1,(BNJ28/BNH28),0)</f>
        <v>0</v>
      </c>
      <c r="BNL28" s="292">
        <f t="shared" ref="BNL28" ca="1" si="75">BNI28-$G$5</f>
        <v>-591</v>
      </c>
      <c r="BNM28" s="259" t="s">
        <v>55</v>
      </c>
      <c r="BNN28" s="256" t="s">
        <v>76</v>
      </c>
      <c r="BNO28" s="256" t="s">
        <v>77</v>
      </c>
      <c r="BNP28" s="256" t="s">
        <v>78</v>
      </c>
      <c r="BNQ28" s="256" t="s">
        <v>79</v>
      </c>
      <c r="BNR28" s="256" t="s">
        <v>80</v>
      </c>
      <c r="BNS28" s="256" t="s">
        <v>81</v>
      </c>
      <c r="BNT28" s="331"/>
      <c r="BNU28" s="290">
        <v>45492</v>
      </c>
      <c r="BNV28" s="339" t="s">
        <v>141</v>
      </c>
      <c r="BNW28" s="305"/>
      <c r="BNX28" s="305">
        <v>1</v>
      </c>
      <c r="BNY28" s="304">
        <f t="shared" ref="BNY28" si="76">EDATE(BNU28,BNX28)</f>
        <v>45523</v>
      </c>
      <c r="BNZ28" s="340">
        <v>0</v>
      </c>
      <c r="BOA28" s="320">
        <f t="shared" ref="BOA28" ca="1" si="77">IF(BOB28&gt;=1,(BNZ28/BNX28),0)</f>
        <v>0</v>
      </c>
      <c r="BOB28" s="292">
        <f t="shared" ref="BOB28" ca="1" si="78">BNY28-$G$5</f>
        <v>-591</v>
      </c>
      <c r="BOC28" s="259" t="s">
        <v>55</v>
      </c>
      <c r="BOD28" s="256" t="s">
        <v>76</v>
      </c>
      <c r="BOE28" s="256" t="s">
        <v>77</v>
      </c>
      <c r="BOF28" s="256" t="s">
        <v>78</v>
      </c>
      <c r="BOG28" s="256" t="s">
        <v>79</v>
      </c>
      <c r="BOH28" s="256" t="s">
        <v>80</v>
      </c>
      <c r="BOI28" s="256" t="s">
        <v>81</v>
      </c>
      <c r="BOJ28" s="331"/>
      <c r="BOK28" s="290">
        <v>45492</v>
      </c>
      <c r="BOL28" s="339" t="s">
        <v>141</v>
      </c>
      <c r="BOM28" s="305"/>
      <c r="BON28" s="305">
        <v>1</v>
      </c>
      <c r="BOO28" s="304">
        <f t="shared" ref="BOO28" si="79">EDATE(BOK28,BON28)</f>
        <v>45523</v>
      </c>
      <c r="BOP28" s="340">
        <v>0</v>
      </c>
      <c r="BOQ28" s="320">
        <f t="shared" ref="BOQ28" ca="1" si="80">IF(BOR28&gt;=1,(BOP28/BON28),0)</f>
        <v>0</v>
      </c>
      <c r="BOR28" s="292">
        <f t="shared" ref="BOR28" ca="1" si="81">BOO28-$G$5</f>
        <v>-591</v>
      </c>
      <c r="BOS28" s="259" t="s">
        <v>55</v>
      </c>
      <c r="BOT28" s="256" t="s">
        <v>76</v>
      </c>
      <c r="BOU28" s="256" t="s">
        <v>77</v>
      </c>
      <c r="BOV28" s="256" t="s">
        <v>78</v>
      </c>
      <c r="BOW28" s="256" t="s">
        <v>79</v>
      </c>
      <c r="BOX28" s="256" t="s">
        <v>80</v>
      </c>
      <c r="BOY28" s="256" t="s">
        <v>81</v>
      </c>
      <c r="BOZ28" s="331"/>
      <c r="BPA28" s="290">
        <v>45492</v>
      </c>
      <c r="BPB28" s="339" t="s">
        <v>141</v>
      </c>
      <c r="BPC28" s="305"/>
      <c r="BPD28" s="305">
        <v>1</v>
      </c>
      <c r="BPE28" s="304">
        <f t="shared" ref="BPE28" si="82">EDATE(BPA28,BPD28)</f>
        <v>45523</v>
      </c>
      <c r="BPF28" s="340">
        <v>0</v>
      </c>
      <c r="BPG28" s="320">
        <f t="shared" ref="BPG28" ca="1" si="83">IF(BPH28&gt;=1,(BPF28/BPD28),0)</f>
        <v>0</v>
      </c>
      <c r="BPH28" s="292">
        <f t="shared" ref="BPH28" ca="1" si="84">BPE28-$G$5</f>
        <v>-591</v>
      </c>
      <c r="BPI28" s="259" t="s">
        <v>55</v>
      </c>
      <c r="BPJ28" s="256" t="s">
        <v>76</v>
      </c>
      <c r="BPK28" s="256" t="s">
        <v>77</v>
      </c>
      <c r="BPL28" s="256" t="s">
        <v>78</v>
      </c>
      <c r="BPM28" s="256" t="s">
        <v>79</v>
      </c>
      <c r="BPN28" s="256" t="s">
        <v>80</v>
      </c>
      <c r="BPO28" s="256" t="s">
        <v>81</v>
      </c>
      <c r="BPP28" s="331"/>
      <c r="BPQ28" s="290">
        <v>45492</v>
      </c>
      <c r="BPR28" s="339" t="s">
        <v>141</v>
      </c>
      <c r="BPS28" s="305"/>
      <c r="BPT28" s="305">
        <v>1</v>
      </c>
      <c r="BPU28" s="304">
        <f t="shared" ref="BPU28" si="85">EDATE(BPQ28,BPT28)</f>
        <v>45523</v>
      </c>
      <c r="BPV28" s="340">
        <v>0</v>
      </c>
      <c r="BPW28" s="320">
        <f t="shared" ref="BPW28" ca="1" si="86">IF(BPX28&gt;=1,(BPV28/BPT28),0)</f>
        <v>0</v>
      </c>
      <c r="BPX28" s="292">
        <f t="shared" ref="BPX28" ca="1" si="87">BPU28-$G$5</f>
        <v>-591</v>
      </c>
      <c r="BPY28" s="259" t="s">
        <v>55</v>
      </c>
      <c r="BPZ28" s="256" t="s">
        <v>76</v>
      </c>
      <c r="BQA28" s="256" t="s">
        <v>77</v>
      </c>
      <c r="BQB28" s="256" t="s">
        <v>78</v>
      </c>
      <c r="BQC28" s="256" t="s">
        <v>79</v>
      </c>
      <c r="BQD28" s="256" t="s">
        <v>80</v>
      </c>
      <c r="BQE28" s="256" t="s">
        <v>81</v>
      </c>
      <c r="BQF28" s="331"/>
      <c r="BQG28" s="290">
        <v>45492</v>
      </c>
      <c r="BQH28" s="339" t="s">
        <v>141</v>
      </c>
      <c r="BQI28" s="305"/>
      <c r="BQJ28" s="305">
        <v>1</v>
      </c>
      <c r="BQK28" s="304">
        <f t="shared" ref="BQK28" si="88">EDATE(BQG28,BQJ28)</f>
        <v>45523</v>
      </c>
      <c r="BQL28" s="340">
        <v>0</v>
      </c>
      <c r="BQM28" s="320">
        <f t="shared" ref="BQM28" ca="1" si="89">IF(BQN28&gt;=1,(BQL28/BQJ28),0)</f>
        <v>0</v>
      </c>
      <c r="BQN28" s="292">
        <f t="shared" ref="BQN28" ca="1" si="90">BQK28-$G$5</f>
        <v>-591</v>
      </c>
      <c r="BQO28" s="259" t="s">
        <v>55</v>
      </c>
      <c r="BQP28" s="256" t="s">
        <v>76</v>
      </c>
      <c r="BQQ28" s="256" t="s">
        <v>77</v>
      </c>
      <c r="BQR28" s="256" t="s">
        <v>78</v>
      </c>
      <c r="BQS28" s="256" t="s">
        <v>79</v>
      </c>
      <c r="BQT28" s="256" t="s">
        <v>80</v>
      </c>
      <c r="BQU28" s="256" t="s">
        <v>81</v>
      </c>
      <c r="BQV28" s="331"/>
      <c r="BQW28" s="290">
        <v>45492</v>
      </c>
      <c r="BQX28" s="339" t="s">
        <v>141</v>
      </c>
      <c r="BQY28" s="305"/>
      <c r="BQZ28" s="305">
        <v>1</v>
      </c>
      <c r="BRA28" s="304">
        <f t="shared" ref="BRA28" si="91">EDATE(BQW28,BQZ28)</f>
        <v>45523</v>
      </c>
      <c r="BRB28" s="340">
        <v>0</v>
      </c>
      <c r="BRC28" s="320">
        <f t="shared" ref="BRC28" ca="1" si="92">IF(BRD28&gt;=1,(BRB28/BQZ28),0)</f>
        <v>0</v>
      </c>
      <c r="BRD28" s="292">
        <f t="shared" ref="BRD28" ca="1" si="93">BRA28-$G$5</f>
        <v>-591</v>
      </c>
      <c r="BRE28" s="259" t="s">
        <v>55</v>
      </c>
      <c r="BRF28" s="256" t="s">
        <v>76</v>
      </c>
      <c r="BRG28" s="256" t="s">
        <v>77</v>
      </c>
      <c r="BRH28" s="256" t="s">
        <v>78</v>
      </c>
      <c r="BRI28" s="256" t="s">
        <v>79</v>
      </c>
      <c r="BRJ28" s="256" t="s">
        <v>80</v>
      </c>
      <c r="BRK28" s="256" t="s">
        <v>81</v>
      </c>
      <c r="BRL28" s="331"/>
      <c r="BRM28" s="290">
        <v>45492</v>
      </c>
      <c r="BRN28" s="339" t="s">
        <v>141</v>
      </c>
      <c r="BRO28" s="305"/>
      <c r="BRP28" s="305">
        <v>1</v>
      </c>
      <c r="BRQ28" s="304">
        <f t="shared" ref="BRQ28" si="94">EDATE(BRM28,BRP28)</f>
        <v>45523</v>
      </c>
      <c r="BRR28" s="340">
        <v>0</v>
      </c>
      <c r="BRS28" s="320">
        <f t="shared" ref="BRS28" ca="1" si="95">IF(BRT28&gt;=1,(BRR28/BRP28),0)</f>
        <v>0</v>
      </c>
      <c r="BRT28" s="292">
        <f t="shared" ref="BRT28" ca="1" si="96">BRQ28-$G$5</f>
        <v>-591</v>
      </c>
      <c r="BRU28" s="259" t="s">
        <v>55</v>
      </c>
      <c r="BRV28" s="256" t="s">
        <v>76</v>
      </c>
      <c r="BRW28" s="256" t="s">
        <v>77</v>
      </c>
      <c r="BRX28" s="256" t="s">
        <v>78</v>
      </c>
      <c r="BRY28" s="256" t="s">
        <v>79</v>
      </c>
      <c r="BRZ28" s="256" t="s">
        <v>80</v>
      </c>
      <c r="BSA28" s="256" t="s">
        <v>81</v>
      </c>
      <c r="BSB28" s="331"/>
      <c r="BSC28" s="290">
        <v>45492</v>
      </c>
      <c r="BSD28" s="339" t="s">
        <v>141</v>
      </c>
      <c r="BSE28" s="305"/>
      <c r="BSF28" s="305">
        <v>1</v>
      </c>
      <c r="BSG28" s="304">
        <f t="shared" ref="BSG28" si="97">EDATE(BSC28,BSF28)</f>
        <v>45523</v>
      </c>
      <c r="BSH28" s="340">
        <v>0</v>
      </c>
      <c r="BSI28" s="320">
        <f t="shared" ref="BSI28" ca="1" si="98">IF(BSJ28&gt;=1,(BSH28/BSF28),0)</f>
        <v>0</v>
      </c>
      <c r="BSJ28" s="292">
        <f t="shared" ref="BSJ28" ca="1" si="99">BSG28-$G$5</f>
        <v>-591</v>
      </c>
      <c r="BSK28" s="259" t="s">
        <v>55</v>
      </c>
      <c r="BSL28" s="256" t="s">
        <v>76</v>
      </c>
      <c r="BSM28" s="256" t="s">
        <v>77</v>
      </c>
      <c r="BSN28" s="256" t="s">
        <v>78</v>
      </c>
      <c r="BSO28" s="256" t="s">
        <v>79</v>
      </c>
      <c r="BSP28" s="256" t="s">
        <v>80</v>
      </c>
      <c r="BSQ28" s="256" t="s">
        <v>81</v>
      </c>
      <c r="BSR28" s="331"/>
      <c r="BSS28" s="290">
        <v>45492</v>
      </c>
      <c r="BST28" s="339" t="s">
        <v>141</v>
      </c>
      <c r="BSU28" s="305"/>
      <c r="BSV28" s="305">
        <v>1</v>
      </c>
      <c r="BSW28" s="304">
        <f t="shared" ref="BSW28" si="100">EDATE(BSS28,BSV28)</f>
        <v>45523</v>
      </c>
      <c r="BSX28" s="340">
        <v>0</v>
      </c>
      <c r="BSY28" s="320">
        <f t="shared" ref="BSY28" ca="1" si="101">IF(BSZ28&gt;=1,(BSX28/BSV28),0)</f>
        <v>0</v>
      </c>
      <c r="BSZ28" s="292">
        <f t="shared" ref="BSZ28" ca="1" si="102">BSW28-$G$5</f>
        <v>-591</v>
      </c>
      <c r="BTA28" s="259" t="s">
        <v>55</v>
      </c>
      <c r="BTB28" s="256" t="s">
        <v>76</v>
      </c>
      <c r="BTC28" s="256" t="s">
        <v>77</v>
      </c>
      <c r="BTD28" s="256" t="s">
        <v>78</v>
      </c>
      <c r="BTE28" s="256" t="s">
        <v>79</v>
      </c>
      <c r="BTF28" s="256" t="s">
        <v>80</v>
      </c>
      <c r="BTG28" s="256" t="s">
        <v>81</v>
      </c>
      <c r="BTH28" s="331"/>
      <c r="BTI28" s="290">
        <v>45492</v>
      </c>
      <c r="BTJ28" s="339" t="s">
        <v>141</v>
      </c>
      <c r="BTK28" s="305"/>
      <c r="BTL28" s="305">
        <v>1</v>
      </c>
      <c r="BTM28" s="304">
        <f t="shared" ref="BTM28" si="103">EDATE(BTI28,BTL28)</f>
        <v>45523</v>
      </c>
      <c r="BTN28" s="340">
        <v>0</v>
      </c>
      <c r="BTO28" s="320">
        <f t="shared" ref="BTO28" ca="1" si="104">IF(BTP28&gt;=1,(BTN28/BTL28),0)</f>
        <v>0</v>
      </c>
      <c r="BTP28" s="292">
        <f t="shared" ref="BTP28" ca="1" si="105">BTM28-$G$5</f>
        <v>-591</v>
      </c>
      <c r="BTQ28" s="259" t="s">
        <v>55</v>
      </c>
      <c r="BTR28" s="256" t="s">
        <v>76</v>
      </c>
      <c r="BTS28" s="256" t="s">
        <v>77</v>
      </c>
      <c r="BTT28" s="256" t="s">
        <v>78</v>
      </c>
      <c r="BTU28" s="256" t="s">
        <v>79</v>
      </c>
      <c r="BTV28" s="256" t="s">
        <v>80</v>
      </c>
      <c r="BTW28" s="256" t="s">
        <v>81</v>
      </c>
      <c r="BTX28" s="331"/>
      <c r="BTY28" s="290">
        <v>45492</v>
      </c>
      <c r="BTZ28" s="339" t="s">
        <v>141</v>
      </c>
      <c r="BUA28" s="305"/>
      <c r="BUB28" s="305">
        <v>1</v>
      </c>
      <c r="BUC28" s="304">
        <f t="shared" ref="BUC28" si="106">EDATE(BTY28,BUB28)</f>
        <v>45523</v>
      </c>
      <c r="BUD28" s="340">
        <v>0</v>
      </c>
      <c r="BUE28" s="320">
        <f t="shared" ref="BUE28" ca="1" si="107">IF(BUF28&gt;=1,(BUD28/BUB28),0)</f>
        <v>0</v>
      </c>
      <c r="BUF28" s="292">
        <f t="shared" ref="BUF28" ca="1" si="108">BUC28-$G$5</f>
        <v>-591</v>
      </c>
      <c r="BUG28" s="259" t="s">
        <v>55</v>
      </c>
      <c r="BUH28" s="256" t="s">
        <v>76</v>
      </c>
      <c r="BUI28" s="256" t="s">
        <v>77</v>
      </c>
      <c r="BUJ28" s="256" t="s">
        <v>78</v>
      </c>
      <c r="BUK28" s="256" t="s">
        <v>79</v>
      </c>
      <c r="BUL28" s="256" t="s">
        <v>80</v>
      </c>
      <c r="BUM28" s="256" t="s">
        <v>81</v>
      </c>
      <c r="BUN28" s="331"/>
      <c r="BUO28" s="290">
        <v>45492</v>
      </c>
      <c r="BUP28" s="339" t="s">
        <v>141</v>
      </c>
      <c r="BUQ28" s="305"/>
      <c r="BUR28" s="305">
        <v>1</v>
      </c>
      <c r="BUS28" s="304">
        <f t="shared" ref="BUS28" si="109">EDATE(BUO28,BUR28)</f>
        <v>45523</v>
      </c>
      <c r="BUT28" s="340">
        <v>0</v>
      </c>
      <c r="BUU28" s="320">
        <f t="shared" ref="BUU28" ca="1" si="110">IF(BUV28&gt;=1,(BUT28/BUR28),0)</f>
        <v>0</v>
      </c>
      <c r="BUV28" s="292">
        <f t="shared" ref="BUV28" ca="1" si="111">BUS28-$G$5</f>
        <v>-591</v>
      </c>
      <c r="BUW28" s="259" t="s">
        <v>55</v>
      </c>
      <c r="BUX28" s="256" t="s">
        <v>76</v>
      </c>
      <c r="BUY28" s="256" t="s">
        <v>77</v>
      </c>
      <c r="BUZ28" s="256" t="s">
        <v>78</v>
      </c>
      <c r="BVA28" s="256" t="s">
        <v>79</v>
      </c>
      <c r="BVB28" s="256" t="s">
        <v>80</v>
      </c>
      <c r="BVC28" s="256" t="s">
        <v>81</v>
      </c>
      <c r="BVD28" s="331"/>
      <c r="BVE28" s="290">
        <v>45492</v>
      </c>
      <c r="BVF28" s="339" t="s">
        <v>141</v>
      </c>
      <c r="BVG28" s="305"/>
      <c r="BVH28" s="305">
        <v>1</v>
      </c>
      <c r="BVI28" s="304">
        <f t="shared" ref="BVI28" si="112">EDATE(BVE28,BVH28)</f>
        <v>45523</v>
      </c>
      <c r="BVJ28" s="340">
        <v>0</v>
      </c>
      <c r="BVK28" s="320">
        <f t="shared" ref="BVK28" ca="1" si="113">IF(BVL28&gt;=1,(BVJ28/BVH28),0)</f>
        <v>0</v>
      </c>
      <c r="BVL28" s="292">
        <f t="shared" ref="BVL28" ca="1" si="114">BVI28-$G$5</f>
        <v>-591</v>
      </c>
      <c r="BVM28" s="259" t="s">
        <v>55</v>
      </c>
      <c r="BVN28" s="256" t="s">
        <v>76</v>
      </c>
      <c r="BVO28" s="256" t="s">
        <v>77</v>
      </c>
      <c r="BVP28" s="256" t="s">
        <v>78</v>
      </c>
      <c r="BVQ28" s="256" t="s">
        <v>79</v>
      </c>
      <c r="BVR28" s="256" t="s">
        <v>80</v>
      </c>
      <c r="BVS28" s="256" t="s">
        <v>81</v>
      </c>
      <c r="BVT28" s="331"/>
      <c r="BVU28" s="290">
        <v>45492</v>
      </c>
      <c r="BVV28" s="339" t="s">
        <v>141</v>
      </c>
      <c r="BVW28" s="305"/>
      <c r="BVX28" s="305">
        <v>1</v>
      </c>
      <c r="BVY28" s="304">
        <f t="shared" ref="BVY28" si="115">EDATE(BVU28,BVX28)</f>
        <v>45523</v>
      </c>
      <c r="BVZ28" s="340">
        <v>0</v>
      </c>
      <c r="BWA28" s="320">
        <f t="shared" ref="BWA28" ca="1" si="116">IF(BWB28&gt;=1,(BVZ28/BVX28),0)</f>
        <v>0</v>
      </c>
      <c r="BWB28" s="292">
        <f t="shared" ref="BWB28" ca="1" si="117">BVY28-$G$5</f>
        <v>-591</v>
      </c>
      <c r="BWC28" s="259" t="s">
        <v>55</v>
      </c>
      <c r="BWD28" s="256" t="s">
        <v>76</v>
      </c>
      <c r="BWE28" s="256" t="s">
        <v>77</v>
      </c>
      <c r="BWF28" s="256" t="s">
        <v>78</v>
      </c>
      <c r="BWG28" s="256" t="s">
        <v>79</v>
      </c>
      <c r="BWH28" s="256" t="s">
        <v>80</v>
      </c>
      <c r="BWI28" s="256" t="s">
        <v>81</v>
      </c>
      <c r="BWJ28" s="331"/>
      <c r="BWK28" s="290">
        <v>45492</v>
      </c>
      <c r="BWL28" s="339" t="s">
        <v>141</v>
      </c>
      <c r="BWM28" s="305"/>
      <c r="BWN28" s="305">
        <v>1</v>
      </c>
      <c r="BWO28" s="304">
        <f t="shared" ref="BWO28" si="118">EDATE(BWK28,BWN28)</f>
        <v>45523</v>
      </c>
      <c r="BWP28" s="340">
        <v>0</v>
      </c>
      <c r="BWQ28" s="320">
        <f t="shared" ref="BWQ28" ca="1" si="119">IF(BWR28&gt;=1,(BWP28/BWN28),0)</f>
        <v>0</v>
      </c>
      <c r="BWR28" s="292">
        <f t="shared" ref="BWR28" ca="1" si="120">BWO28-$G$5</f>
        <v>-591</v>
      </c>
      <c r="BWS28" s="259" t="s">
        <v>55</v>
      </c>
      <c r="BWT28" s="256" t="s">
        <v>76</v>
      </c>
      <c r="BWU28" s="256" t="s">
        <v>77</v>
      </c>
      <c r="BWV28" s="256" t="s">
        <v>78</v>
      </c>
      <c r="BWW28" s="256" t="s">
        <v>79</v>
      </c>
      <c r="BWX28" s="256" t="s">
        <v>80</v>
      </c>
      <c r="BWY28" s="256" t="s">
        <v>81</v>
      </c>
      <c r="BWZ28" s="331"/>
      <c r="BXA28" s="290">
        <v>45492</v>
      </c>
      <c r="BXB28" s="339" t="s">
        <v>141</v>
      </c>
      <c r="BXC28" s="305"/>
      <c r="BXD28" s="305">
        <v>1</v>
      </c>
      <c r="BXE28" s="304">
        <f t="shared" ref="BXE28" si="121">EDATE(BXA28,BXD28)</f>
        <v>45523</v>
      </c>
      <c r="BXF28" s="340">
        <v>0</v>
      </c>
      <c r="BXG28" s="320">
        <f t="shared" ref="BXG28" ca="1" si="122">IF(BXH28&gt;=1,(BXF28/BXD28),0)</f>
        <v>0</v>
      </c>
      <c r="BXH28" s="292">
        <f t="shared" ref="BXH28" ca="1" si="123">BXE28-$G$5</f>
        <v>-591</v>
      </c>
      <c r="BXI28" s="259" t="s">
        <v>55</v>
      </c>
      <c r="BXJ28" s="256" t="s">
        <v>76</v>
      </c>
      <c r="BXK28" s="256" t="s">
        <v>77</v>
      </c>
      <c r="BXL28" s="256" t="s">
        <v>78</v>
      </c>
      <c r="BXM28" s="256" t="s">
        <v>79</v>
      </c>
      <c r="BXN28" s="256" t="s">
        <v>80</v>
      </c>
      <c r="BXO28" s="256" t="s">
        <v>81</v>
      </c>
      <c r="BXP28" s="331"/>
      <c r="BXQ28" s="290">
        <v>45492</v>
      </c>
      <c r="BXR28" s="339" t="s">
        <v>141</v>
      </c>
      <c r="BXS28" s="305"/>
      <c r="BXT28" s="305">
        <v>1</v>
      </c>
      <c r="BXU28" s="304">
        <f t="shared" ref="BXU28" si="124">EDATE(BXQ28,BXT28)</f>
        <v>45523</v>
      </c>
      <c r="BXV28" s="340">
        <v>0</v>
      </c>
      <c r="BXW28" s="320">
        <f t="shared" ref="BXW28" ca="1" si="125">IF(BXX28&gt;=1,(BXV28/BXT28),0)</f>
        <v>0</v>
      </c>
      <c r="BXX28" s="292">
        <f t="shared" ref="BXX28" ca="1" si="126">BXU28-$G$5</f>
        <v>-591</v>
      </c>
      <c r="BXY28" s="259" t="s">
        <v>55</v>
      </c>
      <c r="BXZ28" s="256" t="s">
        <v>76</v>
      </c>
      <c r="BYA28" s="256" t="s">
        <v>77</v>
      </c>
      <c r="BYB28" s="256" t="s">
        <v>78</v>
      </c>
      <c r="BYC28" s="256" t="s">
        <v>79</v>
      </c>
      <c r="BYD28" s="256" t="s">
        <v>80</v>
      </c>
      <c r="BYE28" s="256" t="s">
        <v>81</v>
      </c>
      <c r="BYF28" s="331"/>
      <c r="BYG28" s="290">
        <v>45492</v>
      </c>
      <c r="BYH28" s="339" t="s">
        <v>141</v>
      </c>
      <c r="BYI28" s="305"/>
      <c r="BYJ28" s="305">
        <v>1</v>
      </c>
      <c r="BYK28" s="304">
        <f t="shared" ref="BYK28" si="127">EDATE(BYG28,BYJ28)</f>
        <v>45523</v>
      </c>
      <c r="BYL28" s="340">
        <v>0</v>
      </c>
      <c r="BYM28" s="320">
        <f t="shared" ref="BYM28" ca="1" si="128">IF(BYN28&gt;=1,(BYL28/BYJ28),0)</f>
        <v>0</v>
      </c>
      <c r="BYN28" s="292">
        <f t="shared" ref="BYN28" ca="1" si="129">BYK28-$G$5</f>
        <v>-591</v>
      </c>
      <c r="BYO28" s="259" t="s">
        <v>55</v>
      </c>
      <c r="BYP28" s="256" t="s">
        <v>76</v>
      </c>
      <c r="BYQ28" s="256" t="s">
        <v>77</v>
      </c>
      <c r="BYR28" s="256" t="s">
        <v>78</v>
      </c>
      <c r="BYS28" s="256" t="s">
        <v>79</v>
      </c>
      <c r="BYT28" s="256" t="s">
        <v>80</v>
      </c>
      <c r="BYU28" s="256" t="s">
        <v>81</v>
      </c>
      <c r="BYV28" s="331"/>
      <c r="BYW28" s="290">
        <v>45492</v>
      </c>
      <c r="BYX28" s="339" t="s">
        <v>141</v>
      </c>
      <c r="BYY28" s="305"/>
      <c r="BYZ28" s="305">
        <v>1</v>
      </c>
      <c r="BZA28" s="304">
        <f t="shared" ref="BZA28" si="130">EDATE(BYW28,BYZ28)</f>
        <v>45523</v>
      </c>
      <c r="BZB28" s="340">
        <v>0</v>
      </c>
      <c r="BZC28" s="320">
        <f t="shared" ref="BZC28" ca="1" si="131">IF(BZD28&gt;=1,(BZB28/BYZ28),0)</f>
        <v>0</v>
      </c>
      <c r="BZD28" s="292">
        <f t="shared" ref="BZD28" ca="1" si="132">BZA28-$G$5</f>
        <v>-591</v>
      </c>
      <c r="BZE28" s="259" t="s">
        <v>55</v>
      </c>
      <c r="BZF28" s="256" t="s">
        <v>76</v>
      </c>
      <c r="BZG28" s="256" t="s">
        <v>77</v>
      </c>
      <c r="BZH28" s="256" t="s">
        <v>78</v>
      </c>
      <c r="BZI28" s="256" t="s">
        <v>79</v>
      </c>
      <c r="BZJ28" s="256" t="s">
        <v>80</v>
      </c>
      <c r="BZK28" s="256" t="s">
        <v>81</v>
      </c>
      <c r="BZL28" s="331"/>
      <c r="BZM28" s="290">
        <v>45492</v>
      </c>
      <c r="BZN28" s="339" t="s">
        <v>141</v>
      </c>
      <c r="BZO28" s="305"/>
      <c r="BZP28" s="305">
        <v>1</v>
      </c>
      <c r="BZQ28" s="304">
        <f t="shared" ref="BZQ28" si="133">EDATE(BZM28,BZP28)</f>
        <v>45523</v>
      </c>
      <c r="BZR28" s="340">
        <v>0</v>
      </c>
      <c r="BZS28" s="320">
        <f t="shared" ref="BZS28" ca="1" si="134">IF(BZT28&gt;=1,(BZR28/BZP28),0)</f>
        <v>0</v>
      </c>
      <c r="BZT28" s="292">
        <f t="shared" ref="BZT28" ca="1" si="135">BZQ28-$G$5</f>
        <v>-591</v>
      </c>
      <c r="BZU28" s="259" t="s">
        <v>55</v>
      </c>
      <c r="BZV28" s="256" t="s">
        <v>76</v>
      </c>
      <c r="BZW28" s="256" t="s">
        <v>77</v>
      </c>
      <c r="BZX28" s="256" t="s">
        <v>78</v>
      </c>
      <c r="BZY28" s="256" t="s">
        <v>79</v>
      </c>
      <c r="BZZ28" s="256" t="s">
        <v>80</v>
      </c>
      <c r="CAA28" s="256" t="s">
        <v>81</v>
      </c>
      <c r="CAB28" s="331"/>
      <c r="CAC28" s="290">
        <v>45492</v>
      </c>
      <c r="CAD28" s="339" t="s">
        <v>141</v>
      </c>
      <c r="CAE28" s="305"/>
      <c r="CAF28" s="305">
        <v>1</v>
      </c>
      <c r="CAG28" s="304">
        <f t="shared" ref="CAG28" si="136">EDATE(CAC28,CAF28)</f>
        <v>45523</v>
      </c>
      <c r="CAH28" s="340">
        <v>0</v>
      </c>
      <c r="CAI28" s="320">
        <f t="shared" ref="CAI28" ca="1" si="137">IF(CAJ28&gt;=1,(CAH28/CAF28),0)</f>
        <v>0</v>
      </c>
      <c r="CAJ28" s="292">
        <f t="shared" ref="CAJ28" ca="1" si="138">CAG28-$G$5</f>
        <v>-591</v>
      </c>
      <c r="CAK28" s="259" t="s">
        <v>55</v>
      </c>
      <c r="CAL28" s="256" t="s">
        <v>76</v>
      </c>
      <c r="CAM28" s="256" t="s">
        <v>77</v>
      </c>
      <c r="CAN28" s="256" t="s">
        <v>78</v>
      </c>
      <c r="CAO28" s="256" t="s">
        <v>79</v>
      </c>
      <c r="CAP28" s="256" t="s">
        <v>80</v>
      </c>
      <c r="CAQ28" s="256" t="s">
        <v>81</v>
      </c>
      <c r="CAR28" s="331"/>
      <c r="CAS28" s="290">
        <v>45492</v>
      </c>
      <c r="CAT28" s="339" t="s">
        <v>141</v>
      </c>
      <c r="CAU28" s="305"/>
      <c r="CAV28" s="305">
        <v>1</v>
      </c>
      <c r="CAW28" s="304">
        <f t="shared" ref="CAW28" si="139">EDATE(CAS28,CAV28)</f>
        <v>45523</v>
      </c>
      <c r="CAX28" s="340">
        <v>0</v>
      </c>
      <c r="CAY28" s="320">
        <f t="shared" ref="CAY28" ca="1" si="140">IF(CAZ28&gt;=1,(CAX28/CAV28),0)</f>
        <v>0</v>
      </c>
      <c r="CAZ28" s="292">
        <f t="shared" ref="CAZ28" ca="1" si="141">CAW28-$G$5</f>
        <v>-591</v>
      </c>
      <c r="CBA28" s="259" t="s">
        <v>55</v>
      </c>
      <c r="CBB28" s="256" t="s">
        <v>76</v>
      </c>
      <c r="CBC28" s="256" t="s">
        <v>77</v>
      </c>
      <c r="CBD28" s="256" t="s">
        <v>78</v>
      </c>
      <c r="CBE28" s="256" t="s">
        <v>79</v>
      </c>
      <c r="CBF28" s="256" t="s">
        <v>80</v>
      </c>
      <c r="CBG28" s="256" t="s">
        <v>81</v>
      </c>
      <c r="CBH28" s="331"/>
      <c r="CBI28" s="290">
        <v>45492</v>
      </c>
      <c r="CBJ28" s="339" t="s">
        <v>141</v>
      </c>
      <c r="CBK28" s="305"/>
      <c r="CBL28" s="305">
        <v>1</v>
      </c>
      <c r="CBM28" s="304">
        <f t="shared" ref="CBM28" si="142">EDATE(CBI28,CBL28)</f>
        <v>45523</v>
      </c>
      <c r="CBN28" s="340">
        <v>0</v>
      </c>
      <c r="CBO28" s="320">
        <f t="shared" ref="CBO28" ca="1" si="143">IF(CBP28&gt;=1,(CBN28/CBL28),0)</f>
        <v>0</v>
      </c>
      <c r="CBP28" s="292">
        <f t="shared" ref="CBP28" ca="1" si="144">CBM28-$G$5</f>
        <v>-591</v>
      </c>
      <c r="CBQ28" s="259" t="s">
        <v>55</v>
      </c>
      <c r="CBR28" s="256" t="s">
        <v>76</v>
      </c>
      <c r="CBS28" s="256" t="s">
        <v>77</v>
      </c>
      <c r="CBT28" s="256" t="s">
        <v>78</v>
      </c>
      <c r="CBU28" s="256" t="s">
        <v>79</v>
      </c>
      <c r="CBV28" s="256" t="s">
        <v>80</v>
      </c>
      <c r="CBW28" s="256" t="s">
        <v>81</v>
      </c>
      <c r="CBX28" s="331"/>
      <c r="CBY28" s="290">
        <v>45492</v>
      </c>
      <c r="CBZ28" s="339" t="s">
        <v>141</v>
      </c>
      <c r="CCA28" s="305"/>
      <c r="CCB28" s="305">
        <v>1</v>
      </c>
      <c r="CCC28" s="304">
        <f t="shared" ref="CCC28" si="145">EDATE(CBY28,CCB28)</f>
        <v>45523</v>
      </c>
      <c r="CCD28" s="340">
        <v>0</v>
      </c>
      <c r="CCE28" s="320">
        <f t="shared" ref="CCE28" ca="1" si="146">IF(CCF28&gt;=1,(CCD28/CCB28),0)</f>
        <v>0</v>
      </c>
      <c r="CCF28" s="292">
        <f t="shared" ref="CCF28" ca="1" si="147">CCC28-$G$5</f>
        <v>-591</v>
      </c>
      <c r="CCG28" s="259" t="s">
        <v>55</v>
      </c>
      <c r="CCH28" s="256" t="s">
        <v>76</v>
      </c>
      <c r="CCI28" s="256" t="s">
        <v>77</v>
      </c>
      <c r="CCJ28" s="256" t="s">
        <v>78</v>
      </c>
      <c r="CCK28" s="256" t="s">
        <v>79</v>
      </c>
      <c r="CCL28" s="256" t="s">
        <v>80</v>
      </c>
      <c r="CCM28" s="256" t="s">
        <v>81</v>
      </c>
      <c r="CCN28" s="331"/>
      <c r="CCO28" s="290">
        <v>45492</v>
      </c>
      <c r="CCP28" s="339" t="s">
        <v>141</v>
      </c>
      <c r="CCQ28" s="305"/>
      <c r="CCR28" s="305">
        <v>1</v>
      </c>
      <c r="CCS28" s="304">
        <f t="shared" ref="CCS28" si="148">EDATE(CCO28,CCR28)</f>
        <v>45523</v>
      </c>
      <c r="CCT28" s="340">
        <v>0</v>
      </c>
      <c r="CCU28" s="320">
        <f t="shared" ref="CCU28" ca="1" si="149">IF(CCV28&gt;=1,(CCT28/CCR28),0)</f>
        <v>0</v>
      </c>
      <c r="CCV28" s="292">
        <f t="shared" ref="CCV28" ca="1" si="150">CCS28-$G$5</f>
        <v>-591</v>
      </c>
      <c r="CCW28" s="259" t="s">
        <v>55</v>
      </c>
      <c r="CCX28" s="256" t="s">
        <v>76</v>
      </c>
      <c r="CCY28" s="256" t="s">
        <v>77</v>
      </c>
      <c r="CCZ28" s="256" t="s">
        <v>78</v>
      </c>
      <c r="CDA28" s="256" t="s">
        <v>79</v>
      </c>
      <c r="CDB28" s="256" t="s">
        <v>80</v>
      </c>
      <c r="CDC28" s="256" t="s">
        <v>81</v>
      </c>
      <c r="CDD28" s="331"/>
      <c r="CDE28" s="290">
        <v>45492</v>
      </c>
      <c r="CDF28" s="339" t="s">
        <v>141</v>
      </c>
      <c r="CDG28" s="305"/>
      <c r="CDH28" s="305">
        <v>1</v>
      </c>
      <c r="CDI28" s="304">
        <f t="shared" ref="CDI28" si="151">EDATE(CDE28,CDH28)</f>
        <v>45523</v>
      </c>
      <c r="CDJ28" s="340">
        <v>0</v>
      </c>
      <c r="CDK28" s="320">
        <f t="shared" ref="CDK28" ca="1" si="152">IF(CDL28&gt;=1,(CDJ28/CDH28),0)</f>
        <v>0</v>
      </c>
      <c r="CDL28" s="292">
        <f t="shared" ref="CDL28" ca="1" si="153">CDI28-$G$5</f>
        <v>-591</v>
      </c>
      <c r="CDM28" s="259" t="s">
        <v>55</v>
      </c>
      <c r="CDN28" s="256" t="s">
        <v>76</v>
      </c>
      <c r="CDO28" s="256" t="s">
        <v>77</v>
      </c>
      <c r="CDP28" s="256" t="s">
        <v>78</v>
      </c>
      <c r="CDQ28" s="256" t="s">
        <v>79</v>
      </c>
      <c r="CDR28" s="256" t="s">
        <v>80</v>
      </c>
      <c r="CDS28" s="256" t="s">
        <v>81</v>
      </c>
      <c r="CDT28" s="331"/>
      <c r="CDU28" s="290">
        <v>45492</v>
      </c>
      <c r="CDV28" s="339" t="s">
        <v>141</v>
      </c>
      <c r="CDW28" s="305"/>
      <c r="CDX28" s="305">
        <v>1</v>
      </c>
      <c r="CDY28" s="304">
        <f t="shared" ref="CDY28" si="154">EDATE(CDU28,CDX28)</f>
        <v>45523</v>
      </c>
      <c r="CDZ28" s="340">
        <v>0</v>
      </c>
      <c r="CEA28" s="320">
        <f t="shared" ref="CEA28" ca="1" si="155">IF(CEB28&gt;=1,(CDZ28/CDX28),0)</f>
        <v>0</v>
      </c>
      <c r="CEB28" s="292">
        <f t="shared" ref="CEB28" ca="1" si="156">CDY28-$G$5</f>
        <v>-591</v>
      </c>
      <c r="CEC28" s="259" t="s">
        <v>55</v>
      </c>
      <c r="CED28" s="256" t="s">
        <v>76</v>
      </c>
      <c r="CEE28" s="256" t="s">
        <v>77</v>
      </c>
      <c r="CEF28" s="256" t="s">
        <v>78</v>
      </c>
      <c r="CEG28" s="256" t="s">
        <v>79</v>
      </c>
      <c r="CEH28" s="256" t="s">
        <v>80</v>
      </c>
      <c r="CEI28" s="256" t="s">
        <v>81</v>
      </c>
      <c r="CEJ28" s="331"/>
      <c r="CEK28" s="290">
        <v>45492</v>
      </c>
      <c r="CEL28" s="339" t="s">
        <v>141</v>
      </c>
      <c r="CEM28" s="305"/>
      <c r="CEN28" s="305">
        <v>1</v>
      </c>
      <c r="CEO28" s="304">
        <f t="shared" ref="CEO28" si="157">EDATE(CEK28,CEN28)</f>
        <v>45523</v>
      </c>
      <c r="CEP28" s="340">
        <v>0</v>
      </c>
      <c r="CEQ28" s="320">
        <f t="shared" ref="CEQ28" ca="1" si="158">IF(CER28&gt;=1,(CEP28/CEN28),0)</f>
        <v>0</v>
      </c>
      <c r="CER28" s="292">
        <f t="shared" ref="CER28" ca="1" si="159">CEO28-$G$5</f>
        <v>-591</v>
      </c>
      <c r="CES28" s="259" t="s">
        <v>55</v>
      </c>
      <c r="CET28" s="256" t="s">
        <v>76</v>
      </c>
      <c r="CEU28" s="256" t="s">
        <v>77</v>
      </c>
      <c r="CEV28" s="256" t="s">
        <v>78</v>
      </c>
      <c r="CEW28" s="256" t="s">
        <v>79</v>
      </c>
      <c r="CEX28" s="256" t="s">
        <v>80</v>
      </c>
      <c r="CEY28" s="256" t="s">
        <v>81</v>
      </c>
      <c r="CEZ28" s="331"/>
      <c r="CFA28" s="290">
        <v>45492</v>
      </c>
      <c r="CFB28" s="339" t="s">
        <v>141</v>
      </c>
      <c r="CFC28" s="305"/>
      <c r="CFD28" s="305">
        <v>1</v>
      </c>
      <c r="CFE28" s="304">
        <f t="shared" ref="CFE28" si="160">EDATE(CFA28,CFD28)</f>
        <v>45523</v>
      </c>
      <c r="CFF28" s="340">
        <v>0</v>
      </c>
      <c r="CFG28" s="320">
        <f t="shared" ref="CFG28" ca="1" si="161">IF(CFH28&gt;=1,(CFF28/CFD28),0)</f>
        <v>0</v>
      </c>
      <c r="CFH28" s="292">
        <f t="shared" ref="CFH28" ca="1" si="162">CFE28-$G$5</f>
        <v>-591</v>
      </c>
      <c r="CFI28" s="259" t="s">
        <v>55</v>
      </c>
      <c r="CFJ28" s="256" t="s">
        <v>76</v>
      </c>
      <c r="CFK28" s="256" t="s">
        <v>77</v>
      </c>
      <c r="CFL28" s="256" t="s">
        <v>78</v>
      </c>
      <c r="CFM28" s="256" t="s">
        <v>79</v>
      </c>
      <c r="CFN28" s="256" t="s">
        <v>80</v>
      </c>
      <c r="CFO28" s="256" t="s">
        <v>81</v>
      </c>
      <c r="CFP28" s="331"/>
      <c r="CFQ28" s="290">
        <v>45492</v>
      </c>
      <c r="CFR28" s="339" t="s">
        <v>141</v>
      </c>
      <c r="CFS28" s="305"/>
      <c r="CFT28" s="305">
        <v>1</v>
      </c>
      <c r="CFU28" s="304">
        <f t="shared" ref="CFU28" si="163">EDATE(CFQ28,CFT28)</f>
        <v>45523</v>
      </c>
      <c r="CFV28" s="340">
        <v>0</v>
      </c>
      <c r="CFW28" s="320">
        <f t="shared" ref="CFW28" ca="1" si="164">IF(CFX28&gt;=1,(CFV28/CFT28),0)</f>
        <v>0</v>
      </c>
      <c r="CFX28" s="292">
        <f t="shared" ref="CFX28" ca="1" si="165">CFU28-$G$5</f>
        <v>-591</v>
      </c>
      <c r="CFY28" s="259" t="s">
        <v>55</v>
      </c>
      <c r="CFZ28" s="256" t="s">
        <v>76</v>
      </c>
      <c r="CGA28" s="256" t="s">
        <v>77</v>
      </c>
      <c r="CGB28" s="256" t="s">
        <v>78</v>
      </c>
      <c r="CGC28" s="256" t="s">
        <v>79</v>
      </c>
      <c r="CGD28" s="256" t="s">
        <v>80</v>
      </c>
      <c r="CGE28" s="256" t="s">
        <v>81</v>
      </c>
      <c r="CGF28" s="331"/>
      <c r="CGG28" s="290">
        <v>45492</v>
      </c>
      <c r="CGH28" s="339" t="s">
        <v>141</v>
      </c>
      <c r="CGI28" s="305"/>
      <c r="CGJ28" s="305">
        <v>1</v>
      </c>
      <c r="CGK28" s="304">
        <f t="shared" ref="CGK28" si="166">EDATE(CGG28,CGJ28)</f>
        <v>45523</v>
      </c>
      <c r="CGL28" s="340">
        <v>0</v>
      </c>
      <c r="CGM28" s="320">
        <f t="shared" ref="CGM28" ca="1" si="167">IF(CGN28&gt;=1,(CGL28/CGJ28),0)</f>
        <v>0</v>
      </c>
      <c r="CGN28" s="292">
        <f t="shared" ref="CGN28" ca="1" si="168">CGK28-$G$5</f>
        <v>-591</v>
      </c>
      <c r="CGO28" s="259" t="s">
        <v>55</v>
      </c>
      <c r="CGP28" s="256" t="s">
        <v>76</v>
      </c>
      <c r="CGQ28" s="256" t="s">
        <v>77</v>
      </c>
      <c r="CGR28" s="256" t="s">
        <v>78</v>
      </c>
      <c r="CGS28" s="256" t="s">
        <v>79</v>
      </c>
      <c r="CGT28" s="256" t="s">
        <v>80</v>
      </c>
      <c r="CGU28" s="256" t="s">
        <v>81</v>
      </c>
      <c r="CGV28" s="331"/>
      <c r="CGW28" s="290">
        <v>45492</v>
      </c>
      <c r="CGX28" s="339" t="s">
        <v>141</v>
      </c>
      <c r="CGY28" s="305"/>
      <c r="CGZ28" s="305">
        <v>1</v>
      </c>
      <c r="CHA28" s="304">
        <f t="shared" ref="CHA28" si="169">EDATE(CGW28,CGZ28)</f>
        <v>45523</v>
      </c>
      <c r="CHB28" s="340">
        <v>0</v>
      </c>
      <c r="CHC28" s="320">
        <f t="shared" ref="CHC28" ca="1" si="170">IF(CHD28&gt;=1,(CHB28/CGZ28),0)</f>
        <v>0</v>
      </c>
      <c r="CHD28" s="292">
        <f t="shared" ref="CHD28" ca="1" si="171">CHA28-$G$5</f>
        <v>-591</v>
      </c>
      <c r="CHE28" s="259" t="s">
        <v>55</v>
      </c>
      <c r="CHF28" s="256" t="s">
        <v>76</v>
      </c>
      <c r="CHG28" s="256" t="s">
        <v>77</v>
      </c>
      <c r="CHH28" s="256" t="s">
        <v>78</v>
      </c>
      <c r="CHI28" s="256" t="s">
        <v>79</v>
      </c>
      <c r="CHJ28" s="256" t="s">
        <v>80</v>
      </c>
      <c r="CHK28" s="256" t="s">
        <v>81</v>
      </c>
      <c r="CHL28" s="331"/>
      <c r="CHM28" s="290">
        <v>45492</v>
      </c>
      <c r="CHN28" s="339" t="s">
        <v>141</v>
      </c>
      <c r="CHO28" s="305"/>
      <c r="CHP28" s="305">
        <v>1</v>
      </c>
      <c r="CHQ28" s="304">
        <f t="shared" ref="CHQ28" si="172">EDATE(CHM28,CHP28)</f>
        <v>45523</v>
      </c>
      <c r="CHR28" s="340">
        <v>0</v>
      </c>
      <c r="CHS28" s="320">
        <f t="shared" ref="CHS28" ca="1" si="173">IF(CHT28&gt;=1,(CHR28/CHP28),0)</f>
        <v>0</v>
      </c>
      <c r="CHT28" s="292">
        <f t="shared" ref="CHT28" ca="1" si="174">CHQ28-$G$5</f>
        <v>-591</v>
      </c>
      <c r="CHU28" s="259" t="s">
        <v>55</v>
      </c>
      <c r="CHV28" s="256" t="s">
        <v>76</v>
      </c>
      <c r="CHW28" s="256" t="s">
        <v>77</v>
      </c>
      <c r="CHX28" s="256" t="s">
        <v>78</v>
      </c>
      <c r="CHY28" s="256" t="s">
        <v>79</v>
      </c>
      <c r="CHZ28" s="256" t="s">
        <v>80</v>
      </c>
      <c r="CIA28" s="256" t="s">
        <v>81</v>
      </c>
      <c r="CIB28" s="331"/>
      <c r="CIC28" s="290">
        <v>45492</v>
      </c>
      <c r="CID28" s="339" t="s">
        <v>141</v>
      </c>
      <c r="CIE28" s="305"/>
      <c r="CIF28" s="305">
        <v>1</v>
      </c>
      <c r="CIG28" s="304">
        <f t="shared" ref="CIG28" si="175">EDATE(CIC28,CIF28)</f>
        <v>45523</v>
      </c>
      <c r="CIH28" s="340">
        <v>0</v>
      </c>
      <c r="CII28" s="320">
        <f t="shared" ref="CII28" ca="1" si="176">IF(CIJ28&gt;=1,(CIH28/CIF28),0)</f>
        <v>0</v>
      </c>
      <c r="CIJ28" s="292">
        <f t="shared" ref="CIJ28" ca="1" si="177">CIG28-$G$5</f>
        <v>-591</v>
      </c>
      <c r="CIK28" s="259" t="s">
        <v>55</v>
      </c>
      <c r="CIL28" s="256" t="s">
        <v>76</v>
      </c>
      <c r="CIM28" s="256" t="s">
        <v>77</v>
      </c>
      <c r="CIN28" s="256" t="s">
        <v>78</v>
      </c>
      <c r="CIO28" s="256" t="s">
        <v>79</v>
      </c>
      <c r="CIP28" s="256" t="s">
        <v>80</v>
      </c>
      <c r="CIQ28" s="256" t="s">
        <v>81</v>
      </c>
      <c r="CIR28" s="331"/>
      <c r="CIS28" s="290">
        <v>45492</v>
      </c>
      <c r="CIT28" s="339" t="s">
        <v>141</v>
      </c>
      <c r="CIU28" s="305"/>
      <c r="CIV28" s="305">
        <v>1</v>
      </c>
      <c r="CIW28" s="304">
        <f t="shared" ref="CIW28" si="178">EDATE(CIS28,CIV28)</f>
        <v>45523</v>
      </c>
      <c r="CIX28" s="340">
        <v>0</v>
      </c>
      <c r="CIY28" s="320">
        <f t="shared" ref="CIY28" ca="1" si="179">IF(CIZ28&gt;=1,(CIX28/CIV28),0)</f>
        <v>0</v>
      </c>
      <c r="CIZ28" s="292">
        <f t="shared" ref="CIZ28" ca="1" si="180">CIW28-$G$5</f>
        <v>-591</v>
      </c>
      <c r="CJA28" s="259" t="s">
        <v>55</v>
      </c>
      <c r="CJB28" s="256" t="s">
        <v>76</v>
      </c>
      <c r="CJC28" s="256" t="s">
        <v>77</v>
      </c>
      <c r="CJD28" s="256" t="s">
        <v>78</v>
      </c>
      <c r="CJE28" s="256" t="s">
        <v>79</v>
      </c>
      <c r="CJF28" s="256" t="s">
        <v>80</v>
      </c>
      <c r="CJG28" s="256" t="s">
        <v>81</v>
      </c>
      <c r="CJH28" s="331"/>
      <c r="CJI28" s="290">
        <v>45492</v>
      </c>
      <c r="CJJ28" s="339" t="s">
        <v>141</v>
      </c>
      <c r="CJK28" s="305"/>
      <c r="CJL28" s="305">
        <v>1</v>
      </c>
      <c r="CJM28" s="304">
        <f t="shared" ref="CJM28" si="181">EDATE(CJI28,CJL28)</f>
        <v>45523</v>
      </c>
      <c r="CJN28" s="340">
        <v>0</v>
      </c>
      <c r="CJO28" s="320">
        <f t="shared" ref="CJO28" ca="1" si="182">IF(CJP28&gt;=1,(CJN28/CJL28),0)</f>
        <v>0</v>
      </c>
      <c r="CJP28" s="292">
        <f t="shared" ref="CJP28" ca="1" si="183">CJM28-$G$5</f>
        <v>-591</v>
      </c>
      <c r="CJQ28" s="259" t="s">
        <v>55</v>
      </c>
      <c r="CJR28" s="256" t="s">
        <v>76</v>
      </c>
      <c r="CJS28" s="256" t="s">
        <v>77</v>
      </c>
      <c r="CJT28" s="256" t="s">
        <v>78</v>
      </c>
      <c r="CJU28" s="256" t="s">
        <v>79</v>
      </c>
      <c r="CJV28" s="256" t="s">
        <v>80</v>
      </c>
      <c r="CJW28" s="256" t="s">
        <v>81</v>
      </c>
      <c r="CJX28" s="331"/>
      <c r="CJY28" s="290">
        <v>45492</v>
      </c>
      <c r="CJZ28" s="339" t="s">
        <v>141</v>
      </c>
      <c r="CKA28" s="305"/>
      <c r="CKB28" s="305">
        <v>1</v>
      </c>
      <c r="CKC28" s="304">
        <f t="shared" ref="CKC28" si="184">EDATE(CJY28,CKB28)</f>
        <v>45523</v>
      </c>
      <c r="CKD28" s="340">
        <v>0</v>
      </c>
      <c r="CKE28" s="320">
        <f t="shared" ref="CKE28" ca="1" si="185">IF(CKF28&gt;=1,(CKD28/CKB28),0)</f>
        <v>0</v>
      </c>
      <c r="CKF28" s="292">
        <f t="shared" ref="CKF28" ca="1" si="186">CKC28-$G$5</f>
        <v>-591</v>
      </c>
      <c r="CKG28" s="259" t="s">
        <v>55</v>
      </c>
      <c r="CKH28" s="256" t="s">
        <v>76</v>
      </c>
      <c r="CKI28" s="256" t="s">
        <v>77</v>
      </c>
      <c r="CKJ28" s="256" t="s">
        <v>78</v>
      </c>
      <c r="CKK28" s="256" t="s">
        <v>79</v>
      </c>
      <c r="CKL28" s="256" t="s">
        <v>80</v>
      </c>
      <c r="CKM28" s="256" t="s">
        <v>81</v>
      </c>
      <c r="CKN28" s="331"/>
      <c r="CKO28" s="290">
        <v>45492</v>
      </c>
      <c r="CKP28" s="339" t="s">
        <v>141</v>
      </c>
      <c r="CKQ28" s="305"/>
      <c r="CKR28" s="305">
        <v>1</v>
      </c>
      <c r="CKS28" s="304">
        <f t="shared" ref="CKS28" si="187">EDATE(CKO28,CKR28)</f>
        <v>45523</v>
      </c>
      <c r="CKT28" s="340">
        <v>0</v>
      </c>
      <c r="CKU28" s="320">
        <f t="shared" ref="CKU28" ca="1" si="188">IF(CKV28&gt;=1,(CKT28/CKR28),0)</f>
        <v>0</v>
      </c>
      <c r="CKV28" s="292">
        <f t="shared" ref="CKV28" ca="1" si="189">CKS28-$G$5</f>
        <v>-591</v>
      </c>
      <c r="CKW28" s="259" t="s">
        <v>55</v>
      </c>
      <c r="CKX28" s="256" t="s">
        <v>76</v>
      </c>
      <c r="CKY28" s="256" t="s">
        <v>77</v>
      </c>
      <c r="CKZ28" s="256" t="s">
        <v>78</v>
      </c>
      <c r="CLA28" s="256" t="s">
        <v>79</v>
      </c>
      <c r="CLB28" s="256" t="s">
        <v>80</v>
      </c>
      <c r="CLC28" s="256" t="s">
        <v>81</v>
      </c>
      <c r="CLD28" s="331"/>
      <c r="CLE28" s="290">
        <v>45492</v>
      </c>
      <c r="CLF28" s="339" t="s">
        <v>141</v>
      </c>
      <c r="CLG28" s="305"/>
      <c r="CLH28" s="305">
        <v>1</v>
      </c>
      <c r="CLI28" s="304">
        <f t="shared" ref="CLI28" si="190">EDATE(CLE28,CLH28)</f>
        <v>45523</v>
      </c>
      <c r="CLJ28" s="340">
        <v>0</v>
      </c>
      <c r="CLK28" s="320">
        <f t="shared" ref="CLK28" ca="1" si="191">IF(CLL28&gt;=1,(CLJ28/CLH28),0)</f>
        <v>0</v>
      </c>
      <c r="CLL28" s="292">
        <f t="shared" ref="CLL28" ca="1" si="192">CLI28-$G$5</f>
        <v>-591</v>
      </c>
      <c r="CLM28" s="259" t="s">
        <v>55</v>
      </c>
      <c r="CLN28" s="256" t="s">
        <v>76</v>
      </c>
      <c r="CLO28" s="256" t="s">
        <v>77</v>
      </c>
      <c r="CLP28" s="256" t="s">
        <v>78</v>
      </c>
      <c r="CLQ28" s="256" t="s">
        <v>79</v>
      </c>
      <c r="CLR28" s="256" t="s">
        <v>80</v>
      </c>
      <c r="CLS28" s="256" t="s">
        <v>81</v>
      </c>
      <c r="CLT28" s="331"/>
      <c r="CLU28" s="290">
        <v>45492</v>
      </c>
      <c r="CLV28" s="339" t="s">
        <v>141</v>
      </c>
      <c r="CLW28" s="305"/>
      <c r="CLX28" s="305">
        <v>1</v>
      </c>
      <c r="CLY28" s="304">
        <f t="shared" ref="CLY28" si="193">EDATE(CLU28,CLX28)</f>
        <v>45523</v>
      </c>
      <c r="CLZ28" s="340">
        <v>0</v>
      </c>
      <c r="CMA28" s="320">
        <f t="shared" ref="CMA28" ca="1" si="194">IF(CMB28&gt;=1,(CLZ28/CLX28),0)</f>
        <v>0</v>
      </c>
      <c r="CMB28" s="292">
        <f t="shared" ref="CMB28" ca="1" si="195">CLY28-$G$5</f>
        <v>-591</v>
      </c>
      <c r="CMC28" s="259" t="s">
        <v>55</v>
      </c>
      <c r="CMD28" s="256" t="s">
        <v>76</v>
      </c>
      <c r="CME28" s="256" t="s">
        <v>77</v>
      </c>
      <c r="CMF28" s="256" t="s">
        <v>78</v>
      </c>
      <c r="CMG28" s="256" t="s">
        <v>79</v>
      </c>
      <c r="CMH28" s="256" t="s">
        <v>80</v>
      </c>
      <c r="CMI28" s="256" t="s">
        <v>81</v>
      </c>
      <c r="CMJ28" s="331"/>
      <c r="CMK28" s="290">
        <v>45492</v>
      </c>
      <c r="CML28" s="339" t="s">
        <v>141</v>
      </c>
      <c r="CMM28" s="305"/>
      <c r="CMN28" s="305">
        <v>1</v>
      </c>
      <c r="CMO28" s="304">
        <f t="shared" ref="CMO28" si="196">EDATE(CMK28,CMN28)</f>
        <v>45523</v>
      </c>
      <c r="CMP28" s="340">
        <v>0</v>
      </c>
      <c r="CMQ28" s="320">
        <f t="shared" ref="CMQ28" ca="1" si="197">IF(CMR28&gt;=1,(CMP28/CMN28),0)</f>
        <v>0</v>
      </c>
      <c r="CMR28" s="292">
        <f t="shared" ref="CMR28" ca="1" si="198">CMO28-$G$5</f>
        <v>-591</v>
      </c>
      <c r="CMS28" s="259" t="s">
        <v>55</v>
      </c>
      <c r="CMT28" s="256" t="s">
        <v>76</v>
      </c>
      <c r="CMU28" s="256" t="s">
        <v>77</v>
      </c>
      <c r="CMV28" s="256" t="s">
        <v>78</v>
      </c>
      <c r="CMW28" s="256" t="s">
        <v>79</v>
      </c>
      <c r="CMX28" s="256" t="s">
        <v>80</v>
      </c>
      <c r="CMY28" s="256" t="s">
        <v>81</v>
      </c>
      <c r="CMZ28" s="331"/>
      <c r="CNA28" s="290">
        <v>45492</v>
      </c>
      <c r="CNB28" s="339" t="s">
        <v>141</v>
      </c>
      <c r="CNC28" s="305"/>
      <c r="CND28" s="305">
        <v>1</v>
      </c>
      <c r="CNE28" s="304">
        <f t="shared" ref="CNE28" si="199">EDATE(CNA28,CND28)</f>
        <v>45523</v>
      </c>
      <c r="CNF28" s="340">
        <v>0</v>
      </c>
      <c r="CNG28" s="320">
        <f t="shared" ref="CNG28" ca="1" si="200">IF(CNH28&gt;=1,(CNF28/CND28),0)</f>
        <v>0</v>
      </c>
      <c r="CNH28" s="292">
        <f t="shared" ref="CNH28" ca="1" si="201">CNE28-$G$5</f>
        <v>-591</v>
      </c>
      <c r="CNI28" s="259" t="s">
        <v>55</v>
      </c>
      <c r="CNJ28" s="256" t="s">
        <v>76</v>
      </c>
      <c r="CNK28" s="256" t="s">
        <v>77</v>
      </c>
      <c r="CNL28" s="256" t="s">
        <v>78</v>
      </c>
      <c r="CNM28" s="256" t="s">
        <v>79</v>
      </c>
      <c r="CNN28" s="256" t="s">
        <v>80</v>
      </c>
      <c r="CNO28" s="256" t="s">
        <v>81</v>
      </c>
      <c r="CNP28" s="331"/>
      <c r="CNQ28" s="290">
        <v>45492</v>
      </c>
      <c r="CNR28" s="339" t="s">
        <v>141</v>
      </c>
      <c r="CNS28" s="305"/>
      <c r="CNT28" s="305">
        <v>1</v>
      </c>
      <c r="CNU28" s="304">
        <f t="shared" ref="CNU28" si="202">EDATE(CNQ28,CNT28)</f>
        <v>45523</v>
      </c>
      <c r="CNV28" s="340">
        <v>0</v>
      </c>
      <c r="CNW28" s="320">
        <f t="shared" ref="CNW28" ca="1" si="203">IF(CNX28&gt;=1,(CNV28/CNT28),0)</f>
        <v>0</v>
      </c>
      <c r="CNX28" s="292">
        <f t="shared" ref="CNX28" ca="1" si="204">CNU28-$G$5</f>
        <v>-591</v>
      </c>
      <c r="CNY28" s="259" t="s">
        <v>55</v>
      </c>
      <c r="CNZ28" s="256" t="s">
        <v>76</v>
      </c>
      <c r="COA28" s="256" t="s">
        <v>77</v>
      </c>
      <c r="COB28" s="256" t="s">
        <v>78</v>
      </c>
      <c r="COC28" s="256" t="s">
        <v>79</v>
      </c>
      <c r="COD28" s="256" t="s">
        <v>80</v>
      </c>
      <c r="COE28" s="256" t="s">
        <v>81</v>
      </c>
      <c r="COF28" s="331"/>
      <c r="COG28" s="290">
        <v>45492</v>
      </c>
      <c r="COH28" s="339" t="s">
        <v>141</v>
      </c>
      <c r="COI28" s="305"/>
      <c r="COJ28" s="305">
        <v>1</v>
      </c>
      <c r="COK28" s="304">
        <f t="shared" ref="COK28" si="205">EDATE(COG28,COJ28)</f>
        <v>45523</v>
      </c>
      <c r="COL28" s="340">
        <v>0</v>
      </c>
      <c r="COM28" s="320">
        <f t="shared" ref="COM28" ca="1" si="206">IF(CON28&gt;=1,(COL28/COJ28),0)</f>
        <v>0</v>
      </c>
      <c r="CON28" s="292">
        <f t="shared" ref="CON28" ca="1" si="207">COK28-$G$5</f>
        <v>-591</v>
      </c>
      <c r="COO28" s="259" t="s">
        <v>55</v>
      </c>
      <c r="COP28" s="256" t="s">
        <v>76</v>
      </c>
      <c r="COQ28" s="256" t="s">
        <v>77</v>
      </c>
      <c r="COR28" s="256" t="s">
        <v>78</v>
      </c>
      <c r="COS28" s="256" t="s">
        <v>79</v>
      </c>
      <c r="COT28" s="256" t="s">
        <v>80</v>
      </c>
      <c r="COU28" s="256" t="s">
        <v>81</v>
      </c>
      <c r="COV28" s="331"/>
      <c r="COW28" s="290">
        <v>45492</v>
      </c>
      <c r="COX28" s="339" t="s">
        <v>141</v>
      </c>
      <c r="COY28" s="305"/>
      <c r="COZ28" s="305">
        <v>1</v>
      </c>
      <c r="CPA28" s="304">
        <f t="shared" ref="CPA28" si="208">EDATE(COW28,COZ28)</f>
        <v>45523</v>
      </c>
      <c r="CPB28" s="340">
        <v>0</v>
      </c>
      <c r="CPC28" s="320">
        <f t="shared" ref="CPC28" ca="1" si="209">IF(CPD28&gt;=1,(CPB28/COZ28),0)</f>
        <v>0</v>
      </c>
      <c r="CPD28" s="292">
        <f t="shared" ref="CPD28" ca="1" si="210">CPA28-$G$5</f>
        <v>-591</v>
      </c>
      <c r="CPE28" s="259" t="s">
        <v>55</v>
      </c>
      <c r="CPF28" s="256" t="s">
        <v>76</v>
      </c>
      <c r="CPG28" s="256" t="s">
        <v>77</v>
      </c>
      <c r="CPH28" s="256" t="s">
        <v>78</v>
      </c>
      <c r="CPI28" s="256" t="s">
        <v>79</v>
      </c>
      <c r="CPJ28" s="256" t="s">
        <v>80</v>
      </c>
      <c r="CPK28" s="256" t="s">
        <v>81</v>
      </c>
      <c r="CPL28" s="331"/>
      <c r="CPM28" s="290">
        <v>45492</v>
      </c>
      <c r="CPN28" s="339" t="s">
        <v>141</v>
      </c>
      <c r="CPO28" s="305"/>
      <c r="CPP28" s="305">
        <v>1</v>
      </c>
      <c r="CPQ28" s="304">
        <f t="shared" ref="CPQ28" si="211">EDATE(CPM28,CPP28)</f>
        <v>45523</v>
      </c>
      <c r="CPR28" s="340">
        <v>0</v>
      </c>
      <c r="CPS28" s="320">
        <f t="shared" ref="CPS28" ca="1" si="212">IF(CPT28&gt;=1,(CPR28/CPP28),0)</f>
        <v>0</v>
      </c>
      <c r="CPT28" s="292">
        <f t="shared" ref="CPT28" ca="1" si="213">CPQ28-$G$5</f>
        <v>-591</v>
      </c>
      <c r="CPU28" s="259" t="s">
        <v>55</v>
      </c>
      <c r="CPV28" s="256" t="s">
        <v>76</v>
      </c>
      <c r="CPW28" s="256" t="s">
        <v>77</v>
      </c>
      <c r="CPX28" s="256" t="s">
        <v>78</v>
      </c>
      <c r="CPY28" s="256" t="s">
        <v>79</v>
      </c>
      <c r="CPZ28" s="256" t="s">
        <v>80</v>
      </c>
      <c r="CQA28" s="256" t="s">
        <v>81</v>
      </c>
      <c r="CQB28" s="331"/>
      <c r="CQC28" s="290">
        <v>45492</v>
      </c>
      <c r="CQD28" s="339" t="s">
        <v>141</v>
      </c>
      <c r="CQE28" s="305"/>
      <c r="CQF28" s="305">
        <v>1</v>
      </c>
      <c r="CQG28" s="304">
        <f t="shared" ref="CQG28" si="214">EDATE(CQC28,CQF28)</f>
        <v>45523</v>
      </c>
      <c r="CQH28" s="340">
        <v>0</v>
      </c>
      <c r="CQI28" s="320">
        <f t="shared" ref="CQI28" ca="1" si="215">IF(CQJ28&gt;=1,(CQH28/CQF28),0)</f>
        <v>0</v>
      </c>
      <c r="CQJ28" s="292">
        <f t="shared" ref="CQJ28" ca="1" si="216">CQG28-$G$5</f>
        <v>-591</v>
      </c>
      <c r="CQK28" s="259" t="s">
        <v>55</v>
      </c>
      <c r="CQL28" s="256" t="s">
        <v>76</v>
      </c>
      <c r="CQM28" s="256" t="s">
        <v>77</v>
      </c>
      <c r="CQN28" s="256" t="s">
        <v>78</v>
      </c>
      <c r="CQO28" s="256" t="s">
        <v>79</v>
      </c>
      <c r="CQP28" s="256" t="s">
        <v>80</v>
      </c>
      <c r="CQQ28" s="256" t="s">
        <v>81</v>
      </c>
      <c r="CQR28" s="331"/>
      <c r="CQS28" s="290">
        <v>45492</v>
      </c>
      <c r="CQT28" s="339" t="s">
        <v>141</v>
      </c>
      <c r="CQU28" s="305"/>
      <c r="CQV28" s="305">
        <v>1</v>
      </c>
      <c r="CQW28" s="304">
        <f t="shared" ref="CQW28" si="217">EDATE(CQS28,CQV28)</f>
        <v>45523</v>
      </c>
      <c r="CQX28" s="340">
        <v>0</v>
      </c>
      <c r="CQY28" s="320">
        <f t="shared" ref="CQY28" ca="1" si="218">IF(CQZ28&gt;=1,(CQX28/CQV28),0)</f>
        <v>0</v>
      </c>
      <c r="CQZ28" s="292">
        <f t="shared" ref="CQZ28" ca="1" si="219">CQW28-$G$5</f>
        <v>-591</v>
      </c>
      <c r="CRA28" s="259" t="s">
        <v>55</v>
      </c>
      <c r="CRB28" s="256" t="s">
        <v>76</v>
      </c>
      <c r="CRC28" s="256" t="s">
        <v>77</v>
      </c>
      <c r="CRD28" s="256" t="s">
        <v>78</v>
      </c>
      <c r="CRE28" s="256" t="s">
        <v>79</v>
      </c>
      <c r="CRF28" s="256" t="s">
        <v>80</v>
      </c>
      <c r="CRG28" s="256" t="s">
        <v>81</v>
      </c>
      <c r="CRH28" s="331"/>
      <c r="CRI28" s="290">
        <v>45492</v>
      </c>
      <c r="CRJ28" s="339" t="s">
        <v>141</v>
      </c>
      <c r="CRK28" s="305"/>
      <c r="CRL28" s="305">
        <v>1</v>
      </c>
      <c r="CRM28" s="304">
        <f t="shared" ref="CRM28" si="220">EDATE(CRI28,CRL28)</f>
        <v>45523</v>
      </c>
      <c r="CRN28" s="340">
        <v>0</v>
      </c>
      <c r="CRO28" s="320">
        <f t="shared" ref="CRO28" ca="1" si="221">IF(CRP28&gt;=1,(CRN28/CRL28),0)</f>
        <v>0</v>
      </c>
      <c r="CRP28" s="292">
        <f t="shared" ref="CRP28" ca="1" si="222">CRM28-$G$5</f>
        <v>-591</v>
      </c>
      <c r="CRQ28" s="259" t="s">
        <v>55</v>
      </c>
      <c r="CRR28" s="256" t="s">
        <v>76</v>
      </c>
      <c r="CRS28" s="256" t="s">
        <v>77</v>
      </c>
      <c r="CRT28" s="256" t="s">
        <v>78</v>
      </c>
      <c r="CRU28" s="256" t="s">
        <v>79</v>
      </c>
      <c r="CRV28" s="256" t="s">
        <v>80</v>
      </c>
      <c r="CRW28" s="256" t="s">
        <v>81</v>
      </c>
      <c r="CRX28" s="331"/>
      <c r="CRY28" s="290">
        <v>45492</v>
      </c>
      <c r="CRZ28" s="339" t="s">
        <v>141</v>
      </c>
      <c r="CSA28" s="305"/>
      <c r="CSB28" s="305">
        <v>1</v>
      </c>
      <c r="CSC28" s="304">
        <f t="shared" ref="CSC28" si="223">EDATE(CRY28,CSB28)</f>
        <v>45523</v>
      </c>
      <c r="CSD28" s="340">
        <v>0</v>
      </c>
      <c r="CSE28" s="320">
        <f t="shared" ref="CSE28" ca="1" si="224">IF(CSF28&gt;=1,(CSD28/CSB28),0)</f>
        <v>0</v>
      </c>
      <c r="CSF28" s="292">
        <f t="shared" ref="CSF28" ca="1" si="225">CSC28-$G$5</f>
        <v>-591</v>
      </c>
      <c r="CSG28" s="259" t="s">
        <v>55</v>
      </c>
      <c r="CSH28" s="256" t="s">
        <v>76</v>
      </c>
      <c r="CSI28" s="256" t="s">
        <v>77</v>
      </c>
      <c r="CSJ28" s="256" t="s">
        <v>78</v>
      </c>
      <c r="CSK28" s="256" t="s">
        <v>79</v>
      </c>
      <c r="CSL28" s="256" t="s">
        <v>80</v>
      </c>
      <c r="CSM28" s="256" t="s">
        <v>81</v>
      </c>
      <c r="CSN28" s="331"/>
      <c r="CSO28" s="290">
        <v>45492</v>
      </c>
      <c r="CSP28" s="339" t="s">
        <v>141</v>
      </c>
      <c r="CSQ28" s="305"/>
      <c r="CSR28" s="305">
        <v>1</v>
      </c>
      <c r="CSS28" s="304">
        <f t="shared" ref="CSS28" si="226">EDATE(CSO28,CSR28)</f>
        <v>45523</v>
      </c>
      <c r="CST28" s="340">
        <v>0</v>
      </c>
      <c r="CSU28" s="320">
        <f t="shared" ref="CSU28" ca="1" si="227">IF(CSV28&gt;=1,(CST28/CSR28),0)</f>
        <v>0</v>
      </c>
      <c r="CSV28" s="292">
        <f t="shared" ref="CSV28" ca="1" si="228">CSS28-$G$5</f>
        <v>-591</v>
      </c>
      <c r="CSW28" s="259" t="s">
        <v>55</v>
      </c>
      <c r="CSX28" s="256" t="s">
        <v>76</v>
      </c>
      <c r="CSY28" s="256" t="s">
        <v>77</v>
      </c>
      <c r="CSZ28" s="256" t="s">
        <v>78</v>
      </c>
      <c r="CTA28" s="256" t="s">
        <v>79</v>
      </c>
      <c r="CTB28" s="256" t="s">
        <v>80</v>
      </c>
      <c r="CTC28" s="256" t="s">
        <v>81</v>
      </c>
      <c r="CTD28" s="331"/>
      <c r="CTE28" s="290">
        <v>45492</v>
      </c>
      <c r="CTF28" s="339" t="s">
        <v>141</v>
      </c>
      <c r="CTG28" s="305"/>
      <c r="CTH28" s="305">
        <v>1</v>
      </c>
      <c r="CTI28" s="304">
        <f t="shared" ref="CTI28" si="229">EDATE(CTE28,CTH28)</f>
        <v>45523</v>
      </c>
      <c r="CTJ28" s="340">
        <v>0</v>
      </c>
      <c r="CTK28" s="320">
        <f t="shared" ref="CTK28" ca="1" si="230">IF(CTL28&gt;=1,(CTJ28/CTH28),0)</f>
        <v>0</v>
      </c>
      <c r="CTL28" s="292">
        <f t="shared" ref="CTL28" ca="1" si="231">CTI28-$G$5</f>
        <v>-591</v>
      </c>
      <c r="CTM28" s="259" t="s">
        <v>55</v>
      </c>
      <c r="CTN28" s="256" t="s">
        <v>76</v>
      </c>
      <c r="CTO28" s="256" t="s">
        <v>77</v>
      </c>
      <c r="CTP28" s="256" t="s">
        <v>78</v>
      </c>
      <c r="CTQ28" s="256" t="s">
        <v>79</v>
      </c>
      <c r="CTR28" s="256" t="s">
        <v>80</v>
      </c>
      <c r="CTS28" s="256" t="s">
        <v>81</v>
      </c>
      <c r="CTT28" s="331"/>
      <c r="CTU28" s="290">
        <v>45492</v>
      </c>
      <c r="CTV28" s="339" t="s">
        <v>141</v>
      </c>
      <c r="CTW28" s="305"/>
      <c r="CTX28" s="305">
        <v>1</v>
      </c>
      <c r="CTY28" s="304">
        <f t="shared" ref="CTY28" si="232">EDATE(CTU28,CTX28)</f>
        <v>45523</v>
      </c>
      <c r="CTZ28" s="340">
        <v>0</v>
      </c>
      <c r="CUA28" s="320">
        <f t="shared" ref="CUA28" ca="1" si="233">IF(CUB28&gt;=1,(CTZ28/CTX28),0)</f>
        <v>0</v>
      </c>
      <c r="CUB28" s="292">
        <f t="shared" ref="CUB28" ca="1" si="234">CTY28-$G$5</f>
        <v>-591</v>
      </c>
      <c r="CUC28" s="259" t="s">
        <v>55</v>
      </c>
      <c r="CUD28" s="256" t="s">
        <v>76</v>
      </c>
      <c r="CUE28" s="256" t="s">
        <v>77</v>
      </c>
      <c r="CUF28" s="256" t="s">
        <v>78</v>
      </c>
      <c r="CUG28" s="256" t="s">
        <v>79</v>
      </c>
      <c r="CUH28" s="256" t="s">
        <v>80</v>
      </c>
      <c r="CUI28" s="256" t="s">
        <v>81</v>
      </c>
      <c r="CUJ28" s="331"/>
      <c r="CUK28" s="290">
        <v>45492</v>
      </c>
      <c r="CUL28" s="339" t="s">
        <v>141</v>
      </c>
      <c r="CUM28" s="305"/>
      <c r="CUN28" s="305">
        <v>1</v>
      </c>
      <c r="CUO28" s="304">
        <f t="shared" ref="CUO28" si="235">EDATE(CUK28,CUN28)</f>
        <v>45523</v>
      </c>
      <c r="CUP28" s="340">
        <v>0</v>
      </c>
      <c r="CUQ28" s="320">
        <f t="shared" ref="CUQ28" ca="1" si="236">IF(CUR28&gt;=1,(CUP28/CUN28),0)</f>
        <v>0</v>
      </c>
      <c r="CUR28" s="292">
        <f t="shared" ref="CUR28" ca="1" si="237">CUO28-$G$5</f>
        <v>-591</v>
      </c>
      <c r="CUS28" s="259" t="s">
        <v>55</v>
      </c>
      <c r="CUT28" s="256" t="s">
        <v>76</v>
      </c>
      <c r="CUU28" s="256" t="s">
        <v>77</v>
      </c>
      <c r="CUV28" s="256" t="s">
        <v>78</v>
      </c>
      <c r="CUW28" s="256" t="s">
        <v>79</v>
      </c>
      <c r="CUX28" s="256" t="s">
        <v>80</v>
      </c>
      <c r="CUY28" s="256" t="s">
        <v>81</v>
      </c>
      <c r="CUZ28" s="331"/>
      <c r="CVA28" s="290">
        <v>45492</v>
      </c>
      <c r="CVB28" s="339" t="s">
        <v>141</v>
      </c>
      <c r="CVC28" s="305"/>
      <c r="CVD28" s="305">
        <v>1</v>
      </c>
      <c r="CVE28" s="304">
        <f t="shared" ref="CVE28" si="238">EDATE(CVA28,CVD28)</f>
        <v>45523</v>
      </c>
      <c r="CVF28" s="340">
        <v>0</v>
      </c>
      <c r="CVG28" s="320">
        <f t="shared" ref="CVG28" ca="1" si="239">IF(CVH28&gt;=1,(CVF28/CVD28),0)</f>
        <v>0</v>
      </c>
      <c r="CVH28" s="292">
        <f t="shared" ref="CVH28" ca="1" si="240">CVE28-$G$5</f>
        <v>-591</v>
      </c>
      <c r="CVI28" s="259" t="s">
        <v>55</v>
      </c>
      <c r="CVJ28" s="256" t="s">
        <v>76</v>
      </c>
      <c r="CVK28" s="256" t="s">
        <v>77</v>
      </c>
      <c r="CVL28" s="256" t="s">
        <v>78</v>
      </c>
      <c r="CVM28" s="256" t="s">
        <v>79</v>
      </c>
      <c r="CVN28" s="256" t="s">
        <v>80</v>
      </c>
      <c r="CVO28" s="256" t="s">
        <v>81</v>
      </c>
      <c r="CVP28" s="331"/>
      <c r="CVQ28" s="290">
        <v>45492</v>
      </c>
      <c r="CVR28" s="339" t="s">
        <v>141</v>
      </c>
      <c r="CVS28" s="305"/>
      <c r="CVT28" s="305">
        <v>1</v>
      </c>
      <c r="CVU28" s="304">
        <f t="shared" ref="CVU28" si="241">EDATE(CVQ28,CVT28)</f>
        <v>45523</v>
      </c>
      <c r="CVV28" s="340">
        <v>0</v>
      </c>
      <c r="CVW28" s="320">
        <f t="shared" ref="CVW28" ca="1" si="242">IF(CVX28&gt;=1,(CVV28/CVT28),0)</f>
        <v>0</v>
      </c>
      <c r="CVX28" s="292">
        <f t="shared" ref="CVX28" ca="1" si="243">CVU28-$G$5</f>
        <v>-591</v>
      </c>
      <c r="CVY28" s="259" t="s">
        <v>55</v>
      </c>
      <c r="CVZ28" s="256" t="s">
        <v>76</v>
      </c>
      <c r="CWA28" s="256" t="s">
        <v>77</v>
      </c>
      <c r="CWB28" s="256" t="s">
        <v>78</v>
      </c>
      <c r="CWC28" s="256" t="s">
        <v>79</v>
      </c>
      <c r="CWD28" s="256" t="s">
        <v>80</v>
      </c>
      <c r="CWE28" s="256" t="s">
        <v>81</v>
      </c>
      <c r="CWF28" s="331"/>
      <c r="CWG28" s="290">
        <v>45492</v>
      </c>
      <c r="CWH28" s="339" t="s">
        <v>141</v>
      </c>
      <c r="CWI28" s="305"/>
      <c r="CWJ28" s="305">
        <v>1</v>
      </c>
      <c r="CWK28" s="304">
        <f t="shared" ref="CWK28" si="244">EDATE(CWG28,CWJ28)</f>
        <v>45523</v>
      </c>
      <c r="CWL28" s="340">
        <v>0</v>
      </c>
      <c r="CWM28" s="320">
        <f t="shared" ref="CWM28" ca="1" si="245">IF(CWN28&gt;=1,(CWL28/CWJ28),0)</f>
        <v>0</v>
      </c>
      <c r="CWN28" s="292">
        <f t="shared" ref="CWN28" ca="1" si="246">CWK28-$G$5</f>
        <v>-591</v>
      </c>
      <c r="CWO28" s="259" t="s">
        <v>55</v>
      </c>
      <c r="CWP28" s="256" t="s">
        <v>76</v>
      </c>
      <c r="CWQ28" s="256" t="s">
        <v>77</v>
      </c>
      <c r="CWR28" s="256" t="s">
        <v>78</v>
      </c>
      <c r="CWS28" s="256" t="s">
        <v>79</v>
      </c>
      <c r="CWT28" s="256" t="s">
        <v>80</v>
      </c>
      <c r="CWU28" s="256" t="s">
        <v>81</v>
      </c>
      <c r="CWV28" s="331"/>
      <c r="CWW28" s="290">
        <v>45492</v>
      </c>
      <c r="CWX28" s="339" t="s">
        <v>141</v>
      </c>
      <c r="CWY28" s="305"/>
      <c r="CWZ28" s="305">
        <v>1</v>
      </c>
      <c r="CXA28" s="304">
        <f t="shared" ref="CXA28" si="247">EDATE(CWW28,CWZ28)</f>
        <v>45523</v>
      </c>
      <c r="CXB28" s="340">
        <v>0</v>
      </c>
      <c r="CXC28" s="320">
        <f t="shared" ref="CXC28" ca="1" si="248">IF(CXD28&gt;=1,(CXB28/CWZ28),0)</f>
        <v>0</v>
      </c>
      <c r="CXD28" s="292">
        <f t="shared" ref="CXD28" ca="1" si="249">CXA28-$G$5</f>
        <v>-591</v>
      </c>
      <c r="CXE28" s="259" t="s">
        <v>55</v>
      </c>
      <c r="CXF28" s="256" t="s">
        <v>76</v>
      </c>
      <c r="CXG28" s="256" t="s">
        <v>77</v>
      </c>
      <c r="CXH28" s="256" t="s">
        <v>78</v>
      </c>
      <c r="CXI28" s="256" t="s">
        <v>79</v>
      </c>
      <c r="CXJ28" s="256" t="s">
        <v>80</v>
      </c>
      <c r="CXK28" s="256" t="s">
        <v>81</v>
      </c>
      <c r="CXL28" s="331"/>
      <c r="CXM28" s="290">
        <v>45492</v>
      </c>
      <c r="CXN28" s="339" t="s">
        <v>141</v>
      </c>
      <c r="CXO28" s="305"/>
      <c r="CXP28" s="305">
        <v>1</v>
      </c>
      <c r="CXQ28" s="304">
        <f t="shared" ref="CXQ28" si="250">EDATE(CXM28,CXP28)</f>
        <v>45523</v>
      </c>
      <c r="CXR28" s="340">
        <v>0</v>
      </c>
      <c r="CXS28" s="320">
        <f t="shared" ref="CXS28" ca="1" si="251">IF(CXT28&gt;=1,(CXR28/CXP28),0)</f>
        <v>0</v>
      </c>
      <c r="CXT28" s="292">
        <f t="shared" ref="CXT28" ca="1" si="252">CXQ28-$G$5</f>
        <v>-591</v>
      </c>
      <c r="CXU28" s="259" t="s">
        <v>55</v>
      </c>
      <c r="CXV28" s="256" t="s">
        <v>76</v>
      </c>
      <c r="CXW28" s="256" t="s">
        <v>77</v>
      </c>
      <c r="CXX28" s="256" t="s">
        <v>78</v>
      </c>
      <c r="CXY28" s="256" t="s">
        <v>79</v>
      </c>
      <c r="CXZ28" s="256" t="s">
        <v>80</v>
      </c>
      <c r="CYA28" s="256" t="s">
        <v>81</v>
      </c>
      <c r="CYB28" s="331"/>
      <c r="CYC28" s="290">
        <v>45492</v>
      </c>
      <c r="CYD28" s="339" t="s">
        <v>141</v>
      </c>
      <c r="CYE28" s="305"/>
      <c r="CYF28" s="305">
        <v>1</v>
      </c>
      <c r="CYG28" s="304">
        <f t="shared" ref="CYG28" si="253">EDATE(CYC28,CYF28)</f>
        <v>45523</v>
      </c>
      <c r="CYH28" s="340">
        <v>0</v>
      </c>
      <c r="CYI28" s="320">
        <f t="shared" ref="CYI28" ca="1" si="254">IF(CYJ28&gt;=1,(CYH28/CYF28),0)</f>
        <v>0</v>
      </c>
      <c r="CYJ28" s="292">
        <f t="shared" ref="CYJ28" ca="1" si="255">CYG28-$G$5</f>
        <v>-591</v>
      </c>
      <c r="CYK28" s="259" t="s">
        <v>55</v>
      </c>
      <c r="CYL28" s="256" t="s">
        <v>76</v>
      </c>
      <c r="CYM28" s="256" t="s">
        <v>77</v>
      </c>
      <c r="CYN28" s="256" t="s">
        <v>78</v>
      </c>
      <c r="CYO28" s="256" t="s">
        <v>79</v>
      </c>
      <c r="CYP28" s="256" t="s">
        <v>80</v>
      </c>
      <c r="CYQ28" s="256" t="s">
        <v>81</v>
      </c>
      <c r="CYR28" s="331"/>
      <c r="CYS28" s="290">
        <v>45492</v>
      </c>
      <c r="CYT28" s="339" t="s">
        <v>141</v>
      </c>
      <c r="CYU28" s="305"/>
      <c r="CYV28" s="305">
        <v>1</v>
      </c>
      <c r="CYW28" s="304">
        <f t="shared" ref="CYW28" si="256">EDATE(CYS28,CYV28)</f>
        <v>45523</v>
      </c>
      <c r="CYX28" s="340">
        <v>0</v>
      </c>
      <c r="CYY28" s="320">
        <f t="shared" ref="CYY28" ca="1" si="257">IF(CYZ28&gt;=1,(CYX28/CYV28),0)</f>
        <v>0</v>
      </c>
      <c r="CYZ28" s="292">
        <f t="shared" ref="CYZ28" ca="1" si="258">CYW28-$G$5</f>
        <v>-591</v>
      </c>
      <c r="CZA28" s="259" t="s">
        <v>55</v>
      </c>
      <c r="CZB28" s="256" t="s">
        <v>76</v>
      </c>
      <c r="CZC28" s="256" t="s">
        <v>77</v>
      </c>
      <c r="CZD28" s="256" t="s">
        <v>78</v>
      </c>
      <c r="CZE28" s="256" t="s">
        <v>79</v>
      </c>
      <c r="CZF28" s="256" t="s">
        <v>80</v>
      </c>
      <c r="CZG28" s="256" t="s">
        <v>81</v>
      </c>
      <c r="CZH28" s="331"/>
      <c r="CZI28" s="290">
        <v>45492</v>
      </c>
      <c r="CZJ28" s="339" t="s">
        <v>141</v>
      </c>
      <c r="CZK28" s="305"/>
      <c r="CZL28" s="305">
        <v>1</v>
      </c>
      <c r="CZM28" s="304">
        <f t="shared" ref="CZM28" si="259">EDATE(CZI28,CZL28)</f>
        <v>45523</v>
      </c>
      <c r="CZN28" s="340">
        <v>0</v>
      </c>
      <c r="CZO28" s="320">
        <f t="shared" ref="CZO28" ca="1" si="260">IF(CZP28&gt;=1,(CZN28/CZL28),0)</f>
        <v>0</v>
      </c>
      <c r="CZP28" s="292">
        <f t="shared" ref="CZP28" ca="1" si="261">CZM28-$G$5</f>
        <v>-591</v>
      </c>
      <c r="CZQ28" s="259" t="s">
        <v>55</v>
      </c>
      <c r="CZR28" s="256" t="s">
        <v>76</v>
      </c>
      <c r="CZS28" s="256" t="s">
        <v>77</v>
      </c>
      <c r="CZT28" s="256" t="s">
        <v>78</v>
      </c>
      <c r="CZU28" s="256" t="s">
        <v>79</v>
      </c>
      <c r="CZV28" s="256" t="s">
        <v>80</v>
      </c>
      <c r="CZW28" s="256" t="s">
        <v>81</v>
      </c>
      <c r="CZX28" s="331"/>
      <c r="CZY28" s="290">
        <v>45492</v>
      </c>
      <c r="CZZ28" s="339" t="s">
        <v>141</v>
      </c>
      <c r="DAA28" s="305"/>
      <c r="DAB28" s="305">
        <v>1</v>
      </c>
      <c r="DAC28" s="304">
        <f t="shared" ref="DAC28" si="262">EDATE(CZY28,DAB28)</f>
        <v>45523</v>
      </c>
      <c r="DAD28" s="340">
        <v>0</v>
      </c>
      <c r="DAE28" s="320">
        <f t="shared" ref="DAE28" ca="1" si="263">IF(DAF28&gt;=1,(DAD28/DAB28),0)</f>
        <v>0</v>
      </c>
      <c r="DAF28" s="292">
        <f t="shared" ref="DAF28" ca="1" si="264">DAC28-$G$5</f>
        <v>-591</v>
      </c>
      <c r="DAG28" s="259" t="s">
        <v>55</v>
      </c>
      <c r="DAH28" s="256" t="s">
        <v>76</v>
      </c>
      <c r="DAI28" s="256" t="s">
        <v>77</v>
      </c>
      <c r="DAJ28" s="256" t="s">
        <v>78</v>
      </c>
      <c r="DAK28" s="256" t="s">
        <v>79</v>
      </c>
      <c r="DAL28" s="256" t="s">
        <v>80</v>
      </c>
      <c r="DAM28" s="256" t="s">
        <v>81</v>
      </c>
      <c r="DAN28" s="331"/>
      <c r="DAO28" s="290">
        <v>45492</v>
      </c>
      <c r="DAP28" s="339" t="s">
        <v>141</v>
      </c>
      <c r="DAQ28" s="305"/>
      <c r="DAR28" s="305">
        <v>1</v>
      </c>
      <c r="DAS28" s="304">
        <f t="shared" ref="DAS28" si="265">EDATE(DAO28,DAR28)</f>
        <v>45523</v>
      </c>
      <c r="DAT28" s="340">
        <v>0</v>
      </c>
      <c r="DAU28" s="320">
        <f t="shared" ref="DAU28" ca="1" si="266">IF(DAV28&gt;=1,(DAT28/DAR28),0)</f>
        <v>0</v>
      </c>
      <c r="DAV28" s="292">
        <f t="shared" ref="DAV28" ca="1" si="267">DAS28-$G$5</f>
        <v>-591</v>
      </c>
      <c r="DAW28" s="259" t="s">
        <v>55</v>
      </c>
      <c r="DAX28" s="256" t="s">
        <v>76</v>
      </c>
      <c r="DAY28" s="256" t="s">
        <v>77</v>
      </c>
      <c r="DAZ28" s="256" t="s">
        <v>78</v>
      </c>
      <c r="DBA28" s="256" t="s">
        <v>79</v>
      </c>
      <c r="DBB28" s="256" t="s">
        <v>80</v>
      </c>
      <c r="DBC28" s="256" t="s">
        <v>81</v>
      </c>
      <c r="DBD28" s="331"/>
      <c r="DBE28" s="290">
        <v>45492</v>
      </c>
      <c r="DBF28" s="339" t="s">
        <v>141</v>
      </c>
      <c r="DBG28" s="305"/>
      <c r="DBH28" s="305">
        <v>1</v>
      </c>
      <c r="DBI28" s="304">
        <f t="shared" ref="DBI28" si="268">EDATE(DBE28,DBH28)</f>
        <v>45523</v>
      </c>
      <c r="DBJ28" s="340">
        <v>0</v>
      </c>
      <c r="DBK28" s="320">
        <f t="shared" ref="DBK28" ca="1" si="269">IF(DBL28&gt;=1,(DBJ28/DBH28),0)</f>
        <v>0</v>
      </c>
      <c r="DBL28" s="292">
        <f t="shared" ref="DBL28" ca="1" si="270">DBI28-$G$5</f>
        <v>-591</v>
      </c>
      <c r="DBM28" s="259" t="s">
        <v>55</v>
      </c>
      <c r="DBN28" s="256" t="s">
        <v>76</v>
      </c>
      <c r="DBO28" s="256" t="s">
        <v>77</v>
      </c>
      <c r="DBP28" s="256" t="s">
        <v>78</v>
      </c>
      <c r="DBQ28" s="256" t="s">
        <v>79</v>
      </c>
      <c r="DBR28" s="256" t="s">
        <v>80</v>
      </c>
      <c r="DBS28" s="256" t="s">
        <v>81</v>
      </c>
      <c r="DBT28" s="331"/>
      <c r="DBU28" s="290">
        <v>45492</v>
      </c>
      <c r="DBV28" s="339" t="s">
        <v>141</v>
      </c>
      <c r="DBW28" s="305"/>
      <c r="DBX28" s="305">
        <v>1</v>
      </c>
      <c r="DBY28" s="304">
        <f t="shared" ref="DBY28" si="271">EDATE(DBU28,DBX28)</f>
        <v>45523</v>
      </c>
      <c r="DBZ28" s="340">
        <v>0</v>
      </c>
      <c r="DCA28" s="320">
        <f t="shared" ref="DCA28" ca="1" si="272">IF(DCB28&gt;=1,(DBZ28/DBX28),0)</f>
        <v>0</v>
      </c>
      <c r="DCB28" s="292">
        <f t="shared" ref="DCB28" ca="1" si="273">DBY28-$G$5</f>
        <v>-591</v>
      </c>
      <c r="DCC28" s="259" t="s">
        <v>55</v>
      </c>
      <c r="DCD28" s="256" t="s">
        <v>76</v>
      </c>
      <c r="DCE28" s="256" t="s">
        <v>77</v>
      </c>
      <c r="DCF28" s="256" t="s">
        <v>78</v>
      </c>
      <c r="DCG28" s="256" t="s">
        <v>79</v>
      </c>
      <c r="DCH28" s="256" t="s">
        <v>80</v>
      </c>
      <c r="DCI28" s="256" t="s">
        <v>81</v>
      </c>
      <c r="DCJ28" s="331"/>
      <c r="DCK28" s="290">
        <v>45492</v>
      </c>
      <c r="DCL28" s="339" t="s">
        <v>141</v>
      </c>
      <c r="DCM28" s="305"/>
      <c r="DCN28" s="305">
        <v>1</v>
      </c>
      <c r="DCO28" s="304">
        <f t="shared" ref="DCO28" si="274">EDATE(DCK28,DCN28)</f>
        <v>45523</v>
      </c>
      <c r="DCP28" s="340">
        <v>0</v>
      </c>
      <c r="DCQ28" s="320">
        <f t="shared" ref="DCQ28" ca="1" si="275">IF(DCR28&gt;=1,(DCP28/DCN28),0)</f>
        <v>0</v>
      </c>
      <c r="DCR28" s="292">
        <f t="shared" ref="DCR28" ca="1" si="276">DCO28-$G$5</f>
        <v>-591</v>
      </c>
      <c r="DCS28" s="259" t="s">
        <v>55</v>
      </c>
      <c r="DCT28" s="256" t="s">
        <v>76</v>
      </c>
      <c r="DCU28" s="256" t="s">
        <v>77</v>
      </c>
      <c r="DCV28" s="256" t="s">
        <v>78</v>
      </c>
      <c r="DCW28" s="256" t="s">
        <v>79</v>
      </c>
      <c r="DCX28" s="256" t="s">
        <v>80</v>
      </c>
      <c r="DCY28" s="256" t="s">
        <v>81</v>
      </c>
      <c r="DCZ28" s="331"/>
      <c r="DDA28" s="290">
        <v>45492</v>
      </c>
      <c r="DDB28" s="339" t="s">
        <v>141</v>
      </c>
      <c r="DDC28" s="305"/>
      <c r="DDD28" s="305">
        <v>1</v>
      </c>
      <c r="DDE28" s="304">
        <f t="shared" ref="DDE28" si="277">EDATE(DDA28,DDD28)</f>
        <v>45523</v>
      </c>
      <c r="DDF28" s="340">
        <v>0</v>
      </c>
      <c r="DDG28" s="320">
        <f t="shared" ref="DDG28" ca="1" si="278">IF(DDH28&gt;=1,(DDF28/DDD28),0)</f>
        <v>0</v>
      </c>
      <c r="DDH28" s="292">
        <f t="shared" ref="DDH28" ca="1" si="279">DDE28-$G$5</f>
        <v>-591</v>
      </c>
      <c r="DDI28" s="259" t="s">
        <v>55</v>
      </c>
      <c r="DDJ28" s="256" t="s">
        <v>76</v>
      </c>
      <c r="DDK28" s="256" t="s">
        <v>77</v>
      </c>
      <c r="DDL28" s="256" t="s">
        <v>78</v>
      </c>
      <c r="DDM28" s="256" t="s">
        <v>79</v>
      </c>
      <c r="DDN28" s="256" t="s">
        <v>80</v>
      </c>
      <c r="DDO28" s="256" t="s">
        <v>81</v>
      </c>
      <c r="DDP28" s="331"/>
      <c r="DDQ28" s="290">
        <v>45492</v>
      </c>
      <c r="DDR28" s="339" t="s">
        <v>141</v>
      </c>
      <c r="DDS28" s="305"/>
      <c r="DDT28" s="305">
        <v>1</v>
      </c>
      <c r="DDU28" s="304">
        <f t="shared" ref="DDU28" si="280">EDATE(DDQ28,DDT28)</f>
        <v>45523</v>
      </c>
      <c r="DDV28" s="340">
        <v>0</v>
      </c>
      <c r="DDW28" s="320">
        <f t="shared" ref="DDW28" ca="1" si="281">IF(DDX28&gt;=1,(DDV28/DDT28),0)</f>
        <v>0</v>
      </c>
      <c r="DDX28" s="292">
        <f t="shared" ref="DDX28" ca="1" si="282">DDU28-$G$5</f>
        <v>-591</v>
      </c>
      <c r="DDY28" s="259" t="s">
        <v>55</v>
      </c>
      <c r="DDZ28" s="256" t="s">
        <v>76</v>
      </c>
      <c r="DEA28" s="256" t="s">
        <v>77</v>
      </c>
      <c r="DEB28" s="256" t="s">
        <v>78</v>
      </c>
      <c r="DEC28" s="256" t="s">
        <v>79</v>
      </c>
      <c r="DED28" s="256" t="s">
        <v>80</v>
      </c>
      <c r="DEE28" s="256" t="s">
        <v>81</v>
      </c>
      <c r="DEF28" s="331"/>
      <c r="DEG28" s="290">
        <v>45492</v>
      </c>
      <c r="DEH28" s="339" t="s">
        <v>141</v>
      </c>
      <c r="DEI28" s="305"/>
      <c r="DEJ28" s="305">
        <v>1</v>
      </c>
      <c r="DEK28" s="304">
        <f t="shared" ref="DEK28" si="283">EDATE(DEG28,DEJ28)</f>
        <v>45523</v>
      </c>
      <c r="DEL28" s="340">
        <v>0</v>
      </c>
      <c r="DEM28" s="320">
        <f t="shared" ref="DEM28" ca="1" si="284">IF(DEN28&gt;=1,(DEL28/DEJ28),0)</f>
        <v>0</v>
      </c>
      <c r="DEN28" s="292">
        <f t="shared" ref="DEN28" ca="1" si="285">DEK28-$G$5</f>
        <v>-591</v>
      </c>
      <c r="DEO28" s="259" t="s">
        <v>55</v>
      </c>
      <c r="DEP28" s="256" t="s">
        <v>76</v>
      </c>
      <c r="DEQ28" s="256" t="s">
        <v>77</v>
      </c>
      <c r="DER28" s="256" t="s">
        <v>78</v>
      </c>
      <c r="DES28" s="256" t="s">
        <v>79</v>
      </c>
      <c r="DET28" s="256" t="s">
        <v>80</v>
      </c>
      <c r="DEU28" s="256" t="s">
        <v>81</v>
      </c>
      <c r="DEV28" s="331"/>
      <c r="DEW28" s="290">
        <v>45492</v>
      </c>
      <c r="DEX28" s="339" t="s">
        <v>141</v>
      </c>
      <c r="DEY28" s="305"/>
      <c r="DEZ28" s="305">
        <v>1</v>
      </c>
      <c r="DFA28" s="304">
        <f t="shared" ref="DFA28" si="286">EDATE(DEW28,DEZ28)</f>
        <v>45523</v>
      </c>
      <c r="DFB28" s="340">
        <v>0</v>
      </c>
      <c r="DFC28" s="320">
        <f t="shared" ref="DFC28" ca="1" si="287">IF(DFD28&gt;=1,(DFB28/DEZ28),0)</f>
        <v>0</v>
      </c>
      <c r="DFD28" s="292">
        <f t="shared" ref="DFD28" ca="1" si="288">DFA28-$G$5</f>
        <v>-591</v>
      </c>
      <c r="DFE28" s="259" t="s">
        <v>55</v>
      </c>
      <c r="DFF28" s="256" t="s">
        <v>76</v>
      </c>
      <c r="DFG28" s="256" t="s">
        <v>77</v>
      </c>
      <c r="DFH28" s="256" t="s">
        <v>78</v>
      </c>
      <c r="DFI28" s="256" t="s">
        <v>79</v>
      </c>
      <c r="DFJ28" s="256" t="s">
        <v>80</v>
      </c>
      <c r="DFK28" s="256" t="s">
        <v>81</v>
      </c>
      <c r="DFL28" s="331"/>
      <c r="DFM28" s="290">
        <v>45492</v>
      </c>
      <c r="DFN28" s="339" t="s">
        <v>141</v>
      </c>
      <c r="DFO28" s="305"/>
      <c r="DFP28" s="305">
        <v>1</v>
      </c>
      <c r="DFQ28" s="304">
        <f t="shared" ref="DFQ28" si="289">EDATE(DFM28,DFP28)</f>
        <v>45523</v>
      </c>
      <c r="DFR28" s="340">
        <v>0</v>
      </c>
      <c r="DFS28" s="320">
        <f t="shared" ref="DFS28" ca="1" si="290">IF(DFT28&gt;=1,(DFR28/DFP28),0)</f>
        <v>0</v>
      </c>
      <c r="DFT28" s="292">
        <f t="shared" ref="DFT28" ca="1" si="291">DFQ28-$G$5</f>
        <v>-591</v>
      </c>
      <c r="DFU28" s="259" t="s">
        <v>55</v>
      </c>
      <c r="DFV28" s="256" t="s">
        <v>76</v>
      </c>
      <c r="DFW28" s="256" t="s">
        <v>77</v>
      </c>
      <c r="DFX28" s="256" t="s">
        <v>78</v>
      </c>
      <c r="DFY28" s="256" t="s">
        <v>79</v>
      </c>
      <c r="DFZ28" s="256" t="s">
        <v>80</v>
      </c>
      <c r="DGA28" s="256" t="s">
        <v>81</v>
      </c>
      <c r="DGB28" s="331"/>
      <c r="DGC28" s="290">
        <v>45492</v>
      </c>
      <c r="DGD28" s="339" t="s">
        <v>141</v>
      </c>
      <c r="DGE28" s="305"/>
      <c r="DGF28" s="305">
        <v>1</v>
      </c>
      <c r="DGG28" s="304">
        <f t="shared" ref="DGG28" si="292">EDATE(DGC28,DGF28)</f>
        <v>45523</v>
      </c>
      <c r="DGH28" s="340">
        <v>0</v>
      </c>
      <c r="DGI28" s="320">
        <f t="shared" ref="DGI28" ca="1" si="293">IF(DGJ28&gt;=1,(DGH28/DGF28),0)</f>
        <v>0</v>
      </c>
      <c r="DGJ28" s="292">
        <f t="shared" ref="DGJ28" ca="1" si="294">DGG28-$G$5</f>
        <v>-591</v>
      </c>
      <c r="DGK28" s="259" t="s">
        <v>55</v>
      </c>
      <c r="DGL28" s="256" t="s">
        <v>76</v>
      </c>
      <c r="DGM28" s="256" t="s">
        <v>77</v>
      </c>
      <c r="DGN28" s="256" t="s">
        <v>78</v>
      </c>
      <c r="DGO28" s="256" t="s">
        <v>79</v>
      </c>
      <c r="DGP28" s="256" t="s">
        <v>80</v>
      </c>
      <c r="DGQ28" s="256" t="s">
        <v>81</v>
      </c>
      <c r="DGR28" s="331"/>
      <c r="DGS28" s="290">
        <v>45492</v>
      </c>
      <c r="DGT28" s="339" t="s">
        <v>141</v>
      </c>
      <c r="DGU28" s="305"/>
      <c r="DGV28" s="305">
        <v>1</v>
      </c>
      <c r="DGW28" s="304">
        <f t="shared" ref="DGW28" si="295">EDATE(DGS28,DGV28)</f>
        <v>45523</v>
      </c>
      <c r="DGX28" s="340">
        <v>0</v>
      </c>
      <c r="DGY28" s="320">
        <f t="shared" ref="DGY28" ca="1" si="296">IF(DGZ28&gt;=1,(DGX28/DGV28),0)</f>
        <v>0</v>
      </c>
      <c r="DGZ28" s="292">
        <f t="shared" ref="DGZ28" ca="1" si="297">DGW28-$G$5</f>
        <v>-591</v>
      </c>
      <c r="DHA28" s="259" t="s">
        <v>55</v>
      </c>
      <c r="DHB28" s="256" t="s">
        <v>76</v>
      </c>
      <c r="DHC28" s="256" t="s">
        <v>77</v>
      </c>
      <c r="DHD28" s="256" t="s">
        <v>78</v>
      </c>
      <c r="DHE28" s="256" t="s">
        <v>79</v>
      </c>
      <c r="DHF28" s="256" t="s">
        <v>80</v>
      </c>
      <c r="DHG28" s="256" t="s">
        <v>81</v>
      </c>
      <c r="DHH28" s="331"/>
      <c r="DHI28" s="290">
        <v>45492</v>
      </c>
      <c r="DHJ28" s="339" t="s">
        <v>141</v>
      </c>
      <c r="DHK28" s="305"/>
      <c r="DHL28" s="305">
        <v>1</v>
      </c>
      <c r="DHM28" s="304">
        <f t="shared" ref="DHM28" si="298">EDATE(DHI28,DHL28)</f>
        <v>45523</v>
      </c>
      <c r="DHN28" s="340">
        <v>0</v>
      </c>
      <c r="DHO28" s="320">
        <f t="shared" ref="DHO28" ca="1" si="299">IF(DHP28&gt;=1,(DHN28/DHL28),0)</f>
        <v>0</v>
      </c>
      <c r="DHP28" s="292">
        <f t="shared" ref="DHP28" ca="1" si="300">DHM28-$G$5</f>
        <v>-591</v>
      </c>
      <c r="DHQ28" s="259" t="s">
        <v>55</v>
      </c>
      <c r="DHR28" s="256" t="s">
        <v>76</v>
      </c>
      <c r="DHS28" s="256" t="s">
        <v>77</v>
      </c>
      <c r="DHT28" s="256" t="s">
        <v>78</v>
      </c>
      <c r="DHU28" s="256" t="s">
        <v>79</v>
      </c>
      <c r="DHV28" s="256" t="s">
        <v>80</v>
      </c>
      <c r="DHW28" s="256" t="s">
        <v>81</v>
      </c>
      <c r="DHX28" s="331"/>
      <c r="DHY28" s="290">
        <v>45492</v>
      </c>
      <c r="DHZ28" s="339" t="s">
        <v>141</v>
      </c>
      <c r="DIA28" s="305"/>
      <c r="DIB28" s="305">
        <v>1</v>
      </c>
      <c r="DIC28" s="304">
        <f t="shared" ref="DIC28" si="301">EDATE(DHY28,DIB28)</f>
        <v>45523</v>
      </c>
      <c r="DID28" s="340">
        <v>0</v>
      </c>
      <c r="DIE28" s="320">
        <f t="shared" ref="DIE28" ca="1" si="302">IF(DIF28&gt;=1,(DID28/DIB28),0)</f>
        <v>0</v>
      </c>
      <c r="DIF28" s="292">
        <f t="shared" ref="DIF28" ca="1" si="303">DIC28-$G$5</f>
        <v>-591</v>
      </c>
      <c r="DIG28" s="259" t="s">
        <v>55</v>
      </c>
      <c r="DIH28" s="256" t="s">
        <v>76</v>
      </c>
      <c r="DII28" s="256" t="s">
        <v>77</v>
      </c>
      <c r="DIJ28" s="256" t="s">
        <v>78</v>
      </c>
      <c r="DIK28" s="256" t="s">
        <v>79</v>
      </c>
      <c r="DIL28" s="256" t="s">
        <v>80</v>
      </c>
      <c r="DIM28" s="256" t="s">
        <v>81</v>
      </c>
      <c r="DIN28" s="331"/>
      <c r="DIO28" s="290">
        <v>45492</v>
      </c>
      <c r="DIP28" s="339" t="s">
        <v>141</v>
      </c>
      <c r="DIQ28" s="305"/>
      <c r="DIR28" s="305">
        <v>1</v>
      </c>
      <c r="DIS28" s="304">
        <f t="shared" ref="DIS28" si="304">EDATE(DIO28,DIR28)</f>
        <v>45523</v>
      </c>
      <c r="DIT28" s="340">
        <v>0</v>
      </c>
      <c r="DIU28" s="320">
        <f t="shared" ref="DIU28" ca="1" si="305">IF(DIV28&gt;=1,(DIT28/DIR28),0)</f>
        <v>0</v>
      </c>
      <c r="DIV28" s="292">
        <f t="shared" ref="DIV28" ca="1" si="306">DIS28-$G$5</f>
        <v>-591</v>
      </c>
      <c r="DIW28" s="259" t="s">
        <v>55</v>
      </c>
      <c r="DIX28" s="256" t="s">
        <v>76</v>
      </c>
      <c r="DIY28" s="256" t="s">
        <v>77</v>
      </c>
      <c r="DIZ28" s="256" t="s">
        <v>78</v>
      </c>
      <c r="DJA28" s="256" t="s">
        <v>79</v>
      </c>
      <c r="DJB28" s="256" t="s">
        <v>80</v>
      </c>
      <c r="DJC28" s="256" t="s">
        <v>81</v>
      </c>
      <c r="DJD28" s="331"/>
      <c r="DJE28" s="290">
        <v>45492</v>
      </c>
      <c r="DJF28" s="339" t="s">
        <v>141</v>
      </c>
      <c r="DJG28" s="305"/>
      <c r="DJH28" s="305">
        <v>1</v>
      </c>
      <c r="DJI28" s="304">
        <f t="shared" ref="DJI28" si="307">EDATE(DJE28,DJH28)</f>
        <v>45523</v>
      </c>
      <c r="DJJ28" s="340">
        <v>0</v>
      </c>
      <c r="DJK28" s="320">
        <f t="shared" ref="DJK28" ca="1" si="308">IF(DJL28&gt;=1,(DJJ28/DJH28),0)</f>
        <v>0</v>
      </c>
      <c r="DJL28" s="292">
        <f t="shared" ref="DJL28" ca="1" si="309">DJI28-$G$5</f>
        <v>-591</v>
      </c>
      <c r="DJM28" s="259" t="s">
        <v>55</v>
      </c>
      <c r="DJN28" s="256" t="s">
        <v>76</v>
      </c>
      <c r="DJO28" s="256" t="s">
        <v>77</v>
      </c>
      <c r="DJP28" s="256" t="s">
        <v>78</v>
      </c>
      <c r="DJQ28" s="256" t="s">
        <v>79</v>
      </c>
      <c r="DJR28" s="256" t="s">
        <v>80</v>
      </c>
      <c r="DJS28" s="256" t="s">
        <v>81</v>
      </c>
      <c r="DJT28" s="331"/>
      <c r="DJU28" s="290">
        <v>45492</v>
      </c>
      <c r="DJV28" s="339" t="s">
        <v>141</v>
      </c>
      <c r="DJW28" s="305"/>
      <c r="DJX28" s="305">
        <v>1</v>
      </c>
      <c r="DJY28" s="304">
        <f t="shared" ref="DJY28" si="310">EDATE(DJU28,DJX28)</f>
        <v>45523</v>
      </c>
      <c r="DJZ28" s="340">
        <v>0</v>
      </c>
      <c r="DKA28" s="320">
        <f t="shared" ref="DKA28" ca="1" si="311">IF(DKB28&gt;=1,(DJZ28/DJX28),0)</f>
        <v>0</v>
      </c>
      <c r="DKB28" s="292">
        <f t="shared" ref="DKB28" ca="1" si="312">DJY28-$G$5</f>
        <v>-591</v>
      </c>
      <c r="DKC28" s="259" t="s">
        <v>55</v>
      </c>
      <c r="DKD28" s="256" t="s">
        <v>76</v>
      </c>
      <c r="DKE28" s="256" t="s">
        <v>77</v>
      </c>
      <c r="DKF28" s="256" t="s">
        <v>78</v>
      </c>
      <c r="DKG28" s="256" t="s">
        <v>79</v>
      </c>
      <c r="DKH28" s="256" t="s">
        <v>80</v>
      </c>
      <c r="DKI28" s="256" t="s">
        <v>81</v>
      </c>
      <c r="DKJ28" s="331"/>
      <c r="DKK28" s="290">
        <v>45492</v>
      </c>
      <c r="DKL28" s="339" t="s">
        <v>141</v>
      </c>
      <c r="DKM28" s="305"/>
      <c r="DKN28" s="305">
        <v>1</v>
      </c>
      <c r="DKO28" s="304">
        <f t="shared" ref="DKO28" si="313">EDATE(DKK28,DKN28)</f>
        <v>45523</v>
      </c>
      <c r="DKP28" s="340">
        <v>0</v>
      </c>
      <c r="DKQ28" s="320">
        <f t="shared" ref="DKQ28" ca="1" si="314">IF(DKR28&gt;=1,(DKP28/DKN28),0)</f>
        <v>0</v>
      </c>
      <c r="DKR28" s="292">
        <f t="shared" ref="DKR28" ca="1" si="315">DKO28-$G$5</f>
        <v>-591</v>
      </c>
      <c r="DKS28" s="259" t="s">
        <v>55</v>
      </c>
      <c r="DKT28" s="256" t="s">
        <v>76</v>
      </c>
      <c r="DKU28" s="256" t="s">
        <v>77</v>
      </c>
      <c r="DKV28" s="256" t="s">
        <v>78</v>
      </c>
      <c r="DKW28" s="256" t="s">
        <v>79</v>
      </c>
      <c r="DKX28" s="256" t="s">
        <v>80</v>
      </c>
      <c r="DKY28" s="256" t="s">
        <v>81</v>
      </c>
      <c r="DKZ28" s="331"/>
      <c r="DLA28" s="290">
        <v>45492</v>
      </c>
      <c r="DLB28" s="339" t="s">
        <v>141</v>
      </c>
      <c r="DLC28" s="305"/>
      <c r="DLD28" s="305">
        <v>1</v>
      </c>
      <c r="DLE28" s="304">
        <f t="shared" ref="DLE28" si="316">EDATE(DLA28,DLD28)</f>
        <v>45523</v>
      </c>
      <c r="DLF28" s="340">
        <v>0</v>
      </c>
      <c r="DLG28" s="320">
        <f t="shared" ref="DLG28" ca="1" si="317">IF(DLH28&gt;=1,(DLF28/DLD28),0)</f>
        <v>0</v>
      </c>
      <c r="DLH28" s="292">
        <f t="shared" ref="DLH28" ca="1" si="318">DLE28-$G$5</f>
        <v>-591</v>
      </c>
      <c r="DLI28" s="259" t="s">
        <v>55</v>
      </c>
      <c r="DLJ28" s="256" t="s">
        <v>76</v>
      </c>
      <c r="DLK28" s="256" t="s">
        <v>77</v>
      </c>
      <c r="DLL28" s="256" t="s">
        <v>78</v>
      </c>
      <c r="DLM28" s="256" t="s">
        <v>79</v>
      </c>
      <c r="DLN28" s="256" t="s">
        <v>80</v>
      </c>
      <c r="DLO28" s="256" t="s">
        <v>81</v>
      </c>
      <c r="DLP28" s="331"/>
      <c r="DLQ28" s="290">
        <v>45492</v>
      </c>
      <c r="DLR28" s="339" t="s">
        <v>141</v>
      </c>
      <c r="DLS28" s="305"/>
      <c r="DLT28" s="305">
        <v>1</v>
      </c>
      <c r="DLU28" s="304">
        <f t="shared" ref="DLU28" si="319">EDATE(DLQ28,DLT28)</f>
        <v>45523</v>
      </c>
      <c r="DLV28" s="340">
        <v>0</v>
      </c>
      <c r="DLW28" s="320">
        <f t="shared" ref="DLW28" ca="1" si="320">IF(DLX28&gt;=1,(DLV28/DLT28),0)</f>
        <v>0</v>
      </c>
      <c r="DLX28" s="292">
        <f t="shared" ref="DLX28" ca="1" si="321">DLU28-$G$5</f>
        <v>-591</v>
      </c>
      <c r="DLY28" s="259" t="s">
        <v>55</v>
      </c>
      <c r="DLZ28" s="256" t="s">
        <v>76</v>
      </c>
      <c r="DMA28" s="256" t="s">
        <v>77</v>
      </c>
      <c r="DMB28" s="256" t="s">
        <v>78</v>
      </c>
      <c r="DMC28" s="256" t="s">
        <v>79</v>
      </c>
      <c r="DMD28" s="256" t="s">
        <v>80</v>
      </c>
      <c r="DME28" s="256" t="s">
        <v>81</v>
      </c>
      <c r="DMF28" s="331"/>
      <c r="DMG28" s="290">
        <v>45492</v>
      </c>
      <c r="DMH28" s="339" t="s">
        <v>141</v>
      </c>
      <c r="DMI28" s="305"/>
      <c r="DMJ28" s="305">
        <v>1</v>
      </c>
      <c r="DMK28" s="304">
        <f t="shared" ref="DMK28" si="322">EDATE(DMG28,DMJ28)</f>
        <v>45523</v>
      </c>
      <c r="DML28" s="340">
        <v>0</v>
      </c>
      <c r="DMM28" s="320">
        <f t="shared" ref="DMM28" ca="1" si="323">IF(DMN28&gt;=1,(DML28/DMJ28),0)</f>
        <v>0</v>
      </c>
      <c r="DMN28" s="292">
        <f t="shared" ref="DMN28" ca="1" si="324">DMK28-$G$5</f>
        <v>-591</v>
      </c>
      <c r="DMO28" s="259" t="s">
        <v>55</v>
      </c>
      <c r="DMP28" s="256" t="s">
        <v>76</v>
      </c>
      <c r="DMQ28" s="256" t="s">
        <v>77</v>
      </c>
      <c r="DMR28" s="256" t="s">
        <v>78</v>
      </c>
      <c r="DMS28" s="256" t="s">
        <v>79</v>
      </c>
      <c r="DMT28" s="256" t="s">
        <v>80</v>
      </c>
      <c r="DMU28" s="256" t="s">
        <v>81</v>
      </c>
      <c r="DMV28" s="331"/>
      <c r="DMW28" s="290">
        <v>45492</v>
      </c>
      <c r="DMX28" s="339" t="s">
        <v>141</v>
      </c>
      <c r="DMY28" s="305"/>
      <c r="DMZ28" s="305">
        <v>1</v>
      </c>
      <c r="DNA28" s="304">
        <f t="shared" ref="DNA28" si="325">EDATE(DMW28,DMZ28)</f>
        <v>45523</v>
      </c>
      <c r="DNB28" s="340">
        <v>0</v>
      </c>
      <c r="DNC28" s="320">
        <f t="shared" ref="DNC28" ca="1" si="326">IF(DND28&gt;=1,(DNB28/DMZ28),0)</f>
        <v>0</v>
      </c>
      <c r="DND28" s="292">
        <f t="shared" ref="DND28" ca="1" si="327">DNA28-$G$5</f>
        <v>-591</v>
      </c>
      <c r="DNE28" s="259" t="s">
        <v>55</v>
      </c>
      <c r="DNF28" s="256" t="s">
        <v>76</v>
      </c>
      <c r="DNG28" s="256" t="s">
        <v>77</v>
      </c>
      <c r="DNH28" s="256" t="s">
        <v>78</v>
      </c>
      <c r="DNI28" s="256" t="s">
        <v>79</v>
      </c>
      <c r="DNJ28" s="256" t="s">
        <v>80</v>
      </c>
      <c r="DNK28" s="256" t="s">
        <v>81</v>
      </c>
      <c r="DNL28" s="331"/>
      <c r="DNM28" s="290">
        <v>45492</v>
      </c>
      <c r="DNN28" s="339" t="s">
        <v>141</v>
      </c>
      <c r="DNO28" s="305"/>
      <c r="DNP28" s="305">
        <v>1</v>
      </c>
      <c r="DNQ28" s="304">
        <f t="shared" ref="DNQ28" si="328">EDATE(DNM28,DNP28)</f>
        <v>45523</v>
      </c>
      <c r="DNR28" s="340">
        <v>0</v>
      </c>
      <c r="DNS28" s="320">
        <f t="shared" ref="DNS28" ca="1" si="329">IF(DNT28&gt;=1,(DNR28/DNP28),0)</f>
        <v>0</v>
      </c>
      <c r="DNT28" s="292">
        <f t="shared" ref="DNT28" ca="1" si="330">DNQ28-$G$5</f>
        <v>-591</v>
      </c>
      <c r="DNU28" s="259" t="s">
        <v>55</v>
      </c>
      <c r="DNV28" s="256" t="s">
        <v>76</v>
      </c>
      <c r="DNW28" s="256" t="s">
        <v>77</v>
      </c>
      <c r="DNX28" s="256" t="s">
        <v>78</v>
      </c>
      <c r="DNY28" s="256" t="s">
        <v>79</v>
      </c>
      <c r="DNZ28" s="256" t="s">
        <v>80</v>
      </c>
      <c r="DOA28" s="256" t="s">
        <v>81</v>
      </c>
      <c r="DOB28" s="331"/>
      <c r="DOC28" s="290">
        <v>45492</v>
      </c>
      <c r="DOD28" s="339" t="s">
        <v>141</v>
      </c>
      <c r="DOE28" s="305"/>
      <c r="DOF28" s="305">
        <v>1</v>
      </c>
      <c r="DOG28" s="304">
        <f t="shared" ref="DOG28" si="331">EDATE(DOC28,DOF28)</f>
        <v>45523</v>
      </c>
      <c r="DOH28" s="340">
        <v>0</v>
      </c>
      <c r="DOI28" s="320">
        <f t="shared" ref="DOI28" ca="1" si="332">IF(DOJ28&gt;=1,(DOH28/DOF28),0)</f>
        <v>0</v>
      </c>
      <c r="DOJ28" s="292">
        <f t="shared" ref="DOJ28" ca="1" si="333">DOG28-$G$5</f>
        <v>-591</v>
      </c>
      <c r="DOK28" s="259" t="s">
        <v>55</v>
      </c>
      <c r="DOL28" s="256" t="s">
        <v>76</v>
      </c>
      <c r="DOM28" s="256" t="s">
        <v>77</v>
      </c>
      <c r="DON28" s="256" t="s">
        <v>78</v>
      </c>
      <c r="DOO28" s="256" t="s">
        <v>79</v>
      </c>
      <c r="DOP28" s="256" t="s">
        <v>80</v>
      </c>
      <c r="DOQ28" s="256" t="s">
        <v>81</v>
      </c>
      <c r="DOR28" s="331"/>
      <c r="DOS28" s="290">
        <v>45492</v>
      </c>
      <c r="DOT28" s="339" t="s">
        <v>141</v>
      </c>
      <c r="DOU28" s="305"/>
      <c r="DOV28" s="305">
        <v>1</v>
      </c>
      <c r="DOW28" s="304">
        <f t="shared" ref="DOW28" si="334">EDATE(DOS28,DOV28)</f>
        <v>45523</v>
      </c>
      <c r="DOX28" s="340">
        <v>0</v>
      </c>
      <c r="DOY28" s="320">
        <f t="shared" ref="DOY28" ca="1" si="335">IF(DOZ28&gt;=1,(DOX28/DOV28),0)</f>
        <v>0</v>
      </c>
      <c r="DOZ28" s="292">
        <f t="shared" ref="DOZ28" ca="1" si="336">DOW28-$G$5</f>
        <v>-591</v>
      </c>
      <c r="DPA28" s="259" t="s">
        <v>55</v>
      </c>
      <c r="DPB28" s="256" t="s">
        <v>76</v>
      </c>
      <c r="DPC28" s="256" t="s">
        <v>77</v>
      </c>
      <c r="DPD28" s="256" t="s">
        <v>78</v>
      </c>
      <c r="DPE28" s="256" t="s">
        <v>79</v>
      </c>
      <c r="DPF28" s="256" t="s">
        <v>80</v>
      </c>
      <c r="DPG28" s="256" t="s">
        <v>81</v>
      </c>
      <c r="DPH28" s="331"/>
      <c r="DPI28" s="290">
        <v>45492</v>
      </c>
      <c r="DPJ28" s="339" t="s">
        <v>141</v>
      </c>
      <c r="DPK28" s="305"/>
      <c r="DPL28" s="305">
        <v>1</v>
      </c>
      <c r="DPM28" s="304">
        <f t="shared" ref="DPM28" si="337">EDATE(DPI28,DPL28)</f>
        <v>45523</v>
      </c>
      <c r="DPN28" s="340">
        <v>0</v>
      </c>
      <c r="DPO28" s="320">
        <f t="shared" ref="DPO28" ca="1" si="338">IF(DPP28&gt;=1,(DPN28/DPL28),0)</f>
        <v>0</v>
      </c>
      <c r="DPP28" s="292">
        <f t="shared" ref="DPP28" ca="1" si="339">DPM28-$G$5</f>
        <v>-591</v>
      </c>
      <c r="DPQ28" s="259" t="s">
        <v>55</v>
      </c>
      <c r="DPR28" s="256" t="s">
        <v>76</v>
      </c>
      <c r="DPS28" s="256" t="s">
        <v>77</v>
      </c>
      <c r="DPT28" s="256" t="s">
        <v>78</v>
      </c>
      <c r="DPU28" s="256" t="s">
        <v>79</v>
      </c>
      <c r="DPV28" s="256" t="s">
        <v>80</v>
      </c>
      <c r="DPW28" s="256" t="s">
        <v>81</v>
      </c>
      <c r="DPX28" s="331"/>
      <c r="DPY28" s="290">
        <v>45492</v>
      </c>
      <c r="DPZ28" s="339" t="s">
        <v>141</v>
      </c>
      <c r="DQA28" s="305"/>
      <c r="DQB28" s="305">
        <v>1</v>
      </c>
      <c r="DQC28" s="304">
        <f t="shared" ref="DQC28" si="340">EDATE(DPY28,DQB28)</f>
        <v>45523</v>
      </c>
      <c r="DQD28" s="340">
        <v>0</v>
      </c>
      <c r="DQE28" s="320">
        <f t="shared" ref="DQE28" ca="1" si="341">IF(DQF28&gt;=1,(DQD28/DQB28),0)</f>
        <v>0</v>
      </c>
      <c r="DQF28" s="292">
        <f t="shared" ref="DQF28" ca="1" si="342">DQC28-$G$5</f>
        <v>-591</v>
      </c>
      <c r="DQG28" s="259" t="s">
        <v>55</v>
      </c>
      <c r="DQH28" s="256" t="s">
        <v>76</v>
      </c>
      <c r="DQI28" s="256" t="s">
        <v>77</v>
      </c>
      <c r="DQJ28" s="256" t="s">
        <v>78</v>
      </c>
      <c r="DQK28" s="256" t="s">
        <v>79</v>
      </c>
      <c r="DQL28" s="256" t="s">
        <v>80</v>
      </c>
      <c r="DQM28" s="256" t="s">
        <v>81</v>
      </c>
      <c r="DQN28" s="331"/>
      <c r="DQO28" s="290">
        <v>45492</v>
      </c>
      <c r="DQP28" s="339" t="s">
        <v>141</v>
      </c>
      <c r="DQQ28" s="305"/>
      <c r="DQR28" s="305">
        <v>1</v>
      </c>
      <c r="DQS28" s="304">
        <f t="shared" ref="DQS28" si="343">EDATE(DQO28,DQR28)</f>
        <v>45523</v>
      </c>
      <c r="DQT28" s="340">
        <v>0</v>
      </c>
      <c r="DQU28" s="320">
        <f t="shared" ref="DQU28" ca="1" si="344">IF(DQV28&gt;=1,(DQT28/DQR28),0)</f>
        <v>0</v>
      </c>
      <c r="DQV28" s="292">
        <f t="shared" ref="DQV28" ca="1" si="345">DQS28-$G$5</f>
        <v>-591</v>
      </c>
      <c r="DQW28" s="259" t="s">
        <v>55</v>
      </c>
      <c r="DQX28" s="256" t="s">
        <v>76</v>
      </c>
      <c r="DQY28" s="256" t="s">
        <v>77</v>
      </c>
      <c r="DQZ28" s="256" t="s">
        <v>78</v>
      </c>
      <c r="DRA28" s="256" t="s">
        <v>79</v>
      </c>
      <c r="DRB28" s="256" t="s">
        <v>80</v>
      </c>
      <c r="DRC28" s="256" t="s">
        <v>81</v>
      </c>
      <c r="DRD28" s="331"/>
      <c r="DRE28" s="290">
        <v>45492</v>
      </c>
      <c r="DRF28" s="339" t="s">
        <v>141</v>
      </c>
      <c r="DRG28" s="305"/>
      <c r="DRH28" s="305">
        <v>1</v>
      </c>
      <c r="DRI28" s="304">
        <f t="shared" ref="DRI28" si="346">EDATE(DRE28,DRH28)</f>
        <v>45523</v>
      </c>
      <c r="DRJ28" s="340">
        <v>0</v>
      </c>
      <c r="DRK28" s="320">
        <f t="shared" ref="DRK28" ca="1" si="347">IF(DRL28&gt;=1,(DRJ28/DRH28),0)</f>
        <v>0</v>
      </c>
      <c r="DRL28" s="292">
        <f t="shared" ref="DRL28" ca="1" si="348">DRI28-$G$5</f>
        <v>-591</v>
      </c>
      <c r="DRM28" s="259" t="s">
        <v>55</v>
      </c>
      <c r="DRN28" s="256" t="s">
        <v>76</v>
      </c>
      <c r="DRO28" s="256" t="s">
        <v>77</v>
      </c>
      <c r="DRP28" s="256" t="s">
        <v>78</v>
      </c>
      <c r="DRQ28" s="256" t="s">
        <v>79</v>
      </c>
      <c r="DRR28" s="256" t="s">
        <v>80</v>
      </c>
      <c r="DRS28" s="256" t="s">
        <v>81</v>
      </c>
      <c r="DRT28" s="331"/>
      <c r="DRU28" s="290">
        <v>45492</v>
      </c>
      <c r="DRV28" s="339" t="s">
        <v>141</v>
      </c>
      <c r="DRW28" s="305"/>
      <c r="DRX28" s="305">
        <v>1</v>
      </c>
      <c r="DRY28" s="304">
        <f t="shared" ref="DRY28" si="349">EDATE(DRU28,DRX28)</f>
        <v>45523</v>
      </c>
      <c r="DRZ28" s="340">
        <v>0</v>
      </c>
      <c r="DSA28" s="320">
        <f t="shared" ref="DSA28" ca="1" si="350">IF(DSB28&gt;=1,(DRZ28/DRX28),0)</f>
        <v>0</v>
      </c>
      <c r="DSB28" s="292">
        <f t="shared" ref="DSB28" ca="1" si="351">DRY28-$G$5</f>
        <v>-591</v>
      </c>
      <c r="DSC28" s="259" t="s">
        <v>55</v>
      </c>
      <c r="DSD28" s="256" t="s">
        <v>76</v>
      </c>
      <c r="DSE28" s="256" t="s">
        <v>77</v>
      </c>
      <c r="DSF28" s="256" t="s">
        <v>78</v>
      </c>
      <c r="DSG28" s="256" t="s">
        <v>79</v>
      </c>
      <c r="DSH28" s="256" t="s">
        <v>80</v>
      </c>
      <c r="DSI28" s="256" t="s">
        <v>81</v>
      </c>
      <c r="DSJ28" s="331"/>
      <c r="DSK28" s="290">
        <v>45492</v>
      </c>
      <c r="DSL28" s="339" t="s">
        <v>141</v>
      </c>
      <c r="DSM28" s="305"/>
      <c r="DSN28" s="305">
        <v>1</v>
      </c>
      <c r="DSO28" s="304">
        <f t="shared" ref="DSO28" si="352">EDATE(DSK28,DSN28)</f>
        <v>45523</v>
      </c>
      <c r="DSP28" s="340">
        <v>0</v>
      </c>
      <c r="DSQ28" s="320">
        <f t="shared" ref="DSQ28" ca="1" si="353">IF(DSR28&gt;=1,(DSP28/DSN28),0)</f>
        <v>0</v>
      </c>
      <c r="DSR28" s="292">
        <f t="shared" ref="DSR28" ca="1" si="354">DSO28-$G$5</f>
        <v>-591</v>
      </c>
      <c r="DSS28" s="259" t="s">
        <v>55</v>
      </c>
      <c r="DST28" s="256" t="s">
        <v>76</v>
      </c>
      <c r="DSU28" s="256" t="s">
        <v>77</v>
      </c>
      <c r="DSV28" s="256" t="s">
        <v>78</v>
      </c>
      <c r="DSW28" s="256" t="s">
        <v>79</v>
      </c>
      <c r="DSX28" s="256" t="s">
        <v>80</v>
      </c>
      <c r="DSY28" s="256" t="s">
        <v>81</v>
      </c>
      <c r="DSZ28" s="331"/>
      <c r="DTA28" s="290">
        <v>45492</v>
      </c>
      <c r="DTB28" s="339" t="s">
        <v>141</v>
      </c>
      <c r="DTC28" s="305"/>
      <c r="DTD28" s="305">
        <v>1</v>
      </c>
      <c r="DTE28" s="304">
        <f t="shared" ref="DTE28" si="355">EDATE(DTA28,DTD28)</f>
        <v>45523</v>
      </c>
      <c r="DTF28" s="340">
        <v>0</v>
      </c>
      <c r="DTG28" s="320">
        <f t="shared" ref="DTG28" ca="1" si="356">IF(DTH28&gt;=1,(DTF28/DTD28),0)</f>
        <v>0</v>
      </c>
      <c r="DTH28" s="292">
        <f t="shared" ref="DTH28" ca="1" si="357">DTE28-$G$5</f>
        <v>-591</v>
      </c>
      <c r="DTI28" s="259" t="s">
        <v>55</v>
      </c>
      <c r="DTJ28" s="256" t="s">
        <v>76</v>
      </c>
      <c r="DTK28" s="256" t="s">
        <v>77</v>
      </c>
      <c r="DTL28" s="256" t="s">
        <v>78</v>
      </c>
      <c r="DTM28" s="256" t="s">
        <v>79</v>
      </c>
      <c r="DTN28" s="256" t="s">
        <v>80</v>
      </c>
      <c r="DTO28" s="256" t="s">
        <v>81</v>
      </c>
      <c r="DTP28" s="331"/>
      <c r="DTQ28" s="290">
        <v>45492</v>
      </c>
      <c r="DTR28" s="339" t="s">
        <v>141</v>
      </c>
      <c r="DTS28" s="305"/>
      <c r="DTT28" s="305">
        <v>1</v>
      </c>
      <c r="DTU28" s="304">
        <f t="shared" ref="DTU28" si="358">EDATE(DTQ28,DTT28)</f>
        <v>45523</v>
      </c>
      <c r="DTV28" s="340">
        <v>0</v>
      </c>
      <c r="DTW28" s="320">
        <f t="shared" ref="DTW28" ca="1" si="359">IF(DTX28&gt;=1,(DTV28/DTT28),0)</f>
        <v>0</v>
      </c>
      <c r="DTX28" s="292">
        <f t="shared" ref="DTX28" ca="1" si="360">DTU28-$G$5</f>
        <v>-591</v>
      </c>
      <c r="DTY28" s="259" t="s">
        <v>55</v>
      </c>
      <c r="DTZ28" s="256" t="s">
        <v>76</v>
      </c>
      <c r="DUA28" s="256" t="s">
        <v>77</v>
      </c>
      <c r="DUB28" s="256" t="s">
        <v>78</v>
      </c>
      <c r="DUC28" s="256" t="s">
        <v>79</v>
      </c>
      <c r="DUD28" s="256" t="s">
        <v>80</v>
      </c>
      <c r="DUE28" s="256" t="s">
        <v>81</v>
      </c>
      <c r="DUF28" s="331"/>
      <c r="DUG28" s="290">
        <v>45492</v>
      </c>
      <c r="DUH28" s="339" t="s">
        <v>141</v>
      </c>
      <c r="DUI28" s="305"/>
      <c r="DUJ28" s="305">
        <v>1</v>
      </c>
      <c r="DUK28" s="304">
        <f t="shared" ref="DUK28" si="361">EDATE(DUG28,DUJ28)</f>
        <v>45523</v>
      </c>
      <c r="DUL28" s="340">
        <v>0</v>
      </c>
      <c r="DUM28" s="320">
        <f t="shared" ref="DUM28" ca="1" si="362">IF(DUN28&gt;=1,(DUL28/DUJ28),0)</f>
        <v>0</v>
      </c>
      <c r="DUN28" s="292">
        <f t="shared" ref="DUN28" ca="1" si="363">DUK28-$G$5</f>
        <v>-591</v>
      </c>
      <c r="DUO28" s="259" t="s">
        <v>55</v>
      </c>
      <c r="DUP28" s="256" t="s">
        <v>76</v>
      </c>
      <c r="DUQ28" s="256" t="s">
        <v>77</v>
      </c>
      <c r="DUR28" s="256" t="s">
        <v>78</v>
      </c>
      <c r="DUS28" s="256" t="s">
        <v>79</v>
      </c>
      <c r="DUT28" s="256" t="s">
        <v>80</v>
      </c>
      <c r="DUU28" s="256" t="s">
        <v>81</v>
      </c>
      <c r="DUV28" s="331"/>
      <c r="DUW28" s="290">
        <v>45492</v>
      </c>
      <c r="DUX28" s="339" t="s">
        <v>141</v>
      </c>
      <c r="DUY28" s="305"/>
      <c r="DUZ28" s="305">
        <v>1</v>
      </c>
      <c r="DVA28" s="304">
        <f t="shared" ref="DVA28" si="364">EDATE(DUW28,DUZ28)</f>
        <v>45523</v>
      </c>
      <c r="DVB28" s="340">
        <v>0</v>
      </c>
      <c r="DVC28" s="320">
        <f t="shared" ref="DVC28" ca="1" si="365">IF(DVD28&gt;=1,(DVB28/DUZ28),0)</f>
        <v>0</v>
      </c>
      <c r="DVD28" s="292">
        <f t="shared" ref="DVD28" ca="1" si="366">DVA28-$G$5</f>
        <v>-591</v>
      </c>
      <c r="DVE28" s="259" t="s">
        <v>55</v>
      </c>
      <c r="DVF28" s="256" t="s">
        <v>76</v>
      </c>
      <c r="DVG28" s="256" t="s">
        <v>77</v>
      </c>
      <c r="DVH28" s="256" t="s">
        <v>78</v>
      </c>
      <c r="DVI28" s="256" t="s">
        <v>79</v>
      </c>
      <c r="DVJ28" s="256" t="s">
        <v>80</v>
      </c>
      <c r="DVK28" s="256" t="s">
        <v>81</v>
      </c>
      <c r="DVL28" s="331"/>
      <c r="DVM28" s="290">
        <v>45492</v>
      </c>
      <c r="DVN28" s="339" t="s">
        <v>141</v>
      </c>
      <c r="DVO28" s="305"/>
      <c r="DVP28" s="305">
        <v>1</v>
      </c>
      <c r="DVQ28" s="304">
        <f t="shared" ref="DVQ28" si="367">EDATE(DVM28,DVP28)</f>
        <v>45523</v>
      </c>
      <c r="DVR28" s="340">
        <v>0</v>
      </c>
      <c r="DVS28" s="320">
        <f t="shared" ref="DVS28" ca="1" si="368">IF(DVT28&gt;=1,(DVR28/DVP28),0)</f>
        <v>0</v>
      </c>
      <c r="DVT28" s="292">
        <f t="shared" ref="DVT28" ca="1" si="369">DVQ28-$G$5</f>
        <v>-591</v>
      </c>
      <c r="DVU28" s="259" t="s">
        <v>55</v>
      </c>
      <c r="DVV28" s="256" t="s">
        <v>76</v>
      </c>
      <c r="DVW28" s="256" t="s">
        <v>77</v>
      </c>
      <c r="DVX28" s="256" t="s">
        <v>78</v>
      </c>
      <c r="DVY28" s="256" t="s">
        <v>79</v>
      </c>
      <c r="DVZ28" s="256" t="s">
        <v>80</v>
      </c>
      <c r="DWA28" s="256" t="s">
        <v>81</v>
      </c>
      <c r="DWB28" s="331"/>
      <c r="DWC28" s="290">
        <v>45492</v>
      </c>
      <c r="DWD28" s="339" t="s">
        <v>141</v>
      </c>
      <c r="DWE28" s="305"/>
      <c r="DWF28" s="305">
        <v>1</v>
      </c>
      <c r="DWG28" s="304">
        <f t="shared" ref="DWG28" si="370">EDATE(DWC28,DWF28)</f>
        <v>45523</v>
      </c>
      <c r="DWH28" s="340">
        <v>0</v>
      </c>
      <c r="DWI28" s="320">
        <f t="shared" ref="DWI28" ca="1" si="371">IF(DWJ28&gt;=1,(DWH28/DWF28),0)</f>
        <v>0</v>
      </c>
      <c r="DWJ28" s="292">
        <f t="shared" ref="DWJ28" ca="1" si="372">DWG28-$G$5</f>
        <v>-591</v>
      </c>
      <c r="DWK28" s="259" t="s">
        <v>55</v>
      </c>
      <c r="DWL28" s="256" t="s">
        <v>76</v>
      </c>
      <c r="DWM28" s="256" t="s">
        <v>77</v>
      </c>
      <c r="DWN28" s="256" t="s">
        <v>78</v>
      </c>
      <c r="DWO28" s="256" t="s">
        <v>79</v>
      </c>
      <c r="DWP28" s="256" t="s">
        <v>80</v>
      </c>
      <c r="DWQ28" s="256" t="s">
        <v>81</v>
      </c>
      <c r="DWR28" s="331"/>
      <c r="DWS28" s="290">
        <v>45492</v>
      </c>
      <c r="DWT28" s="339" t="s">
        <v>141</v>
      </c>
      <c r="DWU28" s="305"/>
      <c r="DWV28" s="305">
        <v>1</v>
      </c>
      <c r="DWW28" s="304">
        <f t="shared" ref="DWW28" si="373">EDATE(DWS28,DWV28)</f>
        <v>45523</v>
      </c>
      <c r="DWX28" s="340">
        <v>0</v>
      </c>
      <c r="DWY28" s="320">
        <f t="shared" ref="DWY28" ca="1" si="374">IF(DWZ28&gt;=1,(DWX28/DWV28),0)</f>
        <v>0</v>
      </c>
      <c r="DWZ28" s="292">
        <f t="shared" ref="DWZ28" ca="1" si="375">DWW28-$G$5</f>
        <v>-591</v>
      </c>
      <c r="DXA28" s="259" t="s">
        <v>55</v>
      </c>
      <c r="DXB28" s="256" t="s">
        <v>76</v>
      </c>
      <c r="DXC28" s="256" t="s">
        <v>77</v>
      </c>
      <c r="DXD28" s="256" t="s">
        <v>78</v>
      </c>
      <c r="DXE28" s="256" t="s">
        <v>79</v>
      </c>
      <c r="DXF28" s="256" t="s">
        <v>80</v>
      </c>
      <c r="DXG28" s="256" t="s">
        <v>81</v>
      </c>
      <c r="DXH28" s="331"/>
      <c r="DXI28" s="290">
        <v>45492</v>
      </c>
      <c r="DXJ28" s="339" t="s">
        <v>141</v>
      </c>
      <c r="DXK28" s="305"/>
      <c r="DXL28" s="305">
        <v>1</v>
      </c>
      <c r="DXM28" s="304">
        <f t="shared" ref="DXM28" si="376">EDATE(DXI28,DXL28)</f>
        <v>45523</v>
      </c>
      <c r="DXN28" s="340">
        <v>0</v>
      </c>
      <c r="DXO28" s="320">
        <f t="shared" ref="DXO28" ca="1" si="377">IF(DXP28&gt;=1,(DXN28/DXL28),0)</f>
        <v>0</v>
      </c>
      <c r="DXP28" s="292">
        <f t="shared" ref="DXP28" ca="1" si="378">DXM28-$G$5</f>
        <v>-591</v>
      </c>
      <c r="DXQ28" s="259" t="s">
        <v>55</v>
      </c>
      <c r="DXR28" s="256" t="s">
        <v>76</v>
      </c>
      <c r="DXS28" s="256" t="s">
        <v>77</v>
      </c>
      <c r="DXT28" s="256" t="s">
        <v>78</v>
      </c>
      <c r="DXU28" s="256" t="s">
        <v>79</v>
      </c>
      <c r="DXV28" s="256" t="s">
        <v>80</v>
      </c>
      <c r="DXW28" s="256" t="s">
        <v>81</v>
      </c>
      <c r="DXX28" s="331"/>
      <c r="DXY28" s="290">
        <v>45492</v>
      </c>
      <c r="DXZ28" s="339" t="s">
        <v>141</v>
      </c>
      <c r="DYA28" s="305"/>
      <c r="DYB28" s="305">
        <v>1</v>
      </c>
      <c r="DYC28" s="304">
        <f t="shared" ref="DYC28" si="379">EDATE(DXY28,DYB28)</f>
        <v>45523</v>
      </c>
      <c r="DYD28" s="340">
        <v>0</v>
      </c>
      <c r="DYE28" s="320">
        <f t="shared" ref="DYE28" ca="1" si="380">IF(DYF28&gt;=1,(DYD28/DYB28),0)</f>
        <v>0</v>
      </c>
      <c r="DYF28" s="292">
        <f t="shared" ref="DYF28" ca="1" si="381">DYC28-$G$5</f>
        <v>-591</v>
      </c>
      <c r="DYG28" s="259" t="s">
        <v>55</v>
      </c>
      <c r="DYH28" s="256" t="s">
        <v>76</v>
      </c>
      <c r="DYI28" s="256" t="s">
        <v>77</v>
      </c>
      <c r="DYJ28" s="256" t="s">
        <v>78</v>
      </c>
      <c r="DYK28" s="256" t="s">
        <v>79</v>
      </c>
      <c r="DYL28" s="256" t="s">
        <v>80</v>
      </c>
      <c r="DYM28" s="256" t="s">
        <v>81</v>
      </c>
      <c r="DYN28" s="331"/>
      <c r="DYO28" s="290">
        <v>45492</v>
      </c>
      <c r="DYP28" s="339" t="s">
        <v>141</v>
      </c>
      <c r="DYQ28" s="305"/>
      <c r="DYR28" s="305">
        <v>1</v>
      </c>
      <c r="DYS28" s="304">
        <f t="shared" ref="DYS28" si="382">EDATE(DYO28,DYR28)</f>
        <v>45523</v>
      </c>
      <c r="DYT28" s="340">
        <v>0</v>
      </c>
      <c r="DYU28" s="320">
        <f t="shared" ref="DYU28" ca="1" si="383">IF(DYV28&gt;=1,(DYT28/DYR28),0)</f>
        <v>0</v>
      </c>
      <c r="DYV28" s="292">
        <f t="shared" ref="DYV28" ca="1" si="384">DYS28-$G$5</f>
        <v>-591</v>
      </c>
      <c r="DYW28" s="259" t="s">
        <v>55</v>
      </c>
      <c r="DYX28" s="256" t="s">
        <v>76</v>
      </c>
      <c r="DYY28" s="256" t="s">
        <v>77</v>
      </c>
      <c r="DYZ28" s="256" t="s">
        <v>78</v>
      </c>
      <c r="DZA28" s="256" t="s">
        <v>79</v>
      </c>
      <c r="DZB28" s="256" t="s">
        <v>80</v>
      </c>
      <c r="DZC28" s="256" t="s">
        <v>81</v>
      </c>
      <c r="DZD28" s="331"/>
      <c r="DZE28" s="290">
        <v>45492</v>
      </c>
      <c r="DZF28" s="339" t="s">
        <v>141</v>
      </c>
      <c r="DZG28" s="305"/>
      <c r="DZH28" s="305">
        <v>1</v>
      </c>
      <c r="DZI28" s="304">
        <f t="shared" ref="DZI28" si="385">EDATE(DZE28,DZH28)</f>
        <v>45523</v>
      </c>
      <c r="DZJ28" s="340">
        <v>0</v>
      </c>
      <c r="DZK28" s="320">
        <f t="shared" ref="DZK28" ca="1" si="386">IF(DZL28&gt;=1,(DZJ28/DZH28),0)</f>
        <v>0</v>
      </c>
      <c r="DZL28" s="292">
        <f t="shared" ref="DZL28" ca="1" si="387">DZI28-$G$5</f>
        <v>-591</v>
      </c>
      <c r="DZM28" s="259" t="s">
        <v>55</v>
      </c>
      <c r="DZN28" s="256" t="s">
        <v>76</v>
      </c>
      <c r="DZO28" s="256" t="s">
        <v>77</v>
      </c>
      <c r="DZP28" s="256" t="s">
        <v>78</v>
      </c>
      <c r="DZQ28" s="256" t="s">
        <v>79</v>
      </c>
      <c r="DZR28" s="256" t="s">
        <v>80</v>
      </c>
      <c r="DZS28" s="256" t="s">
        <v>81</v>
      </c>
      <c r="DZT28" s="331"/>
      <c r="DZU28" s="290">
        <v>45492</v>
      </c>
      <c r="DZV28" s="339" t="s">
        <v>141</v>
      </c>
      <c r="DZW28" s="305"/>
      <c r="DZX28" s="305">
        <v>1</v>
      </c>
      <c r="DZY28" s="304">
        <f t="shared" ref="DZY28" si="388">EDATE(DZU28,DZX28)</f>
        <v>45523</v>
      </c>
      <c r="DZZ28" s="340">
        <v>0</v>
      </c>
      <c r="EAA28" s="320">
        <f t="shared" ref="EAA28" ca="1" si="389">IF(EAB28&gt;=1,(DZZ28/DZX28),0)</f>
        <v>0</v>
      </c>
      <c r="EAB28" s="292">
        <f t="shared" ref="EAB28" ca="1" si="390">DZY28-$G$5</f>
        <v>-591</v>
      </c>
      <c r="EAC28" s="259" t="s">
        <v>55</v>
      </c>
      <c r="EAD28" s="256" t="s">
        <v>76</v>
      </c>
      <c r="EAE28" s="256" t="s">
        <v>77</v>
      </c>
      <c r="EAF28" s="256" t="s">
        <v>78</v>
      </c>
      <c r="EAG28" s="256" t="s">
        <v>79</v>
      </c>
      <c r="EAH28" s="256" t="s">
        <v>80</v>
      </c>
      <c r="EAI28" s="256" t="s">
        <v>81</v>
      </c>
      <c r="EAJ28" s="331"/>
      <c r="EAK28" s="290">
        <v>45492</v>
      </c>
      <c r="EAL28" s="339" t="s">
        <v>141</v>
      </c>
      <c r="EAM28" s="305"/>
      <c r="EAN28" s="305">
        <v>1</v>
      </c>
      <c r="EAO28" s="304">
        <f t="shared" ref="EAO28" si="391">EDATE(EAK28,EAN28)</f>
        <v>45523</v>
      </c>
      <c r="EAP28" s="340">
        <v>0</v>
      </c>
      <c r="EAQ28" s="320">
        <f t="shared" ref="EAQ28" ca="1" si="392">IF(EAR28&gt;=1,(EAP28/EAN28),0)</f>
        <v>0</v>
      </c>
      <c r="EAR28" s="292">
        <f t="shared" ref="EAR28" ca="1" si="393">EAO28-$G$5</f>
        <v>-591</v>
      </c>
      <c r="EAS28" s="259" t="s">
        <v>55</v>
      </c>
      <c r="EAT28" s="256" t="s">
        <v>76</v>
      </c>
      <c r="EAU28" s="256" t="s">
        <v>77</v>
      </c>
      <c r="EAV28" s="256" t="s">
        <v>78</v>
      </c>
      <c r="EAW28" s="256" t="s">
        <v>79</v>
      </c>
      <c r="EAX28" s="256" t="s">
        <v>80</v>
      </c>
      <c r="EAY28" s="256" t="s">
        <v>81</v>
      </c>
      <c r="EAZ28" s="331"/>
      <c r="EBA28" s="290">
        <v>45492</v>
      </c>
      <c r="EBB28" s="339" t="s">
        <v>141</v>
      </c>
      <c r="EBC28" s="305"/>
      <c r="EBD28" s="305">
        <v>1</v>
      </c>
      <c r="EBE28" s="304">
        <f t="shared" ref="EBE28" si="394">EDATE(EBA28,EBD28)</f>
        <v>45523</v>
      </c>
      <c r="EBF28" s="340">
        <v>0</v>
      </c>
      <c r="EBG28" s="320">
        <f t="shared" ref="EBG28" ca="1" si="395">IF(EBH28&gt;=1,(EBF28/EBD28),0)</f>
        <v>0</v>
      </c>
      <c r="EBH28" s="292">
        <f t="shared" ref="EBH28" ca="1" si="396">EBE28-$G$5</f>
        <v>-591</v>
      </c>
      <c r="EBI28" s="259" t="s">
        <v>55</v>
      </c>
      <c r="EBJ28" s="256" t="s">
        <v>76</v>
      </c>
      <c r="EBK28" s="256" t="s">
        <v>77</v>
      </c>
      <c r="EBL28" s="256" t="s">
        <v>78</v>
      </c>
      <c r="EBM28" s="256" t="s">
        <v>79</v>
      </c>
      <c r="EBN28" s="256" t="s">
        <v>80</v>
      </c>
      <c r="EBO28" s="256" t="s">
        <v>81</v>
      </c>
      <c r="EBP28" s="331"/>
      <c r="EBQ28" s="290">
        <v>45492</v>
      </c>
      <c r="EBR28" s="339" t="s">
        <v>141</v>
      </c>
      <c r="EBS28" s="305"/>
      <c r="EBT28" s="305">
        <v>1</v>
      </c>
      <c r="EBU28" s="304">
        <f t="shared" ref="EBU28" si="397">EDATE(EBQ28,EBT28)</f>
        <v>45523</v>
      </c>
      <c r="EBV28" s="340">
        <v>0</v>
      </c>
      <c r="EBW28" s="320">
        <f t="shared" ref="EBW28" ca="1" si="398">IF(EBX28&gt;=1,(EBV28/EBT28),0)</f>
        <v>0</v>
      </c>
      <c r="EBX28" s="292">
        <f t="shared" ref="EBX28" ca="1" si="399">EBU28-$G$5</f>
        <v>-591</v>
      </c>
      <c r="EBY28" s="259" t="s">
        <v>55</v>
      </c>
      <c r="EBZ28" s="256" t="s">
        <v>76</v>
      </c>
      <c r="ECA28" s="256" t="s">
        <v>77</v>
      </c>
      <c r="ECB28" s="256" t="s">
        <v>78</v>
      </c>
      <c r="ECC28" s="256" t="s">
        <v>79</v>
      </c>
      <c r="ECD28" s="256" t="s">
        <v>80</v>
      </c>
      <c r="ECE28" s="256" t="s">
        <v>81</v>
      </c>
      <c r="ECF28" s="331"/>
      <c r="ECG28" s="290">
        <v>45492</v>
      </c>
      <c r="ECH28" s="339" t="s">
        <v>141</v>
      </c>
      <c r="ECI28" s="305"/>
      <c r="ECJ28" s="305">
        <v>1</v>
      </c>
      <c r="ECK28" s="304">
        <f t="shared" ref="ECK28" si="400">EDATE(ECG28,ECJ28)</f>
        <v>45523</v>
      </c>
      <c r="ECL28" s="340">
        <v>0</v>
      </c>
      <c r="ECM28" s="320">
        <f t="shared" ref="ECM28" ca="1" si="401">IF(ECN28&gt;=1,(ECL28/ECJ28),0)</f>
        <v>0</v>
      </c>
      <c r="ECN28" s="292">
        <f t="shared" ref="ECN28" ca="1" si="402">ECK28-$G$5</f>
        <v>-591</v>
      </c>
      <c r="ECO28" s="259" t="s">
        <v>55</v>
      </c>
      <c r="ECP28" s="256" t="s">
        <v>76</v>
      </c>
      <c r="ECQ28" s="256" t="s">
        <v>77</v>
      </c>
      <c r="ECR28" s="256" t="s">
        <v>78</v>
      </c>
      <c r="ECS28" s="256" t="s">
        <v>79</v>
      </c>
      <c r="ECT28" s="256" t="s">
        <v>80</v>
      </c>
      <c r="ECU28" s="256" t="s">
        <v>81</v>
      </c>
      <c r="ECV28" s="331"/>
      <c r="ECW28" s="290">
        <v>45492</v>
      </c>
      <c r="ECX28" s="339" t="s">
        <v>141</v>
      </c>
      <c r="ECY28" s="305"/>
      <c r="ECZ28" s="305">
        <v>1</v>
      </c>
      <c r="EDA28" s="304">
        <f t="shared" ref="EDA28" si="403">EDATE(ECW28,ECZ28)</f>
        <v>45523</v>
      </c>
      <c r="EDB28" s="340">
        <v>0</v>
      </c>
      <c r="EDC28" s="320">
        <f t="shared" ref="EDC28" ca="1" si="404">IF(EDD28&gt;=1,(EDB28/ECZ28),0)</f>
        <v>0</v>
      </c>
      <c r="EDD28" s="292">
        <f t="shared" ref="EDD28" ca="1" si="405">EDA28-$G$5</f>
        <v>-591</v>
      </c>
      <c r="EDE28" s="259" t="s">
        <v>55</v>
      </c>
      <c r="EDF28" s="256" t="s">
        <v>76</v>
      </c>
      <c r="EDG28" s="256" t="s">
        <v>77</v>
      </c>
      <c r="EDH28" s="256" t="s">
        <v>78</v>
      </c>
      <c r="EDI28" s="256" t="s">
        <v>79</v>
      </c>
      <c r="EDJ28" s="256" t="s">
        <v>80</v>
      </c>
      <c r="EDK28" s="256" t="s">
        <v>81</v>
      </c>
      <c r="EDL28" s="331"/>
      <c r="EDM28" s="290">
        <v>45492</v>
      </c>
      <c r="EDN28" s="339" t="s">
        <v>141</v>
      </c>
      <c r="EDO28" s="305"/>
      <c r="EDP28" s="305">
        <v>1</v>
      </c>
      <c r="EDQ28" s="304">
        <f t="shared" ref="EDQ28" si="406">EDATE(EDM28,EDP28)</f>
        <v>45523</v>
      </c>
      <c r="EDR28" s="340">
        <v>0</v>
      </c>
      <c r="EDS28" s="320">
        <f t="shared" ref="EDS28" ca="1" si="407">IF(EDT28&gt;=1,(EDR28/EDP28),0)</f>
        <v>0</v>
      </c>
      <c r="EDT28" s="292">
        <f t="shared" ref="EDT28" ca="1" si="408">EDQ28-$G$5</f>
        <v>-591</v>
      </c>
      <c r="EDU28" s="259" t="s">
        <v>55</v>
      </c>
      <c r="EDV28" s="256" t="s">
        <v>76</v>
      </c>
      <c r="EDW28" s="256" t="s">
        <v>77</v>
      </c>
      <c r="EDX28" s="256" t="s">
        <v>78</v>
      </c>
      <c r="EDY28" s="256" t="s">
        <v>79</v>
      </c>
      <c r="EDZ28" s="256" t="s">
        <v>80</v>
      </c>
      <c r="EEA28" s="256" t="s">
        <v>81</v>
      </c>
      <c r="EEB28" s="331"/>
      <c r="EEC28" s="290">
        <v>45492</v>
      </c>
      <c r="EED28" s="339" t="s">
        <v>141</v>
      </c>
      <c r="EEE28" s="305"/>
      <c r="EEF28" s="305">
        <v>1</v>
      </c>
      <c r="EEG28" s="304">
        <f t="shared" ref="EEG28" si="409">EDATE(EEC28,EEF28)</f>
        <v>45523</v>
      </c>
      <c r="EEH28" s="340">
        <v>0</v>
      </c>
      <c r="EEI28" s="320">
        <f t="shared" ref="EEI28" ca="1" si="410">IF(EEJ28&gt;=1,(EEH28/EEF28),0)</f>
        <v>0</v>
      </c>
      <c r="EEJ28" s="292">
        <f t="shared" ref="EEJ28" ca="1" si="411">EEG28-$G$5</f>
        <v>-591</v>
      </c>
      <c r="EEK28" s="259" t="s">
        <v>55</v>
      </c>
      <c r="EEL28" s="256" t="s">
        <v>76</v>
      </c>
      <c r="EEM28" s="256" t="s">
        <v>77</v>
      </c>
      <c r="EEN28" s="256" t="s">
        <v>78</v>
      </c>
      <c r="EEO28" s="256" t="s">
        <v>79</v>
      </c>
      <c r="EEP28" s="256" t="s">
        <v>80</v>
      </c>
      <c r="EEQ28" s="256" t="s">
        <v>81</v>
      </c>
      <c r="EER28" s="331"/>
      <c r="EES28" s="290">
        <v>45492</v>
      </c>
      <c r="EET28" s="339" t="s">
        <v>141</v>
      </c>
      <c r="EEU28" s="305"/>
      <c r="EEV28" s="305">
        <v>1</v>
      </c>
      <c r="EEW28" s="304">
        <f t="shared" ref="EEW28" si="412">EDATE(EES28,EEV28)</f>
        <v>45523</v>
      </c>
      <c r="EEX28" s="340">
        <v>0</v>
      </c>
      <c r="EEY28" s="320">
        <f t="shared" ref="EEY28" ca="1" si="413">IF(EEZ28&gt;=1,(EEX28/EEV28),0)</f>
        <v>0</v>
      </c>
      <c r="EEZ28" s="292">
        <f t="shared" ref="EEZ28" ca="1" si="414">EEW28-$G$5</f>
        <v>-591</v>
      </c>
      <c r="EFA28" s="259" t="s">
        <v>55</v>
      </c>
      <c r="EFB28" s="256" t="s">
        <v>76</v>
      </c>
      <c r="EFC28" s="256" t="s">
        <v>77</v>
      </c>
      <c r="EFD28" s="256" t="s">
        <v>78</v>
      </c>
      <c r="EFE28" s="256" t="s">
        <v>79</v>
      </c>
      <c r="EFF28" s="256" t="s">
        <v>80</v>
      </c>
      <c r="EFG28" s="256" t="s">
        <v>81</v>
      </c>
      <c r="EFH28" s="331"/>
      <c r="EFI28" s="290">
        <v>45492</v>
      </c>
      <c r="EFJ28" s="339" t="s">
        <v>141</v>
      </c>
      <c r="EFK28" s="305"/>
      <c r="EFL28" s="305">
        <v>1</v>
      </c>
      <c r="EFM28" s="304">
        <f t="shared" ref="EFM28" si="415">EDATE(EFI28,EFL28)</f>
        <v>45523</v>
      </c>
      <c r="EFN28" s="340">
        <v>0</v>
      </c>
      <c r="EFO28" s="320">
        <f t="shared" ref="EFO28" ca="1" si="416">IF(EFP28&gt;=1,(EFN28/EFL28),0)</f>
        <v>0</v>
      </c>
      <c r="EFP28" s="292">
        <f t="shared" ref="EFP28" ca="1" si="417">EFM28-$G$5</f>
        <v>-591</v>
      </c>
      <c r="EFQ28" s="259" t="s">
        <v>55</v>
      </c>
      <c r="EFR28" s="256" t="s">
        <v>76</v>
      </c>
      <c r="EFS28" s="256" t="s">
        <v>77</v>
      </c>
      <c r="EFT28" s="256" t="s">
        <v>78</v>
      </c>
      <c r="EFU28" s="256" t="s">
        <v>79</v>
      </c>
      <c r="EFV28" s="256" t="s">
        <v>80</v>
      </c>
      <c r="EFW28" s="256" t="s">
        <v>81</v>
      </c>
      <c r="EFX28" s="331"/>
      <c r="EFY28" s="290">
        <v>45492</v>
      </c>
      <c r="EFZ28" s="339" t="s">
        <v>141</v>
      </c>
      <c r="EGA28" s="305"/>
      <c r="EGB28" s="305">
        <v>1</v>
      </c>
      <c r="EGC28" s="304">
        <f t="shared" ref="EGC28" si="418">EDATE(EFY28,EGB28)</f>
        <v>45523</v>
      </c>
      <c r="EGD28" s="340">
        <v>0</v>
      </c>
      <c r="EGE28" s="320">
        <f t="shared" ref="EGE28" ca="1" si="419">IF(EGF28&gt;=1,(EGD28/EGB28),0)</f>
        <v>0</v>
      </c>
      <c r="EGF28" s="292">
        <f t="shared" ref="EGF28" ca="1" si="420">EGC28-$G$5</f>
        <v>-591</v>
      </c>
      <c r="EGG28" s="259" t="s">
        <v>55</v>
      </c>
      <c r="EGH28" s="256" t="s">
        <v>76</v>
      </c>
      <c r="EGI28" s="256" t="s">
        <v>77</v>
      </c>
      <c r="EGJ28" s="256" t="s">
        <v>78</v>
      </c>
      <c r="EGK28" s="256" t="s">
        <v>79</v>
      </c>
      <c r="EGL28" s="256" t="s">
        <v>80</v>
      </c>
      <c r="EGM28" s="256" t="s">
        <v>81</v>
      </c>
      <c r="EGN28" s="331"/>
      <c r="EGO28" s="290">
        <v>45492</v>
      </c>
      <c r="EGP28" s="339" t="s">
        <v>141</v>
      </c>
      <c r="EGQ28" s="305"/>
      <c r="EGR28" s="305">
        <v>1</v>
      </c>
      <c r="EGS28" s="304">
        <f t="shared" ref="EGS28" si="421">EDATE(EGO28,EGR28)</f>
        <v>45523</v>
      </c>
      <c r="EGT28" s="340">
        <v>0</v>
      </c>
      <c r="EGU28" s="320">
        <f t="shared" ref="EGU28" ca="1" si="422">IF(EGV28&gt;=1,(EGT28/EGR28),0)</f>
        <v>0</v>
      </c>
      <c r="EGV28" s="292">
        <f t="shared" ref="EGV28" ca="1" si="423">EGS28-$G$5</f>
        <v>-591</v>
      </c>
      <c r="EGW28" s="259" t="s">
        <v>55</v>
      </c>
      <c r="EGX28" s="256" t="s">
        <v>76</v>
      </c>
      <c r="EGY28" s="256" t="s">
        <v>77</v>
      </c>
      <c r="EGZ28" s="256" t="s">
        <v>78</v>
      </c>
      <c r="EHA28" s="256" t="s">
        <v>79</v>
      </c>
      <c r="EHB28" s="256" t="s">
        <v>80</v>
      </c>
      <c r="EHC28" s="256" t="s">
        <v>81</v>
      </c>
      <c r="EHD28" s="331"/>
      <c r="EHE28" s="290">
        <v>45492</v>
      </c>
      <c r="EHF28" s="339" t="s">
        <v>141</v>
      </c>
      <c r="EHG28" s="305"/>
      <c r="EHH28" s="305">
        <v>1</v>
      </c>
      <c r="EHI28" s="304">
        <f t="shared" ref="EHI28" si="424">EDATE(EHE28,EHH28)</f>
        <v>45523</v>
      </c>
      <c r="EHJ28" s="340">
        <v>0</v>
      </c>
      <c r="EHK28" s="320">
        <f t="shared" ref="EHK28" ca="1" si="425">IF(EHL28&gt;=1,(EHJ28/EHH28),0)</f>
        <v>0</v>
      </c>
      <c r="EHL28" s="292">
        <f t="shared" ref="EHL28" ca="1" si="426">EHI28-$G$5</f>
        <v>-591</v>
      </c>
      <c r="EHM28" s="259" t="s">
        <v>55</v>
      </c>
      <c r="EHN28" s="256" t="s">
        <v>76</v>
      </c>
      <c r="EHO28" s="256" t="s">
        <v>77</v>
      </c>
      <c r="EHP28" s="256" t="s">
        <v>78</v>
      </c>
      <c r="EHQ28" s="256" t="s">
        <v>79</v>
      </c>
      <c r="EHR28" s="256" t="s">
        <v>80</v>
      </c>
      <c r="EHS28" s="256" t="s">
        <v>81</v>
      </c>
      <c r="EHT28" s="331"/>
      <c r="EHU28" s="290">
        <v>45492</v>
      </c>
      <c r="EHV28" s="339" t="s">
        <v>141</v>
      </c>
      <c r="EHW28" s="305"/>
      <c r="EHX28" s="305">
        <v>1</v>
      </c>
      <c r="EHY28" s="304">
        <f t="shared" ref="EHY28" si="427">EDATE(EHU28,EHX28)</f>
        <v>45523</v>
      </c>
      <c r="EHZ28" s="340">
        <v>0</v>
      </c>
      <c r="EIA28" s="320">
        <f t="shared" ref="EIA28" ca="1" si="428">IF(EIB28&gt;=1,(EHZ28/EHX28),0)</f>
        <v>0</v>
      </c>
      <c r="EIB28" s="292">
        <f t="shared" ref="EIB28" ca="1" si="429">EHY28-$G$5</f>
        <v>-591</v>
      </c>
      <c r="EIC28" s="259" t="s">
        <v>55</v>
      </c>
      <c r="EID28" s="256" t="s">
        <v>76</v>
      </c>
      <c r="EIE28" s="256" t="s">
        <v>77</v>
      </c>
      <c r="EIF28" s="256" t="s">
        <v>78</v>
      </c>
      <c r="EIG28" s="256" t="s">
        <v>79</v>
      </c>
      <c r="EIH28" s="256" t="s">
        <v>80</v>
      </c>
      <c r="EII28" s="256" t="s">
        <v>81</v>
      </c>
      <c r="EIJ28" s="331"/>
      <c r="EIK28" s="290">
        <v>45492</v>
      </c>
      <c r="EIL28" s="339" t="s">
        <v>141</v>
      </c>
      <c r="EIM28" s="305"/>
      <c r="EIN28" s="305">
        <v>1</v>
      </c>
      <c r="EIO28" s="304">
        <f t="shared" ref="EIO28" si="430">EDATE(EIK28,EIN28)</f>
        <v>45523</v>
      </c>
      <c r="EIP28" s="340">
        <v>0</v>
      </c>
      <c r="EIQ28" s="320">
        <f t="shared" ref="EIQ28" ca="1" si="431">IF(EIR28&gt;=1,(EIP28/EIN28),0)</f>
        <v>0</v>
      </c>
      <c r="EIR28" s="292">
        <f t="shared" ref="EIR28" ca="1" si="432">EIO28-$G$5</f>
        <v>-591</v>
      </c>
      <c r="EIS28" s="259" t="s">
        <v>55</v>
      </c>
      <c r="EIT28" s="256" t="s">
        <v>76</v>
      </c>
      <c r="EIU28" s="256" t="s">
        <v>77</v>
      </c>
      <c r="EIV28" s="256" t="s">
        <v>78</v>
      </c>
      <c r="EIW28" s="256" t="s">
        <v>79</v>
      </c>
      <c r="EIX28" s="256" t="s">
        <v>80</v>
      </c>
      <c r="EIY28" s="256" t="s">
        <v>81</v>
      </c>
      <c r="EIZ28" s="331"/>
      <c r="EJA28" s="290">
        <v>45492</v>
      </c>
      <c r="EJB28" s="339" t="s">
        <v>141</v>
      </c>
      <c r="EJC28" s="305"/>
      <c r="EJD28" s="305">
        <v>1</v>
      </c>
      <c r="EJE28" s="304">
        <f t="shared" ref="EJE28" si="433">EDATE(EJA28,EJD28)</f>
        <v>45523</v>
      </c>
      <c r="EJF28" s="340">
        <v>0</v>
      </c>
      <c r="EJG28" s="320">
        <f t="shared" ref="EJG28" ca="1" si="434">IF(EJH28&gt;=1,(EJF28/EJD28),0)</f>
        <v>0</v>
      </c>
      <c r="EJH28" s="292">
        <f t="shared" ref="EJH28" ca="1" si="435">EJE28-$G$5</f>
        <v>-591</v>
      </c>
      <c r="EJI28" s="259" t="s">
        <v>55</v>
      </c>
      <c r="EJJ28" s="256" t="s">
        <v>76</v>
      </c>
      <c r="EJK28" s="256" t="s">
        <v>77</v>
      </c>
      <c r="EJL28" s="256" t="s">
        <v>78</v>
      </c>
      <c r="EJM28" s="256" t="s">
        <v>79</v>
      </c>
      <c r="EJN28" s="256" t="s">
        <v>80</v>
      </c>
      <c r="EJO28" s="256" t="s">
        <v>81</v>
      </c>
      <c r="EJP28" s="331"/>
      <c r="EJQ28" s="290">
        <v>45492</v>
      </c>
      <c r="EJR28" s="339" t="s">
        <v>141</v>
      </c>
      <c r="EJS28" s="305"/>
      <c r="EJT28" s="305">
        <v>1</v>
      </c>
      <c r="EJU28" s="304">
        <f t="shared" ref="EJU28" si="436">EDATE(EJQ28,EJT28)</f>
        <v>45523</v>
      </c>
      <c r="EJV28" s="340">
        <v>0</v>
      </c>
      <c r="EJW28" s="320">
        <f t="shared" ref="EJW28" ca="1" si="437">IF(EJX28&gt;=1,(EJV28/EJT28),0)</f>
        <v>0</v>
      </c>
      <c r="EJX28" s="292">
        <f t="shared" ref="EJX28" ca="1" si="438">EJU28-$G$5</f>
        <v>-591</v>
      </c>
      <c r="EJY28" s="259" t="s">
        <v>55</v>
      </c>
      <c r="EJZ28" s="256" t="s">
        <v>76</v>
      </c>
      <c r="EKA28" s="256" t="s">
        <v>77</v>
      </c>
      <c r="EKB28" s="256" t="s">
        <v>78</v>
      </c>
      <c r="EKC28" s="256" t="s">
        <v>79</v>
      </c>
      <c r="EKD28" s="256" t="s">
        <v>80</v>
      </c>
      <c r="EKE28" s="256" t="s">
        <v>81</v>
      </c>
      <c r="EKF28" s="331"/>
      <c r="EKG28" s="290">
        <v>45492</v>
      </c>
      <c r="EKH28" s="339" t="s">
        <v>141</v>
      </c>
      <c r="EKI28" s="305"/>
      <c r="EKJ28" s="305">
        <v>1</v>
      </c>
      <c r="EKK28" s="304">
        <f t="shared" ref="EKK28" si="439">EDATE(EKG28,EKJ28)</f>
        <v>45523</v>
      </c>
      <c r="EKL28" s="340">
        <v>0</v>
      </c>
      <c r="EKM28" s="320">
        <f t="shared" ref="EKM28" ca="1" si="440">IF(EKN28&gt;=1,(EKL28/EKJ28),0)</f>
        <v>0</v>
      </c>
      <c r="EKN28" s="292">
        <f t="shared" ref="EKN28" ca="1" si="441">EKK28-$G$5</f>
        <v>-591</v>
      </c>
      <c r="EKO28" s="259" t="s">
        <v>55</v>
      </c>
      <c r="EKP28" s="256" t="s">
        <v>76</v>
      </c>
      <c r="EKQ28" s="256" t="s">
        <v>77</v>
      </c>
      <c r="EKR28" s="256" t="s">
        <v>78</v>
      </c>
      <c r="EKS28" s="256" t="s">
        <v>79</v>
      </c>
      <c r="EKT28" s="256" t="s">
        <v>80</v>
      </c>
      <c r="EKU28" s="256" t="s">
        <v>81</v>
      </c>
      <c r="EKV28" s="331"/>
      <c r="EKW28" s="290">
        <v>45492</v>
      </c>
      <c r="EKX28" s="339" t="s">
        <v>141</v>
      </c>
      <c r="EKY28" s="305"/>
      <c r="EKZ28" s="305">
        <v>1</v>
      </c>
      <c r="ELA28" s="304">
        <f t="shared" ref="ELA28" si="442">EDATE(EKW28,EKZ28)</f>
        <v>45523</v>
      </c>
      <c r="ELB28" s="340">
        <v>0</v>
      </c>
      <c r="ELC28" s="320">
        <f t="shared" ref="ELC28" ca="1" si="443">IF(ELD28&gt;=1,(ELB28/EKZ28),0)</f>
        <v>0</v>
      </c>
      <c r="ELD28" s="292">
        <f t="shared" ref="ELD28" ca="1" si="444">ELA28-$G$5</f>
        <v>-591</v>
      </c>
      <c r="ELE28" s="259" t="s">
        <v>55</v>
      </c>
      <c r="ELF28" s="256" t="s">
        <v>76</v>
      </c>
      <c r="ELG28" s="256" t="s">
        <v>77</v>
      </c>
      <c r="ELH28" s="256" t="s">
        <v>78</v>
      </c>
      <c r="ELI28" s="256" t="s">
        <v>79</v>
      </c>
      <c r="ELJ28" s="256" t="s">
        <v>80</v>
      </c>
      <c r="ELK28" s="256" t="s">
        <v>81</v>
      </c>
      <c r="ELL28" s="331"/>
      <c r="ELM28" s="290">
        <v>45492</v>
      </c>
      <c r="ELN28" s="339" t="s">
        <v>141</v>
      </c>
      <c r="ELO28" s="305"/>
      <c r="ELP28" s="305">
        <v>1</v>
      </c>
      <c r="ELQ28" s="304">
        <f t="shared" ref="ELQ28" si="445">EDATE(ELM28,ELP28)</f>
        <v>45523</v>
      </c>
      <c r="ELR28" s="340">
        <v>0</v>
      </c>
      <c r="ELS28" s="320">
        <f t="shared" ref="ELS28" ca="1" si="446">IF(ELT28&gt;=1,(ELR28/ELP28),0)</f>
        <v>0</v>
      </c>
      <c r="ELT28" s="292">
        <f t="shared" ref="ELT28" ca="1" si="447">ELQ28-$G$5</f>
        <v>-591</v>
      </c>
      <c r="ELU28" s="259" t="s">
        <v>55</v>
      </c>
      <c r="ELV28" s="256" t="s">
        <v>76</v>
      </c>
      <c r="ELW28" s="256" t="s">
        <v>77</v>
      </c>
      <c r="ELX28" s="256" t="s">
        <v>78</v>
      </c>
      <c r="ELY28" s="256" t="s">
        <v>79</v>
      </c>
      <c r="ELZ28" s="256" t="s">
        <v>80</v>
      </c>
      <c r="EMA28" s="256" t="s">
        <v>81</v>
      </c>
      <c r="EMB28" s="331"/>
      <c r="EMC28" s="290">
        <v>45492</v>
      </c>
      <c r="EMD28" s="339" t="s">
        <v>141</v>
      </c>
      <c r="EME28" s="305"/>
      <c r="EMF28" s="305">
        <v>1</v>
      </c>
      <c r="EMG28" s="304">
        <f t="shared" ref="EMG28" si="448">EDATE(EMC28,EMF28)</f>
        <v>45523</v>
      </c>
      <c r="EMH28" s="340">
        <v>0</v>
      </c>
      <c r="EMI28" s="320">
        <f t="shared" ref="EMI28" ca="1" si="449">IF(EMJ28&gt;=1,(EMH28/EMF28),0)</f>
        <v>0</v>
      </c>
      <c r="EMJ28" s="292">
        <f t="shared" ref="EMJ28" ca="1" si="450">EMG28-$G$5</f>
        <v>-591</v>
      </c>
      <c r="EMK28" s="259" t="s">
        <v>55</v>
      </c>
      <c r="EML28" s="256" t="s">
        <v>76</v>
      </c>
      <c r="EMM28" s="256" t="s">
        <v>77</v>
      </c>
      <c r="EMN28" s="256" t="s">
        <v>78</v>
      </c>
      <c r="EMO28" s="256" t="s">
        <v>79</v>
      </c>
      <c r="EMP28" s="256" t="s">
        <v>80</v>
      </c>
      <c r="EMQ28" s="256" t="s">
        <v>81</v>
      </c>
      <c r="EMR28" s="331"/>
      <c r="EMS28" s="290">
        <v>45492</v>
      </c>
      <c r="EMT28" s="339" t="s">
        <v>141</v>
      </c>
      <c r="EMU28" s="305"/>
      <c r="EMV28" s="305">
        <v>1</v>
      </c>
      <c r="EMW28" s="304">
        <f t="shared" ref="EMW28" si="451">EDATE(EMS28,EMV28)</f>
        <v>45523</v>
      </c>
      <c r="EMX28" s="340">
        <v>0</v>
      </c>
      <c r="EMY28" s="320">
        <f t="shared" ref="EMY28" ca="1" si="452">IF(EMZ28&gt;=1,(EMX28/EMV28),0)</f>
        <v>0</v>
      </c>
      <c r="EMZ28" s="292">
        <f t="shared" ref="EMZ28" ca="1" si="453">EMW28-$G$5</f>
        <v>-591</v>
      </c>
      <c r="ENA28" s="259" t="s">
        <v>55</v>
      </c>
      <c r="ENB28" s="256" t="s">
        <v>76</v>
      </c>
      <c r="ENC28" s="256" t="s">
        <v>77</v>
      </c>
      <c r="END28" s="256" t="s">
        <v>78</v>
      </c>
      <c r="ENE28" s="256" t="s">
        <v>79</v>
      </c>
      <c r="ENF28" s="256" t="s">
        <v>80</v>
      </c>
      <c r="ENG28" s="256" t="s">
        <v>81</v>
      </c>
      <c r="ENH28" s="331"/>
      <c r="ENI28" s="290">
        <v>45492</v>
      </c>
      <c r="ENJ28" s="339" t="s">
        <v>141</v>
      </c>
      <c r="ENK28" s="305"/>
      <c r="ENL28" s="305">
        <v>1</v>
      </c>
      <c r="ENM28" s="304">
        <f t="shared" ref="ENM28" si="454">EDATE(ENI28,ENL28)</f>
        <v>45523</v>
      </c>
      <c r="ENN28" s="340">
        <v>0</v>
      </c>
      <c r="ENO28" s="320">
        <f t="shared" ref="ENO28" ca="1" si="455">IF(ENP28&gt;=1,(ENN28/ENL28),0)</f>
        <v>0</v>
      </c>
      <c r="ENP28" s="292">
        <f t="shared" ref="ENP28" ca="1" si="456">ENM28-$G$5</f>
        <v>-591</v>
      </c>
      <c r="ENQ28" s="259" t="s">
        <v>55</v>
      </c>
      <c r="ENR28" s="256" t="s">
        <v>76</v>
      </c>
      <c r="ENS28" s="256" t="s">
        <v>77</v>
      </c>
      <c r="ENT28" s="256" t="s">
        <v>78</v>
      </c>
      <c r="ENU28" s="256" t="s">
        <v>79</v>
      </c>
      <c r="ENV28" s="256" t="s">
        <v>80</v>
      </c>
      <c r="ENW28" s="256" t="s">
        <v>81</v>
      </c>
      <c r="ENX28" s="331"/>
      <c r="ENY28" s="290">
        <v>45492</v>
      </c>
      <c r="ENZ28" s="339" t="s">
        <v>141</v>
      </c>
      <c r="EOA28" s="305"/>
      <c r="EOB28" s="305">
        <v>1</v>
      </c>
      <c r="EOC28" s="304">
        <f t="shared" ref="EOC28" si="457">EDATE(ENY28,EOB28)</f>
        <v>45523</v>
      </c>
      <c r="EOD28" s="340">
        <v>0</v>
      </c>
      <c r="EOE28" s="320">
        <f t="shared" ref="EOE28" ca="1" si="458">IF(EOF28&gt;=1,(EOD28/EOB28),0)</f>
        <v>0</v>
      </c>
      <c r="EOF28" s="292">
        <f t="shared" ref="EOF28" ca="1" si="459">EOC28-$G$5</f>
        <v>-591</v>
      </c>
      <c r="EOG28" s="259" t="s">
        <v>55</v>
      </c>
      <c r="EOH28" s="256" t="s">
        <v>76</v>
      </c>
      <c r="EOI28" s="256" t="s">
        <v>77</v>
      </c>
      <c r="EOJ28" s="256" t="s">
        <v>78</v>
      </c>
      <c r="EOK28" s="256" t="s">
        <v>79</v>
      </c>
      <c r="EOL28" s="256" t="s">
        <v>80</v>
      </c>
      <c r="EOM28" s="256" t="s">
        <v>81</v>
      </c>
      <c r="EON28" s="331"/>
      <c r="EOO28" s="290">
        <v>45492</v>
      </c>
      <c r="EOP28" s="339" t="s">
        <v>141</v>
      </c>
      <c r="EOQ28" s="305"/>
      <c r="EOR28" s="305">
        <v>1</v>
      </c>
      <c r="EOS28" s="304">
        <f t="shared" ref="EOS28" si="460">EDATE(EOO28,EOR28)</f>
        <v>45523</v>
      </c>
      <c r="EOT28" s="340">
        <v>0</v>
      </c>
      <c r="EOU28" s="320">
        <f t="shared" ref="EOU28" ca="1" si="461">IF(EOV28&gt;=1,(EOT28/EOR28),0)</f>
        <v>0</v>
      </c>
      <c r="EOV28" s="292">
        <f t="shared" ref="EOV28" ca="1" si="462">EOS28-$G$5</f>
        <v>-591</v>
      </c>
      <c r="EOW28" s="259" t="s">
        <v>55</v>
      </c>
      <c r="EOX28" s="256" t="s">
        <v>76</v>
      </c>
      <c r="EOY28" s="256" t="s">
        <v>77</v>
      </c>
      <c r="EOZ28" s="256" t="s">
        <v>78</v>
      </c>
      <c r="EPA28" s="256" t="s">
        <v>79</v>
      </c>
      <c r="EPB28" s="256" t="s">
        <v>80</v>
      </c>
      <c r="EPC28" s="256" t="s">
        <v>81</v>
      </c>
      <c r="EPD28" s="331"/>
      <c r="EPE28" s="290">
        <v>45492</v>
      </c>
      <c r="EPF28" s="339" t="s">
        <v>141</v>
      </c>
      <c r="EPG28" s="305"/>
      <c r="EPH28" s="305">
        <v>1</v>
      </c>
      <c r="EPI28" s="304">
        <f t="shared" ref="EPI28" si="463">EDATE(EPE28,EPH28)</f>
        <v>45523</v>
      </c>
      <c r="EPJ28" s="340">
        <v>0</v>
      </c>
      <c r="EPK28" s="320">
        <f t="shared" ref="EPK28" ca="1" si="464">IF(EPL28&gt;=1,(EPJ28/EPH28),0)</f>
        <v>0</v>
      </c>
      <c r="EPL28" s="292">
        <f t="shared" ref="EPL28" ca="1" si="465">EPI28-$G$5</f>
        <v>-591</v>
      </c>
      <c r="EPM28" s="259" t="s">
        <v>55</v>
      </c>
      <c r="EPN28" s="256" t="s">
        <v>76</v>
      </c>
      <c r="EPO28" s="256" t="s">
        <v>77</v>
      </c>
      <c r="EPP28" s="256" t="s">
        <v>78</v>
      </c>
      <c r="EPQ28" s="256" t="s">
        <v>79</v>
      </c>
      <c r="EPR28" s="256" t="s">
        <v>80</v>
      </c>
      <c r="EPS28" s="256" t="s">
        <v>81</v>
      </c>
      <c r="EPT28" s="331"/>
      <c r="EPU28" s="290">
        <v>45492</v>
      </c>
      <c r="EPV28" s="339" t="s">
        <v>141</v>
      </c>
      <c r="EPW28" s="305"/>
      <c r="EPX28" s="305">
        <v>1</v>
      </c>
      <c r="EPY28" s="304">
        <f t="shared" ref="EPY28" si="466">EDATE(EPU28,EPX28)</f>
        <v>45523</v>
      </c>
      <c r="EPZ28" s="340">
        <v>0</v>
      </c>
      <c r="EQA28" s="320">
        <f t="shared" ref="EQA28" ca="1" si="467">IF(EQB28&gt;=1,(EPZ28/EPX28),0)</f>
        <v>0</v>
      </c>
      <c r="EQB28" s="292">
        <f t="shared" ref="EQB28" ca="1" si="468">EPY28-$G$5</f>
        <v>-591</v>
      </c>
      <c r="EQC28" s="259" t="s">
        <v>55</v>
      </c>
      <c r="EQD28" s="256" t="s">
        <v>76</v>
      </c>
      <c r="EQE28" s="256" t="s">
        <v>77</v>
      </c>
      <c r="EQF28" s="256" t="s">
        <v>78</v>
      </c>
      <c r="EQG28" s="256" t="s">
        <v>79</v>
      </c>
      <c r="EQH28" s="256" t="s">
        <v>80</v>
      </c>
      <c r="EQI28" s="256" t="s">
        <v>81</v>
      </c>
      <c r="EQJ28" s="331"/>
      <c r="EQK28" s="290">
        <v>45492</v>
      </c>
      <c r="EQL28" s="339" t="s">
        <v>141</v>
      </c>
      <c r="EQM28" s="305"/>
      <c r="EQN28" s="305">
        <v>1</v>
      </c>
      <c r="EQO28" s="304">
        <f t="shared" ref="EQO28" si="469">EDATE(EQK28,EQN28)</f>
        <v>45523</v>
      </c>
      <c r="EQP28" s="340">
        <v>0</v>
      </c>
      <c r="EQQ28" s="320">
        <f t="shared" ref="EQQ28" ca="1" si="470">IF(EQR28&gt;=1,(EQP28/EQN28),0)</f>
        <v>0</v>
      </c>
      <c r="EQR28" s="292">
        <f t="shared" ref="EQR28" ca="1" si="471">EQO28-$G$5</f>
        <v>-591</v>
      </c>
      <c r="EQS28" s="259" t="s">
        <v>55</v>
      </c>
      <c r="EQT28" s="256" t="s">
        <v>76</v>
      </c>
      <c r="EQU28" s="256" t="s">
        <v>77</v>
      </c>
      <c r="EQV28" s="256" t="s">
        <v>78</v>
      </c>
      <c r="EQW28" s="256" t="s">
        <v>79</v>
      </c>
      <c r="EQX28" s="256" t="s">
        <v>80</v>
      </c>
      <c r="EQY28" s="256" t="s">
        <v>81</v>
      </c>
      <c r="EQZ28" s="331"/>
      <c r="ERA28" s="290">
        <v>45492</v>
      </c>
      <c r="ERB28" s="339" t="s">
        <v>141</v>
      </c>
      <c r="ERC28" s="305"/>
      <c r="ERD28" s="305">
        <v>1</v>
      </c>
      <c r="ERE28" s="304">
        <f t="shared" ref="ERE28" si="472">EDATE(ERA28,ERD28)</f>
        <v>45523</v>
      </c>
      <c r="ERF28" s="340">
        <v>0</v>
      </c>
      <c r="ERG28" s="320">
        <f t="shared" ref="ERG28" ca="1" si="473">IF(ERH28&gt;=1,(ERF28/ERD28),0)</f>
        <v>0</v>
      </c>
      <c r="ERH28" s="292">
        <f t="shared" ref="ERH28" ca="1" si="474">ERE28-$G$5</f>
        <v>-591</v>
      </c>
      <c r="ERI28" s="259" t="s">
        <v>55</v>
      </c>
      <c r="ERJ28" s="256" t="s">
        <v>76</v>
      </c>
      <c r="ERK28" s="256" t="s">
        <v>77</v>
      </c>
      <c r="ERL28" s="256" t="s">
        <v>78</v>
      </c>
      <c r="ERM28" s="256" t="s">
        <v>79</v>
      </c>
      <c r="ERN28" s="256" t="s">
        <v>80</v>
      </c>
      <c r="ERO28" s="256" t="s">
        <v>81</v>
      </c>
      <c r="ERP28" s="331"/>
      <c r="ERQ28" s="290">
        <v>45492</v>
      </c>
      <c r="ERR28" s="339" t="s">
        <v>141</v>
      </c>
      <c r="ERS28" s="305"/>
      <c r="ERT28" s="305">
        <v>1</v>
      </c>
      <c r="ERU28" s="304">
        <f t="shared" ref="ERU28" si="475">EDATE(ERQ28,ERT28)</f>
        <v>45523</v>
      </c>
      <c r="ERV28" s="340">
        <v>0</v>
      </c>
      <c r="ERW28" s="320">
        <f t="shared" ref="ERW28" ca="1" si="476">IF(ERX28&gt;=1,(ERV28/ERT28),0)</f>
        <v>0</v>
      </c>
      <c r="ERX28" s="292">
        <f t="shared" ref="ERX28" ca="1" si="477">ERU28-$G$5</f>
        <v>-591</v>
      </c>
      <c r="ERY28" s="259" t="s">
        <v>55</v>
      </c>
      <c r="ERZ28" s="256" t="s">
        <v>76</v>
      </c>
      <c r="ESA28" s="256" t="s">
        <v>77</v>
      </c>
      <c r="ESB28" s="256" t="s">
        <v>78</v>
      </c>
      <c r="ESC28" s="256" t="s">
        <v>79</v>
      </c>
      <c r="ESD28" s="256" t="s">
        <v>80</v>
      </c>
      <c r="ESE28" s="256" t="s">
        <v>81</v>
      </c>
      <c r="ESF28" s="331"/>
      <c r="ESG28" s="290">
        <v>45492</v>
      </c>
      <c r="ESH28" s="339" t="s">
        <v>141</v>
      </c>
      <c r="ESI28" s="305"/>
      <c r="ESJ28" s="305">
        <v>1</v>
      </c>
      <c r="ESK28" s="304">
        <f t="shared" ref="ESK28" si="478">EDATE(ESG28,ESJ28)</f>
        <v>45523</v>
      </c>
      <c r="ESL28" s="340">
        <v>0</v>
      </c>
      <c r="ESM28" s="320">
        <f t="shared" ref="ESM28" ca="1" si="479">IF(ESN28&gt;=1,(ESL28/ESJ28),0)</f>
        <v>0</v>
      </c>
      <c r="ESN28" s="292">
        <f t="shared" ref="ESN28" ca="1" si="480">ESK28-$G$5</f>
        <v>-591</v>
      </c>
      <c r="ESO28" s="259" t="s">
        <v>55</v>
      </c>
      <c r="ESP28" s="256" t="s">
        <v>76</v>
      </c>
      <c r="ESQ28" s="256" t="s">
        <v>77</v>
      </c>
      <c r="ESR28" s="256" t="s">
        <v>78</v>
      </c>
      <c r="ESS28" s="256" t="s">
        <v>79</v>
      </c>
      <c r="EST28" s="256" t="s">
        <v>80</v>
      </c>
      <c r="ESU28" s="256" t="s">
        <v>81</v>
      </c>
      <c r="ESV28" s="331"/>
      <c r="ESW28" s="290">
        <v>45492</v>
      </c>
      <c r="ESX28" s="339" t="s">
        <v>141</v>
      </c>
      <c r="ESY28" s="305"/>
      <c r="ESZ28" s="305">
        <v>1</v>
      </c>
      <c r="ETA28" s="304">
        <f t="shared" ref="ETA28" si="481">EDATE(ESW28,ESZ28)</f>
        <v>45523</v>
      </c>
      <c r="ETB28" s="340">
        <v>0</v>
      </c>
      <c r="ETC28" s="320">
        <f t="shared" ref="ETC28" ca="1" si="482">IF(ETD28&gt;=1,(ETB28/ESZ28),0)</f>
        <v>0</v>
      </c>
      <c r="ETD28" s="292">
        <f t="shared" ref="ETD28" ca="1" si="483">ETA28-$G$5</f>
        <v>-591</v>
      </c>
      <c r="ETE28" s="259" t="s">
        <v>55</v>
      </c>
      <c r="ETF28" s="256" t="s">
        <v>76</v>
      </c>
      <c r="ETG28" s="256" t="s">
        <v>77</v>
      </c>
      <c r="ETH28" s="256" t="s">
        <v>78</v>
      </c>
      <c r="ETI28" s="256" t="s">
        <v>79</v>
      </c>
      <c r="ETJ28" s="256" t="s">
        <v>80</v>
      </c>
      <c r="ETK28" s="256" t="s">
        <v>81</v>
      </c>
      <c r="ETL28" s="331"/>
      <c r="ETM28" s="290">
        <v>45492</v>
      </c>
      <c r="ETN28" s="339" t="s">
        <v>141</v>
      </c>
      <c r="ETO28" s="305"/>
      <c r="ETP28" s="305">
        <v>1</v>
      </c>
      <c r="ETQ28" s="304">
        <f t="shared" ref="ETQ28" si="484">EDATE(ETM28,ETP28)</f>
        <v>45523</v>
      </c>
      <c r="ETR28" s="340">
        <v>0</v>
      </c>
      <c r="ETS28" s="320">
        <f t="shared" ref="ETS28" ca="1" si="485">IF(ETT28&gt;=1,(ETR28/ETP28),0)</f>
        <v>0</v>
      </c>
      <c r="ETT28" s="292">
        <f t="shared" ref="ETT28" ca="1" si="486">ETQ28-$G$5</f>
        <v>-591</v>
      </c>
      <c r="ETU28" s="259" t="s">
        <v>55</v>
      </c>
      <c r="ETV28" s="256" t="s">
        <v>76</v>
      </c>
      <c r="ETW28" s="256" t="s">
        <v>77</v>
      </c>
      <c r="ETX28" s="256" t="s">
        <v>78</v>
      </c>
      <c r="ETY28" s="256" t="s">
        <v>79</v>
      </c>
      <c r="ETZ28" s="256" t="s">
        <v>80</v>
      </c>
      <c r="EUA28" s="256" t="s">
        <v>81</v>
      </c>
      <c r="EUB28" s="331"/>
      <c r="EUC28" s="290">
        <v>45492</v>
      </c>
      <c r="EUD28" s="339" t="s">
        <v>141</v>
      </c>
      <c r="EUE28" s="305"/>
      <c r="EUF28" s="305">
        <v>1</v>
      </c>
      <c r="EUG28" s="304">
        <f t="shared" ref="EUG28" si="487">EDATE(EUC28,EUF28)</f>
        <v>45523</v>
      </c>
      <c r="EUH28" s="340">
        <v>0</v>
      </c>
      <c r="EUI28" s="320">
        <f t="shared" ref="EUI28" ca="1" si="488">IF(EUJ28&gt;=1,(EUH28/EUF28),0)</f>
        <v>0</v>
      </c>
      <c r="EUJ28" s="292">
        <f t="shared" ref="EUJ28" ca="1" si="489">EUG28-$G$5</f>
        <v>-591</v>
      </c>
      <c r="EUK28" s="259" t="s">
        <v>55</v>
      </c>
      <c r="EUL28" s="256" t="s">
        <v>76</v>
      </c>
      <c r="EUM28" s="256" t="s">
        <v>77</v>
      </c>
      <c r="EUN28" s="256" t="s">
        <v>78</v>
      </c>
      <c r="EUO28" s="256" t="s">
        <v>79</v>
      </c>
      <c r="EUP28" s="256" t="s">
        <v>80</v>
      </c>
      <c r="EUQ28" s="256" t="s">
        <v>81</v>
      </c>
      <c r="EUR28" s="331"/>
      <c r="EUS28" s="290">
        <v>45492</v>
      </c>
      <c r="EUT28" s="339" t="s">
        <v>141</v>
      </c>
      <c r="EUU28" s="305"/>
      <c r="EUV28" s="305">
        <v>1</v>
      </c>
      <c r="EUW28" s="304">
        <f t="shared" ref="EUW28" si="490">EDATE(EUS28,EUV28)</f>
        <v>45523</v>
      </c>
      <c r="EUX28" s="340">
        <v>0</v>
      </c>
      <c r="EUY28" s="320">
        <f t="shared" ref="EUY28" ca="1" si="491">IF(EUZ28&gt;=1,(EUX28/EUV28),0)</f>
        <v>0</v>
      </c>
      <c r="EUZ28" s="292">
        <f t="shared" ref="EUZ28" ca="1" si="492">EUW28-$G$5</f>
        <v>-591</v>
      </c>
      <c r="EVA28" s="259" t="s">
        <v>55</v>
      </c>
      <c r="EVB28" s="256" t="s">
        <v>76</v>
      </c>
      <c r="EVC28" s="256" t="s">
        <v>77</v>
      </c>
      <c r="EVD28" s="256" t="s">
        <v>78</v>
      </c>
      <c r="EVE28" s="256" t="s">
        <v>79</v>
      </c>
      <c r="EVF28" s="256" t="s">
        <v>80</v>
      </c>
      <c r="EVG28" s="256" t="s">
        <v>81</v>
      </c>
      <c r="EVH28" s="331"/>
      <c r="EVI28" s="290">
        <v>45492</v>
      </c>
      <c r="EVJ28" s="339" t="s">
        <v>141</v>
      </c>
      <c r="EVK28" s="305"/>
      <c r="EVL28" s="305">
        <v>1</v>
      </c>
      <c r="EVM28" s="304">
        <f t="shared" ref="EVM28" si="493">EDATE(EVI28,EVL28)</f>
        <v>45523</v>
      </c>
      <c r="EVN28" s="340">
        <v>0</v>
      </c>
      <c r="EVO28" s="320">
        <f t="shared" ref="EVO28" ca="1" si="494">IF(EVP28&gt;=1,(EVN28/EVL28),0)</f>
        <v>0</v>
      </c>
      <c r="EVP28" s="292">
        <f t="shared" ref="EVP28" ca="1" si="495">EVM28-$G$5</f>
        <v>-591</v>
      </c>
      <c r="EVQ28" s="259" t="s">
        <v>55</v>
      </c>
      <c r="EVR28" s="256" t="s">
        <v>76</v>
      </c>
      <c r="EVS28" s="256" t="s">
        <v>77</v>
      </c>
      <c r="EVT28" s="256" t="s">
        <v>78</v>
      </c>
      <c r="EVU28" s="256" t="s">
        <v>79</v>
      </c>
      <c r="EVV28" s="256" t="s">
        <v>80</v>
      </c>
      <c r="EVW28" s="256" t="s">
        <v>81</v>
      </c>
      <c r="EVX28" s="331"/>
      <c r="EVY28" s="290">
        <v>45492</v>
      </c>
      <c r="EVZ28" s="339" t="s">
        <v>141</v>
      </c>
      <c r="EWA28" s="305"/>
      <c r="EWB28" s="305">
        <v>1</v>
      </c>
      <c r="EWC28" s="304">
        <f t="shared" ref="EWC28" si="496">EDATE(EVY28,EWB28)</f>
        <v>45523</v>
      </c>
      <c r="EWD28" s="340">
        <v>0</v>
      </c>
      <c r="EWE28" s="320">
        <f t="shared" ref="EWE28" ca="1" si="497">IF(EWF28&gt;=1,(EWD28/EWB28),0)</f>
        <v>0</v>
      </c>
      <c r="EWF28" s="292">
        <f t="shared" ref="EWF28" ca="1" si="498">EWC28-$G$5</f>
        <v>-591</v>
      </c>
      <c r="EWG28" s="259" t="s">
        <v>55</v>
      </c>
      <c r="EWH28" s="256" t="s">
        <v>76</v>
      </c>
      <c r="EWI28" s="256" t="s">
        <v>77</v>
      </c>
      <c r="EWJ28" s="256" t="s">
        <v>78</v>
      </c>
      <c r="EWK28" s="256" t="s">
        <v>79</v>
      </c>
      <c r="EWL28" s="256" t="s">
        <v>80</v>
      </c>
      <c r="EWM28" s="256" t="s">
        <v>81</v>
      </c>
      <c r="EWN28" s="331"/>
      <c r="EWO28" s="290">
        <v>45492</v>
      </c>
      <c r="EWP28" s="339" t="s">
        <v>141</v>
      </c>
      <c r="EWQ28" s="305"/>
      <c r="EWR28" s="305">
        <v>1</v>
      </c>
      <c r="EWS28" s="304">
        <f t="shared" ref="EWS28" si="499">EDATE(EWO28,EWR28)</f>
        <v>45523</v>
      </c>
      <c r="EWT28" s="340">
        <v>0</v>
      </c>
      <c r="EWU28" s="320">
        <f t="shared" ref="EWU28" ca="1" si="500">IF(EWV28&gt;=1,(EWT28/EWR28),0)</f>
        <v>0</v>
      </c>
      <c r="EWV28" s="292">
        <f t="shared" ref="EWV28" ca="1" si="501">EWS28-$G$5</f>
        <v>-591</v>
      </c>
      <c r="EWW28" s="259" t="s">
        <v>55</v>
      </c>
      <c r="EWX28" s="256" t="s">
        <v>76</v>
      </c>
      <c r="EWY28" s="256" t="s">
        <v>77</v>
      </c>
      <c r="EWZ28" s="256" t="s">
        <v>78</v>
      </c>
      <c r="EXA28" s="256" t="s">
        <v>79</v>
      </c>
      <c r="EXB28" s="256" t="s">
        <v>80</v>
      </c>
      <c r="EXC28" s="256" t="s">
        <v>81</v>
      </c>
      <c r="EXD28" s="331"/>
      <c r="EXE28" s="290">
        <v>45492</v>
      </c>
      <c r="EXF28" s="339" t="s">
        <v>141</v>
      </c>
      <c r="EXG28" s="305"/>
      <c r="EXH28" s="305">
        <v>1</v>
      </c>
      <c r="EXI28" s="304">
        <f t="shared" ref="EXI28" si="502">EDATE(EXE28,EXH28)</f>
        <v>45523</v>
      </c>
      <c r="EXJ28" s="340">
        <v>0</v>
      </c>
      <c r="EXK28" s="320">
        <f t="shared" ref="EXK28" ca="1" si="503">IF(EXL28&gt;=1,(EXJ28/EXH28),0)</f>
        <v>0</v>
      </c>
      <c r="EXL28" s="292">
        <f t="shared" ref="EXL28" ca="1" si="504">EXI28-$G$5</f>
        <v>-591</v>
      </c>
      <c r="EXM28" s="259" t="s">
        <v>55</v>
      </c>
      <c r="EXN28" s="256" t="s">
        <v>76</v>
      </c>
      <c r="EXO28" s="256" t="s">
        <v>77</v>
      </c>
      <c r="EXP28" s="256" t="s">
        <v>78</v>
      </c>
      <c r="EXQ28" s="256" t="s">
        <v>79</v>
      </c>
      <c r="EXR28" s="256" t="s">
        <v>80</v>
      </c>
      <c r="EXS28" s="256" t="s">
        <v>81</v>
      </c>
      <c r="EXT28" s="331"/>
      <c r="EXU28" s="290">
        <v>45492</v>
      </c>
      <c r="EXV28" s="339" t="s">
        <v>141</v>
      </c>
      <c r="EXW28" s="305"/>
      <c r="EXX28" s="305">
        <v>1</v>
      </c>
      <c r="EXY28" s="304">
        <f t="shared" ref="EXY28" si="505">EDATE(EXU28,EXX28)</f>
        <v>45523</v>
      </c>
      <c r="EXZ28" s="340">
        <v>0</v>
      </c>
      <c r="EYA28" s="320">
        <f t="shared" ref="EYA28" ca="1" si="506">IF(EYB28&gt;=1,(EXZ28/EXX28),0)</f>
        <v>0</v>
      </c>
      <c r="EYB28" s="292">
        <f t="shared" ref="EYB28" ca="1" si="507">EXY28-$G$5</f>
        <v>-591</v>
      </c>
      <c r="EYC28" s="259" t="s">
        <v>55</v>
      </c>
      <c r="EYD28" s="256" t="s">
        <v>76</v>
      </c>
      <c r="EYE28" s="256" t="s">
        <v>77</v>
      </c>
      <c r="EYF28" s="256" t="s">
        <v>78</v>
      </c>
      <c r="EYG28" s="256" t="s">
        <v>79</v>
      </c>
      <c r="EYH28" s="256" t="s">
        <v>80</v>
      </c>
      <c r="EYI28" s="256" t="s">
        <v>81</v>
      </c>
      <c r="EYJ28" s="331"/>
      <c r="EYK28" s="290">
        <v>45492</v>
      </c>
      <c r="EYL28" s="339" t="s">
        <v>141</v>
      </c>
      <c r="EYM28" s="305"/>
      <c r="EYN28" s="305">
        <v>1</v>
      </c>
      <c r="EYO28" s="304">
        <f t="shared" ref="EYO28" si="508">EDATE(EYK28,EYN28)</f>
        <v>45523</v>
      </c>
      <c r="EYP28" s="340">
        <v>0</v>
      </c>
      <c r="EYQ28" s="320">
        <f t="shared" ref="EYQ28" ca="1" si="509">IF(EYR28&gt;=1,(EYP28/EYN28),0)</f>
        <v>0</v>
      </c>
      <c r="EYR28" s="292">
        <f t="shared" ref="EYR28" ca="1" si="510">EYO28-$G$5</f>
        <v>-591</v>
      </c>
      <c r="EYS28" s="259" t="s">
        <v>55</v>
      </c>
      <c r="EYT28" s="256" t="s">
        <v>76</v>
      </c>
      <c r="EYU28" s="256" t="s">
        <v>77</v>
      </c>
      <c r="EYV28" s="256" t="s">
        <v>78</v>
      </c>
      <c r="EYW28" s="256" t="s">
        <v>79</v>
      </c>
      <c r="EYX28" s="256" t="s">
        <v>80</v>
      </c>
      <c r="EYY28" s="256" t="s">
        <v>81</v>
      </c>
      <c r="EYZ28" s="331"/>
      <c r="EZA28" s="290">
        <v>45492</v>
      </c>
      <c r="EZB28" s="339" t="s">
        <v>141</v>
      </c>
      <c r="EZC28" s="305"/>
      <c r="EZD28" s="305">
        <v>1</v>
      </c>
      <c r="EZE28" s="304">
        <f t="shared" ref="EZE28" si="511">EDATE(EZA28,EZD28)</f>
        <v>45523</v>
      </c>
      <c r="EZF28" s="340">
        <v>0</v>
      </c>
      <c r="EZG28" s="320">
        <f t="shared" ref="EZG28" ca="1" si="512">IF(EZH28&gt;=1,(EZF28/EZD28),0)</f>
        <v>0</v>
      </c>
      <c r="EZH28" s="292">
        <f t="shared" ref="EZH28" ca="1" si="513">EZE28-$G$5</f>
        <v>-591</v>
      </c>
      <c r="EZI28" s="259" t="s">
        <v>55</v>
      </c>
      <c r="EZJ28" s="256" t="s">
        <v>76</v>
      </c>
      <c r="EZK28" s="256" t="s">
        <v>77</v>
      </c>
      <c r="EZL28" s="256" t="s">
        <v>78</v>
      </c>
      <c r="EZM28" s="256" t="s">
        <v>79</v>
      </c>
      <c r="EZN28" s="256" t="s">
        <v>80</v>
      </c>
      <c r="EZO28" s="256" t="s">
        <v>81</v>
      </c>
      <c r="EZP28" s="331"/>
      <c r="EZQ28" s="290">
        <v>45492</v>
      </c>
      <c r="EZR28" s="339" t="s">
        <v>141</v>
      </c>
      <c r="EZS28" s="305"/>
      <c r="EZT28" s="305">
        <v>1</v>
      </c>
      <c r="EZU28" s="304">
        <f t="shared" ref="EZU28" si="514">EDATE(EZQ28,EZT28)</f>
        <v>45523</v>
      </c>
      <c r="EZV28" s="340">
        <v>0</v>
      </c>
      <c r="EZW28" s="320">
        <f t="shared" ref="EZW28" ca="1" si="515">IF(EZX28&gt;=1,(EZV28/EZT28),0)</f>
        <v>0</v>
      </c>
      <c r="EZX28" s="292">
        <f t="shared" ref="EZX28" ca="1" si="516">EZU28-$G$5</f>
        <v>-591</v>
      </c>
      <c r="EZY28" s="259" t="s">
        <v>55</v>
      </c>
      <c r="EZZ28" s="256" t="s">
        <v>76</v>
      </c>
      <c r="FAA28" s="256" t="s">
        <v>77</v>
      </c>
      <c r="FAB28" s="256" t="s">
        <v>78</v>
      </c>
      <c r="FAC28" s="256" t="s">
        <v>79</v>
      </c>
      <c r="FAD28" s="256" t="s">
        <v>80</v>
      </c>
      <c r="FAE28" s="256" t="s">
        <v>81</v>
      </c>
      <c r="FAF28" s="331"/>
      <c r="FAG28" s="290">
        <v>45492</v>
      </c>
      <c r="FAH28" s="339" t="s">
        <v>141</v>
      </c>
      <c r="FAI28" s="305"/>
      <c r="FAJ28" s="305">
        <v>1</v>
      </c>
      <c r="FAK28" s="304">
        <f t="shared" ref="FAK28" si="517">EDATE(FAG28,FAJ28)</f>
        <v>45523</v>
      </c>
      <c r="FAL28" s="340">
        <v>0</v>
      </c>
      <c r="FAM28" s="320">
        <f t="shared" ref="FAM28" ca="1" si="518">IF(FAN28&gt;=1,(FAL28/FAJ28),0)</f>
        <v>0</v>
      </c>
      <c r="FAN28" s="292">
        <f t="shared" ref="FAN28" ca="1" si="519">FAK28-$G$5</f>
        <v>-591</v>
      </c>
      <c r="FAO28" s="259" t="s">
        <v>55</v>
      </c>
      <c r="FAP28" s="256" t="s">
        <v>76</v>
      </c>
      <c r="FAQ28" s="256" t="s">
        <v>77</v>
      </c>
      <c r="FAR28" s="256" t="s">
        <v>78</v>
      </c>
      <c r="FAS28" s="256" t="s">
        <v>79</v>
      </c>
      <c r="FAT28" s="256" t="s">
        <v>80</v>
      </c>
      <c r="FAU28" s="256" t="s">
        <v>81</v>
      </c>
      <c r="FAV28" s="331"/>
      <c r="FAW28" s="290">
        <v>45492</v>
      </c>
      <c r="FAX28" s="339" t="s">
        <v>141</v>
      </c>
      <c r="FAY28" s="305"/>
      <c r="FAZ28" s="305">
        <v>1</v>
      </c>
      <c r="FBA28" s="304">
        <f t="shared" ref="FBA28" si="520">EDATE(FAW28,FAZ28)</f>
        <v>45523</v>
      </c>
      <c r="FBB28" s="340">
        <v>0</v>
      </c>
      <c r="FBC28" s="320">
        <f t="shared" ref="FBC28" ca="1" si="521">IF(FBD28&gt;=1,(FBB28/FAZ28),0)</f>
        <v>0</v>
      </c>
      <c r="FBD28" s="292">
        <f t="shared" ref="FBD28" ca="1" si="522">FBA28-$G$5</f>
        <v>-591</v>
      </c>
      <c r="FBE28" s="259" t="s">
        <v>55</v>
      </c>
      <c r="FBF28" s="256" t="s">
        <v>76</v>
      </c>
      <c r="FBG28" s="256" t="s">
        <v>77</v>
      </c>
      <c r="FBH28" s="256" t="s">
        <v>78</v>
      </c>
      <c r="FBI28" s="256" t="s">
        <v>79</v>
      </c>
      <c r="FBJ28" s="256" t="s">
        <v>80</v>
      </c>
      <c r="FBK28" s="256" t="s">
        <v>81</v>
      </c>
      <c r="FBL28" s="331"/>
      <c r="FBM28" s="290">
        <v>45492</v>
      </c>
      <c r="FBN28" s="339" t="s">
        <v>141</v>
      </c>
      <c r="FBO28" s="305"/>
      <c r="FBP28" s="305">
        <v>1</v>
      </c>
      <c r="FBQ28" s="304">
        <f t="shared" ref="FBQ28" si="523">EDATE(FBM28,FBP28)</f>
        <v>45523</v>
      </c>
      <c r="FBR28" s="340">
        <v>0</v>
      </c>
      <c r="FBS28" s="320">
        <f t="shared" ref="FBS28" ca="1" si="524">IF(FBT28&gt;=1,(FBR28/FBP28),0)</f>
        <v>0</v>
      </c>
      <c r="FBT28" s="292">
        <f t="shared" ref="FBT28" ca="1" si="525">FBQ28-$G$5</f>
        <v>-591</v>
      </c>
      <c r="FBU28" s="259" t="s">
        <v>55</v>
      </c>
      <c r="FBV28" s="256" t="s">
        <v>76</v>
      </c>
      <c r="FBW28" s="256" t="s">
        <v>77</v>
      </c>
      <c r="FBX28" s="256" t="s">
        <v>78</v>
      </c>
      <c r="FBY28" s="256" t="s">
        <v>79</v>
      </c>
      <c r="FBZ28" s="256" t="s">
        <v>80</v>
      </c>
      <c r="FCA28" s="256" t="s">
        <v>81</v>
      </c>
      <c r="FCB28" s="331"/>
      <c r="FCC28" s="290">
        <v>45492</v>
      </c>
      <c r="FCD28" s="339" t="s">
        <v>141</v>
      </c>
      <c r="FCE28" s="305"/>
      <c r="FCF28" s="305">
        <v>1</v>
      </c>
      <c r="FCG28" s="304">
        <f t="shared" ref="FCG28" si="526">EDATE(FCC28,FCF28)</f>
        <v>45523</v>
      </c>
      <c r="FCH28" s="340">
        <v>0</v>
      </c>
      <c r="FCI28" s="320">
        <f t="shared" ref="FCI28" ca="1" si="527">IF(FCJ28&gt;=1,(FCH28/FCF28),0)</f>
        <v>0</v>
      </c>
      <c r="FCJ28" s="292">
        <f t="shared" ref="FCJ28" ca="1" si="528">FCG28-$G$5</f>
        <v>-591</v>
      </c>
      <c r="FCK28" s="259" t="s">
        <v>55</v>
      </c>
      <c r="FCL28" s="256" t="s">
        <v>76</v>
      </c>
      <c r="FCM28" s="256" t="s">
        <v>77</v>
      </c>
      <c r="FCN28" s="256" t="s">
        <v>78</v>
      </c>
      <c r="FCO28" s="256" t="s">
        <v>79</v>
      </c>
      <c r="FCP28" s="256" t="s">
        <v>80</v>
      </c>
      <c r="FCQ28" s="256" t="s">
        <v>81</v>
      </c>
      <c r="FCR28" s="331"/>
      <c r="FCS28" s="290">
        <v>45492</v>
      </c>
      <c r="FCT28" s="339" t="s">
        <v>141</v>
      </c>
      <c r="FCU28" s="305"/>
      <c r="FCV28" s="305">
        <v>1</v>
      </c>
      <c r="FCW28" s="304">
        <f t="shared" ref="FCW28" si="529">EDATE(FCS28,FCV28)</f>
        <v>45523</v>
      </c>
      <c r="FCX28" s="340">
        <v>0</v>
      </c>
      <c r="FCY28" s="320">
        <f t="shared" ref="FCY28" ca="1" si="530">IF(FCZ28&gt;=1,(FCX28/FCV28),0)</f>
        <v>0</v>
      </c>
      <c r="FCZ28" s="292">
        <f t="shared" ref="FCZ28" ca="1" si="531">FCW28-$G$5</f>
        <v>-591</v>
      </c>
      <c r="FDA28" s="259" t="s">
        <v>55</v>
      </c>
      <c r="FDB28" s="256" t="s">
        <v>76</v>
      </c>
      <c r="FDC28" s="256" t="s">
        <v>77</v>
      </c>
      <c r="FDD28" s="256" t="s">
        <v>78</v>
      </c>
      <c r="FDE28" s="256" t="s">
        <v>79</v>
      </c>
      <c r="FDF28" s="256" t="s">
        <v>80</v>
      </c>
      <c r="FDG28" s="256" t="s">
        <v>81</v>
      </c>
      <c r="FDH28" s="331"/>
      <c r="FDI28" s="290">
        <v>45492</v>
      </c>
      <c r="FDJ28" s="339" t="s">
        <v>141</v>
      </c>
      <c r="FDK28" s="305"/>
      <c r="FDL28" s="305">
        <v>1</v>
      </c>
      <c r="FDM28" s="304">
        <f t="shared" ref="FDM28" si="532">EDATE(FDI28,FDL28)</f>
        <v>45523</v>
      </c>
      <c r="FDN28" s="340">
        <v>0</v>
      </c>
      <c r="FDO28" s="320">
        <f t="shared" ref="FDO28" ca="1" si="533">IF(FDP28&gt;=1,(FDN28/FDL28),0)</f>
        <v>0</v>
      </c>
      <c r="FDP28" s="292">
        <f t="shared" ref="FDP28" ca="1" si="534">FDM28-$G$5</f>
        <v>-591</v>
      </c>
      <c r="FDQ28" s="259" t="s">
        <v>55</v>
      </c>
      <c r="FDR28" s="256" t="s">
        <v>76</v>
      </c>
      <c r="FDS28" s="256" t="s">
        <v>77</v>
      </c>
      <c r="FDT28" s="256" t="s">
        <v>78</v>
      </c>
      <c r="FDU28" s="256" t="s">
        <v>79</v>
      </c>
      <c r="FDV28" s="256" t="s">
        <v>80</v>
      </c>
      <c r="FDW28" s="256" t="s">
        <v>81</v>
      </c>
      <c r="FDX28" s="331"/>
      <c r="FDY28" s="290">
        <v>45492</v>
      </c>
      <c r="FDZ28" s="339" t="s">
        <v>141</v>
      </c>
      <c r="FEA28" s="305"/>
      <c r="FEB28" s="305">
        <v>1</v>
      </c>
      <c r="FEC28" s="304">
        <f t="shared" ref="FEC28" si="535">EDATE(FDY28,FEB28)</f>
        <v>45523</v>
      </c>
      <c r="FED28" s="340">
        <v>0</v>
      </c>
      <c r="FEE28" s="320">
        <f t="shared" ref="FEE28" ca="1" si="536">IF(FEF28&gt;=1,(FED28/FEB28),0)</f>
        <v>0</v>
      </c>
      <c r="FEF28" s="292">
        <f t="shared" ref="FEF28" ca="1" si="537">FEC28-$G$5</f>
        <v>-591</v>
      </c>
      <c r="FEG28" s="259" t="s">
        <v>55</v>
      </c>
      <c r="FEH28" s="256" t="s">
        <v>76</v>
      </c>
      <c r="FEI28" s="256" t="s">
        <v>77</v>
      </c>
      <c r="FEJ28" s="256" t="s">
        <v>78</v>
      </c>
      <c r="FEK28" s="256" t="s">
        <v>79</v>
      </c>
      <c r="FEL28" s="256" t="s">
        <v>80</v>
      </c>
      <c r="FEM28" s="256" t="s">
        <v>81</v>
      </c>
      <c r="FEN28" s="331"/>
      <c r="FEO28" s="290">
        <v>45492</v>
      </c>
      <c r="FEP28" s="339" t="s">
        <v>141</v>
      </c>
      <c r="FEQ28" s="305"/>
      <c r="FER28" s="305">
        <v>1</v>
      </c>
      <c r="FES28" s="304">
        <f t="shared" ref="FES28" si="538">EDATE(FEO28,FER28)</f>
        <v>45523</v>
      </c>
      <c r="FET28" s="340">
        <v>0</v>
      </c>
      <c r="FEU28" s="320">
        <f t="shared" ref="FEU28" ca="1" si="539">IF(FEV28&gt;=1,(FET28/FER28),0)</f>
        <v>0</v>
      </c>
      <c r="FEV28" s="292">
        <f t="shared" ref="FEV28" ca="1" si="540">FES28-$G$5</f>
        <v>-591</v>
      </c>
      <c r="FEW28" s="259" t="s">
        <v>55</v>
      </c>
      <c r="FEX28" s="256" t="s">
        <v>76</v>
      </c>
      <c r="FEY28" s="256" t="s">
        <v>77</v>
      </c>
      <c r="FEZ28" s="256" t="s">
        <v>78</v>
      </c>
      <c r="FFA28" s="256" t="s">
        <v>79</v>
      </c>
      <c r="FFB28" s="256" t="s">
        <v>80</v>
      </c>
      <c r="FFC28" s="256" t="s">
        <v>81</v>
      </c>
      <c r="FFD28" s="331"/>
      <c r="FFE28" s="290">
        <v>45492</v>
      </c>
      <c r="FFF28" s="339" t="s">
        <v>141</v>
      </c>
      <c r="FFG28" s="305"/>
      <c r="FFH28" s="305">
        <v>1</v>
      </c>
      <c r="FFI28" s="304">
        <f t="shared" ref="FFI28" si="541">EDATE(FFE28,FFH28)</f>
        <v>45523</v>
      </c>
      <c r="FFJ28" s="340">
        <v>0</v>
      </c>
      <c r="FFK28" s="320">
        <f t="shared" ref="FFK28" ca="1" si="542">IF(FFL28&gt;=1,(FFJ28/FFH28),0)</f>
        <v>0</v>
      </c>
      <c r="FFL28" s="292">
        <f t="shared" ref="FFL28" ca="1" si="543">FFI28-$G$5</f>
        <v>-591</v>
      </c>
      <c r="FFM28" s="259" t="s">
        <v>55</v>
      </c>
      <c r="FFN28" s="256" t="s">
        <v>76</v>
      </c>
      <c r="FFO28" s="256" t="s">
        <v>77</v>
      </c>
      <c r="FFP28" s="256" t="s">
        <v>78</v>
      </c>
      <c r="FFQ28" s="256" t="s">
        <v>79</v>
      </c>
      <c r="FFR28" s="256" t="s">
        <v>80</v>
      </c>
      <c r="FFS28" s="256" t="s">
        <v>81</v>
      </c>
      <c r="FFT28" s="331"/>
      <c r="FFU28" s="290">
        <v>45492</v>
      </c>
      <c r="FFV28" s="339" t="s">
        <v>141</v>
      </c>
      <c r="FFW28" s="305"/>
      <c r="FFX28" s="305">
        <v>1</v>
      </c>
      <c r="FFY28" s="304">
        <f t="shared" ref="FFY28" si="544">EDATE(FFU28,FFX28)</f>
        <v>45523</v>
      </c>
      <c r="FFZ28" s="340">
        <v>0</v>
      </c>
      <c r="FGA28" s="320">
        <f t="shared" ref="FGA28" ca="1" si="545">IF(FGB28&gt;=1,(FFZ28/FFX28),0)</f>
        <v>0</v>
      </c>
      <c r="FGB28" s="292">
        <f t="shared" ref="FGB28" ca="1" si="546">FFY28-$G$5</f>
        <v>-591</v>
      </c>
      <c r="FGC28" s="259" t="s">
        <v>55</v>
      </c>
      <c r="FGD28" s="256" t="s">
        <v>76</v>
      </c>
      <c r="FGE28" s="256" t="s">
        <v>77</v>
      </c>
      <c r="FGF28" s="256" t="s">
        <v>78</v>
      </c>
      <c r="FGG28" s="256" t="s">
        <v>79</v>
      </c>
      <c r="FGH28" s="256" t="s">
        <v>80</v>
      </c>
      <c r="FGI28" s="256" t="s">
        <v>81</v>
      </c>
      <c r="FGJ28" s="331"/>
      <c r="FGK28" s="290">
        <v>45492</v>
      </c>
      <c r="FGL28" s="339" t="s">
        <v>141</v>
      </c>
      <c r="FGM28" s="305"/>
      <c r="FGN28" s="305">
        <v>1</v>
      </c>
      <c r="FGO28" s="304">
        <f t="shared" ref="FGO28" si="547">EDATE(FGK28,FGN28)</f>
        <v>45523</v>
      </c>
      <c r="FGP28" s="340">
        <v>0</v>
      </c>
      <c r="FGQ28" s="320">
        <f t="shared" ref="FGQ28" ca="1" si="548">IF(FGR28&gt;=1,(FGP28/FGN28),0)</f>
        <v>0</v>
      </c>
      <c r="FGR28" s="292">
        <f t="shared" ref="FGR28" ca="1" si="549">FGO28-$G$5</f>
        <v>-591</v>
      </c>
      <c r="FGS28" s="259" t="s">
        <v>55</v>
      </c>
      <c r="FGT28" s="256" t="s">
        <v>76</v>
      </c>
      <c r="FGU28" s="256" t="s">
        <v>77</v>
      </c>
      <c r="FGV28" s="256" t="s">
        <v>78</v>
      </c>
      <c r="FGW28" s="256" t="s">
        <v>79</v>
      </c>
      <c r="FGX28" s="256" t="s">
        <v>80</v>
      </c>
      <c r="FGY28" s="256" t="s">
        <v>81</v>
      </c>
      <c r="FGZ28" s="331"/>
      <c r="FHA28" s="290">
        <v>45492</v>
      </c>
      <c r="FHB28" s="339" t="s">
        <v>141</v>
      </c>
      <c r="FHC28" s="305"/>
      <c r="FHD28" s="305">
        <v>1</v>
      </c>
      <c r="FHE28" s="304">
        <f t="shared" ref="FHE28" si="550">EDATE(FHA28,FHD28)</f>
        <v>45523</v>
      </c>
      <c r="FHF28" s="340">
        <v>0</v>
      </c>
      <c r="FHG28" s="320">
        <f t="shared" ref="FHG28" ca="1" si="551">IF(FHH28&gt;=1,(FHF28/FHD28),0)</f>
        <v>0</v>
      </c>
      <c r="FHH28" s="292">
        <f t="shared" ref="FHH28" ca="1" si="552">FHE28-$G$5</f>
        <v>-591</v>
      </c>
      <c r="FHI28" s="259" t="s">
        <v>55</v>
      </c>
      <c r="FHJ28" s="256" t="s">
        <v>76</v>
      </c>
      <c r="FHK28" s="256" t="s">
        <v>77</v>
      </c>
      <c r="FHL28" s="256" t="s">
        <v>78</v>
      </c>
      <c r="FHM28" s="256" t="s">
        <v>79</v>
      </c>
      <c r="FHN28" s="256" t="s">
        <v>80</v>
      </c>
      <c r="FHO28" s="256" t="s">
        <v>81</v>
      </c>
      <c r="FHP28" s="331"/>
      <c r="FHQ28" s="290">
        <v>45492</v>
      </c>
      <c r="FHR28" s="339" t="s">
        <v>141</v>
      </c>
      <c r="FHS28" s="305"/>
      <c r="FHT28" s="305">
        <v>1</v>
      </c>
      <c r="FHU28" s="304">
        <f t="shared" ref="FHU28" si="553">EDATE(FHQ28,FHT28)</f>
        <v>45523</v>
      </c>
      <c r="FHV28" s="340">
        <v>0</v>
      </c>
      <c r="FHW28" s="320">
        <f t="shared" ref="FHW28" ca="1" si="554">IF(FHX28&gt;=1,(FHV28/FHT28),0)</f>
        <v>0</v>
      </c>
      <c r="FHX28" s="292">
        <f t="shared" ref="FHX28" ca="1" si="555">FHU28-$G$5</f>
        <v>-591</v>
      </c>
      <c r="FHY28" s="259" t="s">
        <v>55</v>
      </c>
      <c r="FHZ28" s="256" t="s">
        <v>76</v>
      </c>
      <c r="FIA28" s="256" t="s">
        <v>77</v>
      </c>
      <c r="FIB28" s="256" t="s">
        <v>78</v>
      </c>
      <c r="FIC28" s="256" t="s">
        <v>79</v>
      </c>
      <c r="FID28" s="256" t="s">
        <v>80</v>
      </c>
      <c r="FIE28" s="256" t="s">
        <v>81</v>
      </c>
      <c r="FIF28" s="331"/>
      <c r="FIG28" s="290">
        <v>45492</v>
      </c>
      <c r="FIH28" s="339" t="s">
        <v>141</v>
      </c>
      <c r="FII28" s="305"/>
      <c r="FIJ28" s="305">
        <v>1</v>
      </c>
      <c r="FIK28" s="304">
        <f t="shared" ref="FIK28" si="556">EDATE(FIG28,FIJ28)</f>
        <v>45523</v>
      </c>
      <c r="FIL28" s="340">
        <v>0</v>
      </c>
      <c r="FIM28" s="320">
        <f t="shared" ref="FIM28" ca="1" si="557">IF(FIN28&gt;=1,(FIL28/FIJ28),0)</f>
        <v>0</v>
      </c>
      <c r="FIN28" s="292">
        <f t="shared" ref="FIN28" ca="1" si="558">FIK28-$G$5</f>
        <v>-591</v>
      </c>
      <c r="FIO28" s="259" t="s">
        <v>55</v>
      </c>
      <c r="FIP28" s="256" t="s">
        <v>76</v>
      </c>
      <c r="FIQ28" s="256" t="s">
        <v>77</v>
      </c>
      <c r="FIR28" s="256" t="s">
        <v>78</v>
      </c>
      <c r="FIS28" s="256" t="s">
        <v>79</v>
      </c>
      <c r="FIT28" s="256" t="s">
        <v>80</v>
      </c>
      <c r="FIU28" s="256" t="s">
        <v>81</v>
      </c>
      <c r="FIV28" s="331"/>
      <c r="FIW28" s="290">
        <v>45492</v>
      </c>
      <c r="FIX28" s="339" t="s">
        <v>141</v>
      </c>
      <c r="FIY28" s="305"/>
      <c r="FIZ28" s="305">
        <v>1</v>
      </c>
      <c r="FJA28" s="304">
        <f t="shared" ref="FJA28" si="559">EDATE(FIW28,FIZ28)</f>
        <v>45523</v>
      </c>
      <c r="FJB28" s="340">
        <v>0</v>
      </c>
      <c r="FJC28" s="320">
        <f t="shared" ref="FJC28" ca="1" si="560">IF(FJD28&gt;=1,(FJB28/FIZ28),0)</f>
        <v>0</v>
      </c>
      <c r="FJD28" s="292">
        <f t="shared" ref="FJD28" ca="1" si="561">FJA28-$G$5</f>
        <v>-591</v>
      </c>
      <c r="FJE28" s="259" t="s">
        <v>55</v>
      </c>
      <c r="FJF28" s="256" t="s">
        <v>76</v>
      </c>
      <c r="FJG28" s="256" t="s">
        <v>77</v>
      </c>
      <c r="FJH28" s="256" t="s">
        <v>78</v>
      </c>
      <c r="FJI28" s="256" t="s">
        <v>79</v>
      </c>
      <c r="FJJ28" s="256" t="s">
        <v>80</v>
      </c>
      <c r="FJK28" s="256" t="s">
        <v>81</v>
      </c>
      <c r="FJL28" s="331"/>
      <c r="FJM28" s="290">
        <v>45492</v>
      </c>
      <c r="FJN28" s="339" t="s">
        <v>141</v>
      </c>
      <c r="FJO28" s="305"/>
      <c r="FJP28" s="305">
        <v>1</v>
      </c>
      <c r="FJQ28" s="304">
        <f t="shared" ref="FJQ28" si="562">EDATE(FJM28,FJP28)</f>
        <v>45523</v>
      </c>
      <c r="FJR28" s="340">
        <v>0</v>
      </c>
      <c r="FJS28" s="320">
        <f t="shared" ref="FJS28" ca="1" si="563">IF(FJT28&gt;=1,(FJR28/FJP28),0)</f>
        <v>0</v>
      </c>
      <c r="FJT28" s="292">
        <f t="shared" ref="FJT28" ca="1" si="564">FJQ28-$G$5</f>
        <v>-591</v>
      </c>
      <c r="FJU28" s="259" t="s">
        <v>55</v>
      </c>
      <c r="FJV28" s="256" t="s">
        <v>76</v>
      </c>
      <c r="FJW28" s="256" t="s">
        <v>77</v>
      </c>
      <c r="FJX28" s="256" t="s">
        <v>78</v>
      </c>
      <c r="FJY28" s="256" t="s">
        <v>79</v>
      </c>
      <c r="FJZ28" s="256" t="s">
        <v>80</v>
      </c>
      <c r="FKA28" s="256" t="s">
        <v>81</v>
      </c>
      <c r="FKB28" s="331"/>
      <c r="FKC28" s="290">
        <v>45492</v>
      </c>
      <c r="FKD28" s="339" t="s">
        <v>141</v>
      </c>
      <c r="FKE28" s="305"/>
      <c r="FKF28" s="305">
        <v>1</v>
      </c>
      <c r="FKG28" s="304">
        <f t="shared" ref="FKG28" si="565">EDATE(FKC28,FKF28)</f>
        <v>45523</v>
      </c>
      <c r="FKH28" s="340">
        <v>0</v>
      </c>
      <c r="FKI28" s="320">
        <f t="shared" ref="FKI28" ca="1" si="566">IF(FKJ28&gt;=1,(FKH28/FKF28),0)</f>
        <v>0</v>
      </c>
      <c r="FKJ28" s="292">
        <f t="shared" ref="FKJ28" ca="1" si="567">FKG28-$G$5</f>
        <v>-591</v>
      </c>
      <c r="FKK28" s="259" t="s">
        <v>55</v>
      </c>
      <c r="FKL28" s="256" t="s">
        <v>76</v>
      </c>
      <c r="FKM28" s="256" t="s">
        <v>77</v>
      </c>
      <c r="FKN28" s="256" t="s">
        <v>78</v>
      </c>
      <c r="FKO28" s="256" t="s">
        <v>79</v>
      </c>
      <c r="FKP28" s="256" t="s">
        <v>80</v>
      </c>
      <c r="FKQ28" s="256" t="s">
        <v>81</v>
      </c>
      <c r="FKR28" s="331"/>
      <c r="FKS28" s="290">
        <v>45492</v>
      </c>
      <c r="FKT28" s="339" t="s">
        <v>141</v>
      </c>
      <c r="FKU28" s="305"/>
      <c r="FKV28" s="305">
        <v>1</v>
      </c>
      <c r="FKW28" s="304">
        <f t="shared" ref="FKW28" si="568">EDATE(FKS28,FKV28)</f>
        <v>45523</v>
      </c>
      <c r="FKX28" s="340">
        <v>0</v>
      </c>
      <c r="FKY28" s="320">
        <f t="shared" ref="FKY28" ca="1" si="569">IF(FKZ28&gt;=1,(FKX28/FKV28),0)</f>
        <v>0</v>
      </c>
      <c r="FKZ28" s="292">
        <f t="shared" ref="FKZ28" ca="1" si="570">FKW28-$G$5</f>
        <v>-591</v>
      </c>
      <c r="FLA28" s="259" t="s">
        <v>55</v>
      </c>
      <c r="FLB28" s="256" t="s">
        <v>76</v>
      </c>
      <c r="FLC28" s="256" t="s">
        <v>77</v>
      </c>
      <c r="FLD28" s="256" t="s">
        <v>78</v>
      </c>
      <c r="FLE28" s="256" t="s">
        <v>79</v>
      </c>
      <c r="FLF28" s="256" t="s">
        <v>80</v>
      </c>
      <c r="FLG28" s="256" t="s">
        <v>81</v>
      </c>
      <c r="FLH28" s="331"/>
      <c r="FLI28" s="290">
        <v>45492</v>
      </c>
      <c r="FLJ28" s="339" t="s">
        <v>141</v>
      </c>
      <c r="FLK28" s="305"/>
      <c r="FLL28" s="305">
        <v>1</v>
      </c>
      <c r="FLM28" s="304">
        <f t="shared" ref="FLM28" si="571">EDATE(FLI28,FLL28)</f>
        <v>45523</v>
      </c>
      <c r="FLN28" s="340">
        <v>0</v>
      </c>
      <c r="FLO28" s="320">
        <f t="shared" ref="FLO28" ca="1" si="572">IF(FLP28&gt;=1,(FLN28/FLL28),0)</f>
        <v>0</v>
      </c>
      <c r="FLP28" s="292">
        <f t="shared" ref="FLP28" ca="1" si="573">FLM28-$G$5</f>
        <v>-591</v>
      </c>
      <c r="FLQ28" s="259" t="s">
        <v>55</v>
      </c>
      <c r="FLR28" s="256" t="s">
        <v>76</v>
      </c>
      <c r="FLS28" s="256" t="s">
        <v>77</v>
      </c>
      <c r="FLT28" s="256" t="s">
        <v>78</v>
      </c>
      <c r="FLU28" s="256" t="s">
        <v>79</v>
      </c>
      <c r="FLV28" s="256" t="s">
        <v>80</v>
      </c>
      <c r="FLW28" s="256" t="s">
        <v>81</v>
      </c>
      <c r="FLX28" s="331"/>
      <c r="FLY28" s="290">
        <v>45492</v>
      </c>
      <c r="FLZ28" s="339" t="s">
        <v>141</v>
      </c>
      <c r="FMA28" s="305"/>
      <c r="FMB28" s="305">
        <v>1</v>
      </c>
      <c r="FMC28" s="304">
        <f t="shared" ref="FMC28" si="574">EDATE(FLY28,FMB28)</f>
        <v>45523</v>
      </c>
      <c r="FMD28" s="340">
        <v>0</v>
      </c>
      <c r="FME28" s="320">
        <f t="shared" ref="FME28" ca="1" si="575">IF(FMF28&gt;=1,(FMD28/FMB28),0)</f>
        <v>0</v>
      </c>
      <c r="FMF28" s="292">
        <f t="shared" ref="FMF28" ca="1" si="576">FMC28-$G$5</f>
        <v>-591</v>
      </c>
      <c r="FMG28" s="259" t="s">
        <v>55</v>
      </c>
      <c r="FMH28" s="256" t="s">
        <v>76</v>
      </c>
      <c r="FMI28" s="256" t="s">
        <v>77</v>
      </c>
      <c r="FMJ28" s="256" t="s">
        <v>78</v>
      </c>
      <c r="FMK28" s="256" t="s">
        <v>79</v>
      </c>
      <c r="FML28" s="256" t="s">
        <v>80</v>
      </c>
      <c r="FMM28" s="256" t="s">
        <v>81</v>
      </c>
      <c r="FMN28" s="331"/>
      <c r="FMO28" s="290">
        <v>45492</v>
      </c>
      <c r="FMP28" s="339" t="s">
        <v>141</v>
      </c>
      <c r="FMQ28" s="305"/>
      <c r="FMR28" s="305">
        <v>1</v>
      </c>
      <c r="FMS28" s="304">
        <f t="shared" ref="FMS28" si="577">EDATE(FMO28,FMR28)</f>
        <v>45523</v>
      </c>
      <c r="FMT28" s="340">
        <v>0</v>
      </c>
      <c r="FMU28" s="320">
        <f t="shared" ref="FMU28" ca="1" si="578">IF(FMV28&gt;=1,(FMT28/FMR28),0)</f>
        <v>0</v>
      </c>
      <c r="FMV28" s="292">
        <f t="shared" ref="FMV28" ca="1" si="579">FMS28-$G$5</f>
        <v>-591</v>
      </c>
      <c r="FMW28" s="259" t="s">
        <v>55</v>
      </c>
      <c r="FMX28" s="256" t="s">
        <v>76</v>
      </c>
      <c r="FMY28" s="256" t="s">
        <v>77</v>
      </c>
      <c r="FMZ28" s="256" t="s">
        <v>78</v>
      </c>
      <c r="FNA28" s="256" t="s">
        <v>79</v>
      </c>
      <c r="FNB28" s="256" t="s">
        <v>80</v>
      </c>
      <c r="FNC28" s="256" t="s">
        <v>81</v>
      </c>
      <c r="FND28" s="331"/>
      <c r="FNE28" s="290">
        <v>45492</v>
      </c>
      <c r="FNF28" s="339" t="s">
        <v>141</v>
      </c>
      <c r="FNG28" s="305"/>
      <c r="FNH28" s="305">
        <v>1</v>
      </c>
      <c r="FNI28" s="304">
        <f t="shared" ref="FNI28" si="580">EDATE(FNE28,FNH28)</f>
        <v>45523</v>
      </c>
      <c r="FNJ28" s="340">
        <v>0</v>
      </c>
      <c r="FNK28" s="320">
        <f t="shared" ref="FNK28" ca="1" si="581">IF(FNL28&gt;=1,(FNJ28/FNH28),0)</f>
        <v>0</v>
      </c>
      <c r="FNL28" s="292">
        <f t="shared" ref="FNL28" ca="1" si="582">FNI28-$G$5</f>
        <v>-591</v>
      </c>
      <c r="FNM28" s="259" t="s">
        <v>55</v>
      </c>
      <c r="FNN28" s="256" t="s">
        <v>76</v>
      </c>
      <c r="FNO28" s="256" t="s">
        <v>77</v>
      </c>
      <c r="FNP28" s="256" t="s">
        <v>78</v>
      </c>
      <c r="FNQ28" s="256" t="s">
        <v>79</v>
      </c>
      <c r="FNR28" s="256" t="s">
        <v>80</v>
      </c>
      <c r="FNS28" s="256" t="s">
        <v>81</v>
      </c>
      <c r="FNT28" s="331"/>
      <c r="FNU28" s="290">
        <v>45492</v>
      </c>
      <c r="FNV28" s="339" t="s">
        <v>141</v>
      </c>
      <c r="FNW28" s="305"/>
      <c r="FNX28" s="305">
        <v>1</v>
      </c>
      <c r="FNY28" s="304">
        <f t="shared" ref="FNY28" si="583">EDATE(FNU28,FNX28)</f>
        <v>45523</v>
      </c>
      <c r="FNZ28" s="340">
        <v>0</v>
      </c>
      <c r="FOA28" s="320">
        <f t="shared" ref="FOA28" ca="1" si="584">IF(FOB28&gt;=1,(FNZ28/FNX28),0)</f>
        <v>0</v>
      </c>
      <c r="FOB28" s="292">
        <f t="shared" ref="FOB28" ca="1" si="585">FNY28-$G$5</f>
        <v>-591</v>
      </c>
      <c r="FOC28" s="259" t="s">
        <v>55</v>
      </c>
      <c r="FOD28" s="256" t="s">
        <v>76</v>
      </c>
      <c r="FOE28" s="256" t="s">
        <v>77</v>
      </c>
      <c r="FOF28" s="256" t="s">
        <v>78</v>
      </c>
      <c r="FOG28" s="256" t="s">
        <v>79</v>
      </c>
      <c r="FOH28" s="256" t="s">
        <v>80</v>
      </c>
      <c r="FOI28" s="256" t="s">
        <v>81</v>
      </c>
      <c r="FOJ28" s="331"/>
      <c r="FOK28" s="290">
        <v>45492</v>
      </c>
      <c r="FOL28" s="339" t="s">
        <v>141</v>
      </c>
      <c r="FOM28" s="305"/>
      <c r="FON28" s="305">
        <v>1</v>
      </c>
      <c r="FOO28" s="304">
        <f t="shared" ref="FOO28" si="586">EDATE(FOK28,FON28)</f>
        <v>45523</v>
      </c>
      <c r="FOP28" s="340">
        <v>0</v>
      </c>
      <c r="FOQ28" s="320">
        <f t="shared" ref="FOQ28" ca="1" si="587">IF(FOR28&gt;=1,(FOP28/FON28),0)</f>
        <v>0</v>
      </c>
      <c r="FOR28" s="292">
        <f t="shared" ref="FOR28" ca="1" si="588">FOO28-$G$5</f>
        <v>-591</v>
      </c>
      <c r="FOS28" s="259" t="s">
        <v>55</v>
      </c>
      <c r="FOT28" s="256" t="s">
        <v>76</v>
      </c>
      <c r="FOU28" s="256" t="s">
        <v>77</v>
      </c>
      <c r="FOV28" s="256" t="s">
        <v>78</v>
      </c>
      <c r="FOW28" s="256" t="s">
        <v>79</v>
      </c>
      <c r="FOX28" s="256" t="s">
        <v>80</v>
      </c>
      <c r="FOY28" s="256" t="s">
        <v>81</v>
      </c>
      <c r="FOZ28" s="331"/>
      <c r="FPA28" s="290">
        <v>45492</v>
      </c>
      <c r="FPB28" s="339" t="s">
        <v>141</v>
      </c>
      <c r="FPC28" s="305"/>
      <c r="FPD28" s="305">
        <v>1</v>
      </c>
      <c r="FPE28" s="304">
        <f t="shared" ref="FPE28" si="589">EDATE(FPA28,FPD28)</f>
        <v>45523</v>
      </c>
      <c r="FPF28" s="340">
        <v>0</v>
      </c>
      <c r="FPG28" s="320">
        <f t="shared" ref="FPG28" ca="1" si="590">IF(FPH28&gt;=1,(FPF28/FPD28),0)</f>
        <v>0</v>
      </c>
      <c r="FPH28" s="292">
        <f t="shared" ref="FPH28" ca="1" si="591">FPE28-$G$5</f>
        <v>-591</v>
      </c>
      <c r="FPI28" s="259" t="s">
        <v>55</v>
      </c>
      <c r="FPJ28" s="256" t="s">
        <v>76</v>
      </c>
      <c r="FPK28" s="256" t="s">
        <v>77</v>
      </c>
      <c r="FPL28" s="256" t="s">
        <v>78</v>
      </c>
      <c r="FPM28" s="256" t="s">
        <v>79</v>
      </c>
      <c r="FPN28" s="256" t="s">
        <v>80</v>
      </c>
      <c r="FPO28" s="256" t="s">
        <v>81</v>
      </c>
      <c r="FPP28" s="331"/>
      <c r="FPQ28" s="290">
        <v>45492</v>
      </c>
      <c r="FPR28" s="339" t="s">
        <v>141</v>
      </c>
      <c r="FPS28" s="305"/>
      <c r="FPT28" s="305">
        <v>1</v>
      </c>
      <c r="FPU28" s="304">
        <f t="shared" ref="FPU28" si="592">EDATE(FPQ28,FPT28)</f>
        <v>45523</v>
      </c>
      <c r="FPV28" s="340">
        <v>0</v>
      </c>
      <c r="FPW28" s="320">
        <f t="shared" ref="FPW28" ca="1" si="593">IF(FPX28&gt;=1,(FPV28/FPT28),0)</f>
        <v>0</v>
      </c>
      <c r="FPX28" s="292">
        <f t="shared" ref="FPX28" ca="1" si="594">FPU28-$G$5</f>
        <v>-591</v>
      </c>
      <c r="FPY28" s="259" t="s">
        <v>55</v>
      </c>
      <c r="FPZ28" s="256" t="s">
        <v>76</v>
      </c>
      <c r="FQA28" s="256" t="s">
        <v>77</v>
      </c>
      <c r="FQB28" s="256" t="s">
        <v>78</v>
      </c>
      <c r="FQC28" s="256" t="s">
        <v>79</v>
      </c>
      <c r="FQD28" s="256" t="s">
        <v>80</v>
      </c>
      <c r="FQE28" s="256" t="s">
        <v>81</v>
      </c>
      <c r="FQF28" s="331"/>
      <c r="FQG28" s="290">
        <v>45492</v>
      </c>
      <c r="FQH28" s="339" t="s">
        <v>141</v>
      </c>
      <c r="FQI28" s="305"/>
      <c r="FQJ28" s="305">
        <v>1</v>
      </c>
      <c r="FQK28" s="304">
        <f t="shared" ref="FQK28" si="595">EDATE(FQG28,FQJ28)</f>
        <v>45523</v>
      </c>
      <c r="FQL28" s="340">
        <v>0</v>
      </c>
      <c r="FQM28" s="320">
        <f t="shared" ref="FQM28" ca="1" si="596">IF(FQN28&gt;=1,(FQL28/FQJ28),0)</f>
        <v>0</v>
      </c>
      <c r="FQN28" s="292">
        <f t="shared" ref="FQN28" ca="1" si="597">FQK28-$G$5</f>
        <v>-591</v>
      </c>
      <c r="FQO28" s="259" t="s">
        <v>55</v>
      </c>
      <c r="FQP28" s="256" t="s">
        <v>76</v>
      </c>
      <c r="FQQ28" s="256" t="s">
        <v>77</v>
      </c>
      <c r="FQR28" s="256" t="s">
        <v>78</v>
      </c>
      <c r="FQS28" s="256" t="s">
        <v>79</v>
      </c>
      <c r="FQT28" s="256" t="s">
        <v>80</v>
      </c>
      <c r="FQU28" s="256" t="s">
        <v>81</v>
      </c>
      <c r="FQV28" s="331"/>
      <c r="FQW28" s="290">
        <v>45492</v>
      </c>
      <c r="FQX28" s="339" t="s">
        <v>141</v>
      </c>
      <c r="FQY28" s="305"/>
      <c r="FQZ28" s="305">
        <v>1</v>
      </c>
      <c r="FRA28" s="304">
        <f t="shared" ref="FRA28" si="598">EDATE(FQW28,FQZ28)</f>
        <v>45523</v>
      </c>
      <c r="FRB28" s="340">
        <v>0</v>
      </c>
      <c r="FRC28" s="320">
        <f t="shared" ref="FRC28" ca="1" si="599">IF(FRD28&gt;=1,(FRB28/FQZ28),0)</f>
        <v>0</v>
      </c>
      <c r="FRD28" s="292">
        <f t="shared" ref="FRD28" ca="1" si="600">FRA28-$G$5</f>
        <v>-591</v>
      </c>
      <c r="FRE28" s="259" t="s">
        <v>55</v>
      </c>
      <c r="FRF28" s="256" t="s">
        <v>76</v>
      </c>
      <c r="FRG28" s="256" t="s">
        <v>77</v>
      </c>
      <c r="FRH28" s="256" t="s">
        <v>78</v>
      </c>
      <c r="FRI28" s="256" t="s">
        <v>79</v>
      </c>
      <c r="FRJ28" s="256" t="s">
        <v>80</v>
      </c>
      <c r="FRK28" s="256" t="s">
        <v>81</v>
      </c>
      <c r="FRL28" s="331"/>
      <c r="FRM28" s="290">
        <v>45492</v>
      </c>
      <c r="FRN28" s="339" t="s">
        <v>141</v>
      </c>
      <c r="FRO28" s="305"/>
      <c r="FRP28" s="305">
        <v>1</v>
      </c>
      <c r="FRQ28" s="304">
        <f t="shared" ref="FRQ28" si="601">EDATE(FRM28,FRP28)</f>
        <v>45523</v>
      </c>
      <c r="FRR28" s="340">
        <v>0</v>
      </c>
      <c r="FRS28" s="320">
        <f t="shared" ref="FRS28" ca="1" si="602">IF(FRT28&gt;=1,(FRR28/FRP28),0)</f>
        <v>0</v>
      </c>
      <c r="FRT28" s="292">
        <f t="shared" ref="FRT28" ca="1" si="603">FRQ28-$G$5</f>
        <v>-591</v>
      </c>
      <c r="FRU28" s="259" t="s">
        <v>55</v>
      </c>
      <c r="FRV28" s="256" t="s">
        <v>76</v>
      </c>
      <c r="FRW28" s="256" t="s">
        <v>77</v>
      </c>
      <c r="FRX28" s="256" t="s">
        <v>78</v>
      </c>
      <c r="FRY28" s="256" t="s">
        <v>79</v>
      </c>
      <c r="FRZ28" s="256" t="s">
        <v>80</v>
      </c>
      <c r="FSA28" s="256" t="s">
        <v>81</v>
      </c>
      <c r="FSB28" s="331"/>
      <c r="FSC28" s="290">
        <v>45492</v>
      </c>
      <c r="FSD28" s="339" t="s">
        <v>141</v>
      </c>
      <c r="FSE28" s="305"/>
      <c r="FSF28" s="305">
        <v>1</v>
      </c>
      <c r="FSG28" s="304">
        <f t="shared" ref="FSG28" si="604">EDATE(FSC28,FSF28)</f>
        <v>45523</v>
      </c>
      <c r="FSH28" s="340">
        <v>0</v>
      </c>
      <c r="FSI28" s="320">
        <f t="shared" ref="FSI28" ca="1" si="605">IF(FSJ28&gt;=1,(FSH28/FSF28),0)</f>
        <v>0</v>
      </c>
      <c r="FSJ28" s="292">
        <f t="shared" ref="FSJ28" ca="1" si="606">FSG28-$G$5</f>
        <v>-591</v>
      </c>
      <c r="FSK28" s="259" t="s">
        <v>55</v>
      </c>
      <c r="FSL28" s="256" t="s">
        <v>76</v>
      </c>
      <c r="FSM28" s="256" t="s">
        <v>77</v>
      </c>
      <c r="FSN28" s="256" t="s">
        <v>78</v>
      </c>
      <c r="FSO28" s="256" t="s">
        <v>79</v>
      </c>
      <c r="FSP28" s="256" t="s">
        <v>80</v>
      </c>
      <c r="FSQ28" s="256" t="s">
        <v>81</v>
      </c>
      <c r="FSR28" s="331"/>
      <c r="FSS28" s="290">
        <v>45492</v>
      </c>
      <c r="FST28" s="339" t="s">
        <v>141</v>
      </c>
      <c r="FSU28" s="305"/>
      <c r="FSV28" s="305">
        <v>1</v>
      </c>
      <c r="FSW28" s="304">
        <f t="shared" ref="FSW28" si="607">EDATE(FSS28,FSV28)</f>
        <v>45523</v>
      </c>
      <c r="FSX28" s="340">
        <v>0</v>
      </c>
      <c r="FSY28" s="320">
        <f t="shared" ref="FSY28" ca="1" si="608">IF(FSZ28&gt;=1,(FSX28/FSV28),0)</f>
        <v>0</v>
      </c>
      <c r="FSZ28" s="292">
        <f t="shared" ref="FSZ28" ca="1" si="609">FSW28-$G$5</f>
        <v>-591</v>
      </c>
      <c r="FTA28" s="259" t="s">
        <v>55</v>
      </c>
      <c r="FTB28" s="256" t="s">
        <v>76</v>
      </c>
      <c r="FTC28" s="256" t="s">
        <v>77</v>
      </c>
      <c r="FTD28" s="256" t="s">
        <v>78</v>
      </c>
      <c r="FTE28" s="256" t="s">
        <v>79</v>
      </c>
      <c r="FTF28" s="256" t="s">
        <v>80</v>
      </c>
      <c r="FTG28" s="256" t="s">
        <v>81</v>
      </c>
      <c r="FTH28" s="331"/>
      <c r="FTI28" s="290">
        <v>45492</v>
      </c>
      <c r="FTJ28" s="339" t="s">
        <v>141</v>
      </c>
      <c r="FTK28" s="305"/>
      <c r="FTL28" s="305">
        <v>1</v>
      </c>
      <c r="FTM28" s="304">
        <f t="shared" ref="FTM28" si="610">EDATE(FTI28,FTL28)</f>
        <v>45523</v>
      </c>
      <c r="FTN28" s="340">
        <v>0</v>
      </c>
      <c r="FTO28" s="320">
        <f t="shared" ref="FTO28" ca="1" si="611">IF(FTP28&gt;=1,(FTN28/FTL28),0)</f>
        <v>0</v>
      </c>
      <c r="FTP28" s="292">
        <f t="shared" ref="FTP28" ca="1" si="612">FTM28-$G$5</f>
        <v>-591</v>
      </c>
      <c r="FTQ28" s="259" t="s">
        <v>55</v>
      </c>
      <c r="FTR28" s="256" t="s">
        <v>76</v>
      </c>
      <c r="FTS28" s="256" t="s">
        <v>77</v>
      </c>
      <c r="FTT28" s="256" t="s">
        <v>78</v>
      </c>
      <c r="FTU28" s="256" t="s">
        <v>79</v>
      </c>
      <c r="FTV28" s="256" t="s">
        <v>80</v>
      </c>
      <c r="FTW28" s="256" t="s">
        <v>81</v>
      </c>
      <c r="FTX28" s="331"/>
      <c r="FTY28" s="290">
        <v>45492</v>
      </c>
      <c r="FTZ28" s="339" t="s">
        <v>141</v>
      </c>
      <c r="FUA28" s="305"/>
      <c r="FUB28" s="305">
        <v>1</v>
      </c>
      <c r="FUC28" s="304">
        <f t="shared" ref="FUC28" si="613">EDATE(FTY28,FUB28)</f>
        <v>45523</v>
      </c>
      <c r="FUD28" s="340">
        <v>0</v>
      </c>
      <c r="FUE28" s="320">
        <f t="shared" ref="FUE28" ca="1" si="614">IF(FUF28&gt;=1,(FUD28/FUB28),0)</f>
        <v>0</v>
      </c>
      <c r="FUF28" s="292">
        <f t="shared" ref="FUF28" ca="1" si="615">FUC28-$G$5</f>
        <v>-591</v>
      </c>
      <c r="FUG28" s="259" t="s">
        <v>55</v>
      </c>
      <c r="FUH28" s="256" t="s">
        <v>76</v>
      </c>
      <c r="FUI28" s="256" t="s">
        <v>77</v>
      </c>
      <c r="FUJ28" s="256" t="s">
        <v>78</v>
      </c>
      <c r="FUK28" s="256" t="s">
        <v>79</v>
      </c>
      <c r="FUL28" s="256" t="s">
        <v>80</v>
      </c>
      <c r="FUM28" s="256" t="s">
        <v>81</v>
      </c>
      <c r="FUN28" s="331"/>
      <c r="FUO28" s="290">
        <v>45492</v>
      </c>
      <c r="FUP28" s="339" t="s">
        <v>141</v>
      </c>
      <c r="FUQ28" s="305"/>
      <c r="FUR28" s="305">
        <v>1</v>
      </c>
      <c r="FUS28" s="304">
        <f t="shared" ref="FUS28" si="616">EDATE(FUO28,FUR28)</f>
        <v>45523</v>
      </c>
      <c r="FUT28" s="340">
        <v>0</v>
      </c>
      <c r="FUU28" s="320">
        <f t="shared" ref="FUU28" ca="1" si="617">IF(FUV28&gt;=1,(FUT28/FUR28),0)</f>
        <v>0</v>
      </c>
      <c r="FUV28" s="292">
        <f t="shared" ref="FUV28" ca="1" si="618">FUS28-$G$5</f>
        <v>-591</v>
      </c>
      <c r="FUW28" s="259" t="s">
        <v>55</v>
      </c>
      <c r="FUX28" s="256" t="s">
        <v>76</v>
      </c>
      <c r="FUY28" s="256" t="s">
        <v>77</v>
      </c>
      <c r="FUZ28" s="256" t="s">
        <v>78</v>
      </c>
      <c r="FVA28" s="256" t="s">
        <v>79</v>
      </c>
      <c r="FVB28" s="256" t="s">
        <v>80</v>
      </c>
      <c r="FVC28" s="256" t="s">
        <v>81</v>
      </c>
      <c r="FVD28" s="331"/>
      <c r="FVE28" s="290">
        <v>45492</v>
      </c>
      <c r="FVF28" s="339" t="s">
        <v>141</v>
      </c>
      <c r="FVG28" s="305"/>
      <c r="FVH28" s="305">
        <v>1</v>
      </c>
      <c r="FVI28" s="304">
        <f t="shared" ref="FVI28" si="619">EDATE(FVE28,FVH28)</f>
        <v>45523</v>
      </c>
      <c r="FVJ28" s="340">
        <v>0</v>
      </c>
      <c r="FVK28" s="320">
        <f t="shared" ref="FVK28" ca="1" si="620">IF(FVL28&gt;=1,(FVJ28/FVH28),0)</f>
        <v>0</v>
      </c>
      <c r="FVL28" s="292">
        <f t="shared" ref="FVL28" ca="1" si="621">FVI28-$G$5</f>
        <v>-591</v>
      </c>
      <c r="FVM28" s="259" t="s">
        <v>55</v>
      </c>
      <c r="FVN28" s="256" t="s">
        <v>76</v>
      </c>
      <c r="FVO28" s="256" t="s">
        <v>77</v>
      </c>
      <c r="FVP28" s="256" t="s">
        <v>78</v>
      </c>
      <c r="FVQ28" s="256" t="s">
        <v>79</v>
      </c>
      <c r="FVR28" s="256" t="s">
        <v>80</v>
      </c>
      <c r="FVS28" s="256" t="s">
        <v>81</v>
      </c>
      <c r="FVT28" s="331"/>
      <c r="FVU28" s="290">
        <v>45492</v>
      </c>
      <c r="FVV28" s="339" t="s">
        <v>141</v>
      </c>
      <c r="FVW28" s="305"/>
      <c r="FVX28" s="305">
        <v>1</v>
      </c>
      <c r="FVY28" s="304">
        <f t="shared" ref="FVY28" si="622">EDATE(FVU28,FVX28)</f>
        <v>45523</v>
      </c>
      <c r="FVZ28" s="340">
        <v>0</v>
      </c>
      <c r="FWA28" s="320">
        <f t="shared" ref="FWA28" ca="1" si="623">IF(FWB28&gt;=1,(FVZ28/FVX28),0)</f>
        <v>0</v>
      </c>
      <c r="FWB28" s="292">
        <f t="shared" ref="FWB28" ca="1" si="624">FVY28-$G$5</f>
        <v>-591</v>
      </c>
      <c r="FWC28" s="259" t="s">
        <v>55</v>
      </c>
      <c r="FWD28" s="256" t="s">
        <v>76</v>
      </c>
      <c r="FWE28" s="256" t="s">
        <v>77</v>
      </c>
      <c r="FWF28" s="256" t="s">
        <v>78</v>
      </c>
      <c r="FWG28" s="256" t="s">
        <v>79</v>
      </c>
      <c r="FWH28" s="256" t="s">
        <v>80</v>
      </c>
      <c r="FWI28" s="256" t="s">
        <v>81</v>
      </c>
      <c r="FWJ28" s="331"/>
      <c r="FWK28" s="290">
        <v>45492</v>
      </c>
      <c r="FWL28" s="339" t="s">
        <v>141</v>
      </c>
      <c r="FWM28" s="305"/>
      <c r="FWN28" s="305">
        <v>1</v>
      </c>
      <c r="FWO28" s="304">
        <f t="shared" ref="FWO28" si="625">EDATE(FWK28,FWN28)</f>
        <v>45523</v>
      </c>
      <c r="FWP28" s="340">
        <v>0</v>
      </c>
      <c r="FWQ28" s="320">
        <f t="shared" ref="FWQ28" ca="1" si="626">IF(FWR28&gt;=1,(FWP28/FWN28),0)</f>
        <v>0</v>
      </c>
      <c r="FWR28" s="292">
        <f t="shared" ref="FWR28" ca="1" si="627">FWO28-$G$5</f>
        <v>-591</v>
      </c>
      <c r="FWS28" s="259" t="s">
        <v>55</v>
      </c>
      <c r="FWT28" s="256" t="s">
        <v>76</v>
      </c>
      <c r="FWU28" s="256" t="s">
        <v>77</v>
      </c>
      <c r="FWV28" s="256" t="s">
        <v>78</v>
      </c>
      <c r="FWW28" s="256" t="s">
        <v>79</v>
      </c>
      <c r="FWX28" s="256" t="s">
        <v>80</v>
      </c>
      <c r="FWY28" s="256" t="s">
        <v>81</v>
      </c>
      <c r="FWZ28" s="331"/>
      <c r="FXA28" s="290">
        <v>45492</v>
      </c>
      <c r="FXB28" s="339" t="s">
        <v>141</v>
      </c>
      <c r="FXC28" s="305"/>
      <c r="FXD28" s="305">
        <v>1</v>
      </c>
      <c r="FXE28" s="304">
        <f t="shared" ref="FXE28" si="628">EDATE(FXA28,FXD28)</f>
        <v>45523</v>
      </c>
      <c r="FXF28" s="340">
        <v>0</v>
      </c>
      <c r="FXG28" s="320">
        <f t="shared" ref="FXG28" ca="1" si="629">IF(FXH28&gt;=1,(FXF28/FXD28),0)</f>
        <v>0</v>
      </c>
      <c r="FXH28" s="292">
        <f t="shared" ref="FXH28" ca="1" si="630">FXE28-$G$5</f>
        <v>-591</v>
      </c>
      <c r="FXI28" s="259" t="s">
        <v>55</v>
      </c>
      <c r="FXJ28" s="256" t="s">
        <v>76</v>
      </c>
      <c r="FXK28" s="256" t="s">
        <v>77</v>
      </c>
      <c r="FXL28" s="256" t="s">
        <v>78</v>
      </c>
      <c r="FXM28" s="256" t="s">
        <v>79</v>
      </c>
      <c r="FXN28" s="256" t="s">
        <v>80</v>
      </c>
      <c r="FXO28" s="256" t="s">
        <v>81</v>
      </c>
      <c r="FXP28" s="331"/>
      <c r="FXQ28" s="290">
        <v>45492</v>
      </c>
      <c r="FXR28" s="339" t="s">
        <v>141</v>
      </c>
      <c r="FXS28" s="305"/>
      <c r="FXT28" s="305">
        <v>1</v>
      </c>
      <c r="FXU28" s="304">
        <f t="shared" ref="FXU28" si="631">EDATE(FXQ28,FXT28)</f>
        <v>45523</v>
      </c>
      <c r="FXV28" s="340">
        <v>0</v>
      </c>
      <c r="FXW28" s="320">
        <f t="shared" ref="FXW28" ca="1" si="632">IF(FXX28&gt;=1,(FXV28/FXT28),0)</f>
        <v>0</v>
      </c>
      <c r="FXX28" s="292">
        <f t="shared" ref="FXX28" ca="1" si="633">FXU28-$G$5</f>
        <v>-591</v>
      </c>
      <c r="FXY28" s="259" t="s">
        <v>55</v>
      </c>
      <c r="FXZ28" s="256" t="s">
        <v>76</v>
      </c>
      <c r="FYA28" s="256" t="s">
        <v>77</v>
      </c>
      <c r="FYB28" s="256" t="s">
        <v>78</v>
      </c>
      <c r="FYC28" s="256" t="s">
        <v>79</v>
      </c>
      <c r="FYD28" s="256" t="s">
        <v>80</v>
      </c>
      <c r="FYE28" s="256" t="s">
        <v>81</v>
      </c>
      <c r="FYF28" s="331"/>
      <c r="FYG28" s="290">
        <v>45492</v>
      </c>
      <c r="FYH28" s="339" t="s">
        <v>141</v>
      </c>
      <c r="FYI28" s="305"/>
      <c r="FYJ28" s="305">
        <v>1</v>
      </c>
      <c r="FYK28" s="304">
        <f t="shared" ref="FYK28" si="634">EDATE(FYG28,FYJ28)</f>
        <v>45523</v>
      </c>
      <c r="FYL28" s="340">
        <v>0</v>
      </c>
      <c r="FYM28" s="320">
        <f t="shared" ref="FYM28" ca="1" si="635">IF(FYN28&gt;=1,(FYL28/FYJ28),0)</f>
        <v>0</v>
      </c>
      <c r="FYN28" s="292">
        <f t="shared" ref="FYN28" ca="1" si="636">FYK28-$G$5</f>
        <v>-591</v>
      </c>
      <c r="FYO28" s="259" t="s">
        <v>55</v>
      </c>
      <c r="FYP28" s="256" t="s">
        <v>76</v>
      </c>
      <c r="FYQ28" s="256" t="s">
        <v>77</v>
      </c>
      <c r="FYR28" s="256" t="s">
        <v>78</v>
      </c>
      <c r="FYS28" s="256" t="s">
        <v>79</v>
      </c>
      <c r="FYT28" s="256" t="s">
        <v>80</v>
      </c>
      <c r="FYU28" s="256" t="s">
        <v>81</v>
      </c>
      <c r="FYV28" s="331"/>
      <c r="FYW28" s="290">
        <v>45492</v>
      </c>
      <c r="FYX28" s="339" t="s">
        <v>141</v>
      </c>
      <c r="FYY28" s="305"/>
      <c r="FYZ28" s="305">
        <v>1</v>
      </c>
      <c r="FZA28" s="304">
        <f t="shared" ref="FZA28" si="637">EDATE(FYW28,FYZ28)</f>
        <v>45523</v>
      </c>
      <c r="FZB28" s="340">
        <v>0</v>
      </c>
      <c r="FZC28" s="320">
        <f t="shared" ref="FZC28" ca="1" si="638">IF(FZD28&gt;=1,(FZB28/FYZ28),0)</f>
        <v>0</v>
      </c>
      <c r="FZD28" s="292">
        <f t="shared" ref="FZD28" ca="1" si="639">FZA28-$G$5</f>
        <v>-591</v>
      </c>
      <c r="FZE28" s="259" t="s">
        <v>55</v>
      </c>
      <c r="FZF28" s="256" t="s">
        <v>76</v>
      </c>
      <c r="FZG28" s="256" t="s">
        <v>77</v>
      </c>
      <c r="FZH28" s="256" t="s">
        <v>78</v>
      </c>
      <c r="FZI28" s="256" t="s">
        <v>79</v>
      </c>
      <c r="FZJ28" s="256" t="s">
        <v>80</v>
      </c>
      <c r="FZK28" s="256" t="s">
        <v>81</v>
      </c>
      <c r="FZL28" s="331"/>
      <c r="FZM28" s="290">
        <v>45492</v>
      </c>
      <c r="FZN28" s="339" t="s">
        <v>141</v>
      </c>
      <c r="FZO28" s="305"/>
      <c r="FZP28" s="305">
        <v>1</v>
      </c>
      <c r="FZQ28" s="304">
        <f t="shared" ref="FZQ28" si="640">EDATE(FZM28,FZP28)</f>
        <v>45523</v>
      </c>
      <c r="FZR28" s="340">
        <v>0</v>
      </c>
      <c r="FZS28" s="320">
        <f t="shared" ref="FZS28" ca="1" si="641">IF(FZT28&gt;=1,(FZR28/FZP28),0)</f>
        <v>0</v>
      </c>
      <c r="FZT28" s="292">
        <f t="shared" ref="FZT28" ca="1" si="642">FZQ28-$G$5</f>
        <v>-591</v>
      </c>
      <c r="FZU28" s="259" t="s">
        <v>55</v>
      </c>
      <c r="FZV28" s="256" t="s">
        <v>76</v>
      </c>
      <c r="FZW28" s="256" t="s">
        <v>77</v>
      </c>
      <c r="FZX28" s="256" t="s">
        <v>78</v>
      </c>
      <c r="FZY28" s="256" t="s">
        <v>79</v>
      </c>
      <c r="FZZ28" s="256" t="s">
        <v>80</v>
      </c>
      <c r="GAA28" s="256" t="s">
        <v>81</v>
      </c>
      <c r="GAB28" s="331"/>
      <c r="GAC28" s="290">
        <v>45492</v>
      </c>
      <c r="GAD28" s="339" t="s">
        <v>141</v>
      </c>
      <c r="GAE28" s="305"/>
      <c r="GAF28" s="305">
        <v>1</v>
      </c>
      <c r="GAG28" s="304">
        <f t="shared" ref="GAG28" si="643">EDATE(GAC28,GAF28)</f>
        <v>45523</v>
      </c>
      <c r="GAH28" s="340">
        <v>0</v>
      </c>
      <c r="GAI28" s="320">
        <f t="shared" ref="GAI28" ca="1" si="644">IF(GAJ28&gt;=1,(GAH28/GAF28),0)</f>
        <v>0</v>
      </c>
      <c r="GAJ28" s="292">
        <f t="shared" ref="GAJ28" ca="1" si="645">GAG28-$G$5</f>
        <v>-591</v>
      </c>
      <c r="GAK28" s="259" t="s">
        <v>55</v>
      </c>
      <c r="GAL28" s="256" t="s">
        <v>76</v>
      </c>
      <c r="GAM28" s="256" t="s">
        <v>77</v>
      </c>
      <c r="GAN28" s="256" t="s">
        <v>78</v>
      </c>
      <c r="GAO28" s="256" t="s">
        <v>79</v>
      </c>
      <c r="GAP28" s="256" t="s">
        <v>80</v>
      </c>
      <c r="GAQ28" s="256" t="s">
        <v>81</v>
      </c>
      <c r="GAR28" s="331"/>
      <c r="GAS28" s="290">
        <v>45492</v>
      </c>
      <c r="GAT28" s="339" t="s">
        <v>141</v>
      </c>
      <c r="GAU28" s="305"/>
      <c r="GAV28" s="305">
        <v>1</v>
      </c>
      <c r="GAW28" s="304">
        <f t="shared" ref="GAW28" si="646">EDATE(GAS28,GAV28)</f>
        <v>45523</v>
      </c>
      <c r="GAX28" s="340">
        <v>0</v>
      </c>
      <c r="GAY28" s="320">
        <f t="shared" ref="GAY28" ca="1" si="647">IF(GAZ28&gt;=1,(GAX28/GAV28),0)</f>
        <v>0</v>
      </c>
      <c r="GAZ28" s="292">
        <f t="shared" ref="GAZ28" ca="1" si="648">GAW28-$G$5</f>
        <v>-591</v>
      </c>
      <c r="GBA28" s="259" t="s">
        <v>55</v>
      </c>
      <c r="GBB28" s="256" t="s">
        <v>76</v>
      </c>
      <c r="GBC28" s="256" t="s">
        <v>77</v>
      </c>
      <c r="GBD28" s="256" t="s">
        <v>78</v>
      </c>
      <c r="GBE28" s="256" t="s">
        <v>79</v>
      </c>
      <c r="GBF28" s="256" t="s">
        <v>80</v>
      </c>
      <c r="GBG28" s="256" t="s">
        <v>81</v>
      </c>
      <c r="GBH28" s="331"/>
      <c r="GBI28" s="290">
        <v>45492</v>
      </c>
      <c r="GBJ28" s="339" t="s">
        <v>141</v>
      </c>
      <c r="GBK28" s="305"/>
      <c r="GBL28" s="305">
        <v>1</v>
      </c>
      <c r="GBM28" s="304">
        <f t="shared" ref="GBM28" si="649">EDATE(GBI28,GBL28)</f>
        <v>45523</v>
      </c>
      <c r="GBN28" s="340">
        <v>0</v>
      </c>
      <c r="GBO28" s="320">
        <f t="shared" ref="GBO28" ca="1" si="650">IF(GBP28&gt;=1,(GBN28/GBL28),0)</f>
        <v>0</v>
      </c>
      <c r="GBP28" s="292">
        <f t="shared" ref="GBP28" ca="1" si="651">GBM28-$G$5</f>
        <v>-591</v>
      </c>
      <c r="GBQ28" s="259" t="s">
        <v>55</v>
      </c>
      <c r="GBR28" s="256" t="s">
        <v>76</v>
      </c>
      <c r="GBS28" s="256" t="s">
        <v>77</v>
      </c>
      <c r="GBT28" s="256" t="s">
        <v>78</v>
      </c>
      <c r="GBU28" s="256" t="s">
        <v>79</v>
      </c>
      <c r="GBV28" s="256" t="s">
        <v>80</v>
      </c>
      <c r="GBW28" s="256" t="s">
        <v>81</v>
      </c>
      <c r="GBX28" s="331"/>
      <c r="GBY28" s="290">
        <v>45492</v>
      </c>
      <c r="GBZ28" s="339" t="s">
        <v>141</v>
      </c>
      <c r="GCA28" s="305"/>
      <c r="GCB28" s="305">
        <v>1</v>
      </c>
      <c r="GCC28" s="304">
        <f t="shared" ref="GCC28" si="652">EDATE(GBY28,GCB28)</f>
        <v>45523</v>
      </c>
      <c r="GCD28" s="340">
        <v>0</v>
      </c>
      <c r="GCE28" s="320">
        <f t="shared" ref="GCE28" ca="1" si="653">IF(GCF28&gt;=1,(GCD28/GCB28),0)</f>
        <v>0</v>
      </c>
      <c r="GCF28" s="292">
        <f t="shared" ref="GCF28" ca="1" si="654">GCC28-$G$5</f>
        <v>-591</v>
      </c>
      <c r="GCG28" s="259" t="s">
        <v>55</v>
      </c>
      <c r="GCH28" s="256" t="s">
        <v>76</v>
      </c>
      <c r="GCI28" s="256" t="s">
        <v>77</v>
      </c>
      <c r="GCJ28" s="256" t="s">
        <v>78</v>
      </c>
      <c r="GCK28" s="256" t="s">
        <v>79</v>
      </c>
      <c r="GCL28" s="256" t="s">
        <v>80</v>
      </c>
      <c r="GCM28" s="256" t="s">
        <v>81</v>
      </c>
      <c r="GCN28" s="331"/>
      <c r="GCO28" s="290">
        <v>45492</v>
      </c>
      <c r="GCP28" s="339" t="s">
        <v>141</v>
      </c>
      <c r="GCQ28" s="305"/>
      <c r="GCR28" s="305">
        <v>1</v>
      </c>
      <c r="GCS28" s="304">
        <f t="shared" ref="GCS28" si="655">EDATE(GCO28,GCR28)</f>
        <v>45523</v>
      </c>
      <c r="GCT28" s="340">
        <v>0</v>
      </c>
      <c r="GCU28" s="320">
        <f t="shared" ref="GCU28" ca="1" si="656">IF(GCV28&gt;=1,(GCT28/GCR28),0)</f>
        <v>0</v>
      </c>
      <c r="GCV28" s="292">
        <f t="shared" ref="GCV28" ca="1" si="657">GCS28-$G$5</f>
        <v>-591</v>
      </c>
      <c r="GCW28" s="259" t="s">
        <v>55</v>
      </c>
      <c r="GCX28" s="256" t="s">
        <v>76</v>
      </c>
      <c r="GCY28" s="256" t="s">
        <v>77</v>
      </c>
      <c r="GCZ28" s="256" t="s">
        <v>78</v>
      </c>
      <c r="GDA28" s="256" t="s">
        <v>79</v>
      </c>
      <c r="GDB28" s="256" t="s">
        <v>80</v>
      </c>
      <c r="GDC28" s="256" t="s">
        <v>81</v>
      </c>
      <c r="GDD28" s="331"/>
      <c r="GDE28" s="290">
        <v>45492</v>
      </c>
      <c r="GDF28" s="339" t="s">
        <v>141</v>
      </c>
      <c r="GDG28" s="305"/>
      <c r="GDH28" s="305">
        <v>1</v>
      </c>
      <c r="GDI28" s="304">
        <f t="shared" ref="GDI28" si="658">EDATE(GDE28,GDH28)</f>
        <v>45523</v>
      </c>
      <c r="GDJ28" s="340">
        <v>0</v>
      </c>
      <c r="GDK28" s="320">
        <f t="shared" ref="GDK28" ca="1" si="659">IF(GDL28&gt;=1,(GDJ28/GDH28),0)</f>
        <v>0</v>
      </c>
      <c r="GDL28" s="292">
        <f t="shared" ref="GDL28" ca="1" si="660">GDI28-$G$5</f>
        <v>-591</v>
      </c>
      <c r="GDM28" s="259" t="s">
        <v>55</v>
      </c>
      <c r="GDN28" s="256" t="s">
        <v>76</v>
      </c>
      <c r="GDO28" s="256" t="s">
        <v>77</v>
      </c>
      <c r="GDP28" s="256" t="s">
        <v>78</v>
      </c>
      <c r="GDQ28" s="256" t="s">
        <v>79</v>
      </c>
      <c r="GDR28" s="256" t="s">
        <v>80</v>
      </c>
      <c r="GDS28" s="256" t="s">
        <v>81</v>
      </c>
      <c r="GDT28" s="331"/>
      <c r="GDU28" s="290">
        <v>45492</v>
      </c>
      <c r="GDV28" s="339" t="s">
        <v>141</v>
      </c>
      <c r="GDW28" s="305"/>
      <c r="GDX28" s="305">
        <v>1</v>
      </c>
      <c r="GDY28" s="304">
        <f t="shared" ref="GDY28" si="661">EDATE(GDU28,GDX28)</f>
        <v>45523</v>
      </c>
      <c r="GDZ28" s="340">
        <v>0</v>
      </c>
      <c r="GEA28" s="320">
        <f t="shared" ref="GEA28" ca="1" si="662">IF(GEB28&gt;=1,(GDZ28/GDX28),0)</f>
        <v>0</v>
      </c>
      <c r="GEB28" s="292">
        <f t="shared" ref="GEB28" ca="1" si="663">GDY28-$G$5</f>
        <v>-591</v>
      </c>
      <c r="GEC28" s="259" t="s">
        <v>55</v>
      </c>
      <c r="GED28" s="256" t="s">
        <v>76</v>
      </c>
      <c r="GEE28" s="256" t="s">
        <v>77</v>
      </c>
      <c r="GEF28" s="256" t="s">
        <v>78</v>
      </c>
      <c r="GEG28" s="256" t="s">
        <v>79</v>
      </c>
      <c r="GEH28" s="256" t="s">
        <v>80</v>
      </c>
      <c r="GEI28" s="256" t="s">
        <v>81</v>
      </c>
      <c r="GEJ28" s="331"/>
      <c r="GEK28" s="290">
        <v>45492</v>
      </c>
      <c r="GEL28" s="339" t="s">
        <v>141</v>
      </c>
      <c r="GEM28" s="305"/>
      <c r="GEN28" s="305">
        <v>1</v>
      </c>
      <c r="GEO28" s="304">
        <f t="shared" ref="GEO28" si="664">EDATE(GEK28,GEN28)</f>
        <v>45523</v>
      </c>
      <c r="GEP28" s="340">
        <v>0</v>
      </c>
      <c r="GEQ28" s="320">
        <f t="shared" ref="GEQ28" ca="1" si="665">IF(GER28&gt;=1,(GEP28/GEN28),0)</f>
        <v>0</v>
      </c>
      <c r="GER28" s="292">
        <f t="shared" ref="GER28" ca="1" si="666">GEO28-$G$5</f>
        <v>-591</v>
      </c>
      <c r="GES28" s="259" t="s">
        <v>55</v>
      </c>
      <c r="GET28" s="256" t="s">
        <v>76</v>
      </c>
      <c r="GEU28" s="256" t="s">
        <v>77</v>
      </c>
      <c r="GEV28" s="256" t="s">
        <v>78</v>
      </c>
      <c r="GEW28" s="256" t="s">
        <v>79</v>
      </c>
      <c r="GEX28" s="256" t="s">
        <v>80</v>
      </c>
      <c r="GEY28" s="256" t="s">
        <v>81</v>
      </c>
      <c r="GEZ28" s="331"/>
      <c r="GFA28" s="290">
        <v>45492</v>
      </c>
      <c r="GFB28" s="339" t="s">
        <v>141</v>
      </c>
      <c r="GFC28" s="305"/>
      <c r="GFD28" s="305">
        <v>1</v>
      </c>
      <c r="GFE28" s="304">
        <f t="shared" ref="GFE28" si="667">EDATE(GFA28,GFD28)</f>
        <v>45523</v>
      </c>
      <c r="GFF28" s="340">
        <v>0</v>
      </c>
      <c r="GFG28" s="320">
        <f t="shared" ref="GFG28" ca="1" si="668">IF(GFH28&gt;=1,(GFF28/GFD28),0)</f>
        <v>0</v>
      </c>
      <c r="GFH28" s="292">
        <f t="shared" ref="GFH28" ca="1" si="669">GFE28-$G$5</f>
        <v>-591</v>
      </c>
      <c r="GFI28" s="259" t="s">
        <v>55</v>
      </c>
      <c r="GFJ28" s="256" t="s">
        <v>76</v>
      </c>
      <c r="GFK28" s="256" t="s">
        <v>77</v>
      </c>
      <c r="GFL28" s="256" t="s">
        <v>78</v>
      </c>
      <c r="GFM28" s="256" t="s">
        <v>79</v>
      </c>
      <c r="GFN28" s="256" t="s">
        <v>80</v>
      </c>
      <c r="GFO28" s="256" t="s">
        <v>81</v>
      </c>
      <c r="GFP28" s="331"/>
      <c r="GFQ28" s="290">
        <v>45492</v>
      </c>
      <c r="GFR28" s="339" t="s">
        <v>141</v>
      </c>
      <c r="GFS28" s="305"/>
      <c r="GFT28" s="305">
        <v>1</v>
      </c>
      <c r="GFU28" s="304">
        <f t="shared" ref="GFU28" si="670">EDATE(GFQ28,GFT28)</f>
        <v>45523</v>
      </c>
      <c r="GFV28" s="340">
        <v>0</v>
      </c>
      <c r="GFW28" s="320">
        <f t="shared" ref="GFW28" ca="1" si="671">IF(GFX28&gt;=1,(GFV28/GFT28),0)</f>
        <v>0</v>
      </c>
      <c r="GFX28" s="292">
        <f t="shared" ref="GFX28" ca="1" si="672">GFU28-$G$5</f>
        <v>-591</v>
      </c>
      <c r="GFY28" s="259" t="s">
        <v>55</v>
      </c>
      <c r="GFZ28" s="256" t="s">
        <v>76</v>
      </c>
      <c r="GGA28" s="256" t="s">
        <v>77</v>
      </c>
      <c r="GGB28" s="256" t="s">
        <v>78</v>
      </c>
      <c r="GGC28" s="256" t="s">
        <v>79</v>
      </c>
      <c r="GGD28" s="256" t="s">
        <v>80</v>
      </c>
      <c r="GGE28" s="256" t="s">
        <v>81</v>
      </c>
      <c r="GGF28" s="331"/>
      <c r="GGG28" s="290">
        <v>45492</v>
      </c>
      <c r="GGH28" s="339" t="s">
        <v>141</v>
      </c>
      <c r="GGI28" s="305"/>
      <c r="GGJ28" s="305">
        <v>1</v>
      </c>
      <c r="GGK28" s="304">
        <f t="shared" ref="GGK28" si="673">EDATE(GGG28,GGJ28)</f>
        <v>45523</v>
      </c>
      <c r="GGL28" s="340">
        <v>0</v>
      </c>
      <c r="GGM28" s="320">
        <f t="shared" ref="GGM28" ca="1" si="674">IF(GGN28&gt;=1,(GGL28/GGJ28),0)</f>
        <v>0</v>
      </c>
      <c r="GGN28" s="292">
        <f t="shared" ref="GGN28" ca="1" si="675">GGK28-$G$5</f>
        <v>-591</v>
      </c>
      <c r="GGO28" s="259" t="s">
        <v>55</v>
      </c>
      <c r="GGP28" s="256" t="s">
        <v>76</v>
      </c>
      <c r="GGQ28" s="256" t="s">
        <v>77</v>
      </c>
      <c r="GGR28" s="256" t="s">
        <v>78</v>
      </c>
      <c r="GGS28" s="256" t="s">
        <v>79</v>
      </c>
      <c r="GGT28" s="256" t="s">
        <v>80</v>
      </c>
      <c r="GGU28" s="256" t="s">
        <v>81</v>
      </c>
      <c r="GGV28" s="331"/>
      <c r="GGW28" s="290">
        <v>45492</v>
      </c>
      <c r="GGX28" s="339" t="s">
        <v>141</v>
      </c>
      <c r="GGY28" s="305"/>
      <c r="GGZ28" s="305">
        <v>1</v>
      </c>
      <c r="GHA28" s="304">
        <f t="shared" ref="GHA28" si="676">EDATE(GGW28,GGZ28)</f>
        <v>45523</v>
      </c>
      <c r="GHB28" s="340">
        <v>0</v>
      </c>
      <c r="GHC28" s="320">
        <f t="shared" ref="GHC28" ca="1" si="677">IF(GHD28&gt;=1,(GHB28/GGZ28),0)</f>
        <v>0</v>
      </c>
      <c r="GHD28" s="292">
        <f t="shared" ref="GHD28" ca="1" si="678">GHA28-$G$5</f>
        <v>-591</v>
      </c>
      <c r="GHE28" s="259" t="s">
        <v>55</v>
      </c>
      <c r="GHF28" s="256" t="s">
        <v>76</v>
      </c>
      <c r="GHG28" s="256" t="s">
        <v>77</v>
      </c>
      <c r="GHH28" s="256" t="s">
        <v>78</v>
      </c>
      <c r="GHI28" s="256" t="s">
        <v>79</v>
      </c>
      <c r="GHJ28" s="256" t="s">
        <v>80</v>
      </c>
      <c r="GHK28" s="256" t="s">
        <v>81</v>
      </c>
      <c r="GHL28" s="331"/>
      <c r="GHM28" s="290">
        <v>45492</v>
      </c>
      <c r="GHN28" s="339" t="s">
        <v>141</v>
      </c>
      <c r="GHO28" s="305"/>
      <c r="GHP28" s="305">
        <v>1</v>
      </c>
      <c r="GHQ28" s="304">
        <f t="shared" ref="GHQ28" si="679">EDATE(GHM28,GHP28)</f>
        <v>45523</v>
      </c>
      <c r="GHR28" s="340">
        <v>0</v>
      </c>
      <c r="GHS28" s="320">
        <f t="shared" ref="GHS28" ca="1" si="680">IF(GHT28&gt;=1,(GHR28/GHP28),0)</f>
        <v>0</v>
      </c>
      <c r="GHT28" s="292">
        <f t="shared" ref="GHT28" ca="1" si="681">GHQ28-$G$5</f>
        <v>-591</v>
      </c>
      <c r="GHU28" s="259" t="s">
        <v>55</v>
      </c>
      <c r="GHV28" s="256" t="s">
        <v>76</v>
      </c>
      <c r="GHW28" s="256" t="s">
        <v>77</v>
      </c>
      <c r="GHX28" s="256" t="s">
        <v>78</v>
      </c>
      <c r="GHY28" s="256" t="s">
        <v>79</v>
      </c>
      <c r="GHZ28" s="256" t="s">
        <v>80</v>
      </c>
      <c r="GIA28" s="256" t="s">
        <v>81</v>
      </c>
      <c r="GIB28" s="331"/>
      <c r="GIC28" s="290">
        <v>45492</v>
      </c>
      <c r="GID28" s="339" t="s">
        <v>141</v>
      </c>
      <c r="GIE28" s="305"/>
      <c r="GIF28" s="305">
        <v>1</v>
      </c>
      <c r="GIG28" s="304">
        <f t="shared" ref="GIG28" si="682">EDATE(GIC28,GIF28)</f>
        <v>45523</v>
      </c>
      <c r="GIH28" s="340">
        <v>0</v>
      </c>
      <c r="GII28" s="320">
        <f t="shared" ref="GII28" ca="1" si="683">IF(GIJ28&gt;=1,(GIH28/GIF28),0)</f>
        <v>0</v>
      </c>
      <c r="GIJ28" s="292">
        <f t="shared" ref="GIJ28" ca="1" si="684">GIG28-$G$5</f>
        <v>-591</v>
      </c>
      <c r="GIK28" s="259" t="s">
        <v>55</v>
      </c>
      <c r="GIL28" s="256" t="s">
        <v>76</v>
      </c>
      <c r="GIM28" s="256" t="s">
        <v>77</v>
      </c>
      <c r="GIN28" s="256" t="s">
        <v>78</v>
      </c>
      <c r="GIO28" s="256" t="s">
        <v>79</v>
      </c>
      <c r="GIP28" s="256" t="s">
        <v>80</v>
      </c>
      <c r="GIQ28" s="256" t="s">
        <v>81</v>
      </c>
      <c r="GIR28" s="331"/>
      <c r="GIS28" s="290">
        <v>45492</v>
      </c>
      <c r="GIT28" s="339" t="s">
        <v>141</v>
      </c>
      <c r="GIU28" s="305"/>
      <c r="GIV28" s="305">
        <v>1</v>
      </c>
      <c r="GIW28" s="304">
        <f t="shared" ref="GIW28" si="685">EDATE(GIS28,GIV28)</f>
        <v>45523</v>
      </c>
      <c r="GIX28" s="340">
        <v>0</v>
      </c>
      <c r="GIY28" s="320">
        <f t="shared" ref="GIY28" ca="1" si="686">IF(GIZ28&gt;=1,(GIX28/GIV28),0)</f>
        <v>0</v>
      </c>
      <c r="GIZ28" s="292">
        <f t="shared" ref="GIZ28" ca="1" si="687">GIW28-$G$5</f>
        <v>-591</v>
      </c>
      <c r="GJA28" s="259" t="s">
        <v>55</v>
      </c>
      <c r="GJB28" s="256" t="s">
        <v>76</v>
      </c>
      <c r="GJC28" s="256" t="s">
        <v>77</v>
      </c>
      <c r="GJD28" s="256" t="s">
        <v>78</v>
      </c>
      <c r="GJE28" s="256" t="s">
        <v>79</v>
      </c>
      <c r="GJF28" s="256" t="s">
        <v>80</v>
      </c>
      <c r="GJG28" s="256" t="s">
        <v>81</v>
      </c>
      <c r="GJH28" s="331"/>
      <c r="GJI28" s="290">
        <v>45492</v>
      </c>
      <c r="GJJ28" s="339" t="s">
        <v>141</v>
      </c>
      <c r="GJK28" s="305"/>
      <c r="GJL28" s="305">
        <v>1</v>
      </c>
      <c r="GJM28" s="304">
        <f t="shared" ref="GJM28" si="688">EDATE(GJI28,GJL28)</f>
        <v>45523</v>
      </c>
      <c r="GJN28" s="340">
        <v>0</v>
      </c>
      <c r="GJO28" s="320">
        <f t="shared" ref="GJO28" ca="1" si="689">IF(GJP28&gt;=1,(GJN28/GJL28),0)</f>
        <v>0</v>
      </c>
      <c r="GJP28" s="292">
        <f t="shared" ref="GJP28" ca="1" si="690">GJM28-$G$5</f>
        <v>-591</v>
      </c>
      <c r="GJQ28" s="259" t="s">
        <v>55</v>
      </c>
      <c r="GJR28" s="256" t="s">
        <v>76</v>
      </c>
      <c r="GJS28" s="256" t="s">
        <v>77</v>
      </c>
      <c r="GJT28" s="256" t="s">
        <v>78</v>
      </c>
      <c r="GJU28" s="256" t="s">
        <v>79</v>
      </c>
      <c r="GJV28" s="256" t="s">
        <v>80</v>
      </c>
      <c r="GJW28" s="256" t="s">
        <v>81</v>
      </c>
      <c r="GJX28" s="331"/>
      <c r="GJY28" s="290">
        <v>45492</v>
      </c>
      <c r="GJZ28" s="339" t="s">
        <v>141</v>
      </c>
      <c r="GKA28" s="305"/>
      <c r="GKB28" s="305">
        <v>1</v>
      </c>
      <c r="GKC28" s="304">
        <f t="shared" ref="GKC28" si="691">EDATE(GJY28,GKB28)</f>
        <v>45523</v>
      </c>
      <c r="GKD28" s="340">
        <v>0</v>
      </c>
      <c r="GKE28" s="320">
        <f t="shared" ref="GKE28" ca="1" si="692">IF(GKF28&gt;=1,(GKD28/GKB28),0)</f>
        <v>0</v>
      </c>
      <c r="GKF28" s="292">
        <f t="shared" ref="GKF28" ca="1" si="693">GKC28-$G$5</f>
        <v>-591</v>
      </c>
      <c r="GKG28" s="259" t="s">
        <v>55</v>
      </c>
      <c r="GKH28" s="256" t="s">
        <v>76</v>
      </c>
      <c r="GKI28" s="256" t="s">
        <v>77</v>
      </c>
      <c r="GKJ28" s="256" t="s">
        <v>78</v>
      </c>
      <c r="GKK28" s="256" t="s">
        <v>79</v>
      </c>
      <c r="GKL28" s="256" t="s">
        <v>80</v>
      </c>
      <c r="GKM28" s="256" t="s">
        <v>81</v>
      </c>
      <c r="GKN28" s="331"/>
      <c r="GKO28" s="290">
        <v>45492</v>
      </c>
      <c r="GKP28" s="339" t="s">
        <v>141</v>
      </c>
      <c r="GKQ28" s="305"/>
      <c r="GKR28" s="305">
        <v>1</v>
      </c>
      <c r="GKS28" s="304">
        <f t="shared" ref="GKS28" si="694">EDATE(GKO28,GKR28)</f>
        <v>45523</v>
      </c>
      <c r="GKT28" s="340">
        <v>0</v>
      </c>
      <c r="GKU28" s="320">
        <f t="shared" ref="GKU28" ca="1" si="695">IF(GKV28&gt;=1,(GKT28/GKR28),0)</f>
        <v>0</v>
      </c>
      <c r="GKV28" s="292">
        <f t="shared" ref="GKV28" ca="1" si="696">GKS28-$G$5</f>
        <v>-591</v>
      </c>
      <c r="GKW28" s="259" t="s">
        <v>55</v>
      </c>
      <c r="GKX28" s="256" t="s">
        <v>76</v>
      </c>
      <c r="GKY28" s="256" t="s">
        <v>77</v>
      </c>
      <c r="GKZ28" s="256" t="s">
        <v>78</v>
      </c>
      <c r="GLA28" s="256" t="s">
        <v>79</v>
      </c>
      <c r="GLB28" s="256" t="s">
        <v>80</v>
      </c>
      <c r="GLC28" s="256" t="s">
        <v>81</v>
      </c>
      <c r="GLD28" s="331"/>
      <c r="GLE28" s="290">
        <v>45492</v>
      </c>
      <c r="GLF28" s="339" t="s">
        <v>141</v>
      </c>
      <c r="GLG28" s="305"/>
      <c r="GLH28" s="305">
        <v>1</v>
      </c>
      <c r="GLI28" s="304">
        <f t="shared" ref="GLI28" si="697">EDATE(GLE28,GLH28)</f>
        <v>45523</v>
      </c>
      <c r="GLJ28" s="340">
        <v>0</v>
      </c>
      <c r="GLK28" s="320">
        <f t="shared" ref="GLK28" ca="1" si="698">IF(GLL28&gt;=1,(GLJ28/GLH28),0)</f>
        <v>0</v>
      </c>
      <c r="GLL28" s="292">
        <f t="shared" ref="GLL28" ca="1" si="699">GLI28-$G$5</f>
        <v>-591</v>
      </c>
      <c r="GLM28" s="259" t="s">
        <v>55</v>
      </c>
      <c r="GLN28" s="256" t="s">
        <v>76</v>
      </c>
      <c r="GLO28" s="256" t="s">
        <v>77</v>
      </c>
      <c r="GLP28" s="256" t="s">
        <v>78</v>
      </c>
      <c r="GLQ28" s="256" t="s">
        <v>79</v>
      </c>
      <c r="GLR28" s="256" t="s">
        <v>80</v>
      </c>
      <c r="GLS28" s="256" t="s">
        <v>81</v>
      </c>
      <c r="GLT28" s="331"/>
      <c r="GLU28" s="290">
        <v>45492</v>
      </c>
      <c r="GLV28" s="339" t="s">
        <v>141</v>
      </c>
      <c r="GLW28" s="305"/>
      <c r="GLX28" s="305">
        <v>1</v>
      </c>
      <c r="GLY28" s="304">
        <f t="shared" ref="GLY28" si="700">EDATE(GLU28,GLX28)</f>
        <v>45523</v>
      </c>
      <c r="GLZ28" s="340">
        <v>0</v>
      </c>
      <c r="GMA28" s="320">
        <f t="shared" ref="GMA28" ca="1" si="701">IF(GMB28&gt;=1,(GLZ28/GLX28),0)</f>
        <v>0</v>
      </c>
      <c r="GMB28" s="292">
        <f t="shared" ref="GMB28" ca="1" si="702">GLY28-$G$5</f>
        <v>-591</v>
      </c>
      <c r="GMC28" s="259" t="s">
        <v>55</v>
      </c>
      <c r="GMD28" s="256" t="s">
        <v>76</v>
      </c>
      <c r="GME28" s="256" t="s">
        <v>77</v>
      </c>
      <c r="GMF28" s="256" t="s">
        <v>78</v>
      </c>
      <c r="GMG28" s="256" t="s">
        <v>79</v>
      </c>
      <c r="GMH28" s="256" t="s">
        <v>80</v>
      </c>
      <c r="GMI28" s="256" t="s">
        <v>81</v>
      </c>
      <c r="GMJ28" s="331"/>
      <c r="GMK28" s="290">
        <v>45492</v>
      </c>
      <c r="GML28" s="339" t="s">
        <v>141</v>
      </c>
      <c r="GMM28" s="305"/>
      <c r="GMN28" s="305">
        <v>1</v>
      </c>
      <c r="GMO28" s="304">
        <f t="shared" ref="GMO28" si="703">EDATE(GMK28,GMN28)</f>
        <v>45523</v>
      </c>
      <c r="GMP28" s="340">
        <v>0</v>
      </c>
      <c r="GMQ28" s="320">
        <f t="shared" ref="GMQ28" ca="1" si="704">IF(GMR28&gt;=1,(GMP28/GMN28),0)</f>
        <v>0</v>
      </c>
      <c r="GMR28" s="292">
        <f t="shared" ref="GMR28" ca="1" si="705">GMO28-$G$5</f>
        <v>-591</v>
      </c>
      <c r="GMS28" s="259" t="s">
        <v>55</v>
      </c>
      <c r="GMT28" s="256" t="s">
        <v>76</v>
      </c>
      <c r="GMU28" s="256" t="s">
        <v>77</v>
      </c>
      <c r="GMV28" s="256" t="s">
        <v>78</v>
      </c>
      <c r="GMW28" s="256" t="s">
        <v>79</v>
      </c>
      <c r="GMX28" s="256" t="s">
        <v>80</v>
      </c>
      <c r="GMY28" s="256" t="s">
        <v>81</v>
      </c>
      <c r="GMZ28" s="331"/>
      <c r="GNA28" s="290">
        <v>45492</v>
      </c>
      <c r="GNB28" s="339" t="s">
        <v>141</v>
      </c>
      <c r="GNC28" s="305"/>
      <c r="GND28" s="305">
        <v>1</v>
      </c>
      <c r="GNE28" s="304">
        <f t="shared" ref="GNE28" si="706">EDATE(GNA28,GND28)</f>
        <v>45523</v>
      </c>
      <c r="GNF28" s="340">
        <v>0</v>
      </c>
      <c r="GNG28" s="320">
        <f t="shared" ref="GNG28" ca="1" si="707">IF(GNH28&gt;=1,(GNF28/GND28),0)</f>
        <v>0</v>
      </c>
      <c r="GNH28" s="292">
        <f t="shared" ref="GNH28" ca="1" si="708">GNE28-$G$5</f>
        <v>-591</v>
      </c>
      <c r="GNI28" s="259" t="s">
        <v>55</v>
      </c>
      <c r="GNJ28" s="256" t="s">
        <v>76</v>
      </c>
      <c r="GNK28" s="256" t="s">
        <v>77</v>
      </c>
      <c r="GNL28" s="256" t="s">
        <v>78</v>
      </c>
      <c r="GNM28" s="256" t="s">
        <v>79</v>
      </c>
      <c r="GNN28" s="256" t="s">
        <v>80</v>
      </c>
      <c r="GNO28" s="256" t="s">
        <v>81</v>
      </c>
      <c r="GNP28" s="331"/>
      <c r="GNQ28" s="290">
        <v>45492</v>
      </c>
      <c r="GNR28" s="339" t="s">
        <v>141</v>
      </c>
      <c r="GNS28" s="305"/>
      <c r="GNT28" s="305">
        <v>1</v>
      </c>
      <c r="GNU28" s="304">
        <f t="shared" ref="GNU28" si="709">EDATE(GNQ28,GNT28)</f>
        <v>45523</v>
      </c>
      <c r="GNV28" s="340">
        <v>0</v>
      </c>
      <c r="GNW28" s="320">
        <f t="shared" ref="GNW28" ca="1" si="710">IF(GNX28&gt;=1,(GNV28/GNT28),0)</f>
        <v>0</v>
      </c>
      <c r="GNX28" s="292">
        <f t="shared" ref="GNX28" ca="1" si="711">GNU28-$G$5</f>
        <v>-591</v>
      </c>
      <c r="GNY28" s="259" t="s">
        <v>55</v>
      </c>
      <c r="GNZ28" s="256" t="s">
        <v>76</v>
      </c>
      <c r="GOA28" s="256" t="s">
        <v>77</v>
      </c>
      <c r="GOB28" s="256" t="s">
        <v>78</v>
      </c>
      <c r="GOC28" s="256" t="s">
        <v>79</v>
      </c>
      <c r="GOD28" s="256" t="s">
        <v>80</v>
      </c>
      <c r="GOE28" s="256" t="s">
        <v>81</v>
      </c>
      <c r="GOF28" s="331"/>
      <c r="GOG28" s="290">
        <v>45492</v>
      </c>
      <c r="GOH28" s="339" t="s">
        <v>141</v>
      </c>
      <c r="GOI28" s="305"/>
      <c r="GOJ28" s="305">
        <v>1</v>
      </c>
      <c r="GOK28" s="304">
        <f t="shared" ref="GOK28" si="712">EDATE(GOG28,GOJ28)</f>
        <v>45523</v>
      </c>
      <c r="GOL28" s="340">
        <v>0</v>
      </c>
      <c r="GOM28" s="320">
        <f t="shared" ref="GOM28" ca="1" si="713">IF(GON28&gt;=1,(GOL28/GOJ28),0)</f>
        <v>0</v>
      </c>
      <c r="GON28" s="292">
        <f t="shared" ref="GON28" ca="1" si="714">GOK28-$G$5</f>
        <v>-591</v>
      </c>
      <c r="GOO28" s="259" t="s">
        <v>55</v>
      </c>
      <c r="GOP28" s="256" t="s">
        <v>76</v>
      </c>
      <c r="GOQ28" s="256" t="s">
        <v>77</v>
      </c>
      <c r="GOR28" s="256" t="s">
        <v>78</v>
      </c>
      <c r="GOS28" s="256" t="s">
        <v>79</v>
      </c>
      <c r="GOT28" s="256" t="s">
        <v>80</v>
      </c>
      <c r="GOU28" s="256" t="s">
        <v>81</v>
      </c>
      <c r="GOV28" s="331"/>
      <c r="GOW28" s="290">
        <v>45492</v>
      </c>
      <c r="GOX28" s="339" t="s">
        <v>141</v>
      </c>
      <c r="GOY28" s="305"/>
      <c r="GOZ28" s="305">
        <v>1</v>
      </c>
      <c r="GPA28" s="304">
        <f t="shared" ref="GPA28" si="715">EDATE(GOW28,GOZ28)</f>
        <v>45523</v>
      </c>
      <c r="GPB28" s="340">
        <v>0</v>
      </c>
      <c r="GPC28" s="320">
        <f t="shared" ref="GPC28" ca="1" si="716">IF(GPD28&gt;=1,(GPB28/GOZ28),0)</f>
        <v>0</v>
      </c>
      <c r="GPD28" s="292">
        <f t="shared" ref="GPD28" ca="1" si="717">GPA28-$G$5</f>
        <v>-591</v>
      </c>
      <c r="GPE28" s="259" t="s">
        <v>55</v>
      </c>
      <c r="GPF28" s="256" t="s">
        <v>76</v>
      </c>
      <c r="GPG28" s="256" t="s">
        <v>77</v>
      </c>
      <c r="GPH28" s="256" t="s">
        <v>78</v>
      </c>
      <c r="GPI28" s="256" t="s">
        <v>79</v>
      </c>
      <c r="GPJ28" s="256" t="s">
        <v>80</v>
      </c>
      <c r="GPK28" s="256" t="s">
        <v>81</v>
      </c>
      <c r="GPL28" s="331"/>
      <c r="GPM28" s="290">
        <v>45492</v>
      </c>
      <c r="GPN28" s="339" t="s">
        <v>141</v>
      </c>
      <c r="GPO28" s="305"/>
      <c r="GPP28" s="305">
        <v>1</v>
      </c>
      <c r="GPQ28" s="304">
        <f t="shared" ref="GPQ28" si="718">EDATE(GPM28,GPP28)</f>
        <v>45523</v>
      </c>
      <c r="GPR28" s="340">
        <v>0</v>
      </c>
      <c r="GPS28" s="320">
        <f t="shared" ref="GPS28" ca="1" si="719">IF(GPT28&gt;=1,(GPR28/GPP28),0)</f>
        <v>0</v>
      </c>
      <c r="GPT28" s="292">
        <f t="shared" ref="GPT28" ca="1" si="720">GPQ28-$G$5</f>
        <v>-591</v>
      </c>
      <c r="GPU28" s="259" t="s">
        <v>55</v>
      </c>
      <c r="GPV28" s="256" t="s">
        <v>76</v>
      </c>
      <c r="GPW28" s="256" t="s">
        <v>77</v>
      </c>
      <c r="GPX28" s="256" t="s">
        <v>78</v>
      </c>
      <c r="GPY28" s="256" t="s">
        <v>79</v>
      </c>
      <c r="GPZ28" s="256" t="s">
        <v>80</v>
      </c>
      <c r="GQA28" s="256" t="s">
        <v>81</v>
      </c>
      <c r="GQB28" s="331"/>
      <c r="GQC28" s="290">
        <v>45492</v>
      </c>
      <c r="GQD28" s="339" t="s">
        <v>141</v>
      </c>
      <c r="GQE28" s="305"/>
      <c r="GQF28" s="305">
        <v>1</v>
      </c>
      <c r="GQG28" s="304">
        <f t="shared" ref="GQG28" si="721">EDATE(GQC28,GQF28)</f>
        <v>45523</v>
      </c>
      <c r="GQH28" s="340">
        <v>0</v>
      </c>
      <c r="GQI28" s="320">
        <f t="shared" ref="GQI28" ca="1" si="722">IF(GQJ28&gt;=1,(GQH28/GQF28),0)</f>
        <v>0</v>
      </c>
      <c r="GQJ28" s="292">
        <f t="shared" ref="GQJ28" ca="1" si="723">GQG28-$G$5</f>
        <v>-591</v>
      </c>
      <c r="GQK28" s="259" t="s">
        <v>55</v>
      </c>
      <c r="GQL28" s="256" t="s">
        <v>76</v>
      </c>
      <c r="GQM28" s="256" t="s">
        <v>77</v>
      </c>
      <c r="GQN28" s="256" t="s">
        <v>78</v>
      </c>
      <c r="GQO28" s="256" t="s">
        <v>79</v>
      </c>
      <c r="GQP28" s="256" t="s">
        <v>80</v>
      </c>
      <c r="GQQ28" s="256" t="s">
        <v>81</v>
      </c>
      <c r="GQR28" s="331"/>
      <c r="GQS28" s="290">
        <v>45492</v>
      </c>
      <c r="GQT28" s="339" t="s">
        <v>141</v>
      </c>
      <c r="GQU28" s="305"/>
      <c r="GQV28" s="305">
        <v>1</v>
      </c>
      <c r="GQW28" s="304">
        <f t="shared" ref="GQW28" si="724">EDATE(GQS28,GQV28)</f>
        <v>45523</v>
      </c>
      <c r="GQX28" s="340">
        <v>0</v>
      </c>
      <c r="GQY28" s="320">
        <f t="shared" ref="GQY28" ca="1" si="725">IF(GQZ28&gt;=1,(GQX28/GQV28),0)</f>
        <v>0</v>
      </c>
      <c r="GQZ28" s="292">
        <f t="shared" ref="GQZ28" ca="1" si="726">GQW28-$G$5</f>
        <v>-591</v>
      </c>
      <c r="GRA28" s="259" t="s">
        <v>55</v>
      </c>
      <c r="GRB28" s="256" t="s">
        <v>76</v>
      </c>
      <c r="GRC28" s="256" t="s">
        <v>77</v>
      </c>
      <c r="GRD28" s="256" t="s">
        <v>78</v>
      </c>
      <c r="GRE28" s="256" t="s">
        <v>79</v>
      </c>
      <c r="GRF28" s="256" t="s">
        <v>80</v>
      </c>
      <c r="GRG28" s="256" t="s">
        <v>81</v>
      </c>
      <c r="GRH28" s="331"/>
      <c r="GRI28" s="290">
        <v>45492</v>
      </c>
      <c r="GRJ28" s="339" t="s">
        <v>141</v>
      </c>
      <c r="GRK28" s="305"/>
      <c r="GRL28" s="305">
        <v>1</v>
      </c>
      <c r="GRM28" s="304">
        <f t="shared" ref="GRM28" si="727">EDATE(GRI28,GRL28)</f>
        <v>45523</v>
      </c>
      <c r="GRN28" s="340">
        <v>0</v>
      </c>
      <c r="GRO28" s="320">
        <f t="shared" ref="GRO28" ca="1" si="728">IF(GRP28&gt;=1,(GRN28/GRL28),0)</f>
        <v>0</v>
      </c>
      <c r="GRP28" s="292">
        <f t="shared" ref="GRP28" ca="1" si="729">GRM28-$G$5</f>
        <v>-591</v>
      </c>
      <c r="GRQ28" s="259" t="s">
        <v>55</v>
      </c>
      <c r="GRR28" s="256" t="s">
        <v>76</v>
      </c>
      <c r="GRS28" s="256" t="s">
        <v>77</v>
      </c>
      <c r="GRT28" s="256" t="s">
        <v>78</v>
      </c>
      <c r="GRU28" s="256" t="s">
        <v>79</v>
      </c>
      <c r="GRV28" s="256" t="s">
        <v>80</v>
      </c>
      <c r="GRW28" s="256" t="s">
        <v>81</v>
      </c>
      <c r="GRX28" s="331"/>
      <c r="GRY28" s="290">
        <v>45492</v>
      </c>
      <c r="GRZ28" s="339" t="s">
        <v>141</v>
      </c>
      <c r="GSA28" s="305"/>
      <c r="GSB28" s="305">
        <v>1</v>
      </c>
      <c r="GSC28" s="304">
        <f t="shared" ref="GSC28" si="730">EDATE(GRY28,GSB28)</f>
        <v>45523</v>
      </c>
      <c r="GSD28" s="340">
        <v>0</v>
      </c>
      <c r="GSE28" s="320">
        <f t="shared" ref="GSE28" ca="1" si="731">IF(GSF28&gt;=1,(GSD28/GSB28),0)</f>
        <v>0</v>
      </c>
      <c r="GSF28" s="292">
        <f t="shared" ref="GSF28" ca="1" si="732">GSC28-$G$5</f>
        <v>-591</v>
      </c>
      <c r="GSG28" s="259" t="s">
        <v>55</v>
      </c>
      <c r="GSH28" s="256" t="s">
        <v>76</v>
      </c>
      <c r="GSI28" s="256" t="s">
        <v>77</v>
      </c>
      <c r="GSJ28" s="256" t="s">
        <v>78</v>
      </c>
      <c r="GSK28" s="256" t="s">
        <v>79</v>
      </c>
      <c r="GSL28" s="256" t="s">
        <v>80</v>
      </c>
      <c r="GSM28" s="256" t="s">
        <v>81</v>
      </c>
      <c r="GSN28" s="331"/>
      <c r="GSO28" s="290">
        <v>45492</v>
      </c>
      <c r="GSP28" s="339" t="s">
        <v>141</v>
      </c>
      <c r="GSQ28" s="305"/>
      <c r="GSR28" s="305">
        <v>1</v>
      </c>
      <c r="GSS28" s="304">
        <f t="shared" ref="GSS28" si="733">EDATE(GSO28,GSR28)</f>
        <v>45523</v>
      </c>
      <c r="GST28" s="340">
        <v>0</v>
      </c>
      <c r="GSU28" s="320">
        <f t="shared" ref="GSU28" ca="1" si="734">IF(GSV28&gt;=1,(GST28/GSR28),0)</f>
        <v>0</v>
      </c>
      <c r="GSV28" s="292">
        <f t="shared" ref="GSV28" ca="1" si="735">GSS28-$G$5</f>
        <v>-591</v>
      </c>
      <c r="GSW28" s="259" t="s">
        <v>55</v>
      </c>
      <c r="GSX28" s="256" t="s">
        <v>76</v>
      </c>
      <c r="GSY28" s="256" t="s">
        <v>77</v>
      </c>
      <c r="GSZ28" s="256" t="s">
        <v>78</v>
      </c>
      <c r="GTA28" s="256" t="s">
        <v>79</v>
      </c>
      <c r="GTB28" s="256" t="s">
        <v>80</v>
      </c>
      <c r="GTC28" s="256" t="s">
        <v>81</v>
      </c>
      <c r="GTD28" s="331"/>
      <c r="GTE28" s="290">
        <v>45492</v>
      </c>
      <c r="GTF28" s="339" t="s">
        <v>141</v>
      </c>
      <c r="GTG28" s="305"/>
      <c r="GTH28" s="305">
        <v>1</v>
      </c>
      <c r="GTI28" s="304">
        <f t="shared" ref="GTI28" si="736">EDATE(GTE28,GTH28)</f>
        <v>45523</v>
      </c>
      <c r="GTJ28" s="340">
        <v>0</v>
      </c>
      <c r="GTK28" s="320">
        <f t="shared" ref="GTK28" ca="1" si="737">IF(GTL28&gt;=1,(GTJ28/GTH28),0)</f>
        <v>0</v>
      </c>
      <c r="GTL28" s="292">
        <f t="shared" ref="GTL28" ca="1" si="738">GTI28-$G$5</f>
        <v>-591</v>
      </c>
      <c r="GTM28" s="259" t="s">
        <v>55</v>
      </c>
      <c r="GTN28" s="256" t="s">
        <v>76</v>
      </c>
      <c r="GTO28" s="256" t="s">
        <v>77</v>
      </c>
      <c r="GTP28" s="256" t="s">
        <v>78</v>
      </c>
      <c r="GTQ28" s="256" t="s">
        <v>79</v>
      </c>
      <c r="GTR28" s="256" t="s">
        <v>80</v>
      </c>
      <c r="GTS28" s="256" t="s">
        <v>81</v>
      </c>
      <c r="GTT28" s="331"/>
      <c r="GTU28" s="290">
        <v>45492</v>
      </c>
      <c r="GTV28" s="339" t="s">
        <v>141</v>
      </c>
      <c r="GTW28" s="305"/>
      <c r="GTX28" s="305">
        <v>1</v>
      </c>
      <c r="GTY28" s="304">
        <f t="shared" ref="GTY28" si="739">EDATE(GTU28,GTX28)</f>
        <v>45523</v>
      </c>
      <c r="GTZ28" s="340">
        <v>0</v>
      </c>
      <c r="GUA28" s="320">
        <f t="shared" ref="GUA28" ca="1" si="740">IF(GUB28&gt;=1,(GTZ28/GTX28),0)</f>
        <v>0</v>
      </c>
      <c r="GUB28" s="292">
        <f t="shared" ref="GUB28" ca="1" si="741">GTY28-$G$5</f>
        <v>-591</v>
      </c>
      <c r="GUC28" s="259" t="s">
        <v>55</v>
      </c>
      <c r="GUD28" s="256" t="s">
        <v>76</v>
      </c>
      <c r="GUE28" s="256" t="s">
        <v>77</v>
      </c>
      <c r="GUF28" s="256" t="s">
        <v>78</v>
      </c>
      <c r="GUG28" s="256" t="s">
        <v>79</v>
      </c>
      <c r="GUH28" s="256" t="s">
        <v>80</v>
      </c>
      <c r="GUI28" s="256" t="s">
        <v>81</v>
      </c>
      <c r="GUJ28" s="331"/>
      <c r="GUK28" s="290">
        <v>45492</v>
      </c>
      <c r="GUL28" s="339" t="s">
        <v>141</v>
      </c>
      <c r="GUM28" s="305"/>
      <c r="GUN28" s="305">
        <v>1</v>
      </c>
      <c r="GUO28" s="304">
        <f t="shared" ref="GUO28" si="742">EDATE(GUK28,GUN28)</f>
        <v>45523</v>
      </c>
      <c r="GUP28" s="340">
        <v>0</v>
      </c>
      <c r="GUQ28" s="320">
        <f t="shared" ref="GUQ28" ca="1" si="743">IF(GUR28&gt;=1,(GUP28/GUN28),0)</f>
        <v>0</v>
      </c>
      <c r="GUR28" s="292">
        <f t="shared" ref="GUR28" ca="1" si="744">GUO28-$G$5</f>
        <v>-591</v>
      </c>
      <c r="GUS28" s="259" t="s">
        <v>55</v>
      </c>
      <c r="GUT28" s="256" t="s">
        <v>76</v>
      </c>
      <c r="GUU28" s="256" t="s">
        <v>77</v>
      </c>
      <c r="GUV28" s="256" t="s">
        <v>78</v>
      </c>
      <c r="GUW28" s="256" t="s">
        <v>79</v>
      </c>
      <c r="GUX28" s="256" t="s">
        <v>80</v>
      </c>
      <c r="GUY28" s="256" t="s">
        <v>81</v>
      </c>
      <c r="GUZ28" s="331"/>
      <c r="GVA28" s="290">
        <v>45492</v>
      </c>
      <c r="GVB28" s="339" t="s">
        <v>141</v>
      </c>
      <c r="GVC28" s="305"/>
      <c r="GVD28" s="305">
        <v>1</v>
      </c>
      <c r="GVE28" s="304">
        <f t="shared" ref="GVE28" si="745">EDATE(GVA28,GVD28)</f>
        <v>45523</v>
      </c>
      <c r="GVF28" s="340">
        <v>0</v>
      </c>
      <c r="GVG28" s="320">
        <f t="shared" ref="GVG28" ca="1" si="746">IF(GVH28&gt;=1,(GVF28/GVD28),0)</f>
        <v>0</v>
      </c>
      <c r="GVH28" s="292">
        <f t="shared" ref="GVH28" ca="1" si="747">GVE28-$G$5</f>
        <v>-591</v>
      </c>
      <c r="GVI28" s="259" t="s">
        <v>55</v>
      </c>
      <c r="GVJ28" s="256" t="s">
        <v>76</v>
      </c>
      <c r="GVK28" s="256" t="s">
        <v>77</v>
      </c>
      <c r="GVL28" s="256" t="s">
        <v>78</v>
      </c>
      <c r="GVM28" s="256" t="s">
        <v>79</v>
      </c>
      <c r="GVN28" s="256" t="s">
        <v>80</v>
      </c>
      <c r="GVO28" s="256" t="s">
        <v>81</v>
      </c>
      <c r="GVP28" s="331"/>
      <c r="GVQ28" s="290">
        <v>45492</v>
      </c>
      <c r="GVR28" s="339" t="s">
        <v>141</v>
      </c>
      <c r="GVS28" s="305"/>
      <c r="GVT28" s="305">
        <v>1</v>
      </c>
      <c r="GVU28" s="304">
        <f t="shared" ref="GVU28" si="748">EDATE(GVQ28,GVT28)</f>
        <v>45523</v>
      </c>
      <c r="GVV28" s="340">
        <v>0</v>
      </c>
      <c r="GVW28" s="320">
        <f t="shared" ref="GVW28" ca="1" si="749">IF(GVX28&gt;=1,(GVV28/GVT28),0)</f>
        <v>0</v>
      </c>
      <c r="GVX28" s="292">
        <f t="shared" ref="GVX28" ca="1" si="750">GVU28-$G$5</f>
        <v>-591</v>
      </c>
      <c r="GVY28" s="259" t="s">
        <v>55</v>
      </c>
      <c r="GVZ28" s="256" t="s">
        <v>76</v>
      </c>
      <c r="GWA28" s="256" t="s">
        <v>77</v>
      </c>
      <c r="GWB28" s="256" t="s">
        <v>78</v>
      </c>
      <c r="GWC28" s="256" t="s">
        <v>79</v>
      </c>
      <c r="GWD28" s="256" t="s">
        <v>80</v>
      </c>
      <c r="GWE28" s="256" t="s">
        <v>81</v>
      </c>
      <c r="GWF28" s="331"/>
      <c r="GWG28" s="290">
        <v>45492</v>
      </c>
      <c r="GWH28" s="339" t="s">
        <v>141</v>
      </c>
      <c r="GWI28" s="305"/>
      <c r="GWJ28" s="305">
        <v>1</v>
      </c>
      <c r="GWK28" s="304">
        <f t="shared" ref="GWK28" si="751">EDATE(GWG28,GWJ28)</f>
        <v>45523</v>
      </c>
      <c r="GWL28" s="340">
        <v>0</v>
      </c>
      <c r="GWM28" s="320">
        <f t="shared" ref="GWM28" ca="1" si="752">IF(GWN28&gt;=1,(GWL28/GWJ28),0)</f>
        <v>0</v>
      </c>
      <c r="GWN28" s="292">
        <f t="shared" ref="GWN28" ca="1" si="753">GWK28-$G$5</f>
        <v>-591</v>
      </c>
      <c r="GWO28" s="259" t="s">
        <v>55</v>
      </c>
      <c r="GWP28" s="256" t="s">
        <v>76</v>
      </c>
      <c r="GWQ28" s="256" t="s">
        <v>77</v>
      </c>
      <c r="GWR28" s="256" t="s">
        <v>78</v>
      </c>
      <c r="GWS28" s="256" t="s">
        <v>79</v>
      </c>
      <c r="GWT28" s="256" t="s">
        <v>80</v>
      </c>
      <c r="GWU28" s="256" t="s">
        <v>81</v>
      </c>
      <c r="GWV28" s="331"/>
      <c r="GWW28" s="290">
        <v>45492</v>
      </c>
      <c r="GWX28" s="339" t="s">
        <v>141</v>
      </c>
      <c r="GWY28" s="305"/>
      <c r="GWZ28" s="305">
        <v>1</v>
      </c>
      <c r="GXA28" s="304">
        <f t="shared" ref="GXA28" si="754">EDATE(GWW28,GWZ28)</f>
        <v>45523</v>
      </c>
      <c r="GXB28" s="340">
        <v>0</v>
      </c>
      <c r="GXC28" s="320">
        <f t="shared" ref="GXC28" ca="1" si="755">IF(GXD28&gt;=1,(GXB28/GWZ28),0)</f>
        <v>0</v>
      </c>
      <c r="GXD28" s="292">
        <f t="shared" ref="GXD28" ca="1" si="756">GXA28-$G$5</f>
        <v>-591</v>
      </c>
      <c r="GXE28" s="259" t="s">
        <v>55</v>
      </c>
      <c r="GXF28" s="256" t="s">
        <v>76</v>
      </c>
      <c r="GXG28" s="256" t="s">
        <v>77</v>
      </c>
      <c r="GXH28" s="256" t="s">
        <v>78</v>
      </c>
      <c r="GXI28" s="256" t="s">
        <v>79</v>
      </c>
      <c r="GXJ28" s="256" t="s">
        <v>80</v>
      </c>
      <c r="GXK28" s="256" t="s">
        <v>81</v>
      </c>
      <c r="GXL28" s="331"/>
      <c r="GXM28" s="290">
        <v>45492</v>
      </c>
      <c r="GXN28" s="339" t="s">
        <v>141</v>
      </c>
      <c r="GXO28" s="305"/>
      <c r="GXP28" s="305">
        <v>1</v>
      </c>
      <c r="GXQ28" s="304">
        <f t="shared" ref="GXQ28" si="757">EDATE(GXM28,GXP28)</f>
        <v>45523</v>
      </c>
      <c r="GXR28" s="340">
        <v>0</v>
      </c>
      <c r="GXS28" s="320">
        <f t="shared" ref="GXS28" ca="1" si="758">IF(GXT28&gt;=1,(GXR28/GXP28),0)</f>
        <v>0</v>
      </c>
      <c r="GXT28" s="292">
        <f t="shared" ref="GXT28" ca="1" si="759">GXQ28-$G$5</f>
        <v>-591</v>
      </c>
      <c r="GXU28" s="259" t="s">
        <v>55</v>
      </c>
      <c r="GXV28" s="256" t="s">
        <v>76</v>
      </c>
      <c r="GXW28" s="256" t="s">
        <v>77</v>
      </c>
      <c r="GXX28" s="256" t="s">
        <v>78</v>
      </c>
      <c r="GXY28" s="256" t="s">
        <v>79</v>
      </c>
      <c r="GXZ28" s="256" t="s">
        <v>80</v>
      </c>
      <c r="GYA28" s="256" t="s">
        <v>81</v>
      </c>
      <c r="GYB28" s="331"/>
      <c r="GYC28" s="290">
        <v>45492</v>
      </c>
      <c r="GYD28" s="339" t="s">
        <v>141</v>
      </c>
      <c r="GYE28" s="305"/>
      <c r="GYF28" s="305">
        <v>1</v>
      </c>
      <c r="GYG28" s="304">
        <f t="shared" ref="GYG28" si="760">EDATE(GYC28,GYF28)</f>
        <v>45523</v>
      </c>
      <c r="GYH28" s="340">
        <v>0</v>
      </c>
      <c r="GYI28" s="320">
        <f t="shared" ref="GYI28" ca="1" si="761">IF(GYJ28&gt;=1,(GYH28/GYF28),0)</f>
        <v>0</v>
      </c>
      <c r="GYJ28" s="292">
        <f t="shared" ref="GYJ28" ca="1" si="762">GYG28-$G$5</f>
        <v>-591</v>
      </c>
      <c r="GYK28" s="259" t="s">
        <v>55</v>
      </c>
      <c r="GYL28" s="256" t="s">
        <v>76</v>
      </c>
      <c r="GYM28" s="256" t="s">
        <v>77</v>
      </c>
      <c r="GYN28" s="256" t="s">
        <v>78</v>
      </c>
      <c r="GYO28" s="256" t="s">
        <v>79</v>
      </c>
      <c r="GYP28" s="256" t="s">
        <v>80</v>
      </c>
      <c r="GYQ28" s="256" t="s">
        <v>81</v>
      </c>
      <c r="GYR28" s="331"/>
      <c r="GYS28" s="290">
        <v>45492</v>
      </c>
      <c r="GYT28" s="339" t="s">
        <v>141</v>
      </c>
      <c r="GYU28" s="305"/>
      <c r="GYV28" s="305">
        <v>1</v>
      </c>
      <c r="GYW28" s="304">
        <f t="shared" ref="GYW28" si="763">EDATE(GYS28,GYV28)</f>
        <v>45523</v>
      </c>
      <c r="GYX28" s="340">
        <v>0</v>
      </c>
      <c r="GYY28" s="320">
        <f t="shared" ref="GYY28" ca="1" si="764">IF(GYZ28&gt;=1,(GYX28/GYV28),0)</f>
        <v>0</v>
      </c>
      <c r="GYZ28" s="292">
        <f t="shared" ref="GYZ28" ca="1" si="765">GYW28-$G$5</f>
        <v>-591</v>
      </c>
      <c r="GZA28" s="259" t="s">
        <v>55</v>
      </c>
      <c r="GZB28" s="256" t="s">
        <v>76</v>
      </c>
      <c r="GZC28" s="256" t="s">
        <v>77</v>
      </c>
      <c r="GZD28" s="256" t="s">
        <v>78</v>
      </c>
      <c r="GZE28" s="256" t="s">
        <v>79</v>
      </c>
      <c r="GZF28" s="256" t="s">
        <v>80</v>
      </c>
      <c r="GZG28" s="256" t="s">
        <v>81</v>
      </c>
      <c r="GZH28" s="331"/>
      <c r="GZI28" s="290">
        <v>45492</v>
      </c>
      <c r="GZJ28" s="339" t="s">
        <v>141</v>
      </c>
      <c r="GZK28" s="305"/>
      <c r="GZL28" s="305">
        <v>1</v>
      </c>
      <c r="GZM28" s="304">
        <f t="shared" ref="GZM28" si="766">EDATE(GZI28,GZL28)</f>
        <v>45523</v>
      </c>
      <c r="GZN28" s="340">
        <v>0</v>
      </c>
      <c r="GZO28" s="320">
        <f t="shared" ref="GZO28" ca="1" si="767">IF(GZP28&gt;=1,(GZN28/GZL28),0)</f>
        <v>0</v>
      </c>
      <c r="GZP28" s="292">
        <f t="shared" ref="GZP28" ca="1" si="768">GZM28-$G$5</f>
        <v>-591</v>
      </c>
      <c r="GZQ28" s="259" t="s">
        <v>55</v>
      </c>
      <c r="GZR28" s="256" t="s">
        <v>76</v>
      </c>
      <c r="GZS28" s="256" t="s">
        <v>77</v>
      </c>
      <c r="GZT28" s="256" t="s">
        <v>78</v>
      </c>
      <c r="GZU28" s="256" t="s">
        <v>79</v>
      </c>
      <c r="GZV28" s="256" t="s">
        <v>80</v>
      </c>
      <c r="GZW28" s="256" t="s">
        <v>81</v>
      </c>
      <c r="GZX28" s="331"/>
      <c r="GZY28" s="290">
        <v>45492</v>
      </c>
      <c r="GZZ28" s="339" t="s">
        <v>141</v>
      </c>
      <c r="HAA28" s="305"/>
      <c r="HAB28" s="305">
        <v>1</v>
      </c>
      <c r="HAC28" s="304">
        <f t="shared" ref="HAC28" si="769">EDATE(GZY28,HAB28)</f>
        <v>45523</v>
      </c>
      <c r="HAD28" s="340">
        <v>0</v>
      </c>
      <c r="HAE28" s="320">
        <f t="shared" ref="HAE28" ca="1" si="770">IF(HAF28&gt;=1,(HAD28/HAB28),0)</f>
        <v>0</v>
      </c>
      <c r="HAF28" s="292">
        <f t="shared" ref="HAF28" ca="1" si="771">HAC28-$G$5</f>
        <v>-591</v>
      </c>
      <c r="HAG28" s="259" t="s">
        <v>55</v>
      </c>
      <c r="HAH28" s="256" t="s">
        <v>76</v>
      </c>
      <c r="HAI28" s="256" t="s">
        <v>77</v>
      </c>
      <c r="HAJ28" s="256" t="s">
        <v>78</v>
      </c>
      <c r="HAK28" s="256" t="s">
        <v>79</v>
      </c>
      <c r="HAL28" s="256" t="s">
        <v>80</v>
      </c>
      <c r="HAM28" s="256" t="s">
        <v>81</v>
      </c>
      <c r="HAN28" s="331"/>
      <c r="HAO28" s="290">
        <v>45492</v>
      </c>
      <c r="HAP28" s="339" t="s">
        <v>141</v>
      </c>
      <c r="HAQ28" s="305"/>
      <c r="HAR28" s="305">
        <v>1</v>
      </c>
      <c r="HAS28" s="304">
        <f t="shared" ref="HAS28" si="772">EDATE(HAO28,HAR28)</f>
        <v>45523</v>
      </c>
      <c r="HAT28" s="340">
        <v>0</v>
      </c>
      <c r="HAU28" s="320">
        <f t="shared" ref="HAU28" ca="1" si="773">IF(HAV28&gt;=1,(HAT28/HAR28),0)</f>
        <v>0</v>
      </c>
      <c r="HAV28" s="292">
        <f t="shared" ref="HAV28" ca="1" si="774">HAS28-$G$5</f>
        <v>-591</v>
      </c>
      <c r="HAW28" s="259" t="s">
        <v>55</v>
      </c>
      <c r="HAX28" s="256" t="s">
        <v>76</v>
      </c>
      <c r="HAY28" s="256" t="s">
        <v>77</v>
      </c>
      <c r="HAZ28" s="256" t="s">
        <v>78</v>
      </c>
      <c r="HBA28" s="256" t="s">
        <v>79</v>
      </c>
      <c r="HBB28" s="256" t="s">
        <v>80</v>
      </c>
      <c r="HBC28" s="256" t="s">
        <v>81</v>
      </c>
      <c r="HBD28" s="331"/>
      <c r="HBE28" s="290">
        <v>45492</v>
      </c>
      <c r="HBF28" s="339" t="s">
        <v>141</v>
      </c>
      <c r="HBG28" s="305"/>
      <c r="HBH28" s="305">
        <v>1</v>
      </c>
      <c r="HBI28" s="304">
        <f t="shared" ref="HBI28" si="775">EDATE(HBE28,HBH28)</f>
        <v>45523</v>
      </c>
      <c r="HBJ28" s="340">
        <v>0</v>
      </c>
      <c r="HBK28" s="320">
        <f t="shared" ref="HBK28" ca="1" si="776">IF(HBL28&gt;=1,(HBJ28/HBH28),0)</f>
        <v>0</v>
      </c>
      <c r="HBL28" s="292">
        <f t="shared" ref="HBL28" ca="1" si="777">HBI28-$G$5</f>
        <v>-591</v>
      </c>
      <c r="HBM28" s="259" t="s">
        <v>55</v>
      </c>
      <c r="HBN28" s="256" t="s">
        <v>76</v>
      </c>
      <c r="HBO28" s="256" t="s">
        <v>77</v>
      </c>
      <c r="HBP28" s="256" t="s">
        <v>78</v>
      </c>
      <c r="HBQ28" s="256" t="s">
        <v>79</v>
      </c>
      <c r="HBR28" s="256" t="s">
        <v>80</v>
      </c>
      <c r="HBS28" s="256" t="s">
        <v>81</v>
      </c>
      <c r="HBT28" s="331"/>
      <c r="HBU28" s="290">
        <v>45492</v>
      </c>
      <c r="HBV28" s="339" t="s">
        <v>141</v>
      </c>
      <c r="HBW28" s="305"/>
      <c r="HBX28" s="305">
        <v>1</v>
      </c>
      <c r="HBY28" s="304">
        <f t="shared" ref="HBY28" si="778">EDATE(HBU28,HBX28)</f>
        <v>45523</v>
      </c>
      <c r="HBZ28" s="340">
        <v>0</v>
      </c>
      <c r="HCA28" s="320">
        <f t="shared" ref="HCA28" ca="1" si="779">IF(HCB28&gt;=1,(HBZ28/HBX28),0)</f>
        <v>0</v>
      </c>
      <c r="HCB28" s="292">
        <f t="shared" ref="HCB28" ca="1" si="780">HBY28-$G$5</f>
        <v>-591</v>
      </c>
      <c r="HCC28" s="259" t="s">
        <v>55</v>
      </c>
      <c r="HCD28" s="256" t="s">
        <v>76</v>
      </c>
      <c r="HCE28" s="256" t="s">
        <v>77</v>
      </c>
      <c r="HCF28" s="256" t="s">
        <v>78</v>
      </c>
      <c r="HCG28" s="256" t="s">
        <v>79</v>
      </c>
      <c r="HCH28" s="256" t="s">
        <v>80</v>
      </c>
      <c r="HCI28" s="256" t="s">
        <v>81</v>
      </c>
      <c r="HCJ28" s="331"/>
      <c r="HCK28" s="290">
        <v>45492</v>
      </c>
      <c r="HCL28" s="339" t="s">
        <v>141</v>
      </c>
      <c r="HCM28" s="305"/>
      <c r="HCN28" s="305">
        <v>1</v>
      </c>
      <c r="HCO28" s="304">
        <f t="shared" ref="HCO28" si="781">EDATE(HCK28,HCN28)</f>
        <v>45523</v>
      </c>
      <c r="HCP28" s="340">
        <v>0</v>
      </c>
      <c r="HCQ28" s="320">
        <f t="shared" ref="HCQ28" ca="1" si="782">IF(HCR28&gt;=1,(HCP28/HCN28),0)</f>
        <v>0</v>
      </c>
      <c r="HCR28" s="292">
        <f t="shared" ref="HCR28" ca="1" si="783">HCO28-$G$5</f>
        <v>-591</v>
      </c>
      <c r="HCS28" s="259" t="s">
        <v>55</v>
      </c>
      <c r="HCT28" s="256" t="s">
        <v>76</v>
      </c>
      <c r="HCU28" s="256" t="s">
        <v>77</v>
      </c>
      <c r="HCV28" s="256" t="s">
        <v>78</v>
      </c>
      <c r="HCW28" s="256" t="s">
        <v>79</v>
      </c>
      <c r="HCX28" s="256" t="s">
        <v>80</v>
      </c>
      <c r="HCY28" s="256" t="s">
        <v>81</v>
      </c>
      <c r="HCZ28" s="331"/>
      <c r="HDA28" s="290">
        <v>45492</v>
      </c>
      <c r="HDB28" s="339" t="s">
        <v>141</v>
      </c>
      <c r="HDC28" s="305"/>
      <c r="HDD28" s="305">
        <v>1</v>
      </c>
      <c r="HDE28" s="304">
        <f t="shared" ref="HDE28" si="784">EDATE(HDA28,HDD28)</f>
        <v>45523</v>
      </c>
      <c r="HDF28" s="340">
        <v>0</v>
      </c>
      <c r="HDG28" s="320">
        <f t="shared" ref="HDG28" ca="1" si="785">IF(HDH28&gt;=1,(HDF28/HDD28),0)</f>
        <v>0</v>
      </c>
      <c r="HDH28" s="292">
        <f t="shared" ref="HDH28" ca="1" si="786">HDE28-$G$5</f>
        <v>-591</v>
      </c>
      <c r="HDI28" s="259" t="s">
        <v>55</v>
      </c>
      <c r="HDJ28" s="256" t="s">
        <v>76</v>
      </c>
      <c r="HDK28" s="256" t="s">
        <v>77</v>
      </c>
      <c r="HDL28" s="256" t="s">
        <v>78</v>
      </c>
      <c r="HDM28" s="256" t="s">
        <v>79</v>
      </c>
      <c r="HDN28" s="256" t="s">
        <v>80</v>
      </c>
      <c r="HDO28" s="256" t="s">
        <v>81</v>
      </c>
      <c r="HDP28" s="331"/>
      <c r="HDQ28" s="290">
        <v>45492</v>
      </c>
      <c r="HDR28" s="339" t="s">
        <v>141</v>
      </c>
      <c r="HDS28" s="305"/>
      <c r="HDT28" s="305">
        <v>1</v>
      </c>
      <c r="HDU28" s="304">
        <f t="shared" ref="HDU28" si="787">EDATE(HDQ28,HDT28)</f>
        <v>45523</v>
      </c>
      <c r="HDV28" s="340">
        <v>0</v>
      </c>
      <c r="HDW28" s="320">
        <f t="shared" ref="HDW28" ca="1" si="788">IF(HDX28&gt;=1,(HDV28/HDT28),0)</f>
        <v>0</v>
      </c>
      <c r="HDX28" s="292">
        <f t="shared" ref="HDX28" ca="1" si="789">HDU28-$G$5</f>
        <v>-591</v>
      </c>
      <c r="HDY28" s="259" t="s">
        <v>55</v>
      </c>
      <c r="HDZ28" s="256" t="s">
        <v>76</v>
      </c>
      <c r="HEA28" s="256" t="s">
        <v>77</v>
      </c>
      <c r="HEB28" s="256" t="s">
        <v>78</v>
      </c>
      <c r="HEC28" s="256" t="s">
        <v>79</v>
      </c>
      <c r="HED28" s="256" t="s">
        <v>80</v>
      </c>
      <c r="HEE28" s="256" t="s">
        <v>81</v>
      </c>
      <c r="HEF28" s="331"/>
      <c r="HEG28" s="290">
        <v>45492</v>
      </c>
      <c r="HEH28" s="339" t="s">
        <v>141</v>
      </c>
      <c r="HEI28" s="305"/>
      <c r="HEJ28" s="305">
        <v>1</v>
      </c>
      <c r="HEK28" s="304">
        <f t="shared" ref="HEK28" si="790">EDATE(HEG28,HEJ28)</f>
        <v>45523</v>
      </c>
      <c r="HEL28" s="340">
        <v>0</v>
      </c>
      <c r="HEM28" s="320">
        <f t="shared" ref="HEM28" ca="1" si="791">IF(HEN28&gt;=1,(HEL28/HEJ28),0)</f>
        <v>0</v>
      </c>
      <c r="HEN28" s="292">
        <f t="shared" ref="HEN28" ca="1" si="792">HEK28-$G$5</f>
        <v>-591</v>
      </c>
      <c r="HEO28" s="259" t="s">
        <v>55</v>
      </c>
      <c r="HEP28" s="256" t="s">
        <v>76</v>
      </c>
      <c r="HEQ28" s="256" t="s">
        <v>77</v>
      </c>
      <c r="HER28" s="256" t="s">
        <v>78</v>
      </c>
      <c r="HES28" s="256" t="s">
        <v>79</v>
      </c>
      <c r="HET28" s="256" t="s">
        <v>80</v>
      </c>
      <c r="HEU28" s="256" t="s">
        <v>81</v>
      </c>
      <c r="HEV28" s="331"/>
      <c r="HEW28" s="290">
        <v>45492</v>
      </c>
      <c r="HEX28" s="339" t="s">
        <v>141</v>
      </c>
      <c r="HEY28" s="305"/>
      <c r="HEZ28" s="305">
        <v>1</v>
      </c>
      <c r="HFA28" s="304">
        <f t="shared" ref="HFA28" si="793">EDATE(HEW28,HEZ28)</f>
        <v>45523</v>
      </c>
      <c r="HFB28" s="340">
        <v>0</v>
      </c>
      <c r="HFC28" s="320">
        <f t="shared" ref="HFC28" ca="1" si="794">IF(HFD28&gt;=1,(HFB28/HEZ28),0)</f>
        <v>0</v>
      </c>
      <c r="HFD28" s="292">
        <f t="shared" ref="HFD28" ca="1" si="795">HFA28-$G$5</f>
        <v>-591</v>
      </c>
      <c r="HFE28" s="259" t="s">
        <v>55</v>
      </c>
      <c r="HFF28" s="256" t="s">
        <v>76</v>
      </c>
      <c r="HFG28" s="256" t="s">
        <v>77</v>
      </c>
      <c r="HFH28" s="256" t="s">
        <v>78</v>
      </c>
      <c r="HFI28" s="256" t="s">
        <v>79</v>
      </c>
      <c r="HFJ28" s="256" t="s">
        <v>80</v>
      </c>
      <c r="HFK28" s="256" t="s">
        <v>81</v>
      </c>
      <c r="HFL28" s="331"/>
      <c r="HFM28" s="290">
        <v>45492</v>
      </c>
      <c r="HFN28" s="339" t="s">
        <v>141</v>
      </c>
      <c r="HFO28" s="305"/>
      <c r="HFP28" s="305">
        <v>1</v>
      </c>
      <c r="HFQ28" s="304">
        <f t="shared" ref="HFQ28" si="796">EDATE(HFM28,HFP28)</f>
        <v>45523</v>
      </c>
      <c r="HFR28" s="340">
        <v>0</v>
      </c>
      <c r="HFS28" s="320">
        <f t="shared" ref="HFS28" ca="1" si="797">IF(HFT28&gt;=1,(HFR28/HFP28),0)</f>
        <v>0</v>
      </c>
      <c r="HFT28" s="292">
        <f t="shared" ref="HFT28" ca="1" si="798">HFQ28-$G$5</f>
        <v>-591</v>
      </c>
      <c r="HFU28" s="259" t="s">
        <v>55</v>
      </c>
      <c r="HFV28" s="256" t="s">
        <v>76</v>
      </c>
      <c r="HFW28" s="256" t="s">
        <v>77</v>
      </c>
      <c r="HFX28" s="256" t="s">
        <v>78</v>
      </c>
      <c r="HFY28" s="256" t="s">
        <v>79</v>
      </c>
      <c r="HFZ28" s="256" t="s">
        <v>80</v>
      </c>
      <c r="HGA28" s="256" t="s">
        <v>81</v>
      </c>
      <c r="HGB28" s="331"/>
      <c r="HGC28" s="290">
        <v>45492</v>
      </c>
      <c r="HGD28" s="339" t="s">
        <v>141</v>
      </c>
      <c r="HGE28" s="305"/>
      <c r="HGF28" s="305">
        <v>1</v>
      </c>
      <c r="HGG28" s="304">
        <f t="shared" ref="HGG28" si="799">EDATE(HGC28,HGF28)</f>
        <v>45523</v>
      </c>
      <c r="HGH28" s="340">
        <v>0</v>
      </c>
      <c r="HGI28" s="320">
        <f t="shared" ref="HGI28" ca="1" si="800">IF(HGJ28&gt;=1,(HGH28/HGF28),0)</f>
        <v>0</v>
      </c>
      <c r="HGJ28" s="292">
        <f t="shared" ref="HGJ28" ca="1" si="801">HGG28-$G$5</f>
        <v>-591</v>
      </c>
      <c r="HGK28" s="259" t="s">
        <v>55</v>
      </c>
      <c r="HGL28" s="256" t="s">
        <v>76</v>
      </c>
      <c r="HGM28" s="256" t="s">
        <v>77</v>
      </c>
      <c r="HGN28" s="256" t="s">
        <v>78</v>
      </c>
      <c r="HGO28" s="256" t="s">
        <v>79</v>
      </c>
      <c r="HGP28" s="256" t="s">
        <v>80</v>
      </c>
      <c r="HGQ28" s="256" t="s">
        <v>81</v>
      </c>
      <c r="HGR28" s="331"/>
      <c r="HGS28" s="290">
        <v>45492</v>
      </c>
      <c r="HGT28" s="339" t="s">
        <v>141</v>
      </c>
      <c r="HGU28" s="305"/>
      <c r="HGV28" s="305">
        <v>1</v>
      </c>
      <c r="HGW28" s="304">
        <f t="shared" ref="HGW28" si="802">EDATE(HGS28,HGV28)</f>
        <v>45523</v>
      </c>
      <c r="HGX28" s="340">
        <v>0</v>
      </c>
      <c r="HGY28" s="320">
        <f t="shared" ref="HGY28" ca="1" si="803">IF(HGZ28&gt;=1,(HGX28/HGV28),0)</f>
        <v>0</v>
      </c>
      <c r="HGZ28" s="292">
        <f t="shared" ref="HGZ28" ca="1" si="804">HGW28-$G$5</f>
        <v>-591</v>
      </c>
      <c r="HHA28" s="259" t="s">
        <v>55</v>
      </c>
      <c r="HHB28" s="256" t="s">
        <v>76</v>
      </c>
      <c r="HHC28" s="256" t="s">
        <v>77</v>
      </c>
      <c r="HHD28" s="256" t="s">
        <v>78</v>
      </c>
      <c r="HHE28" s="256" t="s">
        <v>79</v>
      </c>
      <c r="HHF28" s="256" t="s">
        <v>80</v>
      </c>
      <c r="HHG28" s="256" t="s">
        <v>81</v>
      </c>
      <c r="HHH28" s="331"/>
      <c r="HHI28" s="290">
        <v>45492</v>
      </c>
      <c r="HHJ28" s="339" t="s">
        <v>141</v>
      </c>
      <c r="HHK28" s="305"/>
      <c r="HHL28" s="305">
        <v>1</v>
      </c>
      <c r="HHM28" s="304">
        <f t="shared" ref="HHM28" si="805">EDATE(HHI28,HHL28)</f>
        <v>45523</v>
      </c>
      <c r="HHN28" s="340">
        <v>0</v>
      </c>
      <c r="HHO28" s="320">
        <f t="shared" ref="HHO28" ca="1" si="806">IF(HHP28&gt;=1,(HHN28/HHL28),0)</f>
        <v>0</v>
      </c>
      <c r="HHP28" s="292">
        <f t="shared" ref="HHP28" ca="1" si="807">HHM28-$G$5</f>
        <v>-591</v>
      </c>
      <c r="HHQ28" s="259" t="s">
        <v>55</v>
      </c>
      <c r="HHR28" s="256" t="s">
        <v>76</v>
      </c>
      <c r="HHS28" s="256" t="s">
        <v>77</v>
      </c>
      <c r="HHT28" s="256" t="s">
        <v>78</v>
      </c>
      <c r="HHU28" s="256" t="s">
        <v>79</v>
      </c>
      <c r="HHV28" s="256" t="s">
        <v>80</v>
      </c>
      <c r="HHW28" s="256" t="s">
        <v>81</v>
      </c>
      <c r="HHX28" s="331"/>
      <c r="HHY28" s="290">
        <v>45492</v>
      </c>
      <c r="HHZ28" s="339" t="s">
        <v>141</v>
      </c>
      <c r="HIA28" s="305"/>
      <c r="HIB28" s="305">
        <v>1</v>
      </c>
      <c r="HIC28" s="304">
        <f t="shared" ref="HIC28" si="808">EDATE(HHY28,HIB28)</f>
        <v>45523</v>
      </c>
      <c r="HID28" s="340">
        <v>0</v>
      </c>
      <c r="HIE28" s="320">
        <f t="shared" ref="HIE28" ca="1" si="809">IF(HIF28&gt;=1,(HID28/HIB28),0)</f>
        <v>0</v>
      </c>
      <c r="HIF28" s="292">
        <f t="shared" ref="HIF28" ca="1" si="810">HIC28-$G$5</f>
        <v>-591</v>
      </c>
      <c r="HIG28" s="259" t="s">
        <v>55</v>
      </c>
      <c r="HIH28" s="256" t="s">
        <v>76</v>
      </c>
      <c r="HII28" s="256" t="s">
        <v>77</v>
      </c>
      <c r="HIJ28" s="256" t="s">
        <v>78</v>
      </c>
      <c r="HIK28" s="256" t="s">
        <v>79</v>
      </c>
      <c r="HIL28" s="256" t="s">
        <v>80</v>
      </c>
      <c r="HIM28" s="256" t="s">
        <v>81</v>
      </c>
      <c r="HIN28" s="331"/>
      <c r="HIO28" s="290">
        <v>45492</v>
      </c>
      <c r="HIP28" s="339" t="s">
        <v>141</v>
      </c>
      <c r="HIQ28" s="305"/>
      <c r="HIR28" s="305">
        <v>1</v>
      </c>
      <c r="HIS28" s="304">
        <f t="shared" ref="HIS28" si="811">EDATE(HIO28,HIR28)</f>
        <v>45523</v>
      </c>
      <c r="HIT28" s="340">
        <v>0</v>
      </c>
      <c r="HIU28" s="320">
        <f t="shared" ref="HIU28" ca="1" si="812">IF(HIV28&gt;=1,(HIT28/HIR28),0)</f>
        <v>0</v>
      </c>
      <c r="HIV28" s="292">
        <f t="shared" ref="HIV28" ca="1" si="813">HIS28-$G$5</f>
        <v>-591</v>
      </c>
      <c r="HIW28" s="259" t="s">
        <v>55</v>
      </c>
      <c r="HIX28" s="256" t="s">
        <v>76</v>
      </c>
      <c r="HIY28" s="256" t="s">
        <v>77</v>
      </c>
      <c r="HIZ28" s="256" t="s">
        <v>78</v>
      </c>
      <c r="HJA28" s="256" t="s">
        <v>79</v>
      </c>
      <c r="HJB28" s="256" t="s">
        <v>80</v>
      </c>
      <c r="HJC28" s="256" t="s">
        <v>81</v>
      </c>
      <c r="HJD28" s="331"/>
      <c r="HJE28" s="290">
        <v>45492</v>
      </c>
      <c r="HJF28" s="339" t="s">
        <v>141</v>
      </c>
      <c r="HJG28" s="305"/>
      <c r="HJH28" s="305">
        <v>1</v>
      </c>
      <c r="HJI28" s="304">
        <f t="shared" ref="HJI28" si="814">EDATE(HJE28,HJH28)</f>
        <v>45523</v>
      </c>
      <c r="HJJ28" s="340">
        <v>0</v>
      </c>
      <c r="HJK28" s="320">
        <f t="shared" ref="HJK28" ca="1" si="815">IF(HJL28&gt;=1,(HJJ28/HJH28),0)</f>
        <v>0</v>
      </c>
      <c r="HJL28" s="292">
        <f t="shared" ref="HJL28" ca="1" si="816">HJI28-$G$5</f>
        <v>-591</v>
      </c>
      <c r="HJM28" s="259" t="s">
        <v>55</v>
      </c>
      <c r="HJN28" s="256" t="s">
        <v>76</v>
      </c>
      <c r="HJO28" s="256" t="s">
        <v>77</v>
      </c>
      <c r="HJP28" s="256" t="s">
        <v>78</v>
      </c>
      <c r="HJQ28" s="256" t="s">
        <v>79</v>
      </c>
      <c r="HJR28" s="256" t="s">
        <v>80</v>
      </c>
      <c r="HJS28" s="256" t="s">
        <v>81</v>
      </c>
      <c r="HJT28" s="331"/>
      <c r="HJU28" s="290">
        <v>45492</v>
      </c>
      <c r="HJV28" s="339" t="s">
        <v>141</v>
      </c>
      <c r="HJW28" s="305"/>
      <c r="HJX28" s="305">
        <v>1</v>
      </c>
      <c r="HJY28" s="304">
        <f t="shared" ref="HJY28" si="817">EDATE(HJU28,HJX28)</f>
        <v>45523</v>
      </c>
      <c r="HJZ28" s="340">
        <v>0</v>
      </c>
      <c r="HKA28" s="320">
        <f t="shared" ref="HKA28" ca="1" si="818">IF(HKB28&gt;=1,(HJZ28/HJX28),0)</f>
        <v>0</v>
      </c>
      <c r="HKB28" s="292">
        <f t="shared" ref="HKB28" ca="1" si="819">HJY28-$G$5</f>
        <v>-591</v>
      </c>
      <c r="HKC28" s="259" t="s">
        <v>55</v>
      </c>
      <c r="HKD28" s="256" t="s">
        <v>76</v>
      </c>
      <c r="HKE28" s="256" t="s">
        <v>77</v>
      </c>
      <c r="HKF28" s="256" t="s">
        <v>78</v>
      </c>
      <c r="HKG28" s="256" t="s">
        <v>79</v>
      </c>
      <c r="HKH28" s="256" t="s">
        <v>80</v>
      </c>
      <c r="HKI28" s="256" t="s">
        <v>81</v>
      </c>
      <c r="HKJ28" s="331"/>
      <c r="HKK28" s="290">
        <v>45492</v>
      </c>
      <c r="HKL28" s="339" t="s">
        <v>141</v>
      </c>
      <c r="HKM28" s="305"/>
      <c r="HKN28" s="305">
        <v>1</v>
      </c>
      <c r="HKO28" s="304">
        <f t="shared" ref="HKO28" si="820">EDATE(HKK28,HKN28)</f>
        <v>45523</v>
      </c>
      <c r="HKP28" s="340">
        <v>0</v>
      </c>
      <c r="HKQ28" s="320">
        <f t="shared" ref="HKQ28" ca="1" si="821">IF(HKR28&gt;=1,(HKP28/HKN28),0)</f>
        <v>0</v>
      </c>
      <c r="HKR28" s="292">
        <f t="shared" ref="HKR28" ca="1" si="822">HKO28-$G$5</f>
        <v>-591</v>
      </c>
      <c r="HKS28" s="259" t="s">
        <v>55</v>
      </c>
      <c r="HKT28" s="256" t="s">
        <v>76</v>
      </c>
      <c r="HKU28" s="256" t="s">
        <v>77</v>
      </c>
      <c r="HKV28" s="256" t="s">
        <v>78</v>
      </c>
      <c r="HKW28" s="256" t="s">
        <v>79</v>
      </c>
      <c r="HKX28" s="256" t="s">
        <v>80</v>
      </c>
      <c r="HKY28" s="256" t="s">
        <v>81</v>
      </c>
      <c r="HKZ28" s="331"/>
      <c r="HLA28" s="290">
        <v>45492</v>
      </c>
      <c r="HLB28" s="339" t="s">
        <v>141</v>
      </c>
      <c r="HLC28" s="305"/>
      <c r="HLD28" s="305">
        <v>1</v>
      </c>
      <c r="HLE28" s="304">
        <f t="shared" ref="HLE28" si="823">EDATE(HLA28,HLD28)</f>
        <v>45523</v>
      </c>
      <c r="HLF28" s="340">
        <v>0</v>
      </c>
      <c r="HLG28" s="320">
        <f t="shared" ref="HLG28" ca="1" si="824">IF(HLH28&gt;=1,(HLF28/HLD28),0)</f>
        <v>0</v>
      </c>
      <c r="HLH28" s="292">
        <f t="shared" ref="HLH28" ca="1" si="825">HLE28-$G$5</f>
        <v>-591</v>
      </c>
      <c r="HLI28" s="259" t="s">
        <v>55</v>
      </c>
      <c r="HLJ28" s="256" t="s">
        <v>76</v>
      </c>
      <c r="HLK28" s="256" t="s">
        <v>77</v>
      </c>
      <c r="HLL28" s="256" t="s">
        <v>78</v>
      </c>
      <c r="HLM28" s="256" t="s">
        <v>79</v>
      </c>
      <c r="HLN28" s="256" t="s">
        <v>80</v>
      </c>
      <c r="HLO28" s="256" t="s">
        <v>81</v>
      </c>
      <c r="HLP28" s="331"/>
      <c r="HLQ28" s="290">
        <v>45492</v>
      </c>
      <c r="HLR28" s="339" t="s">
        <v>141</v>
      </c>
      <c r="HLS28" s="305"/>
      <c r="HLT28" s="305">
        <v>1</v>
      </c>
      <c r="HLU28" s="304">
        <f t="shared" ref="HLU28" si="826">EDATE(HLQ28,HLT28)</f>
        <v>45523</v>
      </c>
      <c r="HLV28" s="340">
        <v>0</v>
      </c>
      <c r="HLW28" s="320">
        <f t="shared" ref="HLW28" ca="1" si="827">IF(HLX28&gt;=1,(HLV28/HLT28),0)</f>
        <v>0</v>
      </c>
      <c r="HLX28" s="292">
        <f t="shared" ref="HLX28" ca="1" si="828">HLU28-$G$5</f>
        <v>-591</v>
      </c>
      <c r="HLY28" s="259" t="s">
        <v>55</v>
      </c>
      <c r="HLZ28" s="256" t="s">
        <v>76</v>
      </c>
      <c r="HMA28" s="256" t="s">
        <v>77</v>
      </c>
      <c r="HMB28" s="256" t="s">
        <v>78</v>
      </c>
      <c r="HMC28" s="256" t="s">
        <v>79</v>
      </c>
      <c r="HMD28" s="256" t="s">
        <v>80</v>
      </c>
      <c r="HME28" s="256" t="s">
        <v>81</v>
      </c>
      <c r="HMF28" s="331"/>
      <c r="HMG28" s="290">
        <v>45492</v>
      </c>
      <c r="HMH28" s="339" t="s">
        <v>141</v>
      </c>
      <c r="HMI28" s="305"/>
      <c r="HMJ28" s="305">
        <v>1</v>
      </c>
      <c r="HMK28" s="304">
        <f t="shared" ref="HMK28" si="829">EDATE(HMG28,HMJ28)</f>
        <v>45523</v>
      </c>
      <c r="HML28" s="340">
        <v>0</v>
      </c>
      <c r="HMM28" s="320">
        <f t="shared" ref="HMM28" ca="1" si="830">IF(HMN28&gt;=1,(HML28/HMJ28),0)</f>
        <v>0</v>
      </c>
      <c r="HMN28" s="292">
        <f t="shared" ref="HMN28" ca="1" si="831">HMK28-$G$5</f>
        <v>-591</v>
      </c>
      <c r="HMO28" s="259" t="s">
        <v>55</v>
      </c>
      <c r="HMP28" s="256" t="s">
        <v>76</v>
      </c>
      <c r="HMQ28" s="256" t="s">
        <v>77</v>
      </c>
      <c r="HMR28" s="256" t="s">
        <v>78</v>
      </c>
      <c r="HMS28" s="256" t="s">
        <v>79</v>
      </c>
      <c r="HMT28" s="256" t="s">
        <v>80</v>
      </c>
      <c r="HMU28" s="256" t="s">
        <v>81</v>
      </c>
      <c r="HMV28" s="331"/>
      <c r="HMW28" s="290">
        <v>45492</v>
      </c>
      <c r="HMX28" s="339" t="s">
        <v>141</v>
      </c>
      <c r="HMY28" s="305"/>
      <c r="HMZ28" s="305">
        <v>1</v>
      </c>
      <c r="HNA28" s="304">
        <f t="shared" ref="HNA28" si="832">EDATE(HMW28,HMZ28)</f>
        <v>45523</v>
      </c>
      <c r="HNB28" s="340">
        <v>0</v>
      </c>
      <c r="HNC28" s="320">
        <f t="shared" ref="HNC28" ca="1" si="833">IF(HND28&gt;=1,(HNB28/HMZ28),0)</f>
        <v>0</v>
      </c>
      <c r="HND28" s="292">
        <f t="shared" ref="HND28" ca="1" si="834">HNA28-$G$5</f>
        <v>-591</v>
      </c>
      <c r="HNE28" s="259" t="s">
        <v>55</v>
      </c>
      <c r="HNF28" s="256" t="s">
        <v>76</v>
      </c>
      <c r="HNG28" s="256" t="s">
        <v>77</v>
      </c>
      <c r="HNH28" s="256" t="s">
        <v>78</v>
      </c>
      <c r="HNI28" s="256" t="s">
        <v>79</v>
      </c>
      <c r="HNJ28" s="256" t="s">
        <v>80</v>
      </c>
      <c r="HNK28" s="256" t="s">
        <v>81</v>
      </c>
      <c r="HNL28" s="331"/>
      <c r="HNM28" s="290">
        <v>45492</v>
      </c>
      <c r="HNN28" s="339" t="s">
        <v>141</v>
      </c>
      <c r="HNO28" s="305"/>
      <c r="HNP28" s="305">
        <v>1</v>
      </c>
      <c r="HNQ28" s="304">
        <f t="shared" ref="HNQ28" si="835">EDATE(HNM28,HNP28)</f>
        <v>45523</v>
      </c>
      <c r="HNR28" s="340">
        <v>0</v>
      </c>
      <c r="HNS28" s="320">
        <f t="shared" ref="HNS28" ca="1" si="836">IF(HNT28&gt;=1,(HNR28/HNP28),0)</f>
        <v>0</v>
      </c>
      <c r="HNT28" s="292">
        <f t="shared" ref="HNT28" ca="1" si="837">HNQ28-$G$5</f>
        <v>-591</v>
      </c>
      <c r="HNU28" s="259" t="s">
        <v>55</v>
      </c>
      <c r="HNV28" s="256" t="s">
        <v>76</v>
      </c>
      <c r="HNW28" s="256" t="s">
        <v>77</v>
      </c>
      <c r="HNX28" s="256" t="s">
        <v>78</v>
      </c>
      <c r="HNY28" s="256" t="s">
        <v>79</v>
      </c>
      <c r="HNZ28" s="256" t="s">
        <v>80</v>
      </c>
      <c r="HOA28" s="256" t="s">
        <v>81</v>
      </c>
      <c r="HOB28" s="331"/>
      <c r="HOC28" s="290">
        <v>45492</v>
      </c>
      <c r="HOD28" s="339" t="s">
        <v>141</v>
      </c>
      <c r="HOE28" s="305"/>
      <c r="HOF28" s="305">
        <v>1</v>
      </c>
      <c r="HOG28" s="304">
        <f t="shared" ref="HOG28" si="838">EDATE(HOC28,HOF28)</f>
        <v>45523</v>
      </c>
      <c r="HOH28" s="340">
        <v>0</v>
      </c>
      <c r="HOI28" s="320">
        <f t="shared" ref="HOI28" ca="1" si="839">IF(HOJ28&gt;=1,(HOH28/HOF28),0)</f>
        <v>0</v>
      </c>
      <c r="HOJ28" s="292">
        <f t="shared" ref="HOJ28" ca="1" si="840">HOG28-$G$5</f>
        <v>-591</v>
      </c>
      <c r="HOK28" s="259" t="s">
        <v>55</v>
      </c>
      <c r="HOL28" s="256" t="s">
        <v>76</v>
      </c>
      <c r="HOM28" s="256" t="s">
        <v>77</v>
      </c>
      <c r="HON28" s="256" t="s">
        <v>78</v>
      </c>
      <c r="HOO28" s="256" t="s">
        <v>79</v>
      </c>
      <c r="HOP28" s="256" t="s">
        <v>80</v>
      </c>
      <c r="HOQ28" s="256" t="s">
        <v>81</v>
      </c>
      <c r="HOR28" s="331"/>
      <c r="HOS28" s="290">
        <v>45492</v>
      </c>
      <c r="HOT28" s="339" t="s">
        <v>141</v>
      </c>
      <c r="HOU28" s="305"/>
      <c r="HOV28" s="305">
        <v>1</v>
      </c>
      <c r="HOW28" s="304">
        <f t="shared" ref="HOW28" si="841">EDATE(HOS28,HOV28)</f>
        <v>45523</v>
      </c>
      <c r="HOX28" s="340">
        <v>0</v>
      </c>
      <c r="HOY28" s="320">
        <f t="shared" ref="HOY28" ca="1" si="842">IF(HOZ28&gt;=1,(HOX28/HOV28),0)</f>
        <v>0</v>
      </c>
      <c r="HOZ28" s="292">
        <f t="shared" ref="HOZ28" ca="1" si="843">HOW28-$G$5</f>
        <v>-591</v>
      </c>
      <c r="HPA28" s="259" t="s">
        <v>55</v>
      </c>
      <c r="HPB28" s="256" t="s">
        <v>76</v>
      </c>
      <c r="HPC28" s="256" t="s">
        <v>77</v>
      </c>
      <c r="HPD28" s="256" t="s">
        <v>78</v>
      </c>
      <c r="HPE28" s="256" t="s">
        <v>79</v>
      </c>
      <c r="HPF28" s="256" t="s">
        <v>80</v>
      </c>
      <c r="HPG28" s="256" t="s">
        <v>81</v>
      </c>
      <c r="HPH28" s="331"/>
      <c r="HPI28" s="290">
        <v>45492</v>
      </c>
      <c r="HPJ28" s="339" t="s">
        <v>141</v>
      </c>
      <c r="HPK28" s="305"/>
      <c r="HPL28" s="305">
        <v>1</v>
      </c>
      <c r="HPM28" s="304">
        <f t="shared" ref="HPM28" si="844">EDATE(HPI28,HPL28)</f>
        <v>45523</v>
      </c>
      <c r="HPN28" s="340">
        <v>0</v>
      </c>
      <c r="HPO28" s="320">
        <f t="shared" ref="HPO28" ca="1" si="845">IF(HPP28&gt;=1,(HPN28/HPL28),0)</f>
        <v>0</v>
      </c>
      <c r="HPP28" s="292">
        <f t="shared" ref="HPP28" ca="1" si="846">HPM28-$G$5</f>
        <v>-591</v>
      </c>
      <c r="HPQ28" s="259" t="s">
        <v>55</v>
      </c>
      <c r="HPR28" s="256" t="s">
        <v>76</v>
      </c>
      <c r="HPS28" s="256" t="s">
        <v>77</v>
      </c>
      <c r="HPT28" s="256" t="s">
        <v>78</v>
      </c>
      <c r="HPU28" s="256" t="s">
        <v>79</v>
      </c>
      <c r="HPV28" s="256" t="s">
        <v>80</v>
      </c>
      <c r="HPW28" s="256" t="s">
        <v>81</v>
      </c>
      <c r="HPX28" s="331"/>
      <c r="HPY28" s="290">
        <v>45492</v>
      </c>
      <c r="HPZ28" s="339" t="s">
        <v>141</v>
      </c>
      <c r="HQA28" s="305"/>
      <c r="HQB28" s="305">
        <v>1</v>
      </c>
      <c r="HQC28" s="304">
        <f t="shared" ref="HQC28" si="847">EDATE(HPY28,HQB28)</f>
        <v>45523</v>
      </c>
      <c r="HQD28" s="340">
        <v>0</v>
      </c>
      <c r="HQE28" s="320">
        <f t="shared" ref="HQE28" ca="1" si="848">IF(HQF28&gt;=1,(HQD28/HQB28),0)</f>
        <v>0</v>
      </c>
      <c r="HQF28" s="292">
        <f t="shared" ref="HQF28" ca="1" si="849">HQC28-$G$5</f>
        <v>-591</v>
      </c>
      <c r="HQG28" s="259" t="s">
        <v>55</v>
      </c>
      <c r="HQH28" s="256" t="s">
        <v>76</v>
      </c>
      <c r="HQI28" s="256" t="s">
        <v>77</v>
      </c>
      <c r="HQJ28" s="256" t="s">
        <v>78</v>
      </c>
      <c r="HQK28" s="256" t="s">
        <v>79</v>
      </c>
      <c r="HQL28" s="256" t="s">
        <v>80</v>
      </c>
      <c r="HQM28" s="256" t="s">
        <v>81</v>
      </c>
      <c r="HQN28" s="331"/>
      <c r="HQO28" s="290">
        <v>45492</v>
      </c>
      <c r="HQP28" s="339" t="s">
        <v>141</v>
      </c>
      <c r="HQQ28" s="305"/>
      <c r="HQR28" s="305">
        <v>1</v>
      </c>
      <c r="HQS28" s="304">
        <f t="shared" ref="HQS28" si="850">EDATE(HQO28,HQR28)</f>
        <v>45523</v>
      </c>
      <c r="HQT28" s="340">
        <v>0</v>
      </c>
      <c r="HQU28" s="320">
        <f t="shared" ref="HQU28" ca="1" si="851">IF(HQV28&gt;=1,(HQT28/HQR28),0)</f>
        <v>0</v>
      </c>
      <c r="HQV28" s="292">
        <f t="shared" ref="HQV28" ca="1" si="852">HQS28-$G$5</f>
        <v>-591</v>
      </c>
      <c r="HQW28" s="259" t="s">
        <v>55</v>
      </c>
      <c r="HQX28" s="256" t="s">
        <v>76</v>
      </c>
      <c r="HQY28" s="256" t="s">
        <v>77</v>
      </c>
      <c r="HQZ28" s="256" t="s">
        <v>78</v>
      </c>
      <c r="HRA28" s="256" t="s">
        <v>79</v>
      </c>
      <c r="HRB28" s="256" t="s">
        <v>80</v>
      </c>
      <c r="HRC28" s="256" t="s">
        <v>81</v>
      </c>
      <c r="HRD28" s="331"/>
      <c r="HRE28" s="290">
        <v>45492</v>
      </c>
      <c r="HRF28" s="339" t="s">
        <v>141</v>
      </c>
      <c r="HRG28" s="305"/>
      <c r="HRH28" s="305">
        <v>1</v>
      </c>
      <c r="HRI28" s="304">
        <f t="shared" ref="HRI28" si="853">EDATE(HRE28,HRH28)</f>
        <v>45523</v>
      </c>
      <c r="HRJ28" s="340">
        <v>0</v>
      </c>
      <c r="HRK28" s="320">
        <f t="shared" ref="HRK28" ca="1" si="854">IF(HRL28&gt;=1,(HRJ28/HRH28),0)</f>
        <v>0</v>
      </c>
      <c r="HRL28" s="292">
        <f t="shared" ref="HRL28" ca="1" si="855">HRI28-$G$5</f>
        <v>-591</v>
      </c>
      <c r="HRM28" s="259" t="s">
        <v>55</v>
      </c>
      <c r="HRN28" s="256" t="s">
        <v>76</v>
      </c>
      <c r="HRO28" s="256" t="s">
        <v>77</v>
      </c>
      <c r="HRP28" s="256" t="s">
        <v>78</v>
      </c>
      <c r="HRQ28" s="256" t="s">
        <v>79</v>
      </c>
      <c r="HRR28" s="256" t="s">
        <v>80</v>
      </c>
      <c r="HRS28" s="256" t="s">
        <v>81</v>
      </c>
      <c r="HRT28" s="331"/>
      <c r="HRU28" s="290">
        <v>45492</v>
      </c>
      <c r="HRV28" s="339" t="s">
        <v>141</v>
      </c>
      <c r="HRW28" s="305"/>
      <c r="HRX28" s="305">
        <v>1</v>
      </c>
      <c r="HRY28" s="304">
        <f t="shared" ref="HRY28" si="856">EDATE(HRU28,HRX28)</f>
        <v>45523</v>
      </c>
      <c r="HRZ28" s="340">
        <v>0</v>
      </c>
      <c r="HSA28" s="320">
        <f t="shared" ref="HSA28" ca="1" si="857">IF(HSB28&gt;=1,(HRZ28/HRX28),0)</f>
        <v>0</v>
      </c>
      <c r="HSB28" s="292">
        <f t="shared" ref="HSB28" ca="1" si="858">HRY28-$G$5</f>
        <v>-591</v>
      </c>
      <c r="HSC28" s="259" t="s">
        <v>55</v>
      </c>
      <c r="HSD28" s="256" t="s">
        <v>76</v>
      </c>
      <c r="HSE28" s="256" t="s">
        <v>77</v>
      </c>
      <c r="HSF28" s="256" t="s">
        <v>78</v>
      </c>
      <c r="HSG28" s="256" t="s">
        <v>79</v>
      </c>
      <c r="HSH28" s="256" t="s">
        <v>80</v>
      </c>
      <c r="HSI28" s="256" t="s">
        <v>81</v>
      </c>
      <c r="HSJ28" s="331"/>
      <c r="HSK28" s="290">
        <v>45492</v>
      </c>
      <c r="HSL28" s="339" t="s">
        <v>141</v>
      </c>
      <c r="HSM28" s="305"/>
      <c r="HSN28" s="305">
        <v>1</v>
      </c>
      <c r="HSO28" s="304">
        <f t="shared" ref="HSO28" si="859">EDATE(HSK28,HSN28)</f>
        <v>45523</v>
      </c>
      <c r="HSP28" s="340">
        <v>0</v>
      </c>
      <c r="HSQ28" s="320">
        <f t="shared" ref="HSQ28" ca="1" si="860">IF(HSR28&gt;=1,(HSP28/HSN28),0)</f>
        <v>0</v>
      </c>
      <c r="HSR28" s="292">
        <f t="shared" ref="HSR28" ca="1" si="861">HSO28-$G$5</f>
        <v>-591</v>
      </c>
      <c r="HSS28" s="259" t="s">
        <v>55</v>
      </c>
      <c r="HST28" s="256" t="s">
        <v>76</v>
      </c>
      <c r="HSU28" s="256" t="s">
        <v>77</v>
      </c>
      <c r="HSV28" s="256" t="s">
        <v>78</v>
      </c>
      <c r="HSW28" s="256" t="s">
        <v>79</v>
      </c>
      <c r="HSX28" s="256" t="s">
        <v>80</v>
      </c>
      <c r="HSY28" s="256" t="s">
        <v>81</v>
      </c>
      <c r="HSZ28" s="331"/>
      <c r="HTA28" s="290">
        <v>45492</v>
      </c>
      <c r="HTB28" s="339" t="s">
        <v>141</v>
      </c>
      <c r="HTC28" s="305"/>
      <c r="HTD28" s="305">
        <v>1</v>
      </c>
      <c r="HTE28" s="304">
        <f t="shared" ref="HTE28" si="862">EDATE(HTA28,HTD28)</f>
        <v>45523</v>
      </c>
      <c r="HTF28" s="340">
        <v>0</v>
      </c>
      <c r="HTG28" s="320">
        <f t="shared" ref="HTG28" ca="1" si="863">IF(HTH28&gt;=1,(HTF28/HTD28),0)</f>
        <v>0</v>
      </c>
      <c r="HTH28" s="292">
        <f t="shared" ref="HTH28" ca="1" si="864">HTE28-$G$5</f>
        <v>-591</v>
      </c>
      <c r="HTI28" s="259" t="s">
        <v>55</v>
      </c>
      <c r="HTJ28" s="256" t="s">
        <v>76</v>
      </c>
      <c r="HTK28" s="256" t="s">
        <v>77</v>
      </c>
      <c r="HTL28" s="256" t="s">
        <v>78</v>
      </c>
      <c r="HTM28" s="256" t="s">
        <v>79</v>
      </c>
      <c r="HTN28" s="256" t="s">
        <v>80</v>
      </c>
      <c r="HTO28" s="256" t="s">
        <v>81</v>
      </c>
      <c r="HTP28" s="331"/>
      <c r="HTQ28" s="290">
        <v>45492</v>
      </c>
      <c r="HTR28" s="339" t="s">
        <v>141</v>
      </c>
      <c r="HTS28" s="305"/>
      <c r="HTT28" s="305">
        <v>1</v>
      </c>
      <c r="HTU28" s="304">
        <f t="shared" ref="HTU28" si="865">EDATE(HTQ28,HTT28)</f>
        <v>45523</v>
      </c>
      <c r="HTV28" s="340">
        <v>0</v>
      </c>
      <c r="HTW28" s="320">
        <f t="shared" ref="HTW28" ca="1" si="866">IF(HTX28&gt;=1,(HTV28/HTT28),0)</f>
        <v>0</v>
      </c>
      <c r="HTX28" s="292">
        <f t="shared" ref="HTX28" ca="1" si="867">HTU28-$G$5</f>
        <v>-591</v>
      </c>
      <c r="HTY28" s="259" t="s">
        <v>55</v>
      </c>
      <c r="HTZ28" s="256" t="s">
        <v>76</v>
      </c>
      <c r="HUA28" s="256" t="s">
        <v>77</v>
      </c>
      <c r="HUB28" s="256" t="s">
        <v>78</v>
      </c>
      <c r="HUC28" s="256" t="s">
        <v>79</v>
      </c>
      <c r="HUD28" s="256" t="s">
        <v>80</v>
      </c>
      <c r="HUE28" s="256" t="s">
        <v>81</v>
      </c>
      <c r="HUF28" s="331"/>
      <c r="HUG28" s="290">
        <v>45492</v>
      </c>
      <c r="HUH28" s="339" t="s">
        <v>141</v>
      </c>
      <c r="HUI28" s="305"/>
      <c r="HUJ28" s="305">
        <v>1</v>
      </c>
      <c r="HUK28" s="304">
        <f t="shared" ref="HUK28" si="868">EDATE(HUG28,HUJ28)</f>
        <v>45523</v>
      </c>
      <c r="HUL28" s="340">
        <v>0</v>
      </c>
      <c r="HUM28" s="320">
        <f t="shared" ref="HUM28" ca="1" si="869">IF(HUN28&gt;=1,(HUL28/HUJ28),0)</f>
        <v>0</v>
      </c>
      <c r="HUN28" s="292">
        <f t="shared" ref="HUN28" ca="1" si="870">HUK28-$G$5</f>
        <v>-591</v>
      </c>
      <c r="HUO28" s="259" t="s">
        <v>55</v>
      </c>
      <c r="HUP28" s="256" t="s">
        <v>76</v>
      </c>
      <c r="HUQ28" s="256" t="s">
        <v>77</v>
      </c>
      <c r="HUR28" s="256" t="s">
        <v>78</v>
      </c>
      <c r="HUS28" s="256" t="s">
        <v>79</v>
      </c>
      <c r="HUT28" s="256" t="s">
        <v>80</v>
      </c>
      <c r="HUU28" s="256" t="s">
        <v>81</v>
      </c>
      <c r="HUV28" s="331"/>
      <c r="HUW28" s="290">
        <v>45492</v>
      </c>
      <c r="HUX28" s="339" t="s">
        <v>141</v>
      </c>
      <c r="HUY28" s="305"/>
      <c r="HUZ28" s="305">
        <v>1</v>
      </c>
      <c r="HVA28" s="304">
        <f t="shared" ref="HVA28" si="871">EDATE(HUW28,HUZ28)</f>
        <v>45523</v>
      </c>
      <c r="HVB28" s="340">
        <v>0</v>
      </c>
      <c r="HVC28" s="320">
        <f t="shared" ref="HVC28" ca="1" si="872">IF(HVD28&gt;=1,(HVB28/HUZ28),0)</f>
        <v>0</v>
      </c>
      <c r="HVD28" s="292">
        <f t="shared" ref="HVD28" ca="1" si="873">HVA28-$G$5</f>
        <v>-591</v>
      </c>
      <c r="HVE28" s="259" t="s">
        <v>55</v>
      </c>
      <c r="HVF28" s="256" t="s">
        <v>76</v>
      </c>
      <c r="HVG28" s="256" t="s">
        <v>77</v>
      </c>
      <c r="HVH28" s="256" t="s">
        <v>78</v>
      </c>
      <c r="HVI28" s="256" t="s">
        <v>79</v>
      </c>
      <c r="HVJ28" s="256" t="s">
        <v>80</v>
      </c>
      <c r="HVK28" s="256" t="s">
        <v>81</v>
      </c>
      <c r="HVL28" s="331"/>
      <c r="HVM28" s="290">
        <v>45492</v>
      </c>
      <c r="HVN28" s="339" t="s">
        <v>141</v>
      </c>
      <c r="HVO28" s="305"/>
      <c r="HVP28" s="305">
        <v>1</v>
      </c>
      <c r="HVQ28" s="304">
        <f t="shared" ref="HVQ28" si="874">EDATE(HVM28,HVP28)</f>
        <v>45523</v>
      </c>
      <c r="HVR28" s="340">
        <v>0</v>
      </c>
      <c r="HVS28" s="320">
        <f t="shared" ref="HVS28" ca="1" si="875">IF(HVT28&gt;=1,(HVR28/HVP28),0)</f>
        <v>0</v>
      </c>
      <c r="HVT28" s="292">
        <f t="shared" ref="HVT28" ca="1" si="876">HVQ28-$G$5</f>
        <v>-591</v>
      </c>
      <c r="HVU28" s="259" t="s">
        <v>55</v>
      </c>
      <c r="HVV28" s="256" t="s">
        <v>76</v>
      </c>
      <c r="HVW28" s="256" t="s">
        <v>77</v>
      </c>
      <c r="HVX28" s="256" t="s">
        <v>78</v>
      </c>
      <c r="HVY28" s="256" t="s">
        <v>79</v>
      </c>
      <c r="HVZ28" s="256" t="s">
        <v>80</v>
      </c>
      <c r="HWA28" s="256" t="s">
        <v>81</v>
      </c>
      <c r="HWB28" s="331"/>
      <c r="HWC28" s="290">
        <v>45492</v>
      </c>
      <c r="HWD28" s="339" t="s">
        <v>141</v>
      </c>
      <c r="HWE28" s="305"/>
      <c r="HWF28" s="305">
        <v>1</v>
      </c>
      <c r="HWG28" s="304">
        <f t="shared" ref="HWG28" si="877">EDATE(HWC28,HWF28)</f>
        <v>45523</v>
      </c>
      <c r="HWH28" s="340">
        <v>0</v>
      </c>
      <c r="HWI28" s="320">
        <f t="shared" ref="HWI28" ca="1" si="878">IF(HWJ28&gt;=1,(HWH28/HWF28),0)</f>
        <v>0</v>
      </c>
      <c r="HWJ28" s="292">
        <f t="shared" ref="HWJ28" ca="1" si="879">HWG28-$G$5</f>
        <v>-591</v>
      </c>
      <c r="HWK28" s="259" t="s">
        <v>55</v>
      </c>
      <c r="HWL28" s="256" t="s">
        <v>76</v>
      </c>
      <c r="HWM28" s="256" t="s">
        <v>77</v>
      </c>
      <c r="HWN28" s="256" t="s">
        <v>78</v>
      </c>
      <c r="HWO28" s="256" t="s">
        <v>79</v>
      </c>
      <c r="HWP28" s="256" t="s">
        <v>80</v>
      </c>
      <c r="HWQ28" s="256" t="s">
        <v>81</v>
      </c>
      <c r="HWR28" s="331"/>
      <c r="HWS28" s="290">
        <v>45492</v>
      </c>
      <c r="HWT28" s="339" t="s">
        <v>141</v>
      </c>
      <c r="HWU28" s="305"/>
      <c r="HWV28" s="305">
        <v>1</v>
      </c>
      <c r="HWW28" s="304">
        <f t="shared" ref="HWW28" si="880">EDATE(HWS28,HWV28)</f>
        <v>45523</v>
      </c>
      <c r="HWX28" s="340">
        <v>0</v>
      </c>
      <c r="HWY28" s="320">
        <f t="shared" ref="HWY28" ca="1" si="881">IF(HWZ28&gt;=1,(HWX28/HWV28),0)</f>
        <v>0</v>
      </c>
      <c r="HWZ28" s="292">
        <f t="shared" ref="HWZ28" ca="1" si="882">HWW28-$G$5</f>
        <v>-591</v>
      </c>
      <c r="HXA28" s="259" t="s">
        <v>55</v>
      </c>
      <c r="HXB28" s="256" t="s">
        <v>76</v>
      </c>
      <c r="HXC28" s="256" t="s">
        <v>77</v>
      </c>
      <c r="HXD28" s="256" t="s">
        <v>78</v>
      </c>
      <c r="HXE28" s="256" t="s">
        <v>79</v>
      </c>
      <c r="HXF28" s="256" t="s">
        <v>80</v>
      </c>
      <c r="HXG28" s="256" t="s">
        <v>81</v>
      </c>
      <c r="HXH28" s="331"/>
      <c r="HXI28" s="290">
        <v>45492</v>
      </c>
      <c r="HXJ28" s="339" t="s">
        <v>141</v>
      </c>
      <c r="HXK28" s="305"/>
      <c r="HXL28" s="305">
        <v>1</v>
      </c>
      <c r="HXM28" s="304">
        <f t="shared" ref="HXM28" si="883">EDATE(HXI28,HXL28)</f>
        <v>45523</v>
      </c>
      <c r="HXN28" s="340">
        <v>0</v>
      </c>
      <c r="HXO28" s="320">
        <f t="shared" ref="HXO28" ca="1" si="884">IF(HXP28&gt;=1,(HXN28/HXL28),0)</f>
        <v>0</v>
      </c>
      <c r="HXP28" s="292">
        <f t="shared" ref="HXP28" ca="1" si="885">HXM28-$G$5</f>
        <v>-591</v>
      </c>
      <c r="HXQ28" s="259" t="s">
        <v>55</v>
      </c>
      <c r="HXR28" s="256" t="s">
        <v>76</v>
      </c>
      <c r="HXS28" s="256" t="s">
        <v>77</v>
      </c>
      <c r="HXT28" s="256" t="s">
        <v>78</v>
      </c>
      <c r="HXU28" s="256" t="s">
        <v>79</v>
      </c>
      <c r="HXV28" s="256" t="s">
        <v>80</v>
      </c>
      <c r="HXW28" s="256" t="s">
        <v>81</v>
      </c>
      <c r="HXX28" s="331"/>
      <c r="HXY28" s="290">
        <v>45492</v>
      </c>
      <c r="HXZ28" s="339" t="s">
        <v>141</v>
      </c>
      <c r="HYA28" s="305"/>
      <c r="HYB28" s="305">
        <v>1</v>
      </c>
      <c r="HYC28" s="304">
        <f t="shared" ref="HYC28" si="886">EDATE(HXY28,HYB28)</f>
        <v>45523</v>
      </c>
      <c r="HYD28" s="340">
        <v>0</v>
      </c>
      <c r="HYE28" s="320">
        <f t="shared" ref="HYE28" ca="1" si="887">IF(HYF28&gt;=1,(HYD28/HYB28),0)</f>
        <v>0</v>
      </c>
      <c r="HYF28" s="292">
        <f t="shared" ref="HYF28" ca="1" si="888">HYC28-$G$5</f>
        <v>-591</v>
      </c>
      <c r="HYG28" s="259" t="s">
        <v>55</v>
      </c>
      <c r="HYH28" s="256" t="s">
        <v>76</v>
      </c>
      <c r="HYI28" s="256" t="s">
        <v>77</v>
      </c>
      <c r="HYJ28" s="256" t="s">
        <v>78</v>
      </c>
      <c r="HYK28" s="256" t="s">
        <v>79</v>
      </c>
      <c r="HYL28" s="256" t="s">
        <v>80</v>
      </c>
      <c r="HYM28" s="256" t="s">
        <v>81</v>
      </c>
      <c r="HYN28" s="331"/>
      <c r="HYO28" s="290">
        <v>45492</v>
      </c>
      <c r="HYP28" s="339" t="s">
        <v>141</v>
      </c>
      <c r="HYQ28" s="305"/>
      <c r="HYR28" s="305">
        <v>1</v>
      </c>
      <c r="HYS28" s="304">
        <f t="shared" ref="HYS28" si="889">EDATE(HYO28,HYR28)</f>
        <v>45523</v>
      </c>
      <c r="HYT28" s="340">
        <v>0</v>
      </c>
      <c r="HYU28" s="320">
        <f t="shared" ref="HYU28" ca="1" si="890">IF(HYV28&gt;=1,(HYT28/HYR28),0)</f>
        <v>0</v>
      </c>
      <c r="HYV28" s="292">
        <f t="shared" ref="HYV28" ca="1" si="891">HYS28-$G$5</f>
        <v>-591</v>
      </c>
      <c r="HYW28" s="259" t="s">
        <v>55</v>
      </c>
      <c r="HYX28" s="256" t="s">
        <v>76</v>
      </c>
      <c r="HYY28" s="256" t="s">
        <v>77</v>
      </c>
      <c r="HYZ28" s="256" t="s">
        <v>78</v>
      </c>
      <c r="HZA28" s="256" t="s">
        <v>79</v>
      </c>
      <c r="HZB28" s="256" t="s">
        <v>80</v>
      </c>
      <c r="HZC28" s="256" t="s">
        <v>81</v>
      </c>
      <c r="HZD28" s="331"/>
      <c r="HZE28" s="290">
        <v>45492</v>
      </c>
      <c r="HZF28" s="339" t="s">
        <v>141</v>
      </c>
      <c r="HZG28" s="305"/>
      <c r="HZH28" s="305">
        <v>1</v>
      </c>
      <c r="HZI28" s="304">
        <f t="shared" ref="HZI28" si="892">EDATE(HZE28,HZH28)</f>
        <v>45523</v>
      </c>
      <c r="HZJ28" s="340">
        <v>0</v>
      </c>
      <c r="HZK28" s="320">
        <f t="shared" ref="HZK28" ca="1" si="893">IF(HZL28&gt;=1,(HZJ28/HZH28),0)</f>
        <v>0</v>
      </c>
      <c r="HZL28" s="292">
        <f t="shared" ref="HZL28" ca="1" si="894">HZI28-$G$5</f>
        <v>-591</v>
      </c>
      <c r="HZM28" s="259" t="s">
        <v>55</v>
      </c>
      <c r="HZN28" s="256" t="s">
        <v>76</v>
      </c>
      <c r="HZO28" s="256" t="s">
        <v>77</v>
      </c>
      <c r="HZP28" s="256" t="s">
        <v>78</v>
      </c>
      <c r="HZQ28" s="256" t="s">
        <v>79</v>
      </c>
      <c r="HZR28" s="256" t="s">
        <v>80</v>
      </c>
      <c r="HZS28" s="256" t="s">
        <v>81</v>
      </c>
      <c r="HZT28" s="331"/>
      <c r="HZU28" s="290">
        <v>45492</v>
      </c>
      <c r="HZV28" s="339" t="s">
        <v>141</v>
      </c>
      <c r="HZW28" s="305"/>
      <c r="HZX28" s="305">
        <v>1</v>
      </c>
      <c r="HZY28" s="304">
        <f t="shared" ref="HZY28" si="895">EDATE(HZU28,HZX28)</f>
        <v>45523</v>
      </c>
      <c r="HZZ28" s="340">
        <v>0</v>
      </c>
      <c r="IAA28" s="320">
        <f t="shared" ref="IAA28" ca="1" si="896">IF(IAB28&gt;=1,(HZZ28/HZX28),0)</f>
        <v>0</v>
      </c>
      <c r="IAB28" s="292">
        <f t="shared" ref="IAB28" ca="1" si="897">HZY28-$G$5</f>
        <v>-591</v>
      </c>
      <c r="IAC28" s="259" t="s">
        <v>55</v>
      </c>
      <c r="IAD28" s="256" t="s">
        <v>76</v>
      </c>
      <c r="IAE28" s="256" t="s">
        <v>77</v>
      </c>
      <c r="IAF28" s="256" t="s">
        <v>78</v>
      </c>
      <c r="IAG28" s="256" t="s">
        <v>79</v>
      </c>
      <c r="IAH28" s="256" t="s">
        <v>80</v>
      </c>
      <c r="IAI28" s="256" t="s">
        <v>81</v>
      </c>
      <c r="IAJ28" s="331"/>
      <c r="IAK28" s="290">
        <v>45492</v>
      </c>
      <c r="IAL28" s="339" t="s">
        <v>141</v>
      </c>
      <c r="IAM28" s="305"/>
      <c r="IAN28" s="305">
        <v>1</v>
      </c>
      <c r="IAO28" s="304">
        <f t="shared" ref="IAO28" si="898">EDATE(IAK28,IAN28)</f>
        <v>45523</v>
      </c>
      <c r="IAP28" s="340">
        <v>0</v>
      </c>
      <c r="IAQ28" s="320">
        <f t="shared" ref="IAQ28" ca="1" si="899">IF(IAR28&gt;=1,(IAP28/IAN28),0)</f>
        <v>0</v>
      </c>
      <c r="IAR28" s="292">
        <f t="shared" ref="IAR28" ca="1" si="900">IAO28-$G$5</f>
        <v>-591</v>
      </c>
      <c r="IAS28" s="259" t="s">
        <v>55</v>
      </c>
      <c r="IAT28" s="256" t="s">
        <v>76</v>
      </c>
      <c r="IAU28" s="256" t="s">
        <v>77</v>
      </c>
      <c r="IAV28" s="256" t="s">
        <v>78</v>
      </c>
      <c r="IAW28" s="256" t="s">
        <v>79</v>
      </c>
      <c r="IAX28" s="256" t="s">
        <v>80</v>
      </c>
      <c r="IAY28" s="256" t="s">
        <v>81</v>
      </c>
      <c r="IAZ28" s="331"/>
      <c r="IBA28" s="290">
        <v>45492</v>
      </c>
      <c r="IBB28" s="339" t="s">
        <v>141</v>
      </c>
      <c r="IBC28" s="305"/>
      <c r="IBD28" s="305">
        <v>1</v>
      </c>
      <c r="IBE28" s="304">
        <f t="shared" ref="IBE28" si="901">EDATE(IBA28,IBD28)</f>
        <v>45523</v>
      </c>
      <c r="IBF28" s="340">
        <v>0</v>
      </c>
      <c r="IBG28" s="320">
        <f t="shared" ref="IBG28" ca="1" si="902">IF(IBH28&gt;=1,(IBF28/IBD28),0)</f>
        <v>0</v>
      </c>
      <c r="IBH28" s="292">
        <f t="shared" ref="IBH28" ca="1" si="903">IBE28-$G$5</f>
        <v>-591</v>
      </c>
      <c r="IBI28" s="259" t="s">
        <v>55</v>
      </c>
      <c r="IBJ28" s="256" t="s">
        <v>76</v>
      </c>
      <c r="IBK28" s="256" t="s">
        <v>77</v>
      </c>
      <c r="IBL28" s="256" t="s">
        <v>78</v>
      </c>
      <c r="IBM28" s="256" t="s">
        <v>79</v>
      </c>
      <c r="IBN28" s="256" t="s">
        <v>80</v>
      </c>
      <c r="IBO28" s="256" t="s">
        <v>81</v>
      </c>
      <c r="IBP28" s="331"/>
      <c r="IBQ28" s="290">
        <v>45492</v>
      </c>
      <c r="IBR28" s="339" t="s">
        <v>141</v>
      </c>
      <c r="IBS28" s="305"/>
      <c r="IBT28" s="305">
        <v>1</v>
      </c>
      <c r="IBU28" s="304">
        <f t="shared" ref="IBU28" si="904">EDATE(IBQ28,IBT28)</f>
        <v>45523</v>
      </c>
      <c r="IBV28" s="340">
        <v>0</v>
      </c>
      <c r="IBW28" s="320">
        <f t="shared" ref="IBW28" ca="1" si="905">IF(IBX28&gt;=1,(IBV28/IBT28),0)</f>
        <v>0</v>
      </c>
      <c r="IBX28" s="292">
        <f t="shared" ref="IBX28" ca="1" si="906">IBU28-$G$5</f>
        <v>-591</v>
      </c>
      <c r="IBY28" s="259" t="s">
        <v>55</v>
      </c>
      <c r="IBZ28" s="256" t="s">
        <v>76</v>
      </c>
      <c r="ICA28" s="256" t="s">
        <v>77</v>
      </c>
      <c r="ICB28" s="256" t="s">
        <v>78</v>
      </c>
      <c r="ICC28" s="256" t="s">
        <v>79</v>
      </c>
      <c r="ICD28" s="256" t="s">
        <v>80</v>
      </c>
      <c r="ICE28" s="256" t="s">
        <v>81</v>
      </c>
      <c r="ICF28" s="331"/>
      <c r="ICG28" s="290">
        <v>45492</v>
      </c>
      <c r="ICH28" s="339" t="s">
        <v>141</v>
      </c>
      <c r="ICI28" s="305"/>
      <c r="ICJ28" s="305">
        <v>1</v>
      </c>
      <c r="ICK28" s="304">
        <f t="shared" ref="ICK28" si="907">EDATE(ICG28,ICJ28)</f>
        <v>45523</v>
      </c>
      <c r="ICL28" s="340">
        <v>0</v>
      </c>
      <c r="ICM28" s="320">
        <f t="shared" ref="ICM28" ca="1" si="908">IF(ICN28&gt;=1,(ICL28/ICJ28),0)</f>
        <v>0</v>
      </c>
      <c r="ICN28" s="292">
        <f t="shared" ref="ICN28" ca="1" si="909">ICK28-$G$5</f>
        <v>-591</v>
      </c>
      <c r="ICO28" s="259" t="s">
        <v>55</v>
      </c>
      <c r="ICP28" s="256" t="s">
        <v>76</v>
      </c>
      <c r="ICQ28" s="256" t="s">
        <v>77</v>
      </c>
      <c r="ICR28" s="256" t="s">
        <v>78</v>
      </c>
      <c r="ICS28" s="256" t="s">
        <v>79</v>
      </c>
      <c r="ICT28" s="256" t="s">
        <v>80</v>
      </c>
      <c r="ICU28" s="256" t="s">
        <v>81</v>
      </c>
      <c r="ICV28" s="331"/>
      <c r="ICW28" s="290">
        <v>45492</v>
      </c>
      <c r="ICX28" s="339" t="s">
        <v>141</v>
      </c>
      <c r="ICY28" s="305"/>
      <c r="ICZ28" s="305">
        <v>1</v>
      </c>
      <c r="IDA28" s="304">
        <f t="shared" ref="IDA28" si="910">EDATE(ICW28,ICZ28)</f>
        <v>45523</v>
      </c>
      <c r="IDB28" s="340">
        <v>0</v>
      </c>
      <c r="IDC28" s="320">
        <f t="shared" ref="IDC28" ca="1" si="911">IF(IDD28&gt;=1,(IDB28/ICZ28),0)</f>
        <v>0</v>
      </c>
      <c r="IDD28" s="292">
        <f t="shared" ref="IDD28" ca="1" si="912">IDA28-$G$5</f>
        <v>-591</v>
      </c>
      <c r="IDE28" s="259" t="s">
        <v>55</v>
      </c>
      <c r="IDF28" s="256" t="s">
        <v>76</v>
      </c>
      <c r="IDG28" s="256" t="s">
        <v>77</v>
      </c>
      <c r="IDH28" s="256" t="s">
        <v>78</v>
      </c>
      <c r="IDI28" s="256" t="s">
        <v>79</v>
      </c>
      <c r="IDJ28" s="256" t="s">
        <v>80</v>
      </c>
      <c r="IDK28" s="256" t="s">
        <v>81</v>
      </c>
      <c r="IDL28" s="331"/>
      <c r="IDM28" s="290">
        <v>45492</v>
      </c>
      <c r="IDN28" s="339" t="s">
        <v>141</v>
      </c>
      <c r="IDO28" s="305"/>
      <c r="IDP28" s="305">
        <v>1</v>
      </c>
      <c r="IDQ28" s="304">
        <f t="shared" ref="IDQ28" si="913">EDATE(IDM28,IDP28)</f>
        <v>45523</v>
      </c>
      <c r="IDR28" s="340">
        <v>0</v>
      </c>
      <c r="IDS28" s="320">
        <f t="shared" ref="IDS28" ca="1" si="914">IF(IDT28&gt;=1,(IDR28/IDP28),0)</f>
        <v>0</v>
      </c>
      <c r="IDT28" s="292">
        <f t="shared" ref="IDT28" ca="1" si="915">IDQ28-$G$5</f>
        <v>-591</v>
      </c>
      <c r="IDU28" s="259" t="s">
        <v>55</v>
      </c>
      <c r="IDV28" s="256" t="s">
        <v>76</v>
      </c>
      <c r="IDW28" s="256" t="s">
        <v>77</v>
      </c>
      <c r="IDX28" s="256" t="s">
        <v>78</v>
      </c>
      <c r="IDY28" s="256" t="s">
        <v>79</v>
      </c>
      <c r="IDZ28" s="256" t="s">
        <v>80</v>
      </c>
      <c r="IEA28" s="256" t="s">
        <v>81</v>
      </c>
      <c r="IEB28" s="331"/>
      <c r="IEC28" s="290">
        <v>45492</v>
      </c>
      <c r="IED28" s="339" t="s">
        <v>141</v>
      </c>
      <c r="IEE28" s="305"/>
      <c r="IEF28" s="305">
        <v>1</v>
      </c>
      <c r="IEG28" s="304">
        <f t="shared" ref="IEG28" si="916">EDATE(IEC28,IEF28)</f>
        <v>45523</v>
      </c>
      <c r="IEH28" s="340">
        <v>0</v>
      </c>
      <c r="IEI28" s="320">
        <f t="shared" ref="IEI28" ca="1" si="917">IF(IEJ28&gt;=1,(IEH28/IEF28),0)</f>
        <v>0</v>
      </c>
      <c r="IEJ28" s="292">
        <f t="shared" ref="IEJ28" ca="1" si="918">IEG28-$G$5</f>
        <v>-591</v>
      </c>
      <c r="IEK28" s="259" t="s">
        <v>55</v>
      </c>
      <c r="IEL28" s="256" t="s">
        <v>76</v>
      </c>
      <c r="IEM28" s="256" t="s">
        <v>77</v>
      </c>
      <c r="IEN28" s="256" t="s">
        <v>78</v>
      </c>
      <c r="IEO28" s="256" t="s">
        <v>79</v>
      </c>
      <c r="IEP28" s="256" t="s">
        <v>80</v>
      </c>
      <c r="IEQ28" s="256" t="s">
        <v>81</v>
      </c>
      <c r="IER28" s="331"/>
      <c r="IES28" s="290">
        <v>45492</v>
      </c>
      <c r="IET28" s="339" t="s">
        <v>141</v>
      </c>
      <c r="IEU28" s="305"/>
      <c r="IEV28" s="305">
        <v>1</v>
      </c>
      <c r="IEW28" s="304">
        <f t="shared" ref="IEW28" si="919">EDATE(IES28,IEV28)</f>
        <v>45523</v>
      </c>
      <c r="IEX28" s="340">
        <v>0</v>
      </c>
      <c r="IEY28" s="320">
        <f t="shared" ref="IEY28" ca="1" si="920">IF(IEZ28&gt;=1,(IEX28/IEV28),0)</f>
        <v>0</v>
      </c>
      <c r="IEZ28" s="292">
        <f t="shared" ref="IEZ28" ca="1" si="921">IEW28-$G$5</f>
        <v>-591</v>
      </c>
      <c r="IFA28" s="259" t="s">
        <v>55</v>
      </c>
      <c r="IFB28" s="256" t="s">
        <v>76</v>
      </c>
      <c r="IFC28" s="256" t="s">
        <v>77</v>
      </c>
      <c r="IFD28" s="256" t="s">
        <v>78</v>
      </c>
      <c r="IFE28" s="256" t="s">
        <v>79</v>
      </c>
      <c r="IFF28" s="256" t="s">
        <v>80</v>
      </c>
      <c r="IFG28" s="256" t="s">
        <v>81</v>
      </c>
      <c r="IFH28" s="331"/>
      <c r="IFI28" s="290">
        <v>45492</v>
      </c>
      <c r="IFJ28" s="339" t="s">
        <v>141</v>
      </c>
      <c r="IFK28" s="305"/>
      <c r="IFL28" s="305">
        <v>1</v>
      </c>
      <c r="IFM28" s="304">
        <f t="shared" ref="IFM28" si="922">EDATE(IFI28,IFL28)</f>
        <v>45523</v>
      </c>
      <c r="IFN28" s="340">
        <v>0</v>
      </c>
      <c r="IFO28" s="320">
        <f t="shared" ref="IFO28" ca="1" si="923">IF(IFP28&gt;=1,(IFN28/IFL28),0)</f>
        <v>0</v>
      </c>
      <c r="IFP28" s="292">
        <f t="shared" ref="IFP28" ca="1" si="924">IFM28-$G$5</f>
        <v>-591</v>
      </c>
      <c r="IFQ28" s="259" t="s">
        <v>55</v>
      </c>
      <c r="IFR28" s="256" t="s">
        <v>76</v>
      </c>
      <c r="IFS28" s="256" t="s">
        <v>77</v>
      </c>
      <c r="IFT28" s="256" t="s">
        <v>78</v>
      </c>
      <c r="IFU28" s="256" t="s">
        <v>79</v>
      </c>
      <c r="IFV28" s="256" t="s">
        <v>80</v>
      </c>
      <c r="IFW28" s="256" t="s">
        <v>81</v>
      </c>
      <c r="IFX28" s="331"/>
      <c r="IFY28" s="290">
        <v>45492</v>
      </c>
      <c r="IFZ28" s="339" t="s">
        <v>141</v>
      </c>
      <c r="IGA28" s="305"/>
      <c r="IGB28" s="305">
        <v>1</v>
      </c>
      <c r="IGC28" s="304">
        <f t="shared" ref="IGC28" si="925">EDATE(IFY28,IGB28)</f>
        <v>45523</v>
      </c>
      <c r="IGD28" s="340">
        <v>0</v>
      </c>
      <c r="IGE28" s="320">
        <f t="shared" ref="IGE28" ca="1" si="926">IF(IGF28&gt;=1,(IGD28/IGB28),0)</f>
        <v>0</v>
      </c>
      <c r="IGF28" s="292">
        <f t="shared" ref="IGF28" ca="1" si="927">IGC28-$G$5</f>
        <v>-591</v>
      </c>
      <c r="IGG28" s="259" t="s">
        <v>55</v>
      </c>
      <c r="IGH28" s="256" t="s">
        <v>76</v>
      </c>
      <c r="IGI28" s="256" t="s">
        <v>77</v>
      </c>
      <c r="IGJ28" s="256" t="s">
        <v>78</v>
      </c>
      <c r="IGK28" s="256" t="s">
        <v>79</v>
      </c>
      <c r="IGL28" s="256" t="s">
        <v>80</v>
      </c>
      <c r="IGM28" s="256" t="s">
        <v>81</v>
      </c>
      <c r="IGN28" s="331"/>
      <c r="IGO28" s="290">
        <v>45492</v>
      </c>
      <c r="IGP28" s="339" t="s">
        <v>141</v>
      </c>
      <c r="IGQ28" s="305"/>
      <c r="IGR28" s="305">
        <v>1</v>
      </c>
      <c r="IGS28" s="304">
        <f t="shared" ref="IGS28" si="928">EDATE(IGO28,IGR28)</f>
        <v>45523</v>
      </c>
      <c r="IGT28" s="340">
        <v>0</v>
      </c>
      <c r="IGU28" s="320">
        <f t="shared" ref="IGU28" ca="1" si="929">IF(IGV28&gt;=1,(IGT28/IGR28),0)</f>
        <v>0</v>
      </c>
      <c r="IGV28" s="292">
        <f t="shared" ref="IGV28" ca="1" si="930">IGS28-$G$5</f>
        <v>-591</v>
      </c>
      <c r="IGW28" s="259" t="s">
        <v>55</v>
      </c>
      <c r="IGX28" s="256" t="s">
        <v>76</v>
      </c>
      <c r="IGY28" s="256" t="s">
        <v>77</v>
      </c>
      <c r="IGZ28" s="256" t="s">
        <v>78</v>
      </c>
      <c r="IHA28" s="256" t="s">
        <v>79</v>
      </c>
      <c r="IHB28" s="256" t="s">
        <v>80</v>
      </c>
      <c r="IHC28" s="256" t="s">
        <v>81</v>
      </c>
      <c r="IHD28" s="331"/>
      <c r="IHE28" s="290">
        <v>45492</v>
      </c>
      <c r="IHF28" s="339" t="s">
        <v>141</v>
      </c>
      <c r="IHG28" s="305"/>
      <c r="IHH28" s="305">
        <v>1</v>
      </c>
      <c r="IHI28" s="304">
        <f t="shared" ref="IHI28" si="931">EDATE(IHE28,IHH28)</f>
        <v>45523</v>
      </c>
      <c r="IHJ28" s="340">
        <v>0</v>
      </c>
      <c r="IHK28" s="320">
        <f t="shared" ref="IHK28" ca="1" si="932">IF(IHL28&gt;=1,(IHJ28/IHH28),0)</f>
        <v>0</v>
      </c>
      <c r="IHL28" s="292">
        <f t="shared" ref="IHL28" ca="1" si="933">IHI28-$G$5</f>
        <v>-591</v>
      </c>
      <c r="IHM28" s="259" t="s">
        <v>55</v>
      </c>
      <c r="IHN28" s="256" t="s">
        <v>76</v>
      </c>
      <c r="IHO28" s="256" t="s">
        <v>77</v>
      </c>
      <c r="IHP28" s="256" t="s">
        <v>78</v>
      </c>
      <c r="IHQ28" s="256" t="s">
        <v>79</v>
      </c>
      <c r="IHR28" s="256" t="s">
        <v>80</v>
      </c>
      <c r="IHS28" s="256" t="s">
        <v>81</v>
      </c>
      <c r="IHT28" s="331"/>
      <c r="IHU28" s="290">
        <v>45492</v>
      </c>
      <c r="IHV28" s="339" t="s">
        <v>141</v>
      </c>
      <c r="IHW28" s="305"/>
      <c r="IHX28" s="305">
        <v>1</v>
      </c>
      <c r="IHY28" s="304">
        <f t="shared" ref="IHY28" si="934">EDATE(IHU28,IHX28)</f>
        <v>45523</v>
      </c>
      <c r="IHZ28" s="340">
        <v>0</v>
      </c>
      <c r="IIA28" s="320">
        <f t="shared" ref="IIA28" ca="1" si="935">IF(IIB28&gt;=1,(IHZ28/IHX28),0)</f>
        <v>0</v>
      </c>
      <c r="IIB28" s="292">
        <f t="shared" ref="IIB28" ca="1" si="936">IHY28-$G$5</f>
        <v>-591</v>
      </c>
      <c r="IIC28" s="259" t="s">
        <v>55</v>
      </c>
      <c r="IID28" s="256" t="s">
        <v>76</v>
      </c>
      <c r="IIE28" s="256" t="s">
        <v>77</v>
      </c>
      <c r="IIF28" s="256" t="s">
        <v>78</v>
      </c>
      <c r="IIG28" s="256" t="s">
        <v>79</v>
      </c>
      <c r="IIH28" s="256" t="s">
        <v>80</v>
      </c>
      <c r="III28" s="256" t="s">
        <v>81</v>
      </c>
      <c r="IIJ28" s="331"/>
      <c r="IIK28" s="290">
        <v>45492</v>
      </c>
      <c r="IIL28" s="339" t="s">
        <v>141</v>
      </c>
      <c r="IIM28" s="305"/>
      <c r="IIN28" s="305">
        <v>1</v>
      </c>
      <c r="IIO28" s="304">
        <f t="shared" ref="IIO28" si="937">EDATE(IIK28,IIN28)</f>
        <v>45523</v>
      </c>
      <c r="IIP28" s="340">
        <v>0</v>
      </c>
      <c r="IIQ28" s="320">
        <f t="shared" ref="IIQ28" ca="1" si="938">IF(IIR28&gt;=1,(IIP28/IIN28),0)</f>
        <v>0</v>
      </c>
      <c r="IIR28" s="292">
        <f t="shared" ref="IIR28" ca="1" si="939">IIO28-$G$5</f>
        <v>-591</v>
      </c>
      <c r="IIS28" s="259" t="s">
        <v>55</v>
      </c>
      <c r="IIT28" s="256" t="s">
        <v>76</v>
      </c>
      <c r="IIU28" s="256" t="s">
        <v>77</v>
      </c>
      <c r="IIV28" s="256" t="s">
        <v>78</v>
      </c>
      <c r="IIW28" s="256" t="s">
        <v>79</v>
      </c>
      <c r="IIX28" s="256" t="s">
        <v>80</v>
      </c>
      <c r="IIY28" s="256" t="s">
        <v>81</v>
      </c>
      <c r="IIZ28" s="331"/>
      <c r="IJA28" s="290">
        <v>45492</v>
      </c>
      <c r="IJB28" s="339" t="s">
        <v>141</v>
      </c>
      <c r="IJC28" s="305"/>
      <c r="IJD28" s="305">
        <v>1</v>
      </c>
      <c r="IJE28" s="304">
        <f t="shared" ref="IJE28" si="940">EDATE(IJA28,IJD28)</f>
        <v>45523</v>
      </c>
      <c r="IJF28" s="340">
        <v>0</v>
      </c>
      <c r="IJG28" s="320">
        <f t="shared" ref="IJG28" ca="1" si="941">IF(IJH28&gt;=1,(IJF28/IJD28),0)</f>
        <v>0</v>
      </c>
      <c r="IJH28" s="292">
        <f t="shared" ref="IJH28" ca="1" si="942">IJE28-$G$5</f>
        <v>-591</v>
      </c>
      <c r="IJI28" s="259" t="s">
        <v>55</v>
      </c>
      <c r="IJJ28" s="256" t="s">
        <v>76</v>
      </c>
      <c r="IJK28" s="256" t="s">
        <v>77</v>
      </c>
      <c r="IJL28" s="256" t="s">
        <v>78</v>
      </c>
      <c r="IJM28" s="256" t="s">
        <v>79</v>
      </c>
      <c r="IJN28" s="256" t="s">
        <v>80</v>
      </c>
      <c r="IJO28" s="256" t="s">
        <v>81</v>
      </c>
      <c r="IJP28" s="331"/>
      <c r="IJQ28" s="290">
        <v>45492</v>
      </c>
      <c r="IJR28" s="339" t="s">
        <v>141</v>
      </c>
      <c r="IJS28" s="305"/>
      <c r="IJT28" s="305">
        <v>1</v>
      </c>
      <c r="IJU28" s="304">
        <f t="shared" ref="IJU28" si="943">EDATE(IJQ28,IJT28)</f>
        <v>45523</v>
      </c>
      <c r="IJV28" s="340">
        <v>0</v>
      </c>
      <c r="IJW28" s="320">
        <f t="shared" ref="IJW28" ca="1" si="944">IF(IJX28&gt;=1,(IJV28/IJT28),0)</f>
        <v>0</v>
      </c>
      <c r="IJX28" s="292">
        <f t="shared" ref="IJX28" ca="1" si="945">IJU28-$G$5</f>
        <v>-591</v>
      </c>
      <c r="IJY28" s="259" t="s">
        <v>55</v>
      </c>
      <c r="IJZ28" s="256" t="s">
        <v>76</v>
      </c>
      <c r="IKA28" s="256" t="s">
        <v>77</v>
      </c>
      <c r="IKB28" s="256" t="s">
        <v>78</v>
      </c>
      <c r="IKC28" s="256" t="s">
        <v>79</v>
      </c>
      <c r="IKD28" s="256" t="s">
        <v>80</v>
      </c>
      <c r="IKE28" s="256" t="s">
        <v>81</v>
      </c>
      <c r="IKF28" s="331"/>
      <c r="IKG28" s="290">
        <v>45492</v>
      </c>
      <c r="IKH28" s="339" t="s">
        <v>141</v>
      </c>
      <c r="IKI28" s="305"/>
      <c r="IKJ28" s="305">
        <v>1</v>
      </c>
      <c r="IKK28" s="304">
        <f t="shared" ref="IKK28" si="946">EDATE(IKG28,IKJ28)</f>
        <v>45523</v>
      </c>
      <c r="IKL28" s="340">
        <v>0</v>
      </c>
      <c r="IKM28" s="320">
        <f t="shared" ref="IKM28" ca="1" si="947">IF(IKN28&gt;=1,(IKL28/IKJ28),0)</f>
        <v>0</v>
      </c>
      <c r="IKN28" s="292">
        <f t="shared" ref="IKN28" ca="1" si="948">IKK28-$G$5</f>
        <v>-591</v>
      </c>
      <c r="IKO28" s="259" t="s">
        <v>55</v>
      </c>
      <c r="IKP28" s="256" t="s">
        <v>76</v>
      </c>
      <c r="IKQ28" s="256" t="s">
        <v>77</v>
      </c>
      <c r="IKR28" s="256" t="s">
        <v>78</v>
      </c>
      <c r="IKS28" s="256" t="s">
        <v>79</v>
      </c>
      <c r="IKT28" s="256" t="s">
        <v>80</v>
      </c>
      <c r="IKU28" s="256" t="s">
        <v>81</v>
      </c>
      <c r="IKV28" s="331"/>
      <c r="IKW28" s="290">
        <v>45492</v>
      </c>
      <c r="IKX28" s="339" t="s">
        <v>141</v>
      </c>
      <c r="IKY28" s="305"/>
      <c r="IKZ28" s="305">
        <v>1</v>
      </c>
      <c r="ILA28" s="304">
        <f t="shared" ref="ILA28" si="949">EDATE(IKW28,IKZ28)</f>
        <v>45523</v>
      </c>
      <c r="ILB28" s="340">
        <v>0</v>
      </c>
      <c r="ILC28" s="320">
        <f t="shared" ref="ILC28" ca="1" si="950">IF(ILD28&gt;=1,(ILB28/IKZ28),0)</f>
        <v>0</v>
      </c>
      <c r="ILD28" s="292">
        <f t="shared" ref="ILD28" ca="1" si="951">ILA28-$G$5</f>
        <v>-591</v>
      </c>
      <c r="ILE28" s="259" t="s">
        <v>55</v>
      </c>
      <c r="ILF28" s="256" t="s">
        <v>76</v>
      </c>
      <c r="ILG28" s="256" t="s">
        <v>77</v>
      </c>
      <c r="ILH28" s="256" t="s">
        <v>78</v>
      </c>
      <c r="ILI28" s="256" t="s">
        <v>79</v>
      </c>
      <c r="ILJ28" s="256" t="s">
        <v>80</v>
      </c>
      <c r="ILK28" s="256" t="s">
        <v>81</v>
      </c>
      <c r="ILL28" s="331"/>
      <c r="ILM28" s="290">
        <v>45492</v>
      </c>
      <c r="ILN28" s="339" t="s">
        <v>141</v>
      </c>
      <c r="ILO28" s="305"/>
      <c r="ILP28" s="305">
        <v>1</v>
      </c>
      <c r="ILQ28" s="304">
        <f t="shared" ref="ILQ28" si="952">EDATE(ILM28,ILP28)</f>
        <v>45523</v>
      </c>
      <c r="ILR28" s="340">
        <v>0</v>
      </c>
      <c r="ILS28" s="320">
        <f t="shared" ref="ILS28" ca="1" si="953">IF(ILT28&gt;=1,(ILR28/ILP28),0)</f>
        <v>0</v>
      </c>
      <c r="ILT28" s="292">
        <f t="shared" ref="ILT28" ca="1" si="954">ILQ28-$G$5</f>
        <v>-591</v>
      </c>
      <c r="ILU28" s="259" t="s">
        <v>55</v>
      </c>
      <c r="ILV28" s="256" t="s">
        <v>76</v>
      </c>
      <c r="ILW28" s="256" t="s">
        <v>77</v>
      </c>
      <c r="ILX28" s="256" t="s">
        <v>78</v>
      </c>
      <c r="ILY28" s="256" t="s">
        <v>79</v>
      </c>
      <c r="ILZ28" s="256" t="s">
        <v>80</v>
      </c>
      <c r="IMA28" s="256" t="s">
        <v>81</v>
      </c>
      <c r="IMB28" s="331"/>
      <c r="IMC28" s="290">
        <v>45492</v>
      </c>
      <c r="IMD28" s="339" t="s">
        <v>141</v>
      </c>
      <c r="IME28" s="305"/>
      <c r="IMF28" s="305">
        <v>1</v>
      </c>
      <c r="IMG28" s="304">
        <f t="shared" ref="IMG28" si="955">EDATE(IMC28,IMF28)</f>
        <v>45523</v>
      </c>
      <c r="IMH28" s="340">
        <v>0</v>
      </c>
      <c r="IMI28" s="320">
        <f t="shared" ref="IMI28" ca="1" si="956">IF(IMJ28&gt;=1,(IMH28/IMF28),0)</f>
        <v>0</v>
      </c>
      <c r="IMJ28" s="292">
        <f t="shared" ref="IMJ28" ca="1" si="957">IMG28-$G$5</f>
        <v>-591</v>
      </c>
      <c r="IMK28" s="259" t="s">
        <v>55</v>
      </c>
      <c r="IML28" s="256" t="s">
        <v>76</v>
      </c>
      <c r="IMM28" s="256" t="s">
        <v>77</v>
      </c>
      <c r="IMN28" s="256" t="s">
        <v>78</v>
      </c>
      <c r="IMO28" s="256" t="s">
        <v>79</v>
      </c>
      <c r="IMP28" s="256" t="s">
        <v>80</v>
      </c>
      <c r="IMQ28" s="256" t="s">
        <v>81</v>
      </c>
      <c r="IMR28" s="331"/>
      <c r="IMS28" s="290">
        <v>45492</v>
      </c>
      <c r="IMT28" s="339" t="s">
        <v>141</v>
      </c>
      <c r="IMU28" s="305"/>
      <c r="IMV28" s="305">
        <v>1</v>
      </c>
      <c r="IMW28" s="304">
        <f t="shared" ref="IMW28" si="958">EDATE(IMS28,IMV28)</f>
        <v>45523</v>
      </c>
      <c r="IMX28" s="340">
        <v>0</v>
      </c>
      <c r="IMY28" s="320">
        <f t="shared" ref="IMY28" ca="1" si="959">IF(IMZ28&gt;=1,(IMX28/IMV28),0)</f>
        <v>0</v>
      </c>
      <c r="IMZ28" s="292">
        <f t="shared" ref="IMZ28" ca="1" si="960">IMW28-$G$5</f>
        <v>-591</v>
      </c>
      <c r="INA28" s="259" t="s">
        <v>55</v>
      </c>
      <c r="INB28" s="256" t="s">
        <v>76</v>
      </c>
      <c r="INC28" s="256" t="s">
        <v>77</v>
      </c>
      <c r="IND28" s="256" t="s">
        <v>78</v>
      </c>
      <c r="INE28" s="256" t="s">
        <v>79</v>
      </c>
      <c r="INF28" s="256" t="s">
        <v>80</v>
      </c>
      <c r="ING28" s="256" t="s">
        <v>81</v>
      </c>
      <c r="INH28" s="331"/>
      <c r="INI28" s="290">
        <v>45492</v>
      </c>
      <c r="INJ28" s="339" t="s">
        <v>141</v>
      </c>
      <c r="INK28" s="305"/>
      <c r="INL28" s="305">
        <v>1</v>
      </c>
      <c r="INM28" s="304">
        <f t="shared" ref="INM28" si="961">EDATE(INI28,INL28)</f>
        <v>45523</v>
      </c>
      <c r="INN28" s="340">
        <v>0</v>
      </c>
      <c r="INO28" s="320">
        <f t="shared" ref="INO28" ca="1" si="962">IF(INP28&gt;=1,(INN28/INL28),0)</f>
        <v>0</v>
      </c>
      <c r="INP28" s="292">
        <f t="shared" ref="INP28" ca="1" si="963">INM28-$G$5</f>
        <v>-591</v>
      </c>
      <c r="INQ28" s="259" t="s">
        <v>55</v>
      </c>
      <c r="INR28" s="256" t="s">
        <v>76</v>
      </c>
      <c r="INS28" s="256" t="s">
        <v>77</v>
      </c>
      <c r="INT28" s="256" t="s">
        <v>78</v>
      </c>
      <c r="INU28" s="256" t="s">
        <v>79</v>
      </c>
      <c r="INV28" s="256" t="s">
        <v>80</v>
      </c>
      <c r="INW28" s="256" t="s">
        <v>81</v>
      </c>
      <c r="INX28" s="331"/>
      <c r="INY28" s="290">
        <v>45492</v>
      </c>
      <c r="INZ28" s="339" t="s">
        <v>141</v>
      </c>
      <c r="IOA28" s="305"/>
      <c r="IOB28" s="305">
        <v>1</v>
      </c>
      <c r="IOC28" s="304">
        <f t="shared" ref="IOC28" si="964">EDATE(INY28,IOB28)</f>
        <v>45523</v>
      </c>
      <c r="IOD28" s="340">
        <v>0</v>
      </c>
      <c r="IOE28" s="320">
        <f t="shared" ref="IOE28" ca="1" si="965">IF(IOF28&gt;=1,(IOD28/IOB28),0)</f>
        <v>0</v>
      </c>
      <c r="IOF28" s="292">
        <f t="shared" ref="IOF28" ca="1" si="966">IOC28-$G$5</f>
        <v>-591</v>
      </c>
      <c r="IOG28" s="259" t="s">
        <v>55</v>
      </c>
      <c r="IOH28" s="256" t="s">
        <v>76</v>
      </c>
      <c r="IOI28" s="256" t="s">
        <v>77</v>
      </c>
      <c r="IOJ28" s="256" t="s">
        <v>78</v>
      </c>
      <c r="IOK28" s="256" t="s">
        <v>79</v>
      </c>
      <c r="IOL28" s="256" t="s">
        <v>80</v>
      </c>
      <c r="IOM28" s="256" t="s">
        <v>81</v>
      </c>
      <c r="ION28" s="331"/>
      <c r="IOO28" s="290">
        <v>45492</v>
      </c>
      <c r="IOP28" s="339" t="s">
        <v>141</v>
      </c>
      <c r="IOQ28" s="305"/>
      <c r="IOR28" s="305">
        <v>1</v>
      </c>
      <c r="IOS28" s="304">
        <f t="shared" ref="IOS28" si="967">EDATE(IOO28,IOR28)</f>
        <v>45523</v>
      </c>
      <c r="IOT28" s="340">
        <v>0</v>
      </c>
      <c r="IOU28" s="320">
        <f t="shared" ref="IOU28" ca="1" si="968">IF(IOV28&gt;=1,(IOT28/IOR28),0)</f>
        <v>0</v>
      </c>
      <c r="IOV28" s="292">
        <f t="shared" ref="IOV28" ca="1" si="969">IOS28-$G$5</f>
        <v>-591</v>
      </c>
      <c r="IOW28" s="259" t="s">
        <v>55</v>
      </c>
      <c r="IOX28" s="256" t="s">
        <v>76</v>
      </c>
      <c r="IOY28" s="256" t="s">
        <v>77</v>
      </c>
      <c r="IOZ28" s="256" t="s">
        <v>78</v>
      </c>
      <c r="IPA28" s="256" t="s">
        <v>79</v>
      </c>
      <c r="IPB28" s="256" t="s">
        <v>80</v>
      </c>
      <c r="IPC28" s="256" t="s">
        <v>81</v>
      </c>
      <c r="IPD28" s="331"/>
      <c r="IPE28" s="290">
        <v>45492</v>
      </c>
      <c r="IPF28" s="339" t="s">
        <v>141</v>
      </c>
      <c r="IPG28" s="305"/>
      <c r="IPH28" s="305">
        <v>1</v>
      </c>
      <c r="IPI28" s="304">
        <f t="shared" ref="IPI28" si="970">EDATE(IPE28,IPH28)</f>
        <v>45523</v>
      </c>
      <c r="IPJ28" s="340">
        <v>0</v>
      </c>
      <c r="IPK28" s="320">
        <f t="shared" ref="IPK28" ca="1" si="971">IF(IPL28&gt;=1,(IPJ28/IPH28),0)</f>
        <v>0</v>
      </c>
      <c r="IPL28" s="292">
        <f t="shared" ref="IPL28" ca="1" si="972">IPI28-$G$5</f>
        <v>-591</v>
      </c>
      <c r="IPM28" s="259" t="s">
        <v>55</v>
      </c>
      <c r="IPN28" s="256" t="s">
        <v>76</v>
      </c>
      <c r="IPO28" s="256" t="s">
        <v>77</v>
      </c>
      <c r="IPP28" s="256" t="s">
        <v>78</v>
      </c>
      <c r="IPQ28" s="256" t="s">
        <v>79</v>
      </c>
      <c r="IPR28" s="256" t="s">
        <v>80</v>
      </c>
      <c r="IPS28" s="256" t="s">
        <v>81</v>
      </c>
      <c r="IPT28" s="331"/>
      <c r="IPU28" s="290">
        <v>45492</v>
      </c>
      <c r="IPV28" s="339" t="s">
        <v>141</v>
      </c>
      <c r="IPW28" s="305"/>
      <c r="IPX28" s="305">
        <v>1</v>
      </c>
      <c r="IPY28" s="304">
        <f t="shared" ref="IPY28" si="973">EDATE(IPU28,IPX28)</f>
        <v>45523</v>
      </c>
      <c r="IPZ28" s="340">
        <v>0</v>
      </c>
      <c r="IQA28" s="320">
        <f t="shared" ref="IQA28" ca="1" si="974">IF(IQB28&gt;=1,(IPZ28/IPX28),0)</f>
        <v>0</v>
      </c>
      <c r="IQB28" s="292">
        <f t="shared" ref="IQB28" ca="1" si="975">IPY28-$G$5</f>
        <v>-591</v>
      </c>
      <c r="IQC28" s="259" t="s">
        <v>55</v>
      </c>
      <c r="IQD28" s="256" t="s">
        <v>76</v>
      </c>
      <c r="IQE28" s="256" t="s">
        <v>77</v>
      </c>
      <c r="IQF28" s="256" t="s">
        <v>78</v>
      </c>
      <c r="IQG28" s="256" t="s">
        <v>79</v>
      </c>
      <c r="IQH28" s="256" t="s">
        <v>80</v>
      </c>
      <c r="IQI28" s="256" t="s">
        <v>81</v>
      </c>
      <c r="IQJ28" s="331"/>
      <c r="IQK28" s="290">
        <v>45492</v>
      </c>
      <c r="IQL28" s="339" t="s">
        <v>141</v>
      </c>
      <c r="IQM28" s="305"/>
      <c r="IQN28" s="305">
        <v>1</v>
      </c>
      <c r="IQO28" s="304">
        <f t="shared" ref="IQO28" si="976">EDATE(IQK28,IQN28)</f>
        <v>45523</v>
      </c>
      <c r="IQP28" s="340">
        <v>0</v>
      </c>
      <c r="IQQ28" s="320">
        <f t="shared" ref="IQQ28" ca="1" si="977">IF(IQR28&gt;=1,(IQP28/IQN28),0)</f>
        <v>0</v>
      </c>
      <c r="IQR28" s="292">
        <f t="shared" ref="IQR28" ca="1" si="978">IQO28-$G$5</f>
        <v>-591</v>
      </c>
      <c r="IQS28" s="259" t="s">
        <v>55</v>
      </c>
      <c r="IQT28" s="256" t="s">
        <v>76</v>
      </c>
      <c r="IQU28" s="256" t="s">
        <v>77</v>
      </c>
      <c r="IQV28" s="256" t="s">
        <v>78</v>
      </c>
      <c r="IQW28" s="256" t="s">
        <v>79</v>
      </c>
      <c r="IQX28" s="256" t="s">
        <v>80</v>
      </c>
      <c r="IQY28" s="256" t="s">
        <v>81</v>
      </c>
      <c r="IQZ28" s="331"/>
      <c r="IRA28" s="290">
        <v>45492</v>
      </c>
      <c r="IRB28" s="339" t="s">
        <v>141</v>
      </c>
      <c r="IRC28" s="305"/>
      <c r="IRD28" s="305">
        <v>1</v>
      </c>
      <c r="IRE28" s="304">
        <f t="shared" ref="IRE28" si="979">EDATE(IRA28,IRD28)</f>
        <v>45523</v>
      </c>
      <c r="IRF28" s="340">
        <v>0</v>
      </c>
      <c r="IRG28" s="320">
        <f t="shared" ref="IRG28" ca="1" si="980">IF(IRH28&gt;=1,(IRF28/IRD28),0)</f>
        <v>0</v>
      </c>
      <c r="IRH28" s="292">
        <f t="shared" ref="IRH28" ca="1" si="981">IRE28-$G$5</f>
        <v>-591</v>
      </c>
      <c r="IRI28" s="259" t="s">
        <v>55</v>
      </c>
      <c r="IRJ28" s="256" t="s">
        <v>76</v>
      </c>
      <c r="IRK28" s="256" t="s">
        <v>77</v>
      </c>
      <c r="IRL28" s="256" t="s">
        <v>78</v>
      </c>
      <c r="IRM28" s="256" t="s">
        <v>79</v>
      </c>
      <c r="IRN28" s="256" t="s">
        <v>80</v>
      </c>
      <c r="IRO28" s="256" t="s">
        <v>81</v>
      </c>
      <c r="IRP28" s="331"/>
      <c r="IRQ28" s="290">
        <v>45492</v>
      </c>
      <c r="IRR28" s="339" t="s">
        <v>141</v>
      </c>
      <c r="IRS28" s="305"/>
      <c r="IRT28" s="305">
        <v>1</v>
      </c>
      <c r="IRU28" s="304">
        <f t="shared" ref="IRU28" si="982">EDATE(IRQ28,IRT28)</f>
        <v>45523</v>
      </c>
      <c r="IRV28" s="340">
        <v>0</v>
      </c>
      <c r="IRW28" s="320">
        <f t="shared" ref="IRW28" ca="1" si="983">IF(IRX28&gt;=1,(IRV28/IRT28),0)</f>
        <v>0</v>
      </c>
      <c r="IRX28" s="292">
        <f t="shared" ref="IRX28" ca="1" si="984">IRU28-$G$5</f>
        <v>-591</v>
      </c>
      <c r="IRY28" s="259" t="s">
        <v>55</v>
      </c>
      <c r="IRZ28" s="256" t="s">
        <v>76</v>
      </c>
      <c r="ISA28" s="256" t="s">
        <v>77</v>
      </c>
      <c r="ISB28" s="256" t="s">
        <v>78</v>
      </c>
      <c r="ISC28" s="256" t="s">
        <v>79</v>
      </c>
      <c r="ISD28" s="256" t="s">
        <v>80</v>
      </c>
      <c r="ISE28" s="256" t="s">
        <v>81</v>
      </c>
      <c r="ISF28" s="331"/>
      <c r="ISG28" s="290">
        <v>45492</v>
      </c>
      <c r="ISH28" s="339" t="s">
        <v>141</v>
      </c>
      <c r="ISI28" s="305"/>
      <c r="ISJ28" s="305">
        <v>1</v>
      </c>
      <c r="ISK28" s="304">
        <f t="shared" ref="ISK28" si="985">EDATE(ISG28,ISJ28)</f>
        <v>45523</v>
      </c>
      <c r="ISL28" s="340">
        <v>0</v>
      </c>
      <c r="ISM28" s="320">
        <f t="shared" ref="ISM28" ca="1" si="986">IF(ISN28&gt;=1,(ISL28/ISJ28),0)</f>
        <v>0</v>
      </c>
      <c r="ISN28" s="292">
        <f t="shared" ref="ISN28" ca="1" si="987">ISK28-$G$5</f>
        <v>-591</v>
      </c>
      <c r="ISO28" s="259" t="s">
        <v>55</v>
      </c>
      <c r="ISP28" s="256" t="s">
        <v>76</v>
      </c>
      <c r="ISQ28" s="256" t="s">
        <v>77</v>
      </c>
      <c r="ISR28" s="256" t="s">
        <v>78</v>
      </c>
      <c r="ISS28" s="256" t="s">
        <v>79</v>
      </c>
      <c r="IST28" s="256" t="s">
        <v>80</v>
      </c>
      <c r="ISU28" s="256" t="s">
        <v>81</v>
      </c>
      <c r="ISV28" s="331"/>
      <c r="ISW28" s="290">
        <v>45492</v>
      </c>
      <c r="ISX28" s="339" t="s">
        <v>141</v>
      </c>
      <c r="ISY28" s="305"/>
      <c r="ISZ28" s="305">
        <v>1</v>
      </c>
      <c r="ITA28" s="304">
        <f t="shared" ref="ITA28" si="988">EDATE(ISW28,ISZ28)</f>
        <v>45523</v>
      </c>
      <c r="ITB28" s="340">
        <v>0</v>
      </c>
      <c r="ITC28" s="320">
        <f t="shared" ref="ITC28" ca="1" si="989">IF(ITD28&gt;=1,(ITB28/ISZ28),0)</f>
        <v>0</v>
      </c>
      <c r="ITD28" s="292">
        <f t="shared" ref="ITD28" ca="1" si="990">ITA28-$G$5</f>
        <v>-591</v>
      </c>
      <c r="ITE28" s="259" t="s">
        <v>55</v>
      </c>
      <c r="ITF28" s="256" t="s">
        <v>76</v>
      </c>
      <c r="ITG28" s="256" t="s">
        <v>77</v>
      </c>
      <c r="ITH28" s="256" t="s">
        <v>78</v>
      </c>
      <c r="ITI28" s="256" t="s">
        <v>79</v>
      </c>
      <c r="ITJ28" s="256" t="s">
        <v>80</v>
      </c>
      <c r="ITK28" s="256" t="s">
        <v>81</v>
      </c>
      <c r="ITL28" s="331"/>
      <c r="ITM28" s="290">
        <v>45492</v>
      </c>
      <c r="ITN28" s="339" t="s">
        <v>141</v>
      </c>
      <c r="ITO28" s="305"/>
      <c r="ITP28" s="305">
        <v>1</v>
      </c>
      <c r="ITQ28" s="304">
        <f t="shared" ref="ITQ28" si="991">EDATE(ITM28,ITP28)</f>
        <v>45523</v>
      </c>
      <c r="ITR28" s="340">
        <v>0</v>
      </c>
      <c r="ITS28" s="320">
        <f t="shared" ref="ITS28" ca="1" si="992">IF(ITT28&gt;=1,(ITR28/ITP28),0)</f>
        <v>0</v>
      </c>
      <c r="ITT28" s="292">
        <f t="shared" ref="ITT28" ca="1" si="993">ITQ28-$G$5</f>
        <v>-591</v>
      </c>
      <c r="ITU28" s="259" t="s">
        <v>55</v>
      </c>
      <c r="ITV28" s="256" t="s">
        <v>76</v>
      </c>
      <c r="ITW28" s="256" t="s">
        <v>77</v>
      </c>
      <c r="ITX28" s="256" t="s">
        <v>78</v>
      </c>
      <c r="ITY28" s="256" t="s">
        <v>79</v>
      </c>
      <c r="ITZ28" s="256" t="s">
        <v>80</v>
      </c>
      <c r="IUA28" s="256" t="s">
        <v>81</v>
      </c>
      <c r="IUB28" s="331"/>
      <c r="IUC28" s="290">
        <v>45492</v>
      </c>
      <c r="IUD28" s="339" t="s">
        <v>141</v>
      </c>
      <c r="IUE28" s="305"/>
      <c r="IUF28" s="305">
        <v>1</v>
      </c>
      <c r="IUG28" s="304">
        <f t="shared" ref="IUG28" si="994">EDATE(IUC28,IUF28)</f>
        <v>45523</v>
      </c>
      <c r="IUH28" s="340">
        <v>0</v>
      </c>
      <c r="IUI28" s="320">
        <f t="shared" ref="IUI28" ca="1" si="995">IF(IUJ28&gt;=1,(IUH28/IUF28),0)</f>
        <v>0</v>
      </c>
      <c r="IUJ28" s="292">
        <f t="shared" ref="IUJ28" ca="1" si="996">IUG28-$G$5</f>
        <v>-591</v>
      </c>
      <c r="IUK28" s="259" t="s">
        <v>55</v>
      </c>
      <c r="IUL28" s="256" t="s">
        <v>76</v>
      </c>
      <c r="IUM28" s="256" t="s">
        <v>77</v>
      </c>
      <c r="IUN28" s="256" t="s">
        <v>78</v>
      </c>
      <c r="IUO28" s="256" t="s">
        <v>79</v>
      </c>
      <c r="IUP28" s="256" t="s">
        <v>80</v>
      </c>
      <c r="IUQ28" s="256" t="s">
        <v>81</v>
      </c>
      <c r="IUR28" s="331"/>
      <c r="IUS28" s="290">
        <v>45492</v>
      </c>
      <c r="IUT28" s="339" t="s">
        <v>141</v>
      </c>
      <c r="IUU28" s="305"/>
      <c r="IUV28" s="305">
        <v>1</v>
      </c>
      <c r="IUW28" s="304">
        <f t="shared" ref="IUW28" si="997">EDATE(IUS28,IUV28)</f>
        <v>45523</v>
      </c>
      <c r="IUX28" s="340">
        <v>0</v>
      </c>
      <c r="IUY28" s="320">
        <f t="shared" ref="IUY28" ca="1" si="998">IF(IUZ28&gt;=1,(IUX28/IUV28),0)</f>
        <v>0</v>
      </c>
      <c r="IUZ28" s="292">
        <f t="shared" ref="IUZ28" ca="1" si="999">IUW28-$G$5</f>
        <v>-591</v>
      </c>
      <c r="IVA28" s="259" t="s">
        <v>55</v>
      </c>
      <c r="IVB28" s="256" t="s">
        <v>76</v>
      </c>
      <c r="IVC28" s="256" t="s">
        <v>77</v>
      </c>
      <c r="IVD28" s="256" t="s">
        <v>78</v>
      </c>
      <c r="IVE28" s="256" t="s">
        <v>79</v>
      </c>
      <c r="IVF28" s="256" t="s">
        <v>80</v>
      </c>
      <c r="IVG28" s="256" t="s">
        <v>81</v>
      </c>
      <c r="IVH28" s="331"/>
      <c r="IVI28" s="290">
        <v>45492</v>
      </c>
      <c r="IVJ28" s="339" t="s">
        <v>141</v>
      </c>
      <c r="IVK28" s="305"/>
      <c r="IVL28" s="305">
        <v>1</v>
      </c>
      <c r="IVM28" s="304">
        <f t="shared" ref="IVM28" si="1000">EDATE(IVI28,IVL28)</f>
        <v>45523</v>
      </c>
      <c r="IVN28" s="340">
        <v>0</v>
      </c>
      <c r="IVO28" s="320">
        <f t="shared" ref="IVO28" ca="1" si="1001">IF(IVP28&gt;=1,(IVN28/IVL28),0)</f>
        <v>0</v>
      </c>
      <c r="IVP28" s="292">
        <f t="shared" ref="IVP28" ca="1" si="1002">IVM28-$G$5</f>
        <v>-591</v>
      </c>
      <c r="IVQ28" s="259" t="s">
        <v>55</v>
      </c>
      <c r="IVR28" s="256" t="s">
        <v>76</v>
      </c>
      <c r="IVS28" s="256" t="s">
        <v>77</v>
      </c>
      <c r="IVT28" s="256" t="s">
        <v>78</v>
      </c>
      <c r="IVU28" s="256" t="s">
        <v>79</v>
      </c>
      <c r="IVV28" s="256" t="s">
        <v>80</v>
      </c>
      <c r="IVW28" s="256" t="s">
        <v>81</v>
      </c>
      <c r="IVX28" s="331"/>
      <c r="IVY28" s="290">
        <v>45492</v>
      </c>
      <c r="IVZ28" s="339" t="s">
        <v>141</v>
      </c>
      <c r="IWA28" s="305"/>
      <c r="IWB28" s="305">
        <v>1</v>
      </c>
      <c r="IWC28" s="304">
        <f t="shared" ref="IWC28" si="1003">EDATE(IVY28,IWB28)</f>
        <v>45523</v>
      </c>
      <c r="IWD28" s="340">
        <v>0</v>
      </c>
      <c r="IWE28" s="320">
        <f t="shared" ref="IWE28" ca="1" si="1004">IF(IWF28&gt;=1,(IWD28/IWB28),0)</f>
        <v>0</v>
      </c>
      <c r="IWF28" s="292">
        <f t="shared" ref="IWF28" ca="1" si="1005">IWC28-$G$5</f>
        <v>-591</v>
      </c>
      <c r="IWG28" s="259" t="s">
        <v>55</v>
      </c>
      <c r="IWH28" s="256" t="s">
        <v>76</v>
      </c>
      <c r="IWI28" s="256" t="s">
        <v>77</v>
      </c>
      <c r="IWJ28" s="256" t="s">
        <v>78</v>
      </c>
      <c r="IWK28" s="256" t="s">
        <v>79</v>
      </c>
      <c r="IWL28" s="256" t="s">
        <v>80</v>
      </c>
      <c r="IWM28" s="256" t="s">
        <v>81</v>
      </c>
      <c r="IWN28" s="331"/>
      <c r="IWO28" s="290">
        <v>45492</v>
      </c>
      <c r="IWP28" s="339" t="s">
        <v>141</v>
      </c>
      <c r="IWQ28" s="305"/>
      <c r="IWR28" s="305">
        <v>1</v>
      </c>
      <c r="IWS28" s="304">
        <f t="shared" ref="IWS28" si="1006">EDATE(IWO28,IWR28)</f>
        <v>45523</v>
      </c>
      <c r="IWT28" s="340">
        <v>0</v>
      </c>
      <c r="IWU28" s="320">
        <f t="shared" ref="IWU28" ca="1" si="1007">IF(IWV28&gt;=1,(IWT28/IWR28),0)</f>
        <v>0</v>
      </c>
      <c r="IWV28" s="292">
        <f t="shared" ref="IWV28" ca="1" si="1008">IWS28-$G$5</f>
        <v>-591</v>
      </c>
      <c r="IWW28" s="259" t="s">
        <v>55</v>
      </c>
      <c r="IWX28" s="256" t="s">
        <v>76</v>
      </c>
      <c r="IWY28" s="256" t="s">
        <v>77</v>
      </c>
      <c r="IWZ28" s="256" t="s">
        <v>78</v>
      </c>
      <c r="IXA28" s="256" t="s">
        <v>79</v>
      </c>
      <c r="IXB28" s="256" t="s">
        <v>80</v>
      </c>
      <c r="IXC28" s="256" t="s">
        <v>81</v>
      </c>
      <c r="IXD28" s="331"/>
      <c r="IXE28" s="290">
        <v>45492</v>
      </c>
      <c r="IXF28" s="339" t="s">
        <v>141</v>
      </c>
      <c r="IXG28" s="305"/>
      <c r="IXH28" s="305">
        <v>1</v>
      </c>
      <c r="IXI28" s="304">
        <f t="shared" ref="IXI28" si="1009">EDATE(IXE28,IXH28)</f>
        <v>45523</v>
      </c>
      <c r="IXJ28" s="340">
        <v>0</v>
      </c>
      <c r="IXK28" s="320">
        <f t="shared" ref="IXK28" ca="1" si="1010">IF(IXL28&gt;=1,(IXJ28/IXH28),0)</f>
        <v>0</v>
      </c>
      <c r="IXL28" s="292">
        <f t="shared" ref="IXL28" ca="1" si="1011">IXI28-$G$5</f>
        <v>-591</v>
      </c>
      <c r="IXM28" s="259" t="s">
        <v>55</v>
      </c>
      <c r="IXN28" s="256" t="s">
        <v>76</v>
      </c>
      <c r="IXO28" s="256" t="s">
        <v>77</v>
      </c>
      <c r="IXP28" s="256" t="s">
        <v>78</v>
      </c>
      <c r="IXQ28" s="256" t="s">
        <v>79</v>
      </c>
      <c r="IXR28" s="256" t="s">
        <v>80</v>
      </c>
      <c r="IXS28" s="256" t="s">
        <v>81</v>
      </c>
      <c r="IXT28" s="331"/>
      <c r="IXU28" s="290">
        <v>45492</v>
      </c>
      <c r="IXV28" s="339" t="s">
        <v>141</v>
      </c>
      <c r="IXW28" s="305"/>
      <c r="IXX28" s="305">
        <v>1</v>
      </c>
      <c r="IXY28" s="304">
        <f t="shared" ref="IXY28" si="1012">EDATE(IXU28,IXX28)</f>
        <v>45523</v>
      </c>
      <c r="IXZ28" s="340">
        <v>0</v>
      </c>
      <c r="IYA28" s="320">
        <f t="shared" ref="IYA28" ca="1" si="1013">IF(IYB28&gt;=1,(IXZ28/IXX28),0)</f>
        <v>0</v>
      </c>
      <c r="IYB28" s="292">
        <f t="shared" ref="IYB28" ca="1" si="1014">IXY28-$G$5</f>
        <v>-591</v>
      </c>
      <c r="IYC28" s="259" t="s">
        <v>55</v>
      </c>
      <c r="IYD28" s="256" t="s">
        <v>76</v>
      </c>
      <c r="IYE28" s="256" t="s">
        <v>77</v>
      </c>
      <c r="IYF28" s="256" t="s">
        <v>78</v>
      </c>
      <c r="IYG28" s="256" t="s">
        <v>79</v>
      </c>
      <c r="IYH28" s="256" t="s">
        <v>80</v>
      </c>
      <c r="IYI28" s="256" t="s">
        <v>81</v>
      </c>
      <c r="IYJ28" s="331"/>
      <c r="IYK28" s="290">
        <v>45492</v>
      </c>
      <c r="IYL28" s="339" t="s">
        <v>141</v>
      </c>
      <c r="IYM28" s="305"/>
      <c r="IYN28" s="305">
        <v>1</v>
      </c>
      <c r="IYO28" s="304">
        <f t="shared" ref="IYO28" si="1015">EDATE(IYK28,IYN28)</f>
        <v>45523</v>
      </c>
      <c r="IYP28" s="340">
        <v>0</v>
      </c>
      <c r="IYQ28" s="320">
        <f t="shared" ref="IYQ28" ca="1" si="1016">IF(IYR28&gt;=1,(IYP28/IYN28),0)</f>
        <v>0</v>
      </c>
      <c r="IYR28" s="292">
        <f t="shared" ref="IYR28" ca="1" si="1017">IYO28-$G$5</f>
        <v>-591</v>
      </c>
      <c r="IYS28" s="259" t="s">
        <v>55</v>
      </c>
      <c r="IYT28" s="256" t="s">
        <v>76</v>
      </c>
      <c r="IYU28" s="256" t="s">
        <v>77</v>
      </c>
      <c r="IYV28" s="256" t="s">
        <v>78</v>
      </c>
      <c r="IYW28" s="256" t="s">
        <v>79</v>
      </c>
      <c r="IYX28" s="256" t="s">
        <v>80</v>
      </c>
      <c r="IYY28" s="256" t="s">
        <v>81</v>
      </c>
      <c r="IYZ28" s="331"/>
      <c r="IZA28" s="290">
        <v>45492</v>
      </c>
      <c r="IZB28" s="339" t="s">
        <v>141</v>
      </c>
      <c r="IZC28" s="305"/>
      <c r="IZD28" s="305">
        <v>1</v>
      </c>
      <c r="IZE28" s="304">
        <f t="shared" ref="IZE28" si="1018">EDATE(IZA28,IZD28)</f>
        <v>45523</v>
      </c>
      <c r="IZF28" s="340">
        <v>0</v>
      </c>
      <c r="IZG28" s="320">
        <f t="shared" ref="IZG28" ca="1" si="1019">IF(IZH28&gt;=1,(IZF28/IZD28),0)</f>
        <v>0</v>
      </c>
      <c r="IZH28" s="292">
        <f t="shared" ref="IZH28" ca="1" si="1020">IZE28-$G$5</f>
        <v>-591</v>
      </c>
      <c r="IZI28" s="259" t="s">
        <v>55</v>
      </c>
      <c r="IZJ28" s="256" t="s">
        <v>76</v>
      </c>
      <c r="IZK28" s="256" t="s">
        <v>77</v>
      </c>
      <c r="IZL28" s="256" t="s">
        <v>78</v>
      </c>
      <c r="IZM28" s="256" t="s">
        <v>79</v>
      </c>
      <c r="IZN28" s="256" t="s">
        <v>80</v>
      </c>
      <c r="IZO28" s="256" t="s">
        <v>81</v>
      </c>
      <c r="IZP28" s="331"/>
      <c r="IZQ28" s="290">
        <v>45492</v>
      </c>
      <c r="IZR28" s="339" t="s">
        <v>141</v>
      </c>
      <c r="IZS28" s="305"/>
      <c r="IZT28" s="305">
        <v>1</v>
      </c>
      <c r="IZU28" s="304">
        <f t="shared" ref="IZU28" si="1021">EDATE(IZQ28,IZT28)</f>
        <v>45523</v>
      </c>
      <c r="IZV28" s="340">
        <v>0</v>
      </c>
      <c r="IZW28" s="320">
        <f t="shared" ref="IZW28" ca="1" si="1022">IF(IZX28&gt;=1,(IZV28/IZT28),0)</f>
        <v>0</v>
      </c>
      <c r="IZX28" s="292">
        <f t="shared" ref="IZX28" ca="1" si="1023">IZU28-$G$5</f>
        <v>-591</v>
      </c>
      <c r="IZY28" s="259" t="s">
        <v>55</v>
      </c>
      <c r="IZZ28" s="256" t="s">
        <v>76</v>
      </c>
      <c r="JAA28" s="256" t="s">
        <v>77</v>
      </c>
      <c r="JAB28" s="256" t="s">
        <v>78</v>
      </c>
      <c r="JAC28" s="256" t="s">
        <v>79</v>
      </c>
      <c r="JAD28" s="256" t="s">
        <v>80</v>
      </c>
      <c r="JAE28" s="256" t="s">
        <v>81</v>
      </c>
      <c r="JAF28" s="331"/>
      <c r="JAG28" s="290">
        <v>45492</v>
      </c>
      <c r="JAH28" s="339" t="s">
        <v>141</v>
      </c>
      <c r="JAI28" s="305"/>
      <c r="JAJ28" s="305">
        <v>1</v>
      </c>
      <c r="JAK28" s="304">
        <f t="shared" ref="JAK28" si="1024">EDATE(JAG28,JAJ28)</f>
        <v>45523</v>
      </c>
      <c r="JAL28" s="340">
        <v>0</v>
      </c>
      <c r="JAM28" s="320">
        <f t="shared" ref="JAM28" ca="1" si="1025">IF(JAN28&gt;=1,(JAL28/JAJ28),0)</f>
        <v>0</v>
      </c>
      <c r="JAN28" s="292">
        <f t="shared" ref="JAN28" ca="1" si="1026">JAK28-$G$5</f>
        <v>-591</v>
      </c>
      <c r="JAO28" s="259" t="s">
        <v>55</v>
      </c>
      <c r="JAP28" s="256" t="s">
        <v>76</v>
      </c>
      <c r="JAQ28" s="256" t="s">
        <v>77</v>
      </c>
      <c r="JAR28" s="256" t="s">
        <v>78</v>
      </c>
      <c r="JAS28" s="256" t="s">
        <v>79</v>
      </c>
      <c r="JAT28" s="256" t="s">
        <v>80</v>
      </c>
      <c r="JAU28" s="256" t="s">
        <v>81</v>
      </c>
      <c r="JAV28" s="331"/>
      <c r="JAW28" s="290">
        <v>45492</v>
      </c>
      <c r="JAX28" s="339" t="s">
        <v>141</v>
      </c>
      <c r="JAY28" s="305"/>
      <c r="JAZ28" s="305">
        <v>1</v>
      </c>
      <c r="JBA28" s="304">
        <f t="shared" ref="JBA28" si="1027">EDATE(JAW28,JAZ28)</f>
        <v>45523</v>
      </c>
      <c r="JBB28" s="340">
        <v>0</v>
      </c>
      <c r="JBC28" s="320">
        <f t="shared" ref="JBC28" ca="1" si="1028">IF(JBD28&gt;=1,(JBB28/JAZ28),0)</f>
        <v>0</v>
      </c>
      <c r="JBD28" s="292">
        <f t="shared" ref="JBD28" ca="1" si="1029">JBA28-$G$5</f>
        <v>-591</v>
      </c>
      <c r="JBE28" s="259" t="s">
        <v>55</v>
      </c>
      <c r="JBF28" s="256" t="s">
        <v>76</v>
      </c>
      <c r="JBG28" s="256" t="s">
        <v>77</v>
      </c>
      <c r="JBH28" s="256" t="s">
        <v>78</v>
      </c>
      <c r="JBI28" s="256" t="s">
        <v>79</v>
      </c>
      <c r="JBJ28" s="256" t="s">
        <v>80</v>
      </c>
      <c r="JBK28" s="256" t="s">
        <v>81</v>
      </c>
      <c r="JBL28" s="331"/>
      <c r="JBM28" s="290">
        <v>45492</v>
      </c>
      <c r="JBN28" s="339" t="s">
        <v>141</v>
      </c>
      <c r="JBO28" s="305"/>
      <c r="JBP28" s="305">
        <v>1</v>
      </c>
      <c r="JBQ28" s="304">
        <f t="shared" ref="JBQ28" si="1030">EDATE(JBM28,JBP28)</f>
        <v>45523</v>
      </c>
      <c r="JBR28" s="340">
        <v>0</v>
      </c>
      <c r="JBS28" s="320">
        <f t="shared" ref="JBS28" ca="1" si="1031">IF(JBT28&gt;=1,(JBR28/JBP28),0)</f>
        <v>0</v>
      </c>
      <c r="JBT28" s="292">
        <f t="shared" ref="JBT28" ca="1" si="1032">JBQ28-$G$5</f>
        <v>-591</v>
      </c>
      <c r="JBU28" s="259" t="s">
        <v>55</v>
      </c>
      <c r="JBV28" s="256" t="s">
        <v>76</v>
      </c>
      <c r="JBW28" s="256" t="s">
        <v>77</v>
      </c>
      <c r="JBX28" s="256" t="s">
        <v>78</v>
      </c>
      <c r="JBY28" s="256" t="s">
        <v>79</v>
      </c>
      <c r="JBZ28" s="256" t="s">
        <v>80</v>
      </c>
      <c r="JCA28" s="256" t="s">
        <v>81</v>
      </c>
      <c r="JCB28" s="331"/>
      <c r="JCC28" s="290">
        <v>45492</v>
      </c>
      <c r="JCD28" s="339" t="s">
        <v>141</v>
      </c>
      <c r="JCE28" s="305"/>
      <c r="JCF28" s="305">
        <v>1</v>
      </c>
      <c r="JCG28" s="304">
        <f t="shared" ref="JCG28" si="1033">EDATE(JCC28,JCF28)</f>
        <v>45523</v>
      </c>
      <c r="JCH28" s="340">
        <v>0</v>
      </c>
      <c r="JCI28" s="320">
        <f t="shared" ref="JCI28" ca="1" si="1034">IF(JCJ28&gt;=1,(JCH28/JCF28),0)</f>
        <v>0</v>
      </c>
      <c r="JCJ28" s="292">
        <f t="shared" ref="JCJ28" ca="1" si="1035">JCG28-$G$5</f>
        <v>-591</v>
      </c>
      <c r="JCK28" s="259" t="s">
        <v>55</v>
      </c>
      <c r="JCL28" s="256" t="s">
        <v>76</v>
      </c>
      <c r="JCM28" s="256" t="s">
        <v>77</v>
      </c>
      <c r="JCN28" s="256" t="s">
        <v>78</v>
      </c>
      <c r="JCO28" s="256" t="s">
        <v>79</v>
      </c>
      <c r="JCP28" s="256" t="s">
        <v>80</v>
      </c>
      <c r="JCQ28" s="256" t="s">
        <v>81</v>
      </c>
      <c r="JCR28" s="331"/>
      <c r="JCS28" s="290">
        <v>45492</v>
      </c>
      <c r="JCT28" s="339" t="s">
        <v>141</v>
      </c>
      <c r="JCU28" s="305"/>
      <c r="JCV28" s="305">
        <v>1</v>
      </c>
      <c r="JCW28" s="304">
        <f t="shared" ref="JCW28" si="1036">EDATE(JCS28,JCV28)</f>
        <v>45523</v>
      </c>
      <c r="JCX28" s="340">
        <v>0</v>
      </c>
      <c r="JCY28" s="320">
        <f t="shared" ref="JCY28" ca="1" si="1037">IF(JCZ28&gt;=1,(JCX28/JCV28),0)</f>
        <v>0</v>
      </c>
      <c r="JCZ28" s="292">
        <f t="shared" ref="JCZ28" ca="1" si="1038">JCW28-$G$5</f>
        <v>-591</v>
      </c>
      <c r="JDA28" s="259" t="s">
        <v>55</v>
      </c>
      <c r="JDB28" s="256" t="s">
        <v>76</v>
      </c>
      <c r="JDC28" s="256" t="s">
        <v>77</v>
      </c>
      <c r="JDD28" s="256" t="s">
        <v>78</v>
      </c>
      <c r="JDE28" s="256" t="s">
        <v>79</v>
      </c>
      <c r="JDF28" s="256" t="s">
        <v>80</v>
      </c>
      <c r="JDG28" s="256" t="s">
        <v>81</v>
      </c>
      <c r="JDH28" s="331"/>
      <c r="JDI28" s="290">
        <v>45492</v>
      </c>
      <c r="JDJ28" s="339" t="s">
        <v>141</v>
      </c>
      <c r="JDK28" s="305"/>
      <c r="JDL28" s="305">
        <v>1</v>
      </c>
      <c r="JDM28" s="304">
        <f t="shared" ref="JDM28" si="1039">EDATE(JDI28,JDL28)</f>
        <v>45523</v>
      </c>
      <c r="JDN28" s="340">
        <v>0</v>
      </c>
      <c r="JDO28" s="320">
        <f t="shared" ref="JDO28" ca="1" si="1040">IF(JDP28&gt;=1,(JDN28/JDL28),0)</f>
        <v>0</v>
      </c>
      <c r="JDP28" s="292">
        <f t="shared" ref="JDP28" ca="1" si="1041">JDM28-$G$5</f>
        <v>-591</v>
      </c>
      <c r="JDQ28" s="259" t="s">
        <v>55</v>
      </c>
      <c r="JDR28" s="256" t="s">
        <v>76</v>
      </c>
      <c r="JDS28" s="256" t="s">
        <v>77</v>
      </c>
      <c r="JDT28" s="256" t="s">
        <v>78</v>
      </c>
      <c r="JDU28" s="256" t="s">
        <v>79</v>
      </c>
      <c r="JDV28" s="256" t="s">
        <v>80</v>
      </c>
      <c r="JDW28" s="256" t="s">
        <v>81</v>
      </c>
      <c r="JDX28" s="331"/>
      <c r="JDY28" s="290">
        <v>45492</v>
      </c>
      <c r="JDZ28" s="339" t="s">
        <v>141</v>
      </c>
      <c r="JEA28" s="305"/>
      <c r="JEB28" s="305">
        <v>1</v>
      </c>
      <c r="JEC28" s="304">
        <f t="shared" ref="JEC28" si="1042">EDATE(JDY28,JEB28)</f>
        <v>45523</v>
      </c>
      <c r="JED28" s="340">
        <v>0</v>
      </c>
      <c r="JEE28" s="320">
        <f t="shared" ref="JEE28" ca="1" si="1043">IF(JEF28&gt;=1,(JED28/JEB28),0)</f>
        <v>0</v>
      </c>
      <c r="JEF28" s="292">
        <f t="shared" ref="JEF28" ca="1" si="1044">JEC28-$G$5</f>
        <v>-591</v>
      </c>
      <c r="JEG28" s="259" t="s">
        <v>55</v>
      </c>
      <c r="JEH28" s="256" t="s">
        <v>76</v>
      </c>
      <c r="JEI28" s="256" t="s">
        <v>77</v>
      </c>
      <c r="JEJ28" s="256" t="s">
        <v>78</v>
      </c>
      <c r="JEK28" s="256" t="s">
        <v>79</v>
      </c>
      <c r="JEL28" s="256" t="s">
        <v>80</v>
      </c>
      <c r="JEM28" s="256" t="s">
        <v>81</v>
      </c>
      <c r="JEN28" s="331"/>
      <c r="JEO28" s="290">
        <v>45492</v>
      </c>
      <c r="JEP28" s="339" t="s">
        <v>141</v>
      </c>
      <c r="JEQ28" s="305"/>
      <c r="JER28" s="305">
        <v>1</v>
      </c>
      <c r="JES28" s="304">
        <f t="shared" ref="JES28" si="1045">EDATE(JEO28,JER28)</f>
        <v>45523</v>
      </c>
      <c r="JET28" s="340">
        <v>0</v>
      </c>
      <c r="JEU28" s="320">
        <f t="shared" ref="JEU28" ca="1" si="1046">IF(JEV28&gt;=1,(JET28/JER28),0)</f>
        <v>0</v>
      </c>
      <c r="JEV28" s="292">
        <f t="shared" ref="JEV28" ca="1" si="1047">JES28-$G$5</f>
        <v>-591</v>
      </c>
      <c r="JEW28" s="259" t="s">
        <v>55</v>
      </c>
      <c r="JEX28" s="256" t="s">
        <v>76</v>
      </c>
      <c r="JEY28" s="256" t="s">
        <v>77</v>
      </c>
      <c r="JEZ28" s="256" t="s">
        <v>78</v>
      </c>
      <c r="JFA28" s="256" t="s">
        <v>79</v>
      </c>
      <c r="JFB28" s="256" t="s">
        <v>80</v>
      </c>
      <c r="JFC28" s="256" t="s">
        <v>81</v>
      </c>
      <c r="JFD28" s="331"/>
      <c r="JFE28" s="290">
        <v>45492</v>
      </c>
      <c r="JFF28" s="339" t="s">
        <v>141</v>
      </c>
      <c r="JFG28" s="305"/>
      <c r="JFH28" s="305">
        <v>1</v>
      </c>
      <c r="JFI28" s="304">
        <f t="shared" ref="JFI28" si="1048">EDATE(JFE28,JFH28)</f>
        <v>45523</v>
      </c>
      <c r="JFJ28" s="340">
        <v>0</v>
      </c>
      <c r="JFK28" s="320">
        <f t="shared" ref="JFK28" ca="1" si="1049">IF(JFL28&gt;=1,(JFJ28/JFH28),0)</f>
        <v>0</v>
      </c>
      <c r="JFL28" s="292">
        <f t="shared" ref="JFL28" ca="1" si="1050">JFI28-$G$5</f>
        <v>-591</v>
      </c>
      <c r="JFM28" s="259" t="s">
        <v>55</v>
      </c>
      <c r="JFN28" s="256" t="s">
        <v>76</v>
      </c>
      <c r="JFO28" s="256" t="s">
        <v>77</v>
      </c>
      <c r="JFP28" s="256" t="s">
        <v>78</v>
      </c>
      <c r="JFQ28" s="256" t="s">
        <v>79</v>
      </c>
      <c r="JFR28" s="256" t="s">
        <v>80</v>
      </c>
      <c r="JFS28" s="256" t="s">
        <v>81</v>
      </c>
      <c r="JFT28" s="331"/>
      <c r="JFU28" s="290">
        <v>45492</v>
      </c>
      <c r="JFV28" s="339" t="s">
        <v>141</v>
      </c>
      <c r="JFW28" s="305"/>
      <c r="JFX28" s="305">
        <v>1</v>
      </c>
      <c r="JFY28" s="304">
        <f t="shared" ref="JFY28" si="1051">EDATE(JFU28,JFX28)</f>
        <v>45523</v>
      </c>
      <c r="JFZ28" s="340">
        <v>0</v>
      </c>
      <c r="JGA28" s="320">
        <f t="shared" ref="JGA28" ca="1" si="1052">IF(JGB28&gt;=1,(JFZ28/JFX28),0)</f>
        <v>0</v>
      </c>
      <c r="JGB28" s="292">
        <f t="shared" ref="JGB28" ca="1" si="1053">JFY28-$G$5</f>
        <v>-591</v>
      </c>
      <c r="JGC28" s="259" t="s">
        <v>55</v>
      </c>
      <c r="JGD28" s="256" t="s">
        <v>76</v>
      </c>
      <c r="JGE28" s="256" t="s">
        <v>77</v>
      </c>
      <c r="JGF28" s="256" t="s">
        <v>78</v>
      </c>
      <c r="JGG28" s="256" t="s">
        <v>79</v>
      </c>
      <c r="JGH28" s="256" t="s">
        <v>80</v>
      </c>
      <c r="JGI28" s="256" t="s">
        <v>81</v>
      </c>
      <c r="JGJ28" s="331"/>
      <c r="JGK28" s="290">
        <v>45492</v>
      </c>
      <c r="JGL28" s="339" t="s">
        <v>141</v>
      </c>
      <c r="JGM28" s="305"/>
      <c r="JGN28" s="305">
        <v>1</v>
      </c>
      <c r="JGO28" s="304">
        <f t="shared" ref="JGO28" si="1054">EDATE(JGK28,JGN28)</f>
        <v>45523</v>
      </c>
      <c r="JGP28" s="340">
        <v>0</v>
      </c>
      <c r="JGQ28" s="320">
        <f t="shared" ref="JGQ28" ca="1" si="1055">IF(JGR28&gt;=1,(JGP28/JGN28),0)</f>
        <v>0</v>
      </c>
      <c r="JGR28" s="292">
        <f t="shared" ref="JGR28" ca="1" si="1056">JGO28-$G$5</f>
        <v>-591</v>
      </c>
      <c r="JGS28" s="259" t="s">
        <v>55</v>
      </c>
      <c r="JGT28" s="256" t="s">
        <v>76</v>
      </c>
      <c r="JGU28" s="256" t="s">
        <v>77</v>
      </c>
      <c r="JGV28" s="256" t="s">
        <v>78</v>
      </c>
      <c r="JGW28" s="256" t="s">
        <v>79</v>
      </c>
      <c r="JGX28" s="256" t="s">
        <v>80</v>
      </c>
      <c r="JGY28" s="256" t="s">
        <v>81</v>
      </c>
      <c r="JGZ28" s="331"/>
      <c r="JHA28" s="290">
        <v>45492</v>
      </c>
      <c r="JHB28" s="339" t="s">
        <v>141</v>
      </c>
      <c r="JHC28" s="305"/>
      <c r="JHD28" s="305">
        <v>1</v>
      </c>
      <c r="JHE28" s="304">
        <f t="shared" ref="JHE28" si="1057">EDATE(JHA28,JHD28)</f>
        <v>45523</v>
      </c>
      <c r="JHF28" s="340">
        <v>0</v>
      </c>
      <c r="JHG28" s="320">
        <f t="shared" ref="JHG28" ca="1" si="1058">IF(JHH28&gt;=1,(JHF28/JHD28),0)</f>
        <v>0</v>
      </c>
      <c r="JHH28" s="292">
        <f t="shared" ref="JHH28" ca="1" si="1059">JHE28-$G$5</f>
        <v>-591</v>
      </c>
      <c r="JHI28" s="259" t="s">
        <v>55</v>
      </c>
      <c r="JHJ28" s="256" t="s">
        <v>76</v>
      </c>
      <c r="JHK28" s="256" t="s">
        <v>77</v>
      </c>
      <c r="JHL28" s="256" t="s">
        <v>78</v>
      </c>
      <c r="JHM28" s="256" t="s">
        <v>79</v>
      </c>
      <c r="JHN28" s="256" t="s">
        <v>80</v>
      </c>
      <c r="JHO28" s="256" t="s">
        <v>81</v>
      </c>
      <c r="JHP28" s="331"/>
      <c r="JHQ28" s="290">
        <v>45492</v>
      </c>
      <c r="JHR28" s="339" t="s">
        <v>141</v>
      </c>
      <c r="JHS28" s="305"/>
      <c r="JHT28" s="305">
        <v>1</v>
      </c>
      <c r="JHU28" s="304">
        <f t="shared" ref="JHU28" si="1060">EDATE(JHQ28,JHT28)</f>
        <v>45523</v>
      </c>
      <c r="JHV28" s="340">
        <v>0</v>
      </c>
      <c r="JHW28" s="320">
        <f t="shared" ref="JHW28" ca="1" si="1061">IF(JHX28&gt;=1,(JHV28/JHT28),0)</f>
        <v>0</v>
      </c>
      <c r="JHX28" s="292">
        <f t="shared" ref="JHX28" ca="1" si="1062">JHU28-$G$5</f>
        <v>-591</v>
      </c>
      <c r="JHY28" s="259" t="s">
        <v>55</v>
      </c>
      <c r="JHZ28" s="256" t="s">
        <v>76</v>
      </c>
      <c r="JIA28" s="256" t="s">
        <v>77</v>
      </c>
      <c r="JIB28" s="256" t="s">
        <v>78</v>
      </c>
      <c r="JIC28" s="256" t="s">
        <v>79</v>
      </c>
      <c r="JID28" s="256" t="s">
        <v>80</v>
      </c>
      <c r="JIE28" s="256" t="s">
        <v>81</v>
      </c>
      <c r="JIF28" s="331"/>
      <c r="JIG28" s="290">
        <v>45492</v>
      </c>
      <c r="JIH28" s="339" t="s">
        <v>141</v>
      </c>
      <c r="JII28" s="305"/>
      <c r="JIJ28" s="305">
        <v>1</v>
      </c>
      <c r="JIK28" s="304">
        <f t="shared" ref="JIK28" si="1063">EDATE(JIG28,JIJ28)</f>
        <v>45523</v>
      </c>
      <c r="JIL28" s="340">
        <v>0</v>
      </c>
      <c r="JIM28" s="320">
        <f t="shared" ref="JIM28" ca="1" si="1064">IF(JIN28&gt;=1,(JIL28/JIJ28),0)</f>
        <v>0</v>
      </c>
      <c r="JIN28" s="292">
        <f t="shared" ref="JIN28" ca="1" si="1065">JIK28-$G$5</f>
        <v>-591</v>
      </c>
      <c r="JIO28" s="259" t="s">
        <v>55</v>
      </c>
      <c r="JIP28" s="256" t="s">
        <v>76</v>
      </c>
      <c r="JIQ28" s="256" t="s">
        <v>77</v>
      </c>
      <c r="JIR28" s="256" t="s">
        <v>78</v>
      </c>
      <c r="JIS28" s="256" t="s">
        <v>79</v>
      </c>
      <c r="JIT28" s="256" t="s">
        <v>80</v>
      </c>
      <c r="JIU28" s="256" t="s">
        <v>81</v>
      </c>
      <c r="JIV28" s="331"/>
      <c r="JIW28" s="290">
        <v>45492</v>
      </c>
      <c r="JIX28" s="339" t="s">
        <v>141</v>
      </c>
      <c r="JIY28" s="305"/>
      <c r="JIZ28" s="305">
        <v>1</v>
      </c>
      <c r="JJA28" s="304">
        <f t="shared" ref="JJA28" si="1066">EDATE(JIW28,JIZ28)</f>
        <v>45523</v>
      </c>
      <c r="JJB28" s="340">
        <v>0</v>
      </c>
      <c r="JJC28" s="320">
        <f t="shared" ref="JJC28" ca="1" si="1067">IF(JJD28&gt;=1,(JJB28/JIZ28),0)</f>
        <v>0</v>
      </c>
      <c r="JJD28" s="292">
        <f t="shared" ref="JJD28" ca="1" si="1068">JJA28-$G$5</f>
        <v>-591</v>
      </c>
      <c r="JJE28" s="259" t="s">
        <v>55</v>
      </c>
      <c r="JJF28" s="256" t="s">
        <v>76</v>
      </c>
      <c r="JJG28" s="256" t="s">
        <v>77</v>
      </c>
      <c r="JJH28" s="256" t="s">
        <v>78</v>
      </c>
      <c r="JJI28" s="256" t="s">
        <v>79</v>
      </c>
      <c r="JJJ28" s="256" t="s">
        <v>80</v>
      </c>
      <c r="JJK28" s="256" t="s">
        <v>81</v>
      </c>
      <c r="JJL28" s="331"/>
      <c r="JJM28" s="290">
        <v>45492</v>
      </c>
      <c r="JJN28" s="339" t="s">
        <v>141</v>
      </c>
      <c r="JJO28" s="305"/>
      <c r="JJP28" s="305">
        <v>1</v>
      </c>
      <c r="JJQ28" s="304">
        <f t="shared" ref="JJQ28" si="1069">EDATE(JJM28,JJP28)</f>
        <v>45523</v>
      </c>
      <c r="JJR28" s="340">
        <v>0</v>
      </c>
      <c r="JJS28" s="320">
        <f t="shared" ref="JJS28" ca="1" si="1070">IF(JJT28&gt;=1,(JJR28/JJP28),0)</f>
        <v>0</v>
      </c>
      <c r="JJT28" s="292">
        <f t="shared" ref="JJT28" ca="1" si="1071">JJQ28-$G$5</f>
        <v>-591</v>
      </c>
      <c r="JJU28" s="259" t="s">
        <v>55</v>
      </c>
      <c r="JJV28" s="256" t="s">
        <v>76</v>
      </c>
      <c r="JJW28" s="256" t="s">
        <v>77</v>
      </c>
      <c r="JJX28" s="256" t="s">
        <v>78</v>
      </c>
      <c r="JJY28" s="256" t="s">
        <v>79</v>
      </c>
      <c r="JJZ28" s="256" t="s">
        <v>80</v>
      </c>
      <c r="JKA28" s="256" t="s">
        <v>81</v>
      </c>
      <c r="JKB28" s="331"/>
      <c r="JKC28" s="290">
        <v>45492</v>
      </c>
      <c r="JKD28" s="339" t="s">
        <v>141</v>
      </c>
      <c r="JKE28" s="305"/>
      <c r="JKF28" s="305">
        <v>1</v>
      </c>
      <c r="JKG28" s="304">
        <f t="shared" ref="JKG28" si="1072">EDATE(JKC28,JKF28)</f>
        <v>45523</v>
      </c>
      <c r="JKH28" s="340">
        <v>0</v>
      </c>
      <c r="JKI28" s="320">
        <f t="shared" ref="JKI28" ca="1" si="1073">IF(JKJ28&gt;=1,(JKH28/JKF28),0)</f>
        <v>0</v>
      </c>
      <c r="JKJ28" s="292">
        <f t="shared" ref="JKJ28" ca="1" si="1074">JKG28-$G$5</f>
        <v>-591</v>
      </c>
      <c r="JKK28" s="259" t="s">
        <v>55</v>
      </c>
      <c r="JKL28" s="256" t="s">
        <v>76</v>
      </c>
      <c r="JKM28" s="256" t="s">
        <v>77</v>
      </c>
      <c r="JKN28" s="256" t="s">
        <v>78</v>
      </c>
      <c r="JKO28" s="256" t="s">
        <v>79</v>
      </c>
      <c r="JKP28" s="256" t="s">
        <v>80</v>
      </c>
      <c r="JKQ28" s="256" t="s">
        <v>81</v>
      </c>
      <c r="JKR28" s="331"/>
      <c r="JKS28" s="290">
        <v>45492</v>
      </c>
      <c r="JKT28" s="339" t="s">
        <v>141</v>
      </c>
      <c r="JKU28" s="305"/>
      <c r="JKV28" s="305">
        <v>1</v>
      </c>
      <c r="JKW28" s="304">
        <f t="shared" ref="JKW28" si="1075">EDATE(JKS28,JKV28)</f>
        <v>45523</v>
      </c>
      <c r="JKX28" s="340">
        <v>0</v>
      </c>
      <c r="JKY28" s="320">
        <f t="shared" ref="JKY28" ca="1" si="1076">IF(JKZ28&gt;=1,(JKX28/JKV28),0)</f>
        <v>0</v>
      </c>
      <c r="JKZ28" s="292">
        <f t="shared" ref="JKZ28" ca="1" si="1077">JKW28-$G$5</f>
        <v>-591</v>
      </c>
      <c r="JLA28" s="259" t="s">
        <v>55</v>
      </c>
      <c r="JLB28" s="256" t="s">
        <v>76</v>
      </c>
      <c r="JLC28" s="256" t="s">
        <v>77</v>
      </c>
      <c r="JLD28" s="256" t="s">
        <v>78</v>
      </c>
      <c r="JLE28" s="256" t="s">
        <v>79</v>
      </c>
      <c r="JLF28" s="256" t="s">
        <v>80</v>
      </c>
      <c r="JLG28" s="256" t="s">
        <v>81</v>
      </c>
      <c r="JLH28" s="331"/>
      <c r="JLI28" s="290">
        <v>45492</v>
      </c>
      <c r="JLJ28" s="339" t="s">
        <v>141</v>
      </c>
      <c r="JLK28" s="305"/>
      <c r="JLL28" s="305">
        <v>1</v>
      </c>
      <c r="JLM28" s="304">
        <f t="shared" ref="JLM28" si="1078">EDATE(JLI28,JLL28)</f>
        <v>45523</v>
      </c>
      <c r="JLN28" s="340">
        <v>0</v>
      </c>
      <c r="JLO28" s="320">
        <f t="shared" ref="JLO28" ca="1" si="1079">IF(JLP28&gt;=1,(JLN28/JLL28),0)</f>
        <v>0</v>
      </c>
      <c r="JLP28" s="292">
        <f t="shared" ref="JLP28" ca="1" si="1080">JLM28-$G$5</f>
        <v>-591</v>
      </c>
      <c r="JLQ28" s="259" t="s">
        <v>55</v>
      </c>
      <c r="JLR28" s="256" t="s">
        <v>76</v>
      </c>
      <c r="JLS28" s="256" t="s">
        <v>77</v>
      </c>
      <c r="JLT28" s="256" t="s">
        <v>78</v>
      </c>
      <c r="JLU28" s="256" t="s">
        <v>79</v>
      </c>
      <c r="JLV28" s="256" t="s">
        <v>80</v>
      </c>
      <c r="JLW28" s="256" t="s">
        <v>81</v>
      </c>
      <c r="JLX28" s="331"/>
      <c r="JLY28" s="290">
        <v>45492</v>
      </c>
      <c r="JLZ28" s="339" t="s">
        <v>141</v>
      </c>
      <c r="JMA28" s="305"/>
      <c r="JMB28" s="305">
        <v>1</v>
      </c>
      <c r="JMC28" s="304">
        <f t="shared" ref="JMC28" si="1081">EDATE(JLY28,JMB28)</f>
        <v>45523</v>
      </c>
      <c r="JMD28" s="340">
        <v>0</v>
      </c>
      <c r="JME28" s="320">
        <f t="shared" ref="JME28" ca="1" si="1082">IF(JMF28&gt;=1,(JMD28/JMB28),0)</f>
        <v>0</v>
      </c>
      <c r="JMF28" s="292">
        <f t="shared" ref="JMF28" ca="1" si="1083">JMC28-$G$5</f>
        <v>-591</v>
      </c>
      <c r="JMG28" s="259" t="s">
        <v>55</v>
      </c>
      <c r="JMH28" s="256" t="s">
        <v>76</v>
      </c>
      <c r="JMI28" s="256" t="s">
        <v>77</v>
      </c>
      <c r="JMJ28" s="256" t="s">
        <v>78</v>
      </c>
      <c r="JMK28" s="256" t="s">
        <v>79</v>
      </c>
      <c r="JML28" s="256" t="s">
        <v>80</v>
      </c>
      <c r="JMM28" s="256" t="s">
        <v>81</v>
      </c>
      <c r="JMN28" s="331"/>
      <c r="JMO28" s="290">
        <v>45492</v>
      </c>
      <c r="JMP28" s="339" t="s">
        <v>141</v>
      </c>
      <c r="JMQ28" s="305"/>
      <c r="JMR28" s="305">
        <v>1</v>
      </c>
      <c r="JMS28" s="304">
        <f t="shared" ref="JMS28" si="1084">EDATE(JMO28,JMR28)</f>
        <v>45523</v>
      </c>
      <c r="JMT28" s="340">
        <v>0</v>
      </c>
      <c r="JMU28" s="320">
        <f t="shared" ref="JMU28" ca="1" si="1085">IF(JMV28&gt;=1,(JMT28/JMR28),0)</f>
        <v>0</v>
      </c>
      <c r="JMV28" s="292">
        <f t="shared" ref="JMV28" ca="1" si="1086">JMS28-$G$5</f>
        <v>-591</v>
      </c>
      <c r="JMW28" s="259" t="s">
        <v>55</v>
      </c>
      <c r="JMX28" s="256" t="s">
        <v>76</v>
      </c>
      <c r="JMY28" s="256" t="s">
        <v>77</v>
      </c>
      <c r="JMZ28" s="256" t="s">
        <v>78</v>
      </c>
      <c r="JNA28" s="256" t="s">
        <v>79</v>
      </c>
      <c r="JNB28" s="256" t="s">
        <v>80</v>
      </c>
      <c r="JNC28" s="256" t="s">
        <v>81</v>
      </c>
      <c r="JND28" s="331"/>
      <c r="JNE28" s="290">
        <v>45492</v>
      </c>
      <c r="JNF28" s="339" t="s">
        <v>141</v>
      </c>
      <c r="JNG28" s="305"/>
      <c r="JNH28" s="305">
        <v>1</v>
      </c>
      <c r="JNI28" s="304">
        <f t="shared" ref="JNI28" si="1087">EDATE(JNE28,JNH28)</f>
        <v>45523</v>
      </c>
      <c r="JNJ28" s="340">
        <v>0</v>
      </c>
      <c r="JNK28" s="320">
        <f t="shared" ref="JNK28" ca="1" si="1088">IF(JNL28&gt;=1,(JNJ28/JNH28),0)</f>
        <v>0</v>
      </c>
      <c r="JNL28" s="292">
        <f t="shared" ref="JNL28" ca="1" si="1089">JNI28-$G$5</f>
        <v>-591</v>
      </c>
      <c r="JNM28" s="259" t="s">
        <v>55</v>
      </c>
      <c r="JNN28" s="256" t="s">
        <v>76</v>
      </c>
      <c r="JNO28" s="256" t="s">
        <v>77</v>
      </c>
      <c r="JNP28" s="256" t="s">
        <v>78</v>
      </c>
      <c r="JNQ28" s="256" t="s">
        <v>79</v>
      </c>
      <c r="JNR28" s="256" t="s">
        <v>80</v>
      </c>
      <c r="JNS28" s="256" t="s">
        <v>81</v>
      </c>
      <c r="JNT28" s="331"/>
      <c r="JNU28" s="290">
        <v>45492</v>
      </c>
      <c r="JNV28" s="339" t="s">
        <v>141</v>
      </c>
      <c r="JNW28" s="305"/>
      <c r="JNX28" s="305">
        <v>1</v>
      </c>
      <c r="JNY28" s="304">
        <f t="shared" ref="JNY28" si="1090">EDATE(JNU28,JNX28)</f>
        <v>45523</v>
      </c>
      <c r="JNZ28" s="340">
        <v>0</v>
      </c>
      <c r="JOA28" s="320">
        <f t="shared" ref="JOA28" ca="1" si="1091">IF(JOB28&gt;=1,(JNZ28/JNX28),0)</f>
        <v>0</v>
      </c>
      <c r="JOB28" s="292">
        <f t="shared" ref="JOB28" ca="1" si="1092">JNY28-$G$5</f>
        <v>-591</v>
      </c>
      <c r="JOC28" s="259" t="s">
        <v>55</v>
      </c>
      <c r="JOD28" s="256" t="s">
        <v>76</v>
      </c>
      <c r="JOE28" s="256" t="s">
        <v>77</v>
      </c>
      <c r="JOF28" s="256" t="s">
        <v>78</v>
      </c>
      <c r="JOG28" s="256" t="s">
        <v>79</v>
      </c>
      <c r="JOH28" s="256" t="s">
        <v>80</v>
      </c>
      <c r="JOI28" s="256" t="s">
        <v>81</v>
      </c>
      <c r="JOJ28" s="331"/>
      <c r="JOK28" s="290">
        <v>45492</v>
      </c>
      <c r="JOL28" s="339" t="s">
        <v>141</v>
      </c>
      <c r="JOM28" s="305"/>
      <c r="JON28" s="305">
        <v>1</v>
      </c>
      <c r="JOO28" s="304">
        <f t="shared" ref="JOO28" si="1093">EDATE(JOK28,JON28)</f>
        <v>45523</v>
      </c>
      <c r="JOP28" s="340">
        <v>0</v>
      </c>
      <c r="JOQ28" s="320">
        <f t="shared" ref="JOQ28" ca="1" si="1094">IF(JOR28&gt;=1,(JOP28/JON28),0)</f>
        <v>0</v>
      </c>
      <c r="JOR28" s="292">
        <f t="shared" ref="JOR28" ca="1" si="1095">JOO28-$G$5</f>
        <v>-591</v>
      </c>
      <c r="JOS28" s="259" t="s">
        <v>55</v>
      </c>
      <c r="JOT28" s="256" t="s">
        <v>76</v>
      </c>
      <c r="JOU28" s="256" t="s">
        <v>77</v>
      </c>
      <c r="JOV28" s="256" t="s">
        <v>78</v>
      </c>
      <c r="JOW28" s="256" t="s">
        <v>79</v>
      </c>
      <c r="JOX28" s="256" t="s">
        <v>80</v>
      </c>
      <c r="JOY28" s="256" t="s">
        <v>81</v>
      </c>
      <c r="JOZ28" s="331"/>
      <c r="JPA28" s="290">
        <v>45492</v>
      </c>
      <c r="JPB28" s="339" t="s">
        <v>141</v>
      </c>
      <c r="JPC28" s="305"/>
      <c r="JPD28" s="305">
        <v>1</v>
      </c>
      <c r="JPE28" s="304">
        <f t="shared" ref="JPE28" si="1096">EDATE(JPA28,JPD28)</f>
        <v>45523</v>
      </c>
      <c r="JPF28" s="340">
        <v>0</v>
      </c>
      <c r="JPG28" s="320">
        <f t="shared" ref="JPG28" ca="1" si="1097">IF(JPH28&gt;=1,(JPF28/JPD28),0)</f>
        <v>0</v>
      </c>
      <c r="JPH28" s="292">
        <f t="shared" ref="JPH28" ca="1" si="1098">JPE28-$G$5</f>
        <v>-591</v>
      </c>
      <c r="JPI28" s="259" t="s">
        <v>55</v>
      </c>
      <c r="JPJ28" s="256" t="s">
        <v>76</v>
      </c>
      <c r="JPK28" s="256" t="s">
        <v>77</v>
      </c>
      <c r="JPL28" s="256" t="s">
        <v>78</v>
      </c>
      <c r="JPM28" s="256" t="s">
        <v>79</v>
      </c>
      <c r="JPN28" s="256" t="s">
        <v>80</v>
      </c>
      <c r="JPO28" s="256" t="s">
        <v>81</v>
      </c>
      <c r="JPP28" s="331"/>
      <c r="JPQ28" s="290">
        <v>45492</v>
      </c>
      <c r="JPR28" s="339" t="s">
        <v>141</v>
      </c>
      <c r="JPS28" s="305"/>
      <c r="JPT28" s="305">
        <v>1</v>
      </c>
      <c r="JPU28" s="304">
        <f t="shared" ref="JPU28" si="1099">EDATE(JPQ28,JPT28)</f>
        <v>45523</v>
      </c>
      <c r="JPV28" s="340">
        <v>0</v>
      </c>
      <c r="JPW28" s="320">
        <f t="shared" ref="JPW28" ca="1" si="1100">IF(JPX28&gt;=1,(JPV28/JPT28),0)</f>
        <v>0</v>
      </c>
      <c r="JPX28" s="292">
        <f t="shared" ref="JPX28" ca="1" si="1101">JPU28-$G$5</f>
        <v>-591</v>
      </c>
      <c r="JPY28" s="259" t="s">
        <v>55</v>
      </c>
      <c r="JPZ28" s="256" t="s">
        <v>76</v>
      </c>
      <c r="JQA28" s="256" t="s">
        <v>77</v>
      </c>
      <c r="JQB28" s="256" t="s">
        <v>78</v>
      </c>
      <c r="JQC28" s="256" t="s">
        <v>79</v>
      </c>
      <c r="JQD28" s="256" t="s">
        <v>80</v>
      </c>
      <c r="JQE28" s="256" t="s">
        <v>81</v>
      </c>
      <c r="JQF28" s="331"/>
      <c r="JQG28" s="290">
        <v>45492</v>
      </c>
      <c r="JQH28" s="339" t="s">
        <v>141</v>
      </c>
      <c r="JQI28" s="305"/>
      <c r="JQJ28" s="305">
        <v>1</v>
      </c>
      <c r="JQK28" s="304">
        <f t="shared" ref="JQK28" si="1102">EDATE(JQG28,JQJ28)</f>
        <v>45523</v>
      </c>
      <c r="JQL28" s="340">
        <v>0</v>
      </c>
      <c r="JQM28" s="320">
        <f t="shared" ref="JQM28" ca="1" si="1103">IF(JQN28&gt;=1,(JQL28/JQJ28),0)</f>
        <v>0</v>
      </c>
      <c r="JQN28" s="292">
        <f t="shared" ref="JQN28" ca="1" si="1104">JQK28-$G$5</f>
        <v>-591</v>
      </c>
      <c r="JQO28" s="259" t="s">
        <v>55</v>
      </c>
      <c r="JQP28" s="256" t="s">
        <v>76</v>
      </c>
      <c r="JQQ28" s="256" t="s">
        <v>77</v>
      </c>
      <c r="JQR28" s="256" t="s">
        <v>78</v>
      </c>
      <c r="JQS28" s="256" t="s">
        <v>79</v>
      </c>
      <c r="JQT28" s="256" t="s">
        <v>80</v>
      </c>
      <c r="JQU28" s="256" t="s">
        <v>81</v>
      </c>
      <c r="JQV28" s="331"/>
      <c r="JQW28" s="290">
        <v>45492</v>
      </c>
      <c r="JQX28" s="339" t="s">
        <v>141</v>
      </c>
      <c r="JQY28" s="305"/>
      <c r="JQZ28" s="305">
        <v>1</v>
      </c>
      <c r="JRA28" s="304">
        <f t="shared" ref="JRA28" si="1105">EDATE(JQW28,JQZ28)</f>
        <v>45523</v>
      </c>
      <c r="JRB28" s="340">
        <v>0</v>
      </c>
      <c r="JRC28" s="320">
        <f t="shared" ref="JRC28" ca="1" si="1106">IF(JRD28&gt;=1,(JRB28/JQZ28),0)</f>
        <v>0</v>
      </c>
      <c r="JRD28" s="292">
        <f t="shared" ref="JRD28" ca="1" si="1107">JRA28-$G$5</f>
        <v>-591</v>
      </c>
      <c r="JRE28" s="259" t="s">
        <v>55</v>
      </c>
      <c r="JRF28" s="256" t="s">
        <v>76</v>
      </c>
      <c r="JRG28" s="256" t="s">
        <v>77</v>
      </c>
      <c r="JRH28" s="256" t="s">
        <v>78</v>
      </c>
      <c r="JRI28" s="256" t="s">
        <v>79</v>
      </c>
      <c r="JRJ28" s="256" t="s">
        <v>80</v>
      </c>
      <c r="JRK28" s="256" t="s">
        <v>81</v>
      </c>
      <c r="JRL28" s="331"/>
      <c r="JRM28" s="290">
        <v>45492</v>
      </c>
      <c r="JRN28" s="339" t="s">
        <v>141</v>
      </c>
      <c r="JRO28" s="305"/>
      <c r="JRP28" s="305">
        <v>1</v>
      </c>
      <c r="JRQ28" s="304">
        <f t="shared" ref="JRQ28" si="1108">EDATE(JRM28,JRP28)</f>
        <v>45523</v>
      </c>
      <c r="JRR28" s="340">
        <v>0</v>
      </c>
      <c r="JRS28" s="320">
        <f t="shared" ref="JRS28" ca="1" si="1109">IF(JRT28&gt;=1,(JRR28/JRP28),0)</f>
        <v>0</v>
      </c>
      <c r="JRT28" s="292">
        <f t="shared" ref="JRT28" ca="1" si="1110">JRQ28-$G$5</f>
        <v>-591</v>
      </c>
      <c r="JRU28" s="259" t="s">
        <v>55</v>
      </c>
      <c r="JRV28" s="256" t="s">
        <v>76</v>
      </c>
      <c r="JRW28" s="256" t="s">
        <v>77</v>
      </c>
      <c r="JRX28" s="256" t="s">
        <v>78</v>
      </c>
      <c r="JRY28" s="256" t="s">
        <v>79</v>
      </c>
      <c r="JRZ28" s="256" t="s">
        <v>80</v>
      </c>
      <c r="JSA28" s="256" t="s">
        <v>81</v>
      </c>
      <c r="JSB28" s="331"/>
      <c r="JSC28" s="290">
        <v>45492</v>
      </c>
      <c r="JSD28" s="339" t="s">
        <v>141</v>
      </c>
      <c r="JSE28" s="305"/>
      <c r="JSF28" s="305">
        <v>1</v>
      </c>
      <c r="JSG28" s="304">
        <f t="shared" ref="JSG28" si="1111">EDATE(JSC28,JSF28)</f>
        <v>45523</v>
      </c>
      <c r="JSH28" s="340">
        <v>0</v>
      </c>
      <c r="JSI28" s="320">
        <f t="shared" ref="JSI28" ca="1" si="1112">IF(JSJ28&gt;=1,(JSH28/JSF28),0)</f>
        <v>0</v>
      </c>
      <c r="JSJ28" s="292">
        <f t="shared" ref="JSJ28" ca="1" si="1113">JSG28-$G$5</f>
        <v>-591</v>
      </c>
      <c r="JSK28" s="259" t="s">
        <v>55</v>
      </c>
      <c r="JSL28" s="256" t="s">
        <v>76</v>
      </c>
      <c r="JSM28" s="256" t="s">
        <v>77</v>
      </c>
      <c r="JSN28" s="256" t="s">
        <v>78</v>
      </c>
      <c r="JSO28" s="256" t="s">
        <v>79</v>
      </c>
      <c r="JSP28" s="256" t="s">
        <v>80</v>
      </c>
      <c r="JSQ28" s="256" t="s">
        <v>81</v>
      </c>
      <c r="JSR28" s="331"/>
      <c r="JSS28" s="290">
        <v>45492</v>
      </c>
      <c r="JST28" s="339" t="s">
        <v>141</v>
      </c>
      <c r="JSU28" s="305"/>
      <c r="JSV28" s="305">
        <v>1</v>
      </c>
      <c r="JSW28" s="304">
        <f t="shared" ref="JSW28" si="1114">EDATE(JSS28,JSV28)</f>
        <v>45523</v>
      </c>
      <c r="JSX28" s="340">
        <v>0</v>
      </c>
      <c r="JSY28" s="320">
        <f t="shared" ref="JSY28" ca="1" si="1115">IF(JSZ28&gt;=1,(JSX28/JSV28),0)</f>
        <v>0</v>
      </c>
      <c r="JSZ28" s="292">
        <f t="shared" ref="JSZ28" ca="1" si="1116">JSW28-$G$5</f>
        <v>-591</v>
      </c>
      <c r="JTA28" s="259" t="s">
        <v>55</v>
      </c>
      <c r="JTB28" s="256" t="s">
        <v>76</v>
      </c>
      <c r="JTC28" s="256" t="s">
        <v>77</v>
      </c>
      <c r="JTD28" s="256" t="s">
        <v>78</v>
      </c>
      <c r="JTE28" s="256" t="s">
        <v>79</v>
      </c>
      <c r="JTF28" s="256" t="s">
        <v>80</v>
      </c>
      <c r="JTG28" s="256" t="s">
        <v>81</v>
      </c>
      <c r="JTH28" s="331"/>
      <c r="JTI28" s="290">
        <v>45492</v>
      </c>
      <c r="JTJ28" s="339" t="s">
        <v>141</v>
      </c>
      <c r="JTK28" s="305"/>
      <c r="JTL28" s="305">
        <v>1</v>
      </c>
      <c r="JTM28" s="304">
        <f t="shared" ref="JTM28" si="1117">EDATE(JTI28,JTL28)</f>
        <v>45523</v>
      </c>
      <c r="JTN28" s="340">
        <v>0</v>
      </c>
      <c r="JTO28" s="320">
        <f t="shared" ref="JTO28" ca="1" si="1118">IF(JTP28&gt;=1,(JTN28/JTL28),0)</f>
        <v>0</v>
      </c>
      <c r="JTP28" s="292">
        <f t="shared" ref="JTP28" ca="1" si="1119">JTM28-$G$5</f>
        <v>-591</v>
      </c>
      <c r="JTQ28" s="259" t="s">
        <v>55</v>
      </c>
      <c r="JTR28" s="256" t="s">
        <v>76</v>
      </c>
      <c r="JTS28" s="256" t="s">
        <v>77</v>
      </c>
      <c r="JTT28" s="256" t="s">
        <v>78</v>
      </c>
      <c r="JTU28" s="256" t="s">
        <v>79</v>
      </c>
      <c r="JTV28" s="256" t="s">
        <v>80</v>
      </c>
      <c r="JTW28" s="256" t="s">
        <v>81</v>
      </c>
      <c r="JTX28" s="331"/>
      <c r="JTY28" s="290">
        <v>45492</v>
      </c>
      <c r="JTZ28" s="339" t="s">
        <v>141</v>
      </c>
      <c r="JUA28" s="305"/>
      <c r="JUB28" s="305">
        <v>1</v>
      </c>
      <c r="JUC28" s="304">
        <f t="shared" ref="JUC28" si="1120">EDATE(JTY28,JUB28)</f>
        <v>45523</v>
      </c>
      <c r="JUD28" s="340">
        <v>0</v>
      </c>
      <c r="JUE28" s="320">
        <f t="shared" ref="JUE28" ca="1" si="1121">IF(JUF28&gt;=1,(JUD28/JUB28),0)</f>
        <v>0</v>
      </c>
      <c r="JUF28" s="292">
        <f t="shared" ref="JUF28" ca="1" si="1122">JUC28-$G$5</f>
        <v>-591</v>
      </c>
      <c r="JUG28" s="259" t="s">
        <v>55</v>
      </c>
      <c r="JUH28" s="256" t="s">
        <v>76</v>
      </c>
      <c r="JUI28" s="256" t="s">
        <v>77</v>
      </c>
      <c r="JUJ28" s="256" t="s">
        <v>78</v>
      </c>
      <c r="JUK28" s="256" t="s">
        <v>79</v>
      </c>
      <c r="JUL28" s="256" t="s">
        <v>80</v>
      </c>
      <c r="JUM28" s="256" t="s">
        <v>81</v>
      </c>
      <c r="JUN28" s="331"/>
      <c r="JUO28" s="290">
        <v>45492</v>
      </c>
      <c r="JUP28" s="339" t="s">
        <v>141</v>
      </c>
      <c r="JUQ28" s="305"/>
      <c r="JUR28" s="305">
        <v>1</v>
      </c>
      <c r="JUS28" s="304">
        <f t="shared" ref="JUS28" si="1123">EDATE(JUO28,JUR28)</f>
        <v>45523</v>
      </c>
      <c r="JUT28" s="340">
        <v>0</v>
      </c>
      <c r="JUU28" s="320">
        <f t="shared" ref="JUU28" ca="1" si="1124">IF(JUV28&gt;=1,(JUT28/JUR28),0)</f>
        <v>0</v>
      </c>
      <c r="JUV28" s="292">
        <f t="shared" ref="JUV28" ca="1" si="1125">JUS28-$G$5</f>
        <v>-591</v>
      </c>
      <c r="JUW28" s="259" t="s">
        <v>55</v>
      </c>
      <c r="JUX28" s="256" t="s">
        <v>76</v>
      </c>
      <c r="JUY28" s="256" t="s">
        <v>77</v>
      </c>
      <c r="JUZ28" s="256" t="s">
        <v>78</v>
      </c>
      <c r="JVA28" s="256" t="s">
        <v>79</v>
      </c>
      <c r="JVB28" s="256" t="s">
        <v>80</v>
      </c>
      <c r="JVC28" s="256" t="s">
        <v>81</v>
      </c>
      <c r="JVD28" s="331"/>
      <c r="JVE28" s="290">
        <v>45492</v>
      </c>
      <c r="JVF28" s="339" t="s">
        <v>141</v>
      </c>
      <c r="JVG28" s="305"/>
      <c r="JVH28" s="305">
        <v>1</v>
      </c>
      <c r="JVI28" s="304">
        <f t="shared" ref="JVI28" si="1126">EDATE(JVE28,JVH28)</f>
        <v>45523</v>
      </c>
      <c r="JVJ28" s="340">
        <v>0</v>
      </c>
      <c r="JVK28" s="320">
        <f t="shared" ref="JVK28" ca="1" si="1127">IF(JVL28&gt;=1,(JVJ28/JVH28),0)</f>
        <v>0</v>
      </c>
      <c r="JVL28" s="292">
        <f t="shared" ref="JVL28" ca="1" si="1128">JVI28-$G$5</f>
        <v>-591</v>
      </c>
      <c r="JVM28" s="259" t="s">
        <v>55</v>
      </c>
      <c r="JVN28" s="256" t="s">
        <v>76</v>
      </c>
      <c r="JVO28" s="256" t="s">
        <v>77</v>
      </c>
      <c r="JVP28" s="256" t="s">
        <v>78</v>
      </c>
      <c r="JVQ28" s="256" t="s">
        <v>79</v>
      </c>
      <c r="JVR28" s="256" t="s">
        <v>80</v>
      </c>
      <c r="JVS28" s="256" t="s">
        <v>81</v>
      </c>
      <c r="JVT28" s="331"/>
      <c r="JVU28" s="290">
        <v>45492</v>
      </c>
      <c r="JVV28" s="339" t="s">
        <v>141</v>
      </c>
      <c r="JVW28" s="305"/>
      <c r="JVX28" s="305">
        <v>1</v>
      </c>
      <c r="JVY28" s="304">
        <f t="shared" ref="JVY28" si="1129">EDATE(JVU28,JVX28)</f>
        <v>45523</v>
      </c>
      <c r="JVZ28" s="340">
        <v>0</v>
      </c>
      <c r="JWA28" s="320">
        <f t="shared" ref="JWA28" ca="1" si="1130">IF(JWB28&gt;=1,(JVZ28/JVX28),0)</f>
        <v>0</v>
      </c>
      <c r="JWB28" s="292">
        <f t="shared" ref="JWB28" ca="1" si="1131">JVY28-$G$5</f>
        <v>-591</v>
      </c>
      <c r="JWC28" s="259" t="s">
        <v>55</v>
      </c>
      <c r="JWD28" s="256" t="s">
        <v>76</v>
      </c>
      <c r="JWE28" s="256" t="s">
        <v>77</v>
      </c>
      <c r="JWF28" s="256" t="s">
        <v>78</v>
      </c>
      <c r="JWG28" s="256" t="s">
        <v>79</v>
      </c>
      <c r="JWH28" s="256" t="s">
        <v>80</v>
      </c>
      <c r="JWI28" s="256" t="s">
        <v>81</v>
      </c>
      <c r="JWJ28" s="331"/>
      <c r="JWK28" s="290">
        <v>45492</v>
      </c>
      <c r="JWL28" s="339" t="s">
        <v>141</v>
      </c>
      <c r="JWM28" s="305"/>
      <c r="JWN28" s="305">
        <v>1</v>
      </c>
      <c r="JWO28" s="304">
        <f t="shared" ref="JWO28" si="1132">EDATE(JWK28,JWN28)</f>
        <v>45523</v>
      </c>
      <c r="JWP28" s="340">
        <v>0</v>
      </c>
      <c r="JWQ28" s="320">
        <f t="shared" ref="JWQ28" ca="1" si="1133">IF(JWR28&gt;=1,(JWP28/JWN28),0)</f>
        <v>0</v>
      </c>
      <c r="JWR28" s="292">
        <f t="shared" ref="JWR28" ca="1" si="1134">JWO28-$G$5</f>
        <v>-591</v>
      </c>
      <c r="JWS28" s="259" t="s">
        <v>55</v>
      </c>
      <c r="JWT28" s="256" t="s">
        <v>76</v>
      </c>
      <c r="JWU28" s="256" t="s">
        <v>77</v>
      </c>
      <c r="JWV28" s="256" t="s">
        <v>78</v>
      </c>
      <c r="JWW28" s="256" t="s">
        <v>79</v>
      </c>
      <c r="JWX28" s="256" t="s">
        <v>80</v>
      </c>
      <c r="JWY28" s="256" t="s">
        <v>81</v>
      </c>
      <c r="JWZ28" s="331"/>
      <c r="JXA28" s="290">
        <v>45492</v>
      </c>
      <c r="JXB28" s="339" t="s">
        <v>141</v>
      </c>
      <c r="JXC28" s="305"/>
      <c r="JXD28" s="305">
        <v>1</v>
      </c>
      <c r="JXE28" s="304">
        <f t="shared" ref="JXE28" si="1135">EDATE(JXA28,JXD28)</f>
        <v>45523</v>
      </c>
      <c r="JXF28" s="340">
        <v>0</v>
      </c>
      <c r="JXG28" s="320">
        <f t="shared" ref="JXG28" ca="1" si="1136">IF(JXH28&gt;=1,(JXF28/JXD28),0)</f>
        <v>0</v>
      </c>
      <c r="JXH28" s="292">
        <f t="shared" ref="JXH28" ca="1" si="1137">JXE28-$G$5</f>
        <v>-591</v>
      </c>
      <c r="JXI28" s="259" t="s">
        <v>55</v>
      </c>
      <c r="JXJ28" s="256" t="s">
        <v>76</v>
      </c>
      <c r="JXK28" s="256" t="s">
        <v>77</v>
      </c>
      <c r="JXL28" s="256" t="s">
        <v>78</v>
      </c>
      <c r="JXM28" s="256" t="s">
        <v>79</v>
      </c>
      <c r="JXN28" s="256" t="s">
        <v>80</v>
      </c>
      <c r="JXO28" s="256" t="s">
        <v>81</v>
      </c>
      <c r="JXP28" s="331"/>
      <c r="JXQ28" s="290">
        <v>45492</v>
      </c>
      <c r="JXR28" s="339" t="s">
        <v>141</v>
      </c>
      <c r="JXS28" s="305"/>
      <c r="JXT28" s="305">
        <v>1</v>
      </c>
      <c r="JXU28" s="304">
        <f t="shared" ref="JXU28" si="1138">EDATE(JXQ28,JXT28)</f>
        <v>45523</v>
      </c>
      <c r="JXV28" s="340">
        <v>0</v>
      </c>
      <c r="JXW28" s="320">
        <f t="shared" ref="JXW28" ca="1" si="1139">IF(JXX28&gt;=1,(JXV28/JXT28),0)</f>
        <v>0</v>
      </c>
      <c r="JXX28" s="292">
        <f t="shared" ref="JXX28" ca="1" si="1140">JXU28-$G$5</f>
        <v>-591</v>
      </c>
      <c r="JXY28" s="259" t="s">
        <v>55</v>
      </c>
      <c r="JXZ28" s="256" t="s">
        <v>76</v>
      </c>
      <c r="JYA28" s="256" t="s">
        <v>77</v>
      </c>
      <c r="JYB28" s="256" t="s">
        <v>78</v>
      </c>
      <c r="JYC28" s="256" t="s">
        <v>79</v>
      </c>
      <c r="JYD28" s="256" t="s">
        <v>80</v>
      </c>
      <c r="JYE28" s="256" t="s">
        <v>81</v>
      </c>
      <c r="JYF28" s="331"/>
      <c r="JYG28" s="290">
        <v>45492</v>
      </c>
      <c r="JYH28" s="339" t="s">
        <v>141</v>
      </c>
      <c r="JYI28" s="305"/>
      <c r="JYJ28" s="305">
        <v>1</v>
      </c>
      <c r="JYK28" s="304">
        <f t="shared" ref="JYK28" si="1141">EDATE(JYG28,JYJ28)</f>
        <v>45523</v>
      </c>
      <c r="JYL28" s="340">
        <v>0</v>
      </c>
      <c r="JYM28" s="320">
        <f t="shared" ref="JYM28" ca="1" si="1142">IF(JYN28&gt;=1,(JYL28/JYJ28),0)</f>
        <v>0</v>
      </c>
      <c r="JYN28" s="292">
        <f t="shared" ref="JYN28" ca="1" si="1143">JYK28-$G$5</f>
        <v>-591</v>
      </c>
      <c r="JYO28" s="259" t="s">
        <v>55</v>
      </c>
      <c r="JYP28" s="256" t="s">
        <v>76</v>
      </c>
      <c r="JYQ28" s="256" t="s">
        <v>77</v>
      </c>
      <c r="JYR28" s="256" t="s">
        <v>78</v>
      </c>
      <c r="JYS28" s="256" t="s">
        <v>79</v>
      </c>
      <c r="JYT28" s="256" t="s">
        <v>80</v>
      </c>
      <c r="JYU28" s="256" t="s">
        <v>81</v>
      </c>
      <c r="JYV28" s="331"/>
      <c r="JYW28" s="290">
        <v>45492</v>
      </c>
      <c r="JYX28" s="339" t="s">
        <v>141</v>
      </c>
      <c r="JYY28" s="305"/>
      <c r="JYZ28" s="305">
        <v>1</v>
      </c>
      <c r="JZA28" s="304">
        <f t="shared" ref="JZA28" si="1144">EDATE(JYW28,JYZ28)</f>
        <v>45523</v>
      </c>
      <c r="JZB28" s="340">
        <v>0</v>
      </c>
      <c r="JZC28" s="320">
        <f t="shared" ref="JZC28" ca="1" si="1145">IF(JZD28&gt;=1,(JZB28/JYZ28),0)</f>
        <v>0</v>
      </c>
      <c r="JZD28" s="292">
        <f t="shared" ref="JZD28" ca="1" si="1146">JZA28-$G$5</f>
        <v>-591</v>
      </c>
      <c r="JZE28" s="259" t="s">
        <v>55</v>
      </c>
      <c r="JZF28" s="256" t="s">
        <v>76</v>
      </c>
      <c r="JZG28" s="256" t="s">
        <v>77</v>
      </c>
      <c r="JZH28" s="256" t="s">
        <v>78</v>
      </c>
      <c r="JZI28" s="256" t="s">
        <v>79</v>
      </c>
      <c r="JZJ28" s="256" t="s">
        <v>80</v>
      </c>
      <c r="JZK28" s="256" t="s">
        <v>81</v>
      </c>
      <c r="JZL28" s="331"/>
      <c r="JZM28" s="290">
        <v>45492</v>
      </c>
      <c r="JZN28" s="339" t="s">
        <v>141</v>
      </c>
      <c r="JZO28" s="305"/>
      <c r="JZP28" s="305">
        <v>1</v>
      </c>
      <c r="JZQ28" s="304">
        <f t="shared" ref="JZQ28" si="1147">EDATE(JZM28,JZP28)</f>
        <v>45523</v>
      </c>
      <c r="JZR28" s="340">
        <v>0</v>
      </c>
      <c r="JZS28" s="320">
        <f t="shared" ref="JZS28" ca="1" si="1148">IF(JZT28&gt;=1,(JZR28/JZP28),0)</f>
        <v>0</v>
      </c>
      <c r="JZT28" s="292">
        <f t="shared" ref="JZT28" ca="1" si="1149">JZQ28-$G$5</f>
        <v>-591</v>
      </c>
      <c r="JZU28" s="259" t="s">
        <v>55</v>
      </c>
      <c r="JZV28" s="256" t="s">
        <v>76</v>
      </c>
      <c r="JZW28" s="256" t="s">
        <v>77</v>
      </c>
      <c r="JZX28" s="256" t="s">
        <v>78</v>
      </c>
      <c r="JZY28" s="256" t="s">
        <v>79</v>
      </c>
      <c r="JZZ28" s="256" t="s">
        <v>80</v>
      </c>
      <c r="KAA28" s="256" t="s">
        <v>81</v>
      </c>
      <c r="KAB28" s="331"/>
      <c r="KAC28" s="290">
        <v>45492</v>
      </c>
      <c r="KAD28" s="339" t="s">
        <v>141</v>
      </c>
      <c r="KAE28" s="305"/>
      <c r="KAF28" s="305">
        <v>1</v>
      </c>
      <c r="KAG28" s="304">
        <f t="shared" ref="KAG28" si="1150">EDATE(KAC28,KAF28)</f>
        <v>45523</v>
      </c>
      <c r="KAH28" s="340">
        <v>0</v>
      </c>
      <c r="KAI28" s="320">
        <f t="shared" ref="KAI28" ca="1" si="1151">IF(KAJ28&gt;=1,(KAH28/KAF28),0)</f>
        <v>0</v>
      </c>
      <c r="KAJ28" s="292">
        <f t="shared" ref="KAJ28" ca="1" si="1152">KAG28-$G$5</f>
        <v>-591</v>
      </c>
      <c r="KAK28" s="259" t="s">
        <v>55</v>
      </c>
      <c r="KAL28" s="256" t="s">
        <v>76</v>
      </c>
      <c r="KAM28" s="256" t="s">
        <v>77</v>
      </c>
      <c r="KAN28" s="256" t="s">
        <v>78</v>
      </c>
      <c r="KAO28" s="256" t="s">
        <v>79</v>
      </c>
      <c r="KAP28" s="256" t="s">
        <v>80</v>
      </c>
      <c r="KAQ28" s="256" t="s">
        <v>81</v>
      </c>
      <c r="KAR28" s="331"/>
      <c r="KAS28" s="290">
        <v>45492</v>
      </c>
      <c r="KAT28" s="339" t="s">
        <v>141</v>
      </c>
      <c r="KAU28" s="305"/>
      <c r="KAV28" s="305">
        <v>1</v>
      </c>
      <c r="KAW28" s="304">
        <f t="shared" ref="KAW28" si="1153">EDATE(KAS28,KAV28)</f>
        <v>45523</v>
      </c>
      <c r="KAX28" s="340">
        <v>0</v>
      </c>
      <c r="KAY28" s="320">
        <f t="shared" ref="KAY28" ca="1" si="1154">IF(KAZ28&gt;=1,(KAX28/KAV28),0)</f>
        <v>0</v>
      </c>
      <c r="KAZ28" s="292">
        <f t="shared" ref="KAZ28" ca="1" si="1155">KAW28-$G$5</f>
        <v>-591</v>
      </c>
      <c r="KBA28" s="259" t="s">
        <v>55</v>
      </c>
      <c r="KBB28" s="256" t="s">
        <v>76</v>
      </c>
      <c r="KBC28" s="256" t="s">
        <v>77</v>
      </c>
      <c r="KBD28" s="256" t="s">
        <v>78</v>
      </c>
      <c r="KBE28" s="256" t="s">
        <v>79</v>
      </c>
      <c r="KBF28" s="256" t="s">
        <v>80</v>
      </c>
      <c r="KBG28" s="256" t="s">
        <v>81</v>
      </c>
      <c r="KBH28" s="331"/>
      <c r="KBI28" s="290">
        <v>45492</v>
      </c>
      <c r="KBJ28" s="339" t="s">
        <v>141</v>
      </c>
      <c r="KBK28" s="305"/>
      <c r="KBL28" s="305">
        <v>1</v>
      </c>
      <c r="KBM28" s="304">
        <f t="shared" ref="KBM28" si="1156">EDATE(KBI28,KBL28)</f>
        <v>45523</v>
      </c>
      <c r="KBN28" s="340">
        <v>0</v>
      </c>
      <c r="KBO28" s="320">
        <f t="shared" ref="KBO28" ca="1" si="1157">IF(KBP28&gt;=1,(KBN28/KBL28),0)</f>
        <v>0</v>
      </c>
      <c r="KBP28" s="292">
        <f t="shared" ref="KBP28" ca="1" si="1158">KBM28-$G$5</f>
        <v>-591</v>
      </c>
      <c r="KBQ28" s="259" t="s">
        <v>55</v>
      </c>
      <c r="KBR28" s="256" t="s">
        <v>76</v>
      </c>
      <c r="KBS28" s="256" t="s">
        <v>77</v>
      </c>
      <c r="KBT28" s="256" t="s">
        <v>78</v>
      </c>
      <c r="KBU28" s="256" t="s">
        <v>79</v>
      </c>
      <c r="KBV28" s="256" t="s">
        <v>80</v>
      </c>
      <c r="KBW28" s="256" t="s">
        <v>81</v>
      </c>
      <c r="KBX28" s="331"/>
      <c r="KBY28" s="290">
        <v>45492</v>
      </c>
      <c r="KBZ28" s="339" t="s">
        <v>141</v>
      </c>
      <c r="KCA28" s="305"/>
      <c r="KCB28" s="305">
        <v>1</v>
      </c>
      <c r="KCC28" s="304">
        <f t="shared" ref="KCC28" si="1159">EDATE(KBY28,KCB28)</f>
        <v>45523</v>
      </c>
      <c r="KCD28" s="340">
        <v>0</v>
      </c>
      <c r="KCE28" s="320">
        <f t="shared" ref="KCE28" ca="1" si="1160">IF(KCF28&gt;=1,(KCD28/KCB28),0)</f>
        <v>0</v>
      </c>
      <c r="KCF28" s="292">
        <f t="shared" ref="KCF28" ca="1" si="1161">KCC28-$G$5</f>
        <v>-591</v>
      </c>
      <c r="KCG28" s="259" t="s">
        <v>55</v>
      </c>
      <c r="KCH28" s="256" t="s">
        <v>76</v>
      </c>
      <c r="KCI28" s="256" t="s">
        <v>77</v>
      </c>
      <c r="KCJ28" s="256" t="s">
        <v>78</v>
      </c>
      <c r="KCK28" s="256" t="s">
        <v>79</v>
      </c>
      <c r="KCL28" s="256" t="s">
        <v>80</v>
      </c>
      <c r="KCM28" s="256" t="s">
        <v>81</v>
      </c>
      <c r="KCN28" s="331"/>
      <c r="KCO28" s="290">
        <v>45492</v>
      </c>
      <c r="KCP28" s="339" t="s">
        <v>141</v>
      </c>
      <c r="KCQ28" s="305"/>
      <c r="KCR28" s="305">
        <v>1</v>
      </c>
      <c r="KCS28" s="304">
        <f t="shared" ref="KCS28" si="1162">EDATE(KCO28,KCR28)</f>
        <v>45523</v>
      </c>
      <c r="KCT28" s="340">
        <v>0</v>
      </c>
      <c r="KCU28" s="320">
        <f t="shared" ref="KCU28" ca="1" si="1163">IF(KCV28&gt;=1,(KCT28/KCR28),0)</f>
        <v>0</v>
      </c>
      <c r="KCV28" s="292">
        <f t="shared" ref="KCV28" ca="1" si="1164">KCS28-$G$5</f>
        <v>-591</v>
      </c>
      <c r="KCW28" s="259" t="s">
        <v>55</v>
      </c>
      <c r="KCX28" s="256" t="s">
        <v>76</v>
      </c>
      <c r="KCY28" s="256" t="s">
        <v>77</v>
      </c>
      <c r="KCZ28" s="256" t="s">
        <v>78</v>
      </c>
      <c r="KDA28" s="256" t="s">
        <v>79</v>
      </c>
      <c r="KDB28" s="256" t="s">
        <v>80</v>
      </c>
      <c r="KDC28" s="256" t="s">
        <v>81</v>
      </c>
      <c r="KDD28" s="331"/>
      <c r="KDE28" s="290">
        <v>45492</v>
      </c>
      <c r="KDF28" s="339" t="s">
        <v>141</v>
      </c>
      <c r="KDG28" s="305"/>
      <c r="KDH28" s="305">
        <v>1</v>
      </c>
      <c r="KDI28" s="304">
        <f t="shared" ref="KDI28" si="1165">EDATE(KDE28,KDH28)</f>
        <v>45523</v>
      </c>
      <c r="KDJ28" s="340">
        <v>0</v>
      </c>
      <c r="KDK28" s="320">
        <f t="shared" ref="KDK28" ca="1" si="1166">IF(KDL28&gt;=1,(KDJ28/KDH28),0)</f>
        <v>0</v>
      </c>
      <c r="KDL28" s="292">
        <f t="shared" ref="KDL28" ca="1" si="1167">KDI28-$G$5</f>
        <v>-591</v>
      </c>
      <c r="KDM28" s="259" t="s">
        <v>55</v>
      </c>
      <c r="KDN28" s="256" t="s">
        <v>76</v>
      </c>
      <c r="KDO28" s="256" t="s">
        <v>77</v>
      </c>
      <c r="KDP28" s="256" t="s">
        <v>78</v>
      </c>
      <c r="KDQ28" s="256" t="s">
        <v>79</v>
      </c>
      <c r="KDR28" s="256" t="s">
        <v>80</v>
      </c>
      <c r="KDS28" s="256" t="s">
        <v>81</v>
      </c>
      <c r="KDT28" s="331"/>
      <c r="KDU28" s="290">
        <v>45492</v>
      </c>
      <c r="KDV28" s="339" t="s">
        <v>141</v>
      </c>
      <c r="KDW28" s="305"/>
      <c r="KDX28" s="305">
        <v>1</v>
      </c>
      <c r="KDY28" s="304">
        <f t="shared" ref="KDY28" si="1168">EDATE(KDU28,KDX28)</f>
        <v>45523</v>
      </c>
      <c r="KDZ28" s="340">
        <v>0</v>
      </c>
      <c r="KEA28" s="320">
        <f t="shared" ref="KEA28" ca="1" si="1169">IF(KEB28&gt;=1,(KDZ28/KDX28),0)</f>
        <v>0</v>
      </c>
      <c r="KEB28" s="292">
        <f t="shared" ref="KEB28" ca="1" si="1170">KDY28-$G$5</f>
        <v>-591</v>
      </c>
      <c r="KEC28" s="259" t="s">
        <v>55</v>
      </c>
      <c r="KED28" s="256" t="s">
        <v>76</v>
      </c>
      <c r="KEE28" s="256" t="s">
        <v>77</v>
      </c>
      <c r="KEF28" s="256" t="s">
        <v>78</v>
      </c>
      <c r="KEG28" s="256" t="s">
        <v>79</v>
      </c>
      <c r="KEH28" s="256" t="s">
        <v>80</v>
      </c>
      <c r="KEI28" s="256" t="s">
        <v>81</v>
      </c>
      <c r="KEJ28" s="331"/>
      <c r="KEK28" s="290">
        <v>45492</v>
      </c>
      <c r="KEL28" s="339" t="s">
        <v>141</v>
      </c>
      <c r="KEM28" s="305"/>
      <c r="KEN28" s="305">
        <v>1</v>
      </c>
      <c r="KEO28" s="304">
        <f t="shared" ref="KEO28" si="1171">EDATE(KEK28,KEN28)</f>
        <v>45523</v>
      </c>
      <c r="KEP28" s="340">
        <v>0</v>
      </c>
      <c r="KEQ28" s="320">
        <f t="shared" ref="KEQ28" ca="1" si="1172">IF(KER28&gt;=1,(KEP28/KEN28),0)</f>
        <v>0</v>
      </c>
      <c r="KER28" s="292">
        <f t="shared" ref="KER28" ca="1" si="1173">KEO28-$G$5</f>
        <v>-591</v>
      </c>
      <c r="KES28" s="259" t="s">
        <v>55</v>
      </c>
      <c r="KET28" s="256" t="s">
        <v>76</v>
      </c>
      <c r="KEU28" s="256" t="s">
        <v>77</v>
      </c>
      <c r="KEV28" s="256" t="s">
        <v>78</v>
      </c>
      <c r="KEW28" s="256" t="s">
        <v>79</v>
      </c>
      <c r="KEX28" s="256" t="s">
        <v>80</v>
      </c>
      <c r="KEY28" s="256" t="s">
        <v>81</v>
      </c>
      <c r="KEZ28" s="331"/>
      <c r="KFA28" s="290">
        <v>45492</v>
      </c>
      <c r="KFB28" s="339" t="s">
        <v>141</v>
      </c>
      <c r="KFC28" s="305"/>
      <c r="KFD28" s="305">
        <v>1</v>
      </c>
      <c r="KFE28" s="304">
        <f t="shared" ref="KFE28" si="1174">EDATE(KFA28,KFD28)</f>
        <v>45523</v>
      </c>
      <c r="KFF28" s="340">
        <v>0</v>
      </c>
      <c r="KFG28" s="320">
        <f t="shared" ref="KFG28" ca="1" si="1175">IF(KFH28&gt;=1,(KFF28/KFD28),0)</f>
        <v>0</v>
      </c>
      <c r="KFH28" s="292">
        <f t="shared" ref="KFH28" ca="1" si="1176">KFE28-$G$5</f>
        <v>-591</v>
      </c>
      <c r="KFI28" s="259" t="s">
        <v>55</v>
      </c>
      <c r="KFJ28" s="256" t="s">
        <v>76</v>
      </c>
      <c r="KFK28" s="256" t="s">
        <v>77</v>
      </c>
      <c r="KFL28" s="256" t="s">
        <v>78</v>
      </c>
      <c r="KFM28" s="256" t="s">
        <v>79</v>
      </c>
      <c r="KFN28" s="256" t="s">
        <v>80</v>
      </c>
      <c r="KFO28" s="256" t="s">
        <v>81</v>
      </c>
      <c r="KFP28" s="331"/>
      <c r="KFQ28" s="290">
        <v>45492</v>
      </c>
      <c r="KFR28" s="339" t="s">
        <v>141</v>
      </c>
      <c r="KFS28" s="305"/>
      <c r="KFT28" s="305">
        <v>1</v>
      </c>
      <c r="KFU28" s="304">
        <f t="shared" ref="KFU28" si="1177">EDATE(KFQ28,KFT28)</f>
        <v>45523</v>
      </c>
      <c r="KFV28" s="340">
        <v>0</v>
      </c>
      <c r="KFW28" s="320">
        <f t="shared" ref="KFW28" ca="1" si="1178">IF(KFX28&gt;=1,(KFV28/KFT28),0)</f>
        <v>0</v>
      </c>
      <c r="KFX28" s="292">
        <f t="shared" ref="KFX28" ca="1" si="1179">KFU28-$G$5</f>
        <v>-591</v>
      </c>
      <c r="KFY28" s="259" t="s">
        <v>55</v>
      </c>
      <c r="KFZ28" s="256" t="s">
        <v>76</v>
      </c>
      <c r="KGA28" s="256" t="s">
        <v>77</v>
      </c>
      <c r="KGB28" s="256" t="s">
        <v>78</v>
      </c>
      <c r="KGC28" s="256" t="s">
        <v>79</v>
      </c>
      <c r="KGD28" s="256" t="s">
        <v>80</v>
      </c>
      <c r="KGE28" s="256" t="s">
        <v>81</v>
      </c>
      <c r="KGF28" s="331"/>
      <c r="KGG28" s="290">
        <v>45492</v>
      </c>
      <c r="KGH28" s="339" t="s">
        <v>141</v>
      </c>
      <c r="KGI28" s="305"/>
      <c r="KGJ28" s="305">
        <v>1</v>
      </c>
      <c r="KGK28" s="304">
        <f t="shared" ref="KGK28" si="1180">EDATE(KGG28,KGJ28)</f>
        <v>45523</v>
      </c>
      <c r="KGL28" s="340">
        <v>0</v>
      </c>
      <c r="KGM28" s="320">
        <f t="shared" ref="KGM28" ca="1" si="1181">IF(KGN28&gt;=1,(KGL28/KGJ28),0)</f>
        <v>0</v>
      </c>
      <c r="KGN28" s="292">
        <f t="shared" ref="KGN28" ca="1" si="1182">KGK28-$G$5</f>
        <v>-591</v>
      </c>
      <c r="KGO28" s="259" t="s">
        <v>55</v>
      </c>
      <c r="KGP28" s="256" t="s">
        <v>76</v>
      </c>
      <c r="KGQ28" s="256" t="s">
        <v>77</v>
      </c>
      <c r="KGR28" s="256" t="s">
        <v>78</v>
      </c>
      <c r="KGS28" s="256" t="s">
        <v>79</v>
      </c>
      <c r="KGT28" s="256" t="s">
        <v>80</v>
      </c>
      <c r="KGU28" s="256" t="s">
        <v>81</v>
      </c>
      <c r="KGV28" s="331"/>
      <c r="KGW28" s="290">
        <v>45492</v>
      </c>
      <c r="KGX28" s="339" t="s">
        <v>141</v>
      </c>
      <c r="KGY28" s="305"/>
      <c r="KGZ28" s="305">
        <v>1</v>
      </c>
      <c r="KHA28" s="304">
        <f t="shared" ref="KHA28" si="1183">EDATE(KGW28,KGZ28)</f>
        <v>45523</v>
      </c>
      <c r="KHB28" s="340">
        <v>0</v>
      </c>
      <c r="KHC28" s="320">
        <f t="shared" ref="KHC28" ca="1" si="1184">IF(KHD28&gt;=1,(KHB28/KGZ28),0)</f>
        <v>0</v>
      </c>
      <c r="KHD28" s="292">
        <f t="shared" ref="KHD28" ca="1" si="1185">KHA28-$G$5</f>
        <v>-591</v>
      </c>
      <c r="KHE28" s="259" t="s">
        <v>55</v>
      </c>
      <c r="KHF28" s="256" t="s">
        <v>76</v>
      </c>
      <c r="KHG28" s="256" t="s">
        <v>77</v>
      </c>
      <c r="KHH28" s="256" t="s">
        <v>78</v>
      </c>
      <c r="KHI28" s="256" t="s">
        <v>79</v>
      </c>
      <c r="KHJ28" s="256" t="s">
        <v>80</v>
      </c>
      <c r="KHK28" s="256" t="s">
        <v>81</v>
      </c>
      <c r="KHL28" s="331"/>
      <c r="KHM28" s="290">
        <v>45492</v>
      </c>
      <c r="KHN28" s="339" t="s">
        <v>141</v>
      </c>
      <c r="KHO28" s="305"/>
      <c r="KHP28" s="305">
        <v>1</v>
      </c>
      <c r="KHQ28" s="304">
        <f t="shared" ref="KHQ28" si="1186">EDATE(KHM28,KHP28)</f>
        <v>45523</v>
      </c>
      <c r="KHR28" s="340">
        <v>0</v>
      </c>
      <c r="KHS28" s="320">
        <f t="shared" ref="KHS28" ca="1" si="1187">IF(KHT28&gt;=1,(KHR28/KHP28),0)</f>
        <v>0</v>
      </c>
      <c r="KHT28" s="292">
        <f t="shared" ref="KHT28" ca="1" si="1188">KHQ28-$G$5</f>
        <v>-591</v>
      </c>
      <c r="KHU28" s="259" t="s">
        <v>55</v>
      </c>
      <c r="KHV28" s="256" t="s">
        <v>76</v>
      </c>
      <c r="KHW28" s="256" t="s">
        <v>77</v>
      </c>
      <c r="KHX28" s="256" t="s">
        <v>78</v>
      </c>
      <c r="KHY28" s="256" t="s">
        <v>79</v>
      </c>
      <c r="KHZ28" s="256" t="s">
        <v>80</v>
      </c>
      <c r="KIA28" s="256" t="s">
        <v>81</v>
      </c>
      <c r="KIB28" s="331"/>
      <c r="KIC28" s="290">
        <v>45492</v>
      </c>
      <c r="KID28" s="339" t="s">
        <v>141</v>
      </c>
      <c r="KIE28" s="305"/>
      <c r="KIF28" s="305">
        <v>1</v>
      </c>
      <c r="KIG28" s="304">
        <f t="shared" ref="KIG28" si="1189">EDATE(KIC28,KIF28)</f>
        <v>45523</v>
      </c>
      <c r="KIH28" s="340">
        <v>0</v>
      </c>
      <c r="KII28" s="320">
        <f t="shared" ref="KII28" ca="1" si="1190">IF(KIJ28&gt;=1,(KIH28/KIF28),0)</f>
        <v>0</v>
      </c>
      <c r="KIJ28" s="292">
        <f t="shared" ref="KIJ28" ca="1" si="1191">KIG28-$G$5</f>
        <v>-591</v>
      </c>
      <c r="KIK28" s="259" t="s">
        <v>55</v>
      </c>
      <c r="KIL28" s="256" t="s">
        <v>76</v>
      </c>
      <c r="KIM28" s="256" t="s">
        <v>77</v>
      </c>
      <c r="KIN28" s="256" t="s">
        <v>78</v>
      </c>
      <c r="KIO28" s="256" t="s">
        <v>79</v>
      </c>
      <c r="KIP28" s="256" t="s">
        <v>80</v>
      </c>
      <c r="KIQ28" s="256" t="s">
        <v>81</v>
      </c>
      <c r="KIR28" s="331"/>
      <c r="KIS28" s="290">
        <v>45492</v>
      </c>
      <c r="KIT28" s="339" t="s">
        <v>141</v>
      </c>
      <c r="KIU28" s="305"/>
      <c r="KIV28" s="305">
        <v>1</v>
      </c>
      <c r="KIW28" s="304">
        <f t="shared" ref="KIW28" si="1192">EDATE(KIS28,KIV28)</f>
        <v>45523</v>
      </c>
      <c r="KIX28" s="340">
        <v>0</v>
      </c>
      <c r="KIY28" s="320">
        <f t="shared" ref="KIY28" ca="1" si="1193">IF(KIZ28&gt;=1,(KIX28/KIV28),0)</f>
        <v>0</v>
      </c>
      <c r="KIZ28" s="292">
        <f t="shared" ref="KIZ28" ca="1" si="1194">KIW28-$G$5</f>
        <v>-591</v>
      </c>
      <c r="KJA28" s="259" t="s">
        <v>55</v>
      </c>
      <c r="KJB28" s="256" t="s">
        <v>76</v>
      </c>
      <c r="KJC28" s="256" t="s">
        <v>77</v>
      </c>
      <c r="KJD28" s="256" t="s">
        <v>78</v>
      </c>
      <c r="KJE28" s="256" t="s">
        <v>79</v>
      </c>
      <c r="KJF28" s="256" t="s">
        <v>80</v>
      </c>
      <c r="KJG28" s="256" t="s">
        <v>81</v>
      </c>
      <c r="KJH28" s="331"/>
      <c r="KJI28" s="290">
        <v>45492</v>
      </c>
      <c r="KJJ28" s="339" t="s">
        <v>141</v>
      </c>
      <c r="KJK28" s="305"/>
      <c r="KJL28" s="305">
        <v>1</v>
      </c>
      <c r="KJM28" s="304">
        <f t="shared" ref="KJM28" si="1195">EDATE(KJI28,KJL28)</f>
        <v>45523</v>
      </c>
      <c r="KJN28" s="340">
        <v>0</v>
      </c>
      <c r="KJO28" s="320">
        <f t="shared" ref="KJO28" ca="1" si="1196">IF(KJP28&gt;=1,(KJN28/KJL28),0)</f>
        <v>0</v>
      </c>
      <c r="KJP28" s="292">
        <f t="shared" ref="KJP28" ca="1" si="1197">KJM28-$G$5</f>
        <v>-591</v>
      </c>
      <c r="KJQ28" s="259" t="s">
        <v>55</v>
      </c>
      <c r="KJR28" s="256" t="s">
        <v>76</v>
      </c>
      <c r="KJS28" s="256" t="s">
        <v>77</v>
      </c>
      <c r="KJT28" s="256" t="s">
        <v>78</v>
      </c>
      <c r="KJU28" s="256" t="s">
        <v>79</v>
      </c>
      <c r="KJV28" s="256" t="s">
        <v>80</v>
      </c>
      <c r="KJW28" s="256" t="s">
        <v>81</v>
      </c>
      <c r="KJX28" s="331"/>
      <c r="KJY28" s="290">
        <v>45492</v>
      </c>
      <c r="KJZ28" s="339" t="s">
        <v>141</v>
      </c>
      <c r="KKA28" s="305"/>
      <c r="KKB28" s="305">
        <v>1</v>
      </c>
      <c r="KKC28" s="304">
        <f t="shared" ref="KKC28" si="1198">EDATE(KJY28,KKB28)</f>
        <v>45523</v>
      </c>
      <c r="KKD28" s="340">
        <v>0</v>
      </c>
      <c r="KKE28" s="320">
        <f t="shared" ref="KKE28" ca="1" si="1199">IF(KKF28&gt;=1,(KKD28/KKB28),0)</f>
        <v>0</v>
      </c>
      <c r="KKF28" s="292">
        <f t="shared" ref="KKF28" ca="1" si="1200">KKC28-$G$5</f>
        <v>-591</v>
      </c>
      <c r="KKG28" s="259" t="s">
        <v>55</v>
      </c>
      <c r="KKH28" s="256" t="s">
        <v>76</v>
      </c>
      <c r="KKI28" s="256" t="s">
        <v>77</v>
      </c>
      <c r="KKJ28" s="256" t="s">
        <v>78</v>
      </c>
      <c r="KKK28" s="256" t="s">
        <v>79</v>
      </c>
      <c r="KKL28" s="256" t="s">
        <v>80</v>
      </c>
      <c r="KKM28" s="256" t="s">
        <v>81</v>
      </c>
      <c r="KKN28" s="331"/>
      <c r="KKO28" s="290">
        <v>45492</v>
      </c>
      <c r="KKP28" s="339" t="s">
        <v>141</v>
      </c>
      <c r="KKQ28" s="305"/>
      <c r="KKR28" s="305">
        <v>1</v>
      </c>
      <c r="KKS28" s="304">
        <f t="shared" ref="KKS28" si="1201">EDATE(KKO28,KKR28)</f>
        <v>45523</v>
      </c>
      <c r="KKT28" s="340">
        <v>0</v>
      </c>
      <c r="KKU28" s="320">
        <f t="shared" ref="KKU28" ca="1" si="1202">IF(KKV28&gt;=1,(KKT28/KKR28),0)</f>
        <v>0</v>
      </c>
      <c r="KKV28" s="292">
        <f t="shared" ref="KKV28" ca="1" si="1203">KKS28-$G$5</f>
        <v>-591</v>
      </c>
      <c r="KKW28" s="259" t="s">
        <v>55</v>
      </c>
      <c r="KKX28" s="256" t="s">
        <v>76</v>
      </c>
      <c r="KKY28" s="256" t="s">
        <v>77</v>
      </c>
      <c r="KKZ28" s="256" t="s">
        <v>78</v>
      </c>
      <c r="KLA28" s="256" t="s">
        <v>79</v>
      </c>
      <c r="KLB28" s="256" t="s">
        <v>80</v>
      </c>
      <c r="KLC28" s="256" t="s">
        <v>81</v>
      </c>
      <c r="KLD28" s="331"/>
      <c r="KLE28" s="290">
        <v>45492</v>
      </c>
      <c r="KLF28" s="339" t="s">
        <v>141</v>
      </c>
      <c r="KLG28" s="305"/>
      <c r="KLH28" s="305">
        <v>1</v>
      </c>
      <c r="KLI28" s="304">
        <f t="shared" ref="KLI28" si="1204">EDATE(KLE28,KLH28)</f>
        <v>45523</v>
      </c>
      <c r="KLJ28" s="340">
        <v>0</v>
      </c>
      <c r="KLK28" s="320">
        <f t="shared" ref="KLK28" ca="1" si="1205">IF(KLL28&gt;=1,(KLJ28/KLH28),0)</f>
        <v>0</v>
      </c>
      <c r="KLL28" s="292">
        <f t="shared" ref="KLL28" ca="1" si="1206">KLI28-$G$5</f>
        <v>-591</v>
      </c>
      <c r="KLM28" s="259" t="s">
        <v>55</v>
      </c>
      <c r="KLN28" s="256" t="s">
        <v>76</v>
      </c>
      <c r="KLO28" s="256" t="s">
        <v>77</v>
      </c>
      <c r="KLP28" s="256" t="s">
        <v>78</v>
      </c>
      <c r="KLQ28" s="256" t="s">
        <v>79</v>
      </c>
      <c r="KLR28" s="256" t="s">
        <v>80</v>
      </c>
      <c r="KLS28" s="256" t="s">
        <v>81</v>
      </c>
      <c r="KLT28" s="331"/>
      <c r="KLU28" s="290">
        <v>45492</v>
      </c>
      <c r="KLV28" s="339" t="s">
        <v>141</v>
      </c>
      <c r="KLW28" s="305"/>
      <c r="KLX28" s="305">
        <v>1</v>
      </c>
      <c r="KLY28" s="304">
        <f t="shared" ref="KLY28" si="1207">EDATE(KLU28,KLX28)</f>
        <v>45523</v>
      </c>
      <c r="KLZ28" s="340">
        <v>0</v>
      </c>
      <c r="KMA28" s="320">
        <f t="shared" ref="KMA28" ca="1" si="1208">IF(KMB28&gt;=1,(KLZ28/KLX28),0)</f>
        <v>0</v>
      </c>
      <c r="KMB28" s="292">
        <f t="shared" ref="KMB28" ca="1" si="1209">KLY28-$G$5</f>
        <v>-591</v>
      </c>
      <c r="KMC28" s="259" t="s">
        <v>55</v>
      </c>
      <c r="KMD28" s="256" t="s">
        <v>76</v>
      </c>
      <c r="KME28" s="256" t="s">
        <v>77</v>
      </c>
      <c r="KMF28" s="256" t="s">
        <v>78</v>
      </c>
      <c r="KMG28" s="256" t="s">
        <v>79</v>
      </c>
      <c r="KMH28" s="256" t="s">
        <v>80</v>
      </c>
      <c r="KMI28" s="256" t="s">
        <v>81</v>
      </c>
      <c r="KMJ28" s="331"/>
      <c r="KMK28" s="290">
        <v>45492</v>
      </c>
      <c r="KML28" s="339" t="s">
        <v>141</v>
      </c>
      <c r="KMM28" s="305"/>
      <c r="KMN28" s="305">
        <v>1</v>
      </c>
      <c r="KMO28" s="304">
        <f t="shared" ref="KMO28" si="1210">EDATE(KMK28,KMN28)</f>
        <v>45523</v>
      </c>
      <c r="KMP28" s="340">
        <v>0</v>
      </c>
      <c r="KMQ28" s="320">
        <f t="shared" ref="KMQ28" ca="1" si="1211">IF(KMR28&gt;=1,(KMP28/KMN28),0)</f>
        <v>0</v>
      </c>
      <c r="KMR28" s="292">
        <f t="shared" ref="KMR28" ca="1" si="1212">KMO28-$G$5</f>
        <v>-591</v>
      </c>
      <c r="KMS28" s="259" t="s">
        <v>55</v>
      </c>
      <c r="KMT28" s="256" t="s">
        <v>76</v>
      </c>
      <c r="KMU28" s="256" t="s">
        <v>77</v>
      </c>
      <c r="KMV28" s="256" t="s">
        <v>78</v>
      </c>
      <c r="KMW28" s="256" t="s">
        <v>79</v>
      </c>
      <c r="KMX28" s="256" t="s">
        <v>80</v>
      </c>
      <c r="KMY28" s="256" t="s">
        <v>81</v>
      </c>
      <c r="KMZ28" s="331"/>
      <c r="KNA28" s="290">
        <v>45492</v>
      </c>
      <c r="KNB28" s="339" t="s">
        <v>141</v>
      </c>
      <c r="KNC28" s="305"/>
      <c r="KND28" s="305">
        <v>1</v>
      </c>
      <c r="KNE28" s="304">
        <f t="shared" ref="KNE28" si="1213">EDATE(KNA28,KND28)</f>
        <v>45523</v>
      </c>
      <c r="KNF28" s="340">
        <v>0</v>
      </c>
      <c r="KNG28" s="320">
        <f t="shared" ref="KNG28" ca="1" si="1214">IF(KNH28&gt;=1,(KNF28/KND28),0)</f>
        <v>0</v>
      </c>
      <c r="KNH28" s="292">
        <f t="shared" ref="KNH28" ca="1" si="1215">KNE28-$G$5</f>
        <v>-591</v>
      </c>
      <c r="KNI28" s="259" t="s">
        <v>55</v>
      </c>
      <c r="KNJ28" s="256" t="s">
        <v>76</v>
      </c>
      <c r="KNK28" s="256" t="s">
        <v>77</v>
      </c>
      <c r="KNL28" s="256" t="s">
        <v>78</v>
      </c>
      <c r="KNM28" s="256" t="s">
        <v>79</v>
      </c>
      <c r="KNN28" s="256" t="s">
        <v>80</v>
      </c>
      <c r="KNO28" s="256" t="s">
        <v>81</v>
      </c>
      <c r="KNP28" s="331"/>
      <c r="KNQ28" s="290">
        <v>45492</v>
      </c>
      <c r="KNR28" s="339" t="s">
        <v>141</v>
      </c>
      <c r="KNS28" s="305"/>
      <c r="KNT28" s="305">
        <v>1</v>
      </c>
      <c r="KNU28" s="304">
        <f t="shared" ref="KNU28" si="1216">EDATE(KNQ28,KNT28)</f>
        <v>45523</v>
      </c>
      <c r="KNV28" s="340">
        <v>0</v>
      </c>
      <c r="KNW28" s="320">
        <f t="shared" ref="KNW28" ca="1" si="1217">IF(KNX28&gt;=1,(KNV28/KNT28),0)</f>
        <v>0</v>
      </c>
      <c r="KNX28" s="292">
        <f t="shared" ref="KNX28" ca="1" si="1218">KNU28-$G$5</f>
        <v>-591</v>
      </c>
      <c r="KNY28" s="259" t="s">
        <v>55</v>
      </c>
      <c r="KNZ28" s="256" t="s">
        <v>76</v>
      </c>
      <c r="KOA28" s="256" t="s">
        <v>77</v>
      </c>
      <c r="KOB28" s="256" t="s">
        <v>78</v>
      </c>
      <c r="KOC28" s="256" t="s">
        <v>79</v>
      </c>
      <c r="KOD28" s="256" t="s">
        <v>80</v>
      </c>
      <c r="KOE28" s="256" t="s">
        <v>81</v>
      </c>
      <c r="KOF28" s="331"/>
      <c r="KOG28" s="290">
        <v>45492</v>
      </c>
      <c r="KOH28" s="339" t="s">
        <v>141</v>
      </c>
      <c r="KOI28" s="305"/>
      <c r="KOJ28" s="305">
        <v>1</v>
      </c>
      <c r="KOK28" s="304">
        <f t="shared" ref="KOK28" si="1219">EDATE(KOG28,KOJ28)</f>
        <v>45523</v>
      </c>
      <c r="KOL28" s="340">
        <v>0</v>
      </c>
      <c r="KOM28" s="320">
        <f t="shared" ref="KOM28" ca="1" si="1220">IF(KON28&gt;=1,(KOL28/KOJ28),0)</f>
        <v>0</v>
      </c>
      <c r="KON28" s="292">
        <f t="shared" ref="KON28" ca="1" si="1221">KOK28-$G$5</f>
        <v>-591</v>
      </c>
      <c r="KOO28" s="259" t="s">
        <v>55</v>
      </c>
      <c r="KOP28" s="256" t="s">
        <v>76</v>
      </c>
      <c r="KOQ28" s="256" t="s">
        <v>77</v>
      </c>
      <c r="KOR28" s="256" t="s">
        <v>78</v>
      </c>
      <c r="KOS28" s="256" t="s">
        <v>79</v>
      </c>
      <c r="KOT28" s="256" t="s">
        <v>80</v>
      </c>
      <c r="KOU28" s="256" t="s">
        <v>81</v>
      </c>
      <c r="KOV28" s="331"/>
      <c r="KOW28" s="290">
        <v>45492</v>
      </c>
      <c r="KOX28" s="339" t="s">
        <v>141</v>
      </c>
      <c r="KOY28" s="305"/>
      <c r="KOZ28" s="305">
        <v>1</v>
      </c>
      <c r="KPA28" s="304">
        <f t="shared" ref="KPA28" si="1222">EDATE(KOW28,KOZ28)</f>
        <v>45523</v>
      </c>
      <c r="KPB28" s="340">
        <v>0</v>
      </c>
      <c r="KPC28" s="320">
        <f t="shared" ref="KPC28" ca="1" si="1223">IF(KPD28&gt;=1,(KPB28/KOZ28),0)</f>
        <v>0</v>
      </c>
      <c r="KPD28" s="292">
        <f t="shared" ref="KPD28" ca="1" si="1224">KPA28-$G$5</f>
        <v>-591</v>
      </c>
      <c r="KPE28" s="259" t="s">
        <v>55</v>
      </c>
      <c r="KPF28" s="256" t="s">
        <v>76</v>
      </c>
      <c r="KPG28" s="256" t="s">
        <v>77</v>
      </c>
      <c r="KPH28" s="256" t="s">
        <v>78</v>
      </c>
      <c r="KPI28" s="256" t="s">
        <v>79</v>
      </c>
      <c r="KPJ28" s="256" t="s">
        <v>80</v>
      </c>
      <c r="KPK28" s="256" t="s">
        <v>81</v>
      </c>
      <c r="KPL28" s="331"/>
      <c r="KPM28" s="290">
        <v>45492</v>
      </c>
      <c r="KPN28" s="339" t="s">
        <v>141</v>
      </c>
      <c r="KPO28" s="305"/>
      <c r="KPP28" s="305">
        <v>1</v>
      </c>
      <c r="KPQ28" s="304">
        <f t="shared" ref="KPQ28" si="1225">EDATE(KPM28,KPP28)</f>
        <v>45523</v>
      </c>
      <c r="KPR28" s="340">
        <v>0</v>
      </c>
      <c r="KPS28" s="320">
        <f t="shared" ref="KPS28" ca="1" si="1226">IF(KPT28&gt;=1,(KPR28/KPP28),0)</f>
        <v>0</v>
      </c>
      <c r="KPT28" s="292">
        <f t="shared" ref="KPT28" ca="1" si="1227">KPQ28-$G$5</f>
        <v>-591</v>
      </c>
      <c r="KPU28" s="259" t="s">
        <v>55</v>
      </c>
      <c r="KPV28" s="256" t="s">
        <v>76</v>
      </c>
      <c r="KPW28" s="256" t="s">
        <v>77</v>
      </c>
      <c r="KPX28" s="256" t="s">
        <v>78</v>
      </c>
      <c r="KPY28" s="256" t="s">
        <v>79</v>
      </c>
      <c r="KPZ28" s="256" t="s">
        <v>80</v>
      </c>
      <c r="KQA28" s="256" t="s">
        <v>81</v>
      </c>
      <c r="KQB28" s="331"/>
      <c r="KQC28" s="290">
        <v>45492</v>
      </c>
      <c r="KQD28" s="339" t="s">
        <v>141</v>
      </c>
      <c r="KQE28" s="305"/>
      <c r="KQF28" s="305">
        <v>1</v>
      </c>
      <c r="KQG28" s="304">
        <f t="shared" ref="KQG28" si="1228">EDATE(KQC28,KQF28)</f>
        <v>45523</v>
      </c>
      <c r="KQH28" s="340">
        <v>0</v>
      </c>
      <c r="KQI28" s="320">
        <f t="shared" ref="KQI28" ca="1" si="1229">IF(KQJ28&gt;=1,(KQH28/KQF28),0)</f>
        <v>0</v>
      </c>
      <c r="KQJ28" s="292">
        <f t="shared" ref="KQJ28" ca="1" si="1230">KQG28-$G$5</f>
        <v>-591</v>
      </c>
      <c r="KQK28" s="259" t="s">
        <v>55</v>
      </c>
      <c r="KQL28" s="256" t="s">
        <v>76</v>
      </c>
      <c r="KQM28" s="256" t="s">
        <v>77</v>
      </c>
      <c r="KQN28" s="256" t="s">
        <v>78</v>
      </c>
      <c r="KQO28" s="256" t="s">
        <v>79</v>
      </c>
      <c r="KQP28" s="256" t="s">
        <v>80</v>
      </c>
      <c r="KQQ28" s="256" t="s">
        <v>81</v>
      </c>
      <c r="KQR28" s="331"/>
      <c r="KQS28" s="290">
        <v>45492</v>
      </c>
      <c r="KQT28" s="339" t="s">
        <v>141</v>
      </c>
      <c r="KQU28" s="305"/>
      <c r="KQV28" s="305">
        <v>1</v>
      </c>
      <c r="KQW28" s="304">
        <f t="shared" ref="KQW28" si="1231">EDATE(KQS28,KQV28)</f>
        <v>45523</v>
      </c>
      <c r="KQX28" s="340">
        <v>0</v>
      </c>
      <c r="KQY28" s="320">
        <f t="shared" ref="KQY28" ca="1" si="1232">IF(KQZ28&gt;=1,(KQX28/KQV28),0)</f>
        <v>0</v>
      </c>
      <c r="KQZ28" s="292">
        <f t="shared" ref="KQZ28" ca="1" si="1233">KQW28-$G$5</f>
        <v>-591</v>
      </c>
      <c r="KRA28" s="259" t="s">
        <v>55</v>
      </c>
      <c r="KRB28" s="256" t="s">
        <v>76</v>
      </c>
      <c r="KRC28" s="256" t="s">
        <v>77</v>
      </c>
      <c r="KRD28" s="256" t="s">
        <v>78</v>
      </c>
      <c r="KRE28" s="256" t="s">
        <v>79</v>
      </c>
      <c r="KRF28" s="256" t="s">
        <v>80</v>
      </c>
      <c r="KRG28" s="256" t="s">
        <v>81</v>
      </c>
      <c r="KRH28" s="331"/>
      <c r="KRI28" s="290">
        <v>45492</v>
      </c>
      <c r="KRJ28" s="339" t="s">
        <v>141</v>
      </c>
      <c r="KRK28" s="305"/>
      <c r="KRL28" s="305">
        <v>1</v>
      </c>
      <c r="KRM28" s="304">
        <f t="shared" ref="KRM28" si="1234">EDATE(KRI28,KRL28)</f>
        <v>45523</v>
      </c>
      <c r="KRN28" s="340">
        <v>0</v>
      </c>
      <c r="KRO28" s="320">
        <f t="shared" ref="KRO28" ca="1" si="1235">IF(KRP28&gt;=1,(KRN28/KRL28),0)</f>
        <v>0</v>
      </c>
      <c r="KRP28" s="292">
        <f t="shared" ref="KRP28" ca="1" si="1236">KRM28-$G$5</f>
        <v>-591</v>
      </c>
      <c r="KRQ28" s="259" t="s">
        <v>55</v>
      </c>
      <c r="KRR28" s="256" t="s">
        <v>76</v>
      </c>
      <c r="KRS28" s="256" t="s">
        <v>77</v>
      </c>
      <c r="KRT28" s="256" t="s">
        <v>78</v>
      </c>
      <c r="KRU28" s="256" t="s">
        <v>79</v>
      </c>
      <c r="KRV28" s="256" t="s">
        <v>80</v>
      </c>
      <c r="KRW28" s="256" t="s">
        <v>81</v>
      </c>
      <c r="KRX28" s="331"/>
      <c r="KRY28" s="290">
        <v>45492</v>
      </c>
      <c r="KRZ28" s="339" t="s">
        <v>141</v>
      </c>
      <c r="KSA28" s="305"/>
      <c r="KSB28" s="305">
        <v>1</v>
      </c>
      <c r="KSC28" s="304">
        <f t="shared" ref="KSC28" si="1237">EDATE(KRY28,KSB28)</f>
        <v>45523</v>
      </c>
      <c r="KSD28" s="340">
        <v>0</v>
      </c>
      <c r="KSE28" s="320">
        <f t="shared" ref="KSE28" ca="1" si="1238">IF(KSF28&gt;=1,(KSD28/KSB28),0)</f>
        <v>0</v>
      </c>
      <c r="KSF28" s="292">
        <f t="shared" ref="KSF28" ca="1" si="1239">KSC28-$G$5</f>
        <v>-591</v>
      </c>
      <c r="KSG28" s="259" t="s">
        <v>55</v>
      </c>
      <c r="KSH28" s="256" t="s">
        <v>76</v>
      </c>
      <c r="KSI28" s="256" t="s">
        <v>77</v>
      </c>
      <c r="KSJ28" s="256" t="s">
        <v>78</v>
      </c>
      <c r="KSK28" s="256" t="s">
        <v>79</v>
      </c>
      <c r="KSL28" s="256" t="s">
        <v>80</v>
      </c>
      <c r="KSM28" s="256" t="s">
        <v>81</v>
      </c>
      <c r="KSN28" s="331"/>
      <c r="KSO28" s="290">
        <v>45492</v>
      </c>
      <c r="KSP28" s="339" t="s">
        <v>141</v>
      </c>
      <c r="KSQ28" s="305"/>
      <c r="KSR28" s="305">
        <v>1</v>
      </c>
      <c r="KSS28" s="304">
        <f t="shared" ref="KSS28" si="1240">EDATE(KSO28,KSR28)</f>
        <v>45523</v>
      </c>
      <c r="KST28" s="340">
        <v>0</v>
      </c>
      <c r="KSU28" s="320">
        <f t="shared" ref="KSU28" ca="1" si="1241">IF(KSV28&gt;=1,(KST28/KSR28),0)</f>
        <v>0</v>
      </c>
      <c r="KSV28" s="292">
        <f t="shared" ref="KSV28" ca="1" si="1242">KSS28-$G$5</f>
        <v>-591</v>
      </c>
      <c r="KSW28" s="259" t="s">
        <v>55</v>
      </c>
      <c r="KSX28" s="256" t="s">
        <v>76</v>
      </c>
      <c r="KSY28" s="256" t="s">
        <v>77</v>
      </c>
      <c r="KSZ28" s="256" t="s">
        <v>78</v>
      </c>
      <c r="KTA28" s="256" t="s">
        <v>79</v>
      </c>
      <c r="KTB28" s="256" t="s">
        <v>80</v>
      </c>
      <c r="KTC28" s="256" t="s">
        <v>81</v>
      </c>
      <c r="KTD28" s="331"/>
      <c r="KTE28" s="290">
        <v>45492</v>
      </c>
      <c r="KTF28" s="339" t="s">
        <v>141</v>
      </c>
      <c r="KTG28" s="305"/>
      <c r="KTH28" s="305">
        <v>1</v>
      </c>
      <c r="KTI28" s="304">
        <f t="shared" ref="KTI28" si="1243">EDATE(KTE28,KTH28)</f>
        <v>45523</v>
      </c>
      <c r="KTJ28" s="340">
        <v>0</v>
      </c>
      <c r="KTK28" s="320">
        <f t="shared" ref="KTK28" ca="1" si="1244">IF(KTL28&gt;=1,(KTJ28/KTH28),0)</f>
        <v>0</v>
      </c>
      <c r="KTL28" s="292">
        <f t="shared" ref="KTL28" ca="1" si="1245">KTI28-$G$5</f>
        <v>-591</v>
      </c>
      <c r="KTM28" s="259" t="s">
        <v>55</v>
      </c>
      <c r="KTN28" s="256" t="s">
        <v>76</v>
      </c>
      <c r="KTO28" s="256" t="s">
        <v>77</v>
      </c>
      <c r="KTP28" s="256" t="s">
        <v>78</v>
      </c>
      <c r="KTQ28" s="256" t="s">
        <v>79</v>
      </c>
      <c r="KTR28" s="256" t="s">
        <v>80</v>
      </c>
      <c r="KTS28" s="256" t="s">
        <v>81</v>
      </c>
      <c r="KTT28" s="331"/>
      <c r="KTU28" s="290">
        <v>45492</v>
      </c>
      <c r="KTV28" s="339" t="s">
        <v>141</v>
      </c>
      <c r="KTW28" s="305"/>
      <c r="KTX28" s="305">
        <v>1</v>
      </c>
      <c r="KTY28" s="304">
        <f t="shared" ref="KTY28" si="1246">EDATE(KTU28,KTX28)</f>
        <v>45523</v>
      </c>
      <c r="KTZ28" s="340">
        <v>0</v>
      </c>
      <c r="KUA28" s="320">
        <f t="shared" ref="KUA28" ca="1" si="1247">IF(KUB28&gt;=1,(KTZ28/KTX28),0)</f>
        <v>0</v>
      </c>
      <c r="KUB28" s="292">
        <f t="shared" ref="KUB28" ca="1" si="1248">KTY28-$G$5</f>
        <v>-591</v>
      </c>
      <c r="KUC28" s="259" t="s">
        <v>55</v>
      </c>
      <c r="KUD28" s="256" t="s">
        <v>76</v>
      </c>
      <c r="KUE28" s="256" t="s">
        <v>77</v>
      </c>
      <c r="KUF28" s="256" t="s">
        <v>78</v>
      </c>
      <c r="KUG28" s="256" t="s">
        <v>79</v>
      </c>
      <c r="KUH28" s="256" t="s">
        <v>80</v>
      </c>
      <c r="KUI28" s="256" t="s">
        <v>81</v>
      </c>
      <c r="KUJ28" s="331"/>
      <c r="KUK28" s="290">
        <v>45492</v>
      </c>
      <c r="KUL28" s="339" t="s">
        <v>141</v>
      </c>
      <c r="KUM28" s="305"/>
      <c r="KUN28" s="305">
        <v>1</v>
      </c>
      <c r="KUO28" s="304">
        <f t="shared" ref="KUO28" si="1249">EDATE(KUK28,KUN28)</f>
        <v>45523</v>
      </c>
      <c r="KUP28" s="340">
        <v>0</v>
      </c>
      <c r="KUQ28" s="320">
        <f t="shared" ref="KUQ28" ca="1" si="1250">IF(KUR28&gt;=1,(KUP28/KUN28),0)</f>
        <v>0</v>
      </c>
      <c r="KUR28" s="292">
        <f t="shared" ref="KUR28" ca="1" si="1251">KUO28-$G$5</f>
        <v>-591</v>
      </c>
      <c r="KUS28" s="259" t="s">
        <v>55</v>
      </c>
      <c r="KUT28" s="256" t="s">
        <v>76</v>
      </c>
      <c r="KUU28" s="256" t="s">
        <v>77</v>
      </c>
      <c r="KUV28" s="256" t="s">
        <v>78</v>
      </c>
      <c r="KUW28" s="256" t="s">
        <v>79</v>
      </c>
      <c r="KUX28" s="256" t="s">
        <v>80</v>
      </c>
      <c r="KUY28" s="256" t="s">
        <v>81</v>
      </c>
      <c r="KUZ28" s="331"/>
      <c r="KVA28" s="290">
        <v>45492</v>
      </c>
      <c r="KVB28" s="339" t="s">
        <v>141</v>
      </c>
      <c r="KVC28" s="305"/>
      <c r="KVD28" s="305">
        <v>1</v>
      </c>
      <c r="KVE28" s="304">
        <f t="shared" ref="KVE28" si="1252">EDATE(KVA28,KVD28)</f>
        <v>45523</v>
      </c>
      <c r="KVF28" s="340">
        <v>0</v>
      </c>
      <c r="KVG28" s="320">
        <f t="shared" ref="KVG28" ca="1" si="1253">IF(KVH28&gt;=1,(KVF28/KVD28),0)</f>
        <v>0</v>
      </c>
      <c r="KVH28" s="292">
        <f t="shared" ref="KVH28" ca="1" si="1254">KVE28-$G$5</f>
        <v>-591</v>
      </c>
      <c r="KVI28" s="259" t="s">
        <v>55</v>
      </c>
      <c r="KVJ28" s="256" t="s">
        <v>76</v>
      </c>
      <c r="KVK28" s="256" t="s">
        <v>77</v>
      </c>
      <c r="KVL28" s="256" t="s">
        <v>78</v>
      </c>
      <c r="KVM28" s="256" t="s">
        <v>79</v>
      </c>
      <c r="KVN28" s="256" t="s">
        <v>80</v>
      </c>
      <c r="KVO28" s="256" t="s">
        <v>81</v>
      </c>
      <c r="KVP28" s="331"/>
      <c r="KVQ28" s="290">
        <v>45492</v>
      </c>
      <c r="KVR28" s="339" t="s">
        <v>141</v>
      </c>
      <c r="KVS28" s="305"/>
      <c r="KVT28" s="305">
        <v>1</v>
      </c>
      <c r="KVU28" s="304">
        <f t="shared" ref="KVU28" si="1255">EDATE(KVQ28,KVT28)</f>
        <v>45523</v>
      </c>
      <c r="KVV28" s="340">
        <v>0</v>
      </c>
      <c r="KVW28" s="320">
        <f t="shared" ref="KVW28" ca="1" si="1256">IF(KVX28&gt;=1,(KVV28/KVT28),0)</f>
        <v>0</v>
      </c>
      <c r="KVX28" s="292">
        <f t="shared" ref="KVX28" ca="1" si="1257">KVU28-$G$5</f>
        <v>-591</v>
      </c>
      <c r="KVY28" s="259" t="s">
        <v>55</v>
      </c>
      <c r="KVZ28" s="256" t="s">
        <v>76</v>
      </c>
      <c r="KWA28" s="256" t="s">
        <v>77</v>
      </c>
      <c r="KWB28" s="256" t="s">
        <v>78</v>
      </c>
      <c r="KWC28" s="256" t="s">
        <v>79</v>
      </c>
      <c r="KWD28" s="256" t="s">
        <v>80</v>
      </c>
      <c r="KWE28" s="256" t="s">
        <v>81</v>
      </c>
      <c r="KWF28" s="331"/>
      <c r="KWG28" s="290">
        <v>45492</v>
      </c>
      <c r="KWH28" s="339" t="s">
        <v>141</v>
      </c>
      <c r="KWI28" s="305"/>
      <c r="KWJ28" s="305">
        <v>1</v>
      </c>
      <c r="KWK28" s="304">
        <f t="shared" ref="KWK28" si="1258">EDATE(KWG28,KWJ28)</f>
        <v>45523</v>
      </c>
      <c r="KWL28" s="340">
        <v>0</v>
      </c>
      <c r="KWM28" s="320">
        <f t="shared" ref="KWM28" ca="1" si="1259">IF(KWN28&gt;=1,(KWL28/KWJ28),0)</f>
        <v>0</v>
      </c>
      <c r="KWN28" s="292">
        <f t="shared" ref="KWN28" ca="1" si="1260">KWK28-$G$5</f>
        <v>-591</v>
      </c>
      <c r="KWO28" s="259" t="s">
        <v>55</v>
      </c>
      <c r="KWP28" s="256" t="s">
        <v>76</v>
      </c>
      <c r="KWQ28" s="256" t="s">
        <v>77</v>
      </c>
      <c r="KWR28" s="256" t="s">
        <v>78</v>
      </c>
      <c r="KWS28" s="256" t="s">
        <v>79</v>
      </c>
      <c r="KWT28" s="256" t="s">
        <v>80</v>
      </c>
      <c r="KWU28" s="256" t="s">
        <v>81</v>
      </c>
      <c r="KWV28" s="331"/>
      <c r="KWW28" s="290">
        <v>45492</v>
      </c>
      <c r="KWX28" s="339" t="s">
        <v>141</v>
      </c>
      <c r="KWY28" s="305"/>
      <c r="KWZ28" s="305">
        <v>1</v>
      </c>
      <c r="KXA28" s="304">
        <f t="shared" ref="KXA28" si="1261">EDATE(KWW28,KWZ28)</f>
        <v>45523</v>
      </c>
      <c r="KXB28" s="340">
        <v>0</v>
      </c>
      <c r="KXC28" s="320">
        <f t="shared" ref="KXC28" ca="1" si="1262">IF(KXD28&gt;=1,(KXB28/KWZ28),0)</f>
        <v>0</v>
      </c>
      <c r="KXD28" s="292">
        <f t="shared" ref="KXD28" ca="1" si="1263">KXA28-$G$5</f>
        <v>-591</v>
      </c>
      <c r="KXE28" s="259" t="s">
        <v>55</v>
      </c>
      <c r="KXF28" s="256" t="s">
        <v>76</v>
      </c>
      <c r="KXG28" s="256" t="s">
        <v>77</v>
      </c>
      <c r="KXH28" s="256" t="s">
        <v>78</v>
      </c>
      <c r="KXI28" s="256" t="s">
        <v>79</v>
      </c>
      <c r="KXJ28" s="256" t="s">
        <v>80</v>
      </c>
      <c r="KXK28" s="256" t="s">
        <v>81</v>
      </c>
      <c r="KXL28" s="331"/>
      <c r="KXM28" s="290">
        <v>45492</v>
      </c>
      <c r="KXN28" s="339" t="s">
        <v>141</v>
      </c>
      <c r="KXO28" s="305"/>
      <c r="KXP28" s="305">
        <v>1</v>
      </c>
      <c r="KXQ28" s="304">
        <f t="shared" ref="KXQ28" si="1264">EDATE(KXM28,KXP28)</f>
        <v>45523</v>
      </c>
      <c r="KXR28" s="340">
        <v>0</v>
      </c>
      <c r="KXS28" s="320">
        <f t="shared" ref="KXS28" ca="1" si="1265">IF(KXT28&gt;=1,(KXR28/KXP28),0)</f>
        <v>0</v>
      </c>
      <c r="KXT28" s="292">
        <f t="shared" ref="KXT28" ca="1" si="1266">KXQ28-$G$5</f>
        <v>-591</v>
      </c>
      <c r="KXU28" s="259" t="s">
        <v>55</v>
      </c>
      <c r="KXV28" s="256" t="s">
        <v>76</v>
      </c>
      <c r="KXW28" s="256" t="s">
        <v>77</v>
      </c>
      <c r="KXX28" s="256" t="s">
        <v>78</v>
      </c>
      <c r="KXY28" s="256" t="s">
        <v>79</v>
      </c>
      <c r="KXZ28" s="256" t="s">
        <v>80</v>
      </c>
      <c r="KYA28" s="256" t="s">
        <v>81</v>
      </c>
      <c r="KYB28" s="331"/>
      <c r="KYC28" s="290">
        <v>45492</v>
      </c>
      <c r="KYD28" s="339" t="s">
        <v>141</v>
      </c>
      <c r="KYE28" s="305"/>
      <c r="KYF28" s="305">
        <v>1</v>
      </c>
      <c r="KYG28" s="304">
        <f t="shared" ref="KYG28" si="1267">EDATE(KYC28,KYF28)</f>
        <v>45523</v>
      </c>
      <c r="KYH28" s="340">
        <v>0</v>
      </c>
      <c r="KYI28" s="320">
        <f t="shared" ref="KYI28" ca="1" si="1268">IF(KYJ28&gt;=1,(KYH28/KYF28),0)</f>
        <v>0</v>
      </c>
      <c r="KYJ28" s="292">
        <f t="shared" ref="KYJ28" ca="1" si="1269">KYG28-$G$5</f>
        <v>-591</v>
      </c>
      <c r="KYK28" s="259" t="s">
        <v>55</v>
      </c>
      <c r="KYL28" s="256" t="s">
        <v>76</v>
      </c>
      <c r="KYM28" s="256" t="s">
        <v>77</v>
      </c>
      <c r="KYN28" s="256" t="s">
        <v>78</v>
      </c>
      <c r="KYO28" s="256" t="s">
        <v>79</v>
      </c>
      <c r="KYP28" s="256" t="s">
        <v>80</v>
      </c>
      <c r="KYQ28" s="256" t="s">
        <v>81</v>
      </c>
      <c r="KYR28" s="331"/>
      <c r="KYS28" s="290">
        <v>45492</v>
      </c>
      <c r="KYT28" s="339" t="s">
        <v>141</v>
      </c>
      <c r="KYU28" s="305"/>
      <c r="KYV28" s="305">
        <v>1</v>
      </c>
      <c r="KYW28" s="304">
        <f t="shared" ref="KYW28" si="1270">EDATE(KYS28,KYV28)</f>
        <v>45523</v>
      </c>
      <c r="KYX28" s="340">
        <v>0</v>
      </c>
      <c r="KYY28" s="320">
        <f t="shared" ref="KYY28" ca="1" si="1271">IF(KYZ28&gt;=1,(KYX28/KYV28),0)</f>
        <v>0</v>
      </c>
      <c r="KYZ28" s="292">
        <f t="shared" ref="KYZ28" ca="1" si="1272">KYW28-$G$5</f>
        <v>-591</v>
      </c>
      <c r="KZA28" s="259" t="s">
        <v>55</v>
      </c>
      <c r="KZB28" s="256" t="s">
        <v>76</v>
      </c>
      <c r="KZC28" s="256" t="s">
        <v>77</v>
      </c>
      <c r="KZD28" s="256" t="s">
        <v>78</v>
      </c>
      <c r="KZE28" s="256" t="s">
        <v>79</v>
      </c>
      <c r="KZF28" s="256" t="s">
        <v>80</v>
      </c>
      <c r="KZG28" s="256" t="s">
        <v>81</v>
      </c>
      <c r="KZH28" s="331"/>
      <c r="KZI28" s="290">
        <v>45492</v>
      </c>
      <c r="KZJ28" s="339" t="s">
        <v>141</v>
      </c>
      <c r="KZK28" s="305"/>
      <c r="KZL28" s="305">
        <v>1</v>
      </c>
      <c r="KZM28" s="304">
        <f t="shared" ref="KZM28" si="1273">EDATE(KZI28,KZL28)</f>
        <v>45523</v>
      </c>
      <c r="KZN28" s="340">
        <v>0</v>
      </c>
      <c r="KZO28" s="320">
        <f t="shared" ref="KZO28" ca="1" si="1274">IF(KZP28&gt;=1,(KZN28/KZL28),0)</f>
        <v>0</v>
      </c>
      <c r="KZP28" s="292">
        <f t="shared" ref="KZP28" ca="1" si="1275">KZM28-$G$5</f>
        <v>-591</v>
      </c>
      <c r="KZQ28" s="259" t="s">
        <v>55</v>
      </c>
      <c r="KZR28" s="256" t="s">
        <v>76</v>
      </c>
      <c r="KZS28" s="256" t="s">
        <v>77</v>
      </c>
      <c r="KZT28" s="256" t="s">
        <v>78</v>
      </c>
      <c r="KZU28" s="256" t="s">
        <v>79</v>
      </c>
      <c r="KZV28" s="256" t="s">
        <v>80</v>
      </c>
      <c r="KZW28" s="256" t="s">
        <v>81</v>
      </c>
      <c r="KZX28" s="331"/>
      <c r="KZY28" s="290">
        <v>45492</v>
      </c>
      <c r="KZZ28" s="339" t="s">
        <v>141</v>
      </c>
      <c r="LAA28" s="305"/>
      <c r="LAB28" s="305">
        <v>1</v>
      </c>
      <c r="LAC28" s="304">
        <f t="shared" ref="LAC28" si="1276">EDATE(KZY28,LAB28)</f>
        <v>45523</v>
      </c>
      <c r="LAD28" s="340">
        <v>0</v>
      </c>
      <c r="LAE28" s="320">
        <f t="shared" ref="LAE28" ca="1" si="1277">IF(LAF28&gt;=1,(LAD28/LAB28),0)</f>
        <v>0</v>
      </c>
      <c r="LAF28" s="292">
        <f t="shared" ref="LAF28" ca="1" si="1278">LAC28-$G$5</f>
        <v>-591</v>
      </c>
      <c r="LAG28" s="259" t="s">
        <v>55</v>
      </c>
      <c r="LAH28" s="256" t="s">
        <v>76</v>
      </c>
      <c r="LAI28" s="256" t="s">
        <v>77</v>
      </c>
      <c r="LAJ28" s="256" t="s">
        <v>78</v>
      </c>
      <c r="LAK28" s="256" t="s">
        <v>79</v>
      </c>
      <c r="LAL28" s="256" t="s">
        <v>80</v>
      </c>
      <c r="LAM28" s="256" t="s">
        <v>81</v>
      </c>
      <c r="LAN28" s="331"/>
      <c r="LAO28" s="290">
        <v>45492</v>
      </c>
      <c r="LAP28" s="339" t="s">
        <v>141</v>
      </c>
      <c r="LAQ28" s="305"/>
      <c r="LAR28" s="305">
        <v>1</v>
      </c>
      <c r="LAS28" s="304">
        <f t="shared" ref="LAS28" si="1279">EDATE(LAO28,LAR28)</f>
        <v>45523</v>
      </c>
      <c r="LAT28" s="340">
        <v>0</v>
      </c>
      <c r="LAU28" s="320">
        <f t="shared" ref="LAU28" ca="1" si="1280">IF(LAV28&gt;=1,(LAT28/LAR28),0)</f>
        <v>0</v>
      </c>
      <c r="LAV28" s="292">
        <f t="shared" ref="LAV28" ca="1" si="1281">LAS28-$G$5</f>
        <v>-591</v>
      </c>
      <c r="LAW28" s="259" t="s">
        <v>55</v>
      </c>
      <c r="LAX28" s="256" t="s">
        <v>76</v>
      </c>
      <c r="LAY28" s="256" t="s">
        <v>77</v>
      </c>
      <c r="LAZ28" s="256" t="s">
        <v>78</v>
      </c>
      <c r="LBA28" s="256" t="s">
        <v>79</v>
      </c>
      <c r="LBB28" s="256" t="s">
        <v>80</v>
      </c>
      <c r="LBC28" s="256" t="s">
        <v>81</v>
      </c>
      <c r="LBD28" s="331"/>
      <c r="LBE28" s="290">
        <v>45492</v>
      </c>
      <c r="LBF28" s="339" t="s">
        <v>141</v>
      </c>
      <c r="LBG28" s="305"/>
      <c r="LBH28" s="305">
        <v>1</v>
      </c>
      <c r="LBI28" s="304">
        <f t="shared" ref="LBI28" si="1282">EDATE(LBE28,LBH28)</f>
        <v>45523</v>
      </c>
      <c r="LBJ28" s="340">
        <v>0</v>
      </c>
      <c r="LBK28" s="320">
        <f t="shared" ref="LBK28" ca="1" si="1283">IF(LBL28&gt;=1,(LBJ28/LBH28),0)</f>
        <v>0</v>
      </c>
      <c r="LBL28" s="292">
        <f t="shared" ref="LBL28" ca="1" si="1284">LBI28-$G$5</f>
        <v>-591</v>
      </c>
      <c r="LBM28" s="259" t="s">
        <v>55</v>
      </c>
      <c r="LBN28" s="256" t="s">
        <v>76</v>
      </c>
      <c r="LBO28" s="256" t="s">
        <v>77</v>
      </c>
      <c r="LBP28" s="256" t="s">
        <v>78</v>
      </c>
      <c r="LBQ28" s="256" t="s">
        <v>79</v>
      </c>
      <c r="LBR28" s="256" t="s">
        <v>80</v>
      </c>
      <c r="LBS28" s="256" t="s">
        <v>81</v>
      </c>
      <c r="LBT28" s="331"/>
      <c r="LBU28" s="290">
        <v>45492</v>
      </c>
      <c r="LBV28" s="339" t="s">
        <v>141</v>
      </c>
      <c r="LBW28" s="305"/>
      <c r="LBX28" s="305">
        <v>1</v>
      </c>
      <c r="LBY28" s="304">
        <f t="shared" ref="LBY28" si="1285">EDATE(LBU28,LBX28)</f>
        <v>45523</v>
      </c>
      <c r="LBZ28" s="340">
        <v>0</v>
      </c>
      <c r="LCA28" s="320">
        <f t="shared" ref="LCA28" ca="1" si="1286">IF(LCB28&gt;=1,(LBZ28/LBX28),0)</f>
        <v>0</v>
      </c>
      <c r="LCB28" s="292">
        <f t="shared" ref="LCB28" ca="1" si="1287">LBY28-$G$5</f>
        <v>-591</v>
      </c>
      <c r="LCC28" s="259" t="s">
        <v>55</v>
      </c>
      <c r="LCD28" s="256" t="s">
        <v>76</v>
      </c>
      <c r="LCE28" s="256" t="s">
        <v>77</v>
      </c>
      <c r="LCF28" s="256" t="s">
        <v>78</v>
      </c>
      <c r="LCG28" s="256" t="s">
        <v>79</v>
      </c>
      <c r="LCH28" s="256" t="s">
        <v>80</v>
      </c>
      <c r="LCI28" s="256" t="s">
        <v>81</v>
      </c>
      <c r="LCJ28" s="331"/>
      <c r="LCK28" s="290">
        <v>45492</v>
      </c>
      <c r="LCL28" s="339" t="s">
        <v>141</v>
      </c>
      <c r="LCM28" s="305"/>
      <c r="LCN28" s="305">
        <v>1</v>
      </c>
      <c r="LCO28" s="304">
        <f t="shared" ref="LCO28" si="1288">EDATE(LCK28,LCN28)</f>
        <v>45523</v>
      </c>
      <c r="LCP28" s="340">
        <v>0</v>
      </c>
      <c r="LCQ28" s="320">
        <f t="shared" ref="LCQ28" ca="1" si="1289">IF(LCR28&gt;=1,(LCP28/LCN28),0)</f>
        <v>0</v>
      </c>
      <c r="LCR28" s="292">
        <f t="shared" ref="LCR28" ca="1" si="1290">LCO28-$G$5</f>
        <v>-591</v>
      </c>
      <c r="LCS28" s="259" t="s">
        <v>55</v>
      </c>
      <c r="LCT28" s="256" t="s">
        <v>76</v>
      </c>
      <c r="LCU28" s="256" t="s">
        <v>77</v>
      </c>
      <c r="LCV28" s="256" t="s">
        <v>78</v>
      </c>
      <c r="LCW28" s="256" t="s">
        <v>79</v>
      </c>
      <c r="LCX28" s="256" t="s">
        <v>80</v>
      </c>
      <c r="LCY28" s="256" t="s">
        <v>81</v>
      </c>
      <c r="LCZ28" s="331"/>
      <c r="LDA28" s="290">
        <v>45492</v>
      </c>
      <c r="LDB28" s="339" t="s">
        <v>141</v>
      </c>
      <c r="LDC28" s="305"/>
      <c r="LDD28" s="305">
        <v>1</v>
      </c>
      <c r="LDE28" s="304">
        <f t="shared" ref="LDE28" si="1291">EDATE(LDA28,LDD28)</f>
        <v>45523</v>
      </c>
      <c r="LDF28" s="340">
        <v>0</v>
      </c>
      <c r="LDG28" s="320">
        <f t="shared" ref="LDG28" ca="1" si="1292">IF(LDH28&gt;=1,(LDF28/LDD28),0)</f>
        <v>0</v>
      </c>
      <c r="LDH28" s="292">
        <f t="shared" ref="LDH28" ca="1" si="1293">LDE28-$G$5</f>
        <v>-591</v>
      </c>
      <c r="LDI28" s="259" t="s">
        <v>55</v>
      </c>
      <c r="LDJ28" s="256" t="s">
        <v>76</v>
      </c>
      <c r="LDK28" s="256" t="s">
        <v>77</v>
      </c>
      <c r="LDL28" s="256" t="s">
        <v>78</v>
      </c>
      <c r="LDM28" s="256" t="s">
        <v>79</v>
      </c>
      <c r="LDN28" s="256" t="s">
        <v>80</v>
      </c>
      <c r="LDO28" s="256" t="s">
        <v>81</v>
      </c>
      <c r="LDP28" s="331"/>
      <c r="LDQ28" s="290">
        <v>45492</v>
      </c>
      <c r="LDR28" s="339" t="s">
        <v>141</v>
      </c>
      <c r="LDS28" s="305"/>
      <c r="LDT28" s="305">
        <v>1</v>
      </c>
      <c r="LDU28" s="304">
        <f t="shared" ref="LDU28" si="1294">EDATE(LDQ28,LDT28)</f>
        <v>45523</v>
      </c>
      <c r="LDV28" s="340">
        <v>0</v>
      </c>
      <c r="LDW28" s="320">
        <f t="shared" ref="LDW28" ca="1" si="1295">IF(LDX28&gt;=1,(LDV28/LDT28),0)</f>
        <v>0</v>
      </c>
      <c r="LDX28" s="292">
        <f t="shared" ref="LDX28" ca="1" si="1296">LDU28-$G$5</f>
        <v>-591</v>
      </c>
      <c r="LDY28" s="259" t="s">
        <v>55</v>
      </c>
      <c r="LDZ28" s="256" t="s">
        <v>76</v>
      </c>
      <c r="LEA28" s="256" t="s">
        <v>77</v>
      </c>
      <c r="LEB28" s="256" t="s">
        <v>78</v>
      </c>
      <c r="LEC28" s="256" t="s">
        <v>79</v>
      </c>
      <c r="LED28" s="256" t="s">
        <v>80</v>
      </c>
      <c r="LEE28" s="256" t="s">
        <v>81</v>
      </c>
      <c r="LEF28" s="331"/>
      <c r="LEG28" s="290">
        <v>45492</v>
      </c>
      <c r="LEH28" s="339" t="s">
        <v>141</v>
      </c>
      <c r="LEI28" s="305"/>
      <c r="LEJ28" s="305">
        <v>1</v>
      </c>
      <c r="LEK28" s="304">
        <f t="shared" ref="LEK28" si="1297">EDATE(LEG28,LEJ28)</f>
        <v>45523</v>
      </c>
      <c r="LEL28" s="340">
        <v>0</v>
      </c>
      <c r="LEM28" s="320">
        <f t="shared" ref="LEM28" ca="1" si="1298">IF(LEN28&gt;=1,(LEL28/LEJ28),0)</f>
        <v>0</v>
      </c>
      <c r="LEN28" s="292">
        <f t="shared" ref="LEN28" ca="1" si="1299">LEK28-$G$5</f>
        <v>-591</v>
      </c>
      <c r="LEO28" s="259" t="s">
        <v>55</v>
      </c>
      <c r="LEP28" s="256" t="s">
        <v>76</v>
      </c>
      <c r="LEQ28" s="256" t="s">
        <v>77</v>
      </c>
      <c r="LER28" s="256" t="s">
        <v>78</v>
      </c>
      <c r="LES28" s="256" t="s">
        <v>79</v>
      </c>
      <c r="LET28" s="256" t="s">
        <v>80</v>
      </c>
      <c r="LEU28" s="256" t="s">
        <v>81</v>
      </c>
      <c r="LEV28" s="331"/>
      <c r="LEW28" s="290">
        <v>45492</v>
      </c>
      <c r="LEX28" s="339" t="s">
        <v>141</v>
      </c>
      <c r="LEY28" s="305"/>
      <c r="LEZ28" s="305">
        <v>1</v>
      </c>
      <c r="LFA28" s="304">
        <f t="shared" ref="LFA28" si="1300">EDATE(LEW28,LEZ28)</f>
        <v>45523</v>
      </c>
      <c r="LFB28" s="340">
        <v>0</v>
      </c>
      <c r="LFC28" s="320">
        <f t="shared" ref="LFC28" ca="1" si="1301">IF(LFD28&gt;=1,(LFB28/LEZ28),0)</f>
        <v>0</v>
      </c>
      <c r="LFD28" s="292">
        <f t="shared" ref="LFD28" ca="1" si="1302">LFA28-$G$5</f>
        <v>-591</v>
      </c>
      <c r="LFE28" s="259" t="s">
        <v>55</v>
      </c>
      <c r="LFF28" s="256" t="s">
        <v>76</v>
      </c>
      <c r="LFG28" s="256" t="s">
        <v>77</v>
      </c>
      <c r="LFH28" s="256" t="s">
        <v>78</v>
      </c>
      <c r="LFI28" s="256" t="s">
        <v>79</v>
      </c>
      <c r="LFJ28" s="256" t="s">
        <v>80</v>
      </c>
      <c r="LFK28" s="256" t="s">
        <v>81</v>
      </c>
      <c r="LFL28" s="331"/>
      <c r="LFM28" s="290">
        <v>45492</v>
      </c>
      <c r="LFN28" s="339" t="s">
        <v>141</v>
      </c>
      <c r="LFO28" s="305"/>
      <c r="LFP28" s="305">
        <v>1</v>
      </c>
      <c r="LFQ28" s="304">
        <f t="shared" ref="LFQ28" si="1303">EDATE(LFM28,LFP28)</f>
        <v>45523</v>
      </c>
      <c r="LFR28" s="340">
        <v>0</v>
      </c>
      <c r="LFS28" s="320">
        <f t="shared" ref="LFS28" ca="1" si="1304">IF(LFT28&gt;=1,(LFR28/LFP28),0)</f>
        <v>0</v>
      </c>
      <c r="LFT28" s="292">
        <f t="shared" ref="LFT28" ca="1" si="1305">LFQ28-$G$5</f>
        <v>-591</v>
      </c>
      <c r="LFU28" s="259" t="s">
        <v>55</v>
      </c>
      <c r="LFV28" s="256" t="s">
        <v>76</v>
      </c>
      <c r="LFW28" s="256" t="s">
        <v>77</v>
      </c>
      <c r="LFX28" s="256" t="s">
        <v>78</v>
      </c>
      <c r="LFY28" s="256" t="s">
        <v>79</v>
      </c>
      <c r="LFZ28" s="256" t="s">
        <v>80</v>
      </c>
      <c r="LGA28" s="256" t="s">
        <v>81</v>
      </c>
      <c r="LGB28" s="331"/>
      <c r="LGC28" s="290">
        <v>45492</v>
      </c>
      <c r="LGD28" s="339" t="s">
        <v>141</v>
      </c>
      <c r="LGE28" s="305"/>
      <c r="LGF28" s="305">
        <v>1</v>
      </c>
      <c r="LGG28" s="304">
        <f t="shared" ref="LGG28" si="1306">EDATE(LGC28,LGF28)</f>
        <v>45523</v>
      </c>
      <c r="LGH28" s="340">
        <v>0</v>
      </c>
      <c r="LGI28" s="320">
        <f t="shared" ref="LGI28" ca="1" si="1307">IF(LGJ28&gt;=1,(LGH28/LGF28),0)</f>
        <v>0</v>
      </c>
      <c r="LGJ28" s="292">
        <f t="shared" ref="LGJ28" ca="1" si="1308">LGG28-$G$5</f>
        <v>-591</v>
      </c>
      <c r="LGK28" s="259" t="s">
        <v>55</v>
      </c>
      <c r="LGL28" s="256" t="s">
        <v>76</v>
      </c>
      <c r="LGM28" s="256" t="s">
        <v>77</v>
      </c>
      <c r="LGN28" s="256" t="s">
        <v>78</v>
      </c>
      <c r="LGO28" s="256" t="s">
        <v>79</v>
      </c>
      <c r="LGP28" s="256" t="s">
        <v>80</v>
      </c>
      <c r="LGQ28" s="256" t="s">
        <v>81</v>
      </c>
      <c r="LGR28" s="331"/>
      <c r="LGS28" s="290">
        <v>45492</v>
      </c>
      <c r="LGT28" s="339" t="s">
        <v>141</v>
      </c>
      <c r="LGU28" s="305"/>
      <c r="LGV28" s="305">
        <v>1</v>
      </c>
      <c r="LGW28" s="304">
        <f t="shared" ref="LGW28" si="1309">EDATE(LGS28,LGV28)</f>
        <v>45523</v>
      </c>
      <c r="LGX28" s="340">
        <v>0</v>
      </c>
      <c r="LGY28" s="320">
        <f t="shared" ref="LGY28" ca="1" si="1310">IF(LGZ28&gt;=1,(LGX28/LGV28),0)</f>
        <v>0</v>
      </c>
      <c r="LGZ28" s="292">
        <f t="shared" ref="LGZ28" ca="1" si="1311">LGW28-$G$5</f>
        <v>-591</v>
      </c>
      <c r="LHA28" s="259" t="s">
        <v>55</v>
      </c>
      <c r="LHB28" s="256" t="s">
        <v>76</v>
      </c>
      <c r="LHC28" s="256" t="s">
        <v>77</v>
      </c>
      <c r="LHD28" s="256" t="s">
        <v>78</v>
      </c>
      <c r="LHE28" s="256" t="s">
        <v>79</v>
      </c>
      <c r="LHF28" s="256" t="s">
        <v>80</v>
      </c>
      <c r="LHG28" s="256" t="s">
        <v>81</v>
      </c>
      <c r="LHH28" s="331"/>
      <c r="LHI28" s="290">
        <v>45492</v>
      </c>
      <c r="LHJ28" s="339" t="s">
        <v>141</v>
      </c>
      <c r="LHK28" s="305"/>
      <c r="LHL28" s="305">
        <v>1</v>
      </c>
      <c r="LHM28" s="304">
        <f t="shared" ref="LHM28" si="1312">EDATE(LHI28,LHL28)</f>
        <v>45523</v>
      </c>
      <c r="LHN28" s="340">
        <v>0</v>
      </c>
      <c r="LHO28" s="320">
        <f t="shared" ref="LHO28" ca="1" si="1313">IF(LHP28&gt;=1,(LHN28/LHL28),0)</f>
        <v>0</v>
      </c>
      <c r="LHP28" s="292">
        <f t="shared" ref="LHP28" ca="1" si="1314">LHM28-$G$5</f>
        <v>-591</v>
      </c>
      <c r="LHQ28" s="259" t="s">
        <v>55</v>
      </c>
      <c r="LHR28" s="256" t="s">
        <v>76</v>
      </c>
      <c r="LHS28" s="256" t="s">
        <v>77</v>
      </c>
      <c r="LHT28" s="256" t="s">
        <v>78</v>
      </c>
      <c r="LHU28" s="256" t="s">
        <v>79</v>
      </c>
      <c r="LHV28" s="256" t="s">
        <v>80</v>
      </c>
      <c r="LHW28" s="256" t="s">
        <v>81</v>
      </c>
      <c r="LHX28" s="331"/>
      <c r="LHY28" s="290">
        <v>45492</v>
      </c>
      <c r="LHZ28" s="339" t="s">
        <v>141</v>
      </c>
      <c r="LIA28" s="305"/>
      <c r="LIB28" s="305">
        <v>1</v>
      </c>
      <c r="LIC28" s="304">
        <f t="shared" ref="LIC28" si="1315">EDATE(LHY28,LIB28)</f>
        <v>45523</v>
      </c>
      <c r="LID28" s="340">
        <v>0</v>
      </c>
      <c r="LIE28" s="320">
        <f t="shared" ref="LIE28" ca="1" si="1316">IF(LIF28&gt;=1,(LID28/LIB28),0)</f>
        <v>0</v>
      </c>
      <c r="LIF28" s="292">
        <f t="shared" ref="LIF28" ca="1" si="1317">LIC28-$G$5</f>
        <v>-591</v>
      </c>
      <c r="LIG28" s="259" t="s">
        <v>55</v>
      </c>
      <c r="LIH28" s="256" t="s">
        <v>76</v>
      </c>
      <c r="LII28" s="256" t="s">
        <v>77</v>
      </c>
      <c r="LIJ28" s="256" t="s">
        <v>78</v>
      </c>
      <c r="LIK28" s="256" t="s">
        <v>79</v>
      </c>
      <c r="LIL28" s="256" t="s">
        <v>80</v>
      </c>
      <c r="LIM28" s="256" t="s">
        <v>81</v>
      </c>
      <c r="LIN28" s="331"/>
      <c r="LIO28" s="290">
        <v>45492</v>
      </c>
      <c r="LIP28" s="339" t="s">
        <v>141</v>
      </c>
      <c r="LIQ28" s="305"/>
      <c r="LIR28" s="305">
        <v>1</v>
      </c>
      <c r="LIS28" s="304">
        <f t="shared" ref="LIS28" si="1318">EDATE(LIO28,LIR28)</f>
        <v>45523</v>
      </c>
      <c r="LIT28" s="340">
        <v>0</v>
      </c>
      <c r="LIU28" s="320">
        <f t="shared" ref="LIU28" ca="1" si="1319">IF(LIV28&gt;=1,(LIT28/LIR28),0)</f>
        <v>0</v>
      </c>
      <c r="LIV28" s="292">
        <f t="shared" ref="LIV28" ca="1" si="1320">LIS28-$G$5</f>
        <v>-591</v>
      </c>
      <c r="LIW28" s="259" t="s">
        <v>55</v>
      </c>
      <c r="LIX28" s="256" t="s">
        <v>76</v>
      </c>
      <c r="LIY28" s="256" t="s">
        <v>77</v>
      </c>
      <c r="LIZ28" s="256" t="s">
        <v>78</v>
      </c>
      <c r="LJA28" s="256" t="s">
        <v>79</v>
      </c>
      <c r="LJB28" s="256" t="s">
        <v>80</v>
      </c>
      <c r="LJC28" s="256" t="s">
        <v>81</v>
      </c>
      <c r="LJD28" s="331"/>
      <c r="LJE28" s="290">
        <v>45492</v>
      </c>
      <c r="LJF28" s="339" t="s">
        <v>141</v>
      </c>
      <c r="LJG28" s="305"/>
      <c r="LJH28" s="305">
        <v>1</v>
      </c>
      <c r="LJI28" s="304">
        <f t="shared" ref="LJI28" si="1321">EDATE(LJE28,LJH28)</f>
        <v>45523</v>
      </c>
      <c r="LJJ28" s="340">
        <v>0</v>
      </c>
      <c r="LJK28" s="320">
        <f t="shared" ref="LJK28" ca="1" si="1322">IF(LJL28&gt;=1,(LJJ28/LJH28),0)</f>
        <v>0</v>
      </c>
      <c r="LJL28" s="292">
        <f t="shared" ref="LJL28" ca="1" si="1323">LJI28-$G$5</f>
        <v>-591</v>
      </c>
      <c r="LJM28" s="259" t="s">
        <v>55</v>
      </c>
      <c r="LJN28" s="256" t="s">
        <v>76</v>
      </c>
      <c r="LJO28" s="256" t="s">
        <v>77</v>
      </c>
      <c r="LJP28" s="256" t="s">
        <v>78</v>
      </c>
      <c r="LJQ28" s="256" t="s">
        <v>79</v>
      </c>
      <c r="LJR28" s="256" t="s">
        <v>80</v>
      </c>
      <c r="LJS28" s="256" t="s">
        <v>81</v>
      </c>
      <c r="LJT28" s="331"/>
      <c r="LJU28" s="290">
        <v>45492</v>
      </c>
      <c r="LJV28" s="339" t="s">
        <v>141</v>
      </c>
      <c r="LJW28" s="305"/>
      <c r="LJX28" s="305">
        <v>1</v>
      </c>
      <c r="LJY28" s="304">
        <f t="shared" ref="LJY28" si="1324">EDATE(LJU28,LJX28)</f>
        <v>45523</v>
      </c>
      <c r="LJZ28" s="340">
        <v>0</v>
      </c>
      <c r="LKA28" s="320">
        <f t="shared" ref="LKA28" ca="1" si="1325">IF(LKB28&gt;=1,(LJZ28/LJX28),0)</f>
        <v>0</v>
      </c>
      <c r="LKB28" s="292">
        <f t="shared" ref="LKB28" ca="1" si="1326">LJY28-$G$5</f>
        <v>-591</v>
      </c>
      <c r="LKC28" s="259" t="s">
        <v>55</v>
      </c>
      <c r="LKD28" s="256" t="s">
        <v>76</v>
      </c>
      <c r="LKE28" s="256" t="s">
        <v>77</v>
      </c>
      <c r="LKF28" s="256" t="s">
        <v>78</v>
      </c>
      <c r="LKG28" s="256" t="s">
        <v>79</v>
      </c>
      <c r="LKH28" s="256" t="s">
        <v>80</v>
      </c>
      <c r="LKI28" s="256" t="s">
        <v>81</v>
      </c>
      <c r="LKJ28" s="331"/>
      <c r="LKK28" s="290">
        <v>45492</v>
      </c>
      <c r="LKL28" s="339" t="s">
        <v>141</v>
      </c>
      <c r="LKM28" s="305"/>
      <c r="LKN28" s="305">
        <v>1</v>
      </c>
      <c r="LKO28" s="304">
        <f t="shared" ref="LKO28" si="1327">EDATE(LKK28,LKN28)</f>
        <v>45523</v>
      </c>
      <c r="LKP28" s="340">
        <v>0</v>
      </c>
      <c r="LKQ28" s="320">
        <f t="shared" ref="LKQ28" ca="1" si="1328">IF(LKR28&gt;=1,(LKP28/LKN28),0)</f>
        <v>0</v>
      </c>
      <c r="LKR28" s="292">
        <f t="shared" ref="LKR28" ca="1" si="1329">LKO28-$G$5</f>
        <v>-591</v>
      </c>
      <c r="LKS28" s="259" t="s">
        <v>55</v>
      </c>
      <c r="LKT28" s="256" t="s">
        <v>76</v>
      </c>
      <c r="LKU28" s="256" t="s">
        <v>77</v>
      </c>
      <c r="LKV28" s="256" t="s">
        <v>78</v>
      </c>
      <c r="LKW28" s="256" t="s">
        <v>79</v>
      </c>
      <c r="LKX28" s="256" t="s">
        <v>80</v>
      </c>
      <c r="LKY28" s="256" t="s">
        <v>81</v>
      </c>
      <c r="LKZ28" s="331"/>
      <c r="LLA28" s="290">
        <v>45492</v>
      </c>
      <c r="LLB28" s="339" t="s">
        <v>141</v>
      </c>
      <c r="LLC28" s="305"/>
      <c r="LLD28" s="305">
        <v>1</v>
      </c>
      <c r="LLE28" s="304">
        <f t="shared" ref="LLE28" si="1330">EDATE(LLA28,LLD28)</f>
        <v>45523</v>
      </c>
      <c r="LLF28" s="340">
        <v>0</v>
      </c>
      <c r="LLG28" s="320">
        <f t="shared" ref="LLG28" ca="1" si="1331">IF(LLH28&gt;=1,(LLF28/LLD28),0)</f>
        <v>0</v>
      </c>
      <c r="LLH28" s="292">
        <f t="shared" ref="LLH28" ca="1" si="1332">LLE28-$G$5</f>
        <v>-591</v>
      </c>
      <c r="LLI28" s="259" t="s">
        <v>55</v>
      </c>
      <c r="LLJ28" s="256" t="s">
        <v>76</v>
      </c>
      <c r="LLK28" s="256" t="s">
        <v>77</v>
      </c>
      <c r="LLL28" s="256" t="s">
        <v>78</v>
      </c>
      <c r="LLM28" s="256" t="s">
        <v>79</v>
      </c>
      <c r="LLN28" s="256" t="s">
        <v>80</v>
      </c>
      <c r="LLO28" s="256" t="s">
        <v>81</v>
      </c>
      <c r="LLP28" s="331"/>
      <c r="LLQ28" s="290">
        <v>45492</v>
      </c>
      <c r="LLR28" s="339" t="s">
        <v>141</v>
      </c>
      <c r="LLS28" s="305"/>
      <c r="LLT28" s="305">
        <v>1</v>
      </c>
      <c r="LLU28" s="304">
        <f t="shared" ref="LLU28" si="1333">EDATE(LLQ28,LLT28)</f>
        <v>45523</v>
      </c>
      <c r="LLV28" s="340">
        <v>0</v>
      </c>
      <c r="LLW28" s="320">
        <f t="shared" ref="LLW28" ca="1" si="1334">IF(LLX28&gt;=1,(LLV28/LLT28),0)</f>
        <v>0</v>
      </c>
      <c r="LLX28" s="292">
        <f t="shared" ref="LLX28" ca="1" si="1335">LLU28-$G$5</f>
        <v>-591</v>
      </c>
      <c r="LLY28" s="259" t="s">
        <v>55</v>
      </c>
      <c r="LLZ28" s="256" t="s">
        <v>76</v>
      </c>
      <c r="LMA28" s="256" t="s">
        <v>77</v>
      </c>
      <c r="LMB28" s="256" t="s">
        <v>78</v>
      </c>
      <c r="LMC28" s="256" t="s">
        <v>79</v>
      </c>
      <c r="LMD28" s="256" t="s">
        <v>80</v>
      </c>
      <c r="LME28" s="256" t="s">
        <v>81</v>
      </c>
      <c r="LMF28" s="331"/>
      <c r="LMG28" s="290">
        <v>45492</v>
      </c>
      <c r="LMH28" s="339" t="s">
        <v>141</v>
      </c>
      <c r="LMI28" s="305"/>
      <c r="LMJ28" s="305">
        <v>1</v>
      </c>
      <c r="LMK28" s="304">
        <f t="shared" ref="LMK28" si="1336">EDATE(LMG28,LMJ28)</f>
        <v>45523</v>
      </c>
      <c r="LML28" s="340">
        <v>0</v>
      </c>
      <c r="LMM28" s="320">
        <f t="shared" ref="LMM28" ca="1" si="1337">IF(LMN28&gt;=1,(LML28/LMJ28),0)</f>
        <v>0</v>
      </c>
      <c r="LMN28" s="292">
        <f t="shared" ref="LMN28" ca="1" si="1338">LMK28-$G$5</f>
        <v>-591</v>
      </c>
      <c r="LMO28" s="259" t="s">
        <v>55</v>
      </c>
      <c r="LMP28" s="256" t="s">
        <v>76</v>
      </c>
      <c r="LMQ28" s="256" t="s">
        <v>77</v>
      </c>
      <c r="LMR28" s="256" t="s">
        <v>78</v>
      </c>
      <c r="LMS28" s="256" t="s">
        <v>79</v>
      </c>
      <c r="LMT28" s="256" t="s">
        <v>80</v>
      </c>
      <c r="LMU28" s="256" t="s">
        <v>81</v>
      </c>
      <c r="LMV28" s="331"/>
      <c r="LMW28" s="290">
        <v>45492</v>
      </c>
      <c r="LMX28" s="339" t="s">
        <v>141</v>
      </c>
      <c r="LMY28" s="305"/>
      <c r="LMZ28" s="305">
        <v>1</v>
      </c>
      <c r="LNA28" s="304">
        <f t="shared" ref="LNA28" si="1339">EDATE(LMW28,LMZ28)</f>
        <v>45523</v>
      </c>
      <c r="LNB28" s="340">
        <v>0</v>
      </c>
      <c r="LNC28" s="320">
        <f t="shared" ref="LNC28" ca="1" si="1340">IF(LND28&gt;=1,(LNB28/LMZ28),0)</f>
        <v>0</v>
      </c>
      <c r="LND28" s="292">
        <f t="shared" ref="LND28" ca="1" si="1341">LNA28-$G$5</f>
        <v>-591</v>
      </c>
      <c r="LNE28" s="259" t="s">
        <v>55</v>
      </c>
      <c r="LNF28" s="256" t="s">
        <v>76</v>
      </c>
      <c r="LNG28" s="256" t="s">
        <v>77</v>
      </c>
      <c r="LNH28" s="256" t="s">
        <v>78</v>
      </c>
      <c r="LNI28" s="256" t="s">
        <v>79</v>
      </c>
      <c r="LNJ28" s="256" t="s">
        <v>80</v>
      </c>
      <c r="LNK28" s="256" t="s">
        <v>81</v>
      </c>
      <c r="LNL28" s="331"/>
      <c r="LNM28" s="290">
        <v>45492</v>
      </c>
      <c r="LNN28" s="339" t="s">
        <v>141</v>
      </c>
      <c r="LNO28" s="305"/>
      <c r="LNP28" s="305">
        <v>1</v>
      </c>
      <c r="LNQ28" s="304">
        <f t="shared" ref="LNQ28" si="1342">EDATE(LNM28,LNP28)</f>
        <v>45523</v>
      </c>
      <c r="LNR28" s="340">
        <v>0</v>
      </c>
      <c r="LNS28" s="320">
        <f t="shared" ref="LNS28" ca="1" si="1343">IF(LNT28&gt;=1,(LNR28/LNP28),0)</f>
        <v>0</v>
      </c>
      <c r="LNT28" s="292">
        <f t="shared" ref="LNT28" ca="1" si="1344">LNQ28-$G$5</f>
        <v>-591</v>
      </c>
      <c r="LNU28" s="259" t="s">
        <v>55</v>
      </c>
      <c r="LNV28" s="256" t="s">
        <v>76</v>
      </c>
      <c r="LNW28" s="256" t="s">
        <v>77</v>
      </c>
      <c r="LNX28" s="256" t="s">
        <v>78</v>
      </c>
      <c r="LNY28" s="256" t="s">
        <v>79</v>
      </c>
      <c r="LNZ28" s="256" t="s">
        <v>80</v>
      </c>
      <c r="LOA28" s="256" t="s">
        <v>81</v>
      </c>
      <c r="LOB28" s="331"/>
      <c r="LOC28" s="290">
        <v>45492</v>
      </c>
      <c r="LOD28" s="339" t="s">
        <v>141</v>
      </c>
      <c r="LOE28" s="305"/>
      <c r="LOF28" s="305">
        <v>1</v>
      </c>
      <c r="LOG28" s="304">
        <f t="shared" ref="LOG28" si="1345">EDATE(LOC28,LOF28)</f>
        <v>45523</v>
      </c>
      <c r="LOH28" s="340">
        <v>0</v>
      </c>
      <c r="LOI28" s="320">
        <f t="shared" ref="LOI28" ca="1" si="1346">IF(LOJ28&gt;=1,(LOH28/LOF28),0)</f>
        <v>0</v>
      </c>
      <c r="LOJ28" s="292">
        <f t="shared" ref="LOJ28" ca="1" si="1347">LOG28-$G$5</f>
        <v>-591</v>
      </c>
      <c r="LOK28" s="259" t="s">
        <v>55</v>
      </c>
      <c r="LOL28" s="256" t="s">
        <v>76</v>
      </c>
      <c r="LOM28" s="256" t="s">
        <v>77</v>
      </c>
      <c r="LON28" s="256" t="s">
        <v>78</v>
      </c>
      <c r="LOO28" s="256" t="s">
        <v>79</v>
      </c>
      <c r="LOP28" s="256" t="s">
        <v>80</v>
      </c>
      <c r="LOQ28" s="256" t="s">
        <v>81</v>
      </c>
      <c r="LOR28" s="331"/>
      <c r="LOS28" s="290">
        <v>45492</v>
      </c>
      <c r="LOT28" s="339" t="s">
        <v>141</v>
      </c>
      <c r="LOU28" s="305"/>
      <c r="LOV28" s="305">
        <v>1</v>
      </c>
      <c r="LOW28" s="304">
        <f t="shared" ref="LOW28" si="1348">EDATE(LOS28,LOV28)</f>
        <v>45523</v>
      </c>
      <c r="LOX28" s="340">
        <v>0</v>
      </c>
      <c r="LOY28" s="320">
        <f t="shared" ref="LOY28" ca="1" si="1349">IF(LOZ28&gt;=1,(LOX28/LOV28),0)</f>
        <v>0</v>
      </c>
      <c r="LOZ28" s="292">
        <f t="shared" ref="LOZ28" ca="1" si="1350">LOW28-$G$5</f>
        <v>-591</v>
      </c>
      <c r="LPA28" s="259" t="s">
        <v>55</v>
      </c>
      <c r="LPB28" s="256" t="s">
        <v>76</v>
      </c>
      <c r="LPC28" s="256" t="s">
        <v>77</v>
      </c>
      <c r="LPD28" s="256" t="s">
        <v>78</v>
      </c>
      <c r="LPE28" s="256" t="s">
        <v>79</v>
      </c>
      <c r="LPF28" s="256" t="s">
        <v>80</v>
      </c>
      <c r="LPG28" s="256" t="s">
        <v>81</v>
      </c>
      <c r="LPH28" s="331"/>
      <c r="LPI28" s="290">
        <v>45492</v>
      </c>
      <c r="LPJ28" s="339" t="s">
        <v>141</v>
      </c>
      <c r="LPK28" s="305"/>
      <c r="LPL28" s="305">
        <v>1</v>
      </c>
      <c r="LPM28" s="304">
        <f t="shared" ref="LPM28" si="1351">EDATE(LPI28,LPL28)</f>
        <v>45523</v>
      </c>
      <c r="LPN28" s="340">
        <v>0</v>
      </c>
      <c r="LPO28" s="320">
        <f t="shared" ref="LPO28" ca="1" si="1352">IF(LPP28&gt;=1,(LPN28/LPL28),0)</f>
        <v>0</v>
      </c>
      <c r="LPP28" s="292">
        <f t="shared" ref="LPP28" ca="1" si="1353">LPM28-$G$5</f>
        <v>-591</v>
      </c>
      <c r="LPQ28" s="259" t="s">
        <v>55</v>
      </c>
      <c r="LPR28" s="256" t="s">
        <v>76</v>
      </c>
      <c r="LPS28" s="256" t="s">
        <v>77</v>
      </c>
      <c r="LPT28" s="256" t="s">
        <v>78</v>
      </c>
      <c r="LPU28" s="256" t="s">
        <v>79</v>
      </c>
      <c r="LPV28" s="256" t="s">
        <v>80</v>
      </c>
      <c r="LPW28" s="256" t="s">
        <v>81</v>
      </c>
      <c r="LPX28" s="331"/>
      <c r="LPY28" s="290">
        <v>45492</v>
      </c>
      <c r="LPZ28" s="339" t="s">
        <v>141</v>
      </c>
      <c r="LQA28" s="305"/>
      <c r="LQB28" s="305">
        <v>1</v>
      </c>
      <c r="LQC28" s="304">
        <f t="shared" ref="LQC28" si="1354">EDATE(LPY28,LQB28)</f>
        <v>45523</v>
      </c>
      <c r="LQD28" s="340">
        <v>0</v>
      </c>
      <c r="LQE28" s="320">
        <f t="shared" ref="LQE28" ca="1" si="1355">IF(LQF28&gt;=1,(LQD28/LQB28),0)</f>
        <v>0</v>
      </c>
      <c r="LQF28" s="292">
        <f t="shared" ref="LQF28" ca="1" si="1356">LQC28-$G$5</f>
        <v>-591</v>
      </c>
      <c r="LQG28" s="259" t="s">
        <v>55</v>
      </c>
      <c r="LQH28" s="256" t="s">
        <v>76</v>
      </c>
      <c r="LQI28" s="256" t="s">
        <v>77</v>
      </c>
      <c r="LQJ28" s="256" t="s">
        <v>78</v>
      </c>
      <c r="LQK28" s="256" t="s">
        <v>79</v>
      </c>
      <c r="LQL28" s="256" t="s">
        <v>80</v>
      </c>
      <c r="LQM28" s="256" t="s">
        <v>81</v>
      </c>
      <c r="LQN28" s="331"/>
      <c r="LQO28" s="290">
        <v>45492</v>
      </c>
      <c r="LQP28" s="339" t="s">
        <v>141</v>
      </c>
      <c r="LQQ28" s="305"/>
      <c r="LQR28" s="305">
        <v>1</v>
      </c>
      <c r="LQS28" s="304">
        <f t="shared" ref="LQS28" si="1357">EDATE(LQO28,LQR28)</f>
        <v>45523</v>
      </c>
      <c r="LQT28" s="340">
        <v>0</v>
      </c>
      <c r="LQU28" s="320">
        <f t="shared" ref="LQU28" ca="1" si="1358">IF(LQV28&gt;=1,(LQT28/LQR28),0)</f>
        <v>0</v>
      </c>
      <c r="LQV28" s="292">
        <f t="shared" ref="LQV28" ca="1" si="1359">LQS28-$G$5</f>
        <v>-591</v>
      </c>
      <c r="LQW28" s="259" t="s">
        <v>55</v>
      </c>
      <c r="LQX28" s="256" t="s">
        <v>76</v>
      </c>
      <c r="LQY28" s="256" t="s">
        <v>77</v>
      </c>
      <c r="LQZ28" s="256" t="s">
        <v>78</v>
      </c>
      <c r="LRA28" s="256" t="s">
        <v>79</v>
      </c>
      <c r="LRB28" s="256" t="s">
        <v>80</v>
      </c>
      <c r="LRC28" s="256" t="s">
        <v>81</v>
      </c>
      <c r="LRD28" s="331"/>
      <c r="LRE28" s="290">
        <v>45492</v>
      </c>
      <c r="LRF28" s="339" t="s">
        <v>141</v>
      </c>
      <c r="LRG28" s="305"/>
      <c r="LRH28" s="305">
        <v>1</v>
      </c>
      <c r="LRI28" s="304">
        <f t="shared" ref="LRI28" si="1360">EDATE(LRE28,LRH28)</f>
        <v>45523</v>
      </c>
      <c r="LRJ28" s="340">
        <v>0</v>
      </c>
      <c r="LRK28" s="320">
        <f t="shared" ref="LRK28" ca="1" si="1361">IF(LRL28&gt;=1,(LRJ28/LRH28),0)</f>
        <v>0</v>
      </c>
      <c r="LRL28" s="292">
        <f t="shared" ref="LRL28" ca="1" si="1362">LRI28-$G$5</f>
        <v>-591</v>
      </c>
      <c r="LRM28" s="259" t="s">
        <v>55</v>
      </c>
      <c r="LRN28" s="256" t="s">
        <v>76</v>
      </c>
      <c r="LRO28" s="256" t="s">
        <v>77</v>
      </c>
      <c r="LRP28" s="256" t="s">
        <v>78</v>
      </c>
      <c r="LRQ28" s="256" t="s">
        <v>79</v>
      </c>
      <c r="LRR28" s="256" t="s">
        <v>80</v>
      </c>
      <c r="LRS28" s="256" t="s">
        <v>81</v>
      </c>
      <c r="LRT28" s="331"/>
      <c r="LRU28" s="290">
        <v>45492</v>
      </c>
      <c r="LRV28" s="339" t="s">
        <v>141</v>
      </c>
      <c r="LRW28" s="305"/>
      <c r="LRX28" s="305">
        <v>1</v>
      </c>
      <c r="LRY28" s="304">
        <f t="shared" ref="LRY28" si="1363">EDATE(LRU28,LRX28)</f>
        <v>45523</v>
      </c>
      <c r="LRZ28" s="340">
        <v>0</v>
      </c>
      <c r="LSA28" s="320">
        <f t="shared" ref="LSA28" ca="1" si="1364">IF(LSB28&gt;=1,(LRZ28/LRX28),0)</f>
        <v>0</v>
      </c>
      <c r="LSB28" s="292">
        <f t="shared" ref="LSB28" ca="1" si="1365">LRY28-$G$5</f>
        <v>-591</v>
      </c>
      <c r="LSC28" s="259" t="s">
        <v>55</v>
      </c>
      <c r="LSD28" s="256" t="s">
        <v>76</v>
      </c>
      <c r="LSE28" s="256" t="s">
        <v>77</v>
      </c>
      <c r="LSF28" s="256" t="s">
        <v>78</v>
      </c>
      <c r="LSG28" s="256" t="s">
        <v>79</v>
      </c>
      <c r="LSH28" s="256" t="s">
        <v>80</v>
      </c>
      <c r="LSI28" s="256" t="s">
        <v>81</v>
      </c>
      <c r="LSJ28" s="331"/>
      <c r="LSK28" s="290">
        <v>45492</v>
      </c>
      <c r="LSL28" s="339" t="s">
        <v>141</v>
      </c>
      <c r="LSM28" s="305"/>
      <c r="LSN28" s="305">
        <v>1</v>
      </c>
      <c r="LSO28" s="304">
        <f t="shared" ref="LSO28" si="1366">EDATE(LSK28,LSN28)</f>
        <v>45523</v>
      </c>
      <c r="LSP28" s="340">
        <v>0</v>
      </c>
      <c r="LSQ28" s="320">
        <f t="shared" ref="LSQ28" ca="1" si="1367">IF(LSR28&gt;=1,(LSP28/LSN28),0)</f>
        <v>0</v>
      </c>
      <c r="LSR28" s="292">
        <f t="shared" ref="LSR28" ca="1" si="1368">LSO28-$G$5</f>
        <v>-591</v>
      </c>
      <c r="LSS28" s="259" t="s">
        <v>55</v>
      </c>
      <c r="LST28" s="256" t="s">
        <v>76</v>
      </c>
      <c r="LSU28" s="256" t="s">
        <v>77</v>
      </c>
      <c r="LSV28" s="256" t="s">
        <v>78</v>
      </c>
      <c r="LSW28" s="256" t="s">
        <v>79</v>
      </c>
      <c r="LSX28" s="256" t="s">
        <v>80</v>
      </c>
      <c r="LSY28" s="256" t="s">
        <v>81</v>
      </c>
      <c r="LSZ28" s="331"/>
      <c r="LTA28" s="290">
        <v>45492</v>
      </c>
      <c r="LTB28" s="339" t="s">
        <v>141</v>
      </c>
      <c r="LTC28" s="305"/>
      <c r="LTD28" s="305">
        <v>1</v>
      </c>
      <c r="LTE28" s="304">
        <f t="shared" ref="LTE28" si="1369">EDATE(LTA28,LTD28)</f>
        <v>45523</v>
      </c>
      <c r="LTF28" s="340">
        <v>0</v>
      </c>
      <c r="LTG28" s="320">
        <f t="shared" ref="LTG28" ca="1" si="1370">IF(LTH28&gt;=1,(LTF28/LTD28),0)</f>
        <v>0</v>
      </c>
      <c r="LTH28" s="292">
        <f t="shared" ref="LTH28" ca="1" si="1371">LTE28-$G$5</f>
        <v>-591</v>
      </c>
      <c r="LTI28" s="259" t="s">
        <v>55</v>
      </c>
      <c r="LTJ28" s="256" t="s">
        <v>76</v>
      </c>
      <c r="LTK28" s="256" t="s">
        <v>77</v>
      </c>
      <c r="LTL28" s="256" t="s">
        <v>78</v>
      </c>
      <c r="LTM28" s="256" t="s">
        <v>79</v>
      </c>
      <c r="LTN28" s="256" t="s">
        <v>80</v>
      </c>
      <c r="LTO28" s="256" t="s">
        <v>81</v>
      </c>
      <c r="LTP28" s="331"/>
      <c r="LTQ28" s="290">
        <v>45492</v>
      </c>
      <c r="LTR28" s="339" t="s">
        <v>141</v>
      </c>
      <c r="LTS28" s="305"/>
      <c r="LTT28" s="305">
        <v>1</v>
      </c>
      <c r="LTU28" s="304">
        <f t="shared" ref="LTU28" si="1372">EDATE(LTQ28,LTT28)</f>
        <v>45523</v>
      </c>
      <c r="LTV28" s="340">
        <v>0</v>
      </c>
      <c r="LTW28" s="320">
        <f t="shared" ref="LTW28" ca="1" si="1373">IF(LTX28&gt;=1,(LTV28/LTT28),0)</f>
        <v>0</v>
      </c>
      <c r="LTX28" s="292">
        <f t="shared" ref="LTX28" ca="1" si="1374">LTU28-$G$5</f>
        <v>-591</v>
      </c>
      <c r="LTY28" s="259" t="s">
        <v>55</v>
      </c>
      <c r="LTZ28" s="256" t="s">
        <v>76</v>
      </c>
      <c r="LUA28" s="256" t="s">
        <v>77</v>
      </c>
      <c r="LUB28" s="256" t="s">
        <v>78</v>
      </c>
      <c r="LUC28" s="256" t="s">
        <v>79</v>
      </c>
      <c r="LUD28" s="256" t="s">
        <v>80</v>
      </c>
      <c r="LUE28" s="256" t="s">
        <v>81</v>
      </c>
      <c r="LUF28" s="331"/>
      <c r="LUG28" s="290">
        <v>45492</v>
      </c>
      <c r="LUH28" s="339" t="s">
        <v>141</v>
      </c>
      <c r="LUI28" s="305"/>
      <c r="LUJ28" s="305">
        <v>1</v>
      </c>
      <c r="LUK28" s="304">
        <f t="shared" ref="LUK28" si="1375">EDATE(LUG28,LUJ28)</f>
        <v>45523</v>
      </c>
      <c r="LUL28" s="340">
        <v>0</v>
      </c>
      <c r="LUM28" s="320">
        <f t="shared" ref="LUM28" ca="1" si="1376">IF(LUN28&gt;=1,(LUL28/LUJ28),0)</f>
        <v>0</v>
      </c>
      <c r="LUN28" s="292">
        <f t="shared" ref="LUN28" ca="1" si="1377">LUK28-$G$5</f>
        <v>-591</v>
      </c>
      <c r="LUO28" s="259" t="s">
        <v>55</v>
      </c>
      <c r="LUP28" s="256" t="s">
        <v>76</v>
      </c>
      <c r="LUQ28" s="256" t="s">
        <v>77</v>
      </c>
      <c r="LUR28" s="256" t="s">
        <v>78</v>
      </c>
      <c r="LUS28" s="256" t="s">
        <v>79</v>
      </c>
      <c r="LUT28" s="256" t="s">
        <v>80</v>
      </c>
      <c r="LUU28" s="256" t="s">
        <v>81</v>
      </c>
      <c r="LUV28" s="331"/>
      <c r="LUW28" s="290">
        <v>45492</v>
      </c>
      <c r="LUX28" s="339" t="s">
        <v>141</v>
      </c>
      <c r="LUY28" s="305"/>
      <c r="LUZ28" s="305">
        <v>1</v>
      </c>
      <c r="LVA28" s="304">
        <f t="shared" ref="LVA28" si="1378">EDATE(LUW28,LUZ28)</f>
        <v>45523</v>
      </c>
      <c r="LVB28" s="340">
        <v>0</v>
      </c>
      <c r="LVC28" s="320">
        <f t="shared" ref="LVC28" ca="1" si="1379">IF(LVD28&gt;=1,(LVB28/LUZ28),0)</f>
        <v>0</v>
      </c>
      <c r="LVD28" s="292">
        <f t="shared" ref="LVD28" ca="1" si="1380">LVA28-$G$5</f>
        <v>-591</v>
      </c>
      <c r="LVE28" s="259" t="s">
        <v>55</v>
      </c>
      <c r="LVF28" s="256" t="s">
        <v>76</v>
      </c>
      <c r="LVG28" s="256" t="s">
        <v>77</v>
      </c>
      <c r="LVH28" s="256" t="s">
        <v>78</v>
      </c>
      <c r="LVI28" s="256" t="s">
        <v>79</v>
      </c>
      <c r="LVJ28" s="256" t="s">
        <v>80</v>
      </c>
      <c r="LVK28" s="256" t="s">
        <v>81</v>
      </c>
      <c r="LVL28" s="331"/>
      <c r="LVM28" s="290">
        <v>45492</v>
      </c>
      <c r="LVN28" s="339" t="s">
        <v>141</v>
      </c>
      <c r="LVO28" s="305"/>
      <c r="LVP28" s="305">
        <v>1</v>
      </c>
      <c r="LVQ28" s="304">
        <f t="shared" ref="LVQ28" si="1381">EDATE(LVM28,LVP28)</f>
        <v>45523</v>
      </c>
      <c r="LVR28" s="340">
        <v>0</v>
      </c>
      <c r="LVS28" s="320">
        <f t="shared" ref="LVS28" ca="1" si="1382">IF(LVT28&gt;=1,(LVR28/LVP28),0)</f>
        <v>0</v>
      </c>
      <c r="LVT28" s="292">
        <f t="shared" ref="LVT28" ca="1" si="1383">LVQ28-$G$5</f>
        <v>-591</v>
      </c>
      <c r="LVU28" s="259" t="s">
        <v>55</v>
      </c>
      <c r="LVV28" s="256" t="s">
        <v>76</v>
      </c>
      <c r="LVW28" s="256" t="s">
        <v>77</v>
      </c>
      <c r="LVX28" s="256" t="s">
        <v>78</v>
      </c>
      <c r="LVY28" s="256" t="s">
        <v>79</v>
      </c>
      <c r="LVZ28" s="256" t="s">
        <v>80</v>
      </c>
      <c r="LWA28" s="256" t="s">
        <v>81</v>
      </c>
      <c r="LWB28" s="331"/>
      <c r="LWC28" s="290">
        <v>45492</v>
      </c>
      <c r="LWD28" s="339" t="s">
        <v>141</v>
      </c>
      <c r="LWE28" s="305"/>
      <c r="LWF28" s="305">
        <v>1</v>
      </c>
      <c r="LWG28" s="304">
        <f t="shared" ref="LWG28" si="1384">EDATE(LWC28,LWF28)</f>
        <v>45523</v>
      </c>
      <c r="LWH28" s="340">
        <v>0</v>
      </c>
      <c r="LWI28" s="320">
        <f t="shared" ref="LWI28" ca="1" si="1385">IF(LWJ28&gt;=1,(LWH28/LWF28),0)</f>
        <v>0</v>
      </c>
      <c r="LWJ28" s="292">
        <f t="shared" ref="LWJ28" ca="1" si="1386">LWG28-$G$5</f>
        <v>-591</v>
      </c>
      <c r="LWK28" s="259" t="s">
        <v>55</v>
      </c>
      <c r="LWL28" s="256" t="s">
        <v>76</v>
      </c>
      <c r="LWM28" s="256" t="s">
        <v>77</v>
      </c>
      <c r="LWN28" s="256" t="s">
        <v>78</v>
      </c>
      <c r="LWO28" s="256" t="s">
        <v>79</v>
      </c>
      <c r="LWP28" s="256" t="s">
        <v>80</v>
      </c>
      <c r="LWQ28" s="256" t="s">
        <v>81</v>
      </c>
      <c r="LWR28" s="331"/>
      <c r="LWS28" s="290">
        <v>45492</v>
      </c>
      <c r="LWT28" s="339" t="s">
        <v>141</v>
      </c>
      <c r="LWU28" s="305"/>
      <c r="LWV28" s="305">
        <v>1</v>
      </c>
      <c r="LWW28" s="304">
        <f t="shared" ref="LWW28" si="1387">EDATE(LWS28,LWV28)</f>
        <v>45523</v>
      </c>
      <c r="LWX28" s="340">
        <v>0</v>
      </c>
      <c r="LWY28" s="320">
        <f t="shared" ref="LWY28" ca="1" si="1388">IF(LWZ28&gt;=1,(LWX28/LWV28),0)</f>
        <v>0</v>
      </c>
      <c r="LWZ28" s="292">
        <f t="shared" ref="LWZ28" ca="1" si="1389">LWW28-$G$5</f>
        <v>-591</v>
      </c>
      <c r="LXA28" s="259" t="s">
        <v>55</v>
      </c>
      <c r="LXB28" s="256" t="s">
        <v>76</v>
      </c>
      <c r="LXC28" s="256" t="s">
        <v>77</v>
      </c>
      <c r="LXD28" s="256" t="s">
        <v>78</v>
      </c>
      <c r="LXE28" s="256" t="s">
        <v>79</v>
      </c>
      <c r="LXF28" s="256" t="s">
        <v>80</v>
      </c>
      <c r="LXG28" s="256" t="s">
        <v>81</v>
      </c>
      <c r="LXH28" s="331"/>
      <c r="LXI28" s="290">
        <v>45492</v>
      </c>
      <c r="LXJ28" s="339" t="s">
        <v>141</v>
      </c>
      <c r="LXK28" s="305"/>
      <c r="LXL28" s="305">
        <v>1</v>
      </c>
      <c r="LXM28" s="304">
        <f t="shared" ref="LXM28" si="1390">EDATE(LXI28,LXL28)</f>
        <v>45523</v>
      </c>
      <c r="LXN28" s="340">
        <v>0</v>
      </c>
      <c r="LXO28" s="320">
        <f t="shared" ref="LXO28" ca="1" si="1391">IF(LXP28&gt;=1,(LXN28/LXL28),0)</f>
        <v>0</v>
      </c>
      <c r="LXP28" s="292">
        <f t="shared" ref="LXP28" ca="1" si="1392">LXM28-$G$5</f>
        <v>-591</v>
      </c>
      <c r="LXQ28" s="259" t="s">
        <v>55</v>
      </c>
      <c r="LXR28" s="256" t="s">
        <v>76</v>
      </c>
      <c r="LXS28" s="256" t="s">
        <v>77</v>
      </c>
      <c r="LXT28" s="256" t="s">
        <v>78</v>
      </c>
      <c r="LXU28" s="256" t="s">
        <v>79</v>
      </c>
      <c r="LXV28" s="256" t="s">
        <v>80</v>
      </c>
      <c r="LXW28" s="256" t="s">
        <v>81</v>
      </c>
      <c r="LXX28" s="331"/>
      <c r="LXY28" s="290">
        <v>45492</v>
      </c>
      <c r="LXZ28" s="339" t="s">
        <v>141</v>
      </c>
      <c r="LYA28" s="305"/>
      <c r="LYB28" s="305">
        <v>1</v>
      </c>
      <c r="LYC28" s="304">
        <f t="shared" ref="LYC28" si="1393">EDATE(LXY28,LYB28)</f>
        <v>45523</v>
      </c>
      <c r="LYD28" s="340">
        <v>0</v>
      </c>
      <c r="LYE28" s="320">
        <f t="shared" ref="LYE28" ca="1" si="1394">IF(LYF28&gt;=1,(LYD28/LYB28),0)</f>
        <v>0</v>
      </c>
      <c r="LYF28" s="292">
        <f t="shared" ref="LYF28" ca="1" si="1395">LYC28-$G$5</f>
        <v>-591</v>
      </c>
      <c r="LYG28" s="259" t="s">
        <v>55</v>
      </c>
      <c r="LYH28" s="256" t="s">
        <v>76</v>
      </c>
      <c r="LYI28" s="256" t="s">
        <v>77</v>
      </c>
      <c r="LYJ28" s="256" t="s">
        <v>78</v>
      </c>
      <c r="LYK28" s="256" t="s">
        <v>79</v>
      </c>
      <c r="LYL28" s="256" t="s">
        <v>80</v>
      </c>
      <c r="LYM28" s="256" t="s">
        <v>81</v>
      </c>
      <c r="LYN28" s="331"/>
      <c r="LYO28" s="290">
        <v>45492</v>
      </c>
      <c r="LYP28" s="339" t="s">
        <v>141</v>
      </c>
      <c r="LYQ28" s="305"/>
      <c r="LYR28" s="305">
        <v>1</v>
      </c>
      <c r="LYS28" s="304">
        <f t="shared" ref="LYS28" si="1396">EDATE(LYO28,LYR28)</f>
        <v>45523</v>
      </c>
      <c r="LYT28" s="340">
        <v>0</v>
      </c>
      <c r="LYU28" s="320">
        <f t="shared" ref="LYU28" ca="1" si="1397">IF(LYV28&gt;=1,(LYT28/LYR28),0)</f>
        <v>0</v>
      </c>
      <c r="LYV28" s="292">
        <f t="shared" ref="LYV28" ca="1" si="1398">LYS28-$G$5</f>
        <v>-591</v>
      </c>
      <c r="LYW28" s="259" t="s">
        <v>55</v>
      </c>
      <c r="LYX28" s="256" t="s">
        <v>76</v>
      </c>
      <c r="LYY28" s="256" t="s">
        <v>77</v>
      </c>
      <c r="LYZ28" s="256" t="s">
        <v>78</v>
      </c>
      <c r="LZA28" s="256" t="s">
        <v>79</v>
      </c>
      <c r="LZB28" s="256" t="s">
        <v>80</v>
      </c>
      <c r="LZC28" s="256" t="s">
        <v>81</v>
      </c>
      <c r="LZD28" s="331"/>
      <c r="LZE28" s="290">
        <v>45492</v>
      </c>
      <c r="LZF28" s="339" t="s">
        <v>141</v>
      </c>
      <c r="LZG28" s="305"/>
      <c r="LZH28" s="305">
        <v>1</v>
      </c>
      <c r="LZI28" s="304">
        <f t="shared" ref="LZI28" si="1399">EDATE(LZE28,LZH28)</f>
        <v>45523</v>
      </c>
      <c r="LZJ28" s="340">
        <v>0</v>
      </c>
      <c r="LZK28" s="320">
        <f t="shared" ref="LZK28" ca="1" si="1400">IF(LZL28&gt;=1,(LZJ28/LZH28),0)</f>
        <v>0</v>
      </c>
      <c r="LZL28" s="292">
        <f t="shared" ref="LZL28" ca="1" si="1401">LZI28-$G$5</f>
        <v>-591</v>
      </c>
      <c r="LZM28" s="259" t="s">
        <v>55</v>
      </c>
      <c r="LZN28" s="256" t="s">
        <v>76</v>
      </c>
      <c r="LZO28" s="256" t="s">
        <v>77</v>
      </c>
      <c r="LZP28" s="256" t="s">
        <v>78</v>
      </c>
      <c r="LZQ28" s="256" t="s">
        <v>79</v>
      </c>
      <c r="LZR28" s="256" t="s">
        <v>80</v>
      </c>
      <c r="LZS28" s="256" t="s">
        <v>81</v>
      </c>
      <c r="LZT28" s="331"/>
      <c r="LZU28" s="290">
        <v>45492</v>
      </c>
      <c r="LZV28" s="339" t="s">
        <v>141</v>
      </c>
      <c r="LZW28" s="305"/>
      <c r="LZX28" s="305">
        <v>1</v>
      </c>
      <c r="LZY28" s="304">
        <f t="shared" ref="LZY28" si="1402">EDATE(LZU28,LZX28)</f>
        <v>45523</v>
      </c>
      <c r="LZZ28" s="340">
        <v>0</v>
      </c>
      <c r="MAA28" s="320">
        <f t="shared" ref="MAA28" ca="1" si="1403">IF(MAB28&gt;=1,(LZZ28/LZX28),0)</f>
        <v>0</v>
      </c>
      <c r="MAB28" s="292">
        <f t="shared" ref="MAB28" ca="1" si="1404">LZY28-$G$5</f>
        <v>-591</v>
      </c>
      <c r="MAC28" s="259" t="s">
        <v>55</v>
      </c>
      <c r="MAD28" s="256" t="s">
        <v>76</v>
      </c>
      <c r="MAE28" s="256" t="s">
        <v>77</v>
      </c>
      <c r="MAF28" s="256" t="s">
        <v>78</v>
      </c>
      <c r="MAG28" s="256" t="s">
        <v>79</v>
      </c>
      <c r="MAH28" s="256" t="s">
        <v>80</v>
      </c>
      <c r="MAI28" s="256" t="s">
        <v>81</v>
      </c>
      <c r="MAJ28" s="331"/>
      <c r="MAK28" s="290">
        <v>45492</v>
      </c>
      <c r="MAL28" s="339" t="s">
        <v>141</v>
      </c>
      <c r="MAM28" s="305"/>
      <c r="MAN28" s="305">
        <v>1</v>
      </c>
      <c r="MAO28" s="304">
        <f t="shared" ref="MAO28" si="1405">EDATE(MAK28,MAN28)</f>
        <v>45523</v>
      </c>
      <c r="MAP28" s="340">
        <v>0</v>
      </c>
      <c r="MAQ28" s="320">
        <f t="shared" ref="MAQ28" ca="1" si="1406">IF(MAR28&gt;=1,(MAP28/MAN28),0)</f>
        <v>0</v>
      </c>
      <c r="MAR28" s="292">
        <f t="shared" ref="MAR28" ca="1" si="1407">MAO28-$G$5</f>
        <v>-591</v>
      </c>
      <c r="MAS28" s="259" t="s">
        <v>55</v>
      </c>
      <c r="MAT28" s="256" t="s">
        <v>76</v>
      </c>
      <c r="MAU28" s="256" t="s">
        <v>77</v>
      </c>
      <c r="MAV28" s="256" t="s">
        <v>78</v>
      </c>
      <c r="MAW28" s="256" t="s">
        <v>79</v>
      </c>
      <c r="MAX28" s="256" t="s">
        <v>80</v>
      </c>
      <c r="MAY28" s="256" t="s">
        <v>81</v>
      </c>
      <c r="MAZ28" s="331"/>
      <c r="MBA28" s="290">
        <v>45492</v>
      </c>
      <c r="MBB28" s="339" t="s">
        <v>141</v>
      </c>
      <c r="MBC28" s="305"/>
      <c r="MBD28" s="305">
        <v>1</v>
      </c>
      <c r="MBE28" s="304">
        <f t="shared" ref="MBE28" si="1408">EDATE(MBA28,MBD28)</f>
        <v>45523</v>
      </c>
      <c r="MBF28" s="340">
        <v>0</v>
      </c>
      <c r="MBG28" s="320">
        <f t="shared" ref="MBG28" ca="1" si="1409">IF(MBH28&gt;=1,(MBF28/MBD28),0)</f>
        <v>0</v>
      </c>
      <c r="MBH28" s="292">
        <f t="shared" ref="MBH28" ca="1" si="1410">MBE28-$G$5</f>
        <v>-591</v>
      </c>
      <c r="MBI28" s="259" t="s">
        <v>55</v>
      </c>
      <c r="MBJ28" s="256" t="s">
        <v>76</v>
      </c>
      <c r="MBK28" s="256" t="s">
        <v>77</v>
      </c>
      <c r="MBL28" s="256" t="s">
        <v>78</v>
      </c>
      <c r="MBM28" s="256" t="s">
        <v>79</v>
      </c>
      <c r="MBN28" s="256" t="s">
        <v>80</v>
      </c>
      <c r="MBO28" s="256" t="s">
        <v>81</v>
      </c>
      <c r="MBP28" s="331"/>
      <c r="MBQ28" s="290">
        <v>45492</v>
      </c>
      <c r="MBR28" s="339" t="s">
        <v>141</v>
      </c>
      <c r="MBS28" s="305"/>
      <c r="MBT28" s="305">
        <v>1</v>
      </c>
      <c r="MBU28" s="304">
        <f t="shared" ref="MBU28" si="1411">EDATE(MBQ28,MBT28)</f>
        <v>45523</v>
      </c>
      <c r="MBV28" s="340">
        <v>0</v>
      </c>
      <c r="MBW28" s="320">
        <f t="shared" ref="MBW28" ca="1" si="1412">IF(MBX28&gt;=1,(MBV28/MBT28),0)</f>
        <v>0</v>
      </c>
      <c r="MBX28" s="292">
        <f t="shared" ref="MBX28" ca="1" si="1413">MBU28-$G$5</f>
        <v>-591</v>
      </c>
      <c r="MBY28" s="259" t="s">
        <v>55</v>
      </c>
      <c r="MBZ28" s="256" t="s">
        <v>76</v>
      </c>
      <c r="MCA28" s="256" t="s">
        <v>77</v>
      </c>
      <c r="MCB28" s="256" t="s">
        <v>78</v>
      </c>
      <c r="MCC28" s="256" t="s">
        <v>79</v>
      </c>
      <c r="MCD28" s="256" t="s">
        <v>80</v>
      </c>
      <c r="MCE28" s="256" t="s">
        <v>81</v>
      </c>
      <c r="MCF28" s="331"/>
      <c r="MCG28" s="290">
        <v>45492</v>
      </c>
      <c r="MCH28" s="339" t="s">
        <v>141</v>
      </c>
      <c r="MCI28" s="305"/>
      <c r="MCJ28" s="305">
        <v>1</v>
      </c>
      <c r="MCK28" s="304">
        <f t="shared" ref="MCK28" si="1414">EDATE(MCG28,MCJ28)</f>
        <v>45523</v>
      </c>
      <c r="MCL28" s="340">
        <v>0</v>
      </c>
      <c r="MCM28" s="320">
        <f t="shared" ref="MCM28" ca="1" si="1415">IF(MCN28&gt;=1,(MCL28/MCJ28),0)</f>
        <v>0</v>
      </c>
      <c r="MCN28" s="292">
        <f t="shared" ref="MCN28" ca="1" si="1416">MCK28-$G$5</f>
        <v>-591</v>
      </c>
      <c r="MCO28" s="259" t="s">
        <v>55</v>
      </c>
      <c r="MCP28" s="256" t="s">
        <v>76</v>
      </c>
      <c r="MCQ28" s="256" t="s">
        <v>77</v>
      </c>
      <c r="MCR28" s="256" t="s">
        <v>78</v>
      </c>
      <c r="MCS28" s="256" t="s">
        <v>79</v>
      </c>
      <c r="MCT28" s="256" t="s">
        <v>80</v>
      </c>
      <c r="MCU28" s="256" t="s">
        <v>81</v>
      </c>
      <c r="MCV28" s="331"/>
      <c r="MCW28" s="290">
        <v>45492</v>
      </c>
      <c r="MCX28" s="339" t="s">
        <v>141</v>
      </c>
      <c r="MCY28" s="305"/>
      <c r="MCZ28" s="305">
        <v>1</v>
      </c>
      <c r="MDA28" s="304">
        <f t="shared" ref="MDA28" si="1417">EDATE(MCW28,MCZ28)</f>
        <v>45523</v>
      </c>
      <c r="MDB28" s="340">
        <v>0</v>
      </c>
      <c r="MDC28" s="320">
        <f t="shared" ref="MDC28" ca="1" si="1418">IF(MDD28&gt;=1,(MDB28/MCZ28),0)</f>
        <v>0</v>
      </c>
      <c r="MDD28" s="292">
        <f t="shared" ref="MDD28" ca="1" si="1419">MDA28-$G$5</f>
        <v>-591</v>
      </c>
      <c r="MDE28" s="259" t="s">
        <v>55</v>
      </c>
      <c r="MDF28" s="256" t="s">
        <v>76</v>
      </c>
      <c r="MDG28" s="256" t="s">
        <v>77</v>
      </c>
      <c r="MDH28" s="256" t="s">
        <v>78</v>
      </c>
      <c r="MDI28" s="256" t="s">
        <v>79</v>
      </c>
      <c r="MDJ28" s="256" t="s">
        <v>80</v>
      </c>
      <c r="MDK28" s="256" t="s">
        <v>81</v>
      </c>
      <c r="MDL28" s="331"/>
      <c r="MDM28" s="290">
        <v>45492</v>
      </c>
      <c r="MDN28" s="339" t="s">
        <v>141</v>
      </c>
      <c r="MDO28" s="305"/>
      <c r="MDP28" s="305">
        <v>1</v>
      </c>
      <c r="MDQ28" s="304">
        <f t="shared" ref="MDQ28" si="1420">EDATE(MDM28,MDP28)</f>
        <v>45523</v>
      </c>
      <c r="MDR28" s="340">
        <v>0</v>
      </c>
      <c r="MDS28" s="320">
        <f t="shared" ref="MDS28" ca="1" si="1421">IF(MDT28&gt;=1,(MDR28/MDP28),0)</f>
        <v>0</v>
      </c>
      <c r="MDT28" s="292">
        <f t="shared" ref="MDT28" ca="1" si="1422">MDQ28-$G$5</f>
        <v>-591</v>
      </c>
      <c r="MDU28" s="259" t="s">
        <v>55</v>
      </c>
      <c r="MDV28" s="256" t="s">
        <v>76</v>
      </c>
      <c r="MDW28" s="256" t="s">
        <v>77</v>
      </c>
      <c r="MDX28" s="256" t="s">
        <v>78</v>
      </c>
      <c r="MDY28" s="256" t="s">
        <v>79</v>
      </c>
      <c r="MDZ28" s="256" t="s">
        <v>80</v>
      </c>
      <c r="MEA28" s="256" t="s">
        <v>81</v>
      </c>
      <c r="MEB28" s="331"/>
      <c r="MEC28" s="290">
        <v>45492</v>
      </c>
      <c r="MED28" s="339" t="s">
        <v>141</v>
      </c>
      <c r="MEE28" s="305"/>
      <c r="MEF28" s="305">
        <v>1</v>
      </c>
      <c r="MEG28" s="304">
        <f t="shared" ref="MEG28" si="1423">EDATE(MEC28,MEF28)</f>
        <v>45523</v>
      </c>
      <c r="MEH28" s="340">
        <v>0</v>
      </c>
      <c r="MEI28" s="320">
        <f t="shared" ref="MEI28" ca="1" si="1424">IF(MEJ28&gt;=1,(MEH28/MEF28),0)</f>
        <v>0</v>
      </c>
      <c r="MEJ28" s="292">
        <f t="shared" ref="MEJ28" ca="1" si="1425">MEG28-$G$5</f>
        <v>-591</v>
      </c>
      <c r="MEK28" s="259" t="s">
        <v>55</v>
      </c>
      <c r="MEL28" s="256" t="s">
        <v>76</v>
      </c>
      <c r="MEM28" s="256" t="s">
        <v>77</v>
      </c>
      <c r="MEN28" s="256" t="s">
        <v>78</v>
      </c>
      <c r="MEO28" s="256" t="s">
        <v>79</v>
      </c>
      <c r="MEP28" s="256" t="s">
        <v>80</v>
      </c>
      <c r="MEQ28" s="256" t="s">
        <v>81</v>
      </c>
      <c r="MER28" s="331"/>
      <c r="MES28" s="290">
        <v>45492</v>
      </c>
      <c r="MET28" s="339" t="s">
        <v>141</v>
      </c>
      <c r="MEU28" s="305"/>
      <c r="MEV28" s="305">
        <v>1</v>
      </c>
      <c r="MEW28" s="304">
        <f t="shared" ref="MEW28" si="1426">EDATE(MES28,MEV28)</f>
        <v>45523</v>
      </c>
      <c r="MEX28" s="340">
        <v>0</v>
      </c>
      <c r="MEY28" s="320">
        <f t="shared" ref="MEY28" ca="1" si="1427">IF(MEZ28&gt;=1,(MEX28/MEV28),0)</f>
        <v>0</v>
      </c>
      <c r="MEZ28" s="292">
        <f t="shared" ref="MEZ28" ca="1" si="1428">MEW28-$G$5</f>
        <v>-591</v>
      </c>
      <c r="MFA28" s="259" t="s">
        <v>55</v>
      </c>
      <c r="MFB28" s="256" t="s">
        <v>76</v>
      </c>
      <c r="MFC28" s="256" t="s">
        <v>77</v>
      </c>
      <c r="MFD28" s="256" t="s">
        <v>78</v>
      </c>
      <c r="MFE28" s="256" t="s">
        <v>79</v>
      </c>
      <c r="MFF28" s="256" t="s">
        <v>80</v>
      </c>
      <c r="MFG28" s="256" t="s">
        <v>81</v>
      </c>
      <c r="MFH28" s="331"/>
      <c r="MFI28" s="290">
        <v>45492</v>
      </c>
      <c r="MFJ28" s="339" t="s">
        <v>141</v>
      </c>
      <c r="MFK28" s="305"/>
      <c r="MFL28" s="305">
        <v>1</v>
      </c>
      <c r="MFM28" s="304">
        <f t="shared" ref="MFM28" si="1429">EDATE(MFI28,MFL28)</f>
        <v>45523</v>
      </c>
      <c r="MFN28" s="340">
        <v>0</v>
      </c>
      <c r="MFO28" s="320">
        <f t="shared" ref="MFO28" ca="1" si="1430">IF(MFP28&gt;=1,(MFN28/MFL28),0)</f>
        <v>0</v>
      </c>
      <c r="MFP28" s="292">
        <f t="shared" ref="MFP28" ca="1" si="1431">MFM28-$G$5</f>
        <v>-591</v>
      </c>
      <c r="MFQ28" s="259" t="s">
        <v>55</v>
      </c>
      <c r="MFR28" s="256" t="s">
        <v>76</v>
      </c>
      <c r="MFS28" s="256" t="s">
        <v>77</v>
      </c>
      <c r="MFT28" s="256" t="s">
        <v>78</v>
      </c>
      <c r="MFU28" s="256" t="s">
        <v>79</v>
      </c>
      <c r="MFV28" s="256" t="s">
        <v>80</v>
      </c>
      <c r="MFW28" s="256" t="s">
        <v>81</v>
      </c>
      <c r="MFX28" s="331"/>
      <c r="MFY28" s="290">
        <v>45492</v>
      </c>
      <c r="MFZ28" s="339" t="s">
        <v>141</v>
      </c>
      <c r="MGA28" s="305"/>
      <c r="MGB28" s="305">
        <v>1</v>
      </c>
      <c r="MGC28" s="304">
        <f t="shared" ref="MGC28" si="1432">EDATE(MFY28,MGB28)</f>
        <v>45523</v>
      </c>
      <c r="MGD28" s="340">
        <v>0</v>
      </c>
      <c r="MGE28" s="320">
        <f t="shared" ref="MGE28" ca="1" si="1433">IF(MGF28&gt;=1,(MGD28/MGB28),0)</f>
        <v>0</v>
      </c>
      <c r="MGF28" s="292">
        <f t="shared" ref="MGF28" ca="1" si="1434">MGC28-$G$5</f>
        <v>-591</v>
      </c>
      <c r="MGG28" s="259" t="s">
        <v>55</v>
      </c>
      <c r="MGH28" s="256" t="s">
        <v>76</v>
      </c>
      <c r="MGI28" s="256" t="s">
        <v>77</v>
      </c>
      <c r="MGJ28" s="256" t="s">
        <v>78</v>
      </c>
      <c r="MGK28" s="256" t="s">
        <v>79</v>
      </c>
      <c r="MGL28" s="256" t="s">
        <v>80</v>
      </c>
      <c r="MGM28" s="256" t="s">
        <v>81</v>
      </c>
      <c r="MGN28" s="331"/>
      <c r="MGO28" s="290">
        <v>45492</v>
      </c>
      <c r="MGP28" s="339" t="s">
        <v>141</v>
      </c>
      <c r="MGQ28" s="305"/>
      <c r="MGR28" s="305">
        <v>1</v>
      </c>
      <c r="MGS28" s="304">
        <f t="shared" ref="MGS28" si="1435">EDATE(MGO28,MGR28)</f>
        <v>45523</v>
      </c>
      <c r="MGT28" s="340">
        <v>0</v>
      </c>
      <c r="MGU28" s="320">
        <f t="shared" ref="MGU28" ca="1" si="1436">IF(MGV28&gt;=1,(MGT28/MGR28),0)</f>
        <v>0</v>
      </c>
      <c r="MGV28" s="292">
        <f t="shared" ref="MGV28" ca="1" si="1437">MGS28-$G$5</f>
        <v>-591</v>
      </c>
      <c r="MGW28" s="259" t="s">
        <v>55</v>
      </c>
      <c r="MGX28" s="256" t="s">
        <v>76</v>
      </c>
      <c r="MGY28" s="256" t="s">
        <v>77</v>
      </c>
      <c r="MGZ28" s="256" t="s">
        <v>78</v>
      </c>
      <c r="MHA28" s="256" t="s">
        <v>79</v>
      </c>
      <c r="MHB28" s="256" t="s">
        <v>80</v>
      </c>
      <c r="MHC28" s="256" t="s">
        <v>81</v>
      </c>
      <c r="MHD28" s="331"/>
      <c r="MHE28" s="290">
        <v>45492</v>
      </c>
      <c r="MHF28" s="339" t="s">
        <v>141</v>
      </c>
      <c r="MHG28" s="305"/>
      <c r="MHH28" s="305">
        <v>1</v>
      </c>
      <c r="MHI28" s="304">
        <f t="shared" ref="MHI28" si="1438">EDATE(MHE28,MHH28)</f>
        <v>45523</v>
      </c>
      <c r="MHJ28" s="340">
        <v>0</v>
      </c>
      <c r="MHK28" s="320">
        <f t="shared" ref="MHK28" ca="1" si="1439">IF(MHL28&gt;=1,(MHJ28/MHH28),0)</f>
        <v>0</v>
      </c>
      <c r="MHL28" s="292">
        <f t="shared" ref="MHL28" ca="1" si="1440">MHI28-$G$5</f>
        <v>-591</v>
      </c>
      <c r="MHM28" s="259" t="s">
        <v>55</v>
      </c>
      <c r="MHN28" s="256" t="s">
        <v>76</v>
      </c>
      <c r="MHO28" s="256" t="s">
        <v>77</v>
      </c>
      <c r="MHP28" s="256" t="s">
        <v>78</v>
      </c>
      <c r="MHQ28" s="256" t="s">
        <v>79</v>
      </c>
      <c r="MHR28" s="256" t="s">
        <v>80</v>
      </c>
      <c r="MHS28" s="256" t="s">
        <v>81</v>
      </c>
      <c r="MHT28" s="331"/>
      <c r="MHU28" s="290">
        <v>45492</v>
      </c>
      <c r="MHV28" s="339" t="s">
        <v>141</v>
      </c>
      <c r="MHW28" s="305"/>
      <c r="MHX28" s="305">
        <v>1</v>
      </c>
      <c r="MHY28" s="304">
        <f t="shared" ref="MHY28" si="1441">EDATE(MHU28,MHX28)</f>
        <v>45523</v>
      </c>
      <c r="MHZ28" s="340">
        <v>0</v>
      </c>
      <c r="MIA28" s="320">
        <f t="shared" ref="MIA28" ca="1" si="1442">IF(MIB28&gt;=1,(MHZ28/MHX28),0)</f>
        <v>0</v>
      </c>
      <c r="MIB28" s="292">
        <f t="shared" ref="MIB28" ca="1" si="1443">MHY28-$G$5</f>
        <v>-591</v>
      </c>
      <c r="MIC28" s="259" t="s">
        <v>55</v>
      </c>
      <c r="MID28" s="256" t="s">
        <v>76</v>
      </c>
      <c r="MIE28" s="256" t="s">
        <v>77</v>
      </c>
      <c r="MIF28" s="256" t="s">
        <v>78</v>
      </c>
      <c r="MIG28" s="256" t="s">
        <v>79</v>
      </c>
      <c r="MIH28" s="256" t="s">
        <v>80</v>
      </c>
      <c r="MII28" s="256" t="s">
        <v>81</v>
      </c>
      <c r="MIJ28" s="331"/>
      <c r="MIK28" s="290">
        <v>45492</v>
      </c>
      <c r="MIL28" s="339" t="s">
        <v>141</v>
      </c>
      <c r="MIM28" s="305"/>
      <c r="MIN28" s="305">
        <v>1</v>
      </c>
      <c r="MIO28" s="304">
        <f t="shared" ref="MIO28" si="1444">EDATE(MIK28,MIN28)</f>
        <v>45523</v>
      </c>
      <c r="MIP28" s="340">
        <v>0</v>
      </c>
      <c r="MIQ28" s="320">
        <f t="shared" ref="MIQ28" ca="1" si="1445">IF(MIR28&gt;=1,(MIP28/MIN28),0)</f>
        <v>0</v>
      </c>
      <c r="MIR28" s="292">
        <f t="shared" ref="MIR28" ca="1" si="1446">MIO28-$G$5</f>
        <v>-591</v>
      </c>
      <c r="MIS28" s="259" t="s">
        <v>55</v>
      </c>
      <c r="MIT28" s="256" t="s">
        <v>76</v>
      </c>
      <c r="MIU28" s="256" t="s">
        <v>77</v>
      </c>
      <c r="MIV28" s="256" t="s">
        <v>78</v>
      </c>
      <c r="MIW28" s="256" t="s">
        <v>79</v>
      </c>
      <c r="MIX28" s="256" t="s">
        <v>80</v>
      </c>
      <c r="MIY28" s="256" t="s">
        <v>81</v>
      </c>
      <c r="MIZ28" s="331"/>
      <c r="MJA28" s="290">
        <v>45492</v>
      </c>
      <c r="MJB28" s="339" t="s">
        <v>141</v>
      </c>
      <c r="MJC28" s="305"/>
      <c r="MJD28" s="305">
        <v>1</v>
      </c>
      <c r="MJE28" s="304">
        <f t="shared" ref="MJE28" si="1447">EDATE(MJA28,MJD28)</f>
        <v>45523</v>
      </c>
      <c r="MJF28" s="340">
        <v>0</v>
      </c>
      <c r="MJG28" s="320">
        <f t="shared" ref="MJG28" ca="1" si="1448">IF(MJH28&gt;=1,(MJF28/MJD28),0)</f>
        <v>0</v>
      </c>
      <c r="MJH28" s="292">
        <f t="shared" ref="MJH28" ca="1" si="1449">MJE28-$G$5</f>
        <v>-591</v>
      </c>
      <c r="MJI28" s="259" t="s">
        <v>55</v>
      </c>
      <c r="MJJ28" s="256" t="s">
        <v>76</v>
      </c>
      <c r="MJK28" s="256" t="s">
        <v>77</v>
      </c>
      <c r="MJL28" s="256" t="s">
        <v>78</v>
      </c>
      <c r="MJM28" s="256" t="s">
        <v>79</v>
      </c>
      <c r="MJN28" s="256" t="s">
        <v>80</v>
      </c>
      <c r="MJO28" s="256" t="s">
        <v>81</v>
      </c>
      <c r="MJP28" s="331"/>
      <c r="MJQ28" s="290">
        <v>45492</v>
      </c>
      <c r="MJR28" s="339" t="s">
        <v>141</v>
      </c>
      <c r="MJS28" s="305"/>
      <c r="MJT28" s="305">
        <v>1</v>
      </c>
      <c r="MJU28" s="304">
        <f t="shared" ref="MJU28" si="1450">EDATE(MJQ28,MJT28)</f>
        <v>45523</v>
      </c>
      <c r="MJV28" s="340">
        <v>0</v>
      </c>
      <c r="MJW28" s="320">
        <f t="shared" ref="MJW28" ca="1" si="1451">IF(MJX28&gt;=1,(MJV28/MJT28),0)</f>
        <v>0</v>
      </c>
      <c r="MJX28" s="292">
        <f t="shared" ref="MJX28" ca="1" si="1452">MJU28-$G$5</f>
        <v>-591</v>
      </c>
      <c r="MJY28" s="259" t="s">
        <v>55</v>
      </c>
      <c r="MJZ28" s="256" t="s">
        <v>76</v>
      </c>
      <c r="MKA28" s="256" t="s">
        <v>77</v>
      </c>
      <c r="MKB28" s="256" t="s">
        <v>78</v>
      </c>
      <c r="MKC28" s="256" t="s">
        <v>79</v>
      </c>
      <c r="MKD28" s="256" t="s">
        <v>80</v>
      </c>
      <c r="MKE28" s="256" t="s">
        <v>81</v>
      </c>
      <c r="MKF28" s="331"/>
      <c r="MKG28" s="290">
        <v>45492</v>
      </c>
      <c r="MKH28" s="339" t="s">
        <v>141</v>
      </c>
      <c r="MKI28" s="305"/>
      <c r="MKJ28" s="305">
        <v>1</v>
      </c>
      <c r="MKK28" s="304">
        <f t="shared" ref="MKK28" si="1453">EDATE(MKG28,MKJ28)</f>
        <v>45523</v>
      </c>
      <c r="MKL28" s="340">
        <v>0</v>
      </c>
      <c r="MKM28" s="320">
        <f t="shared" ref="MKM28" ca="1" si="1454">IF(MKN28&gt;=1,(MKL28/MKJ28),0)</f>
        <v>0</v>
      </c>
      <c r="MKN28" s="292">
        <f t="shared" ref="MKN28" ca="1" si="1455">MKK28-$G$5</f>
        <v>-591</v>
      </c>
      <c r="MKO28" s="259" t="s">
        <v>55</v>
      </c>
      <c r="MKP28" s="256" t="s">
        <v>76</v>
      </c>
      <c r="MKQ28" s="256" t="s">
        <v>77</v>
      </c>
      <c r="MKR28" s="256" t="s">
        <v>78</v>
      </c>
      <c r="MKS28" s="256" t="s">
        <v>79</v>
      </c>
      <c r="MKT28" s="256" t="s">
        <v>80</v>
      </c>
      <c r="MKU28" s="256" t="s">
        <v>81</v>
      </c>
      <c r="MKV28" s="331"/>
      <c r="MKW28" s="290">
        <v>45492</v>
      </c>
      <c r="MKX28" s="339" t="s">
        <v>141</v>
      </c>
      <c r="MKY28" s="305"/>
      <c r="MKZ28" s="305">
        <v>1</v>
      </c>
      <c r="MLA28" s="304">
        <f t="shared" ref="MLA28" si="1456">EDATE(MKW28,MKZ28)</f>
        <v>45523</v>
      </c>
      <c r="MLB28" s="340">
        <v>0</v>
      </c>
      <c r="MLC28" s="320">
        <f t="shared" ref="MLC28" ca="1" si="1457">IF(MLD28&gt;=1,(MLB28/MKZ28),0)</f>
        <v>0</v>
      </c>
      <c r="MLD28" s="292">
        <f t="shared" ref="MLD28" ca="1" si="1458">MLA28-$G$5</f>
        <v>-591</v>
      </c>
      <c r="MLE28" s="259" t="s">
        <v>55</v>
      </c>
      <c r="MLF28" s="256" t="s">
        <v>76</v>
      </c>
      <c r="MLG28" s="256" t="s">
        <v>77</v>
      </c>
      <c r="MLH28" s="256" t="s">
        <v>78</v>
      </c>
      <c r="MLI28" s="256" t="s">
        <v>79</v>
      </c>
      <c r="MLJ28" s="256" t="s">
        <v>80</v>
      </c>
      <c r="MLK28" s="256" t="s">
        <v>81</v>
      </c>
      <c r="MLL28" s="331"/>
      <c r="MLM28" s="290">
        <v>45492</v>
      </c>
      <c r="MLN28" s="339" t="s">
        <v>141</v>
      </c>
      <c r="MLO28" s="305"/>
      <c r="MLP28" s="305">
        <v>1</v>
      </c>
      <c r="MLQ28" s="304">
        <f t="shared" ref="MLQ28" si="1459">EDATE(MLM28,MLP28)</f>
        <v>45523</v>
      </c>
      <c r="MLR28" s="340">
        <v>0</v>
      </c>
      <c r="MLS28" s="320">
        <f t="shared" ref="MLS28" ca="1" si="1460">IF(MLT28&gt;=1,(MLR28/MLP28),0)</f>
        <v>0</v>
      </c>
      <c r="MLT28" s="292">
        <f t="shared" ref="MLT28" ca="1" si="1461">MLQ28-$G$5</f>
        <v>-591</v>
      </c>
      <c r="MLU28" s="259" t="s">
        <v>55</v>
      </c>
      <c r="MLV28" s="256" t="s">
        <v>76</v>
      </c>
      <c r="MLW28" s="256" t="s">
        <v>77</v>
      </c>
      <c r="MLX28" s="256" t="s">
        <v>78</v>
      </c>
      <c r="MLY28" s="256" t="s">
        <v>79</v>
      </c>
      <c r="MLZ28" s="256" t="s">
        <v>80</v>
      </c>
      <c r="MMA28" s="256" t="s">
        <v>81</v>
      </c>
      <c r="MMB28" s="331"/>
      <c r="MMC28" s="290">
        <v>45492</v>
      </c>
      <c r="MMD28" s="339" t="s">
        <v>141</v>
      </c>
      <c r="MME28" s="305"/>
      <c r="MMF28" s="305">
        <v>1</v>
      </c>
      <c r="MMG28" s="304">
        <f t="shared" ref="MMG28" si="1462">EDATE(MMC28,MMF28)</f>
        <v>45523</v>
      </c>
      <c r="MMH28" s="340">
        <v>0</v>
      </c>
      <c r="MMI28" s="320">
        <f t="shared" ref="MMI28" ca="1" si="1463">IF(MMJ28&gt;=1,(MMH28/MMF28),0)</f>
        <v>0</v>
      </c>
      <c r="MMJ28" s="292">
        <f t="shared" ref="MMJ28" ca="1" si="1464">MMG28-$G$5</f>
        <v>-591</v>
      </c>
      <c r="MMK28" s="259" t="s">
        <v>55</v>
      </c>
      <c r="MML28" s="256" t="s">
        <v>76</v>
      </c>
      <c r="MMM28" s="256" t="s">
        <v>77</v>
      </c>
      <c r="MMN28" s="256" t="s">
        <v>78</v>
      </c>
      <c r="MMO28" s="256" t="s">
        <v>79</v>
      </c>
      <c r="MMP28" s="256" t="s">
        <v>80</v>
      </c>
      <c r="MMQ28" s="256" t="s">
        <v>81</v>
      </c>
      <c r="MMR28" s="331"/>
      <c r="MMS28" s="290">
        <v>45492</v>
      </c>
      <c r="MMT28" s="339" t="s">
        <v>141</v>
      </c>
      <c r="MMU28" s="305"/>
      <c r="MMV28" s="305">
        <v>1</v>
      </c>
      <c r="MMW28" s="304">
        <f t="shared" ref="MMW28" si="1465">EDATE(MMS28,MMV28)</f>
        <v>45523</v>
      </c>
      <c r="MMX28" s="340">
        <v>0</v>
      </c>
      <c r="MMY28" s="320">
        <f t="shared" ref="MMY28" ca="1" si="1466">IF(MMZ28&gt;=1,(MMX28/MMV28),0)</f>
        <v>0</v>
      </c>
      <c r="MMZ28" s="292">
        <f t="shared" ref="MMZ28" ca="1" si="1467">MMW28-$G$5</f>
        <v>-591</v>
      </c>
      <c r="MNA28" s="259" t="s">
        <v>55</v>
      </c>
      <c r="MNB28" s="256" t="s">
        <v>76</v>
      </c>
      <c r="MNC28" s="256" t="s">
        <v>77</v>
      </c>
      <c r="MND28" s="256" t="s">
        <v>78</v>
      </c>
      <c r="MNE28" s="256" t="s">
        <v>79</v>
      </c>
      <c r="MNF28" s="256" t="s">
        <v>80</v>
      </c>
      <c r="MNG28" s="256" t="s">
        <v>81</v>
      </c>
      <c r="MNH28" s="331"/>
      <c r="MNI28" s="290">
        <v>45492</v>
      </c>
      <c r="MNJ28" s="339" t="s">
        <v>141</v>
      </c>
      <c r="MNK28" s="305"/>
      <c r="MNL28" s="305">
        <v>1</v>
      </c>
      <c r="MNM28" s="304">
        <f t="shared" ref="MNM28" si="1468">EDATE(MNI28,MNL28)</f>
        <v>45523</v>
      </c>
      <c r="MNN28" s="340">
        <v>0</v>
      </c>
      <c r="MNO28" s="320">
        <f t="shared" ref="MNO28" ca="1" si="1469">IF(MNP28&gt;=1,(MNN28/MNL28),0)</f>
        <v>0</v>
      </c>
      <c r="MNP28" s="292">
        <f t="shared" ref="MNP28" ca="1" si="1470">MNM28-$G$5</f>
        <v>-591</v>
      </c>
      <c r="MNQ28" s="259" t="s">
        <v>55</v>
      </c>
      <c r="MNR28" s="256" t="s">
        <v>76</v>
      </c>
      <c r="MNS28" s="256" t="s">
        <v>77</v>
      </c>
      <c r="MNT28" s="256" t="s">
        <v>78</v>
      </c>
      <c r="MNU28" s="256" t="s">
        <v>79</v>
      </c>
      <c r="MNV28" s="256" t="s">
        <v>80</v>
      </c>
      <c r="MNW28" s="256" t="s">
        <v>81</v>
      </c>
      <c r="MNX28" s="331"/>
      <c r="MNY28" s="290">
        <v>45492</v>
      </c>
      <c r="MNZ28" s="339" t="s">
        <v>141</v>
      </c>
      <c r="MOA28" s="305"/>
      <c r="MOB28" s="305">
        <v>1</v>
      </c>
      <c r="MOC28" s="304">
        <f t="shared" ref="MOC28" si="1471">EDATE(MNY28,MOB28)</f>
        <v>45523</v>
      </c>
      <c r="MOD28" s="340">
        <v>0</v>
      </c>
      <c r="MOE28" s="320">
        <f t="shared" ref="MOE28" ca="1" si="1472">IF(MOF28&gt;=1,(MOD28/MOB28),0)</f>
        <v>0</v>
      </c>
      <c r="MOF28" s="292">
        <f t="shared" ref="MOF28" ca="1" si="1473">MOC28-$G$5</f>
        <v>-591</v>
      </c>
      <c r="MOG28" s="259" t="s">
        <v>55</v>
      </c>
      <c r="MOH28" s="256" t="s">
        <v>76</v>
      </c>
      <c r="MOI28" s="256" t="s">
        <v>77</v>
      </c>
      <c r="MOJ28" s="256" t="s">
        <v>78</v>
      </c>
      <c r="MOK28" s="256" t="s">
        <v>79</v>
      </c>
      <c r="MOL28" s="256" t="s">
        <v>80</v>
      </c>
      <c r="MOM28" s="256" t="s">
        <v>81</v>
      </c>
      <c r="MON28" s="331"/>
      <c r="MOO28" s="290">
        <v>45492</v>
      </c>
      <c r="MOP28" s="339" t="s">
        <v>141</v>
      </c>
      <c r="MOQ28" s="305"/>
      <c r="MOR28" s="305">
        <v>1</v>
      </c>
      <c r="MOS28" s="304">
        <f t="shared" ref="MOS28" si="1474">EDATE(MOO28,MOR28)</f>
        <v>45523</v>
      </c>
      <c r="MOT28" s="340">
        <v>0</v>
      </c>
      <c r="MOU28" s="320">
        <f t="shared" ref="MOU28" ca="1" si="1475">IF(MOV28&gt;=1,(MOT28/MOR28),0)</f>
        <v>0</v>
      </c>
      <c r="MOV28" s="292">
        <f t="shared" ref="MOV28" ca="1" si="1476">MOS28-$G$5</f>
        <v>-591</v>
      </c>
      <c r="MOW28" s="259" t="s">
        <v>55</v>
      </c>
      <c r="MOX28" s="256" t="s">
        <v>76</v>
      </c>
      <c r="MOY28" s="256" t="s">
        <v>77</v>
      </c>
      <c r="MOZ28" s="256" t="s">
        <v>78</v>
      </c>
      <c r="MPA28" s="256" t="s">
        <v>79</v>
      </c>
      <c r="MPB28" s="256" t="s">
        <v>80</v>
      </c>
      <c r="MPC28" s="256" t="s">
        <v>81</v>
      </c>
      <c r="MPD28" s="331"/>
      <c r="MPE28" s="290">
        <v>45492</v>
      </c>
      <c r="MPF28" s="339" t="s">
        <v>141</v>
      </c>
      <c r="MPG28" s="305"/>
      <c r="MPH28" s="305">
        <v>1</v>
      </c>
      <c r="MPI28" s="304">
        <f t="shared" ref="MPI28" si="1477">EDATE(MPE28,MPH28)</f>
        <v>45523</v>
      </c>
      <c r="MPJ28" s="340">
        <v>0</v>
      </c>
      <c r="MPK28" s="320">
        <f t="shared" ref="MPK28" ca="1" si="1478">IF(MPL28&gt;=1,(MPJ28/MPH28),0)</f>
        <v>0</v>
      </c>
      <c r="MPL28" s="292">
        <f t="shared" ref="MPL28" ca="1" si="1479">MPI28-$G$5</f>
        <v>-591</v>
      </c>
      <c r="MPM28" s="259" t="s">
        <v>55</v>
      </c>
      <c r="MPN28" s="256" t="s">
        <v>76</v>
      </c>
      <c r="MPO28" s="256" t="s">
        <v>77</v>
      </c>
      <c r="MPP28" s="256" t="s">
        <v>78</v>
      </c>
      <c r="MPQ28" s="256" t="s">
        <v>79</v>
      </c>
      <c r="MPR28" s="256" t="s">
        <v>80</v>
      </c>
      <c r="MPS28" s="256" t="s">
        <v>81</v>
      </c>
      <c r="MPT28" s="331"/>
      <c r="MPU28" s="290">
        <v>45492</v>
      </c>
      <c r="MPV28" s="339" t="s">
        <v>141</v>
      </c>
      <c r="MPW28" s="305"/>
      <c r="MPX28" s="305">
        <v>1</v>
      </c>
      <c r="MPY28" s="304">
        <f t="shared" ref="MPY28" si="1480">EDATE(MPU28,MPX28)</f>
        <v>45523</v>
      </c>
      <c r="MPZ28" s="340">
        <v>0</v>
      </c>
      <c r="MQA28" s="320">
        <f t="shared" ref="MQA28" ca="1" si="1481">IF(MQB28&gt;=1,(MPZ28/MPX28),0)</f>
        <v>0</v>
      </c>
      <c r="MQB28" s="292">
        <f t="shared" ref="MQB28" ca="1" si="1482">MPY28-$G$5</f>
        <v>-591</v>
      </c>
      <c r="MQC28" s="259" t="s">
        <v>55</v>
      </c>
      <c r="MQD28" s="256" t="s">
        <v>76</v>
      </c>
      <c r="MQE28" s="256" t="s">
        <v>77</v>
      </c>
      <c r="MQF28" s="256" t="s">
        <v>78</v>
      </c>
      <c r="MQG28" s="256" t="s">
        <v>79</v>
      </c>
      <c r="MQH28" s="256" t="s">
        <v>80</v>
      </c>
      <c r="MQI28" s="256" t="s">
        <v>81</v>
      </c>
      <c r="MQJ28" s="331"/>
      <c r="MQK28" s="290">
        <v>45492</v>
      </c>
      <c r="MQL28" s="339" t="s">
        <v>141</v>
      </c>
      <c r="MQM28" s="305"/>
      <c r="MQN28" s="305">
        <v>1</v>
      </c>
      <c r="MQO28" s="304">
        <f t="shared" ref="MQO28" si="1483">EDATE(MQK28,MQN28)</f>
        <v>45523</v>
      </c>
      <c r="MQP28" s="340">
        <v>0</v>
      </c>
      <c r="MQQ28" s="320">
        <f t="shared" ref="MQQ28" ca="1" si="1484">IF(MQR28&gt;=1,(MQP28/MQN28),0)</f>
        <v>0</v>
      </c>
      <c r="MQR28" s="292">
        <f t="shared" ref="MQR28" ca="1" si="1485">MQO28-$G$5</f>
        <v>-591</v>
      </c>
      <c r="MQS28" s="259" t="s">
        <v>55</v>
      </c>
      <c r="MQT28" s="256" t="s">
        <v>76</v>
      </c>
      <c r="MQU28" s="256" t="s">
        <v>77</v>
      </c>
      <c r="MQV28" s="256" t="s">
        <v>78</v>
      </c>
      <c r="MQW28" s="256" t="s">
        <v>79</v>
      </c>
      <c r="MQX28" s="256" t="s">
        <v>80</v>
      </c>
      <c r="MQY28" s="256" t="s">
        <v>81</v>
      </c>
      <c r="MQZ28" s="331"/>
      <c r="MRA28" s="290">
        <v>45492</v>
      </c>
      <c r="MRB28" s="339" t="s">
        <v>141</v>
      </c>
      <c r="MRC28" s="305"/>
      <c r="MRD28" s="305">
        <v>1</v>
      </c>
      <c r="MRE28" s="304">
        <f t="shared" ref="MRE28" si="1486">EDATE(MRA28,MRD28)</f>
        <v>45523</v>
      </c>
      <c r="MRF28" s="340">
        <v>0</v>
      </c>
      <c r="MRG28" s="320">
        <f t="shared" ref="MRG28" ca="1" si="1487">IF(MRH28&gt;=1,(MRF28/MRD28),0)</f>
        <v>0</v>
      </c>
      <c r="MRH28" s="292">
        <f t="shared" ref="MRH28" ca="1" si="1488">MRE28-$G$5</f>
        <v>-591</v>
      </c>
      <c r="MRI28" s="259" t="s">
        <v>55</v>
      </c>
      <c r="MRJ28" s="256" t="s">
        <v>76</v>
      </c>
      <c r="MRK28" s="256" t="s">
        <v>77</v>
      </c>
      <c r="MRL28" s="256" t="s">
        <v>78</v>
      </c>
      <c r="MRM28" s="256" t="s">
        <v>79</v>
      </c>
      <c r="MRN28" s="256" t="s">
        <v>80</v>
      </c>
      <c r="MRO28" s="256" t="s">
        <v>81</v>
      </c>
      <c r="MRP28" s="331"/>
      <c r="MRQ28" s="290">
        <v>45492</v>
      </c>
      <c r="MRR28" s="339" t="s">
        <v>141</v>
      </c>
      <c r="MRS28" s="305"/>
      <c r="MRT28" s="305">
        <v>1</v>
      </c>
      <c r="MRU28" s="304">
        <f t="shared" ref="MRU28" si="1489">EDATE(MRQ28,MRT28)</f>
        <v>45523</v>
      </c>
      <c r="MRV28" s="340">
        <v>0</v>
      </c>
      <c r="MRW28" s="320">
        <f t="shared" ref="MRW28" ca="1" si="1490">IF(MRX28&gt;=1,(MRV28/MRT28),0)</f>
        <v>0</v>
      </c>
      <c r="MRX28" s="292">
        <f t="shared" ref="MRX28" ca="1" si="1491">MRU28-$G$5</f>
        <v>-591</v>
      </c>
      <c r="MRY28" s="259" t="s">
        <v>55</v>
      </c>
      <c r="MRZ28" s="256" t="s">
        <v>76</v>
      </c>
      <c r="MSA28" s="256" t="s">
        <v>77</v>
      </c>
      <c r="MSB28" s="256" t="s">
        <v>78</v>
      </c>
      <c r="MSC28" s="256" t="s">
        <v>79</v>
      </c>
      <c r="MSD28" s="256" t="s">
        <v>80</v>
      </c>
      <c r="MSE28" s="256" t="s">
        <v>81</v>
      </c>
      <c r="MSF28" s="331"/>
      <c r="MSG28" s="290">
        <v>45492</v>
      </c>
      <c r="MSH28" s="339" t="s">
        <v>141</v>
      </c>
      <c r="MSI28" s="305"/>
      <c r="MSJ28" s="305">
        <v>1</v>
      </c>
      <c r="MSK28" s="304">
        <f t="shared" ref="MSK28" si="1492">EDATE(MSG28,MSJ28)</f>
        <v>45523</v>
      </c>
      <c r="MSL28" s="340">
        <v>0</v>
      </c>
      <c r="MSM28" s="320">
        <f t="shared" ref="MSM28" ca="1" si="1493">IF(MSN28&gt;=1,(MSL28/MSJ28),0)</f>
        <v>0</v>
      </c>
      <c r="MSN28" s="292">
        <f t="shared" ref="MSN28" ca="1" si="1494">MSK28-$G$5</f>
        <v>-591</v>
      </c>
      <c r="MSO28" s="259" t="s">
        <v>55</v>
      </c>
      <c r="MSP28" s="256" t="s">
        <v>76</v>
      </c>
      <c r="MSQ28" s="256" t="s">
        <v>77</v>
      </c>
      <c r="MSR28" s="256" t="s">
        <v>78</v>
      </c>
      <c r="MSS28" s="256" t="s">
        <v>79</v>
      </c>
      <c r="MST28" s="256" t="s">
        <v>80</v>
      </c>
      <c r="MSU28" s="256" t="s">
        <v>81</v>
      </c>
      <c r="MSV28" s="331"/>
      <c r="MSW28" s="290">
        <v>45492</v>
      </c>
      <c r="MSX28" s="339" t="s">
        <v>141</v>
      </c>
      <c r="MSY28" s="305"/>
      <c r="MSZ28" s="305">
        <v>1</v>
      </c>
      <c r="MTA28" s="304">
        <f t="shared" ref="MTA28" si="1495">EDATE(MSW28,MSZ28)</f>
        <v>45523</v>
      </c>
      <c r="MTB28" s="340">
        <v>0</v>
      </c>
      <c r="MTC28" s="320">
        <f t="shared" ref="MTC28" ca="1" si="1496">IF(MTD28&gt;=1,(MTB28/MSZ28),0)</f>
        <v>0</v>
      </c>
      <c r="MTD28" s="292">
        <f t="shared" ref="MTD28" ca="1" si="1497">MTA28-$G$5</f>
        <v>-591</v>
      </c>
      <c r="MTE28" s="259" t="s">
        <v>55</v>
      </c>
      <c r="MTF28" s="256" t="s">
        <v>76</v>
      </c>
      <c r="MTG28" s="256" t="s">
        <v>77</v>
      </c>
      <c r="MTH28" s="256" t="s">
        <v>78</v>
      </c>
      <c r="MTI28" s="256" t="s">
        <v>79</v>
      </c>
      <c r="MTJ28" s="256" t="s">
        <v>80</v>
      </c>
      <c r="MTK28" s="256" t="s">
        <v>81</v>
      </c>
      <c r="MTL28" s="331"/>
      <c r="MTM28" s="290">
        <v>45492</v>
      </c>
      <c r="MTN28" s="339" t="s">
        <v>141</v>
      </c>
      <c r="MTO28" s="305"/>
      <c r="MTP28" s="305">
        <v>1</v>
      </c>
      <c r="MTQ28" s="304">
        <f t="shared" ref="MTQ28" si="1498">EDATE(MTM28,MTP28)</f>
        <v>45523</v>
      </c>
      <c r="MTR28" s="340">
        <v>0</v>
      </c>
      <c r="MTS28" s="320">
        <f t="shared" ref="MTS28" ca="1" si="1499">IF(MTT28&gt;=1,(MTR28/MTP28),0)</f>
        <v>0</v>
      </c>
      <c r="MTT28" s="292">
        <f t="shared" ref="MTT28" ca="1" si="1500">MTQ28-$G$5</f>
        <v>-591</v>
      </c>
      <c r="MTU28" s="259" t="s">
        <v>55</v>
      </c>
      <c r="MTV28" s="256" t="s">
        <v>76</v>
      </c>
      <c r="MTW28" s="256" t="s">
        <v>77</v>
      </c>
      <c r="MTX28" s="256" t="s">
        <v>78</v>
      </c>
      <c r="MTY28" s="256" t="s">
        <v>79</v>
      </c>
      <c r="MTZ28" s="256" t="s">
        <v>80</v>
      </c>
      <c r="MUA28" s="256" t="s">
        <v>81</v>
      </c>
      <c r="MUB28" s="331"/>
      <c r="MUC28" s="290">
        <v>45492</v>
      </c>
      <c r="MUD28" s="339" t="s">
        <v>141</v>
      </c>
      <c r="MUE28" s="305"/>
      <c r="MUF28" s="305">
        <v>1</v>
      </c>
      <c r="MUG28" s="304">
        <f t="shared" ref="MUG28" si="1501">EDATE(MUC28,MUF28)</f>
        <v>45523</v>
      </c>
      <c r="MUH28" s="340">
        <v>0</v>
      </c>
      <c r="MUI28" s="320">
        <f t="shared" ref="MUI28" ca="1" si="1502">IF(MUJ28&gt;=1,(MUH28/MUF28),0)</f>
        <v>0</v>
      </c>
      <c r="MUJ28" s="292">
        <f t="shared" ref="MUJ28" ca="1" si="1503">MUG28-$G$5</f>
        <v>-591</v>
      </c>
      <c r="MUK28" s="259" t="s">
        <v>55</v>
      </c>
      <c r="MUL28" s="256" t="s">
        <v>76</v>
      </c>
      <c r="MUM28" s="256" t="s">
        <v>77</v>
      </c>
      <c r="MUN28" s="256" t="s">
        <v>78</v>
      </c>
      <c r="MUO28" s="256" t="s">
        <v>79</v>
      </c>
      <c r="MUP28" s="256" t="s">
        <v>80</v>
      </c>
      <c r="MUQ28" s="256" t="s">
        <v>81</v>
      </c>
      <c r="MUR28" s="331"/>
      <c r="MUS28" s="290">
        <v>45492</v>
      </c>
      <c r="MUT28" s="339" t="s">
        <v>141</v>
      </c>
      <c r="MUU28" s="305"/>
      <c r="MUV28" s="305">
        <v>1</v>
      </c>
      <c r="MUW28" s="304">
        <f t="shared" ref="MUW28" si="1504">EDATE(MUS28,MUV28)</f>
        <v>45523</v>
      </c>
      <c r="MUX28" s="340">
        <v>0</v>
      </c>
      <c r="MUY28" s="320">
        <f t="shared" ref="MUY28" ca="1" si="1505">IF(MUZ28&gt;=1,(MUX28/MUV28),0)</f>
        <v>0</v>
      </c>
      <c r="MUZ28" s="292">
        <f t="shared" ref="MUZ28" ca="1" si="1506">MUW28-$G$5</f>
        <v>-591</v>
      </c>
      <c r="MVA28" s="259" t="s">
        <v>55</v>
      </c>
      <c r="MVB28" s="256" t="s">
        <v>76</v>
      </c>
      <c r="MVC28" s="256" t="s">
        <v>77</v>
      </c>
      <c r="MVD28" s="256" t="s">
        <v>78</v>
      </c>
      <c r="MVE28" s="256" t="s">
        <v>79</v>
      </c>
      <c r="MVF28" s="256" t="s">
        <v>80</v>
      </c>
      <c r="MVG28" s="256" t="s">
        <v>81</v>
      </c>
      <c r="MVH28" s="331"/>
      <c r="MVI28" s="290">
        <v>45492</v>
      </c>
      <c r="MVJ28" s="339" t="s">
        <v>141</v>
      </c>
      <c r="MVK28" s="305"/>
      <c r="MVL28" s="305">
        <v>1</v>
      </c>
      <c r="MVM28" s="304">
        <f t="shared" ref="MVM28" si="1507">EDATE(MVI28,MVL28)</f>
        <v>45523</v>
      </c>
      <c r="MVN28" s="340">
        <v>0</v>
      </c>
      <c r="MVO28" s="320">
        <f t="shared" ref="MVO28" ca="1" si="1508">IF(MVP28&gt;=1,(MVN28/MVL28),0)</f>
        <v>0</v>
      </c>
      <c r="MVP28" s="292">
        <f t="shared" ref="MVP28" ca="1" si="1509">MVM28-$G$5</f>
        <v>-591</v>
      </c>
      <c r="MVQ28" s="259" t="s">
        <v>55</v>
      </c>
      <c r="MVR28" s="256" t="s">
        <v>76</v>
      </c>
      <c r="MVS28" s="256" t="s">
        <v>77</v>
      </c>
      <c r="MVT28" s="256" t="s">
        <v>78</v>
      </c>
      <c r="MVU28" s="256" t="s">
        <v>79</v>
      </c>
      <c r="MVV28" s="256" t="s">
        <v>80</v>
      </c>
      <c r="MVW28" s="256" t="s">
        <v>81</v>
      </c>
      <c r="MVX28" s="331"/>
      <c r="MVY28" s="290">
        <v>45492</v>
      </c>
      <c r="MVZ28" s="339" t="s">
        <v>141</v>
      </c>
      <c r="MWA28" s="305"/>
      <c r="MWB28" s="305">
        <v>1</v>
      </c>
      <c r="MWC28" s="304">
        <f t="shared" ref="MWC28" si="1510">EDATE(MVY28,MWB28)</f>
        <v>45523</v>
      </c>
      <c r="MWD28" s="340">
        <v>0</v>
      </c>
      <c r="MWE28" s="320">
        <f t="shared" ref="MWE28" ca="1" si="1511">IF(MWF28&gt;=1,(MWD28/MWB28),0)</f>
        <v>0</v>
      </c>
      <c r="MWF28" s="292">
        <f t="shared" ref="MWF28" ca="1" si="1512">MWC28-$G$5</f>
        <v>-591</v>
      </c>
      <c r="MWG28" s="259" t="s">
        <v>55</v>
      </c>
      <c r="MWH28" s="256" t="s">
        <v>76</v>
      </c>
      <c r="MWI28" s="256" t="s">
        <v>77</v>
      </c>
      <c r="MWJ28" s="256" t="s">
        <v>78</v>
      </c>
      <c r="MWK28" s="256" t="s">
        <v>79</v>
      </c>
      <c r="MWL28" s="256" t="s">
        <v>80</v>
      </c>
      <c r="MWM28" s="256" t="s">
        <v>81</v>
      </c>
      <c r="MWN28" s="331"/>
      <c r="MWO28" s="290">
        <v>45492</v>
      </c>
      <c r="MWP28" s="339" t="s">
        <v>141</v>
      </c>
      <c r="MWQ28" s="305"/>
      <c r="MWR28" s="305">
        <v>1</v>
      </c>
      <c r="MWS28" s="304">
        <f t="shared" ref="MWS28" si="1513">EDATE(MWO28,MWR28)</f>
        <v>45523</v>
      </c>
      <c r="MWT28" s="340">
        <v>0</v>
      </c>
      <c r="MWU28" s="320">
        <f t="shared" ref="MWU28" ca="1" si="1514">IF(MWV28&gt;=1,(MWT28/MWR28),0)</f>
        <v>0</v>
      </c>
      <c r="MWV28" s="292">
        <f t="shared" ref="MWV28" ca="1" si="1515">MWS28-$G$5</f>
        <v>-591</v>
      </c>
      <c r="MWW28" s="259" t="s">
        <v>55</v>
      </c>
      <c r="MWX28" s="256" t="s">
        <v>76</v>
      </c>
      <c r="MWY28" s="256" t="s">
        <v>77</v>
      </c>
      <c r="MWZ28" s="256" t="s">
        <v>78</v>
      </c>
      <c r="MXA28" s="256" t="s">
        <v>79</v>
      </c>
      <c r="MXB28" s="256" t="s">
        <v>80</v>
      </c>
      <c r="MXC28" s="256" t="s">
        <v>81</v>
      </c>
      <c r="MXD28" s="331"/>
      <c r="MXE28" s="290">
        <v>45492</v>
      </c>
      <c r="MXF28" s="339" t="s">
        <v>141</v>
      </c>
      <c r="MXG28" s="305"/>
      <c r="MXH28" s="305">
        <v>1</v>
      </c>
      <c r="MXI28" s="304">
        <f t="shared" ref="MXI28" si="1516">EDATE(MXE28,MXH28)</f>
        <v>45523</v>
      </c>
      <c r="MXJ28" s="340">
        <v>0</v>
      </c>
      <c r="MXK28" s="320">
        <f t="shared" ref="MXK28" ca="1" si="1517">IF(MXL28&gt;=1,(MXJ28/MXH28),0)</f>
        <v>0</v>
      </c>
      <c r="MXL28" s="292">
        <f t="shared" ref="MXL28" ca="1" si="1518">MXI28-$G$5</f>
        <v>-591</v>
      </c>
      <c r="MXM28" s="259" t="s">
        <v>55</v>
      </c>
      <c r="MXN28" s="256" t="s">
        <v>76</v>
      </c>
      <c r="MXO28" s="256" t="s">
        <v>77</v>
      </c>
      <c r="MXP28" s="256" t="s">
        <v>78</v>
      </c>
      <c r="MXQ28" s="256" t="s">
        <v>79</v>
      </c>
      <c r="MXR28" s="256" t="s">
        <v>80</v>
      </c>
      <c r="MXS28" s="256" t="s">
        <v>81</v>
      </c>
      <c r="MXT28" s="331"/>
      <c r="MXU28" s="290">
        <v>45492</v>
      </c>
      <c r="MXV28" s="339" t="s">
        <v>141</v>
      </c>
      <c r="MXW28" s="305"/>
      <c r="MXX28" s="305">
        <v>1</v>
      </c>
      <c r="MXY28" s="304">
        <f t="shared" ref="MXY28" si="1519">EDATE(MXU28,MXX28)</f>
        <v>45523</v>
      </c>
      <c r="MXZ28" s="340">
        <v>0</v>
      </c>
      <c r="MYA28" s="320">
        <f t="shared" ref="MYA28" ca="1" si="1520">IF(MYB28&gt;=1,(MXZ28/MXX28),0)</f>
        <v>0</v>
      </c>
      <c r="MYB28" s="292">
        <f t="shared" ref="MYB28" ca="1" si="1521">MXY28-$G$5</f>
        <v>-591</v>
      </c>
      <c r="MYC28" s="259" t="s">
        <v>55</v>
      </c>
      <c r="MYD28" s="256" t="s">
        <v>76</v>
      </c>
      <c r="MYE28" s="256" t="s">
        <v>77</v>
      </c>
      <c r="MYF28" s="256" t="s">
        <v>78</v>
      </c>
      <c r="MYG28" s="256" t="s">
        <v>79</v>
      </c>
      <c r="MYH28" s="256" t="s">
        <v>80</v>
      </c>
      <c r="MYI28" s="256" t="s">
        <v>81</v>
      </c>
      <c r="MYJ28" s="331"/>
      <c r="MYK28" s="290">
        <v>45492</v>
      </c>
      <c r="MYL28" s="339" t="s">
        <v>141</v>
      </c>
      <c r="MYM28" s="305"/>
      <c r="MYN28" s="305">
        <v>1</v>
      </c>
      <c r="MYO28" s="304">
        <f t="shared" ref="MYO28" si="1522">EDATE(MYK28,MYN28)</f>
        <v>45523</v>
      </c>
      <c r="MYP28" s="340">
        <v>0</v>
      </c>
      <c r="MYQ28" s="320">
        <f t="shared" ref="MYQ28" ca="1" si="1523">IF(MYR28&gt;=1,(MYP28/MYN28),0)</f>
        <v>0</v>
      </c>
      <c r="MYR28" s="292">
        <f t="shared" ref="MYR28" ca="1" si="1524">MYO28-$G$5</f>
        <v>-591</v>
      </c>
      <c r="MYS28" s="259" t="s">
        <v>55</v>
      </c>
      <c r="MYT28" s="256" t="s">
        <v>76</v>
      </c>
      <c r="MYU28" s="256" t="s">
        <v>77</v>
      </c>
      <c r="MYV28" s="256" t="s">
        <v>78</v>
      </c>
      <c r="MYW28" s="256" t="s">
        <v>79</v>
      </c>
      <c r="MYX28" s="256" t="s">
        <v>80</v>
      </c>
      <c r="MYY28" s="256" t="s">
        <v>81</v>
      </c>
      <c r="MYZ28" s="331"/>
      <c r="MZA28" s="290">
        <v>45492</v>
      </c>
      <c r="MZB28" s="339" t="s">
        <v>141</v>
      </c>
      <c r="MZC28" s="305"/>
      <c r="MZD28" s="305">
        <v>1</v>
      </c>
      <c r="MZE28" s="304">
        <f t="shared" ref="MZE28" si="1525">EDATE(MZA28,MZD28)</f>
        <v>45523</v>
      </c>
      <c r="MZF28" s="340">
        <v>0</v>
      </c>
      <c r="MZG28" s="320">
        <f t="shared" ref="MZG28" ca="1" si="1526">IF(MZH28&gt;=1,(MZF28/MZD28),0)</f>
        <v>0</v>
      </c>
      <c r="MZH28" s="292">
        <f t="shared" ref="MZH28" ca="1" si="1527">MZE28-$G$5</f>
        <v>-591</v>
      </c>
      <c r="MZI28" s="259" t="s">
        <v>55</v>
      </c>
      <c r="MZJ28" s="256" t="s">
        <v>76</v>
      </c>
      <c r="MZK28" s="256" t="s">
        <v>77</v>
      </c>
      <c r="MZL28" s="256" t="s">
        <v>78</v>
      </c>
      <c r="MZM28" s="256" t="s">
        <v>79</v>
      </c>
      <c r="MZN28" s="256" t="s">
        <v>80</v>
      </c>
      <c r="MZO28" s="256" t="s">
        <v>81</v>
      </c>
      <c r="MZP28" s="331"/>
      <c r="MZQ28" s="290">
        <v>45492</v>
      </c>
      <c r="MZR28" s="339" t="s">
        <v>141</v>
      </c>
      <c r="MZS28" s="305"/>
      <c r="MZT28" s="305">
        <v>1</v>
      </c>
      <c r="MZU28" s="304">
        <f t="shared" ref="MZU28" si="1528">EDATE(MZQ28,MZT28)</f>
        <v>45523</v>
      </c>
      <c r="MZV28" s="340">
        <v>0</v>
      </c>
      <c r="MZW28" s="320">
        <f t="shared" ref="MZW28" ca="1" si="1529">IF(MZX28&gt;=1,(MZV28/MZT28),0)</f>
        <v>0</v>
      </c>
      <c r="MZX28" s="292">
        <f t="shared" ref="MZX28" ca="1" si="1530">MZU28-$G$5</f>
        <v>-591</v>
      </c>
      <c r="MZY28" s="259" t="s">
        <v>55</v>
      </c>
      <c r="MZZ28" s="256" t="s">
        <v>76</v>
      </c>
      <c r="NAA28" s="256" t="s">
        <v>77</v>
      </c>
      <c r="NAB28" s="256" t="s">
        <v>78</v>
      </c>
      <c r="NAC28" s="256" t="s">
        <v>79</v>
      </c>
      <c r="NAD28" s="256" t="s">
        <v>80</v>
      </c>
      <c r="NAE28" s="256" t="s">
        <v>81</v>
      </c>
      <c r="NAF28" s="331"/>
      <c r="NAG28" s="290">
        <v>45492</v>
      </c>
      <c r="NAH28" s="339" t="s">
        <v>141</v>
      </c>
      <c r="NAI28" s="305"/>
      <c r="NAJ28" s="305">
        <v>1</v>
      </c>
      <c r="NAK28" s="304">
        <f t="shared" ref="NAK28" si="1531">EDATE(NAG28,NAJ28)</f>
        <v>45523</v>
      </c>
      <c r="NAL28" s="340">
        <v>0</v>
      </c>
      <c r="NAM28" s="320">
        <f t="shared" ref="NAM28" ca="1" si="1532">IF(NAN28&gt;=1,(NAL28/NAJ28),0)</f>
        <v>0</v>
      </c>
      <c r="NAN28" s="292">
        <f t="shared" ref="NAN28" ca="1" si="1533">NAK28-$G$5</f>
        <v>-591</v>
      </c>
      <c r="NAO28" s="259" t="s">
        <v>55</v>
      </c>
      <c r="NAP28" s="256" t="s">
        <v>76</v>
      </c>
      <c r="NAQ28" s="256" t="s">
        <v>77</v>
      </c>
      <c r="NAR28" s="256" t="s">
        <v>78</v>
      </c>
      <c r="NAS28" s="256" t="s">
        <v>79</v>
      </c>
      <c r="NAT28" s="256" t="s">
        <v>80</v>
      </c>
      <c r="NAU28" s="256" t="s">
        <v>81</v>
      </c>
      <c r="NAV28" s="331"/>
      <c r="NAW28" s="290">
        <v>45492</v>
      </c>
      <c r="NAX28" s="339" t="s">
        <v>141</v>
      </c>
      <c r="NAY28" s="305"/>
      <c r="NAZ28" s="305">
        <v>1</v>
      </c>
      <c r="NBA28" s="304">
        <f t="shared" ref="NBA28" si="1534">EDATE(NAW28,NAZ28)</f>
        <v>45523</v>
      </c>
      <c r="NBB28" s="340">
        <v>0</v>
      </c>
      <c r="NBC28" s="320">
        <f t="shared" ref="NBC28" ca="1" si="1535">IF(NBD28&gt;=1,(NBB28/NAZ28),0)</f>
        <v>0</v>
      </c>
      <c r="NBD28" s="292">
        <f t="shared" ref="NBD28" ca="1" si="1536">NBA28-$G$5</f>
        <v>-591</v>
      </c>
      <c r="NBE28" s="259" t="s">
        <v>55</v>
      </c>
      <c r="NBF28" s="256" t="s">
        <v>76</v>
      </c>
      <c r="NBG28" s="256" t="s">
        <v>77</v>
      </c>
      <c r="NBH28" s="256" t="s">
        <v>78</v>
      </c>
      <c r="NBI28" s="256" t="s">
        <v>79</v>
      </c>
      <c r="NBJ28" s="256" t="s">
        <v>80</v>
      </c>
      <c r="NBK28" s="256" t="s">
        <v>81</v>
      </c>
      <c r="NBL28" s="331"/>
      <c r="NBM28" s="290">
        <v>45492</v>
      </c>
      <c r="NBN28" s="339" t="s">
        <v>141</v>
      </c>
      <c r="NBO28" s="305"/>
      <c r="NBP28" s="305">
        <v>1</v>
      </c>
      <c r="NBQ28" s="304">
        <f t="shared" ref="NBQ28" si="1537">EDATE(NBM28,NBP28)</f>
        <v>45523</v>
      </c>
      <c r="NBR28" s="340">
        <v>0</v>
      </c>
      <c r="NBS28" s="320">
        <f t="shared" ref="NBS28" ca="1" si="1538">IF(NBT28&gt;=1,(NBR28/NBP28),0)</f>
        <v>0</v>
      </c>
      <c r="NBT28" s="292">
        <f t="shared" ref="NBT28" ca="1" si="1539">NBQ28-$G$5</f>
        <v>-591</v>
      </c>
      <c r="NBU28" s="259" t="s">
        <v>55</v>
      </c>
      <c r="NBV28" s="256" t="s">
        <v>76</v>
      </c>
      <c r="NBW28" s="256" t="s">
        <v>77</v>
      </c>
      <c r="NBX28" s="256" t="s">
        <v>78</v>
      </c>
      <c r="NBY28" s="256" t="s">
        <v>79</v>
      </c>
      <c r="NBZ28" s="256" t="s">
        <v>80</v>
      </c>
      <c r="NCA28" s="256" t="s">
        <v>81</v>
      </c>
      <c r="NCB28" s="331"/>
      <c r="NCC28" s="290">
        <v>45492</v>
      </c>
      <c r="NCD28" s="339" t="s">
        <v>141</v>
      </c>
      <c r="NCE28" s="305"/>
      <c r="NCF28" s="305">
        <v>1</v>
      </c>
      <c r="NCG28" s="304">
        <f t="shared" ref="NCG28" si="1540">EDATE(NCC28,NCF28)</f>
        <v>45523</v>
      </c>
      <c r="NCH28" s="340">
        <v>0</v>
      </c>
      <c r="NCI28" s="320">
        <f t="shared" ref="NCI28" ca="1" si="1541">IF(NCJ28&gt;=1,(NCH28/NCF28),0)</f>
        <v>0</v>
      </c>
      <c r="NCJ28" s="292">
        <f t="shared" ref="NCJ28" ca="1" si="1542">NCG28-$G$5</f>
        <v>-591</v>
      </c>
      <c r="NCK28" s="259" t="s">
        <v>55</v>
      </c>
      <c r="NCL28" s="256" t="s">
        <v>76</v>
      </c>
      <c r="NCM28" s="256" t="s">
        <v>77</v>
      </c>
      <c r="NCN28" s="256" t="s">
        <v>78</v>
      </c>
      <c r="NCO28" s="256" t="s">
        <v>79</v>
      </c>
      <c r="NCP28" s="256" t="s">
        <v>80</v>
      </c>
      <c r="NCQ28" s="256" t="s">
        <v>81</v>
      </c>
      <c r="NCR28" s="331"/>
      <c r="NCS28" s="290">
        <v>45492</v>
      </c>
      <c r="NCT28" s="339" t="s">
        <v>141</v>
      </c>
      <c r="NCU28" s="305"/>
      <c r="NCV28" s="305">
        <v>1</v>
      </c>
      <c r="NCW28" s="304">
        <f t="shared" ref="NCW28" si="1543">EDATE(NCS28,NCV28)</f>
        <v>45523</v>
      </c>
      <c r="NCX28" s="340">
        <v>0</v>
      </c>
      <c r="NCY28" s="320">
        <f t="shared" ref="NCY28" ca="1" si="1544">IF(NCZ28&gt;=1,(NCX28/NCV28),0)</f>
        <v>0</v>
      </c>
      <c r="NCZ28" s="292">
        <f t="shared" ref="NCZ28" ca="1" si="1545">NCW28-$G$5</f>
        <v>-591</v>
      </c>
      <c r="NDA28" s="259" t="s">
        <v>55</v>
      </c>
      <c r="NDB28" s="256" t="s">
        <v>76</v>
      </c>
      <c r="NDC28" s="256" t="s">
        <v>77</v>
      </c>
      <c r="NDD28" s="256" t="s">
        <v>78</v>
      </c>
      <c r="NDE28" s="256" t="s">
        <v>79</v>
      </c>
      <c r="NDF28" s="256" t="s">
        <v>80</v>
      </c>
      <c r="NDG28" s="256" t="s">
        <v>81</v>
      </c>
      <c r="NDH28" s="331"/>
      <c r="NDI28" s="290">
        <v>45492</v>
      </c>
      <c r="NDJ28" s="339" t="s">
        <v>141</v>
      </c>
      <c r="NDK28" s="305"/>
      <c r="NDL28" s="305">
        <v>1</v>
      </c>
      <c r="NDM28" s="304">
        <f t="shared" ref="NDM28" si="1546">EDATE(NDI28,NDL28)</f>
        <v>45523</v>
      </c>
      <c r="NDN28" s="340">
        <v>0</v>
      </c>
      <c r="NDO28" s="320">
        <f t="shared" ref="NDO28" ca="1" si="1547">IF(NDP28&gt;=1,(NDN28/NDL28),0)</f>
        <v>0</v>
      </c>
      <c r="NDP28" s="292">
        <f t="shared" ref="NDP28" ca="1" si="1548">NDM28-$G$5</f>
        <v>-591</v>
      </c>
      <c r="NDQ28" s="259" t="s">
        <v>55</v>
      </c>
      <c r="NDR28" s="256" t="s">
        <v>76</v>
      </c>
      <c r="NDS28" s="256" t="s">
        <v>77</v>
      </c>
      <c r="NDT28" s="256" t="s">
        <v>78</v>
      </c>
      <c r="NDU28" s="256" t="s">
        <v>79</v>
      </c>
      <c r="NDV28" s="256" t="s">
        <v>80</v>
      </c>
      <c r="NDW28" s="256" t="s">
        <v>81</v>
      </c>
      <c r="NDX28" s="331"/>
      <c r="NDY28" s="290">
        <v>45492</v>
      </c>
      <c r="NDZ28" s="339" t="s">
        <v>141</v>
      </c>
      <c r="NEA28" s="305"/>
      <c r="NEB28" s="305">
        <v>1</v>
      </c>
      <c r="NEC28" s="304">
        <f t="shared" ref="NEC28" si="1549">EDATE(NDY28,NEB28)</f>
        <v>45523</v>
      </c>
      <c r="NED28" s="340">
        <v>0</v>
      </c>
      <c r="NEE28" s="320">
        <f t="shared" ref="NEE28" ca="1" si="1550">IF(NEF28&gt;=1,(NED28/NEB28),0)</f>
        <v>0</v>
      </c>
      <c r="NEF28" s="292">
        <f t="shared" ref="NEF28" ca="1" si="1551">NEC28-$G$5</f>
        <v>-591</v>
      </c>
      <c r="NEG28" s="259" t="s">
        <v>55</v>
      </c>
      <c r="NEH28" s="256" t="s">
        <v>76</v>
      </c>
      <c r="NEI28" s="256" t="s">
        <v>77</v>
      </c>
      <c r="NEJ28" s="256" t="s">
        <v>78</v>
      </c>
      <c r="NEK28" s="256" t="s">
        <v>79</v>
      </c>
      <c r="NEL28" s="256" t="s">
        <v>80</v>
      </c>
      <c r="NEM28" s="256" t="s">
        <v>81</v>
      </c>
      <c r="NEN28" s="331"/>
      <c r="NEO28" s="290">
        <v>45492</v>
      </c>
      <c r="NEP28" s="339" t="s">
        <v>141</v>
      </c>
      <c r="NEQ28" s="305"/>
      <c r="NER28" s="305">
        <v>1</v>
      </c>
      <c r="NES28" s="304">
        <f t="shared" ref="NES28" si="1552">EDATE(NEO28,NER28)</f>
        <v>45523</v>
      </c>
      <c r="NET28" s="340">
        <v>0</v>
      </c>
      <c r="NEU28" s="320">
        <f t="shared" ref="NEU28" ca="1" si="1553">IF(NEV28&gt;=1,(NET28/NER28),0)</f>
        <v>0</v>
      </c>
      <c r="NEV28" s="292">
        <f t="shared" ref="NEV28" ca="1" si="1554">NES28-$G$5</f>
        <v>-591</v>
      </c>
      <c r="NEW28" s="259" t="s">
        <v>55</v>
      </c>
      <c r="NEX28" s="256" t="s">
        <v>76</v>
      </c>
      <c r="NEY28" s="256" t="s">
        <v>77</v>
      </c>
      <c r="NEZ28" s="256" t="s">
        <v>78</v>
      </c>
      <c r="NFA28" s="256" t="s">
        <v>79</v>
      </c>
      <c r="NFB28" s="256" t="s">
        <v>80</v>
      </c>
      <c r="NFC28" s="256" t="s">
        <v>81</v>
      </c>
      <c r="NFD28" s="331"/>
      <c r="NFE28" s="290">
        <v>45492</v>
      </c>
      <c r="NFF28" s="339" t="s">
        <v>141</v>
      </c>
      <c r="NFG28" s="305"/>
      <c r="NFH28" s="305">
        <v>1</v>
      </c>
      <c r="NFI28" s="304">
        <f t="shared" ref="NFI28" si="1555">EDATE(NFE28,NFH28)</f>
        <v>45523</v>
      </c>
      <c r="NFJ28" s="340">
        <v>0</v>
      </c>
      <c r="NFK28" s="320">
        <f t="shared" ref="NFK28" ca="1" si="1556">IF(NFL28&gt;=1,(NFJ28/NFH28),0)</f>
        <v>0</v>
      </c>
      <c r="NFL28" s="292">
        <f t="shared" ref="NFL28" ca="1" si="1557">NFI28-$G$5</f>
        <v>-591</v>
      </c>
      <c r="NFM28" s="259" t="s">
        <v>55</v>
      </c>
      <c r="NFN28" s="256" t="s">
        <v>76</v>
      </c>
      <c r="NFO28" s="256" t="s">
        <v>77</v>
      </c>
      <c r="NFP28" s="256" t="s">
        <v>78</v>
      </c>
      <c r="NFQ28" s="256" t="s">
        <v>79</v>
      </c>
      <c r="NFR28" s="256" t="s">
        <v>80</v>
      </c>
      <c r="NFS28" s="256" t="s">
        <v>81</v>
      </c>
      <c r="NFT28" s="331"/>
      <c r="NFU28" s="290">
        <v>45492</v>
      </c>
      <c r="NFV28" s="339" t="s">
        <v>141</v>
      </c>
      <c r="NFW28" s="305"/>
      <c r="NFX28" s="305">
        <v>1</v>
      </c>
      <c r="NFY28" s="304">
        <f t="shared" ref="NFY28" si="1558">EDATE(NFU28,NFX28)</f>
        <v>45523</v>
      </c>
      <c r="NFZ28" s="340">
        <v>0</v>
      </c>
      <c r="NGA28" s="320">
        <f t="shared" ref="NGA28" ca="1" si="1559">IF(NGB28&gt;=1,(NFZ28/NFX28),0)</f>
        <v>0</v>
      </c>
      <c r="NGB28" s="292">
        <f t="shared" ref="NGB28" ca="1" si="1560">NFY28-$G$5</f>
        <v>-591</v>
      </c>
      <c r="NGC28" s="259" t="s">
        <v>55</v>
      </c>
      <c r="NGD28" s="256" t="s">
        <v>76</v>
      </c>
      <c r="NGE28" s="256" t="s">
        <v>77</v>
      </c>
      <c r="NGF28" s="256" t="s">
        <v>78</v>
      </c>
      <c r="NGG28" s="256" t="s">
        <v>79</v>
      </c>
      <c r="NGH28" s="256" t="s">
        <v>80</v>
      </c>
      <c r="NGI28" s="256" t="s">
        <v>81</v>
      </c>
      <c r="NGJ28" s="331"/>
      <c r="NGK28" s="290">
        <v>45492</v>
      </c>
      <c r="NGL28" s="339" t="s">
        <v>141</v>
      </c>
      <c r="NGM28" s="305"/>
      <c r="NGN28" s="305">
        <v>1</v>
      </c>
      <c r="NGO28" s="304">
        <f t="shared" ref="NGO28" si="1561">EDATE(NGK28,NGN28)</f>
        <v>45523</v>
      </c>
      <c r="NGP28" s="340">
        <v>0</v>
      </c>
      <c r="NGQ28" s="320">
        <f t="shared" ref="NGQ28" ca="1" si="1562">IF(NGR28&gt;=1,(NGP28/NGN28),0)</f>
        <v>0</v>
      </c>
      <c r="NGR28" s="292">
        <f t="shared" ref="NGR28" ca="1" si="1563">NGO28-$G$5</f>
        <v>-591</v>
      </c>
      <c r="NGS28" s="259" t="s">
        <v>55</v>
      </c>
      <c r="NGT28" s="256" t="s">
        <v>76</v>
      </c>
      <c r="NGU28" s="256" t="s">
        <v>77</v>
      </c>
      <c r="NGV28" s="256" t="s">
        <v>78</v>
      </c>
      <c r="NGW28" s="256" t="s">
        <v>79</v>
      </c>
      <c r="NGX28" s="256" t="s">
        <v>80</v>
      </c>
      <c r="NGY28" s="256" t="s">
        <v>81</v>
      </c>
      <c r="NGZ28" s="331"/>
      <c r="NHA28" s="290">
        <v>45492</v>
      </c>
      <c r="NHB28" s="339" t="s">
        <v>141</v>
      </c>
      <c r="NHC28" s="305"/>
      <c r="NHD28" s="305">
        <v>1</v>
      </c>
      <c r="NHE28" s="304">
        <f t="shared" ref="NHE28" si="1564">EDATE(NHA28,NHD28)</f>
        <v>45523</v>
      </c>
      <c r="NHF28" s="340">
        <v>0</v>
      </c>
      <c r="NHG28" s="320">
        <f t="shared" ref="NHG28" ca="1" si="1565">IF(NHH28&gt;=1,(NHF28/NHD28),0)</f>
        <v>0</v>
      </c>
      <c r="NHH28" s="292">
        <f t="shared" ref="NHH28" ca="1" si="1566">NHE28-$G$5</f>
        <v>-591</v>
      </c>
      <c r="NHI28" s="259" t="s">
        <v>55</v>
      </c>
      <c r="NHJ28" s="256" t="s">
        <v>76</v>
      </c>
      <c r="NHK28" s="256" t="s">
        <v>77</v>
      </c>
      <c r="NHL28" s="256" t="s">
        <v>78</v>
      </c>
      <c r="NHM28" s="256" t="s">
        <v>79</v>
      </c>
      <c r="NHN28" s="256" t="s">
        <v>80</v>
      </c>
      <c r="NHO28" s="256" t="s">
        <v>81</v>
      </c>
      <c r="NHP28" s="331"/>
      <c r="NHQ28" s="290">
        <v>45492</v>
      </c>
      <c r="NHR28" s="339" t="s">
        <v>141</v>
      </c>
      <c r="NHS28" s="305"/>
      <c r="NHT28" s="305">
        <v>1</v>
      </c>
      <c r="NHU28" s="304">
        <f t="shared" ref="NHU28" si="1567">EDATE(NHQ28,NHT28)</f>
        <v>45523</v>
      </c>
      <c r="NHV28" s="340">
        <v>0</v>
      </c>
      <c r="NHW28" s="320">
        <f t="shared" ref="NHW28" ca="1" si="1568">IF(NHX28&gt;=1,(NHV28/NHT28),0)</f>
        <v>0</v>
      </c>
      <c r="NHX28" s="292">
        <f t="shared" ref="NHX28" ca="1" si="1569">NHU28-$G$5</f>
        <v>-591</v>
      </c>
      <c r="NHY28" s="259" t="s">
        <v>55</v>
      </c>
      <c r="NHZ28" s="256" t="s">
        <v>76</v>
      </c>
      <c r="NIA28" s="256" t="s">
        <v>77</v>
      </c>
      <c r="NIB28" s="256" t="s">
        <v>78</v>
      </c>
      <c r="NIC28" s="256" t="s">
        <v>79</v>
      </c>
      <c r="NID28" s="256" t="s">
        <v>80</v>
      </c>
      <c r="NIE28" s="256" t="s">
        <v>81</v>
      </c>
      <c r="NIF28" s="331"/>
      <c r="NIG28" s="290">
        <v>45492</v>
      </c>
      <c r="NIH28" s="339" t="s">
        <v>141</v>
      </c>
      <c r="NII28" s="305"/>
      <c r="NIJ28" s="305">
        <v>1</v>
      </c>
      <c r="NIK28" s="304">
        <f t="shared" ref="NIK28" si="1570">EDATE(NIG28,NIJ28)</f>
        <v>45523</v>
      </c>
      <c r="NIL28" s="340">
        <v>0</v>
      </c>
      <c r="NIM28" s="320">
        <f t="shared" ref="NIM28" ca="1" si="1571">IF(NIN28&gt;=1,(NIL28/NIJ28),0)</f>
        <v>0</v>
      </c>
      <c r="NIN28" s="292">
        <f t="shared" ref="NIN28" ca="1" si="1572">NIK28-$G$5</f>
        <v>-591</v>
      </c>
      <c r="NIO28" s="259" t="s">
        <v>55</v>
      </c>
      <c r="NIP28" s="256" t="s">
        <v>76</v>
      </c>
      <c r="NIQ28" s="256" t="s">
        <v>77</v>
      </c>
      <c r="NIR28" s="256" t="s">
        <v>78</v>
      </c>
      <c r="NIS28" s="256" t="s">
        <v>79</v>
      </c>
      <c r="NIT28" s="256" t="s">
        <v>80</v>
      </c>
      <c r="NIU28" s="256" t="s">
        <v>81</v>
      </c>
      <c r="NIV28" s="331"/>
      <c r="NIW28" s="290">
        <v>45492</v>
      </c>
      <c r="NIX28" s="339" t="s">
        <v>141</v>
      </c>
      <c r="NIY28" s="305"/>
      <c r="NIZ28" s="305">
        <v>1</v>
      </c>
      <c r="NJA28" s="304">
        <f t="shared" ref="NJA28" si="1573">EDATE(NIW28,NIZ28)</f>
        <v>45523</v>
      </c>
      <c r="NJB28" s="340">
        <v>0</v>
      </c>
      <c r="NJC28" s="320">
        <f t="shared" ref="NJC28" ca="1" si="1574">IF(NJD28&gt;=1,(NJB28/NIZ28),0)</f>
        <v>0</v>
      </c>
      <c r="NJD28" s="292">
        <f t="shared" ref="NJD28" ca="1" si="1575">NJA28-$G$5</f>
        <v>-591</v>
      </c>
      <c r="NJE28" s="259" t="s">
        <v>55</v>
      </c>
      <c r="NJF28" s="256" t="s">
        <v>76</v>
      </c>
      <c r="NJG28" s="256" t="s">
        <v>77</v>
      </c>
      <c r="NJH28" s="256" t="s">
        <v>78</v>
      </c>
      <c r="NJI28" s="256" t="s">
        <v>79</v>
      </c>
      <c r="NJJ28" s="256" t="s">
        <v>80</v>
      </c>
      <c r="NJK28" s="256" t="s">
        <v>81</v>
      </c>
      <c r="NJL28" s="331"/>
      <c r="NJM28" s="290">
        <v>45492</v>
      </c>
      <c r="NJN28" s="339" t="s">
        <v>141</v>
      </c>
      <c r="NJO28" s="305"/>
      <c r="NJP28" s="305">
        <v>1</v>
      </c>
      <c r="NJQ28" s="304">
        <f t="shared" ref="NJQ28" si="1576">EDATE(NJM28,NJP28)</f>
        <v>45523</v>
      </c>
      <c r="NJR28" s="340">
        <v>0</v>
      </c>
      <c r="NJS28" s="320">
        <f t="shared" ref="NJS28" ca="1" si="1577">IF(NJT28&gt;=1,(NJR28/NJP28),0)</f>
        <v>0</v>
      </c>
      <c r="NJT28" s="292">
        <f t="shared" ref="NJT28" ca="1" si="1578">NJQ28-$G$5</f>
        <v>-591</v>
      </c>
      <c r="NJU28" s="259" t="s">
        <v>55</v>
      </c>
      <c r="NJV28" s="256" t="s">
        <v>76</v>
      </c>
      <c r="NJW28" s="256" t="s">
        <v>77</v>
      </c>
      <c r="NJX28" s="256" t="s">
        <v>78</v>
      </c>
      <c r="NJY28" s="256" t="s">
        <v>79</v>
      </c>
      <c r="NJZ28" s="256" t="s">
        <v>80</v>
      </c>
      <c r="NKA28" s="256" t="s">
        <v>81</v>
      </c>
      <c r="NKB28" s="331"/>
      <c r="NKC28" s="290">
        <v>45492</v>
      </c>
      <c r="NKD28" s="339" t="s">
        <v>141</v>
      </c>
      <c r="NKE28" s="305"/>
      <c r="NKF28" s="305">
        <v>1</v>
      </c>
      <c r="NKG28" s="304">
        <f t="shared" ref="NKG28" si="1579">EDATE(NKC28,NKF28)</f>
        <v>45523</v>
      </c>
      <c r="NKH28" s="340">
        <v>0</v>
      </c>
      <c r="NKI28" s="320">
        <f t="shared" ref="NKI28" ca="1" si="1580">IF(NKJ28&gt;=1,(NKH28/NKF28),0)</f>
        <v>0</v>
      </c>
      <c r="NKJ28" s="292">
        <f t="shared" ref="NKJ28" ca="1" si="1581">NKG28-$G$5</f>
        <v>-591</v>
      </c>
      <c r="NKK28" s="259" t="s">
        <v>55</v>
      </c>
      <c r="NKL28" s="256" t="s">
        <v>76</v>
      </c>
      <c r="NKM28" s="256" t="s">
        <v>77</v>
      </c>
      <c r="NKN28" s="256" t="s">
        <v>78</v>
      </c>
      <c r="NKO28" s="256" t="s">
        <v>79</v>
      </c>
      <c r="NKP28" s="256" t="s">
        <v>80</v>
      </c>
      <c r="NKQ28" s="256" t="s">
        <v>81</v>
      </c>
      <c r="NKR28" s="331"/>
      <c r="NKS28" s="290">
        <v>45492</v>
      </c>
      <c r="NKT28" s="339" t="s">
        <v>141</v>
      </c>
      <c r="NKU28" s="305"/>
      <c r="NKV28" s="305">
        <v>1</v>
      </c>
      <c r="NKW28" s="304">
        <f t="shared" ref="NKW28" si="1582">EDATE(NKS28,NKV28)</f>
        <v>45523</v>
      </c>
      <c r="NKX28" s="340">
        <v>0</v>
      </c>
      <c r="NKY28" s="320">
        <f t="shared" ref="NKY28" ca="1" si="1583">IF(NKZ28&gt;=1,(NKX28/NKV28),0)</f>
        <v>0</v>
      </c>
      <c r="NKZ28" s="292">
        <f t="shared" ref="NKZ28" ca="1" si="1584">NKW28-$G$5</f>
        <v>-591</v>
      </c>
      <c r="NLA28" s="259" t="s">
        <v>55</v>
      </c>
      <c r="NLB28" s="256" t="s">
        <v>76</v>
      </c>
      <c r="NLC28" s="256" t="s">
        <v>77</v>
      </c>
      <c r="NLD28" s="256" t="s">
        <v>78</v>
      </c>
      <c r="NLE28" s="256" t="s">
        <v>79</v>
      </c>
      <c r="NLF28" s="256" t="s">
        <v>80</v>
      </c>
      <c r="NLG28" s="256" t="s">
        <v>81</v>
      </c>
      <c r="NLH28" s="331"/>
      <c r="NLI28" s="290">
        <v>45492</v>
      </c>
      <c r="NLJ28" s="339" t="s">
        <v>141</v>
      </c>
      <c r="NLK28" s="305"/>
      <c r="NLL28" s="305">
        <v>1</v>
      </c>
      <c r="NLM28" s="304">
        <f t="shared" ref="NLM28" si="1585">EDATE(NLI28,NLL28)</f>
        <v>45523</v>
      </c>
      <c r="NLN28" s="340">
        <v>0</v>
      </c>
      <c r="NLO28" s="320">
        <f t="shared" ref="NLO28" ca="1" si="1586">IF(NLP28&gt;=1,(NLN28/NLL28),0)</f>
        <v>0</v>
      </c>
      <c r="NLP28" s="292">
        <f t="shared" ref="NLP28" ca="1" si="1587">NLM28-$G$5</f>
        <v>-591</v>
      </c>
      <c r="NLQ28" s="259" t="s">
        <v>55</v>
      </c>
      <c r="NLR28" s="256" t="s">
        <v>76</v>
      </c>
      <c r="NLS28" s="256" t="s">
        <v>77</v>
      </c>
      <c r="NLT28" s="256" t="s">
        <v>78</v>
      </c>
      <c r="NLU28" s="256" t="s">
        <v>79</v>
      </c>
      <c r="NLV28" s="256" t="s">
        <v>80</v>
      </c>
      <c r="NLW28" s="256" t="s">
        <v>81</v>
      </c>
      <c r="NLX28" s="331"/>
      <c r="NLY28" s="290">
        <v>45492</v>
      </c>
      <c r="NLZ28" s="339" t="s">
        <v>141</v>
      </c>
      <c r="NMA28" s="305"/>
      <c r="NMB28" s="305">
        <v>1</v>
      </c>
      <c r="NMC28" s="304">
        <f t="shared" ref="NMC28" si="1588">EDATE(NLY28,NMB28)</f>
        <v>45523</v>
      </c>
      <c r="NMD28" s="340">
        <v>0</v>
      </c>
      <c r="NME28" s="320">
        <f t="shared" ref="NME28" ca="1" si="1589">IF(NMF28&gt;=1,(NMD28/NMB28),0)</f>
        <v>0</v>
      </c>
      <c r="NMF28" s="292">
        <f t="shared" ref="NMF28" ca="1" si="1590">NMC28-$G$5</f>
        <v>-591</v>
      </c>
      <c r="NMG28" s="259" t="s">
        <v>55</v>
      </c>
      <c r="NMH28" s="256" t="s">
        <v>76</v>
      </c>
      <c r="NMI28" s="256" t="s">
        <v>77</v>
      </c>
      <c r="NMJ28" s="256" t="s">
        <v>78</v>
      </c>
      <c r="NMK28" s="256" t="s">
        <v>79</v>
      </c>
      <c r="NML28" s="256" t="s">
        <v>80</v>
      </c>
      <c r="NMM28" s="256" t="s">
        <v>81</v>
      </c>
      <c r="NMN28" s="331"/>
      <c r="NMO28" s="290">
        <v>45492</v>
      </c>
      <c r="NMP28" s="339" t="s">
        <v>141</v>
      </c>
      <c r="NMQ28" s="305"/>
      <c r="NMR28" s="305">
        <v>1</v>
      </c>
      <c r="NMS28" s="304">
        <f t="shared" ref="NMS28" si="1591">EDATE(NMO28,NMR28)</f>
        <v>45523</v>
      </c>
      <c r="NMT28" s="340">
        <v>0</v>
      </c>
      <c r="NMU28" s="320">
        <f t="shared" ref="NMU28" ca="1" si="1592">IF(NMV28&gt;=1,(NMT28/NMR28),0)</f>
        <v>0</v>
      </c>
      <c r="NMV28" s="292">
        <f t="shared" ref="NMV28" ca="1" si="1593">NMS28-$G$5</f>
        <v>-591</v>
      </c>
      <c r="NMW28" s="259" t="s">
        <v>55</v>
      </c>
      <c r="NMX28" s="256" t="s">
        <v>76</v>
      </c>
      <c r="NMY28" s="256" t="s">
        <v>77</v>
      </c>
      <c r="NMZ28" s="256" t="s">
        <v>78</v>
      </c>
      <c r="NNA28" s="256" t="s">
        <v>79</v>
      </c>
      <c r="NNB28" s="256" t="s">
        <v>80</v>
      </c>
      <c r="NNC28" s="256" t="s">
        <v>81</v>
      </c>
      <c r="NND28" s="331"/>
      <c r="NNE28" s="290">
        <v>45492</v>
      </c>
      <c r="NNF28" s="339" t="s">
        <v>141</v>
      </c>
      <c r="NNG28" s="305"/>
      <c r="NNH28" s="305">
        <v>1</v>
      </c>
      <c r="NNI28" s="304">
        <f t="shared" ref="NNI28" si="1594">EDATE(NNE28,NNH28)</f>
        <v>45523</v>
      </c>
      <c r="NNJ28" s="340">
        <v>0</v>
      </c>
      <c r="NNK28" s="320">
        <f t="shared" ref="NNK28" ca="1" si="1595">IF(NNL28&gt;=1,(NNJ28/NNH28),0)</f>
        <v>0</v>
      </c>
      <c r="NNL28" s="292">
        <f t="shared" ref="NNL28" ca="1" si="1596">NNI28-$G$5</f>
        <v>-591</v>
      </c>
      <c r="NNM28" s="259" t="s">
        <v>55</v>
      </c>
      <c r="NNN28" s="256" t="s">
        <v>76</v>
      </c>
      <c r="NNO28" s="256" t="s">
        <v>77</v>
      </c>
      <c r="NNP28" s="256" t="s">
        <v>78</v>
      </c>
      <c r="NNQ28" s="256" t="s">
        <v>79</v>
      </c>
      <c r="NNR28" s="256" t="s">
        <v>80</v>
      </c>
      <c r="NNS28" s="256" t="s">
        <v>81</v>
      </c>
      <c r="NNT28" s="331"/>
      <c r="NNU28" s="290">
        <v>45492</v>
      </c>
      <c r="NNV28" s="339" t="s">
        <v>141</v>
      </c>
      <c r="NNW28" s="305"/>
      <c r="NNX28" s="305">
        <v>1</v>
      </c>
      <c r="NNY28" s="304">
        <f t="shared" ref="NNY28" si="1597">EDATE(NNU28,NNX28)</f>
        <v>45523</v>
      </c>
      <c r="NNZ28" s="340">
        <v>0</v>
      </c>
      <c r="NOA28" s="320">
        <f t="shared" ref="NOA28" ca="1" si="1598">IF(NOB28&gt;=1,(NNZ28/NNX28),0)</f>
        <v>0</v>
      </c>
      <c r="NOB28" s="292">
        <f t="shared" ref="NOB28" ca="1" si="1599">NNY28-$G$5</f>
        <v>-591</v>
      </c>
      <c r="NOC28" s="259" t="s">
        <v>55</v>
      </c>
      <c r="NOD28" s="256" t="s">
        <v>76</v>
      </c>
      <c r="NOE28" s="256" t="s">
        <v>77</v>
      </c>
      <c r="NOF28" s="256" t="s">
        <v>78</v>
      </c>
      <c r="NOG28" s="256" t="s">
        <v>79</v>
      </c>
      <c r="NOH28" s="256" t="s">
        <v>80</v>
      </c>
      <c r="NOI28" s="256" t="s">
        <v>81</v>
      </c>
      <c r="NOJ28" s="331"/>
      <c r="NOK28" s="290">
        <v>45492</v>
      </c>
      <c r="NOL28" s="339" t="s">
        <v>141</v>
      </c>
      <c r="NOM28" s="305"/>
      <c r="NON28" s="305">
        <v>1</v>
      </c>
      <c r="NOO28" s="304">
        <f t="shared" ref="NOO28" si="1600">EDATE(NOK28,NON28)</f>
        <v>45523</v>
      </c>
      <c r="NOP28" s="340">
        <v>0</v>
      </c>
      <c r="NOQ28" s="320">
        <f t="shared" ref="NOQ28" ca="1" si="1601">IF(NOR28&gt;=1,(NOP28/NON28),0)</f>
        <v>0</v>
      </c>
      <c r="NOR28" s="292">
        <f t="shared" ref="NOR28" ca="1" si="1602">NOO28-$G$5</f>
        <v>-591</v>
      </c>
      <c r="NOS28" s="259" t="s">
        <v>55</v>
      </c>
      <c r="NOT28" s="256" t="s">
        <v>76</v>
      </c>
      <c r="NOU28" s="256" t="s">
        <v>77</v>
      </c>
      <c r="NOV28" s="256" t="s">
        <v>78</v>
      </c>
      <c r="NOW28" s="256" t="s">
        <v>79</v>
      </c>
      <c r="NOX28" s="256" t="s">
        <v>80</v>
      </c>
      <c r="NOY28" s="256" t="s">
        <v>81</v>
      </c>
      <c r="NOZ28" s="331"/>
      <c r="NPA28" s="290">
        <v>45492</v>
      </c>
      <c r="NPB28" s="339" t="s">
        <v>141</v>
      </c>
      <c r="NPC28" s="305"/>
      <c r="NPD28" s="305">
        <v>1</v>
      </c>
      <c r="NPE28" s="304">
        <f t="shared" ref="NPE28" si="1603">EDATE(NPA28,NPD28)</f>
        <v>45523</v>
      </c>
      <c r="NPF28" s="340">
        <v>0</v>
      </c>
      <c r="NPG28" s="320">
        <f t="shared" ref="NPG28" ca="1" si="1604">IF(NPH28&gt;=1,(NPF28/NPD28),0)</f>
        <v>0</v>
      </c>
      <c r="NPH28" s="292">
        <f t="shared" ref="NPH28" ca="1" si="1605">NPE28-$G$5</f>
        <v>-591</v>
      </c>
      <c r="NPI28" s="259" t="s">
        <v>55</v>
      </c>
      <c r="NPJ28" s="256" t="s">
        <v>76</v>
      </c>
      <c r="NPK28" s="256" t="s">
        <v>77</v>
      </c>
      <c r="NPL28" s="256" t="s">
        <v>78</v>
      </c>
      <c r="NPM28" s="256" t="s">
        <v>79</v>
      </c>
      <c r="NPN28" s="256" t="s">
        <v>80</v>
      </c>
      <c r="NPO28" s="256" t="s">
        <v>81</v>
      </c>
      <c r="NPP28" s="331"/>
      <c r="NPQ28" s="290">
        <v>45492</v>
      </c>
      <c r="NPR28" s="339" t="s">
        <v>141</v>
      </c>
      <c r="NPS28" s="305"/>
      <c r="NPT28" s="305">
        <v>1</v>
      </c>
      <c r="NPU28" s="304">
        <f t="shared" ref="NPU28" si="1606">EDATE(NPQ28,NPT28)</f>
        <v>45523</v>
      </c>
      <c r="NPV28" s="340">
        <v>0</v>
      </c>
      <c r="NPW28" s="320">
        <f t="shared" ref="NPW28" ca="1" si="1607">IF(NPX28&gt;=1,(NPV28/NPT28),0)</f>
        <v>0</v>
      </c>
      <c r="NPX28" s="292">
        <f t="shared" ref="NPX28" ca="1" si="1608">NPU28-$G$5</f>
        <v>-591</v>
      </c>
      <c r="NPY28" s="259" t="s">
        <v>55</v>
      </c>
      <c r="NPZ28" s="256" t="s">
        <v>76</v>
      </c>
      <c r="NQA28" s="256" t="s">
        <v>77</v>
      </c>
      <c r="NQB28" s="256" t="s">
        <v>78</v>
      </c>
      <c r="NQC28" s="256" t="s">
        <v>79</v>
      </c>
      <c r="NQD28" s="256" t="s">
        <v>80</v>
      </c>
      <c r="NQE28" s="256" t="s">
        <v>81</v>
      </c>
      <c r="NQF28" s="331"/>
      <c r="NQG28" s="290">
        <v>45492</v>
      </c>
      <c r="NQH28" s="339" t="s">
        <v>141</v>
      </c>
      <c r="NQI28" s="305"/>
      <c r="NQJ28" s="305">
        <v>1</v>
      </c>
      <c r="NQK28" s="304">
        <f t="shared" ref="NQK28" si="1609">EDATE(NQG28,NQJ28)</f>
        <v>45523</v>
      </c>
      <c r="NQL28" s="340">
        <v>0</v>
      </c>
      <c r="NQM28" s="320">
        <f t="shared" ref="NQM28" ca="1" si="1610">IF(NQN28&gt;=1,(NQL28/NQJ28),0)</f>
        <v>0</v>
      </c>
      <c r="NQN28" s="292">
        <f t="shared" ref="NQN28" ca="1" si="1611">NQK28-$G$5</f>
        <v>-591</v>
      </c>
      <c r="NQO28" s="259" t="s">
        <v>55</v>
      </c>
      <c r="NQP28" s="256" t="s">
        <v>76</v>
      </c>
      <c r="NQQ28" s="256" t="s">
        <v>77</v>
      </c>
      <c r="NQR28" s="256" t="s">
        <v>78</v>
      </c>
      <c r="NQS28" s="256" t="s">
        <v>79</v>
      </c>
      <c r="NQT28" s="256" t="s">
        <v>80</v>
      </c>
      <c r="NQU28" s="256" t="s">
        <v>81</v>
      </c>
      <c r="NQV28" s="331"/>
      <c r="NQW28" s="290">
        <v>45492</v>
      </c>
      <c r="NQX28" s="339" t="s">
        <v>141</v>
      </c>
      <c r="NQY28" s="305"/>
      <c r="NQZ28" s="305">
        <v>1</v>
      </c>
      <c r="NRA28" s="304">
        <f t="shared" ref="NRA28" si="1612">EDATE(NQW28,NQZ28)</f>
        <v>45523</v>
      </c>
      <c r="NRB28" s="340">
        <v>0</v>
      </c>
      <c r="NRC28" s="320">
        <f t="shared" ref="NRC28" ca="1" si="1613">IF(NRD28&gt;=1,(NRB28/NQZ28),0)</f>
        <v>0</v>
      </c>
      <c r="NRD28" s="292">
        <f t="shared" ref="NRD28" ca="1" si="1614">NRA28-$G$5</f>
        <v>-591</v>
      </c>
      <c r="NRE28" s="259" t="s">
        <v>55</v>
      </c>
      <c r="NRF28" s="256" t="s">
        <v>76</v>
      </c>
      <c r="NRG28" s="256" t="s">
        <v>77</v>
      </c>
      <c r="NRH28" s="256" t="s">
        <v>78</v>
      </c>
      <c r="NRI28" s="256" t="s">
        <v>79</v>
      </c>
      <c r="NRJ28" s="256" t="s">
        <v>80</v>
      </c>
      <c r="NRK28" s="256" t="s">
        <v>81</v>
      </c>
      <c r="NRL28" s="331"/>
      <c r="NRM28" s="290">
        <v>45492</v>
      </c>
      <c r="NRN28" s="339" t="s">
        <v>141</v>
      </c>
      <c r="NRO28" s="305"/>
      <c r="NRP28" s="305">
        <v>1</v>
      </c>
      <c r="NRQ28" s="304">
        <f t="shared" ref="NRQ28" si="1615">EDATE(NRM28,NRP28)</f>
        <v>45523</v>
      </c>
      <c r="NRR28" s="340">
        <v>0</v>
      </c>
      <c r="NRS28" s="320">
        <f t="shared" ref="NRS28" ca="1" si="1616">IF(NRT28&gt;=1,(NRR28/NRP28),0)</f>
        <v>0</v>
      </c>
      <c r="NRT28" s="292">
        <f t="shared" ref="NRT28" ca="1" si="1617">NRQ28-$G$5</f>
        <v>-591</v>
      </c>
      <c r="NRU28" s="259" t="s">
        <v>55</v>
      </c>
      <c r="NRV28" s="256" t="s">
        <v>76</v>
      </c>
      <c r="NRW28" s="256" t="s">
        <v>77</v>
      </c>
      <c r="NRX28" s="256" t="s">
        <v>78</v>
      </c>
      <c r="NRY28" s="256" t="s">
        <v>79</v>
      </c>
      <c r="NRZ28" s="256" t="s">
        <v>80</v>
      </c>
      <c r="NSA28" s="256" t="s">
        <v>81</v>
      </c>
      <c r="NSB28" s="331"/>
      <c r="NSC28" s="290">
        <v>45492</v>
      </c>
      <c r="NSD28" s="339" t="s">
        <v>141</v>
      </c>
      <c r="NSE28" s="305"/>
      <c r="NSF28" s="305">
        <v>1</v>
      </c>
      <c r="NSG28" s="304">
        <f t="shared" ref="NSG28" si="1618">EDATE(NSC28,NSF28)</f>
        <v>45523</v>
      </c>
      <c r="NSH28" s="340">
        <v>0</v>
      </c>
      <c r="NSI28" s="320">
        <f t="shared" ref="NSI28" ca="1" si="1619">IF(NSJ28&gt;=1,(NSH28/NSF28),0)</f>
        <v>0</v>
      </c>
      <c r="NSJ28" s="292">
        <f t="shared" ref="NSJ28" ca="1" si="1620">NSG28-$G$5</f>
        <v>-591</v>
      </c>
      <c r="NSK28" s="259" t="s">
        <v>55</v>
      </c>
      <c r="NSL28" s="256" t="s">
        <v>76</v>
      </c>
      <c r="NSM28" s="256" t="s">
        <v>77</v>
      </c>
      <c r="NSN28" s="256" t="s">
        <v>78</v>
      </c>
      <c r="NSO28" s="256" t="s">
        <v>79</v>
      </c>
      <c r="NSP28" s="256" t="s">
        <v>80</v>
      </c>
      <c r="NSQ28" s="256" t="s">
        <v>81</v>
      </c>
      <c r="NSR28" s="331"/>
      <c r="NSS28" s="290">
        <v>45492</v>
      </c>
      <c r="NST28" s="339" t="s">
        <v>141</v>
      </c>
      <c r="NSU28" s="305"/>
      <c r="NSV28" s="305">
        <v>1</v>
      </c>
      <c r="NSW28" s="304">
        <f t="shared" ref="NSW28" si="1621">EDATE(NSS28,NSV28)</f>
        <v>45523</v>
      </c>
      <c r="NSX28" s="340">
        <v>0</v>
      </c>
      <c r="NSY28" s="320">
        <f t="shared" ref="NSY28" ca="1" si="1622">IF(NSZ28&gt;=1,(NSX28/NSV28),0)</f>
        <v>0</v>
      </c>
      <c r="NSZ28" s="292">
        <f t="shared" ref="NSZ28" ca="1" si="1623">NSW28-$G$5</f>
        <v>-591</v>
      </c>
      <c r="NTA28" s="259" t="s">
        <v>55</v>
      </c>
      <c r="NTB28" s="256" t="s">
        <v>76</v>
      </c>
      <c r="NTC28" s="256" t="s">
        <v>77</v>
      </c>
      <c r="NTD28" s="256" t="s">
        <v>78</v>
      </c>
      <c r="NTE28" s="256" t="s">
        <v>79</v>
      </c>
      <c r="NTF28" s="256" t="s">
        <v>80</v>
      </c>
      <c r="NTG28" s="256" t="s">
        <v>81</v>
      </c>
      <c r="NTH28" s="331"/>
      <c r="NTI28" s="290">
        <v>45492</v>
      </c>
      <c r="NTJ28" s="339" t="s">
        <v>141</v>
      </c>
      <c r="NTK28" s="305"/>
      <c r="NTL28" s="305">
        <v>1</v>
      </c>
      <c r="NTM28" s="304">
        <f t="shared" ref="NTM28" si="1624">EDATE(NTI28,NTL28)</f>
        <v>45523</v>
      </c>
      <c r="NTN28" s="340">
        <v>0</v>
      </c>
      <c r="NTO28" s="320">
        <f t="shared" ref="NTO28" ca="1" si="1625">IF(NTP28&gt;=1,(NTN28/NTL28),0)</f>
        <v>0</v>
      </c>
      <c r="NTP28" s="292">
        <f t="shared" ref="NTP28" ca="1" si="1626">NTM28-$G$5</f>
        <v>-591</v>
      </c>
      <c r="NTQ28" s="259" t="s">
        <v>55</v>
      </c>
      <c r="NTR28" s="256" t="s">
        <v>76</v>
      </c>
      <c r="NTS28" s="256" t="s">
        <v>77</v>
      </c>
      <c r="NTT28" s="256" t="s">
        <v>78</v>
      </c>
      <c r="NTU28" s="256" t="s">
        <v>79</v>
      </c>
      <c r="NTV28" s="256" t="s">
        <v>80</v>
      </c>
      <c r="NTW28" s="256" t="s">
        <v>81</v>
      </c>
      <c r="NTX28" s="331"/>
      <c r="NTY28" s="290">
        <v>45492</v>
      </c>
      <c r="NTZ28" s="339" t="s">
        <v>141</v>
      </c>
      <c r="NUA28" s="305"/>
      <c r="NUB28" s="305">
        <v>1</v>
      </c>
      <c r="NUC28" s="304">
        <f t="shared" ref="NUC28" si="1627">EDATE(NTY28,NUB28)</f>
        <v>45523</v>
      </c>
      <c r="NUD28" s="340">
        <v>0</v>
      </c>
      <c r="NUE28" s="320">
        <f t="shared" ref="NUE28" ca="1" si="1628">IF(NUF28&gt;=1,(NUD28/NUB28),0)</f>
        <v>0</v>
      </c>
      <c r="NUF28" s="292">
        <f t="shared" ref="NUF28" ca="1" si="1629">NUC28-$G$5</f>
        <v>-591</v>
      </c>
      <c r="NUG28" s="259" t="s">
        <v>55</v>
      </c>
      <c r="NUH28" s="256" t="s">
        <v>76</v>
      </c>
      <c r="NUI28" s="256" t="s">
        <v>77</v>
      </c>
      <c r="NUJ28" s="256" t="s">
        <v>78</v>
      </c>
      <c r="NUK28" s="256" t="s">
        <v>79</v>
      </c>
      <c r="NUL28" s="256" t="s">
        <v>80</v>
      </c>
      <c r="NUM28" s="256" t="s">
        <v>81</v>
      </c>
      <c r="NUN28" s="331"/>
      <c r="NUO28" s="290">
        <v>45492</v>
      </c>
      <c r="NUP28" s="339" t="s">
        <v>141</v>
      </c>
      <c r="NUQ28" s="305"/>
      <c r="NUR28" s="305">
        <v>1</v>
      </c>
      <c r="NUS28" s="304">
        <f t="shared" ref="NUS28" si="1630">EDATE(NUO28,NUR28)</f>
        <v>45523</v>
      </c>
      <c r="NUT28" s="340">
        <v>0</v>
      </c>
      <c r="NUU28" s="320">
        <f t="shared" ref="NUU28" ca="1" si="1631">IF(NUV28&gt;=1,(NUT28/NUR28),0)</f>
        <v>0</v>
      </c>
      <c r="NUV28" s="292">
        <f t="shared" ref="NUV28" ca="1" si="1632">NUS28-$G$5</f>
        <v>-591</v>
      </c>
      <c r="NUW28" s="259" t="s">
        <v>55</v>
      </c>
      <c r="NUX28" s="256" t="s">
        <v>76</v>
      </c>
      <c r="NUY28" s="256" t="s">
        <v>77</v>
      </c>
      <c r="NUZ28" s="256" t="s">
        <v>78</v>
      </c>
      <c r="NVA28" s="256" t="s">
        <v>79</v>
      </c>
      <c r="NVB28" s="256" t="s">
        <v>80</v>
      </c>
      <c r="NVC28" s="256" t="s">
        <v>81</v>
      </c>
      <c r="NVD28" s="331"/>
      <c r="NVE28" s="290">
        <v>45492</v>
      </c>
      <c r="NVF28" s="339" t="s">
        <v>141</v>
      </c>
      <c r="NVG28" s="305"/>
      <c r="NVH28" s="305">
        <v>1</v>
      </c>
      <c r="NVI28" s="304">
        <f t="shared" ref="NVI28" si="1633">EDATE(NVE28,NVH28)</f>
        <v>45523</v>
      </c>
      <c r="NVJ28" s="340">
        <v>0</v>
      </c>
      <c r="NVK28" s="320">
        <f t="shared" ref="NVK28" ca="1" si="1634">IF(NVL28&gt;=1,(NVJ28/NVH28),0)</f>
        <v>0</v>
      </c>
      <c r="NVL28" s="292">
        <f t="shared" ref="NVL28" ca="1" si="1635">NVI28-$G$5</f>
        <v>-591</v>
      </c>
      <c r="NVM28" s="259" t="s">
        <v>55</v>
      </c>
      <c r="NVN28" s="256" t="s">
        <v>76</v>
      </c>
      <c r="NVO28" s="256" t="s">
        <v>77</v>
      </c>
      <c r="NVP28" s="256" t="s">
        <v>78</v>
      </c>
      <c r="NVQ28" s="256" t="s">
        <v>79</v>
      </c>
      <c r="NVR28" s="256" t="s">
        <v>80</v>
      </c>
      <c r="NVS28" s="256" t="s">
        <v>81</v>
      </c>
      <c r="NVT28" s="331"/>
      <c r="NVU28" s="290">
        <v>45492</v>
      </c>
      <c r="NVV28" s="339" t="s">
        <v>141</v>
      </c>
      <c r="NVW28" s="305"/>
      <c r="NVX28" s="305">
        <v>1</v>
      </c>
      <c r="NVY28" s="304">
        <f t="shared" ref="NVY28" si="1636">EDATE(NVU28,NVX28)</f>
        <v>45523</v>
      </c>
      <c r="NVZ28" s="340">
        <v>0</v>
      </c>
      <c r="NWA28" s="320">
        <f t="shared" ref="NWA28" ca="1" si="1637">IF(NWB28&gt;=1,(NVZ28/NVX28),0)</f>
        <v>0</v>
      </c>
      <c r="NWB28" s="292">
        <f t="shared" ref="NWB28" ca="1" si="1638">NVY28-$G$5</f>
        <v>-591</v>
      </c>
      <c r="NWC28" s="259" t="s">
        <v>55</v>
      </c>
      <c r="NWD28" s="256" t="s">
        <v>76</v>
      </c>
      <c r="NWE28" s="256" t="s">
        <v>77</v>
      </c>
      <c r="NWF28" s="256" t="s">
        <v>78</v>
      </c>
      <c r="NWG28" s="256" t="s">
        <v>79</v>
      </c>
      <c r="NWH28" s="256" t="s">
        <v>80</v>
      </c>
      <c r="NWI28" s="256" t="s">
        <v>81</v>
      </c>
      <c r="NWJ28" s="331"/>
      <c r="NWK28" s="290">
        <v>45492</v>
      </c>
      <c r="NWL28" s="339" t="s">
        <v>141</v>
      </c>
      <c r="NWM28" s="305"/>
      <c r="NWN28" s="305">
        <v>1</v>
      </c>
      <c r="NWO28" s="304">
        <f t="shared" ref="NWO28" si="1639">EDATE(NWK28,NWN28)</f>
        <v>45523</v>
      </c>
      <c r="NWP28" s="340">
        <v>0</v>
      </c>
      <c r="NWQ28" s="320">
        <f t="shared" ref="NWQ28" ca="1" si="1640">IF(NWR28&gt;=1,(NWP28/NWN28),0)</f>
        <v>0</v>
      </c>
      <c r="NWR28" s="292">
        <f t="shared" ref="NWR28" ca="1" si="1641">NWO28-$G$5</f>
        <v>-591</v>
      </c>
      <c r="NWS28" s="259" t="s">
        <v>55</v>
      </c>
      <c r="NWT28" s="256" t="s">
        <v>76</v>
      </c>
      <c r="NWU28" s="256" t="s">
        <v>77</v>
      </c>
      <c r="NWV28" s="256" t="s">
        <v>78</v>
      </c>
      <c r="NWW28" s="256" t="s">
        <v>79</v>
      </c>
      <c r="NWX28" s="256" t="s">
        <v>80</v>
      </c>
      <c r="NWY28" s="256" t="s">
        <v>81</v>
      </c>
      <c r="NWZ28" s="331"/>
      <c r="NXA28" s="290">
        <v>45492</v>
      </c>
      <c r="NXB28" s="339" t="s">
        <v>141</v>
      </c>
      <c r="NXC28" s="305"/>
      <c r="NXD28" s="305">
        <v>1</v>
      </c>
      <c r="NXE28" s="304">
        <f t="shared" ref="NXE28" si="1642">EDATE(NXA28,NXD28)</f>
        <v>45523</v>
      </c>
      <c r="NXF28" s="340">
        <v>0</v>
      </c>
      <c r="NXG28" s="320">
        <f t="shared" ref="NXG28" ca="1" si="1643">IF(NXH28&gt;=1,(NXF28/NXD28),0)</f>
        <v>0</v>
      </c>
      <c r="NXH28" s="292">
        <f t="shared" ref="NXH28" ca="1" si="1644">NXE28-$G$5</f>
        <v>-591</v>
      </c>
      <c r="NXI28" s="259" t="s">
        <v>55</v>
      </c>
      <c r="NXJ28" s="256" t="s">
        <v>76</v>
      </c>
      <c r="NXK28" s="256" t="s">
        <v>77</v>
      </c>
      <c r="NXL28" s="256" t="s">
        <v>78</v>
      </c>
      <c r="NXM28" s="256" t="s">
        <v>79</v>
      </c>
      <c r="NXN28" s="256" t="s">
        <v>80</v>
      </c>
      <c r="NXO28" s="256" t="s">
        <v>81</v>
      </c>
      <c r="NXP28" s="331"/>
      <c r="NXQ28" s="290">
        <v>45492</v>
      </c>
      <c r="NXR28" s="339" t="s">
        <v>141</v>
      </c>
      <c r="NXS28" s="305"/>
      <c r="NXT28" s="305">
        <v>1</v>
      </c>
      <c r="NXU28" s="304">
        <f t="shared" ref="NXU28" si="1645">EDATE(NXQ28,NXT28)</f>
        <v>45523</v>
      </c>
      <c r="NXV28" s="340">
        <v>0</v>
      </c>
      <c r="NXW28" s="320">
        <f t="shared" ref="NXW28" ca="1" si="1646">IF(NXX28&gt;=1,(NXV28/NXT28),0)</f>
        <v>0</v>
      </c>
      <c r="NXX28" s="292">
        <f t="shared" ref="NXX28" ca="1" si="1647">NXU28-$G$5</f>
        <v>-591</v>
      </c>
      <c r="NXY28" s="259" t="s">
        <v>55</v>
      </c>
      <c r="NXZ28" s="256" t="s">
        <v>76</v>
      </c>
      <c r="NYA28" s="256" t="s">
        <v>77</v>
      </c>
      <c r="NYB28" s="256" t="s">
        <v>78</v>
      </c>
      <c r="NYC28" s="256" t="s">
        <v>79</v>
      </c>
      <c r="NYD28" s="256" t="s">
        <v>80</v>
      </c>
      <c r="NYE28" s="256" t="s">
        <v>81</v>
      </c>
      <c r="NYF28" s="331"/>
      <c r="NYG28" s="290">
        <v>45492</v>
      </c>
      <c r="NYH28" s="339" t="s">
        <v>141</v>
      </c>
      <c r="NYI28" s="305"/>
      <c r="NYJ28" s="305">
        <v>1</v>
      </c>
      <c r="NYK28" s="304">
        <f t="shared" ref="NYK28" si="1648">EDATE(NYG28,NYJ28)</f>
        <v>45523</v>
      </c>
      <c r="NYL28" s="340">
        <v>0</v>
      </c>
      <c r="NYM28" s="320">
        <f t="shared" ref="NYM28" ca="1" si="1649">IF(NYN28&gt;=1,(NYL28/NYJ28),0)</f>
        <v>0</v>
      </c>
      <c r="NYN28" s="292">
        <f t="shared" ref="NYN28" ca="1" si="1650">NYK28-$G$5</f>
        <v>-591</v>
      </c>
      <c r="NYO28" s="259" t="s">
        <v>55</v>
      </c>
      <c r="NYP28" s="256" t="s">
        <v>76</v>
      </c>
      <c r="NYQ28" s="256" t="s">
        <v>77</v>
      </c>
      <c r="NYR28" s="256" t="s">
        <v>78</v>
      </c>
      <c r="NYS28" s="256" t="s">
        <v>79</v>
      </c>
      <c r="NYT28" s="256" t="s">
        <v>80</v>
      </c>
      <c r="NYU28" s="256" t="s">
        <v>81</v>
      </c>
      <c r="NYV28" s="331"/>
      <c r="NYW28" s="290">
        <v>45492</v>
      </c>
      <c r="NYX28" s="339" t="s">
        <v>141</v>
      </c>
      <c r="NYY28" s="305"/>
      <c r="NYZ28" s="305">
        <v>1</v>
      </c>
      <c r="NZA28" s="304">
        <f t="shared" ref="NZA28" si="1651">EDATE(NYW28,NYZ28)</f>
        <v>45523</v>
      </c>
      <c r="NZB28" s="340">
        <v>0</v>
      </c>
      <c r="NZC28" s="320">
        <f t="shared" ref="NZC28" ca="1" si="1652">IF(NZD28&gt;=1,(NZB28/NYZ28),0)</f>
        <v>0</v>
      </c>
      <c r="NZD28" s="292">
        <f t="shared" ref="NZD28" ca="1" si="1653">NZA28-$G$5</f>
        <v>-591</v>
      </c>
      <c r="NZE28" s="259" t="s">
        <v>55</v>
      </c>
      <c r="NZF28" s="256" t="s">
        <v>76</v>
      </c>
      <c r="NZG28" s="256" t="s">
        <v>77</v>
      </c>
      <c r="NZH28" s="256" t="s">
        <v>78</v>
      </c>
      <c r="NZI28" s="256" t="s">
        <v>79</v>
      </c>
      <c r="NZJ28" s="256" t="s">
        <v>80</v>
      </c>
      <c r="NZK28" s="256" t="s">
        <v>81</v>
      </c>
      <c r="NZL28" s="331"/>
      <c r="NZM28" s="290">
        <v>45492</v>
      </c>
      <c r="NZN28" s="339" t="s">
        <v>141</v>
      </c>
      <c r="NZO28" s="305"/>
      <c r="NZP28" s="305">
        <v>1</v>
      </c>
      <c r="NZQ28" s="304">
        <f t="shared" ref="NZQ28" si="1654">EDATE(NZM28,NZP28)</f>
        <v>45523</v>
      </c>
      <c r="NZR28" s="340">
        <v>0</v>
      </c>
      <c r="NZS28" s="320">
        <f t="shared" ref="NZS28" ca="1" si="1655">IF(NZT28&gt;=1,(NZR28/NZP28),0)</f>
        <v>0</v>
      </c>
      <c r="NZT28" s="292">
        <f t="shared" ref="NZT28" ca="1" si="1656">NZQ28-$G$5</f>
        <v>-591</v>
      </c>
      <c r="NZU28" s="259" t="s">
        <v>55</v>
      </c>
      <c r="NZV28" s="256" t="s">
        <v>76</v>
      </c>
      <c r="NZW28" s="256" t="s">
        <v>77</v>
      </c>
      <c r="NZX28" s="256" t="s">
        <v>78</v>
      </c>
      <c r="NZY28" s="256" t="s">
        <v>79</v>
      </c>
      <c r="NZZ28" s="256" t="s">
        <v>80</v>
      </c>
      <c r="OAA28" s="256" t="s">
        <v>81</v>
      </c>
      <c r="OAB28" s="331"/>
      <c r="OAC28" s="290">
        <v>45492</v>
      </c>
      <c r="OAD28" s="339" t="s">
        <v>141</v>
      </c>
      <c r="OAE28" s="305"/>
      <c r="OAF28" s="305">
        <v>1</v>
      </c>
      <c r="OAG28" s="304">
        <f t="shared" ref="OAG28" si="1657">EDATE(OAC28,OAF28)</f>
        <v>45523</v>
      </c>
      <c r="OAH28" s="340">
        <v>0</v>
      </c>
      <c r="OAI28" s="320">
        <f t="shared" ref="OAI28" ca="1" si="1658">IF(OAJ28&gt;=1,(OAH28/OAF28),0)</f>
        <v>0</v>
      </c>
      <c r="OAJ28" s="292">
        <f t="shared" ref="OAJ28" ca="1" si="1659">OAG28-$G$5</f>
        <v>-591</v>
      </c>
      <c r="OAK28" s="259" t="s">
        <v>55</v>
      </c>
      <c r="OAL28" s="256" t="s">
        <v>76</v>
      </c>
      <c r="OAM28" s="256" t="s">
        <v>77</v>
      </c>
      <c r="OAN28" s="256" t="s">
        <v>78</v>
      </c>
      <c r="OAO28" s="256" t="s">
        <v>79</v>
      </c>
      <c r="OAP28" s="256" t="s">
        <v>80</v>
      </c>
      <c r="OAQ28" s="256" t="s">
        <v>81</v>
      </c>
      <c r="OAR28" s="331"/>
      <c r="OAS28" s="290">
        <v>45492</v>
      </c>
      <c r="OAT28" s="339" t="s">
        <v>141</v>
      </c>
      <c r="OAU28" s="305"/>
      <c r="OAV28" s="305">
        <v>1</v>
      </c>
      <c r="OAW28" s="304">
        <f t="shared" ref="OAW28" si="1660">EDATE(OAS28,OAV28)</f>
        <v>45523</v>
      </c>
      <c r="OAX28" s="340">
        <v>0</v>
      </c>
      <c r="OAY28" s="320">
        <f t="shared" ref="OAY28" ca="1" si="1661">IF(OAZ28&gt;=1,(OAX28/OAV28),0)</f>
        <v>0</v>
      </c>
      <c r="OAZ28" s="292">
        <f t="shared" ref="OAZ28" ca="1" si="1662">OAW28-$G$5</f>
        <v>-591</v>
      </c>
      <c r="OBA28" s="259" t="s">
        <v>55</v>
      </c>
      <c r="OBB28" s="256" t="s">
        <v>76</v>
      </c>
      <c r="OBC28" s="256" t="s">
        <v>77</v>
      </c>
      <c r="OBD28" s="256" t="s">
        <v>78</v>
      </c>
      <c r="OBE28" s="256" t="s">
        <v>79</v>
      </c>
      <c r="OBF28" s="256" t="s">
        <v>80</v>
      </c>
      <c r="OBG28" s="256" t="s">
        <v>81</v>
      </c>
      <c r="OBH28" s="331"/>
      <c r="OBI28" s="290">
        <v>45492</v>
      </c>
      <c r="OBJ28" s="339" t="s">
        <v>141</v>
      </c>
      <c r="OBK28" s="305"/>
      <c r="OBL28" s="305">
        <v>1</v>
      </c>
      <c r="OBM28" s="304">
        <f t="shared" ref="OBM28" si="1663">EDATE(OBI28,OBL28)</f>
        <v>45523</v>
      </c>
      <c r="OBN28" s="340">
        <v>0</v>
      </c>
      <c r="OBO28" s="320">
        <f t="shared" ref="OBO28" ca="1" si="1664">IF(OBP28&gt;=1,(OBN28/OBL28),0)</f>
        <v>0</v>
      </c>
      <c r="OBP28" s="292">
        <f t="shared" ref="OBP28" ca="1" si="1665">OBM28-$G$5</f>
        <v>-591</v>
      </c>
      <c r="OBQ28" s="259" t="s">
        <v>55</v>
      </c>
      <c r="OBR28" s="256" t="s">
        <v>76</v>
      </c>
      <c r="OBS28" s="256" t="s">
        <v>77</v>
      </c>
      <c r="OBT28" s="256" t="s">
        <v>78</v>
      </c>
      <c r="OBU28" s="256" t="s">
        <v>79</v>
      </c>
      <c r="OBV28" s="256" t="s">
        <v>80</v>
      </c>
      <c r="OBW28" s="256" t="s">
        <v>81</v>
      </c>
      <c r="OBX28" s="331"/>
      <c r="OBY28" s="290">
        <v>45492</v>
      </c>
      <c r="OBZ28" s="339" t="s">
        <v>141</v>
      </c>
      <c r="OCA28" s="305"/>
      <c r="OCB28" s="305">
        <v>1</v>
      </c>
      <c r="OCC28" s="304">
        <f t="shared" ref="OCC28" si="1666">EDATE(OBY28,OCB28)</f>
        <v>45523</v>
      </c>
      <c r="OCD28" s="340">
        <v>0</v>
      </c>
      <c r="OCE28" s="320">
        <f t="shared" ref="OCE28" ca="1" si="1667">IF(OCF28&gt;=1,(OCD28/OCB28),0)</f>
        <v>0</v>
      </c>
      <c r="OCF28" s="292">
        <f t="shared" ref="OCF28" ca="1" si="1668">OCC28-$G$5</f>
        <v>-591</v>
      </c>
      <c r="OCG28" s="259" t="s">
        <v>55</v>
      </c>
      <c r="OCH28" s="256" t="s">
        <v>76</v>
      </c>
      <c r="OCI28" s="256" t="s">
        <v>77</v>
      </c>
      <c r="OCJ28" s="256" t="s">
        <v>78</v>
      </c>
      <c r="OCK28" s="256" t="s">
        <v>79</v>
      </c>
      <c r="OCL28" s="256" t="s">
        <v>80</v>
      </c>
      <c r="OCM28" s="256" t="s">
        <v>81</v>
      </c>
      <c r="OCN28" s="331"/>
      <c r="OCO28" s="290">
        <v>45492</v>
      </c>
      <c r="OCP28" s="339" t="s">
        <v>141</v>
      </c>
      <c r="OCQ28" s="305"/>
      <c r="OCR28" s="305">
        <v>1</v>
      </c>
      <c r="OCS28" s="304">
        <f t="shared" ref="OCS28" si="1669">EDATE(OCO28,OCR28)</f>
        <v>45523</v>
      </c>
      <c r="OCT28" s="340">
        <v>0</v>
      </c>
      <c r="OCU28" s="320">
        <f t="shared" ref="OCU28" ca="1" si="1670">IF(OCV28&gt;=1,(OCT28/OCR28),0)</f>
        <v>0</v>
      </c>
      <c r="OCV28" s="292">
        <f t="shared" ref="OCV28" ca="1" si="1671">OCS28-$G$5</f>
        <v>-591</v>
      </c>
      <c r="OCW28" s="259" t="s">
        <v>55</v>
      </c>
      <c r="OCX28" s="256" t="s">
        <v>76</v>
      </c>
      <c r="OCY28" s="256" t="s">
        <v>77</v>
      </c>
      <c r="OCZ28" s="256" t="s">
        <v>78</v>
      </c>
      <c r="ODA28" s="256" t="s">
        <v>79</v>
      </c>
      <c r="ODB28" s="256" t="s">
        <v>80</v>
      </c>
      <c r="ODC28" s="256" t="s">
        <v>81</v>
      </c>
      <c r="ODD28" s="331"/>
      <c r="ODE28" s="290">
        <v>45492</v>
      </c>
      <c r="ODF28" s="339" t="s">
        <v>141</v>
      </c>
      <c r="ODG28" s="305"/>
      <c r="ODH28" s="305">
        <v>1</v>
      </c>
      <c r="ODI28" s="304">
        <f t="shared" ref="ODI28" si="1672">EDATE(ODE28,ODH28)</f>
        <v>45523</v>
      </c>
      <c r="ODJ28" s="340">
        <v>0</v>
      </c>
      <c r="ODK28" s="320">
        <f t="shared" ref="ODK28" ca="1" si="1673">IF(ODL28&gt;=1,(ODJ28/ODH28),0)</f>
        <v>0</v>
      </c>
      <c r="ODL28" s="292">
        <f t="shared" ref="ODL28" ca="1" si="1674">ODI28-$G$5</f>
        <v>-591</v>
      </c>
      <c r="ODM28" s="259" t="s">
        <v>55</v>
      </c>
      <c r="ODN28" s="256" t="s">
        <v>76</v>
      </c>
      <c r="ODO28" s="256" t="s">
        <v>77</v>
      </c>
      <c r="ODP28" s="256" t="s">
        <v>78</v>
      </c>
      <c r="ODQ28" s="256" t="s">
        <v>79</v>
      </c>
      <c r="ODR28" s="256" t="s">
        <v>80</v>
      </c>
      <c r="ODS28" s="256" t="s">
        <v>81</v>
      </c>
      <c r="ODT28" s="331"/>
      <c r="ODU28" s="290">
        <v>45492</v>
      </c>
      <c r="ODV28" s="339" t="s">
        <v>141</v>
      </c>
      <c r="ODW28" s="305"/>
      <c r="ODX28" s="305">
        <v>1</v>
      </c>
      <c r="ODY28" s="304">
        <f t="shared" ref="ODY28" si="1675">EDATE(ODU28,ODX28)</f>
        <v>45523</v>
      </c>
      <c r="ODZ28" s="340">
        <v>0</v>
      </c>
      <c r="OEA28" s="320">
        <f t="shared" ref="OEA28" ca="1" si="1676">IF(OEB28&gt;=1,(ODZ28/ODX28),0)</f>
        <v>0</v>
      </c>
      <c r="OEB28" s="292">
        <f t="shared" ref="OEB28" ca="1" si="1677">ODY28-$G$5</f>
        <v>-591</v>
      </c>
      <c r="OEC28" s="259" t="s">
        <v>55</v>
      </c>
      <c r="OED28" s="256" t="s">
        <v>76</v>
      </c>
      <c r="OEE28" s="256" t="s">
        <v>77</v>
      </c>
      <c r="OEF28" s="256" t="s">
        <v>78</v>
      </c>
      <c r="OEG28" s="256" t="s">
        <v>79</v>
      </c>
      <c r="OEH28" s="256" t="s">
        <v>80</v>
      </c>
      <c r="OEI28" s="256" t="s">
        <v>81</v>
      </c>
      <c r="OEJ28" s="331"/>
      <c r="OEK28" s="290">
        <v>45492</v>
      </c>
      <c r="OEL28" s="339" t="s">
        <v>141</v>
      </c>
      <c r="OEM28" s="305"/>
      <c r="OEN28" s="305">
        <v>1</v>
      </c>
      <c r="OEO28" s="304">
        <f t="shared" ref="OEO28" si="1678">EDATE(OEK28,OEN28)</f>
        <v>45523</v>
      </c>
      <c r="OEP28" s="340">
        <v>0</v>
      </c>
      <c r="OEQ28" s="320">
        <f t="shared" ref="OEQ28" ca="1" si="1679">IF(OER28&gt;=1,(OEP28/OEN28),0)</f>
        <v>0</v>
      </c>
      <c r="OER28" s="292">
        <f t="shared" ref="OER28" ca="1" si="1680">OEO28-$G$5</f>
        <v>-591</v>
      </c>
      <c r="OES28" s="259" t="s">
        <v>55</v>
      </c>
      <c r="OET28" s="256" t="s">
        <v>76</v>
      </c>
      <c r="OEU28" s="256" t="s">
        <v>77</v>
      </c>
      <c r="OEV28" s="256" t="s">
        <v>78</v>
      </c>
      <c r="OEW28" s="256" t="s">
        <v>79</v>
      </c>
      <c r="OEX28" s="256" t="s">
        <v>80</v>
      </c>
      <c r="OEY28" s="256" t="s">
        <v>81</v>
      </c>
      <c r="OEZ28" s="331"/>
      <c r="OFA28" s="290">
        <v>45492</v>
      </c>
      <c r="OFB28" s="339" t="s">
        <v>141</v>
      </c>
      <c r="OFC28" s="305"/>
      <c r="OFD28" s="305">
        <v>1</v>
      </c>
      <c r="OFE28" s="304">
        <f t="shared" ref="OFE28" si="1681">EDATE(OFA28,OFD28)</f>
        <v>45523</v>
      </c>
      <c r="OFF28" s="340">
        <v>0</v>
      </c>
      <c r="OFG28" s="320">
        <f t="shared" ref="OFG28" ca="1" si="1682">IF(OFH28&gt;=1,(OFF28/OFD28),0)</f>
        <v>0</v>
      </c>
      <c r="OFH28" s="292">
        <f t="shared" ref="OFH28" ca="1" si="1683">OFE28-$G$5</f>
        <v>-591</v>
      </c>
      <c r="OFI28" s="259" t="s">
        <v>55</v>
      </c>
      <c r="OFJ28" s="256" t="s">
        <v>76</v>
      </c>
      <c r="OFK28" s="256" t="s">
        <v>77</v>
      </c>
      <c r="OFL28" s="256" t="s">
        <v>78</v>
      </c>
      <c r="OFM28" s="256" t="s">
        <v>79</v>
      </c>
      <c r="OFN28" s="256" t="s">
        <v>80</v>
      </c>
      <c r="OFO28" s="256" t="s">
        <v>81</v>
      </c>
      <c r="OFP28" s="331"/>
      <c r="OFQ28" s="290">
        <v>45492</v>
      </c>
      <c r="OFR28" s="339" t="s">
        <v>141</v>
      </c>
      <c r="OFS28" s="305"/>
      <c r="OFT28" s="305">
        <v>1</v>
      </c>
      <c r="OFU28" s="304">
        <f t="shared" ref="OFU28" si="1684">EDATE(OFQ28,OFT28)</f>
        <v>45523</v>
      </c>
      <c r="OFV28" s="340">
        <v>0</v>
      </c>
      <c r="OFW28" s="320">
        <f t="shared" ref="OFW28" ca="1" si="1685">IF(OFX28&gt;=1,(OFV28/OFT28),0)</f>
        <v>0</v>
      </c>
      <c r="OFX28" s="292">
        <f t="shared" ref="OFX28" ca="1" si="1686">OFU28-$G$5</f>
        <v>-591</v>
      </c>
      <c r="OFY28" s="259" t="s">
        <v>55</v>
      </c>
      <c r="OFZ28" s="256" t="s">
        <v>76</v>
      </c>
      <c r="OGA28" s="256" t="s">
        <v>77</v>
      </c>
      <c r="OGB28" s="256" t="s">
        <v>78</v>
      </c>
      <c r="OGC28" s="256" t="s">
        <v>79</v>
      </c>
      <c r="OGD28" s="256" t="s">
        <v>80</v>
      </c>
      <c r="OGE28" s="256" t="s">
        <v>81</v>
      </c>
      <c r="OGF28" s="331"/>
      <c r="OGG28" s="290">
        <v>45492</v>
      </c>
      <c r="OGH28" s="339" t="s">
        <v>141</v>
      </c>
      <c r="OGI28" s="305"/>
      <c r="OGJ28" s="305">
        <v>1</v>
      </c>
      <c r="OGK28" s="304">
        <f t="shared" ref="OGK28" si="1687">EDATE(OGG28,OGJ28)</f>
        <v>45523</v>
      </c>
      <c r="OGL28" s="340">
        <v>0</v>
      </c>
      <c r="OGM28" s="320">
        <f t="shared" ref="OGM28" ca="1" si="1688">IF(OGN28&gt;=1,(OGL28/OGJ28),0)</f>
        <v>0</v>
      </c>
      <c r="OGN28" s="292">
        <f t="shared" ref="OGN28" ca="1" si="1689">OGK28-$G$5</f>
        <v>-591</v>
      </c>
      <c r="OGO28" s="259" t="s">
        <v>55</v>
      </c>
      <c r="OGP28" s="256" t="s">
        <v>76</v>
      </c>
      <c r="OGQ28" s="256" t="s">
        <v>77</v>
      </c>
      <c r="OGR28" s="256" t="s">
        <v>78</v>
      </c>
      <c r="OGS28" s="256" t="s">
        <v>79</v>
      </c>
      <c r="OGT28" s="256" t="s">
        <v>80</v>
      </c>
      <c r="OGU28" s="256" t="s">
        <v>81</v>
      </c>
      <c r="OGV28" s="331"/>
      <c r="OGW28" s="290">
        <v>45492</v>
      </c>
      <c r="OGX28" s="339" t="s">
        <v>141</v>
      </c>
      <c r="OGY28" s="305"/>
      <c r="OGZ28" s="305">
        <v>1</v>
      </c>
      <c r="OHA28" s="304">
        <f t="shared" ref="OHA28" si="1690">EDATE(OGW28,OGZ28)</f>
        <v>45523</v>
      </c>
      <c r="OHB28" s="340">
        <v>0</v>
      </c>
      <c r="OHC28" s="320">
        <f t="shared" ref="OHC28" ca="1" si="1691">IF(OHD28&gt;=1,(OHB28/OGZ28),0)</f>
        <v>0</v>
      </c>
      <c r="OHD28" s="292">
        <f t="shared" ref="OHD28" ca="1" si="1692">OHA28-$G$5</f>
        <v>-591</v>
      </c>
      <c r="OHE28" s="259" t="s">
        <v>55</v>
      </c>
      <c r="OHF28" s="256" t="s">
        <v>76</v>
      </c>
      <c r="OHG28" s="256" t="s">
        <v>77</v>
      </c>
      <c r="OHH28" s="256" t="s">
        <v>78</v>
      </c>
      <c r="OHI28" s="256" t="s">
        <v>79</v>
      </c>
      <c r="OHJ28" s="256" t="s">
        <v>80</v>
      </c>
      <c r="OHK28" s="256" t="s">
        <v>81</v>
      </c>
      <c r="OHL28" s="331"/>
      <c r="OHM28" s="290">
        <v>45492</v>
      </c>
      <c r="OHN28" s="339" t="s">
        <v>141</v>
      </c>
      <c r="OHO28" s="305"/>
      <c r="OHP28" s="305">
        <v>1</v>
      </c>
      <c r="OHQ28" s="304">
        <f t="shared" ref="OHQ28" si="1693">EDATE(OHM28,OHP28)</f>
        <v>45523</v>
      </c>
      <c r="OHR28" s="340">
        <v>0</v>
      </c>
      <c r="OHS28" s="320">
        <f t="shared" ref="OHS28" ca="1" si="1694">IF(OHT28&gt;=1,(OHR28/OHP28),0)</f>
        <v>0</v>
      </c>
      <c r="OHT28" s="292">
        <f t="shared" ref="OHT28" ca="1" si="1695">OHQ28-$G$5</f>
        <v>-591</v>
      </c>
      <c r="OHU28" s="259" t="s">
        <v>55</v>
      </c>
      <c r="OHV28" s="256" t="s">
        <v>76</v>
      </c>
      <c r="OHW28" s="256" t="s">
        <v>77</v>
      </c>
      <c r="OHX28" s="256" t="s">
        <v>78</v>
      </c>
      <c r="OHY28" s="256" t="s">
        <v>79</v>
      </c>
      <c r="OHZ28" s="256" t="s">
        <v>80</v>
      </c>
      <c r="OIA28" s="256" t="s">
        <v>81</v>
      </c>
      <c r="OIB28" s="331"/>
      <c r="OIC28" s="290">
        <v>45492</v>
      </c>
      <c r="OID28" s="339" t="s">
        <v>141</v>
      </c>
      <c r="OIE28" s="305"/>
      <c r="OIF28" s="305">
        <v>1</v>
      </c>
      <c r="OIG28" s="304">
        <f t="shared" ref="OIG28" si="1696">EDATE(OIC28,OIF28)</f>
        <v>45523</v>
      </c>
      <c r="OIH28" s="340">
        <v>0</v>
      </c>
      <c r="OII28" s="320">
        <f t="shared" ref="OII28" ca="1" si="1697">IF(OIJ28&gt;=1,(OIH28/OIF28),0)</f>
        <v>0</v>
      </c>
      <c r="OIJ28" s="292">
        <f t="shared" ref="OIJ28" ca="1" si="1698">OIG28-$G$5</f>
        <v>-591</v>
      </c>
      <c r="OIK28" s="259" t="s">
        <v>55</v>
      </c>
      <c r="OIL28" s="256" t="s">
        <v>76</v>
      </c>
      <c r="OIM28" s="256" t="s">
        <v>77</v>
      </c>
      <c r="OIN28" s="256" t="s">
        <v>78</v>
      </c>
      <c r="OIO28" s="256" t="s">
        <v>79</v>
      </c>
      <c r="OIP28" s="256" t="s">
        <v>80</v>
      </c>
      <c r="OIQ28" s="256" t="s">
        <v>81</v>
      </c>
      <c r="OIR28" s="331"/>
      <c r="OIS28" s="290">
        <v>45492</v>
      </c>
      <c r="OIT28" s="339" t="s">
        <v>141</v>
      </c>
      <c r="OIU28" s="305"/>
      <c r="OIV28" s="305">
        <v>1</v>
      </c>
      <c r="OIW28" s="304">
        <f t="shared" ref="OIW28" si="1699">EDATE(OIS28,OIV28)</f>
        <v>45523</v>
      </c>
      <c r="OIX28" s="340">
        <v>0</v>
      </c>
      <c r="OIY28" s="320">
        <f t="shared" ref="OIY28" ca="1" si="1700">IF(OIZ28&gt;=1,(OIX28/OIV28),0)</f>
        <v>0</v>
      </c>
      <c r="OIZ28" s="292">
        <f t="shared" ref="OIZ28" ca="1" si="1701">OIW28-$G$5</f>
        <v>-591</v>
      </c>
      <c r="OJA28" s="259" t="s">
        <v>55</v>
      </c>
      <c r="OJB28" s="256" t="s">
        <v>76</v>
      </c>
      <c r="OJC28" s="256" t="s">
        <v>77</v>
      </c>
      <c r="OJD28" s="256" t="s">
        <v>78</v>
      </c>
      <c r="OJE28" s="256" t="s">
        <v>79</v>
      </c>
      <c r="OJF28" s="256" t="s">
        <v>80</v>
      </c>
      <c r="OJG28" s="256" t="s">
        <v>81</v>
      </c>
      <c r="OJH28" s="331"/>
      <c r="OJI28" s="290">
        <v>45492</v>
      </c>
      <c r="OJJ28" s="339" t="s">
        <v>141</v>
      </c>
      <c r="OJK28" s="305"/>
      <c r="OJL28" s="305">
        <v>1</v>
      </c>
      <c r="OJM28" s="304">
        <f t="shared" ref="OJM28" si="1702">EDATE(OJI28,OJL28)</f>
        <v>45523</v>
      </c>
      <c r="OJN28" s="340">
        <v>0</v>
      </c>
      <c r="OJO28" s="320">
        <f t="shared" ref="OJO28" ca="1" si="1703">IF(OJP28&gt;=1,(OJN28/OJL28),0)</f>
        <v>0</v>
      </c>
      <c r="OJP28" s="292">
        <f t="shared" ref="OJP28" ca="1" si="1704">OJM28-$G$5</f>
        <v>-591</v>
      </c>
      <c r="OJQ28" s="259" t="s">
        <v>55</v>
      </c>
      <c r="OJR28" s="256" t="s">
        <v>76</v>
      </c>
      <c r="OJS28" s="256" t="s">
        <v>77</v>
      </c>
      <c r="OJT28" s="256" t="s">
        <v>78</v>
      </c>
      <c r="OJU28" s="256" t="s">
        <v>79</v>
      </c>
      <c r="OJV28" s="256" t="s">
        <v>80</v>
      </c>
      <c r="OJW28" s="256" t="s">
        <v>81</v>
      </c>
      <c r="OJX28" s="331"/>
      <c r="OJY28" s="290">
        <v>45492</v>
      </c>
      <c r="OJZ28" s="339" t="s">
        <v>141</v>
      </c>
      <c r="OKA28" s="305"/>
      <c r="OKB28" s="305">
        <v>1</v>
      </c>
      <c r="OKC28" s="304">
        <f t="shared" ref="OKC28" si="1705">EDATE(OJY28,OKB28)</f>
        <v>45523</v>
      </c>
      <c r="OKD28" s="340">
        <v>0</v>
      </c>
      <c r="OKE28" s="320">
        <f t="shared" ref="OKE28" ca="1" si="1706">IF(OKF28&gt;=1,(OKD28/OKB28),0)</f>
        <v>0</v>
      </c>
      <c r="OKF28" s="292">
        <f t="shared" ref="OKF28" ca="1" si="1707">OKC28-$G$5</f>
        <v>-591</v>
      </c>
      <c r="OKG28" s="259" t="s">
        <v>55</v>
      </c>
      <c r="OKH28" s="256" t="s">
        <v>76</v>
      </c>
      <c r="OKI28" s="256" t="s">
        <v>77</v>
      </c>
      <c r="OKJ28" s="256" t="s">
        <v>78</v>
      </c>
      <c r="OKK28" s="256" t="s">
        <v>79</v>
      </c>
      <c r="OKL28" s="256" t="s">
        <v>80</v>
      </c>
      <c r="OKM28" s="256" t="s">
        <v>81</v>
      </c>
      <c r="OKN28" s="331"/>
      <c r="OKO28" s="290">
        <v>45492</v>
      </c>
      <c r="OKP28" s="339" t="s">
        <v>141</v>
      </c>
      <c r="OKQ28" s="305"/>
      <c r="OKR28" s="305">
        <v>1</v>
      </c>
      <c r="OKS28" s="304">
        <f t="shared" ref="OKS28" si="1708">EDATE(OKO28,OKR28)</f>
        <v>45523</v>
      </c>
      <c r="OKT28" s="340">
        <v>0</v>
      </c>
      <c r="OKU28" s="320">
        <f t="shared" ref="OKU28" ca="1" si="1709">IF(OKV28&gt;=1,(OKT28/OKR28),0)</f>
        <v>0</v>
      </c>
      <c r="OKV28" s="292">
        <f t="shared" ref="OKV28" ca="1" si="1710">OKS28-$G$5</f>
        <v>-591</v>
      </c>
      <c r="OKW28" s="259" t="s">
        <v>55</v>
      </c>
      <c r="OKX28" s="256" t="s">
        <v>76</v>
      </c>
      <c r="OKY28" s="256" t="s">
        <v>77</v>
      </c>
      <c r="OKZ28" s="256" t="s">
        <v>78</v>
      </c>
      <c r="OLA28" s="256" t="s">
        <v>79</v>
      </c>
      <c r="OLB28" s="256" t="s">
        <v>80</v>
      </c>
      <c r="OLC28" s="256" t="s">
        <v>81</v>
      </c>
      <c r="OLD28" s="331"/>
      <c r="OLE28" s="290">
        <v>45492</v>
      </c>
      <c r="OLF28" s="339" t="s">
        <v>141</v>
      </c>
      <c r="OLG28" s="305"/>
      <c r="OLH28" s="305">
        <v>1</v>
      </c>
      <c r="OLI28" s="304">
        <f t="shared" ref="OLI28" si="1711">EDATE(OLE28,OLH28)</f>
        <v>45523</v>
      </c>
      <c r="OLJ28" s="340">
        <v>0</v>
      </c>
      <c r="OLK28" s="320">
        <f t="shared" ref="OLK28" ca="1" si="1712">IF(OLL28&gt;=1,(OLJ28/OLH28),0)</f>
        <v>0</v>
      </c>
      <c r="OLL28" s="292">
        <f t="shared" ref="OLL28" ca="1" si="1713">OLI28-$G$5</f>
        <v>-591</v>
      </c>
      <c r="OLM28" s="259" t="s">
        <v>55</v>
      </c>
      <c r="OLN28" s="256" t="s">
        <v>76</v>
      </c>
      <c r="OLO28" s="256" t="s">
        <v>77</v>
      </c>
      <c r="OLP28" s="256" t="s">
        <v>78</v>
      </c>
      <c r="OLQ28" s="256" t="s">
        <v>79</v>
      </c>
      <c r="OLR28" s="256" t="s">
        <v>80</v>
      </c>
      <c r="OLS28" s="256" t="s">
        <v>81</v>
      </c>
      <c r="OLT28" s="331"/>
      <c r="OLU28" s="290">
        <v>45492</v>
      </c>
      <c r="OLV28" s="339" t="s">
        <v>141</v>
      </c>
      <c r="OLW28" s="305"/>
      <c r="OLX28" s="305">
        <v>1</v>
      </c>
      <c r="OLY28" s="304">
        <f t="shared" ref="OLY28" si="1714">EDATE(OLU28,OLX28)</f>
        <v>45523</v>
      </c>
      <c r="OLZ28" s="340">
        <v>0</v>
      </c>
      <c r="OMA28" s="320">
        <f t="shared" ref="OMA28" ca="1" si="1715">IF(OMB28&gt;=1,(OLZ28/OLX28),0)</f>
        <v>0</v>
      </c>
      <c r="OMB28" s="292">
        <f t="shared" ref="OMB28" ca="1" si="1716">OLY28-$G$5</f>
        <v>-591</v>
      </c>
      <c r="OMC28" s="259" t="s">
        <v>55</v>
      </c>
      <c r="OMD28" s="256" t="s">
        <v>76</v>
      </c>
      <c r="OME28" s="256" t="s">
        <v>77</v>
      </c>
      <c r="OMF28" s="256" t="s">
        <v>78</v>
      </c>
      <c r="OMG28" s="256" t="s">
        <v>79</v>
      </c>
      <c r="OMH28" s="256" t="s">
        <v>80</v>
      </c>
      <c r="OMI28" s="256" t="s">
        <v>81</v>
      </c>
      <c r="OMJ28" s="331"/>
      <c r="OMK28" s="290">
        <v>45492</v>
      </c>
      <c r="OML28" s="339" t="s">
        <v>141</v>
      </c>
      <c r="OMM28" s="305"/>
      <c r="OMN28" s="305">
        <v>1</v>
      </c>
      <c r="OMO28" s="304">
        <f t="shared" ref="OMO28" si="1717">EDATE(OMK28,OMN28)</f>
        <v>45523</v>
      </c>
      <c r="OMP28" s="340">
        <v>0</v>
      </c>
      <c r="OMQ28" s="320">
        <f t="shared" ref="OMQ28" ca="1" si="1718">IF(OMR28&gt;=1,(OMP28/OMN28),0)</f>
        <v>0</v>
      </c>
      <c r="OMR28" s="292">
        <f t="shared" ref="OMR28" ca="1" si="1719">OMO28-$G$5</f>
        <v>-591</v>
      </c>
      <c r="OMS28" s="259" t="s">
        <v>55</v>
      </c>
      <c r="OMT28" s="256" t="s">
        <v>76</v>
      </c>
      <c r="OMU28" s="256" t="s">
        <v>77</v>
      </c>
      <c r="OMV28" s="256" t="s">
        <v>78</v>
      </c>
      <c r="OMW28" s="256" t="s">
        <v>79</v>
      </c>
      <c r="OMX28" s="256" t="s">
        <v>80</v>
      </c>
      <c r="OMY28" s="256" t="s">
        <v>81</v>
      </c>
      <c r="OMZ28" s="331"/>
      <c r="ONA28" s="290">
        <v>45492</v>
      </c>
      <c r="ONB28" s="339" t="s">
        <v>141</v>
      </c>
      <c r="ONC28" s="305"/>
      <c r="OND28" s="305">
        <v>1</v>
      </c>
      <c r="ONE28" s="304">
        <f t="shared" ref="ONE28" si="1720">EDATE(ONA28,OND28)</f>
        <v>45523</v>
      </c>
      <c r="ONF28" s="340">
        <v>0</v>
      </c>
      <c r="ONG28" s="320">
        <f t="shared" ref="ONG28" ca="1" si="1721">IF(ONH28&gt;=1,(ONF28/OND28),0)</f>
        <v>0</v>
      </c>
      <c r="ONH28" s="292">
        <f t="shared" ref="ONH28" ca="1" si="1722">ONE28-$G$5</f>
        <v>-591</v>
      </c>
      <c r="ONI28" s="259" t="s">
        <v>55</v>
      </c>
      <c r="ONJ28" s="256" t="s">
        <v>76</v>
      </c>
      <c r="ONK28" s="256" t="s">
        <v>77</v>
      </c>
      <c r="ONL28" s="256" t="s">
        <v>78</v>
      </c>
      <c r="ONM28" s="256" t="s">
        <v>79</v>
      </c>
      <c r="ONN28" s="256" t="s">
        <v>80</v>
      </c>
      <c r="ONO28" s="256" t="s">
        <v>81</v>
      </c>
      <c r="ONP28" s="331"/>
      <c r="ONQ28" s="290">
        <v>45492</v>
      </c>
      <c r="ONR28" s="339" t="s">
        <v>141</v>
      </c>
      <c r="ONS28" s="305"/>
      <c r="ONT28" s="305">
        <v>1</v>
      </c>
      <c r="ONU28" s="304">
        <f t="shared" ref="ONU28" si="1723">EDATE(ONQ28,ONT28)</f>
        <v>45523</v>
      </c>
      <c r="ONV28" s="340">
        <v>0</v>
      </c>
      <c r="ONW28" s="320">
        <f t="shared" ref="ONW28" ca="1" si="1724">IF(ONX28&gt;=1,(ONV28/ONT28),0)</f>
        <v>0</v>
      </c>
      <c r="ONX28" s="292">
        <f t="shared" ref="ONX28" ca="1" si="1725">ONU28-$G$5</f>
        <v>-591</v>
      </c>
      <c r="ONY28" s="259" t="s">
        <v>55</v>
      </c>
      <c r="ONZ28" s="256" t="s">
        <v>76</v>
      </c>
      <c r="OOA28" s="256" t="s">
        <v>77</v>
      </c>
      <c r="OOB28" s="256" t="s">
        <v>78</v>
      </c>
      <c r="OOC28" s="256" t="s">
        <v>79</v>
      </c>
      <c r="OOD28" s="256" t="s">
        <v>80</v>
      </c>
      <c r="OOE28" s="256" t="s">
        <v>81</v>
      </c>
      <c r="OOF28" s="331"/>
      <c r="OOG28" s="290">
        <v>45492</v>
      </c>
      <c r="OOH28" s="339" t="s">
        <v>141</v>
      </c>
      <c r="OOI28" s="305"/>
      <c r="OOJ28" s="305">
        <v>1</v>
      </c>
      <c r="OOK28" s="304">
        <f t="shared" ref="OOK28" si="1726">EDATE(OOG28,OOJ28)</f>
        <v>45523</v>
      </c>
      <c r="OOL28" s="340">
        <v>0</v>
      </c>
      <c r="OOM28" s="320">
        <f t="shared" ref="OOM28" ca="1" si="1727">IF(OON28&gt;=1,(OOL28/OOJ28),0)</f>
        <v>0</v>
      </c>
      <c r="OON28" s="292">
        <f t="shared" ref="OON28" ca="1" si="1728">OOK28-$G$5</f>
        <v>-591</v>
      </c>
      <c r="OOO28" s="259" t="s">
        <v>55</v>
      </c>
      <c r="OOP28" s="256" t="s">
        <v>76</v>
      </c>
      <c r="OOQ28" s="256" t="s">
        <v>77</v>
      </c>
      <c r="OOR28" s="256" t="s">
        <v>78</v>
      </c>
      <c r="OOS28" s="256" t="s">
        <v>79</v>
      </c>
      <c r="OOT28" s="256" t="s">
        <v>80</v>
      </c>
      <c r="OOU28" s="256" t="s">
        <v>81</v>
      </c>
      <c r="OOV28" s="331"/>
      <c r="OOW28" s="290">
        <v>45492</v>
      </c>
      <c r="OOX28" s="339" t="s">
        <v>141</v>
      </c>
      <c r="OOY28" s="305"/>
      <c r="OOZ28" s="305">
        <v>1</v>
      </c>
      <c r="OPA28" s="304">
        <f t="shared" ref="OPA28" si="1729">EDATE(OOW28,OOZ28)</f>
        <v>45523</v>
      </c>
      <c r="OPB28" s="340">
        <v>0</v>
      </c>
      <c r="OPC28" s="320">
        <f t="shared" ref="OPC28" ca="1" si="1730">IF(OPD28&gt;=1,(OPB28/OOZ28),0)</f>
        <v>0</v>
      </c>
      <c r="OPD28" s="292">
        <f t="shared" ref="OPD28" ca="1" si="1731">OPA28-$G$5</f>
        <v>-591</v>
      </c>
      <c r="OPE28" s="259" t="s">
        <v>55</v>
      </c>
      <c r="OPF28" s="256" t="s">
        <v>76</v>
      </c>
      <c r="OPG28" s="256" t="s">
        <v>77</v>
      </c>
      <c r="OPH28" s="256" t="s">
        <v>78</v>
      </c>
      <c r="OPI28" s="256" t="s">
        <v>79</v>
      </c>
      <c r="OPJ28" s="256" t="s">
        <v>80</v>
      </c>
      <c r="OPK28" s="256" t="s">
        <v>81</v>
      </c>
      <c r="OPL28" s="331"/>
      <c r="OPM28" s="290">
        <v>45492</v>
      </c>
      <c r="OPN28" s="339" t="s">
        <v>141</v>
      </c>
      <c r="OPO28" s="305"/>
      <c r="OPP28" s="305">
        <v>1</v>
      </c>
      <c r="OPQ28" s="304">
        <f t="shared" ref="OPQ28" si="1732">EDATE(OPM28,OPP28)</f>
        <v>45523</v>
      </c>
      <c r="OPR28" s="340">
        <v>0</v>
      </c>
      <c r="OPS28" s="320">
        <f t="shared" ref="OPS28" ca="1" si="1733">IF(OPT28&gt;=1,(OPR28/OPP28),0)</f>
        <v>0</v>
      </c>
      <c r="OPT28" s="292">
        <f t="shared" ref="OPT28" ca="1" si="1734">OPQ28-$G$5</f>
        <v>-591</v>
      </c>
      <c r="OPU28" s="259" t="s">
        <v>55</v>
      </c>
      <c r="OPV28" s="256" t="s">
        <v>76</v>
      </c>
      <c r="OPW28" s="256" t="s">
        <v>77</v>
      </c>
      <c r="OPX28" s="256" t="s">
        <v>78</v>
      </c>
      <c r="OPY28" s="256" t="s">
        <v>79</v>
      </c>
      <c r="OPZ28" s="256" t="s">
        <v>80</v>
      </c>
      <c r="OQA28" s="256" t="s">
        <v>81</v>
      </c>
      <c r="OQB28" s="331"/>
      <c r="OQC28" s="290">
        <v>45492</v>
      </c>
      <c r="OQD28" s="339" t="s">
        <v>141</v>
      </c>
      <c r="OQE28" s="305"/>
      <c r="OQF28" s="305">
        <v>1</v>
      </c>
      <c r="OQG28" s="304">
        <f t="shared" ref="OQG28" si="1735">EDATE(OQC28,OQF28)</f>
        <v>45523</v>
      </c>
      <c r="OQH28" s="340">
        <v>0</v>
      </c>
      <c r="OQI28" s="320">
        <f t="shared" ref="OQI28" ca="1" si="1736">IF(OQJ28&gt;=1,(OQH28/OQF28),0)</f>
        <v>0</v>
      </c>
      <c r="OQJ28" s="292">
        <f t="shared" ref="OQJ28" ca="1" si="1737">OQG28-$G$5</f>
        <v>-591</v>
      </c>
      <c r="OQK28" s="259" t="s">
        <v>55</v>
      </c>
      <c r="OQL28" s="256" t="s">
        <v>76</v>
      </c>
      <c r="OQM28" s="256" t="s">
        <v>77</v>
      </c>
      <c r="OQN28" s="256" t="s">
        <v>78</v>
      </c>
      <c r="OQO28" s="256" t="s">
        <v>79</v>
      </c>
      <c r="OQP28" s="256" t="s">
        <v>80</v>
      </c>
      <c r="OQQ28" s="256" t="s">
        <v>81</v>
      </c>
      <c r="OQR28" s="331"/>
      <c r="OQS28" s="290">
        <v>45492</v>
      </c>
      <c r="OQT28" s="339" t="s">
        <v>141</v>
      </c>
      <c r="OQU28" s="305"/>
      <c r="OQV28" s="305">
        <v>1</v>
      </c>
      <c r="OQW28" s="304">
        <f t="shared" ref="OQW28" si="1738">EDATE(OQS28,OQV28)</f>
        <v>45523</v>
      </c>
      <c r="OQX28" s="340">
        <v>0</v>
      </c>
      <c r="OQY28" s="320">
        <f t="shared" ref="OQY28" ca="1" si="1739">IF(OQZ28&gt;=1,(OQX28/OQV28),0)</f>
        <v>0</v>
      </c>
      <c r="OQZ28" s="292">
        <f t="shared" ref="OQZ28" ca="1" si="1740">OQW28-$G$5</f>
        <v>-591</v>
      </c>
      <c r="ORA28" s="259" t="s">
        <v>55</v>
      </c>
      <c r="ORB28" s="256" t="s">
        <v>76</v>
      </c>
      <c r="ORC28" s="256" t="s">
        <v>77</v>
      </c>
      <c r="ORD28" s="256" t="s">
        <v>78</v>
      </c>
      <c r="ORE28" s="256" t="s">
        <v>79</v>
      </c>
      <c r="ORF28" s="256" t="s">
        <v>80</v>
      </c>
      <c r="ORG28" s="256" t="s">
        <v>81</v>
      </c>
      <c r="ORH28" s="331"/>
      <c r="ORI28" s="290">
        <v>45492</v>
      </c>
      <c r="ORJ28" s="339" t="s">
        <v>141</v>
      </c>
      <c r="ORK28" s="305"/>
      <c r="ORL28" s="305">
        <v>1</v>
      </c>
      <c r="ORM28" s="304">
        <f t="shared" ref="ORM28" si="1741">EDATE(ORI28,ORL28)</f>
        <v>45523</v>
      </c>
      <c r="ORN28" s="340">
        <v>0</v>
      </c>
      <c r="ORO28" s="320">
        <f t="shared" ref="ORO28" ca="1" si="1742">IF(ORP28&gt;=1,(ORN28/ORL28),0)</f>
        <v>0</v>
      </c>
      <c r="ORP28" s="292">
        <f t="shared" ref="ORP28" ca="1" si="1743">ORM28-$G$5</f>
        <v>-591</v>
      </c>
      <c r="ORQ28" s="259" t="s">
        <v>55</v>
      </c>
      <c r="ORR28" s="256" t="s">
        <v>76</v>
      </c>
      <c r="ORS28" s="256" t="s">
        <v>77</v>
      </c>
      <c r="ORT28" s="256" t="s">
        <v>78</v>
      </c>
      <c r="ORU28" s="256" t="s">
        <v>79</v>
      </c>
      <c r="ORV28" s="256" t="s">
        <v>80</v>
      </c>
      <c r="ORW28" s="256" t="s">
        <v>81</v>
      </c>
      <c r="ORX28" s="331"/>
      <c r="ORY28" s="290">
        <v>45492</v>
      </c>
      <c r="ORZ28" s="339" t="s">
        <v>141</v>
      </c>
      <c r="OSA28" s="305"/>
      <c r="OSB28" s="305">
        <v>1</v>
      </c>
      <c r="OSC28" s="304">
        <f t="shared" ref="OSC28" si="1744">EDATE(ORY28,OSB28)</f>
        <v>45523</v>
      </c>
      <c r="OSD28" s="340">
        <v>0</v>
      </c>
      <c r="OSE28" s="320">
        <f t="shared" ref="OSE28" ca="1" si="1745">IF(OSF28&gt;=1,(OSD28/OSB28),0)</f>
        <v>0</v>
      </c>
      <c r="OSF28" s="292">
        <f t="shared" ref="OSF28" ca="1" si="1746">OSC28-$G$5</f>
        <v>-591</v>
      </c>
      <c r="OSG28" s="259" t="s">
        <v>55</v>
      </c>
      <c r="OSH28" s="256" t="s">
        <v>76</v>
      </c>
      <c r="OSI28" s="256" t="s">
        <v>77</v>
      </c>
      <c r="OSJ28" s="256" t="s">
        <v>78</v>
      </c>
      <c r="OSK28" s="256" t="s">
        <v>79</v>
      </c>
      <c r="OSL28" s="256" t="s">
        <v>80</v>
      </c>
      <c r="OSM28" s="256" t="s">
        <v>81</v>
      </c>
      <c r="OSN28" s="331"/>
      <c r="OSO28" s="290">
        <v>45492</v>
      </c>
      <c r="OSP28" s="339" t="s">
        <v>141</v>
      </c>
      <c r="OSQ28" s="305"/>
      <c r="OSR28" s="305">
        <v>1</v>
      </c>
      <c r="OSS28" s="304">
        <f t="shared" ref="OSS28" si="1747">EDATE(OSO28,OSR28)</f>
        <v>45523</v>
      </c>
      <c r="OST28" s="340">
        <v>0</v>
      </c>
      <c r="OSU28" s="320">
        <f t="shared" ref="OSU28" ca="1" si="1748">IF(OSV28&gt;=1,(OST28/OSR28),0)</f>
        <v>0</v>
      </c>
      <c r="OSV28" s="292">
        <f t="shared" ref="OSV28" ca="1" si="1749">OSS28-$G$5</f>
        <v>-591</v>
      </c>
      <c r="OSW28" s="259" t="s">
        <v>55</v>
      </c>
      <c r="OSX28" s="256" t="s">
        <v>76</v>
      </c>
      <c r="OSY28" s="256" t="s">
        <v>77</v>
      </c>
      <c r="OSZ28" s="256" t="s">
        <v>78</v>
      </c>
      <c r="OTA28" s="256" t="s">
        <v>79</v>
      </c>
      <c r="OTB28" s="256" t="s">
        <v>80</v>
      </c>
      <c r="OTC28" s="256" t="s">
        <v>81</v>
      </c>
      <c r="OTD28" s="331"/>
      <c r="OTE28" s="290">
        <v>45492</v>
      </c>
      <c r="OTF28" s="339" t="s">
        <v>141</v>
      </c>
      <c r="OTG28" s="305"/>
      <c r="OTH28" s="305">
        <v>1</v>
      </c>
      <c r="OTI28" s="304">
        <f t="shared" ref="OTI28" si="1750">EDATE(OTE28,OTH28)</f>
        <v>45523</v>
      </c>
      <c r="OTJ28" s="340">
        <v>0</v>
      </c>
      <c r="OTK28" s="320">
        <f t="shared" ref="OTK28" ca="1" si="1751">IF(OTL28&gt;=1,(OTJ28/OTH28),0)</f>
        <v>0</v>
      </c>
      <c r="OTL28" s="292">
        <f t="shared" ref="OTL28" ca="1" si="1752">OTI28-$G$5</f>
        <v>-591</v>
      </c>
      <c r="OTM28" s="259" t="s">
        <v>55</v>
      </c>
      <c r="OTN28" s="256" t="s">
        <v>76</v>
      </c>
      <c r="OTO28" s="256" t="s">
        <v>77</v>
      </c>
      <c r="OTP28" s="256" t="s">
        <v>78</v>
      </c>
      <c r="OTQ28" s="256" t="s">
        <v>79</v>
      </c>
      <c r="OTR28" s="256" t="s">
        <v>80</v>
      </c>
      <c r="OTS28" s="256" t="s">
        <v>81</v>
      </c>
      <c r="OTT28" s="331"/>
      <c r="OTU28" s="290">
        <v>45492</v>
      </c>
      <c r="OTV28" s="339" t="s">
        <v>141</v>
      </c>
      <c r="OTW28" s="305"/>
      <c r="OTX28" s="305">
        <v>1</v>
      </c>
      <c r="OTY28" s="304">
        <f t="shared" ref="OTY28" si="1753">EDATE(OTU28,OTX28)</f>
        <v>45523</v>
      </c>
      <c r="OTZ28" s="340">
        <v>0</v>
      </c>
      <c r="OUA28" s="320">
        <f t="shared" ref="OUA28" ca="1" si="1754">IF(OUB28&gt;=1,(OTZ28/OTX28),0)</f>
        <v>0</v>
      </c>
      <c r="OUB28" s="292">
        <f t="shared" ref="OUB28" ca="1" si="1755">OTY28-$G$5</f>
        <v>-591</v>
      </c>
      <c r="OUC28" s="259" t="s">
        <v>55</v>
      </c>
      <c r="OUD28" s="256" t="s">
        <v>76</v>
      </c>
      <c r="OUE28" s="256" t="s">
        <v>77</v>
      </c>
      <c r="OUF28" s="256" t="s">
        <v>78</v>
      </c>
      <c r="OUG28" s="256" t="s">
        <v>79</v>
      </c>
      <c r="OUH28" s="256" t="s">
        <v>80</v>
      </c>
      <c r="OUI28" s="256" t="s">
        <v>81</v>
      </c>
      <c r="OUJ28" s="331"/>
      <c r="OUK28" s="290">
        <v>45492</v>
      </c>
      <c r="OUL28" s="339" t="s">
        <v>141</v>
      </c>
      <c r="OUM28" s="305"/>
      <c r="OUN28" s="305">
        <v>1</v>
      </c>
      <c r="OUO28" s="304">
        <f t="shared" ref="OUO28" si="1756">EDATE(OUK28,OUN28)</f>
        <v>45523</v>
      </c>
      <c r="OUP28" s="340">
        <v>0</v>
      </c>
      <c r="OUQ28" s="320">
        <f t="shared" ref="OUQ28" ca="1" si="1757">IF(OUR28&gt;=1,(OUP28/OUN28),0)</f>
        <v>0</v>
      </c>
      <c r="OUR28" s="292">
        <f t="shared" ref="OUR28" ca="1" si="1758">OUO28-$G$5</f>
        <v>-591</v>
      </c>
      <c r="OUS28" s="259" t="s">
        <v>55</v>
      </c>
      <c r="OUT28" s="256" t="s">
        <v>76</v>
      </c>
      <c r="OUU28" s="256" t="s">
        <v>77</v>
      </c>
      <c r="OUV28" s="256" t="s">
        <v>78</v>
      </c>
      <c r="OUW28" s="256" t="s">
        <v>79</v>
      </c>
      <c r="OUX28" s="256" t="s">
        <v>80</v>
      </c>
      <c r="OUY28" s="256" t="s">
        <v>81</v>
      </c>
      <c r="OUZ28" s="331"/>
      <c r="OVA28" s="290">
        <v>45492</v>
      </c>
      <c r="OVB28" s="339" t="s">
        <v>141</v>
      </c>
      <c r="OVC28" s="305"/>
      <c r="OVD28" s="305">
        <v>1</v>
      </c>
      <c r="OVE28" s="304">
        <f t="shared" ref="OVE28" si="1759">EDATE(OVA28,OVD28)</f>
        <v>45523</v>
      </c>
      <c r="OVF28" s="340">
        <v>0</v>
      </c>
      <c r="OVG28" s="320">
        <f t="shared" ref="OVG28" ca="1" si="1760">IF(OVH28&gt;=1,(OVF28/OVD28),0)</f>
        <v>0</v>
      </c>
      <c r="OVH28" s="292">
        <f t="shared" ref="OVH28" ca="1" si="1761">OVE28-$G$5</f>
        <v>-591</v>
      </c>
      <c r="OVI28" s="259" t="s">
        <v>55</v>
      </c>
      <c r="OVJ28" s="256" t="s">
        <v>76</v>
      </c>
      <c r="OVK28" s="256" t="s">
        <v>77</v>
      </c>
      <c r="OVL28" s="256" t="s">
        <v>78</v>
      </c>
      <c r="OVM28" s="256" t="s">
        <v>79</v>
      </c>
      <c r="OVN28" s="256" t="s">
        <v>80</v>
      </c>
      <c r="OVO28" s="256" t="s">
        <v>81</v>
      </c>
      <c r="OVP28" s="331"/>
      <c r="OVQ28" s="290">
        <v>45492</v>
      </c>
      <c r="OVR28" s="339" t="s">
        <v>141</v>
      </c>
      <c r="OVS28" s="305"/>
      <c r="OVT28" s="305">
        <v>1</v>
      </c>
      <c r="OVU28" s="304">
        <f t="shared" ref="OVU28" si="1762">EDATE(OVQ28,OVT28)</f>
        <v>45523</v>
      </c>
      <c r="OVV28" s="340">
        <v>0</v>
      </c>
      <c r="OVW28" s="320">
        <f t="shared" ref="OVW28" ca="1" si="1763">IF(OVX28&gt;=1,(OVV28/OVT28),0)</f>
        <v>0</v>
      </c>
      <c r="OVX28" s="292">
        <f t="shared" ref="OVX28" ca="1" si="1764">OVU28-$G$5</f>
        <v>-591</v>
      </c>
      <c r="OVY28" s="259" t="s">
        <v>55</v>
      </c>
      <c r="OVZ28" s="256" t="s">
        <v>76</v>
      </c>
      <c r="OWA28" s="256" t="s">
        <v>77</v>
      </c>
      <c r="OWB28" s="256" t="s">
        <v>78</v>
      </c>
      <c r="OWC28" s="256" t="s">
        <v>79</v>
      </c>
      <c r="OWD28" s="256" t="s">
        <v>80</v>
      </c>
      <c r="OWE28" s="256" t="s">
        <v>81</v>
      </c>
      <c r="OWF28" s="331"/>
      <c r="OWG28" s="290">
        <v>45492</v>
      </c>
      <c r="OWH28" s="339" t="s">
        <v>141</v>
      </c>
      <c r="OWI28" s="305"/>
      <c r="OWJ28" s="305">
        <v>1</v>
      </c>
      <c r="OWK28" s="304">
        <f t="shared" ref="OWK28" si="1765">EDATE(OWG28,OWJ28)</f>
        <v>45523</v>
      </c>
      <c r="OWL28" s="340">
        <v>0</v>
      </c>
      <c r="OWM28" s="320">
        <f t="shared" ref="OWM28" ca="1" si="1766">IF(OWN28&gt;=1,(OWL28/OWJ28),0)</f>
        <v>0</v>
      </c>
      <c r="OWN28" s="292">
        <f t="shared" ref="OWN28" ca="1" si="1767">OWK28-$G$5</f>
        <v>-591</v>
      </c>
      <c r="OWO28" s="259" t="s">
        <v>55</v>
      </c>
      <c r="OWP28" s="256" t="s">
        <v>76</v>
      </c>
      <c r="OWQ28" s="256" t="s">
        <v>77</v>
      </c>
      <c r="OWR28" s="256" t="s">
        <v>78</v>
      </c>
      <c r="OWS28" s="256" t="s">
        <v>79</v>
      </c>
      <c r="OWT28" s="256" t="s">
        <v>80</v>
      </c>
      <c r="OWU28" s="256" t="s">
        <v>81</v>
      </c>
      <c r="OWV28" s="331"/>
      <c r="OWW28" s="290">
        <v>45492</v>
      </c>
      <c r="OWX28" s="339" t="s">
        <v>141</v>
      </c>
      <c r="OWY28" s="305"/>
      <c r="OWZ28" s="305">
        <v>1</v>
      </c>
      <c r="OXA28" s="304">
        <f t="shared" ref="OXA28" si="1768">EDATE(OWW28,OWZ28)</f>
        <v>45523</v>
      </c>
      <c r="OXB28" s="340">
        <v>0</v>
      </c>
      <c r="OXC28" s="320">
        <f t="shared" ref="OXC28" ca="1" si="1769">IF(OXD28&gt;=1,(OXB28/OWZ28),0)</f>
        <v>0</v>
      </c>
      <c r="OXD28" s="292">
        <f t="shared" ref="OXD28" ca="1" si="1770">OXA28-$G$5</f>
        <v>-591</v>
      </c>
      <c r="OXE28" s="259" t="s">
        <v>55</v>
      </c>
      <c r="OXF28" s="256" t="s">
        <v>76</v>
      </c>
      <c r="OXG28" s="256" t="s">
        <v>77</v>
      </c>
      <c r="OXH28" s="256" t="s">
        <v>78</v>
      </c>
      <c r="OXI28" s="256" t="s">
        <v>79</v>
      </c>
      <c r="OXJ28" s="256" t="s">
        <v>80</v>
      </c>
      <c r="OXK28" s="256" t="s">
        <v>81</v>
      </c>
      <c r="OXL28" s="331"/>
      <c r="OXM28" s="290">
        <v>45492</v>
      </c>
      <c r="OXN28" s="339" t="s">
        <v>141</v>
      </c>
      <c r="OXO28" s="305"/>
      <c r="OXP28" s="305">
        <v>1</v>
      </c>
      <c r="OXQ28" s="304">
        <f t="shared" ref="OXQ28" si="1771">EDATE(OXM28,OXP28)</f>
        <v>45523</v>
      </c>
      <c r="OXR28" s="340">
        <v>0</v>
      </c>
      <c r="OXS28" s="320">
        <f t="shared" ref="OXS28" ca="1" si="1772">IF(OXT28&gt;=1,(OXR28/OXP28),0)</f>
        <v>0</v>
      </c>
      <c r="OXT28" s="292">
        <f t="shared" ref="OXT28" ca="1" si="1773">OXQ28-$G$5</f>
        <v>-591</v>
      </c>
      <c r="OXU28" s="259" t="s">
        <v>55</v>
      </c>
      <c r="OXV28" s="256" t="s">
        <v>76</v>
      </c>
      <c r="OXW28" s="256" t="s">
        <v>77</v>
      </c>
      <c r="OXX28" s="256" t="s">
        <v>78</v>
      </c>
      <c r="OXY28" s="256" t="s">
        <v>79</v>
      </c>
      <c r="OXZ28" s="256" t="s">
        <v>80</v>
      </c>
      <c r="OYA28" s="256" t="s">
        <v>81</v>
      </c>
      <c r="OYB28" s="331"/>
      <c r="OYC28" s="290">
        <v>45492</v>
      </c>
      <c r="OYD28" s="339" t="s">
        <v>141</v>
      </c>
      <c r="OYE28" s="305"/>
      <c r="OYF28" s="305">
        <v>1</v>
      </c>
      <c r="OYG28" s="304">
        <f t="shared" ref="OYG28" si="1774">EDATE(OYC28,OYF28)</f>
        <v>45523</v>
      </c>
      <c r="OYH28" s="340">
        <v>0</v>
      </c>
      <c r="OYI28" s="320">
        <f t="shared" ref="OYI28" ca="1" si="1775">IF(OYJ28&gt;=1,(OYH28/OYF28),0)</f>
        <v>0</v>
      </c>
      <c r="OYJ28" s="292">
        <f t="shared" ref="OYJ28" ca="1" si="1776">OYG28-$G$5</f>
        <v>-591</v>
      </c>
      <c r="OYK28" s="259" t="s">
        <v>55</v>
      </c>
      <c r="OYL28" s="256" t="s">
        <v>76</v>
      </c>
      <c r="OYM28" s="256" t="s">
        <v>77</v>
      </c>
      <c r="OYN28" s="256" t="s">
        <v>78</v>
      </c>
      <c r="OYO28" s="256" t="s">
        <v>79</v>
      </c>
      <c r="OYP28" s="256" t="s">
        <v>80</v>
      </c>
      <c r="OYQ28" s="256" t="s">
        <v>81</v>
      </c>
      <c r="OYR28" s="331"/>
      <c r="OYS28" s="290">
        <v>45492</v>
      </c>
      <c r="OYT28" s="339" t="s">
        <v>141</v>
      </c>
      <c r="OYU28" s="305"/>
      <c r="OYV28" s="305">
        <v>1</v>
      </c>
      <c r="OYW28" s="304">
        <f t="shared" ref="OYW28" si="1777">EDATE(OYS28,OYV28)</f>
        <v>45523</v>
      </c>
      <c r="OYX28" s="340">
        <v>0</v>
      </c>
      <c r="OYY28" s="320">
        <f t="shared" ref="OYY28" ca="1" si="1778">IF(OYZ28&gt;=1,(OYX28/OYV28),0)</f>
        <v>0</v>
      </c>
      <c r="OYZ28" s="292">
        <f t="shared" ref="OYZ28" ca="1" si="1779">OYW28-$G$5</f>
        <v>-591</v>
      </c>
      <c r="OZA28" s="259" t="s">
        <v>55</v>
      </c>
      <c r="OZB28" s="256" t="s">
        <v>76</v>
      </c>
      <c r="OZC28" s="256" t="s">
        <v>77</v>
      </c>
      <c r="OZD28" s="256" t="s">
        <v>78</v>
      </c>
      <c r="OZE28" s="256" t="s">
        <v>79</v>
      </c>
      <c r="OZF28" s="256" t="s">
        <v>80</v>
      </c>
      <c r="OZG28" s="256" t="s">
        <v>81</v>
      </c>
      <c r="OZH28" s="331"/>
      <c r="OZI28" s="290">
        <v>45492</v>
      </c>
      <c r="OZJ28" s="339" t="s">
        <v>141</v>
      </c>
      <c r="OZK28" s="305"/>
      <c r="OZL28" s="305">
        <v>1</v>
      </c>
      <c r="OZM28" s="304">
        <f t="shared" ref="OZM28" si="1780">EDATE(OZI28,OZL28)</f>
        <v>45523</v>
      </c>
      <c r="OZN28" s="340">
        <v>0</v>
      </c>
      <c r="OZO28" s="320">
        <f t="shared" ref="OZO28" ca="1" si="1781">IF(OZP28&gt;=1,(OZN28/OZL28),0)</f>
        <v>0</v>
      </c>
      <c r="OZP28" s="292">
        <f t="shared" ref="OZP28" ca="1" si="1782">OZM28-$G$5</f>
        <v>-591</v>
      </c>
      <c r="OZQ28" s="259" t="s">
        <v>55</v>
      </c>
      <c r="OZR28" s="256" t="s">
        <v>76</v>
      </c>
      <c r="OZS28" s="256" t="s">
        <v>77</v>
      </c>
      <c r="OZT28" s="256" t="s">
        <v>78</v>
      </c>
      <c r="OZU28" s="256" t="s">
        <v>79</v>
      </c>
      <c r="OZV28" s="256" t="s">
        <v>80</v>
      </c>
      <c r="OZW28" s="256" t="s">
        <v>81</v>
      </c>
      <c r="OZX28" s="331"/>
      <c r="OZY28" s="290">
        <v>45492</v>
      </c>
      <c r="OZZ28" s="339" t="s">
        <v>141</v>
      </c>
      <c r="PAA28" s="305"/>
      <c r="PAB28" s="305">
        <v>1</v>
      </c>
      <c r="PAC28" s="304">
        <f t="shared" ref="PAC28" si="1783">EDATE(OZY28,PAB28)</f>
        <v>45523</v>
      </c>
      <c r="PAD28" s="340">
        <v>0</v>
      </c>
      <c r="PAE28" s="320">
        <f t="shared" ref="PAE28" ca="1" si="1784">IF(PAF28&gt;=1,(PAD28/PAB28),0)</f>
        <v>0</v>
      </c>
      <c r="PAF28" s="292">
        <f t="shared" ref="PAF28" ca="1" si="1785">PAC28-$G$5</f>
        <v>-591</v>
      </c>
      <c r="PAG28" s="259" t="s">
        <v>55</v>
      </c>
      <c r="PAH28" s="256" t="s">
        <v>76</v>
      </c>
      <c r="PAI28" s="256" t="s">
        <v>77</v>
      </c>
      <c r="PAJ28" s="256" t="s">
        <v>78</v>
      </c>
      <c r="PAK28" s="256" t="s">
        <v>79</v>
      </c>
      <c r="PAL28" s="256" t="s">
        <v>80</v>
      </c>
      <c r="PAM28" s="256" t="s">
        <v>81</v>
      </c>
      <c r="PAN28" s="331"/>
      <c r="PAO28" s="290">
        <v>45492</v>
      </c>
      <c r="PAP28" s="339" t="s">
        <v>141</v>
      </c>
      <c r="PAQ28" s="305"/>
      <c r="PAR28" s="305">
        <v>1</v>
      </c>
      <c r="PAS28" s="304">
        <f t="shared" ref="PAS28" si="1786">EDATE(PAO28,PAR28)</f>
        <v>45523</v>
      </c>
      <c r="PAT28" s="340">
        <v>0</v>
      </c>
      <c r="PAU28" s="320">
        <f t="shared" ref="PAU28" ca="1" si="1787">IF(PAV28&gt;=1,(PAT28/PAR28),0)</f>
        <v>0</v>
      </c>
      <c r="PAV28" s="292">
        <f t="shared" ref="PAV28" ca="1" si="1788">PAS28-$G$5</f>
        <v>-591</v>
      </c>
      <c r="PAW28" s="259" t="s">
        <v>55</v>
      </c>
      <c r="PAX28" s="256" t="s">
        <v>76</v>
      </c>
      <c r="PAY28" s="256" t="s">
        <v>77</v>
      </c>
      <c r="PAZ28" s="256" t="s">
        <v>78</v>
      </c>
      <c r="PBA28" s="256" t="s">
        <v>79</v>
      </c>
      <c r="PBB28" s="256" t="s">
        <v>80</v>
      </c>
      <c r="PBC28" s="256" t="s">
        <v>81</v>
      </c>
      <c r="PBD28" s="331"/>
      <c r="PBE28" s="290">
        <v>45492</v>
      </c>
      <c r="PBF28" s="339" t="s">
        <v>141</v>
      </c>
      <c r="PBG28" s="305"/>
      <c r="PBH28" s="305">
        <v>1</v>
      </c>
      <c r="PBI28" s="304">
        <f t="shared" ref="PBI28" si="1789">EDATE(PBE28,PBH28)</f>
        <v>45523</v>
      </c>
      <c r="PBJ28" s="340">
        <v>0</v>
      </c>
      <c r="PBK28" s="320">
        <f t="shared" ref="PBK28" ca="1" si="1790">IF(PBL28&gt;=1,(PBJ28/PBH28),0)</f>
        <v>0</v>
      </c>
      <c r="PBL28" s="292">
        <f t="shared" ref="PBL28" ca="1" si="1791">PBI28-$G$5</f>
        <v>-591</v>
      </c>
      <c r="PBM28" s="259" t="s">
        <v>55</v>
      </c>
      <c r="PBN28" s="256" t="s">
        <v>76</v>
      </c>
      <c r="PBO28" s="256" t="s">
        <v>77</v>
      </c>
      <c r="PBP28" s="256" t="s">
        <v>78</v>
      </c>
      <c r="PBQ28" s="256" t="s">
        <v>79</v>
      </c>
      <c r="PBR28" s="256" t="s">
        <v>80</v>
      </c>
      <c r="PBS28" s="256" t="s">
        <v>81</v>
      </c>
      <c r="PBT28" s="331"/>
      <c r="PBU28" s="290">
        <v>45492</v>
      </c>
      <c r="PBV28" s="339" t="s">
        <v>141</v>
      </c>
      <c r="PBW28" s="305"/>
      <c r="PBX28" s="305">
        <v>1</v>
      </c>
      <c r="PBY28" s="304">
        <f t="shared" ref="PBY28" si="1792">EDATE(PBU28,PBX28)</f>
        <v>45523</v>
      </c>
      <c r="PBZ28" s="340">
        <v>0</v>
      </c>
      <c r="PCA28" s="320">
        <f t="shared" ref="PCA28" ca="1" si="1793">IF(PCB28&gt;=1,(PBZ28/PBX28),0)</f>
        <v>0</v>
      </c>
      <c r="PCB28" s="292">
        <f t="shared" ref="PCB28" ca="1" si="1794">PBY28-$G$5</f>
        <v>-591</v>
      </c>
      <c r="PCC28" s="259" t="s">
        <v>55</v>
      </c>
      <c r="PCD28" s="256" t="s">
        <v>76</v>
      </c>
      <c r="PCE28" s="256" t="s">
        <v>77</v>
      </c>
      <c r="PCF28" s="256" t="s">
        <v>78</v>
      </c>
      <c r="PCG28" s="256" t="s">
        <v>79</v>
      </c>
      <c r="PCH28" s="256" t="s">
        <v>80</v>
      </c>
      <c r="PCI28" s="256" t="s">
        <v>81</v>
      </c>
      <c r="PCJ28" s="331"/>
      <c r="PCK28" s="290">
        <v>45492</v>
      </c>
      <c r="PCL28" s="339" t="s">
        <v>141</v>
      </c>
      <c r="PCM28" s="305"/>
      <c r="PCN28" s="305">
        <v>1</v>
      </c>
      <c r="PCO28" s="304">
        <f t="shared" ref="PCO28" si="1795">EDATE(PCK28,PCN28)</f>
        <v>45523</v>
      </c>
      <c r="PCP28" s="340">
        <v>0</v>
      </c>
      <c r="PCQ28" s="320">
        <f t="shared" ref="PCQ28" ca="1" si="1796">IF(PCR28&gt;=1,(PCP28/PCN28),0)</f>
        <v>0</v>
      </c>
      <c r="PCR28" s="292">
        <f t="shared" ref="PCR28" ca="1" si="1797">PCO28-$G$5</f>
        <v>-591</v>
      </c>
      <c r="PCS28" s="259" t="s">
        <v>55</v>
      </c>
      <c r="PCT28" s="256" t="s">
        <v>76</v>
      </c>
      <c r="PCU28" s="256" t="s">
        <v>77</v>
      </c>
      <c r="PCV28" s="256" t="s">
        <v>78</v>
      </c>
      <c r="PCW28" s="256" t="s">
        <v>79</v>
      </c>
      <c r="PCX28" s="256" t="s">
        <v>80</v>
      </c>
      <c r="PCY28" s="256" t="s">
        <v>81</v>
      </c>
      <c r="PCZ28" s="331"/>
      <c r="PDA28" s="290">
        <v>45492</v>
      </c>
      <c r="PDB28" s="339" t="s">
        <v>141</v>
      </c>
      <c r="PDC28" s="305"/>
      <c r="PDD28" s="305">
        <v>1</v>
      </c>
      <c r="PDE28" s="304">
        <f t="shared" ref="PDE28" si="1798">EDATE(PDA28,PDD28)</f>
        <v>45523</v>
      </c>
      <c r="PDF28" s="340">
        <v>0</v>
      </c>
      <c r="PDG28" s="320">
        <f t="shared" ref="PDG28" ca="1" si="1799">IF(PDH28&gt;=1,(PDF28/PDD28),0)</f>
        <v>0</v>
      </c>
      <c r="PDH28" s="292">
        <f t="shared" ref="PDH28" ca="1" si="1800">PDE28-$G$5</f>
        <v>-591</v>
      </c>
      <c r="PDI28" s="259" t="s">
        <v>55</v>
      </c>
      <c r="PDJ28" s="256" t="s">
        <v>76</v>
      </c>
      <c r="PDK28" s="256" t="s">
        <v>77</v>
      </c>
      <c r="PDL28" s="256" t="s">
        <v>78</v>
      </c>
      <c r="PDM28" s="256" t="s">
        <v>79</v>
      </c>
      <c r="PDN28" s="256" t="s">
        <v>80</v>
      </c>
      <c r="PDO28" s="256" t="s">
        <v>81</v>
      </c>
      <c r="PDP28" s="331"/>
      <c r="PDQ28" s="290">
        <v>45492</v>
      </c>
      <c r="PDR28" s="339" t="s">
        <v>141</v>
      </c>
      <c r="PDS28" s="305"/>
      <c r="PDT28" s="305">
        <v>1</v>
      </c>
      <c r="PDU28" s="304">
        <f t="shared" ref="PDU28" si="1801">EDATE(PDQ28,PDT28)</f>
        <v>45523</v>
      </c>
      <c r="PDV28" s="340">
        <v>0</v>
      </c>
      <c r="PDW28" s="320">
        <f t="shared" ref="PDW28" ca="1" si="1802">IF(PDX28&gt;=1,(PDV28/PDT28),0)</f>
        <v>0</v>
      </c>
      <c r="PDX28" s="292">
        <f t="shared" ref="PDX28" ca="1" si="1803">PDU28-$G$5</f>
        <v>-591</v>
      </c>
      <c r="PDY28" s="259" t="s">
        <v>55</v>
      </c>
      <c r="PDZ28" s="256" t="s">
        <v>76</v>
      </c>
      <c r="PEA28" s="256" t="s">
        <v>77</v>
      </c>
      <c r="PEB28" s="256" t="s">
        <v>78</v>
      </c>
      <c r="PEC28" s="256" t="s">
        <v>79</v>
      </c>
      <c r="PED28" s="256" t="s">
        <v>80</v>
      </c>
      <c r="PEE28" s="256" t="s">
        <v>81</v>
      </c>
      <c r="PEF28" s="331"/>
      <c r="PEG28" s="290">
        <v>45492</v>
      </c>
      <c r="PEH28" s="339" t="s">
        <v>141</v>
      </c>
      <c r="PEI28" s="305"/>
      <c r="PEJ28" s="305">
        <v>1</v>
      </c>
      <c r="PEK28" s="304">
        <f t="shared" ref="PEK28" si="1804">EDATE(PEG28,PEJ28)</f>
        <v>45523</v>
      </c>
      <c r="PEL28" s="340">
        <v>0</v>
      </c>
      <c r="PEM28" s="320">
        <f t="shared" ref="PEM28" ca="1" si="1805">IF(PEN28&gt;=1,(PEL28/PEJ28),0)</f>
        <v>0</v>
      </c>
      <c r="PEN28" s="292">
        <f t="shared" ref="PEN28" ca="1" si="1806">PEK28-$G$5</f>
        <v>-591</v>
      </c>
      <c r="PEO28" s="259" t="s">
        <v>55</v>
      </c>
      <c r="PEP28" s="256" t="s">
        <v>76</v>
      </c>
      <c r="PEQ28" s="256" t="s">
        <v>77</v>
      </c>
      <c r="PER28" s="256" t="s">
        <v>78</v>
      </c>
      <c r="PES28" s="256" t="s">
        <v>79</v>
      </c>
      <c r="PET28" s="256" t="s">
        <v>80</v>
      </c>
      <c r="PEU28" s="256" t="s">
        <v>81</v>
      </c>
      <c r="PEV28" s="331"/>
      <c r="PEW28" s="290">
        <v>45492</v>
      </c>
      <c r="PEX28" s="339" t="s">
        <v>141</v>
      </c>
      <c r="PEY28" s="305"/>
      <c r="PEZ28" s="305">
        <v>1</v>
      </c>
      <c r="PFA28" s="304">
        <f t="shared" ref="PFA28" si="1807">EDATE(PEW28,PEZ28)</f>
        <v>45523</v>
      </c>
      <c r="PFB28" s="340">
        <v>0</v>
      </c>
      <c r="PFC28" s="320">
        <f t="shared" ref="PFC28" ca="1" si="1808">IF(PFD28&gt;=1,(PFB28/PEZ28),0)</f>
        <v>0</v>
      </c>
      <c r="PFD28" s="292">
        <f t="shared" ref="PFD28" ca="1" si="1809">PFA28-$G$5</f>
        <v>-591</v>
      </c>
      <c r="PFE28" s="259" t="s">
        <v>55</v>
      </c>
      <c r="PFF28" s="256" t="s">
        <v>76</v>
      </c>
      <c r="PFG28" s="256" t="s">
        <v>77</v>
      </c>
      <c r="PFH28" s="256" t="s">
        <v>78</v>
      </c>
      <c r="PFI28" s="256" t="s">
        <v>79</v>
      </c>
      <c r="PFJ28" s="256" t="s">
        <v>80</v>
      </c>
      <c r="PFK28" s="256" t="s">
        <v>81</v>
      </c>
      <c r="PFL28" s="331"/>
      <c r="PFM28" s="290">
        <v>45492</v>
      </c>
      <c r="PFN28" s="339" t="s">
        <v>141</v>
      </c>
      <c r="PFO28" s="305"/>
      <c r="PFP28" s="305">
        <v>1</v>
      </c>
      <c r="PFQ28" s="304">
        <f t="shared" ref="PFQ28" si="1810">EDATE(PFM28,PFP28)</f>
        <v>45523</v>
      </c>
      <c r="PFR28" s="340">
        <v>0</v>
      </c>
      <c r="PFS28" s="320">
        <f t="shared" ref="PFS28" ca="1" si="1811">IF(PFT28&gt;=1,(PFR28/PFP28),0)</f>
        <v>0</v>
      </c>
      <c r="PFT28" s="292">
        <f t="shared" ref="PFT28" ca="1" si="1812">PFQ28-$G$5</f>
        <v>-591</v>
      </c>
      <c r="PFU28" s="259" t="s">
        <v>55</v>
      </c>
      <c r="PFV28" s="256" t="s">
        <v>76</v>
      </c>
      <c r="PFW28" s="256" t="s">
        <v>77</v>
      </c>
      <c r="PFX28" s="256" t="s">
        <v>78</v>
      </c>
      <c r="PFY28" s="256" t="s">
        <v>79</v>
      </c>
      <c r="PFZ28" s="256" t="s">
        <v>80</v>
      </c>
      <c r="PGA28" s="256" t="s">
        <v>81</v>
      </c>
      <c r="PGB28" s="331"/>
      <c r="PGC28" s="290">
        <v>45492</v>
      </c>
      <c r="PGD28" s="339" t="s">
        <v>141</v>
      </c>
      <c r="PGE28" s="305"/>
      <c r="PGF28" s="305">
        <v>1</v>
      </c>
      <c r="PGG28" s="304">
        <f t="shared" ref="PGG28" si="1813">EDATE(PGC28,PGF28)</f>
        <v>45523</v>
      </c>
      <c r="PGH28" s="340">
        <v>0</v>
      </c>
      <c r="PGI28" s="320">
        <f t="shared" ref="PGI28" ca="1" si="1814">IF(PGJ28&gt;=1,(PGH28/PGF28),0)</f>
        <v>0</v>
      </c>
      <c r="PGJ28" s="292">
        <f t="shared" ref="PGJ28" ca="1" si="1815">PGG28-$G$5</f>
        <v>-591</v>
      </c>
      <c r="PGK28" s="259" t="s">
        <v>55</v>
      </c>
      <c r="PGL28" s="256" t="s">
        <v>76</v>
      </c>
      <c r="PGM28" s="256" t="s">
        <v>77</v>
      </c>
      <c r="PGN28" s="256" t="s">
        <v>78</v>
      </c>
      <c r="PGO28" s="256" t="s">
        <v>79</v>
      </c>
      <c r="PGP28" s="256" t="s">
        <v>80</v>
      </c>
      <c r="PGQ28" s="256" t="s">
        <v>81</v>
      </c>
      <c r="PGR28" s="331"/>
      <c r="PGS28" s="290">
        <v>45492</v>
      </c>
      <c r="PGT28" s="339" t="s">
        <v>141</v>
      </c>
      <c r="PGU28" s="305"/>
      <c r="PGV28" s="305">
        <v>1</v>
      </c>
      <c r="PGW28" s="304">
        <f t="shared" ref="PGW28" si="1816">EDATE(PGS28,PGV28)</f>
        <v>45523</v>
      </c>
      <c r="PGX28" s="340">
        <v>0</v>
      </c>
      <c r="PGY28" s="320">
        <f t="shared" ref="PGY28" ca="1" si="1817">IF(PGZ28&gt;=1,(PGX28/PGV28),0)</f>
        <v>0</v>
      </c>
      <c r="PGZ28" s="292">
        <f t="shared" ref="PGZ28" ca="1" si="1818">PGW28-$G$5</f>
        <v>-591</v>
      </c>
      <c r="PHA28" s="259" t="s">
        <v>55</v>
      </c>
      <c r="PHB28" s="256" t="s">
        <v>76</v>
      </c>
      <c r="PHC28" s="256" t="s">
        <v>77</v>
      </c>
      <c r="PHD28" s="256" t="s">
        <v>78</v>
      </c>
      <c r="PHE28" s="256" t="s">
        <v>79</v>
      </c>
      <c r="PHF28" s="256" t="s">
        <v>80</v>
      </c>
      <c r="PHG28" s="256" t="s">
        <v>81</v>
      </c>
      <c r="PHH28" s="331"/>
      <c r="PHI28" s="290">
        <v>45492</v>
      </c>
      <c r="PHJ28" s="339" t="s">
        <v>141</v>
      </c>
      <c r="PHK28" s="305"/>
      <c r="PHL28" s="305">
        <v>1</v>
      </c>
      <c r="PHM28" s="304">
        <f t="shared" ref="PHM28" si="1819">EDATE(PHI28,PHL28)</f>
        <v>45523</v>
      </c>
      <c r="PHN28" s="340">
        <v>0</v>
      </c>
      <c r="PHO28" s="320">
        <f t="shared" ref="PHO28" ca="1" si="1820">IF(PHP28&gt;=1,(PHN28/PHL28),0)</f>
        <v>0</v>
      </c>
      <c r="PHP28" s="292">
        <f t="shared" ref="PHP28" ca="1" si="1821">PHM28-$G$5</f>
        <v>-591</v>
      </c>
      <c r="PHQ28" s="259" t="s">
        <v>55</v>
      </c>
      <c r="PHR28" s="256" t="s">
        <v>76</v>
      </c>
      <c r="PHS28" s="256" t="s">
        <v>77</v>
      </c>
      <c r="PHT28" s="256" t="s">
        <v>78</v>
      </c>
      <c r="PHU28" s="256" t="s">
        <v>79</v>
      </c>
      <c r="PHV28" s="256" t="s">
        <v>80</v>
      </c>
      <c r="PHW28" s="256" t="s">
        <v>81</v>
      </c>
      <c r="PHX28" s="331"/>
      <c r="PHY28" s="290">
        <v>45492</v>
      </c>
      <c r="PHZ28" s="339" t="s">
        <v>141</v>
      </c>
      <c r="PIA28" s="305"/>
      <c r="PIB28" s="305">
        <v>1</v>
      </c>
      <c r="PIC28" s="304">
        <f t="shared" ref="PIC28" si="1822">EDATE(PHY28,PIB28)</f>
        <v>45523</v>
      </c>
      <c r="PID28" s="340">
        <v>0</v>
      </c>
      <c r="PIE28" s="320">
        <f t="shared" ref="PIE28" ca="1" si="1823">IF(PIF28&gt;=1,(PID28/PIB28),0)</f>
        <v>0</v>
      </c>
      <c r="PIF28" s="292">
        <f t="shared" ref="PIF28" ca="1" si="1824">PIC28-$G$5</f>
        <v>-591</v>
      </c>
      <c r="PIG28" s="259" t="s">
        <v>55</v>
      </c>
      <c r="PIH28" s="256" t="s">
        <v>76</v>
      </c>
      <c r="PII28" s="256" t="s">
        <v>77</v>
      </c>
      <c r="PIJ28" s="256" t="s">
        <v>78</v>
      </c>
      <c r="PIK28" s="256" t="s">
        <v>79</v>
      </c>
      <c r="PIL28" s="256" t="s">
        <v>80</v>
      </c>
      <c r="PIM28" s="256" t="s">
        <v>81</v>
      </c>
      <c r="PIN28" s="331"/>
      <c r="PIO28" s="290">
        <v>45492</v>
      </c>
      <c r="PIP28" s="339" t="s">
        <v>141</v>
      </c>
      <c r="PIQ28" s="305"/>
      <c r="PIR28" s="305">
        <v>1</v>
      </c>
      <c r="PIS28" s="304">
        <f t="shared" ref="PIS28" si="1825">EDATE(PIO28,PIR28)</f>
        <v>45523</v>
      </c>
      <c r="PIT28" s="340">
        <v>0</v>
      </c>
      <c r="PIU28" s="320">
        <f t="shared" ref="PIU28" ca="1" si="1826">IF(PIV28&gt;=1,(PIT28/PIR28),0)</f>
        <v>0</v>
      </c>
      <c r="PIV28" s="292">
        <f t="shared" ref="PIV28" ca="1" si="1827">PIS28-$G$5</f>
        <v>-591</v>
      </c>
      <c r="PIW28" s="259" t="s">
        <v>55</v>
      </c>
      <c r="PIX28" s="256" t="s">
        <v>76</v>
      </c>
      <c r="PIY28" s="256" t="s">
        <v>77</v>
      </c>
      <c r="PIZ28" s="256" t="s">
        <v>78</v>
      </c>
      <c r="PJA28" s="256" t="s">
        <v>79</v>
      </c>
      <c r="PJB28" s="256" t="s">
        <v>80</v>
      </c>
      <c r="PJC28" s="256" t="s">
        <v>81</v>
      </c>
      <c r="PJD28" s="331"/>
      <c r="PJE28" s="290">
        <v>45492</v>
      </c>
      <c r="PJF28" s="339" t="s">
        <v>141</v>
      </c>
      <c r="PJG28" s="305"/>
      <c r="PJH28" s="305">
        <v>1</v>
      </c>
      <c r="PJI28" s="304">
        <f t="shared" ref="PJI28" si="1828">EDATE(PJE28,PJH28)</f>
        <v>45523</v>
      </c>
      <c r="PJJ28" s="340">
        <v>0</v>
      </c>
      <c r="PJK28" s="320">
        <f t="shared" ref="PJK28" ca="1" si="1829">IF(PJL28&gt;=1,(PJJ28/PJH28),0)</f>
        <v>0</v>
      </c>
      <c r="PJL28" s="292">
        <f t="shared" ref="PJL28" ca="1" si="1830">PJI28-$G$5</f>
        <v>-591</v>
      </c>
      <c r="PJM28" s="259" t="s">
        <v>55</v>
      </c>
      <c r="PJN28" s="256" t="s">
        <v>76</v>
      </c>
      <c r="PJO28" s="256" t="s">
        <v>77</v>
      </c>
      <c r="PJP28" s="256" t="s">
        <v>78</v>
      </c>
      <c r="PJQ28" s="256" t="s">
        <v>79</v>
      </c>
      <c r="PJR28" s="256" t="s">
        <v>80</v>
      </c>
      <c r="PJS28" s="256" t="s">
        <v>81</v>
      </c>
      <c r="PJT28" s="331"/>
      <c r="PJU28" s="290">
        <v>45492</v>
      </c>
      <c r="PJV28" s="339" t="s">
        <v>141</v>
      </c>
      <c r="PJW28" s="305"/>
      <c r="PJX28" s="305">
        <v>1</v>
      </c>
      <c r="PJY28" s="304">
        <f t="shared" ref="PJY28" si="1831">EDATE(PJU28,PJX28)</f>
        <v>45523</v>
      </c>
      <c r="PJZ28" s="340">
        <v>0</v>
      </c>
      <c r="PKA28" s="320">
        <f t="shared" ref="PKA28" ca="1" si="1832">IF(PKB28&gt;=1,(PJZ28/PJX28),0)</f>
        <v>0</v>
      </c>
      <c r="PKB28" s="292">
        <f t="shared" ref="PKB28" ca="1" si="1833">PJY28-$G$5</f>
        <v>-591</v>
      </c>
      <c r="PKC28" s="259" t="s">
        <v>55</v>
      </c>
      <c r="PKD28" s="256" t="s">
        <v>76</v>
      </c>
      <c r="PKE28" s="256" t="s">
        <v>77</v>
      </c>
      <c r="PKF28" s="256" t="s">
        <v>78</v>
      </c>
      <c r="PKG28" s="256" t="s">
        <v>79</v>
      </c>
      <c r="PKH28" s="256" t="s">
        <v>80</v>
      </c>
      <c r="PKI28" s="256" t="s">
        <v>81</v>
      </c>
      <c r="PKJ28" s="331"/>
      <c r="PKK28" s="290">
        <v>45492</v>
      </c>
      <c r="PKL28" s="339" t="s">
        <v>141</v>
      </c>
      <c r="PKM28" s="305"/>
      <c r="PKN28" s="305">
        <v>1</v>
      </c>
      <c r="PKO28" s="304">
        <f t="shared" ref="PKO28" si="1834">EDATE(PKK28,PKN28)</f>
        <v>45523</v>
      </c>
      <c r="PKP28" s="340">
        <v>0</v>
      </c>
      <c r="PKQ28" s="320">
        <f t="shared" ref="PKQ28" ca="1" si="1835">IF(PKR28&gt;=1,(PKP28/PKN28),0)</f>
        <v>0</v>
      </c>
      <c r="PKR28" s="292">
        <f t="shared" ref="PKR28" ca="1" si="1836">PKO28-$G$5</f>
        <v>-591</v>
      </c>
      <c r="PKS28" s="259" t="s">
        <v>55</v>
      </c>
      <c r="PKT28" s="256" t="s">
        <v>76</v>
      </c>
      <c r="PKU28" s="256" t="s">
        <v>77</v>
      </c>
      <c r="PKV28" s="256" t="s">
        <v>78</v>
      </c>
      <c r="PKW28" s="256" t="s">
        <v>79</v>
      </c>
      <c r="PKX28" s="256" t="s">
        <v>80</v>
      </c>
      <c r="PKY28" s="256" t="s">
        <v>81</v>
      </c>
      <c r="PKZ28" s="331"/>
      <c r="PLA28" s="290">
        <v>45492</v>
      </c>
      <c r="PLB28" s="339" t="s">
        <v>141</v>
      </c>
      <c r="PLC28" s="305"/>
      <c r="PLD28" s="305">
        <v>1</v>
      </c>
      <c r="PLE28" s="304">
        <f t="shared" ref="PLE28" si="1837">EDATE(PLA28,PLD28)</f>
        <v>45523</v>
      </c>
      <c r="PLF28" s="340">
        <v>0</v>
      </c>
      <c r="PLG28" s="320">
        <f t="shared" ref="PLG28" ca="1" si="1838">IF(PLH28&gt;=1,(PLF28/PLD28),0)</f>
        <v>0</v>
      </c>
      <c r="PLH28" s="292">
        <f t="shared" ref="PLH28" ca="1" si="1839">PLE28-$G$5</f>
        <v>-591</v>
      </c>
      <c r="PLI28" s="259" t="s">
        <v>55</v>
      </c>
      <c r="PLJ28" s="256" t="s">
        <v>76</v>
      </c>
      <c r="PLK28" s="256" t="s">
        <v>77</v>
      </c>
      <c r="PLL28" s="256" t="s">
        <v>78</v>
      </c>
      <c r="PLM28" s="256" t="s">
        <v>79</v>
      </c>
      <c r="PLN28" s="256" t="s">
        <v>80</v>
      </c>
      <c r="PLO28" s="256" t="s">
        <v>81</v>
      </c>
      <c r="PLP28" s="331"/>
      <c r="PLQ28" s="290">
        <v>45492</v>
      </c>
      <c r="PLR28" s="339" t="s">
        <v>141</v>
      </c>
      <c r="PLS28" s="305"/>
      <c r="PLT28" s="305">
        <v>1</v>
      </c>
      <c r="PLU28" s="304">
        <f t="shared" ref="PLU28" si="1840">EDATE(PLQ28,PLT28)</f>
        <v>45523</v>
      </c>
      <c r="PLV28" s="340">
        <v>0</v>
      </c>
      <c r="PLW28" s="320">
        <f t="shared" ref="PLW28" ca="1" si="1841">IF(PLX28&gt;=1,(PLV28/PLT28),0)</f>
        <v>0</v>
      </c>
      <c r="PLX28" s="292">
        <f t="shared" ref="PLX28" ca="1" si="1842">PLU28-$G$5</f>
        <v>-591</v>
      </c>
      <c r="PLY28" s="259" t="s">
        <v>55</v>
      </c>
      <c r="PLZ28" s="256" t="s">
        <v>76</v>
      </c>
      <c r="PMA28" s="256" t="s">
        <v>77</v>
      </c>
      <c r="PMB28" s="256" t="s">
        <v>78</v>
      </c>
      <c r="PMC28" s="256" t="s">
        <v>79</v>
      </c>
      <c r="PMD28" s="256" t="s">
        <v>80</v>
      </c>
      <c r="PME28" s="256" t="s">
        <v>81</v>
      </c>
      <c r="PMF28" s="331"/>
      <c r="PMG28" s="290">
        <v>45492</v>
      </c>
      <c r="PMH28" s="339" t="s">
        <v>141</v>
      </c>
      <c r="PMI28" s="305"/>
      <c r="PMJ28" s="305">
        <v>1</v>
      </c>
      <c r="PMK28" s="304">
        <f t="shared" ref="PMK28" si="1843">EDATE(PMG28,PMJ28)</f>
        <v>45523</v>
      </c>
      <c r="PML28" s="340">
        <v>0</v>
      </c>
      <c r="PMM28" s="320">
        <f t="shared" ref="PMM28" ca="1" si="1844">IF(PMN28&gt;=1,(PML28/PMJ28),0)</f>
        <v>0</v>
      </c>
      <c r="PMN28" s="292">
        <f t="shared" ref="PMN28" ca="1" si="1845">PMK28-$G$5</f>
        <v>-591</v>
      </c>
      <c r="PMO28" s="259" t="s">
        <v>55</v>
      </c>
      <c r="PMP28" s="256" t="s">
        <v>76</v>
      </c>
      <c r="PMQ28" s="256" t="s">
        <v>77</v>
      </c>
      <c r="PMR28" s="256" t="s">
        <v>78</v>
      </c>
      <c r="PMS28" s="256" t="s">
        <v>79</v>
      </c>
      <c r="PMT28" s="256" t="s">
        <v>80</v>
      </c>
      <c r="PMU28" s="256" t="s">
        <v>81</v>
      </c>
      <c r="PMV28" s="331"/>
      <c r="PMW28" s="290">
        <v>45492</v>
      </c>
      <c r="PMX28" s="339" t="s">
        <v>141</v>
      </c>
      <c r="PMY28" s="305"/>
      <c r="PMZ28" s="305">
        <v>1</v>
      </c>
      <c r="PNA28" s="304">
        <f t="shared" ref="PNA28" si="1846">EDATE(PMW28,PMZ28)</f>
        <v>45523</v>
      </c>
      <c r="PNB28" s="340">
        <v>0</v>
      </c>
      <c r="PNC28" s="320">
        <f t="shared" ref="PNC28" ca="1" si="1847">IF(PND28&gt;=1,(PNB28/PMZ28),0)</f>
        <v>0</v>
      </c>
      <c r="PND28" s="292">
        <f t="shared" ref="PND28" ca="1" si="1848">PNA28-$G$5</f>
        <v>-591</v>
      </c>
      <c r="PNE28" s="259" t="s">
        <v>55</v>
      </c>
      <c r="PNF28" s="256" t="s">
        <v>76</v>
      </c>
      <c r="PNG28" s="256" t="s">
        <v>77</v>
      </c>
      <c r="PNH28" s="256" t="s">
        <v>78</v>
      </c>
      <c r="PNI28" s="256" t="s">
        <v>79</v>
      </c>
      <c r="PNJ28" s="256" t="s">
        <v>80</v>
      </c>
      <c r="PNK28" s="256" t="s">
        <v>81</v>
      </c>
      <c r="PNL28" s="331"/>
      <c r="PNM28" s="290">
        <v>45492</v>
      </c>
      <c r="PNN28" s="339" t="s">
        <v>141</v>
      </c>
      <c r="PNO28" s="305"/>
      <c r="PNP28" s="305">
        <v>1</v>
      </c>
      <c r="PNQ28" s="304">
        <f t="shared" ref="PNQ28" si="1849">EDATE(PNM28,PNP28)</f>
        <v>45523</v>
      </c>
      <c r="PNR28" s="340">
        <v>0</v>
      </c>
      <c r="PNS28" s="320">
        <f t="shared" ref="PNS28" ca="1" si="1850">IF(PNT28&gt;=1,(PNR28/PNP28),0)</f>
        <v>0</v>
      </c>
      <c r="PNT28" s="292">
        <f t="shared" ref="PNT28" ca="1" si="1851">PNQ28-$G$5</f>
        <v>-591</v>
      </c>
      <c r="PNU28" s="259" t="s">
        <v>55</v>
      </c>
      <c r="PNV28" s="256" t="s">
        <v>76</v>
      </c>
      <c r="PNW28" s="256" t="s">
        <v>77</v>
      </c>
      <c r="PNX28" s="256" t="s">
        <v>78</v>
      </c>
      <c r="PNY28" s="256" t="s">
        <v>79</v>
      </c>
      <c r="PNZ28" s="256" t="s">
        <v>80</v>
      </c>
      <c r="POA28" s="256" t="s">
        <v>81</v>
      </c>
      <c r="POB28" s="331"/>
      <c r="POC28" s="290">
        <v>45492</v>
      </c>
      <c r="POD28" s="339" t="s">
        <v>141</v>
      </c>
      <c r="POE28" s="305"/>
      <c r="POF28" s="305">
        <v>1</v>
      </c>
      <c r="POG28" s="304">
        <f t="shared" ref="POG28" si="1852">EDATE(POC28,POF28)</f>
        <v>45523</v>
      </c>
      <c r="POH28" s="340">
        <v>0</v>
      </c>
      <c r="POI28" s="320">
        <f t="shared" ref="POI28" ca="1" si="1853">IF(POJ28&gt;=1,(POH28/POF28),0)</f>
        <v>0</v>
      </c>
      <c r="POJ28" s="292">
        <f t="shared" ref="POJ28" ca="1" si="1854">POG28-$G$5</f>
        <v>-591</v>
      </c>
      <c r="POK28" s="259" t="s">
        <v>55</v>
      </c>
      <c r="POL28" s="256" t="s">
        <v>76</v>
      </c>
      <c r="POM28" s="256" t="s">
        <v>77</v>
      </c>
      <c r="PON28" s="256" t="s">
        <v>78</v>
      </c>
      <c r="POO28" s="256" t="s">
        <v>79</v>
      </c>
      <c r="POP28" s="256" t="s">
        <v>80</v>
      </c>
      <c r="POQ28" s="256" t="s">
        <v>81</v>
      </c>
      <c r="POR28" s="331"/>
      <c r="POS28" s="290">
        <v>45492</v>
      </c>
      <c r="POT28" s="339" t="s">
        <v>141</v>
      </c>
      <c r="POU28" s="305"/>
      <c r="POV28" s="305">
        <v>1</v>
      </c>
      <c r="POW28" s="304">
        <f t="shared" ref="POW28" si="1855">EDATE(POS28,POV28)</f>
        <v>45523</v>
      </c>
      <c r="POX28" s="340">
        <v>0</v>
      </c>
      <c r="POY28" s="320">
        <f t="shared" ref="POY28" ca="1" si="1856">IF(POZ28&gt;=1,(POX28/POV28),0)</f>
        <v>0</v>
      </c>
      <c r="POZ28" s="292">
        <f t="shared" ref="POZ28" ca="1" si="1857">POW28-$G$5</f>
        <v>-591</v>
      </c>
      <c r="PPA28" s="259" t="s">
        <v>55</v>
      </c>
      <c r="PPB28" s="256" t="s">
        <v>76</v>
      </c>
      <c r="PPC28" s="256" t="s">
        <v>77</v>
      </c>
      <c r="PPD28" s="256" t="s">
        <v>78</v>
      </c>
      <c r="PPE28" s="256" t="s">
        <v>79</v>
      </c>
      <c r="PPF28" s="256" t="s">
        <v>80</v>
      </c>
      <c r="PPG28" s="256" t="s">
        <v>81</v>
      </c>
      <c r="PPH28" s="331"/>
      <c r="PPI28" s="290">
        <v>45492</v>
      </c>
      <c r="PPJ28" s="339" t="s">
        <v>141</v>
      </c>
      <c r="PPK28" s="305"/>
      <c r="PPL28" s="305">
        <v>1</v>
      </c>
      <c r="PPM28" s="304">
        <f t="shared" ref="PPM28" si="1858">EDATE(PPI28,PPL28)</f>
        <v>45523</v>
      </c>
      <c r="PPN28" s="340">
        <v>0</v>
      </c>
      <c r="PPO28" s="320">
        <f t="shared" ref="PPO28" ca="1" si="1859">IF(PPP28&gt;=1,(PPN28/PPL28),0)</f>
        <v>0</v>
      </c>
      <c r="PPP28" s="292">
        <f t="shared" ref="PPP28" ca="1" si="1860">PPM28-$G$5</f>
        <v>-591</v>
      </c>
      <c r="PPQ28" s="259" t="s">
        <v>55</v>
      </c>
      <c r="PPR28" s="256" t="s">
        <v>76</v>
      </c>
      <c r="PPS28" s="256" t="s">
        <v>77</v>
      </c>
      <c r="PPT28" s="256" t="s">
        <v>78</v>
      </c>
      <c r="PPU28" s="256" t="s">
        <v>79</v>
      </c>
      <c r="PPV28" s="256" t="s">
        <v>80</v>
      </c>
      <c r="PPW28" s="256" t="s">
        <v>81</v>
      </c>
      <c r="PPX28" s="331"/>
      <c r="PPY28" s="290">
        <v>45492</v>
      </c>
      <c r="PPZ28" s="339" t="s">
        <v>141</v>
      </c>
      <c r="PQA28" s="305"/>
      <c r="PQB28" s="305">
        <v>1</v>
      </c>
      <c r="PQC28" s="304">
        <f t="shared" ref="PQC28" si="1861">EDATE(PPY28,PQB28)</f>
        <v>45523</v>
      </c>
      <c r="PQD28" s="340">
        <v>0</v>
      </c>
      <c r="PQE28" s="320">
        <f t="shared" ref="PQE28" ca="1" si="1862">IF(PQF28&gt;=1,(PQD28/PQB28),0)</f>
        <v>0</v>
      </c>
      <c r="PQF28" s="292">
        <f t="shared" ref="PQF28" ca="1" si="1863">PQC28-$G$5</f>
        <v>-591</v>
      </c>
      <c r="PQG28" s="259" t="s">
        <v>55</v>
      </c>
      <c r="PQH28" s="256" t="s">
        <v>76</v>
      </c>
      <c r="PQI28" s="256" t="s">
        <v>77</v>
      </c>
      <c r="PQJ28" s="256" t="s">
        <v>78</v>
      </c>
      <c r="PQK28" s="256" t="s">
        <v>79</v>
      </c>
      <c r="PQL28" s="256" t="s">
        <v>80</v>
      </c>
      <c r="PQM28" s="256" t="s">
        <v>81</v>
      </c>
      <c r="PQN28" s="331"/>
      <c r="PQO28" s="290">
        <v>45492</v>
      </c>
      <c r="PQP28" s="339" t="s">
        <v>141</v>
      </c>
      <c r="PQQ28" s="305"/>
      <c r="PQR28" s="305">
        <v>1</v>
      </c>
      <c r="PQS28" s="304">
        <f t="shared" ref="PQS28" si="1864">EDATE(PQO28,PQR28)</f>
        <v>45523</v>
      </c>
      <c r="PQT28" s="340">
        <v>0</v>
      </c>
      <c r="PQU28" s="320">
        <f t="shared" ref="PQU28" ca="1" si="1865">IF(PQV28&gt;=1,(PQT28/PQR28),0)</f>
        <v>0</v>
      </c>
      <c r="PQV28" s="292">
        <f t="shared" ref="PQV28" ca="1" si="1866">PQS28-$G$5</f>
        <v>-591</v>
      </c>
      <c r="PQW28" s="259" t="s">
        <v>55</v>
      </c>
      <c r="PQX28" s="256" t="s">
        <v>76</v>
      </c>
      <c r="PQY28" s="256" t="s">
        <v>77</v>
      </c>
      <c r="PQZ28" s="256" t="s">
        <v>78</v>
      </c>
      <c r="PRA28" s="256" t="s">
        <v>79</v>
      </c>
      <c r="PRB28" s="256" t="s">
        <v>80</v>
      </c>
      <c r="PRC28" s="256" t="s">
        <v>81</v>
      </c>
      <c r="PRD28" s="331"/>
      <c r="PRE28" s="290">
        <v>45492</v>
      </c>
      <c r="PRF28" s="339" t="s">
        <v>141</v>
      </c>
      <c r="PRG28" s="305"/>
      <c r="PRH28" s="305">
        <v>1</v>
      </c>
      <c r="PRI28" s="304">
        <f t="shared" ref="PRI28" si="1867">EDATE(PRE28,PRH28)</f>
        <v>45523</v>
      </c>
      <c r="PRJ28" s="340">
        <v>0</v>
      </c>
      <c r="PRK28" s="320">
        <f t="shared" ref="PRK28" ca="1" si="1868">IF(PRL28&gt;=1,(PRJ28/PRH28),0)</f>
        <v>0</v>
      </c>
      <c r="PRL28" s="292">
        <f t="shared" ref="PRL28" ca="1" si="1869">PRI28-$G$5</f>
        <v>-591</v>
      </c>
      <c r="PRM28" s="259" t="s">
        <v>55</v>
      </c>
      <c r="PRN28" s="256" t="s">
        <v>76</v>
      </c>
      <c r="PRO28" s="256" t="s">
        <v>77</v>
      </c>
      <c r="PRP28" s="256" t="s">
        <v>78</v>
      </c>
      <c r="PRQ28" s="256" t="s">
        <v>79</v>
      </c>
      <c r="PRR28" s="256" t="s">
        <v>80</v>
      </c>
      <c r="PRS28" s="256" t="s">
        <v>81</v>
      </c>
      <c r="PRT28" s="331"/>
      <c r="PRU28" s="290">
        <v>45492</v>
      </c>
      <c r="PRV28" s="339" t="s">
        <v>141</v>
      </c>
      <c r="PRW28" s="305"/>
      <c r="PRX28" s="305">
        <v>1</v>
      </c>
      <c r="PRY28" s="304">
        <f t="shared" ref="PRY28" si="1870">EDATE(PRU28,PRX28)</f>
        <v>45523</v>
      </c>
      <c r="PRZ28" s="340">
        <v>0</v>
      </c>
      <c r="PSA28" s="320">
        <f t="shared" ref="PSA28" ca="1" si="1871">IF(PSB28&gt;=1,(PRZ28/PRX28),0)</f>
        <v>0</v>
      </c>
      <c r="PSB28" s="292">
        <f t="shared" ref="PSB28" ca="1" si="1872">PRY28-$G$5</f>
        <v>-591</v>
      </c>
      <c r="PSC28" s="259" t="s">
        <v>55</v>
      </c>
      <c r="PSD28" s="256" t="s">
        <v>76</v>
      </c>
      <c r="PSE28" s="256" t="s">
        <v>77</v>
      </c>
      <c r="PSF28" s="256" t="s">
        <v>78</v>
      </c>
      <c r="PSG28" s="256" t="s">
        <v>79</v>
      </c>
      <c r="PSH28" s="256" t="s">
        <v>80</v>
      </c>
      <c r="PSI28" s="256" t="s">
        <v>81</v>
      </c>
      <c r="PSJ28" s="331"/>
      <c r="PSK28" s="290">
        <v>45492</v>
      </c>
      <c r="PSL28" s="339" t="s">
        <v>141</v>
      </c>
      <c r="PSM28" s="305"/>
      <c r="PSN28" s="305">
        <v>1</v>
      </c>
      <c r="PSO28" s="304">
        <f t="shared" ref="PSO28" si="1873">EDATE(PSK28,PSN28)</f>
        <v>45523</v>
      </c>
      <c r="PSP28" s="340">
        <v>0</v>
      </c>
      <c r="PSQ28" s="320">
        <f t="shared" ref="PSQ28" ca="1" si="1874">IF(PSR28&gt;=1,(PSP28/PSN28),0)</f>
        <v>0</v>
      </c>
      <c r="PSR28" s="292">
        <f t="shared" ref="PSR28" ca="1" si="1875">PSO28-$G$5</f>
        <v>-591</v>
      </c>
      <c r="PSS28" s="259" t="s">
        <v>55</v>
      </c>
      <c r="PST28" s="256" t="s">
        <v>76</v>
      </c>
      <c r="PSU28" s="256" t="s">
        <v>77</v>
      </c>
      <c r="PSV28" s="256" t="s">
        <v>78</v>
      </c>
      <c r="PSW28" s="256" t="s">
        <v>79</v>
      </c>
      <c r="PSX28" s="256" t="s">
        <v>80</v>
      </c>
      <c r="PSY28" s="256" t="s">
        <v>81</v>
      </c>
      <c r="PSZ28" s="331"/>
      <c r="PTA28" s="290">
        <v>45492</v>
      </c>
      <c r="PTB28" s="339" t="s">
        <v>141</v>
      </c>
      <c r="PTC28" s="305"/>
      <c r="PTD28" s="305">
        <v>1</v>
      </c>
      <c r="PTE28" s="304">
        <f t="shared" ref="PTE28" si="1876">EDATE(PTA28,PTD28)</f>
        <v>45523</v>
      </c>
      <c r="PTF28" s="340">
        <v>0</v>
      </c>
      <c r="PTG28" s="320">
        <f t="shared" ref="PTG28" ca="1" si="1877">IF(PTH28&gt;=1,(PTF28/PTD28),0)</f>
        <v>0</v>
      </c>
      <c r="PTH28" s="292">
        <f t="shared" ref="PTH28" ca="1" si="1878">PTE28-$G$5</f>
        <v>-591</v>
      </c>
      <c r="PTI28" s="259" t="s">
        <v>55</v>
      </c>
      <c r="PTJ28" s="256" t="s">
        <v>76</v>
      </c>
      <c r="PTK28" s="256" t="s">
        <v>77</v>
      </c>
      <c r="PTL28" s="256" t="s">
        <v>78</v>
      </c>
      <c r="PTM28" s="256" t="s">
        <v>79</v>
      </c>
      <c r="PTN28" s="256" t="s">
        <v>80</v>
      </c>
      <c r="PTO28" s="256" t="s">
        <v>81</v>
      </c>
      <c r="PTP28" s="331"/>
      <c r="PTQ28" s="290">
        <v>45492</v>
      </c>
      <c r="PTR28" s="339" t="s">
        <v>141</v>
      </c>
      <c r="PTS28" s="305"/>
      <c r="PTT28" s="305">
        <v>1</v>
      </c>
      <c r="PTU28" s="304">
        <f t="shared" ref="PTU28" si="1879">EDATE(PTQ28,PTT28)</f>
        <v>45523</v>
      </c>
      <c r="PTV28" s="340">
        <v>0</v>
      </c>
      <c r="PTW28" s="320">
        <f t="shared" ref="PTW28" ca="1" si="1880">IF(PTX28&gt;=1,(PTV28/PTT28),0)</f>
        <v>0</v>
      </c>
      <c r="PTX28" s="292">
        <f t="shared" ref="PTX28" ca="1" si="1881">PTU28-$G$5</f>
        <v>-591</v>
      </c>
      <c r="PTY28" s="259" t="s">
        <v>55</v>
      </c>
      <c r="PTZ28" s="256" t="s">
        <v>76</v>
      </c>
      <c r="PUA28" s="256" t="s">
        <v>77</v>
      </c>
      <c r="PUB28" s="256" t="s">
        <v>78</v>
      </c>
      <c r="PUC28" s="256" t="s">
        <v>79</v>
      </c>
      <c r="PUD28" s="256" t="s">
        <v>80</v>
      </c>
      <c r="PUE28" s="256" t="s">
        <v>81</v>
      </c>
      <c r="PUF28" s="331"/>
      <c r="PUG28" s="290">
        <v>45492</v>
      </c>
      <c r="PUH28" s="339" t="s">
        <v>141</v>
      </c>
      <c r="PUI28" s="305"/>
      <c r="PUJ28" s="305">
        <v>1</v>
      </c>
      <c r="PUK28" s="304">
        <f t="shared" ref="PUK28" si="1882">EDATE(PUG28,PUJ28)</f>
        <v>45523</v>
      </c>
      <c r="PUL28" s="340">
        <v>0</v>
      </c>
      <c r="PUM28" s="320">
        <f t="shared" ref="PUM28" ca="1" si="1883">IF(PUN28&gt;=1,(PUL28/PUJ28),0)</f>
        <v>0</v>
      </c>
      <c r="PUN28" s="292">
        <f t="shared" ref="PUN28" ca="1" si="1884">PUK28-$G$5</f>
        <v>-591</v>
      </c>
      <c r="PUO28" s="259" t="s">
        <v>55</v>
      </c>
      <c r="PUP28" s="256" t="s">
        <v>76</v>
      </c>
      <c r="PUQ28" s="256" t="s">
        <v>77</v>
      </c>
      <c r="PUR28" s="256" t="s">
        <v>78</v>
      </c>
      <c r="PUS28" s="256" t="s">
        <v>79</v>
      </c>
      <c r="PUT28" s="256" t="s">
        <v>80</v>
      </c>
      <c r="PUU28" s="256" t="s">
        <v>81</v>
      </c>
      <c r="PUV28" s="331"/>
      <c r="PUW28" s="290">
        <v>45492</v>
      </c>
      <c r="PUX28" s="339" t="s">
        <v>141</v>
      </c>
      <c r="PUY28" s="305"/>
      <c r="PUZ28" s="305">
        <v>1</v>
      </c>
      <c r="PVA28" s="304">
        <f t="shared" ref="PVA28" si="1885">EDATE(PUW28,PUZ28)</f>
        <v>45523</v>
      </c>
      <c r="PVB28" s="340">
        <v>0</v>
      </c>
      <c r="PVC28" s="320">
        <f t="shared" ref="PVC28" ca="1" si="1886">IF(PVD28&gt;=1,(PVB28/PUZ28),0)</f>
        <v>0</v>
      </c>
      <c r="PVD28" s="292">
        <f t="shared" ref="PVD28" ca="1" si="1887">PVA28-$G$5</f>
        <v>-591</v>
      </c>
      <c r="PVE28" s="259" t="s">
        <v>55</v>
      </c>
      <c r="PVF28" s="256" t="s">
        <v>76</v>
      </c>
      <c r="PVG28" s="256" t="s">
        <v>77</v>
      </c>
      <c r="PVH28" s="256" t="s">
        <v>78</v>
      </c>
      <c r="PVI28" s="256" t="s">
        <v>79</v>
      </c>
      <c r="PVJ28" s="256" t="s">
        <v>80</v>
      </c>
      <c r="PVK28" s="256" t="s">
        <v>81</v>
      </c>
      <c r="PVL28" s="331"/>
      <c r="PVM28" s="290">
        <v>45492</v>
      </c>
      <c r="PVN28" s="339" t="s">
        <v>141</v>
      </c>
      <c r="PVO28" s="305"/>
      <c r="PVP28" s="305">
        <v>1</v>
      </c>
      <c r="PVQ28" s="304">
        <f t="shared" ref="PVQ28" si="1888">EDATE(PVM28,PVP28)</f>
        <v>45523</v>
      </c>
      <c r="PVR28" s="340">
        <v>0</v>
      </c>
      <c r="PVS28" s="320">
        <f t="shared" ref="PVS28" ca="1" si="1889">IF(PVT28&gt;=1,(PVR28/PVP28),0)</f>
        <v>0</v>
      </c>
      <c r="PVT28" s="292">
        <f t="shared" ref="PVT28" ca="1" si="1890">PVQ28-$G$5</f>
        <v>-591</v>
      </c>
      <c r="PVU28" s="259" t="s">
        <v>55</v>
      </c>
      <c r="PVV28" s="256" t="s">
        <v>76</v>
      </c>
      <c r="PVW28" s="256" t="s">
        <v>77</v>
      </c>
      <c r="PVX28" s="256" t="s">
        <v>78</v>
      </c>
      <c r="PVY28" s="256" t="s">
        <v>79</v>
      </c>
      <c r="PVZ28" s="256" t="s">
        <v>80</v>
      </c>
      <c r="PWA28" s="256" t="s">
        <v>81</v>
      </c>
      <c r="PWB28" s="331"/>
      <c r="PWC28" s="290">
        <v>45492</v>
      </c>
      <c r="PWD28" s="339" t="s">
        <v>141</v>
      </c>
      <c r="PWE28" s="305"/>
      <c r="PWF28" s="305">
        <v>1</v>
      </c>
      <c r="PWG28" s="304">
        <f t="shared" ref="PWG28" si="1891">EDATE(PWC28,PWF28)</f>
        <v>45523</v>
      </c>
      <c r="PWH28" s="340">
        <v>0</v>
      </c>
      <c r="PWI28" s="320">
        <f t="shared" ref="PWI28" ca="1" si="1892">IF(PWJ28&gt;=1,(PWH28/PWF28),0)</f>
        <v>0</v>
      </c>
      <c r="PWJ28" s="292">
        <f t="shared" ref="PWJ28" ca="1" si="1893">PWG28-$G$5</f>
        <v>-591</v>
      </c>
      <c r="PWK28" s="259" t="s">
        <v>55</v>
      </c>
      <c r="PWL28" s="256" t="s">
        <v>76</v>
      </c>
      <c r="PWM28" s="256" t="s">
        <v>77</v>
      </c>
      <c r="PWN28" s="256" t="s">
        <v>78</v>
      </c>
      <c r="PWO28" s="256" t="s">
        <v>79</v>
      </c>
      <c r="PWP28" s="256" t="s">
        <v>80</v>
      </c>
      <c r="PWQ28" s="256" t="s">
        <v>81</v>
      </c>
      <c r="PWR28" s="331"/>
      <c r="PWS28" s="290">
        <v>45492</v>
      </c>
      <c r="PWT28" s="339" t="s">
        <v>141</v>
      </c>
      <c r="PWU28" s="305"/>
      <c r="PWV28" s="305">
        <v>1</v>
      </c>
      <c r="PWW28" s="304">
        <f t="shared" ref="PWW28" si="1894">EDATE(PWS28,PWV28)</f>
        <v>45523</v>
      </c>
      <c r="PWX28" s="340">
        <v>0</v>
      </c>
      <c r="PWY28" s="320">
        <f t="shared" ref="PWY28" ca="1" si="1895">IF(PWZ28&gt;=1,(PWX28/PWV28),0)</f>
        <v>0</v>
      </c>
      <c r="PWZ28" s="292">
        <f t="shared" ref="PWZ28" ca="1" si="1896">PWW28-$G$5</f>
        <v>-591</v>
      </c>
      <c r="PXA28" s="259" t="s">
        <v>55</v>
      </c>
      <c r="PXB28" s="256" t="s">
        <v>76</v>
      </c>
      <c r="PXC28" s="256" t="s">
        <v>77</v>
      </c>
      <c r="PXD28" s="256" t="s">
        <v>78</v>
      </c>
      <c r="PXE28" s="256" t="s">
        <v>79</v>
      </c>
      <c r="PXF28" s="256" t="s">
        <v>80</v>
      </c>
      <c r="PXG28" s="256" t="s">
        <v>81</v>
      </c>
      <c r="PXH28" s="331"/>
      <c r="PXI28" s="290">
        <v>45492</v>
      </c>
      <c r="PXJ28" s="339" t="s">
        <v>141</v>
      </c>
      <c r="PXK28" s="305"/>
      <c r="PXL28" s="305">
        <v>1</v>
      </c>
      <c r="PXM28" s="304">
        <f t="shared" ref="PXM28" si="1897">EDATE(PXI28,PXL28)</f>
        <v>45523</v>
      </c>
      <c r="PXN28" s="340">
        <v>0</v>
      </c>
      <c r="PXO28" s="320">
        <f t="shared" ref="PXO28" ca="1" si="1898">IF(PXP28&gt;=1,(PXN28/PXL28),0)</f>
        <v>0</v>
      </c>
      <c r="PXP28" s="292">
        <f t="shared" ref="PXP28" ca="1" si="1899">PXM28-$G$5</f>
        <v>-591</v>
      </c>
      <c r="PXQ28" s="259" t="s">
        <v>55</v>
      </c>
      <c r="PXR28" s="256" t="s">
        <v>76</v>
      </c>
      <c r="PXS28" s="256" t="s">
        <v>77</v>
      </c>
      <c r="PXT28" s="256" t="s">
        <v>78</v>
      </c>
      <c r="PXU28" s="256" t="s">
        <v>79</v>
      </c>
      <c r="PXV28" s="256" t="s">
        <v>80</v>
      </c>
      <c r="PXW28" s="256" t="s">
        <v>81</v>
      </c>
      <c r="PXX28" s="331"/>
      <c r="PXY28" s="290">
        <v>45492</v>
      </c>
      <c r="PXZ28" s="339" t="s">
        <v>141</v>
      </c>
      <c r="PYA28" s="305"/>
      <c r="PYB28" s="305">
        <v>1</v>
      </c>
      <c r="PYC28" s="304">
        <f t="shared" ref="PYC28" si="1900">EDATE(PXY28,PYB28)</f>
        <v>45523</v>
      </c>
      <c r="PYD28" s="340">
        <v>0</v>
      </c>
      <c r="PYE28" s="320">
        <f t="shared" ref="PYE28" ca="1" si="1901">IF(PYF28&gt;=1,(PYD28/PYB28),0)</f>
        <v>0</v>
      </c>
      <c r="PYF28" s="292">
        <f t="shared" ref="PYF28" ca="1" si="1902">PYC28-$G$5</f>
        <v>-591</v>
      </c>
      <c r="PYG28" s="259" t="s">
        <v>55</v>
      </c>
      <c r="PYH28" s="256" t="s">
        <v>76</v>
      </c>
      <c r="PYI28" s="256" t="s">
        <v>77</v>
      </c>
      <c r="PYJ28" s="256" t="s">
        <v>78</v>
      </c>
      <c r="PYK28" s="256" t="s">
        <v>79</v>
      </c>
      <c r="PYL28" s="256" t="s">
        <v>80</v>
      </c>
      <c r="PYM28" s="256" t="s">
        <v>81</v>
      </c>
      <c r="PYN28" s="331"/>
      <c r="PYO28" s="290">
        <v>45492</v>
      </c>
      <c r="PYP28" s="339" t="s">
        <v>141</v>
      </c>
      <c r="PYQ28" s="305"/>
      <c r="PYR28" s="305">
        <v>1</v>
      </c>
      <c r="PYS28" s="304">
        <f t="shared" ref="PYS28" si="1903">EDATE(PYO28,PYR28)</f>
        <v>45523</v>
      </c>
      <c r="PYT28" s="340">
        <v>0</v>
      </c>
      <c r="PYU28" s="320">
        <f t="shared" ref="PYU28" ca="1" si="1904">IF(PYV28&gt;=1,(PYT28/PYR28),0)</f>
        <v>0</v>
      </c>
      <c r="PYV28" s="292">
        <f t="shared" ref="PYV28" ca="1" si="1905">PYS28-$G$5</f>
        <v>-591</v>
      </c>
      <c r="PYW28" s="259" t="s">
        <v>55</v>
      </c>
      <c r="PYX28" s="256" t="s">
        <v>76</v>
      </c>
      <c r="PYY28" s="256" t="s">
        <v>77</v>
      </c>
      <c r="PYZ28" s="256" t="s">
        <v>78</v>
      </c>
      <c r="PZA28" s="256" t="s">
        <v>79</v>
      </c>
      <c r="PZB28" s="256" t="s">
        <v>80</v>
      </c>
      <c r="PZC28" s="256" t="s">
        <v>81</v>
      </c>
      <c r="PZD28" s="331"/>
      <c r="PZE28" s="290">
        <v>45492</v>
      </c>
      <c r="PZF28" s="339" t="s">
        <v>141</v>
      </c>
      <c r="PZG28" s="305"/>
      <c r="PZH28" s="305">
        <v>1</v>
      </c>
      <c r="PZI28" s="304">
        <f t="shared" ref="PZI28" si="1906">EDATE(PZE28,PZH28)</f>
        <v>45523</v>
      </c>
      <c r="PZJ28" s="340">
        <v>0</v>
      </c>
      <c r="PZK28" s="320">
        <f t="shared" ref="PZK28" ca="1" si="1907">IF(PZL28&gt;=1,(PZJ28/PZH28),0)</f>
        <v>0</v>
      </c>
      <c r="PZL28" s="292">
        <f t="shared" ref="PZL28" ca="1" si="1908">PZI28-$G$5</f>
        <v>-591</v>
      </c>
      <c r="PZM28" s="259" t="s">
        <v>55</v>
      </c>
      <c r="PZN28" s="256" t="s">
        <v>76</v>
      </c>
      <c r="PZO28" s="256" t="s">
        <v>77</v>
      </c>
      <c r="PZP28" s="256" t="s">
        <v>78</v>
      </c>
      <c r="PZQ28" s="256" t="s">
        <v>79</v>
      </c>
      <c r="PZR28" s="256" t="s">
        <v>80</v>
      </c>
      <c r="PZS28" s="256" t="s">
        <v>81</v>
      </c>
      <c r="PZT28" s="331"/>
      <c r="PZU28" s="290">
        <v>45492</v>
      </c>
      <c r="PZV28" s="339" t="s">
        <v>141</v>
      </c>
      <c r="PZW28" s="305"/>
      <c r="PZX28" s="305">
        <v>1</v>
      </c>
      <c r="PZY28" s="304">
        <f t="shared" ref="PZY28" si="1909">EDATE(PZU28,PZX28)</f>
        <v>45523</v>
      </c>
      <c r="PZZ28" s="340">
        <v>0</v>
      </c>
      <c r="QAA28" s="320">
        <f t="shared" ref="QAA28" ca="1" si="1910">IF(QAB28&gt;=1,(PZZ28/PZX28),0)</f>
        <v>0</v>
      </c>
      <c r="QAB28" s="292">
        <f t="shared" ref="QAB28" ca="1" si="1911">PZY28-$G$5</f>
        <v>-591</v>
      </c>
      <c r="QAC28" s="259" t="s">
        <v>55</v>
      </c>
      <c r="QAD28" s="256" t="s">
        <v>76</v>
      </c>
      <c r="QAE28" s="256" t="s">
        <v>77</v>
      </c>
      <c r="QAF28" s="256" t="s">
        <v>78</v>
      </c>
      <c r="QAG28" s="256" t="s">
        <v>79</v>
      </c>
      <c r="QAH28" s="256" t="s">
        <v>80</v>
      </c>
      <c r="QAI28" s="256" t="s">
        <v>81</v>
      </c>
      <c r="QAJ28" s="331"/>
      <c r="QAK28" s="290">
        <v>45492</v>
      </c>
      <c r="QAL28" s="339" t="s">
        <v>141</v>
      </c>
      <c r="QAM28" s="305"/>
      <c r="QAN28" s="305">
        <v>1</v>
      </c>
      <c r="QAO28" s="304">
        <f t="shared" ref="QAO28" si="1912">EDATE(QAK28,QAN28)</f>
        <v>45523</v>
      </c>
      <c r="QAP28" s="340">
        <v>0</v>
      </c>
      <c r="QAQ28" s="320">
        <f t="shared" ref="QAQ28" ca="1" si="1913">IF(QAR28&gt;=1,(QAP28/QAN28),0)</f>
        <v>0</v>
      </c>
      <c r="QAR28" s="292">
        <f t="shared" ref="QAR28" ca="1" si="1914">QAO28-$G$5</f>
        <v>-591</v>
      </c>
      <c r="QAS28" s="259" t="s">
        <v>55</v>
      </c>
      <c r="QAT28" s="256" t="s">
        <v>76</v>
      </c>
      <c r="QAU28" s="256" t="s">
        <v>77</v>
      </c>
      <c r="QAV28" s="256" t="s">
        <v>78</v>
      </c>
      <c r="QAW28" s="256" t="s">
        <v>79</v>
      </c>
      <c r="QAX28" s="256" t="s">
        <v>80</v>
      </c>
      <c r="QAY28" s="256" t="s">
        <v>81</v>
      </c>
      <c r="QAZ28" s="331"/>
      <c r="QBA28" s="290">
        <v>45492</v>
      </c>
      <c r="QBB28" s="339" t="s">
        <v>141</v>
      </c>
      <c r="QBC28" s="305"/>
      <c r="QBD28" s="305">
        <v>1</v>
      </c>
      <c r="QBE28" s="304">
        <f t="shared" ref="QBE28" si="1915">EDATE(QBA28,QBD28)</f>
        <v>45523</v>
      </c>
      <c r="QBF28" s="340">
        <v>0</v>
      </c>
      <c r="QBG28" s="320">
        <f t="shared" ref="QBG28" ca="1" si="1916">IF(QBH28&gt;=1,(QBF28/QBD28),0)</f>
        <v>0</v>
      </c>
      <c r="QBH28" s="292">
        <f t="shared" ref="QBH28" ca="1" si="1917">QBE28-$G$5</f>
        <v>-591</v>
      </c>
      <c r="QBI28" s="259" t="s">
        <v>55</v>
      </c>
      <c r="QBJ28" s="256" t="s">
        <v>76</v>
      </c>
      <c r="QBK28" s="256" t="s">
        <v>77</v>
      </c>
      <c r="QBL28" s="256" t="s">
        <v>78</v>
      </c>
      <c r="QBM28" s="256" t="s">
        <v>79</v>
      </c>
      <c r="QBN28" s="256" t="s">
        <v>80</v>
      </c>
      <c r="QBO28" s="256" t="s">
        <v>81</v>
      </c>
      <c r="QBP28" s="331"/>
      <c r="QBQ28" s="290">
        <v>45492</v>
      </c>
      <c r="QBR28" s="339" t="s">
        <v>141</v>
      </c>
      <c r="QBS28" s="305"/>
      <c r="QBT28" s="305">
        <v>1</v>
      </c>
      <c r="QBU28" s="304">
        <f t="shared" ref="QBU28" si="1918">EDATE(QBQ28,QBT28)</f>
        <v>45523</v>
      </c>
      <c r="QBV28" s="340">
        <v>0</v>
      </c>
      <c r="QBW28" s="320">
        <f t="shared" ref="QBW28" ca="1" si="1919">IF(QBX28&gt;=1,(QBV28/QBT28),0)</f>
        <v>0</v>
      </c>
      <c r="QBX28" s="292">
        <f t="shared" ref="QBX28" ca="1" si="1920">QBU28-$G$5</f>
        <v>-591</v>
      </c>
      <c r="QBY28" s="259" t="s">
        <v>55</v>
      </c>
      <c r="QBZ28" s="256" t="s">
        <v>76</v>
      </c>
      <c r="QCA28" s="256" t="s">
        <v>77</v>
      </c>
      <c r="QCB28" s="256" t="s">
        <v>78</v>
      </c>
      <c r="QCC28" s="256" t="s">
        <v>79</v>
      </c>
      <c r="QCD28" s="256" t="s">
        <v>80</v>
      </c>
      <c r="QCE28" s="256" t="s">
        <v>81</v>
      </c>
      <c r="QCF28" s="331"/>
      <c r="QCG28" s="290">
        <v>45492</v>
      </c>
      <c r="QCH28" s="339" t="s">
        <v>141</v>
      </c>
      <c r="QCI28" s="305"/>
      <c r="QCJ28" s="305">
        <v>1</v>
      </c>
      <c r="QCK28" s="304">
        <f t="shared" ref="QCK28" si="1921">EDATE(QCG28,QCJ28)</f>
        <v>45523</v>
      </c>
      <c r="QCL28" s="340">
        <v>0</v>
      </c>
      <c r="QCM28" s="320">
        <f t="shared" ref="QCM28" ca="1" si="1922">IF(QCN28&gt;=1,(QCL28/QCJ28),0)</f>
        <v>0</v>
      </c>
      <c r="QCN28" s="292">
        <f t="shared" ref="QCN28" ca="1" si="1923">QCK28-$G$5</f>
        <v>-591</v>
      </c>
      <c r="QCO28" s="259" t="s">
        <v>55</v>
      </c>
      <c r="QCP28" s="256" t="s">
        <v>76</v>
      </c>
      <c r="QCQ28" s="256" t="s">
        <v>77</v>
      </c>
      <c r="QCR28" s="256" t="s">
        <v>78</v>
      </c>
      <c r="QCS28" s="256" t="s">
        <v>79</v>
      </c>
      <c r="QCT28" s="256" t="s">
        <v>80</v>
      </c>
      <c r="QCU28" s="256" t="s">
        <v>81</v>
      </c>
      <c r="QCV28" s="331"/>
      <c r="QCW28" s="290">
        <v>45492</v>
      </c>
      <c r="QCX28" s="339" t="s">
        <v>141</v>
      </c>
      <c r="QCY28" s="305"/>
      <c r="QCZ28" s="305">
        <v>1</v>
      </c>
      <c r="QDA28" s="304">
        <f t="shared" ref="QDA28" si="1924">EDATE(QCW28,QCZ28)</f>
        <v>45523</v>
      </c>
      <c r="QDB28" s="340">
        <v>0</v>
      </c>
      <c r="QDC28" s="320">
        <f t="shared" ref="QDC28" ca="1" si="1925">IF(QDD28&gt;=1,(QDB28/QCZ28),0)</f>
        <v>0</v>
      </c>
      <c r="QDD28" s="292">
        <f t="shared" ref="QDD28" ca="1" si="1926">QDA28-$G$5</f>
        <v>-591</v>
      </c>
      <c r="QDE28" s="259" t="s">
        <v>55</v>
      </c>
      <c r="QDF28" s="256" t="s">
        <v>76</v>
      </c>
      <c r="QDG28" s="256" t="s">
        <v>77</v>
      </c>
      <c r="QDH28" s="256" t="s">
        <v>78</v>
      </c>
      <c r="QDI28" s="256" t="s">
        <v>79</v>
      </c>
      <c r="QDJ28" s="256" t="s">
        <v>80</v>
      </c>
      <c r="QDK28" s="256" t="s">
        <v>81</v>
      </c>
      <c r="QDL28" s="331"/>
      <c r="QDM28" s="290">
        <v>45492</v>
      </c>
      <c r="QDN28" s="339" t="s">
        <v>141</v>
      </c>
      <c r="QDO28" s="305"/>
      <c r="QDP28" s="305">
        <v>1</v>
      </c>
      <c r="QDQ28" s="304">
        <f t="shared" ref="QDQ28" si="1927">EDATE(QDM28,QDP28)</f>
        <v>45523</v>
      </c>
      <c r="QDR28" s="340">
        <v>0</v>
      </c>
      <c r="QDS28" s="320">
        <f t="shared" ref="QDS28" ca="1" si="1928">IF(QDT28&gt;=1,(QDR28/QDP28),0)</f>
        <v>0</v>
      </c>
      <c r="QDT28" s="292">
        <f t="shared" ref="QDT28" ca="1" si="1929">QDQ28-$G$5</f>
        <v>-591</v>
      </c>
      <c r="QDU28" s="259" t="s">
        <v>55</v>
      </c>
      <c r="QDV28" s="256" t="s">
        <v>76</v>
      </c>
      <c r="QDW28" s="256" t="s">
        <v>77</v>
      </c>
      <c r="QDX28" s="256" t="s">
        <v>78</v>
      </c>
      <c r="QDY28" s="256" t="s">
        <v>79</v>
      </c>
      <c r="QDZ28" s="256" t="s">
        <v>80</v>
      </c>
      <c r="QEA28" s="256" t="s">
        <v>81</v>
      </c>
      <c r="QEB28" s="331"/>
      <c r="QEC28" s="290">
        <v>45492</v>
      </c>
      <c r="QED28" s="339" t="s">
        <v>141</v>
      </c>
      <c r="QEE28" s="305"/>
      <c r="QEF28" s="305">
        <v>1</v>
      </c>
      <c r="QEG28" s="304">
        <f t="shared" ref="QEG28" si="1930">EDATE(QEC28,QEF28)</f>
        <v>45523</v>
      </c>
      <c r="QEH28" s="340">
        <v>0</v>
      </c>
      <c r="QEI28" s="320">
        <f t="shared" ref="QEI28" ca="1" si="1931">IF(QEJ28&gt;=1,(QEH28/QEF28),0)</f>
        <v>0</v>
      </c>
      <c r="QEJ28" s="292">
        <f t="shared" ref="QEJ28" ca="1" si="1932">QEG28-$G$5</f>
        <v>-591</v>
      </c>
      <c r="QEK28" s="259" t="s">
        <v>55</v>
      </c>
      <c r="QEL28" s="256" t="s">
        <v>76</v>
      </c>
      <c r="QEM28" s="256" t="s">
        <v>77</v>
      </c>
      <c r="QEN28" s="256" t="s">
        <v>78</v>
      </c>
      <c r="QEO28" s="256" t="s">
        <v>79</v>
      </c>
      <c r="QEP28" s="256" t="s">
        <v>80</v>
      </c>
      <c r="QEQ28" s="256" t="s">
        <v>81</v>
      </c>
      <c r="QER28" s="331"/>
      <c r="QES28" s="290">
        <v>45492</v>
      </c>
      <c r="QET28" s="339" t="s">
        <v>141</v>
      </c>
      <c r="QEU28" s="305"/>
      <c r="QEV28" s="305">
        <v>1</v>
      </c>
      <c r="QEW28" s="304">
        <f t="shared" ref="QEW28" si="1933">EDATE(QES28,QEV28)</f>
        <v>45523</v>
      </c>
      <c r="QEX28" s="340">
        <v>0</v>
      </c>
      <c r="QEY28" s="320">
        <f t="shared" ref="QEY28" ca="1" si="1934">IF(QEZ28&gt;=1,(QEX28/QEV28),0)</f>
        <v>0</v>
      </c>
      <c r="QEZ28" s="292">
        <f t="shared" ref="QEZ28" ca="1" si="1935">QEW28-$G$5</f>
        <v>-591</v>
      </c>
      <c r="QFA28" s="259" t="s">
        <v>55</v>
      </c>
      <c r="QFB28" s="256" t="s">
        <v>76</v>
      </c>
      <c r="QFC28" s="256" t="s">
        <v>77</v>
      </c>
      <c r="QFD28" s="256" t="s">
        <v>78</v>
      </c>
      <c r="QFE28" s="256" t="s">
        <v>79</v>
      </c>
      <c r="QFF28" s="256" t="s">
        <v>80</v>
      </c>
      <c r="QFG28" s="256" t="s">
        <v>81</v>
      </c>
      <c r="QFH28" s="331"/>
      <c r="QFI28" s="290">
        <v>45492</v>
      </c>
      <c r="QFJ28" s="339" t="s">
        <v>141</v>
      </c>
      <c r="QFK28" s="305"/>
      <c r="QFL28" s="305">
        <v>1</v>
      </c>
      <c r="QFM28" s="304">
        <f t="shared" ref="QFM28" si="1936">EDATE(QFI28,QFL28)</f>
        <v>45523</v>
      </c>
      <c r="QFN28" s="340">
        <v>0</v>
      </c>
      <c r="QFO28" s="320">
        <f t="shared" ref="QFO28" ca="1" si="1937">IF(QFP28&gt;=1,(QFN28/QFL28),0)</f>
        <v>0</v>
      </c>
      <c r="QFP28" s="292">
        <f t="shared" ref="QFP28" ca="1" si="1938">QFM28-$G$5</f>
        <v>-591</v>
      </c>
      <c r="QFQ28" s="259" t="s">
        <v>55</v>
      </c>
      <c r="QFR28" s="256" t="s">
        <v>76</v>
      </c>
      <c r="QFS28" s="256" t="s">
        <v>77</v>
      </c>
      <c r="QFT28" s="256" t="s">
        <v>78</v>
      </c>
      <c r="QFU28" s="256" t="s">
        <v>79</v>
      </c>
      <c r="QFV28" s="256" t="s">
        <v>80</v>
      </c>
      <c r="QFW28" s="256" t="s">
        <v>81</v>
      </c>
      <c r="QFX28" s="331"/>
      <c r="QFY28" s="290">
        <v>45492</v>
      </c>
      <c r="QFZ28" s="339" t="s">
        <v>141</v>
      </c>
      <c r="QGA28" s="305"/>
      <c r="QGB28" s="305">
        <v>1</v>
      </c>
      <c r="QGC28" s="304">
        <f t="shared" ref="QGC28" si="1939">EDATE(QFY28,QGB28)</f>
        <v>45523</v>
      </c>
      <c r="QGD28" s="340">
        <v>0</v>
      </c>
      <c r="QGE28" s="320">
        <f t="shared" ref="QGE28" ca="1" si="1940">IF(QGF28&gt;=1,(QGD28/QGB28),0)</f>
        <v>0</v>
      </c>
      <c r="QGF28" s="292">
        <f t="shared" ref="QGF28" ca="1" si="1941">QGC28-$G$5</f>
        <v>-591</v>
      </c>
      <c r="QGG28" s="259" t="s">
        <v>55</v>
      </c>
      <c r="QGH28" s="256" t="s">
        <v>76</v>
      </c>
      <c r="QGI28" s="256" t="s">
        <v>77</v>
      </c>
      <c r="QGJ28" s="256" t="s">
        <v>78</v>
      </c>
      <c r="QGK28" s="256" t="s">
        <v>79</v>
      </c>
      <c r="QGL28" s="256" t="s">
        <v>80</v>
      </c>
      <c r="QGM28" s="256" t="s">
        <v>81</v>
      </c>
      <c r="QGN28" s="331"/>
      <c r="QGO28" s="290">
        <v>45492</v>
      </c>
      <c r="QGP28" s="339" t="s">
        <v>141</v>
      </c>
      <c r="QGQ28" s="305"/>
      <c r="QGR28" s="305">
        <v>1</v>
      </c>
      <c r="QGS28" s="304">
        <f t="shared" ref="QGS28" si="1942">EDATE(QGO28,QGR28)</f>
        <v>45523</v>
      </c>
      <c r="QGT28" s="340">
        <v>0</v>
      </c>
      <c r="QGU28" s="320">
        <f t="shared" ref="QGU28" ca="1" si="1943">IF(QGV28&gt;=1,(QGT28/QGR28),0)</f>
        <v>0</v>
      </c>
      <c r="QGV28" s="292">
        <f t="shared" ref="QGV28" ca="1" si="1944">QGS28-$G$5</f>
        <v>-591</v>
      </c>
      <c r="QGW28" s="259" t="s">
        <v>55</v>
      </c>
      <c r="QGX28" s="256" t="s">
        <v>76</v>
      </c>
      <c r="QGY28" s="256" t="s">
        <v>77</v>
      </c>
      <c r="QGZ28" s="256" t="s">
        <v>78</v>
      </c>
      <c r="QHA28" s="256" t="s">
        <v>79</v>
      </c>
      <c r="QHB28" s="256" t="s">
        <v>80</v>
      </c>
      <c r="QHC28" s="256" t="s">
        <v>81</v>
      </c>
      <c r="QHD28" s="331"/>
      <c r="QHE28" s="290">
        <v>45492</v>
      </c>
      <c r="QHF28" s="339" t="s">
        <v>141</v>
      </c>
      <c r="QHG28" s="305"/>
      <c r="QHH28" s="305">
        <v>1</v>
      </c>
      <c r="QHI28" s="304">
        <f t="shared" ref="QHI28" si="1945">EDATE(QHE28,QHH28)</f>
        <v>45523</v>
      </c>
      <c r="QHJ28" s="340">
        <v>0</v>
      </c>
      <c r="QHK28" s="320">
        <f t="shared" ref="QHK28" ca="1" si="1946">IF(QHL28&gt;=1,(QHJ28/QHH28),0)</f>
        <v>0</v>
      </c>
      <c r="QHL28" s="292">
        <f t="shared" ref="QHL28" ca="1" si="1947">QHI28-$G$5</f>
        <v>-591</v>
      </c>
      <c r="QHM28" s="259" t="s">
        <v>55</v>
      </c>
      <c r="QHN28" s="256" t="s">
        <v>76</v>
      </c>
      <c r="QHO28" s="256" t="s">
        <v>77</v>
      </c>
      <c r="QHP28" s="256" t="s">
        <v>78</v>
      </c>
      <c r="QHQ28" s="256" t="s">
        <v>79</v>
      </c>
      <c r="QHR28" s="256" t="s">
        <v>80</v>
      </c>
      <c r="QHS28" s="256" t="s">
        <v>81</v>
      </c>
      <c r="QHT28" s="331"/>
      <c r="QHU28" s="290">
        <v>45492</v>
      </c>
      <c r="QHV28" s="339" t="s">
        <v>141</v>
      </c>
      <c r="QHW28" s="305"/>
      <c r="QHX28" s="305">
        <v>1</v>
      </c>
      <c r="QHY28" s="304">
        <f t="shared" ref="QHY28" si="1948">EDATE(QHU28,QHX28)</f>
        <v>45523</v>
      </c>
      <c r="QHZ28" s="340">
        <v>0</v>
      </c>
      <c r="QIA28" s="320">
        <f t="shared" ref="QIA28" ca="1" si="1949">IF(QIB28&gt;=1,(QHZ28/QHX28),0)</f>
        <v>0</v>
      </c>
      <c r="QIB28" s="292">
        <f t="shared" ref="QIB28" ca="1" si="1950">QHY28-$G$5</f>
        <v>-591</v>
      </c>
      <c r="QIC28" s="259" t="s">
        <v>55</v>
      </c>
      <c r="QID28" s="256" t="s">
        <v>76</v>
      </c>
      <c r="QIE28" s="256" t="s">
        <v>77</v>
      </c>
      <c r="QIF28" s="256" t="s">
        <v>78</v>
      </c>
      <c r="QIG28" s="256" t="s">
        <v>79</v>
      </c>
      <c r="QIH28" s="256" t="s">
        <v>80</v>
      </c>
      <c r="QII28" s="256" t="s">
        <v>81</v>
      </c>
      <c r="QIJ28" s="331"/>
      <c r="QIK28" s="290">
        <v>45492</v>
      </c>
      <c r="QIL28" s="339" t="s">
        <v>141</v>
      </c>
      <c r="QIM28" s="305"/>
      <c r="QIN28" s="305">
        <v>1</v>
      </c>
      <c r="QIO28" s="304">
        <f t="shared" ref="QIO28" si="1951">EDATE(QIK28,QIN28)</f>
        <v>45523</v>
      </c>
      <c r="QIP28" s="340">
        <v>0</v>
      </c>
      <c r="QIQ28" s="320">
        <f t="shared" ref="QIQ28" ca="1" si="1952">IF(QIR28&gt;=1,(QIP28/QIN28),0)</f>
        <v>0</v>
      </c>
      <c r="QIR28" s="292">
        <f t="shared" ref="QIR28" ca="1" si="1953">QIO28-$G$5</f>
        <v>-591</v>
      </c>
      <c r="QIS28" s="259" t="s">
        <v>55</v>
      </c>
      <c r="QIT28" s="256" t="s">
        <v>76</v>
      </c>
      <c r="QIU28" s="256" t="s">
        <v>77</v>
      </c>
      <c r="QIV28" s="256" t="s">
        <v>78</v>
      </c>
      <c r="QIW28" s="256" t="s">
        <v>79</v>
      </c>
      <c r="QIX28" s="256" t="s">
        <v>80</v>
      </c>
      <c r="QIY28" s="256" t="s">
        <v>81</v>
      </c>
      <c r="QIZ28" s="331"/>
      <c r="QJA28" s="290">
        <v>45492</v>
      </c>
      <c r="QJB28" s="339" t="s">
        <v>141</v>
      </c>
      <c r="QJC28" s="305"/>
      <c r="QJD28" s="305">
        <v>1</v>
      </c>
      <c r="QJE28" s="304">
        <f t="shared" ref="QJE28" si="1954">EDATE(QJA28,QJD28)</f>
        <v>45523</v>
      </c>
      <c r="QJF28" s="340">
        <v>0</v>
      </c>
      <c r="QJG28" s="320">
        <f t="shared" ref="QJG28" ca="1" si="1955">IF(QJH28&gt;=1,(QJF28/QJD28),0)</f>
        <v>0</v>
      </c>
      <c r="QJH28" s="292">
        <f t="shared" ref="QJH28" ca="1" si="1956">QJE28-$G$5</f>
        <v>-591</v>
      </c>
      <c r="QJI28" s="259" t="s">
        <v>55</v>
      </c>
      <c r="QJJ28" s="256" t="s">
        <v>76</v>
      </c>
      <c r="QJK28" s="256" t="s">
        <v>77</v>
      </c>
      <c r="QJL28" s="256" t="s">
        <v>78</v>
      </c>
      <c r="QJM28" s="256" t="s">
        <v>79</v>
      </c>
      <c r="QJN28" s="256" t="s">
        <v>80</v>
      </c>
      <c r="QJO28" s="256" t="s">
        <v>81</v>
      </c>
      <c r="QJP28" s="331"/>
      <c r="QJQ28" s="290">
        <v>45492</v>
      </c>
      <c r="QJR28" s="339" t="s">
        <v>141</v>
      </c>
      <c r="QJS28" s="305"/>
      <c r="QJT28" s="305">
        <v>1</v>
      </c>
      <c r="QJU28" s="304">
        <f t="shared" ref="QJU28" si="1957">EDATE(QJQ28,QJT28)</f>
        <v>45523</v>
      </c>
      <c r="QJV28" s="340">
        <v>0</v>
      </c>
      <c r="QJW28" s="320">
        <f t="shared" ref="QJW28" ca="1" si="1958">IF(QJX28&gt;=1,(QJV28/QJT28),0)</f>
        <v>0</v>
      </c>
      <c r="QJX28" s="292">
        <f t="shared" ref="QJX28" ca="1" si="1959">QJU28-$G$5</f>
        <v>-591</v>
      </c>
      <c r="QJY28" s="259" t="s">
        <v>55</v>
      </c>
      <c r="QJZ28" s="256" t="s">
        <v>76</v>
      </c>
      <c r="QKA28" s="256" t="s">
        <v>77</v>
      </c>
      <c r="QKB28" s="256" t="s">
        <v>78</v>
      </c>
      <c r="QKC28" s="256" t="s">
        <v>79</v>
      </c>
      <c r="QKD28" s="256" t="s">
        <v>80</v>
      </c>
      <c r="QKE28" s="256" t="s">
        <v>81</v>
      </c>
      <c r="QKF28" s="331"/>
      <c r="QKG28" s="290">
        <v>45492</v>
      </c>
      <c r="QKH28" s="339" t="s">
        <v>141</v>
      </c>
      <c r="QKI28" s="305"/>
      <c r="QKJ28" s="305">
        <v>1</v>
      </c>
      <c r="QKK28" s="304">
        <f t="shared" ref="QKK28" si="1960">EDATE(QKG28,QKJ28)</f>
        <v>45523</v>
      </c>
      <c r="QKL28" s="340">
        <v>0</v>
      </c>
      <c r="QKM28" s="320">
        <f t="shared" ref="QKM28" ca="1" si="1961">IF(QKN28&gt;=1,(QKL28/QKJ28),0)</f>
        <v>0</v>
      </c>
      <c r="QKN28" s="292">
        <f t="shared" ref="QKN28" ca="1" si="1962">QKK28-$G$5</f>
        <v>-591</v>
      </c>
      <c r="QKO28" s="259" t="s">
        <v>55</v>
      </c>
      <c r="QKP28" s="256" t="s">
        <v>76</v>
      </c>
      <c r="QKQ28" s="256" t="s">
        <v>77</v>
      </c>
      <c r="QKR28" s="256" t="s">
        <v>78</v>
      </c>
      <c r="QKS28" s="256" t="s">
        <v>79</v>
      </c>
      <c r="QKT28" s="256" t="s">
        <v>80</v>
      </c>
      <c r="QKU28" s="256" t="s">
        <v>81</v>
      </c>
      <c r="QKV28" s="331"/>
      <c r="QKW28" s="290">
        <v>45492</v>
      </c>
      <c r="QKX28" s="339" t="s">
        <v>141</v>
      </c>
      <c r="QKY28" s="305"/>
      <c r="QKZ28" s="305">
        <v>1</v>
      </c>
      <c r="QLA28" s="304">
        <f t="shared" ref="QLA28" si="1963">EDATE(QKW28,QKZ28)</f>
        <v>45523</v>
      </c>
      <c r="QLB28" s="340">
        <v>0</v>
      </c>
      <c r="QLC28" s="320">
        <f t="shared" ref="QLC28" ca="1" si="1964">IF(QLD28&gt;=1,(QLB28/QKZ28),0)</f>
        <v>0</v>
      </c>
      <c r="QLD28" s="292">
        <f t="shared" ref="QLD28" ca="1" si="1965">QLA28-$G$5</f>
        <v>-591</v>
      </c>
      <c r="QLE28" s="259" t="s">
        <v>55</v>
      </c>
      <c r="QLF28" s="256" t="s">
        <v>76</v>
      </c>
      <c r="QLG28" s="256" t="s">
        <v>77</v>
      </c>
      <c r="QLH28" s="256" t="s">
        <v>78</v>
      </c>
      <c r="QLI28" s="256" t="s">
        <v>79</v>
      </c>
      <c r="QLJ28" s="256" t="s">
        <v>80</v>
      </c>
      <c r="QLK28" s="256" t="s">
        <v>81</v>
      </c>
      <c r="QLL28" s="331"/>
      <c r="QLM28" s="290">
        <v>45492</v>
      </c>
      <c r="QLN28" s="339" t="s">
        <v>141</v>
      </c>
      <c r="QLO28" s="305"/>
      <c r="QLP28" s="305">
        <v>1</v>
      </c>
      <c r="QLQ28" s="304">
        <f t="shared" ref="QLQ28" si="1966">EDATE(QLM28,QLP28)</f>
        <v>45523</v>
      </c>
      <c r="QLR28" s="340">
        <v>0</v>
      </c>
      <c r="QLS28" s="320">
        <f t="shared" ref="QLS28" ca="1" si="1967">IF(QLT28&gt;=1,(QLR28/QLP28),0)</f>
        <v>0</v>
      </c>
      <c r="QLT28" s="292">
        <f t="shared" ref="QLT28" ca="1" si="1968">QLQ28-$G$5</f>
        <v>-591</v>
      </c>
      <c r="QLU28" s="259" t="s">
        <v>55</v>
      </c>
      <c r="QLV28" s="256" t="s">
        <v>76</v>
      </c>
      <c r="QLW28" s="256" t="s">
        <v>77</v>
      </c>
      <c r="QLX28" s="256" t="s">
        <v>78</v>
      </c>
      <c r="QLY28" s="256" t="s">
        <v>79</v>
      </c>
      <c r="QLZ28" s="256" t="s">
        <v>80</v>
      </c>
      <c r="QMA28" s="256" t="s">
        <v>81</v>
      </c>
      <c r="QMB28" s="331"/>
      <c r="QMC28" s="290">
        <v>45492</v>
      </c>
      <c r="QMD28" s="339" t="s">
        <v>141</v>
      </c>
      <c r="QME28" s="305"/>
      <c r="QMF28" s="305">
        <v>1</v>
      </c>
      <c r="QMG28" s="304">
        <f t="shared" ref="QMG28" si="1969">EDATE(QMC28,QMF28)</f>
        <v>45523</v>
      </c>
      <c r="QMH28" s="340">
        <v>0</v>
      </c>
      <c r="QMI28" s="320">
        <f t="shared" ref="QMI28" ca="1" si="1970">IF(QMJ28&gt;=1,(QMH28/QMF28),0)</f>
        <v>0</v>
      </c>
      <c r="QMJ28" s="292">
        <f t="shared" ref="QMJ28" ca="1" si="1971">QMG28-$G$5</f>
        <v>-591</v>
      </c>
      <c r="QMK28" s="259" t="s">
        <v>55</v>
      </c>
      <c r="QML28" s="256" t="s">
        <v>76</v>
      </c>
      <c r="QMM28" s="256" t="s">
        <v>77</v>
      </c>
      <c r="QMN28" s="256" t="s">
        <v>78</v>
      </c>
      <c r="QMO28" s="256" t="s">
        <v>79</v>
      </c>
      <c r="QMP28" s="256" t="s">
        <v>80</v>
      </c>
      <c r="QMQ28" s="256" t="s">
        <v>81</v>
      </c>
      <c r="QMR28" s="331"/>
      <c r="QMS28" s="290">
        <v>45492</v>
      </c>
      <c r="QMT28" s="339" t="s">
        <v>141</v>
      </c>
      <c r="QMU28" s="305"/>
      <c r="QMV28" s="305">
        <v>1</v>
      </c>
      <c r="QMW28" s="304">
        <f t="shared" ref="QMW28" si="1972">EDATE(QMS28,QMV28)</f>
        <v>45523</v>
      </c>
      <c r="QMX28" s="340">
        <v>0</v>
      </c>
      <c r="QMY28" s="320">
        <f t="shared" ref="QMY28" ca="1" si="1973">IF(QMZ28&gt;=1,(QMX28/QMV28),0)</f>
        <v>0</v>
      </c>
      <c r="QMZ28" s="292">
        <f t="shared" ref="QMZ28" ca="1" si="1974">QMW28-$G$5</f>
        <v>-591</v>
      </c>
      <c r="QNA28" s="259" t="s">
        <v>55</v>
      </c>
      <c r="QNB28" s="256" t="s">
        <v>76</v>
      </c>
      <c r="QNC28" s="256" t="s">
        <v>77</v>
      </c>
      <c r="QND28" s="256" t="s">
        <v>78</v>
      </c>
      <c r="QNE28" s="256" t="s">
        <v>79</v>
      </c>
      <c r="QNF28" s="256" t="s">
        <v>80</v>
      </c>
      <c r="QNG28" s="256" t="s">
        <v>81</v>
      </c>
      <c r="QNH28" s="331"/>
      <c r="QNI28" s="290">
        <v>45492</v>
      </c>
      <c r="QNJ28" s="339" t="s">
        <v>141</v>
      </c>
      <c r="QNK28" s="305"/>
      <c r="QNL28" s="305">
        <v>1</v>
      </c>
      <c r="QNM28" s="304">
        <f t="shared" ref="QNM28" si="1975">EDATE(QNI28,QNL28)</f>
        <v>45523</v>
      </c>
      <c r="QNN28" s="340">
        <v>0</v>
      </c>
      <c r="QNO28" s="320">
        <f t="shared" ref="QNO28" ca="1" si="1976">IF(QNP28&gt;=1,(QNN28/QNL28),0)</f>
        <v>0</v>
      </c>
      <c r="QNP28" s="292">
        <f t="shared" ref="QNP28" ca="1" si="1977">QNM28-$G$5</f>
        <v>-591</v>
      </c>
      <c r="QNQ28" s="259" t="s">
        <v>55</v>
      </c>
      <c r="QNR28" s="256" t="s">
        <v>76</v>
      </c>
      <c r="QNS28" s="256" t="s">
        <v>77</v>
      </c>
      <c r="QNT28" s="256" t="s">
        <v>78</v>
      </c>
      <c r="QNU28" s="256" t="s">
        <v>79</v>
      </c>
      <c r="QNV28" s="256" t="s">
        <v>80</v>
      </c>
      <c r="QNW28" s="256" t="s">
        <v>81</v>
      </c>
      <c r="QNX28" s="331"/>
      <c r="QNY28" s="290">
        <v>45492</v>
      </c>
      <c r="QNZ28" s="339" t="s">
        <v>141</v>
      </c>
      <c r="QOA28" s="305"/>
      <c r="QOB28" s="305">
        <v>1</v>
      </c>
      <c r="QOC28" s="304">
        <f t="shared" ref="QOC28" si="1978">EDATE(QNY28,QOB28)</f>
        <v>45523</v>
      </c>
      <c r="QOD28" s="340">
        <v>0</v>
      </c>
      <c r="QOE28" s="320">
        <f t="shared" ref="QOE28" ca="1" si="1979">IF(QOF28&gt;=1,(QOD28/QOB28),0)</f>
        <v>0</v>
      </c>
      <c r="QOF28" s="292">
        <f t="shared" ref="QOF28" ca="1" si="1980">QOC28-$G$5</f>
        <v>-591</v>
      </c>
      <c r="QOG28" s="259" t="s">
        <v>55</v>
      </c>
      <c r="QOH28" s="256" t="s">
        <v>76</v>
      </c>
      <c r="QOI28" s="256" t="s">
        <v>77</v>
      </c>
      <c r="QOJ28" s="256" t="s">
        <v>78</v>
      </c>
      <c r="QOK28" s="256" t="s">
        <v>79</v>
      </c>
      <c r="QOL28" s="256" t="s">
        <v>80</v>
      </c>
      <c r="QOM28" s="256" t="s">
        <v>81</v>
      </c>
      <c r="QON28" s="331"/>
      <c r="QOO28" s="290">
        <v>45492</v>
      </c>
      <c r="QOP28" s="339" t="s">
        <v>141</v>
      </c>
      <c r="QOQ28" s="305"/>
      <c r="QOR28" s="305">
        <v>1</v>
      </c>
      <c r="QOS28" s="304">
        <f t="shared" ref="QOS28" si="1981">EDATE(QOO28,QOR28)</f>
        <v>45523</v>
      </c>
      <c r="QOT28" s="340">
        <v>0</v>
      </c>
      <c r="QOU28" s="320">
        <f t="shared" ref="QOU28" ca="1" si="1982">IF(QOV28&gt;=1,(QOT28/QOR28),0)</f>
        <v>0</v>
      </c>
      <c r="QOV28" s="292">
        <f t="shared" ref="QOV28" ca="1" si="1983">QOS28-$G$5</f>
        <v>-591</v>
      </c>
      <c r="QOW28" s="259" t="s">
        <v>55</v>
      </c>
      <c r="QOX28" s="256" t="s">
        <v>76</v>
      </c>
      <c r="QOY28" s="256" t="s">
        <v>77</v>
      </c>
      <c r="QOZ28" s="256" t="s">
        <v>78</v>
      </c>
      <c r="QPA28" s="256" t="s">
        <v>79</v>
      </c>
      <c r="QPB28" s="256" t="s">
        <v>80</v>
      </c>
      <c r="QPC28" s="256" t="s">
        <v>81</v>
      </c>
      <c r="QPD28" s="331"/>
      <c r="QPE28" s="290">
        <v>45492</v>
      </c>
      <c r="QPF28" s="339" t="s">
        <v>141</v>
      </c>
      <c r="QPG28" s="305"/>
      <c r="QPH28" s="305">
        <v>1</v>
      </c>
      <c r="QPI28" s="304">
        <f t="shared" ref="QPI28" si="1984">EDATE(QPE28,QPH28)</f>
        <v>45523</v>
      </c>
      <c r="QPJ28" s="340">
        <v>0</v>
      </c>
      <c r="QPK28" s="320">
        <f t="shared" ref="QPK28" ca="1" si="1985">IF(QPL28&gt;=1,(QPJ28/QPH28),0)</f>
        <v>0</v>
      </c>
      <c r="QPL28" s="292">
        <f t="shared" ref="QPL28" ca="1" si="1986">QPI28-$G$5</f>
        <v>-591</v>
      </c>
      <c r="QPM28" s="259" t="s">
        <v>55</v>
      </c>
      <c r="QPN28" s="256" t="s">
        <v>76</v>
      </c>
      <c r="QPO28" s="256" t="s">
        <v>77</v>
      </c>
      <c r="QPP28" s="256" t="s">
        <v>78</v>
      </c>
      <c r="QPQ28" s="256" t="s">
        <v>79</v>
      </c>
      <c r="QPR28" s="256" t="s">
        <v>80</v>
      </c>
      <c r="QPS28" s="256" t="s">
        <v>81</v>
      </c>
      <c r="QPT28" s="331"/>
      <c r="QPU28" s="290">
        <v>45492</v>
      </c>
      <c r="QPV28" s="339" t="s">
        <v>141</v>
      </c>
      <c r="QPW28" s="305"/>
      <c r="QPX28" s="305">
        <v>1</v>
      </c>
      <c r="QPY28" s="304">
        <f t="shared" ref="QPY28" si="1987">EDATE(QPU28,QPX28)</f>
        <v>45523</v>
      </c>
      <c r="QPZ28" s="340">
        <v>0</v>
      </c>
      <c r="QQA28" s="320">
        <f t="shared" ref="QQA28" ca="1" si="1988">IF(QQB28&gt;=1,(QPZ28/QPX28),0)</f>
        <v>0</v>
      </c>
      <c r="QQB28" s="292">
        <f t="shared" ref="QQB28" ca="1" si="1989">QPY28-$G$5</f>
        <v>-591</v>
      </c>
      <c r="QQC28" s="259" t="s">
        <v>55</v>
      </c>
      <c r="QQD28" s="256" t="s">
        <v>76</v>
      </c>
      <c r="QQE28" s="256" t="s">
        <v>77</v>
      </c>
      <c r="QQF28" s="256" t="s">
        <v>78</v>
      </c>
      <c r="QQG28" s="256" t="s">
        <v>79</v>
      </c>
      <c r="QQH28" s="256" t="s">
        <v>80</v>
      </c>
      <c r="QQI28" s="256" t="s">
        <v>81</v>
      </c>
      <c r="QQJ28" s="331"/>
      <c r="QQK28" s="290">
        <v>45492</v>
      </c>
      <c r="QQL28" s="339" t="s">
        <v>141</v>
      </c>
      <c r="QQM28" s="305"/>
      <c r="QQN28" s="305">
        <v>1</v>
      </c>
      <c r="QQO28" s="304">
        <f t="shared" ref="QQO28" si="1990">EDATE(QQK28,QQN28)</f>
        <v>45523</v>
      </c>
      <c r="QQP28" s="340">
        <v>0</v>
      </c>
      <c r="QQQ28" s="320">
        <f t="shared" ref="QQQ28" ca="1" si="1991">IF(QQR28&gt;=1,(QQP28/QQN28),0)</f>
        <v>0</v>
      </c>
      <c r="QQR28" s="292">
        <f t="shared" ref="QQR28" ca="1" si="1992">QQO28-$G$5</f>
        <v>-591</v>
      </c>
      <c r="QQS28" s="259" t="s">
        <v>55</v>
      </c>
      <c r="QQT28" s="256" t="s">
        <v>76</v>
      </c>
      <c r="QQU28" s="256" t="s">
        <v>77</v>
      </c>
      <c r="QQV28" s="256" t="s">
        <v>78</v>
      </c>
      <c r="QQW28" s="256" t="s">
        <v>79</v>
      </c>
      <c r="QQX28" s="256" t="s">
        <v>80</v>
      </c>
      <c r="QQY28" s="256" t="s">
        <v>81</v>
      </c>
      <c r="QQZ28" s="331"/>
      <c r="QRA28" s="290">
        <v>45492</v>
      </c>
      <c r="QRB28" s="339" t="s">
        <v>141</v>
      </c>
      <c r="QRC28" s="305"/>
      <c r="QRD28" s="305">
        <v>1</v>
      </c>
      <c r="QRE28" s="304">
        <f t="shared" ref="QRE28" si="1993">EDATE(QRA28,QRD28)</f>
        <v>45523</v>
      </c>
      <c r="QRF28" s="340">
        <v>0</v>
      </c>
      <c r="QRG28" s="320">
        <f t="shared" ref="QRG28" ca="1" si="1994">IF(QRH28&gt;=1,(QRF28/QRD28),0)</f>
        <v>0</v>
      </c>
      <c r="QRH28" s="292">
        <f t="shared" ref="QRH28" ca="1" si="1995">QRE28-$G$5</f>
        <v>-591</v>
      </c>
      <c r="QRI28" s="259" t="s">
        <v>55</v>
      </c>
      <c r="QRJ28" s="256" t="s">
        <v>76</v>
      </c>
      <c r="QRK28" s="256" t="s">
        <v>77</v>
      </c>
      <c r="QRL28" s="256" t="s">
        <v>78</v>
      </c>
      <c r="QRM28" s="256" t="s">
        <v>79</v>
      </c>
      <c r="QRN28" s="256" t="s">
        <v>80</v>
      </c>
      <c r="QRO28" s="256" t="s">
        <v>81</v>
      </c>
      <c r="QRP28" s="331"/>
      <c r="QRQ28" s="290">
        <v>45492</v>
      </c>
      <c r="QRR28" s="339" t="s">
        <v>141</v>
      </c>
      <c r="QRS28" s="305"/>
      <c r="QRT28" s="305">
        <v>1</v>
      </c>
      <c r="QRU28" s="304">
        <f t="shared" ref="QRU28" si="1996">EDATE(QRQ28,QRT28)</f>
        <v>45523</v>
      </c>
      <c r="QRV28" s="340">
        <v>0</v>
      </c>
      <c r="QRW28" s="320">
        <f t="shared" ref="QRW28" ca="1" si="1997">IF(QRX28&gt;=1,(QRV28/QRT28),0)</f>
        <v>0</v>
      </c>
      <c r="QRX28" s="292">
        <f t="shared" ref="QRX28" ca="1" si="1998">QRU28-$G$5</f>
        <v>-591</v>
      </c>
      <c r="QRY28" s="259" t="s">
        <v>55</v>
      </c>
      <c r="QRZ28" s="256" t="s">
        <v>76</v>
      </c>
      <c r="QSA28" s="256" t="s">
        <v>77</v>
      </c>
      <c r="QSB28" s="256" t="s">
        <v>78</v>
      </c>
      <c r="QSC28" s="256" t="s">
        <v>79</v>
      </c>
      <c r="QSD28" s="256" t="s">
        <v>80</v>
      </c>
      <c r="QSE28" s="256" t="s">
        <v>81</v>
      </c>
      <c r="QSF28" s="331"/>
      <c r="QSG28" s="290">
        <v>45492</v>
      </c>
      <c r="QSH28" s="339" t="s">
        <v>141</v>
      </c>
      <c r="QSI28" s="305"/>
      <c r="QSJ28" s="305">
        <v>1</v>
      </c>
      <c r="QSK28" s="304">
        <f t="shared" ref="QSK28" si="1999">EDATE(QSG28,QSJ28)</f>
        <v>45523</v>
      </c>
      <c r="QSL28" s="340">
        <v>0</v>
      </c>
      <c r="QSM28" s="320">
        <f t="shared" ref="QSM28" ca="1" si="2000">IF(QSN28&gt;=1,(QSL28/QSJ28),0)</f>
        <v>0</v>
      </c>
      <c r="QSN28" s="292">
        <f t="shared" ref="QSN28" ca="1" si="2001">QSK28-$G$5</f>
        <v>-591</v>
      </c>
      <c r="QSO28" s="259" t="s">
        <v>55</v>
      </c>
      <c r="QSP28" s="256" t="s">
        <v>76</v>
      </c>
      <c r="QSQ28" s="256" t="s">
        <v>77</v>
      </c>
      <c r="QSR28" s="256" t="s">
        <v>78</v>
      </c>
      <c r="QSS28" s="256" t="s">
        <v>79</v>
      </c>
      <c r="QST28" s="256" t="s">
        <v>80</v>
      </c>
      <c r="QSU28" s="256" t="s">
        <v>81</v>
      </c>
      <c r="QSV28" s="331"/>
      <c r="QSW28" s="290">
        <v>45492</v>
      </c>
      <c r="QSX28" s="339" t="s">
        <v>141</v>
      </c>
      <c r="QSY28" s="305"/>
      <c r="QSZ28" s="305">
        <v>1</v>
      </c>
      <c r="QTA28" s="304">
        <f t="shared" ref="QTA28" si="2002">EDATE(QSW28,QSZ28)</f>
        <v>45523</v>
      </c>
      <c r="QTB28" s="340">
        <v>0</v>
      </c>
      <c r="QTC28" s="320">
        <f t="shared" ref="QTC28" ca="1" si="2003">IF(QTD28&gt;=1,(QTB28/QSZ28),0)</f>
        <v>0</v>
      </c>
      <c r="QTD28" s="292">
        <f t="shared" ref="QTD28" ca="1" si="2004">QTA28-$G$5</f>
        <v>-591</v>
      </c>
      <c r="QTE28" s="259" t="s">
        <v>55</v>
      </c>
      <c r="QTF28" s="256" t="s">
        <v>76</v>
      </c>
      <c r="QTG28" s="256" t="s">
        <v>77</v>
      </c>
      <c r="QTH28" s="256" t="s">
        <v>78</v>
      </c>
      <c r="QTI28" s="256" t="s">
        <v>79</v>
      </c>
      <c r="QTJ28" s="256" t="s">
        <v>80</v>
      </c>
      <c r="QTK28" s="256" t="s">
        <v>81</v>
      </c>
      <c r="QTL28" s="331"/>
      <c r="QTM28" s="290">
        <v>45492</v>
      </c>
      <c r="QTN28" s="339" t="s">
        <v>141</v>
      </c>
      <c r="QTO28" s="305"/>
      <c r="QTP28" s="305">
        <v>1</v>
      </c>
      <c r="QTQ28" s="304">
        <f t="shared" ref="QTQ28" si="2005">EDATE(QTM28,QTP28)</f>
        <v>45523</v>
      </c>
      <c r="QTR28" s="340">
        <v>0</v>
      </c>
      <c r="QTS28" s="320">
        <f t="shared" ref="QTS28" ca="1" si="2006">IF(QTT28&gt;=1,(QTR28/QTP28),0)</f>
        <v>0</v>
      </c>
      <c r="QTT28" s="292">
        <f t="shared" ref="QTT28" ca="1" si="2007">QTQ28-$G$5</f>
        <v>-591</v>
      </c>
      <c r="QTU28" s="259" t="s">
        <v>55</v>
      </c>
      <c r="QTV28" s="256" t="s">
        <v>76</v>
      </c>
      <c r="QTW28" s="256" t="s">
        <v>77</v>
      </c>
      <c r="QTX28" s="256" t="s">
        <v>78</v>
      </c>
      <c r="QTY28" s="256" t="s">
        <v>79</v>
      </c>
      <c r="QTZ28" s="256" t="s">
        <v>80</v>
      </c>
      <c r="QUA28" s="256" t="s">
        <v>81</v>
      </c>
      <c r="QUB28" s="331"/>
      <c r="QUC28" s="290">
        <v>45492</v>
      </c>
      <c r="QUD28" s="339" t="s">
        <v>141</v>
      </c>
      <c r="QUE28" s="305"/>
      <c r="QUF28" s="305">
        <v>1</v>
      </c>
      <c r="QUG28" s="304">
        <f t="shared" ref="QUG28" si="2008">EDATE(QUC28,QUF28)</f>
        <v>45523</v>
      </c>
      <c r="QUH28" s="340">
        <v>0</v>
      </c>
      <c r="QUI28" s="320">
        <f t="shared" ref="QUI28" ca="1" si="2009">IF(QUJ28&gt;=1,(QUH28/QUF28),0)</f>
        <v>0</v>
      </c>
      <c r="QUJ28" s="292">
        <f t="shared" ref="QUJ28" ca="1" si="2010">QUG28-$G$5</f>
        <v>-591</v>
      </c>
      <c r="QUK28" s="259" t="s">
        <v>55</v>
      </c>
      <c r="QUL28" s="256" t="s">
        <v>76</v>
      </c>
      <c r="QUM28" s="256" t="s">
        <v>77</v>
      </c>
      <c r="QUN28" s="256" t="s">
        <v>78</v>
      </c>
      <c r="QUO28" s="256" t="s">
        <v>79</v>
      </c>
      <c r="QUP28" s="256" t="s">
        <v>80</v>
      </c>
      <c r="QUQ28" s="256" t="s">
        <v>81</v>
      </c>
      <c r="QUR28" s="331"/>
      <c r="QUS28" s="290">
        <v>45492</v>
      </c>
      <c r="QUT28" s="339" t="s">
        <v>141</v>
      </c>
      <c r="QUU28" s="305"/>
      <c r="QUV28" s="305">
        <v>1</v>
      </c>
      <c r="QUW28" s="304">
        <f t="shared" ref="QUW28" si="2011">EDATE(QUS28,QUV28)</f>
        <v>45523</v>
      </c>
      <c r="QUX28" s="340">
        <v>0</v>
      </c>
      <c r="QUY28" s="320">
        <f t="shared" ref="QUY28" ca="1" si="2012">IF(QUZ28&gt;=1,(QUX28/QUV28),0)</f>
        <v>0</v>
      </c>
      <c r="QUZ28" s="292">
        <f t="shared" ref="QUZ28" ca="1" si="2013">QUW28-$G$5</f>
        <v>-591</v>
      </c>
      <c r="QVA28" s="259" t="s">
        <v>55</v>
      </c>
      <c r="QVB28" s="256" t="s">
        <v>76</v>
      </c>
      <c r="QVC28" s="256" t="s">
        <v>77</v>
      </c>
      <c r="QVD28" s="256" t="s">
        <v>78</v>
      </c>
      <c r="QVE28" s="256" t="s">
        <v>79</v>
      </c>
      <c r="QVF28" s="256" t="s">
        <v>80</v>
      </c>
      <c r="QVG28" s="256" t="s">
        <v>81</v>
      </c>
      <c r="QVH28" s="331"/>
      <c r="QVI28" s="290">
        <v>45492</v>
      </c>
      <c r="QVJ28" s="339" t="s">
        <v>141</v>
      </c>
      <c r="QVK28" s="305"/>
      <c r="QVL28" s="305">
        <v>1</v>
      </c>
      <c r="QVM28" s="304">
        <f t="shared" ref="QVM28" si="2014">EDATE(QVI28,QVL28)</f>
        <v>45523</v>
      </c>
      <c r="QVN28" s="340">
        <v>0</v>
      </c>
      <c r="QVO28" s="320">
        <f t="shared" ref="QVO28" ca="1" si="2015">IF(QVP28&gt;=1,(QVN28/QVL28),0)</f>
        <v>0</v>
      </c>
      <c r="QVP28" s="292">
        <f t="shared" ref="QVP28" ca="1" si="2016">QVM28-$G$5</f>
        <v>-591</v>
      </c>
      <c r="QVQ28" s="259" t="s">
        <v>55</v>
      </c>
      <c r="QVR28" s="256" t="s">
        <v>76</v>
      </c>
      <c r="QVS28" s="256" t="s">
        <v>77</v>
      </c>
      <c r="QVT28" s="256" t="s">
        <v>78</v>
      </c>
      <c r="QVU28" s="256" t="s">
        <v>79</v>
      </c>
      <c r="QVV28" s="256" t="s">
        <v>80</v>
      </c>
      <c r="QVW28" s="256" t="s">
        <v>81</v>
      </c>
      <c r="QVX28" s="331"/>
      <c r="QVY28" s="290">
        <v>45492</v>
      </c>
      <c r="QVZ28" s="339" t="s">
        <v>141</v>
      </c>
      <c r="QWA28" s="305"/>
      <c r="QWB28" s="305">
        <v>1</v>
      </c>
      <c r="QWC28" s="304">
        <f t="shared" ref="QWC28" si="2017">EDATE(QVY28,QWB28)</f>
        <v>45523</v>
      </c>
      <c r="QWD28" s="340">
        <v>0</v>
      </c>
      <c r="QWE28" s="320">
        <f t="shared" ref="QWE28" ca="1" si="2018">IF(QWF28&gt;=1,(QWD28/QWB28),0)</f>
        <v>0</v>
      </c>
      <c r="QWF28" s="292">
        <f t="shared" ref="QWF28" ca="1" si="2019">QWC28-$G$5</f>
        <v>-591</v>
      </c>
      <c r="QWG28" s="259" t="s">
        <v>55</v>
      </c>
      <c r="QWH28" s="256" t="s">
        <v>76</v>
      </c>
      <c r="QWI28" s="256" t="s">
        <v>77</v>
      </c>
      <c r="QWJ28" s="256" t="s">
        <v>78</v>
      </c>
      <c r="QWK28" s="256" t="s">
        <v>79</v>
      </c>
      <c r="QWL28" s="256" t="s">
        <v>80</v>
      </c>
      <c r="QWM28" s="256" t="s">
        <v>81</v>
      </c>
      <c r="QWN28" s="331"/>
      <c r="QWO28" s="290">
        <v>45492</v>
      </c>
      <c r="QWP28" s="339" t="s">
        <v>141</v>
      </c>
      <c r="QWQ28" s="305"/>
      <c r="QWR28" s="305">
        <v>1</v>
      </c>
      <c r="QWS28" s="304">
        <f t="shared" ref="QWS28" si="2020">EDATE(QWO28,QWR28)</f>
        <v>45523</v>
      </c>
      <c r="QWT28" s="340">
        <v>0</v>
      </c>
      <c r="QWU28" s="320">
        <f t="shared" ref="QWU28" ca="1" si="2021">IF(QWV28&gt;=1,(QWT28/QWR28),0)</f>
        <v>0</v>
      </c>
      <c r="QWV28" s="292">
        <f t="shared" ref="QWV28" ca="1" si="2022">QWS28-$G$5</f>
        <v>-591</v>
      </c>
      <c r="QWW28" s="259" t="s">
        <v>55</v>
      </c>
      <c r="QWX28" s="256" t="s">
        <v>76</v>
      </c>
      <c r="QWY28" s="256" t="s">
        <v>77</v>
      </c>
      <c r="QWZ28" s="256" t="s">
        <v>78</v>
      </c>
      <c r="QXA28" s="256" t="s">
        <v>79</v>
      </c>
      <c r="QXB28" s="256" t="s">
        <v>80</v>
      </c>
      <c r="QXC28" s="256" t="s">
        <v>81</v>
      </c>
      <c r="QXD28" s="331"/>
      <c r="QXE28" s="290">
        <v>45492</v>
      </c>
      <c r="QXF28" s="339" t="s">
        <v>141</v>
      </c>
      <c r="QXG28" s="305"/>
      <c r="QXH28" s="305">
        <v>1</v>
      </c>
      <c r="QXI28" s="304">
        <f t="shared" ref="QXI28" si="2023">EDATE(QXE28,QXH28)</f>
        <v>45523</v>
      </c>
      <c r="QXJ28" s="340">
        <v>0</v>
      </c>
      <c r="QXK28" s="320">
        <f t="shared" ref="QXK28" ca="1" si="2024">IF(QXL28&gt;=1,(QXJ28/QXH28),0)</f>
        <v>0</v>
      </c>
      <c r="QXL28" s="292">
        <f t="shared" ref="QXL28" ca="1" si="2025">QXI28-$G$5</f>
        <v>-591</v>
      </c>
      <c r="QXM28" s="259" t="s">
        <v>55</v>
      </c>
      <c r="QXN28" s="256" t="s">
        <v>76</v>
      </c>
      <c r="QXO28" s="256" t="s">
        <v>77</v>
      </c>
      <c r="QXP28" s="256" t="s">
        <v>78</v>
      </c>
      <c r="QXQ28" s="256" t="s">
        <v>79</v>
      </c>
      <c r="QXR28" s="256" t="s">
        <v>80</v>
      </c>
      <c r="QXS28" s="256" t="s">
        <v>81</v>
      </c>
      <c r="QXT28" s="331"/>
      <c r="QXU28" s="290">
        <v>45492</v>
      </c>
      <c r="QXV28" s="339" t="s">
        <v>141</v>
      </c>
      <c r="QXW28" s="305"/>
      <c r="QXX28" s="305">
        <v>1</v>
      </c>
      <c r="QXY28" s="304">
        <f t="shared" ref="QXY28" si="2026">EDATE(QXU28,QXX28)</f>
        <v>45523</v>
      </c>
      <c r="QXZ28" s="340">
        <v>0</v>
      </c>
      <c r="QYA28" s="320">
        <f t="shared" ref="QYA28" ca="1" si="2027">IF(QYB28&gt;=1,(QXZ28/QXX28),0)</f>
        <v>0</v>
      </c>
      <c r="QYB28" s="292">
        <f t="shared" ref="QYB28" ca="1" si="2028">QXY28-$G$5</f>
        <v>-591</v>
      </c>
      <c r="QYC28" s="259" t="s">
        <v>55</v>
      </c>
      <c r="QYD28" s="256" t="s">
        <v>76</v>
      </c>
      <c r="QYE28" s="256" t="s">
        <v>77</v>
      </c>
      <c r="QYF28" s="256" t="s">
        <v>78</v>
      </c>
      <c r="QYG28" s="256" t="s">
        <v>79</v>
      </c>
      <c r="QYH28" s="256" t="s">
        <v>80</v>
      </c>
      <c r="QYI28" s="256" t="s">
        <v>81</v>
      </c>
      <c r="QYJ28" s="331"/>
      <c r="QYK28" s="290">
        <v>45492</v>
      </c>
      <c r="QYL28" s="339" t="s">
        <v>141</v>
      </c>
      <c r="QYM28" s="305"/>
      <c r="QYN28" s="305">
        <v>1</v>
      </c>
      <c r="QYO28" s="304">
        <f t="shared" ref="QYO28" si="2029">EDATE(QYK28,QYN28)</f>
        <v>45523</v>
      </c>
      <c r="QYP28" s="340">
        <v>0</v>
      </c>
      <c r="QYQ28" s="320">
        <f t="shared" ref="QYQ28" ca="1" si="2030">IF(QYR28&gt;=1,(QYP28/QYN28),0)</f>
        <v>0</v>
      </c>
      <c r="QYR28" s="292">
        <f t="shared" ref="QYR28" ca="1" si="2031">QYO28-$G$5</f>
        <v>-591</v>
      </c>
      <c r="QYS28" s="259" t="s">
        <v>55</v>
      </c>
      <c r="QYT28" s="256" t="s">
        <v>76</v>
      </c>
      <c r="QYU28" s="256" t="s">
        <v>77</v>
      </c>
      <c r="QYV28" s="256" t="s">
        <v>78</v>
      </c>
      <c r="QYW28" s="256" t="s">
        <v>79</v>
      </c>
      <c r="QYX28" s="256" t="s">
        <v>80</v>
      </c>
      <c r="QYY28" s="256" t="s">
        <v>81</v>
      </c>
      <c r="QYZ28" s="331"/>
      <c r="QZA28" s="290">
        <v>45492</v>
      </c>
      <c r="QZB28" s="339" t="s">
        <v>141</v>
      </c>
      <c r="QZC28" s="305"/>
      <c r="QZD28" s="305">
        <v>1</v>
      </c>
      <c r="QZE28" s="304">
        <f t="shared" ref="QZE28" si="2032">EDATE(QZA28,QZD28)</f>
        <v>45523</v>
      </c>
      <c r="QZF28" s="340">
        <v>0</v>
      </c>
      <c r="QZG28" s="320">
        <f t="shared" ref="QZG28" ca="1" si="2033">IF(QZH28&gt;=1,(QZF28/QZD28),0)</f>
        <v>0</v>
      </c>
      <c r="QZH28" s="292">
        <f t="shared" ref="QZH28" ca="1" si="2034">QZE28-$G$5</f>
        <v>-591</v>
      </c>
      <c r="QZI28" s="259" t="s">
        <v>55</v>
      </c>
      <c r="QZJ28" s="256" t="s">
        <v>76</v>
      </c>
      <c r="QZK28" s="256" t="s">
        <v>77</v>
      </c>
      <c r="QZL28" s="256" t="s">
        <v>78</v>
      </c>
      <c r="QZM28" s="256" t="s">
        <v>79</v>
      </c>
      <c r="QZN28" s="256" t="s">
        <v>80</v>
      </c>
      <c r="QZO28" s="256" t="s">
        <v>81</v>
      </c>
      <c r="QZP28" s="331"/>
      <c r="QZQ28" s="290">
        <v>45492</v>
      </c>
      <c r="QZR28" s="339" t="s">
        <v>141</v>
      </c>
      <c r="QZS28" s="305"/>
      <c r="QZT28" s="305">
        <v>1</v>
      </c>
      <c r="QZU28" s="304">
        <f t="shared" ref="QZU28" si="2035">EDATE(QZQ28,QZT28)</f>
        <v>45523</v>
      </c>
      <c r="QZV28" s="340">
        <v>0</v>
      </c>
      <c r="QZW28" s="320">
        <f t="shared" ref="QZW28" ca="1" si="2036">IF(QZX28&gt;=1,(QZV28/QZT28),0)</f>
        <v>0</v>
      </c>
      <c r="QZX28" s="292">
        <f t="shared" ref="QZX28" ca="1" si="2037">QZU28-$G$5</f>
        <v>-591</v>
      </c>
      <c r="QZY28" s="259" t="s">
        <v>55</v>
      </c>
      <c r="QZZ28" s="256" t="s">
        <v>76</v>
      </c>
      <c r="RAA28" s="256" t="s">
        <v>77</v>
      </c>
      <c r="RAB28" s="256" t="s">
        <v>78</v>
      </c>
      <c r="RAC28" s="256" t="s">
        <v>79</v>
      </c>
      <c r="RAD28" s="256" t="s">
        <v>80</v>
      </c>
      <c r="RAE28" s="256" t="s">
        <v>81</v>
      </c>
      <c r="RAF28" s="331"/>
      <c r="RAG28" s="290">
        <v>45492</v>
      </c>
      <c r="RAH28" s="339" t="s">
        <v>141</v>
      </c>
      <c r="RAI28" s="305"/>
      <c r="RAJ28" s="305">
        <v>1</v>
      </c>
      <c r="RAK28" s="304">
        <f t="shared" ref="RAK28" si="2038">EDATE(RAG28,RAJ28)</f>
        <v>45523</v>
      </c>
      <c r="RAL28" s="340">
        <v>0</v>
      </c>
      <c r="RAM28" s="320">
        <f t="shared" ref="RAM28" ca="1" si="2039">IF(RAN28&gt;=1,(RAL28/RAJ28),0)</f>
        <v>0</v>
      </c>
      <c r="RAN28" s="292">
        <f t="shared" ref="RAN28" ca="1" si="2040">RAK28-$G$5</f>
        <v>-591</v>
      </c>
      <c r="RAO28" s="259" t="s">
        <v>55</v>
      </c>
      <c r="RAP28" s="256" t="s">
        <v>76</v>
      </c>
      <c r="RAQ28" s="256" t="s">
        <v>77</v>
      </c>
      <c r="RAR28" s="256" t="s">
        <v>78</v>
      </c>
      <c r="RAS28" s="256" t="s">
        <v>79</v>
      </c>
      <c r="RAT28" s="256" t="s">
        <v>80</v>
      </c>
      <c r="RAU28" s="256" t="s">
        <v>81</v>
      </c>
      <c r="RAV28" s="331"/>
      <c r="RAW28" s="290">
        <v>45492</v>
      </c>
      <c r="RAX28" s="339" t="s">
        <v>141</v>
      </c>
      <c r="RAY28" s="305"/>
      <c r="RAZ28" s="305">
        <v>1</v>
      </c>
      <c r="RBA28" s="304">
        <f t="shared" ref="RBA28" si="2041">EDATE(RAW28,RAZ28)</f>
        <v>45523</v>
      </c>
      <c r="RBB28" s="340">
        <v>0</v>
      </c>
      <c r="RBC28" s="320">
        <f t="shared" ref="RBC28" ca="1" si="2042">IF(RBD28&gt;=1,(RBB28/RAZ28),0)</f>
        <v>0</v>
      </c>
      <c r="RBD28" s="292">
        <f t="shared" ref="RBD28" ca="1" si="2043">RBA28-$G$5</f>
        <v>-591</v>
      </c>
      <c r="RBE28" s="259" t="s">
        <v>55</v>
      </c>
      <c r="RBF28" s="256" t="s">
        <v>76</v>
      </c>
      <c r="RBG28" s="256" t="s">
        <v>77</v>
      </c>
      <c r="RBH28" s="256" t="s">
        <v>78</v>
      </c>
      <c r="RBI28" s="256" t="s">
        <v>79</v>
      </c>
      <c r="RBJ28" s="256" t="s">
        <v>80</v>
      </c>
      <c r="RBK28" s="256" t="s">
        <v>81</v>
      </c>
      <c r="RBL28" s="331"/>
      <c r="RBM28" s="290">
        <v>45492</v>
      </c>
      <c r="RBN28" s="339" t="s">
        <v>141</v>
      </c>
      <c r="RBO28" s="305"/>
      <c r="RBP28" s="305">
        <v>1</v>
      </c>
      <c r="RBQ28" s="304">
        <f t="shared" ref="RBQ28" si="2044">EDATE(RBM28,RBP28)</f>
        <v>45523</v>
      </c>
      <c r="RBR28" s="340">
        <v>0</v>
      </c>
      <c r="RBS28" s="320">
        <f t="shared" ref="RBS28" ca="1" si="2045">IF(RBT28&gt;=1,(RBR28/RBP28),0)</f>
        <v>0</v>
      </c>
      <c r="RBT28" s="292">
        <f t="shared" ref="RBT28" ca="1" si="2046">RBQ28-$G$5</f>
        <v>-591</v>
      </c>
      <c r="RBU28" s="259" t="s">
        <v>55</v>
      </c>
      <c r="RBV28" s="256" t="s">
        <v>76</v>
      </c>
      <c r="RBW28" s="256" t="s">
        <v>77</v>
      </c>
      <c r="RBX28" s="256" t="s">
        <v>78</v>
      </c>
      <c r="RBY28" s="256" t="s">
        <v>79</v>
      </c>
      <c r="RBZ28" s="256" t="s">
        <v>80</v>
      </c>
      <c r="RCA28" s="256" t="s">
        <v>81</v>
      </c>
      <c r="RCB28" s="331"/>
      <c r="RCC28" s="290">
        <v>45492</v>
      </c>
      <c r="RCD28" s="339" t="s">
        <v>141</v>
      </c>
      <c r="RCE28" s="305"/>
      <c r="RCF28" s="305">
        <v>1</v>
      </c>
      <c r="RCG28" s="304">
        <f t="shared" ref="RCG28" si="2047">EDATE(RCC28,RCF28)</f>
        <v>45523</v>
      </c>
      <c r="RCH28" s="340">
        <v>0</v>
      </c>
      <c r="RCI28" s="320">
        <f t="shared" ref="RCI28" ca="1" si="2048">IF(RCJ28&gt;=1,(RCH28/RCF28),0)</f>
        <v>0</v>
      </c>
      <c r="RCJ28" s="292">
        <f t="shared" ref="RCJ28" ca="1" si="2049">RCG28-$G$5</f>
        <v>-591</v>
      </c>
      <c r="RCK28" s="259" t="s">
        <v>55</v>
      </c>
      <c r="RCL28" s="256" t="s">
        <v>76</v>
      </c>
      <c r="RCM28" s="256" t="s">
        <v>77</v>
      </c>
      <c r="RCN28" s="256" t="s">
        <v>78</v>
      </c>
      <c r="RCO28" s="256" t="s">
        <v>79</v>
      </c>
      <c r="RCP28" s="256" t="s">
        <v>80</v>
      </c>
      <c r="RCQ28" s="256" t="s">
        <v>81</v>
      </c>
      <c r="RCR28" s="331"/>
      <c r="RCS28" s="290">
        <v>45492</v>
      </c>
      <c r="RCT28" s="339" t="s">
        <v>141</v>
      </c>
      <c r="RCU28" s="305"/>
      <c r="RCV28" s="305">
        <v>1</v>
      </c>
      <c r="RCW28" s="304">
        <f t="shared" ref="RCW28" si="2050">EDATE(RCS28,RCV28)</f>
        <v>45523</v>
      </c>
      <c r="RCX28" s="340">
        <v>0</v>
      </c>
      <c r="RCY28" s="320">
        <f t="shared" ref="RCY28" ca="1" si="2051">IF(RCZ28&gt;=1,(RCX28/RCV28),0)</f>
        <v>0</v>
      </c>
      <c r="RCZ28" s="292">
        <f t="shared" ref="RCZ28" ca="1" si="2052">RCW28-$G$5</f>
        <v>-591</v>
      </c>
      <c r="RDA28" s="259" t="s">
        <v>55</v>
      </c>
      <c r="RDB28" s="256" t="s">
        <v>76</v>
      </c>
      <c r="RDC28" s="256" t="s">
        <v>77</v>
      </c>
      <c r="RDD28" s="256" t="s">
        <v>78</v>
      </c>
      <c r="RDE28" s="256" t="s">
        <v>79</v>
      </c>
      <c r="RDF28" s="256" t="s">
        <v>80</v>
      </c>
      <c r="RDG28" s="256" t="s">
        <v>81</v>
      </c>
      <c r="RDH28" s="331"/>
      <c r="RDI28" s="290">
        <v>45492</v>
      </c>
      <c r="RDJ28" s="339" t="s">
        <v>141</v>
      </c>
      <c r="RDK28" s="305"/>
      <c r="RDL28" s="305">
        <v>1</v>
      </c>
      <c r="RDM28" s="304">
        <f t="shared" ref="RDM28" si="2053">EDATE(RDI28,RDL28)</f>
        <v>45523</v>
      </c>
      <c r="RDN28" s="340">
        <v>0</v>
      </c>
      <c r="RDO28" s="320">
        <f t="shared" ref="RDO28" ca="1" si="2054">IF(RDP28&gt;=1,(RDN28/RDL28),0)</f>
        <v>0</v>
      </c>
      <c r="RDP28" s="292">
        <f t="shared" ref="RDP28" ca="1" si="2055">RDM28-$G$5</f>
        <v>-591</v>
      </c>
      <c r="RDQ28" s="259" t="s">
        <v>55</v>
      </c>
      <c r="RDR28" s="256" t="s">
        <v>76</v>
      </c>
      <c r="RDS28" s="256" t="s">
        <v>77</v>
      </c>
      <c r="RDT28" s="256" t="s">
        <v>78</v>
      </c>
      <c r="RDU28" s="256" t="s">
        <v>79</v>
      </c>
      <c r="RDV28" s="256" t="s">
        <v>80</v>
      </c>
      <c r="RDW28" s="256" t="s">
        <v>81</v>
      </c>
      <c r="RDX28" s="331"/>
      <c r="RDY28" s="290">
        <v>45492</v>
      </c>
      <c r="RDZ28" s="339" t="s">
        <v>141</v>
      </c>
      <c r="REA28" s="305"/>
      <c r="REB28" s="305">
        <v>1</v>
      </c>
      <c r="REC28" s="304">
        <f t="shared" ref="REC28" si="2056">EDATE(RDY28,REB28)</f>
        <v>45523</v>
      </c>
      <c r="RED28" s="340">
        <v>0</v>
      </c>
      <c r="REE28" s="320">
        <f t="shared" ref="REE28" ca="1" si="2057">IF(REF28&gt;=1,(RED28/REB28),0)</f>
        <v>0</v>
      </c>
      <c r="REF28" s="292">
        <f t="shared" ref="REF28" ca="1" si="2058">REC28-$G$5</f>
        <v>-591</v>
      </c>
      <c r="REG28" s="259" t="s">
        <v>55</v>
      </c>
      <c r="REH28" s="256" t="s">
        <v>76</v>
      </c>
      <c r="REI28" s="256" t="s">
        <v>77</v>
      </c>
      <c r="REJ28" s="256" t="s">
        <v>78</v>
      </c>
      <c r="REK28" s="256" t="s">
        <v>79</v>
      </c>
      <c r="REL28" s="256" t="s">
        <v>80</v>
      </c>
      <c r="REM28" s="256" t="s">
        <v>81</v>
      </c>
      <c r="REN28" s="331"/>
      <c r="REO28" s="290">
        <v>45492</v>
      </c>
      <c r="REP28" s="339" t="s">
        <v>141</v>
      </c>
      <c r="REQ28" s="305"/>
      <c r="RER28" s="305">
        <v>1</v>
      </c>
      <c r="RES28" s="304">
        <f t="shared" ref="RES28" si="2059">EDATE(REO28,RER28)</f>
        <v>45523</v>
      </c>
      <c r="RET28" s="340">
        <v>0</v>
      </c>
      <c r="REU28" s="320">
        <f t="shared" ref="REU28" ca="1" si="2060">IF(REV28&gt;=1,(RET28/RER28),0)</f>
        <v>0</v>
      </c>
      <c r="REV28" s="292">
        <f t="shared" ref="REV28" ca="1" si="2061">RES28-$G$5</f>
        <v>-591</v>
      </c>
      <c r="REW28" s="259" t="s">
        <v>55</v>
      </c>
      <c r="REX28" s="256" t="s">
        <v>76</v>
      </c>
      <c r="REY28" s="256" t="s">
        <v>77</v>
      </c>
      <c r="REZ28" s="256" t="s">
        <v>78</v>
      </c>
      <c r="RFA28" s="256" t="s">
        <v>79</v>
      </c>
      <c r="RFB28" s="256" t="s">
        <v>80</v>
      </c>
      <c r="RFC28" s="256" t="s">
        <v>81</v>
      </c>
      <c r="RFD28" s="331"/>
      <c r="RFE28" s="290">
        <v>45492</v>
      </c>
      <c r="RFF28" s="339" t="s">
        <v>141</v>
      </c>
      <c r="RFG28" s="305"/>
      <c r="RFH28" s="305">
        <v>1</v>
      </c>
      <c r="RFI28" s="304">
        <f t="shared" ref="RFI28" si="2062">EDATE(RFE28,RFH28)</f>
        <v>45523</v>
      </c>
      <c r="RFJ28" s="340">
        <v>0</v>
      </c>
      <c r="RFK28" s="320">
        <f t="shared" ref="RFK28" ca="1" si="2063">IF(RFL28&gt;=1,(RFJ28/RFH28),0)</f>
        <v>0</v>
      </c>
      <c r="RFL28" s="292">
        <f t="shared" ref="RFL28" ca="1" si="2064">RFI28-$G$5</f>
        <v>-591</v>
      </c>
      <c r="RFM28" s="259" t="s">
        <v>55</v>
      </c>
      <c r="RFN28" s="256" t="s">
        <v>76</v>
      </c>
      <c r="RFO28" s="256" t="s">
        <v>77</v>
      </c>
      <c r="RFP28" s="256" t="s">
        <v>78</v>
      </c>
      <c r="RFQ28" s="256" t="s">
        <v>79</v>
      </c>
      <c r="RFR28" s="256" t="s">
        <v>80</v>
      </c>
      <c r="RFS28" s="256" t="s">
        <v>81</v>
      </c>
      <c r="RFT28" s="331"/>
      <c r="RFU28" s="290">
        <v>45492</v>
      </c>
      <c r="RFV28" s="339" t="s">
        <v>141</v>
      </c>
      <c r="RFW28" s="305"/>
      <c r="RFX28" s="305">
        <v>1</v>
      </c>
      <c r="RFY28" s="304">
        <f t="shared" ref="RFY28" si="2065">EDATE(RFU28,RFX28)</f>
        <v>45523</v>
      </c>
      <c r="RFZ28" s="340">
        <v>0</v>
      </c>
      <c r="RGA28" s="320">
        <f t="shared" ref="RGA28" ca="1" si="2066">IF(RGB28&gt;=1,(RFZ28/RFX28),0)</f>
        <v>0</v>
      </c>
      <c r="RGB28" s="292">
        <f t="shared" ref="RGB28" ca="1" si="2067">RFY28-$G$5</f>
        <v>-591</v>
      </c>
      <c r="RGC28" s="259" t="s">
        <v>55</v>
      </c>
      <c r="RGD28" s="256" t="s">
        <v>76</v>
      </c>
      <c r="RGE28" s="256" t="s">
        <v>77</v>
      </c>
      <c r="RGF28" s="256" t="s">
        <v>78</v>
      </c>
      <c r="RGG28" s="256" t="s">
        <v>79</v>
      </c>
      <c r="RGH28" s="256" t="s">
        <v>80</v>
      </c>
      <c r="RGI28" s="256" t="s">
        <v>81</v>
      </c>
      <c r="RGJ28" s="331"/>
      <c r="RGK28" s="290">
        <v>45492</v>
      </c>
      <c r="RGL28" s="339" t="s">
        <v>141</v>
      </c>
      <c r="RGM28" s="305"/>
      <c r="RGN28" s="305">
        <v>1</v>
      </c>
      <c r="RGO28" s="304">
        <f t="shared" ref="RGO28" si="2068">EDATE(RGK28,RGN28)</f>
        <v>45523</v>
      </c>
      <c r="RGP28" s="340">
        <v>0</v>
      </c>
      <c r="RGQ28" s="320">
        <f t="shared" ref="RGQ28" ca="1" si="2069">IF(RGR28&gt;=1,(RGP28/RGN28),0)</f>
        <v>0</v>
      </c>
      <c r="RGR28" s="292">
        <f t="shared" ref="RGR28" ca="1" si="2070">RGO28-$G$5</f>
        <v>-591</v>
      </c>
      <c r="RGS28" s="259" t="s">
        <v>55</v>
      </c>
      <c r="RGT28" s="256" t="s">
        <v>76</v>
      </c>
      <c r="RGU28" s="256" t="s">
        <v>77</v>
      </c>
      <c r="RGV28" s="256" t="s">
        <v>78</v>
      </c>
      <c r="RGW28" s="256" t="s">
        <v>79</v>
      </c>
      <c r="RGX28" s="256" t="s">
        <v>80</v>
      </c>
      <c r="RGY28" s="256" t="s">
        <v>81</v>
      </c>
      <c r="RGZ28" s="331"/>
      <c r="RHA28" s="290">
        <v>45492</v>
      </c>
      <c r="RHB28" s="339" t="s">
        <v>141</v>
      </c>
      <c r="RHC28" s="305"/>
      <c r="RHD28" s="305">
        <v>1</v>
      </c>
      <c r="RHE28" s="304">
        <f t="shared" ref="RHE28" si="2071">EDATE(RHA28,RHD28)</f>
        <v>45523</v>
      </c>
      <c r="RHF28" s="340">
        <v>0</v>
      </c>
      <c r="RHG28" s="320">
        <f t="shared" ref="RHG28" ca="1" si="2072">IF(RHH28&gt;=1,(RHF28/RHD28),0)</f>
        <v>0</v>
      </c>
      <c r="RHH28" s="292">
        <f t="shared" ref="RHH28" ca="1" si="2073">RHE28-$G$5</f>
        <v>-591</v>
      </c>
      <c r="RHI28" s="259" t="s">
        <v>55</v>
      </c>
      <c r="RHJ28" s="256" t="s">
        <v>76</v>
      </c>
      <c r="RHK28" s="256" t="s">
        <v>77</v>
      </c>
      <c r="RHL28" s="256" t="s">
        <v>78</v>
      </c>
      <c r="RHM28" s="256" t="s">
        <v>79</v>
      </c>
      <c r="RHN28" s="256" t="s">
        <v>80</v>
      </c>
      <c r="RHO28" s="256" t="s">
        <v>81</v>
      </c>
      <c r="RHP28" s="331"/>
      <c r="RHQ28" s="290">
        <v>45492</v>
      </c>
      <c r="RHR28" s="339" t="s">
        <v>141</v>
      </c>
      <c r="RHS28" s="305"/>
      <c r="RHT28" s="305">
        <v>1</v>
      </c>
      <c r="RHU28" s="304">
        <f t="shared" ref="RHU28" si="2074">EDATE(RHQ28,RHT28)</f>
        <v>45523</v>
      </c>
      <c r="RHV28" s="340">
        <v>0</v>
      </c>
      <c r="RHW28" s="320">
        <f t="shared" ref="RHW28" ca="1" si="2075">IF(RHX28&gt;=1,(RHV28/RHT28),0)</f>
        <v>0</v>
      </c>
      <c r="RHX28" s="292">
        <f t="shared" ref="RHX28" ca="1" si="2076">RHU28-$G$5</f>
        <v>-591</v>
      </c>
      <c r="RHY28" s="259" t="s">
        <v>55</v>
      </c>
      <c r="RHZ28" s="256" t="s">
        <v>76</v>
      </c>
      <c r="RIA28" s="256" t="s">
        <v>77</v>
      </c>
      <c r="RIB28" s="256" t="s">
        <v>78</v>
      </c>
      <c r="RIC28" s="256" t="s">
        <v>79</v>
      </c>
      <c r="RID28" s="256" t="s">
        <v>80</v>
      </c>
      <c r="RIE28" s="256" t="s">
        <v>81</v>
      </c>
      <c r="RIF28" s="331"/>
      <c r="RIG28" s="290">
        <v>45492</v>
      </c>
      <c r="RIH28" s="339" t="s">
        <v>141</v>
      </c>
      <c r="RII28" s="305"/>
      <c r="RIJ28" s="305">
        <v>1</v>
      </c>
      <c r="RIK28" s="304">
        <f t="shared" ref="RIK28" si="2077">EDATE(RIG28,RIJ28)</f>
        <v>45523</v>
      </c>
      <c r="RIL28" s="340">
        <v>0</v>
      </c>
      <c r="RIM28" s="320">
        <f t="shared" ref="RIM28" ca="1" si="2078">IF(RIN28&gt;=1,(RIL28/RIJ28),0)</f>
        <v>0</v>
      </c>
      <c r="RIN28" s="292">
        <f t="shared" ref="RIN28" ca="1" si="2079">RIK28-$G$5</f>
        <v>-591</v>
      </c>
      <c r="RIO28" s="259" t="s">
        <v>55</v>
      </c>
      <c r="RIP28" s="256" t="s">
        <v>76</v>
      </c>
      <c r="RIQ28" s="256" t="s">
        <v>77</v>
      </c>
      <c r="RIR28" s="256" t="s">
        <v>78</v>
      </c>
      <c r="RIS28" s="256" t="s">
        <v>79</v>
      </c>
      <c r="RIT28" s="256" t="s">
        <v>80</v>
      </c>
      <c r="RIU28" s="256" t="s">
        <v>81</v>
      </c>
      <c r="RIV28" s="331"/>
      <c r="RIW28" s="290">
        <v>45492</v>
      </c>
      <c r="RIX28" s="339" t="s">
        <v>141</v>
      </c>
      <c r="RIY28" s="305"/>
      <c r="RIZ28" s="305">
        <v>1</v>
      </c>
      <c r="RJA28" s="304">
        <f t="shared" ref="RJA28" si="2080">EDATE(RIW28,RIZ28)</f>
        <v>45523</v>
      </c>
      <c r="RJB28" s="340">
        <v>0</v>
      </c>
      <c r="RJC28" s="320">
        <f t="shared" ref="RJC28" ca="1" si="2081">IF(RJD28&gt;=1,(RJB28/RIZ28),0)</f>
        <v>0</v>
      </c>
      <c r="RJD28" s="292">
        <f t="shared" ref="RJD28" ca="1" si="2082">RJA28-$G$5</f>
        <v>-591</v>
      </c>
      <c r="RJE28" s="259" t="s">
        <v>55</v>
      </c>
      <c r="RJF28" s="256" t="s">
        <v>76</v>
      </c>
      <c r="RJG28" s="256" t="s">
        <v>77</v>
      </c>
      <c r="RJH28" s="256" t="s">
        <v>78</v>
      </c>
      <c r="RJI28" s="256" t="s">
        <v>79</v>
      </c>
      <c r="RJJ28" s="256" t="s">
        <v>80</v>
      </c>
      <c r="RJK28" s="256" t="s">
        <v>81</v>
      </c>
      <c r="RJL28" s="331"/>
      <c r="RJM28" s="290">
        <v>45492</v>
      </c>
      <c r="RJN28" s="339" t="s">
        <v>141</v>
      </c>
      <c r="RJO28" s="305"/>
      <c r="RJP28" s="305">
        <v>1</v>
      </c>
      <c r="RJQ28" s="304">
        <f t="shared" ref="RJQ28" si="2083">EDATE(RJM28,RJP28)</f>
        <v>45523</v>
      </c>
      <c r="RJR28" s="340">
        <v>0</v>
      </c>
      <c r="RJS28" s="320">
        <f t="shared" ref="RJS28" ca="1" si="2084">IF(RJT28&gt;=1,(RJR28/RJP28),0)</f>
        <v>0</v>
      </c>
      <c r="RJT28" s="292">
        <f t="shared" ref="RJT28" ca="1" si="2085">RJQ28-$G$5</f>
        <v>-591</v>
      </c>
      <c r="RJU28" s="259" t="s">
        <v>55</v>
      </c>
      <c r="RJV28" s="256" t="s">
        <v>76</v>
      </c>
      <c r="RJW28" s="256" t="s">
        <v>77</v>
      </c>
      <c r="RJX28" s="256" t="s">
        <v>78</v>
      </c>
      <c r="RJY28" s="256" t="s">
        <v>79</v>
      </c>
      <c r="RJZ28" s="256" t="s">
        <v>80</v>
      </c>
      <c r="RKA28" s="256" t="s">
        <v>81</v>
      </c>
      <c r="RKB28" s="331"/>
      <c r="RKC28" s="290">
        <v>45492</v>
      </c>
      <c r="RKD28" s="339" t="s">
        <v>141</v>
      </c>
      <c r="RKE28" s="305"/>
      <c r="RKF28" s="305">
        <v>1</v>
      </c>
      <c r="RKG28" s="304">
        <f t="shared" ref="RKG28" si="2086">EDATE(RKC28,RKF28)</f>
        <v>45523</v>
      </c>
      <c r="RKH28" s="340">
        <v>0</v>
      </c>
      <c r="RKI28" s="320">
        <f t="shared" ref="RKI28" ca="1" si="2087">IF(RKJ28&gt;=1,(RKH28/RKF28),0)</f>
        <v>0</v>
      </c>
      <c r="RKJ28" s="292">
        <f t="shared" ref="RKJ28" ca="1" si="2088">RKG28-$G$5</f>
        <v>-591</v>
      </c>
      <c r="RKK28" s="259" t="s">
        <v>55</v>
      </c>
      <c r="RKL28" s="256" t="s">
        <v>76</v>
      </c>
      <c r="RKM28" s="256" t="s">
        <v>77</v>
      </c>
      <c r="RKN28" s="256" t="s">
        <v>78</v>
      </c>
      <c r="RKO28" s="256" t="s">
        <v>79</v>
      </c>
      <c r="RKP28" s="256" t="s">
        <v>80</v>
      </c>
      <c r="RKQ28" s="256" t="s">
        <v>81</v>
      </c>
      <c r="RKR28" s="331"/>
      <c r="RKS28" s="290">
        <v>45492</v>
      </c>
      <c r="RKT28" s="339" t="s">
        <v>141</v>
      </c>
      <c r="RKU28" s="305"/>
      <c r="RKV28" s="305">
        <v>1</v>
      </c>
      <c r="RKW28" s="304">
        <f t="shared" ref="RKW28" si="2089">EDATE(RKS28,RKV28)</f>
        <v>45523</v>
      </c>
      <c r="RKX28" s="340">
        <v>0</v>
      </c>
      <c r="RKY28" s="320">
        <f t="shared" ref="RKY28" ca="1" si="2090">IF(RKZ28&gt;=1,(RKX28/RKV28),0)</f>
        <v>0</v>
      </c>
      <c r="RKZ28" s="292">
        <f t="shared" ref="RKZ28" ca="1" si="2091">RKW28-$G$5</f>
        <v>-591</v>
      </c>
      <c r="RLA28" s="259" t="s">
        <v>55</v>
      </c>
      <c r="RLB28" s="256" t="s">
        <v>76</v>
      </c>
      <c r="RLC28" s="256" t="s">
        <v>77</v>
      </c>
      <c r="RLD28" s="256" t="s">
        <v>78</v>
      </c>
      <c r="RLE28" s="256" t="s">
        <v>79</v>
      </c>
      <c r="RLF28" s="256" t="s">
        <v>80</v>
      </c>
      <c r="RLG28" s="256" t="s">
        <v>81</v>
      </c>
      <c r="RLH28" s="331"/>
      <c r="RLI28" s="290">
        <v>45492</v>
      </c>
      <c r="RLJ28" s="339" t="s">
        <v>141</v>
      </c>
      <c r="RLK28" s="305"/>
      <c r="RLL28" s="305">
        <v>1</v>
      </c>
      <c r="RLM28" s="304">
        <f t="shared" ref="RLM28" si="2092">EDATE(RLI28,RLL28)</f>
        <v>45523</v>
      </c>
      <c r="RLN28" s="340">
        <v>0</v>
      </c>
      <c r="RLO28" s="320">
        <f t="shared" ref="RLO28" ca="1" si="2093">IF(RLP28&gt;=1,(RLN28/RLL28),0)</f>
        <v>0</v>
      </c>
      <c r="RLP28" s="292">
        <f t="shared" ref="RLP28" ca="1" si="2094">RLM28-$G$5</f>
        <v>-591</v>
      </c>
      <c r="RLQ28" s="259" t="s">
        <v>55</v>
      </c>
      <c r="RLR28" s="256" t="s">
        <v>76</v>
      </c>
      <c r="RLS28" s="256" t="s">
        <v>77</v>
      </c>
      <c r="RLT28" s="256" t="s">
        <v>78</v>
      </c>
      <c r="RLU28" s="256" t="s">
        <v>79</v>
      </c>
      <c r="RLV28" s="256" t="s">
        <v>80</v>
      </c>
      <c r="RLW28" s="256" t="s">
        <v>81</v>
      </c>
      <c r="RLX28" s="331"/>
      <c r="RLY28" s="290">
        <v>45492</v>
      </c>
      <c r="RLZ28" s="339" t="s">
        <v>141</v>
      </c>
      <c r="RMA28" s="305"/>
      <c r="RMB28" s="305">
        <v>1</v>
      </c>
      <c r="RMC28" s="304">
        <f t="shared" ref="RMC28" si="2095">EDATE(RLY28,RMB28)</f>
        <v>45523</v>
      </c>
      <c r="RMD28" s="340">
        <v>0</v>
      </c>
      <c r="RME28" s="320">
        <f t="shared" ref="RME28" ca="1" si="2096">IF(RMF28&gt;=1,(RMD28/RMB28),0)</f>
        <v>0</v>
      </c>
      <c r="RMF28" s="292">
        <f t="shared" ref="RMF28" ca="1" si="2097">RMC28-$G$5</f>
        <v>-591</v>
      </c>
      <c r="RMG28" s="259" t="s">
        <v>55</v>
      </c>
      <c r="RMH28" s="256" t="s">
        <v>76</v>
      </c>
      <c r="RMI28" s="256" t="s">
        <v>77</v>
      </c>
      <c r="RMJ28" s="256" t="s">
        <v>78</v>
      </c>
      <c r="RMK28" s="256" t="s">
        <v>79</v>
      </c>
      <c r="RML28" s="256" t="s">
        <v>80</v>
      </c>
      <c r="RMM28" s="256" t="s">
        <v>81</v>
      </c>
      <c r="RMN28" s="331"/>
      <c r="RMO28" s="290">
        <v>45492</v>
      </c>
      <c r="RMP28" s="339" t="s">
        <v>141</v>
      </c>
      <c r="RMQ28" s="305"/>
      <c r="RMR28" s="305">
        <v>1</v>
      </c>
      <c r="RMS28" s="304">
        <f t="shared" ref="RMS28" si="2098">EDATE(RMO28,RMR28)</f>
        <v>45523</v>
      </c>
      <c r="RMT28" s="340">
        <v>0</v>
      </c>
      <c r="RMU28" s="320">
        <f t="shared" ref="RMU28" ca="1" si="2099">IF(RMV28&gt;=1,(RMT28/RMR28),0)</f>
        <v>0</v>
      </c>
      <c r="RMV28" s="292">
        <f t="shared" ref="RMV28" ca="1" si="2100">RMS28-$G$5</f>
        <v>-591</v>
      </c>
      <c r="RMW28" s="259" t="s">
        <v>55</v>
      </c>
      <c r="RMX28" s="256" t="s">
        <v>76</v>
      </c>
      <c r="RMY28" s="256" t="s">
        <v>77</v>
      </c>
      <c r="RMZ28" s="256" t="s">
        <v>78</v>
      </c>
      <c r="RNA28" s="256" t="s">
        <v>79</v>
      </c>
      <c r="RNB28" s="256" t="s">
        <v>80</v>
      </c>
      <c r="RNC28" s="256" t="s">
        <v>81</v>
      </c>
      <c r="RND28" s="331"/>
      <c r="RNE28" s="290">
        <v>45492</v>
      </c>
      <c r="RNF28" s="339" t="s">
        <v>141</v>
      </c>
      <c r="RNG28" s="305"/>
      <c r="RNH28" s="305">
        <v>1</v>
      </c>
      <c r="RNI28" s="304">
        <f t="shared" ref="RNI28" si="2101">EDATE(RNE28,RNH28)</f>
        <v>45523</v>
      </c>
      <c r="RNJ28" s="340">
        <v>0</v>
      </c>
      <c r="RNK28" s="320">
        <f t="shared" ref="RNK28" ca="1" si="2102">IF(RNL28&gt;=1,(RNJ28/RNH28),0)</f>
        <v>0</v>
      </c>
      <c r="RNL28" s="292">
        <f t="shared" ref="RNL28" ca="1" si="2103">RNI28-$G$5</f>
        <v>-591</v>
      </c>
      <c r="RNM28" s="259" t="s">
        <v>55</v>
      </c>
      <c r="RNN28" s="256" t="s">
        <v>76</v>
      </c>
      <c r="RNO28" s="256" t="s">
        <v>77</v>
      </c>
      <c r="RNP28" s="256" t="s">
        <v>78</v>
      </c>
      <c r="RNQ28" s="256" t="s">
        <v>79</v>
      </c>
      <c r="RNR28" s="256" t="s">
        <v>80</v>
      </c>
      <c r="RNS28" s="256" t="s">
        <v>81</v>
      </c>
      <c r="RNT28" s="331"/>
      <c r="RNU28" s="290">
        <v>45492</v>
      </c>
      <c r="RNV28" s="339" t="s">
        <v>141</v>
      </c>
      <c r="RNW28" s="305"/>
      <c r="RNX28" s="305">
        <v>1</v>
      </c>
      <c r="RNY28" s="304">
        <f t="shared" ref="RNY28" si="2104">EDATE(RNU28,RNX28)</f>
        <v>45523</v>
      </c>
      <c r="RNZ28" s="340">
        <v>0</v>
      </c>
      <c r="ROA28" s="320">
        <f t="shared" ref="ROA28" ca="1" si="2105">IF(ROB28&gt;=1,(RNZ28/RNX28),0)</f>
        <v>0</v>
      </c>
      <c r="ROB28" s="292">
        <f t="shared" ref="ROB28" ca="1" si="2106">RNY28-$G$5</f>
        <v>-591</v>
      </c>
      <c r="ROC28" s="259" t="s">
        <v>55</v>
      </c>
      <c r="ROD28" s="256" t="s">
        <v>76</v>
      </c>
      <c r="ROE28" s="256" t="s">
        <v>77</v>
      </c>
      <c r="ROF28" s="256" t="s">
        <v>78</v>
      </c>
      <c r="ROG28" s="256" t="s">
        <v>79</v>
      </c>
      <c r="ROH28" s="256" t="s">
        <v>80</v>
      </c>
      <c r="ROI28" s="256" t="s">
        <v>81</v>
      </c>
      <c r="ROJ28" s="331"/>
      <c r="ROK28" s="290">
        <v>45492</v>
      </c>
      <c r="ROL28" s="339" t="s">
        <v>141</v>
      </c>
      <c r="ROM28" s="305"/>
      <c r="RON28" s="305">
        <v>1</v>
      </c>
      <c r="ROO28" s="304">
        <f t="shared" ref="ROO28" si="2107">EDATE(ROK28,RON28)</f>
        <v>45523</v>
      </c>
      <c r="ROP28" s="340">
        <v>0</v>
      </c>
      <c r="ROQ28" s="320">
        <f t="shared" ref="ROQ28" ca="1" si="2108">IF(ROR28&gt;=1,(ROP28/RON28),0)</f>
        <v>0</v>
      </c>
      <c r="ROR28" s="292">
        <f t="shared" ref="ROR28" ca="1" si="2109">ROO28-$G$5</f>
        <v>-591</v>
      </c>
      <c r="ROS28" s="259" t="s">
        <v>55</v>
      </c>
      <c r="ROT28" s="256" t="s">
        <v>76</v>
      </c>
      <c r="ROU28" s="256" t="s">
        <v>77</v>
      </c>
      <c r="ROV28" s="256" t="s">
        <v>78</v>
      </c>
      <c r="ROW28" s="256" t="s">
        <v>79</v>
      </c>
      <c r="ROX28" s="256" t="s">
        <v>80</v>
      </c>
      <c r="ROY28" s="256" t="s">
        <v>81</v>
      </c>
      <c r="ROZ28" s="331"/>
      <c r="RPA28" s="290">
        <v>45492</v>
      </c>
      <c r="RPB28" s="339" t="s">
        <v>141</v>
      </c>
      <c r="RPC28" s="305"/>
      <c r="RPD28" s="305">
        <v>1</v>
      </c>
      <c r="RPE28" s="304">
        <f t="shared" ref="RPE28" si="2110">EDATE(RPA28,RPD28)</f>
        <v>45523</v>
      </c>
      <c r="RPF28" s="340">
        <v>0</v>
      </c>
      <c r="RPG28" s="320">
        <f t="shared" ref="RPG28" ca="1" si="2111">IF(RPH28&gt;=1,(RPF28/RPD28),0)</f>
        <v>0</v>
      </c>
      <c r="RPH28" s="292">
        <f t="shared" ref="RPH28" ca="1" si="2112">RPE28-$G$5</f>
        <v>-591</v>
      </c>
      <c r="RPI28" s="259" t="s">
        <v>55</v>
      </c>
      <c r="RPJ28" s="256" t="s">
        <v>76</v>
      </c>
      <c r="RPK28" s="256" t="s">
        <v>77</v>
      </c>
      <c r="RPL28" s="256" t="s">
        <v>78</v>
      </c>
      <c r="RPM28" s="256" t="s">
        <v>79</v>
      </c>
      <c r="RPN28" s="256" t="s">
        <v>80</v>
      </c>
      <c r="RPO28" s="256" t="s">
        <v>81</v>
      </c>
      <c r="RPP28" s="331"/>
      <c r="RPQ28" s="290">
        <v>45492</v>
      </c>
      <c r="RPR28" s="339" t="s">
        <v>141</v>
      </c>
      <c r="RPS28" s="305"/>
      <c r="RPT28" s="305">
        <v>1</v>
      </c>
      <c r="RPU28" s="304">
        <f t="shared" ref="RPU28" si="2113">EDATE(RPQ28,RPT28)</f>
        <v>45523</v>
      </c>
      <c r="RPV28" s="340">
        <v>0</v>
      </c>
      <c r="RPW28" s="320">
        <f t="shared" ref="RPW28" ca="1" si="2114">IF(RPX28&gt;=1,(RPV28/RPT28),0)</f>
        <v>0</v>
      </c>
      <c r="RPX28" s="292">
        <f t="shared" ref="RPX28" ca="1" si="2115">RPU28-$G$5</f>
        <v>-591</v>
      </c>
      <c r="RPY28" s="259" t="s">
        <v>55</v>
      </c>
      <c r="RPZ28" s="256" t="s">
        <v>76</v>
      </c>
      <c r="RQA28" s="256" t="s">
        <v>77</v>
      </c>
      <c r="RQB28" s="256" t="s">
        <v>78</v>
      </c>
      <c r="RQC28" s="256" t="s">
        <v>79</v>
      </c>
      <c r="RQD28" s="256" t="s">
        <v>80</v>
      </c>
      <c r="RQE28" s="256" t="s">
        <v>81</v>
      </c>
      <c r="RQF28" s="331"/>
      <c r="RQG28" s="290">
        <v>45492</v>
      </c>
      <c r="RQH28" s="339" t="s">
        <v>141</v>
      </c>
      <c r="RQI28" s="305"/>
      <c r="RQJ28" s="305">
        <v>1</v>
      </c>
      <c r="RQK28" s="304">
        <f t="shared" ref="RQK28" si="2116">EDATE(RQG28,RQJ28)</f>
        <v>45523</v>
      </c>
      <c r="RQL28" s="340">
        <v>0</v>
      </c>
      <c r="RQM28" s="320">
        <f t="shared" ref="RQM28" ca="1" si="2117">IF(RQN28&gt;=1,(RQL28/RQJ28),0)</f>
        <v>0</v>
      </c>
      <c r="RQN28" s="292">
        <f t="shared" ref="RQN28" ca="1" si="2118">RQK28-$G$5</f>
        <v>-591</v>
      </c>
      <c r="RQO28" s="259" t="s">
        <v>55</v>
      </c>
      <c r="RQP28" s="256" t="s">
        <v>76</v>
      </c>
      <c r="RQQ28" s="256" t="s">
        <v>77</v>
      </c>
      <c r="RQR28" s="256" t="s">
        <v>78</v>
      </c>
      <c r="RQS28" s="256" t="s">
        <v>79</v>
      </c>
      <c r="RQT28" s="256" t="s">
        <v>80</v>
      </c>
      <c r="RQU28" s="256" t="s">
        <v>81</v>
      </c>
      <c r="RQV28" s="331"/>
      <c r="RQW28" s="290">
        <v>45492</v>
      </c>
      <c r="RQX28" s="339" t="s">
        <v>141</v>
      </c>
      <c r="RQY28" s="305"/>
      <c r="RQZ28" s="305">
        <v>1</v>
      </c>
      <c r="RRA28" s="304">
        <f t="shared" ref="RRA28" si="2119">EDATE(RQW28,RQZ28)</f>
        <v>45523</v>
      </c>
      <c r="RRB28" s="340">
        <v>0</v>
      </c>
      <c r="RRC28" s="320">
        <f t="shared" ref="RRC28" ca="1" si="2120">IF(RRD28&gt;=1,(RRB28/RQZ28),0)</f>
        <v>0</v>
      </c>
      <c r="RRD28" s="292">
        <f t="shared" ref="RRD28" ca="1" si="2121">RRA28-$G$5</f>
        <v>-591</v>
      </c>
      <c r="RRE28" s="259" t="s">
        <v>55</v>
      </c>
      <c r="RRF28" s="256" t="s">
        <v>76</v>
      </c>
      <c r="RRG28" s="256" t="s">
        <v>77</v>
      </c>
      <c r="RRH28" s="256" t="s">
        <v>78</v>
      </c>
      <c r="RRI28" s="256" t="s">
        <v>79</v>
      </c>
      <c r="RRJ28" s="256" t="s">
        <v>80</v>
      </c>
      <c r="RRK28" s="256" t="s">
        <v>81</v>
      </c>
      <c r="RRL28" s="331"/>
      <c r="RRM28" s="290">
        <v>45492</v>
      </c>
      <c r="RRN28" s="339" t="s">
        <v>141</v>
      </c>
      <c r="RRO28" s="305"/>
      <c r="RRP28" s="305">
        <v>1</v>
      </c>
      <c r="RRQ28" s="304">
        <f t="shared" ref="RRQ28" si="2122">EDATE(RRM28,RRP28)</f>
        <v>45523</v>
      </c>
      <c r="RRR28" s="340">
        <v>0</v>
      </c>
      <c r="RRS28" s="320">
        <f t="shared" ref="RRS28" ca="1" si="2123">IF(RRT28&gt;=1,(RRR28/RRP28),0)</f>
        <v>0</v>
      </c>
      <c r="RRT28" s="292">
        <f t="shared" ref="RRT28" ca="1" si="2124">RRQ28-$G$5</f>
        <v>-591</v>
      </c>
      <c r="RRU28" s="259" t="s">
        <v>55</v>
      </c>
      <c r="RRV28" s="256" t="s">
        <v>76</v>
      </c>
      <c r="RRW28" s="256" t="s">
        <v>77</v>
      </c>
      <c r="RRX28" s="256" t="s">
        <v>78</v>
      </c>
      <c r="RRY28" s="256" t="s">
        <v>79</v>
      </c>
      <c r="RRZ28" s="256" t="s">
        <v>80</v>
      </c>
      <c r="RSA28" s="256" t="s">
        <v>81</v>
      </c>
      <c r="RSB28" s="331"/>
      <c r="RSC28" s="290">
        <v>45492</v>
      </c>
      <c r="RSD28" s="339" t="s">
        <v>141</v>
      </c>
      <c r="RSE28" s="305"/>
      <c r="RSF28" s="305">
        <v>1</v>
      </c>
      <c r="RSG28" s="304">
        <f t="shared" ref="RSG28" si="2125">EDATE(RSC28,RSF28)</f>
        <v>45523</v>
      </c>
      <c r="RSH28" s="340">
        <v>0</v>
      </c>
      <c r="RSI28" s="320">
        <f t="shared" ref="RSI28" ca="1" si="2126">IF(RSJ28&gt;=1,(RSH28/RSF28),0)</f>
        <v>0</v>
      </c>
      <c r="RSJ28" s="292">
        <f t="shared" ref="RSJ28" ca="1" si="2127">RSG28-$G$5</f>
        <v>-591</v>
      </c>
      <c r="RSK28" s="259" t="s">
        <v>55</v>
      </c>
      <c r="RSL28" s="256" t="s">
        <v>76</v>
      </c>
      <c r="RSM28" s="256" t="s">
        <v>77</v>
      </c>
      <c r="RSN28" s="256" t="s">
        <v>78</v>
      </c>
      <c r="RSO28" s="256" t="s">
        <v>79</v>
      </c>
      <c r="RSP28" s="256" t="s">
        <v>80</v>
      </c>
      <c r="RSQ28" s="256" t="s">
        <v>81</v>
      </c>
      <c r="RSR28" s="331"/>
      <c r="RSS28" s="290">
        <v>45492</v>
      </c>
      <c r="RST28" s="339" t="s">
        <v>141</v>
      </c>
      <c r="RSU28" s="305"/>
      <c r="RSV28" s="305">
        <v>1</v>
      </c>
      <c r="RSW28" s="304">
        <f t="shared" ref="RSW28" si="2128">EDATE(RSS28,RSV28)</f>
        <v>45523</v>
      </c>
      <c r="RSX28" s="340">
        <v>0</v>
      </c>
      <c r="RSY28" s="320">
        <f t="shared" ref="RSY28" ca="1" si="2129">IF(RSZ28&gt;=1,(RSX28/RSV28),0)</f>
        <v>0</v>
      </c>
      <c r="RSZ28" s="292">
        <f t="shared" ref="RSZ28" ca="1" si="2130">RSW28-$G$5</f>
        <v>-591</v>
      </c>
      <c r="RTA28" s="259" t="s">
        <v>55</v>
      </c>
      <c r="RTB28" s="256" t="s">
        <v>76</v>
      </c>
      <c r="RTC28" s="256" t="s">
        <v>77</v>
      </c>
      <c r="RTD28" s="256" t="s">
        <v>78</v>
      </c>
      <c r="RTE28" s="256" t="s">
        <v>79</v>
      </c>
      <c r="RTF28" s="256" t="s">
        <v>80</v>
      </c>
      <c r="RTG28" s="256" t="s">
        <v>81</v>
      </c>
      <c r="RTH28" s="331"/>
      <c r="RTI28" s="290">
        <v>45492</v>
      </c>
      <c r="RTJ28" s="339" t="s">
        <v>141</v>
      </c>
      <c r="RTK28" s="305"/>
      <c r="RTL28" s="305">
        <v>1</v>
      </c>
      <c r="RTM28" s="304">
        <f t="shared" ref="RTM28" si="2131">EDATE(RTI28,RTL28)</f>
        <v>45523</v>
      </c>
      <c r="RTN28" s="340">
        <v>0</v>
      </c>
      <c r="RTO28" s="320">
        <f t="shared" ref="RTO28" ca="1" si="2132">IF(RTP28&gt;=1,(RTN28/RTL28),0)</f>
        <v>0</v>
      </c>
      <c r="RTP28" s="292">
        <f t="shared" ref="RTP28" ca="1" si="2133">RTM28-$G$5</f>
        <v>-591</v>
      </c>
      <c r="RTQ28" s="259" t="s">
        <v>55</v>
      </c>
      <c r="RTR28" s="256" t="s">
        <v>76</v>
      </c>
      <c r="RTS28" s="256" t="s">
        <v>77</v>
      </c>
      <c r="RTT28" s="256" t="s">
        <v>78</v>
      </c>
      <c r="RTU28" s="256" t="s">
        <v>79</v>
      </c>
      <c r="RTV28" s="256" t="s">
        <v>80</v>
      </c>
      <c r="RTW28" s="256" t="s">
        <v>81</v>
      </c>
      <c r="RTX28" s="331"/>
      <c r="RTY28" s="290">
        <v>45492</v>
      </c>
      <c r="RTZ28" s="339" t="s">
        <v>141</v>
      </c>
      <c r="RUA28" s="305"/>
      <c r="RUB28" s="305">
        <v>1</v>
      </c>
      <c r="RUC28" s="304">
        <f t="shared" ref="RUC28" si="2134">EDATE(RTY28,RUB28)</f>
        <v>45523</v>
      </c>
      <c r="RUD28" s="340">
        <v>0</v>
      </c>
      <c r="RUE28" s="320">
        <f t="shared" ref="RUE28" ca="1" si="2135">IF(RUF28&gt;=1,(RUD28/RUB28),0)</f>
        <v>0</v>
      </c>
      <c r="RUF28" s="292">
        <f t="shared" ref="RUF28" ca="1" si="2136">RUC28-$G$5</f>
        <v>-591</v>
      </c>
      <c r="RUG28" s="259" t="s">
        <v>55</v>
      </c>
      <c r="RUH28" s="256" t="s">
        <v>76</v>
      </c>
      <c r="RUI28" s="256" t="s">
        <v>77</v>
      </c>
      <c r="RUJ28" s="256" t="s">
        <v>78</v>
      </c>
      <c r="RUK28" s="256" t="s">
        <v>79</v>
      </c>
      <c r="RUL28" s="256" t="s">
        <v>80</v>
      </c>
      <c r="RUM28" s="256" t="s">
        <v>81</v>
      </c>
      <c r="RUN28" s="331"/>
      <c r="RUO28" s="290">
        <v>45492</v>
      </c>
      <c r="RUP28" s="339" t="s">
        <v>141</v>
      </c>
      <c r="RUQ28" s="305"/>
      <c r="RUR28" s="305">
        <v>1</v>
      </c>
      <c r="RUS28" s="304">
        <f t="shared" ref="RUS28" si="2137">EDATE(RUO28,RUR28)</f>
        <v>45523</v>
      </c>
      <c r="RUT28" s="340">
        <v>0</v>
      </c>
      <c r="RUU28" s="320">
        <f t="shared" ref="RUU28" ca="1" si="2138">IF(RUV28&gt;=1,(RUT28/RUR28),0)</f>
        <v>0</v>
      </c>
      <c r="RUV28" s="292">
        <f t="shared" ref="RUV28" ca="1" si="2139">RUS28-$G$5</f>
        <v>-591</v>
      </c>
      <c r="RUW28" s="259" t="s">
        <v>55</v>
      </c>
      <c r="RUX28" s="256" t="s">
        <v>76</v>
      </c>
      <c r="RUY28" s="256" t="s">
        <v>77</v>
      </c>
      <c r="RUZ28" s="256" t="s">
        <v>78</v>
      </c>
      <c r="RVA28" s="256" t="s">
        <v>79</v>
      </c>
      <c r="RVB28" s="256" t="s">
        <v>80</v>
      </c>
      <c r="RVC28" s="256" t="s">
        <v>81</v>
      </c>
      <c r="RVD28" s="331"/>
      <c r="RVE28" s="290">
        <v>45492</v>
      </c>
      <c r="RVF28" s="339" t="s">
        <v>141</v>
      </c>
      <c r="RVG28" s="305"/>
      <c r="RVH28" s="305">
        <v>1</v>
      </c>
      <c r="RVI28" s="304">
        <f t="shared" ref="RVI28" si="2140">EDATE(RVE28,RVH28)</f>
        <v>45523</v>
      </c>
      <c r="RVJ28" s="340">
        <v>0</v>
      </c>
      <c r="RVK28" s="320">
        <f t="shared" ref="RVK28" ca="1" si="2141">IF(RVL28&gt;=1,(RVJ28/RVH28),0)</f>
        <v>0</v>
      </c>
      <c r="RVL28" s="292">
        <f t="shared" ref="RVL28" ca="1" si="2142">RVI28-$G$5</f>
        <v>-591</v>
      </c>
      <c r="RVM28" s="259" t="s">
        <v>55</v>
      </c>
      <c r="RVN28" s="256" t="s">
        <v>76</v>
      </c>
      <c r="RVO28" s="256" t="s">
        <v>77</v>
      </c>
      <c r="RVP28" s="256" t="s">
        <v>78</v>
      </c>
      <c r="RVQ28" s="256" t="s">
        <v>79</v>
      </c>
      <c r="RVR28" s="256" t="s">
        <v>80</v>
      </c>
      <c r="RVS28" s="256" t="s">
        <v>81</v>
      </c>
      <c r="RVT28" s="331"/>
      <c r="RVU28" s="290">
        <v>45492</v>
      </c>
      <c r="RVV28" s="339" t="s">
        <v>141</v>
      </c>
      <c r="RVW28" s="305"/>
      <c r="RVX28" s="305">
        <v>1</v>
      </c>
      <c r="RVY28" s="304">
        <f t="shared" ref="RVY28" si="2143">EDATE(RVU28,RVX28)</f>
        <v>45523</v>
      </c>
      <c r="RVZ28" s="340">
        <v>0</v>
      </c>
      <c r="RWA28" s="320">
        <f t="shared" ref="RWA28" ca="1" si="2144">IF(RWB28&gt;=1,(RVZ28/RVX28),0)</f>
        <v>0</v>
      </c>
      <c r="RWB28" s="292">
        <f t="shared" ref="RWB28" ca="1" si="2145">RVY28-$G$5</f>
        <v>-591</v>
      </c>
      <c r="RWC28" s="259" t="s">
        <v>55</v>
      </c>
      <c r="RWD28" s="256" t="s">
        <v>76</v>
      </c>
      <c r="RWE28" s="256" t="s">
        <v>77</v>
      </c>
      <c r="RWF28" s="256" t="s">
        <v>78</v>
      </c>
      <c r="RWG28" s="256" t="s">
        <v>79</v>
      </c>
      <c r="RWH28" s="256" t="s">
        <v>80</v>
      </c>
      <c r="RWI28" s="256" t="s">
        <v>81</v>
      </c>
      <c r="RWJ28" s="331"/>
      <c r="RWK28" s="290">
        <v>45492</v>
      </c>
      <c r="RWL28" s="339" t="s">
        <v>141</v>
      </c>
      <c r="RWM28" s="305"/>
      <c r="RWN28" s="305">
        <v>1</v>
      </c>
      <c r="RWO28" s="304">
        <f t="shared" ref="RWO28" si="2146">EDATE(RWK28,RWN28)</f>
        <v>45523</v>
      </c>
      <c r="RWP28" s="340">
        <v>0</v>
      </c>
      <c r="RWQ28" s="320">
        <f t="shared" ref="RWQ28" ca="1" si="2147">IF(RWR28&gt;=1,(RWP28/RWN28),0)</f>
        <v>0</v>
      </c>
      <c r="RWR28" s="292">
        <f t="shared" ref="RWR28" ca="1" si="2148">RWO28-$G$5</f>
        <v>-591</v>
      </c>
      <c r="RWS28" s="259" t="s">
        <v>55</v>
      </c>
      <c r="RWT28" s="256" t="s">
        <v>76</v>
      </c>
      <c r="RWU28" s="256" t="s">
        <v>77</v>
      </c>
      <c r="RWV28" s="256" t="s">
        <v>78</v>
      </c>
      <c r="RWW28" s="256" t="s">
        <v>79</v>
      </c>
      <c r="RWX28" s="256" t="s">
        <v>80</v>
      </c>
      <c r="RWY28" s="256" t="s">
        <v>81</v>
      </c>
      <c r="RWZ28" s="331"/>
      <c r="RXA28" s="290">
        <v>45492</v>
      </c>
      <c r="RXB28" s="339" t="s">
        <v>141</v>
      </c>
      <c r="RXC28" s="305"/>
      <c r="RXD28" s="305">
        <v>1</v>
      </c>
      <c r="RXE28" s="304">
        <f t="shared" ref="RXE28" si="2149">EDATE(RXA28,RXD28)</f>
        <v>45523</v>
      </c>
      <c r="RXF28" s="340">
        <v>0</v>
      </c>
      <c r="RXG28" s="320">
        <f t="shared" ref="RXG28" ca="1" si="2150">IF(RXH28&gt;=1,(RXF28/RXD28),0)</f>
        <v>0</v>
      </c>
      <c r="RXH28" s="292">
        <f t="shared" ref="RXH28" ca="1" si="2151">RXE28-$G$5</f>
        <v>-591</v>
      </c>
      <c r="RXI28" s="259" t="s">
        <v>55</v>
      </c>
      <c r="RXJ28" s="256" t="s">
        <v>76</v>
      </c>
      <c r="RXK28" s="256" t="s">
        <v>77</v>
      </c>
      <c r="RXL28" s="256" t="s">
        <v>78</v>
      </c>
      <c r="RXM28" s="256" t="s">
        <v>79</v>
      </c>
      <c r="RXN28" s="256" t="s">
        <v>80</v>
      </c>
      <c r="RXO28" s="256" t="s">
        <v>81</v>
      </c>
      <c r="RXP28" s="331"/>
      <c r="RXQ28" s="290">
        <v>45492</v>
      </c>
      <c r="RXR28" s="339" t="s">
        <v>141</v>
      </c>
      <c r="RXS28" s="305"/>
      <c r="RXT28" s="305">
        <v>1</v>
      </c>
      <c r="RXU28" s="304">
        <f t="shared" ref="RXU28" si="2152">EDATE(RXQ28,RXT28)</f>
        <v>45523</v>
      </c>
      <c r="RXV28" s="340">
        <v>0</v>
      </c>
      <c r="RXW28" s="320">
        <f t="shared" ref="RXW28" ca="1" si="2153">IF(RXX28&gt;=1,(RXV28/RXT28),0)</f>
        <v>0</v>
      </c>
      <c r="RXX28" s="292">
        <f t="shared" ref="RXX28" ca="1" si="2154">RXU28-$G$5</f>
        <v>-591</v>
      </c>
      <c r="RXY28" s="259" t="s">
        <v>55</v>
      </c>
      <c r="RXZ28" s="256" t="s">
        <v>76</v>
      </c>
      <c r="RYA28" s="256" t="s">
        <v>77</v>
      </c>
      <c r="RYB28" s="256" t="s">
        <v>78</v>
      </c>
      <c r="RYC28" s="256" t="s">
        <v>79</v>
      </c>
      <c r="RYD28" s="256" t="s">
        <v>80</v>
      </c>
      <c r="RYE28" s="256" t="s">
        <v>81</v>
      </c>
      <c r="RYF28" s="331"/>
      <c r="RYG28" s="290">
        <v>45492</v>
      </c>
      <c r="RYH28" s="339" t="s">
        <v>141</v>
      </c>
      <c r="RYI28" s="305"/>
      <c r="RYJ28" s="305">
        <v>1</v>
      </c>
      <c r="RYK28" s="304">
        <f t="shared" ref="RYK28" si="2155">EDATE(RYG28,RYJ28)</f>
        <v>45523</v>
      </c>
      <c r="RYL28" s="340">
        <v>0</v>
      </c>
      <c r="RYM28" s="320">
        <f t="shared" ref="RYM28" ca="1" si="2156">IF(RYN28&gt;=1,(RYL28/RYJ28),0)</f>
        <v>0</v>
      </c>
      <c r="RYN28" s="292">
        <f t="shared" ref="RYN28" ca="1" si="2157">RYK28-$G$5</f>
        <v>-591</v>
      </c>
      <c r="RYO28" s="259" t="s">
        <v>55</v>
      </c>
      <c r="RYP28" s="256" t="s">
        <v>76</v>
      </c>
      <c r="RYQ28" s="256" t="s">
        <v>77</v>
      </c>
      <c r="RYR28" s="256" t="s">
        <v>78</v>
      </c>
      <c r="RYS28" s="256" t="s">
        <v>79</v>
      </c>
      <c r="RYT28" s="256" t="s">
        <v>80</v>
      </c>
      <c r="RYU28" s="256" t="s">
        <v>81</v>
      </c>
      <c r="RYV28" s="331"/>
      <c r="RYW28" s="290">
        <v>45492</v>
      </c>
      <c r="RYX28" s="339" t="s">
        <v>141</v>
      </c>
      <c r="RYY28" s="305"/>
      <c r="RYZ28" s="305">
        <v>1</v>
      </c>
      <c r="RZA28" s="304">
        <f t="shared" ref="RZA28" si="2158">EDATE(RYW28,RYZ28)</f>
        <v>45523</v>
      </c>
      <c r="RZB28" s="340">
        <v>0</v>
      </c>
      <c r="RZC28" s="320">
        <f t="shared" ref="RZC28" ca="1" si="2159">IF(RZD28&gt;=1,(RZB28/RYZ28),0)</f>
        <v>0</v>
      </c>
      <c r="RZD28" s="292">
        <f t="shared" ref="RZD28" ca="1" si="2160">RZA28-$G$5</f>
        <v>-591</v>
      </c>
      <c r="RZE28" s="259" t="s">
        <v>55</v>
      </c>
      <c r="RZF28" s="256" t="s">
        <v>76</v>
      </c>
      <c r="RZG28" s="256" t="s">
        <v>77</v>
      </c>
      <c r="RZH28" s="256" t="s">
        <v>78</v>
      </c>
      <c r="RZI28" s="256" t="s">
        <v>79</v>
      </c>
      <c r="RZJ28" s="256" t="s">
        <v>80</v>
      </c>
      <c r="RZK28" s="256" t="s">
        <v>81</v>
      </c>
      <c r="RZL28" s="331"/>
      <c r="RZM28" s="290">
        <v>45492</v>
      </c>
      <c r="RZN28" s="339" t="s">
        <v>141</v>
      </c>
      <c r="RZO28" s="305"/>
      <c r="RZP28" s="305">
        <v>1</v>
      </c>
      <c r="RZQ28" s="304">
        <f t="shared" ref="RZQ28" si="2161">EDATE(RZM28,RZP28)</f>
        <v>45523</v>
      </c>
      <c r="RZR28" s="340">
        <v>0</v>
      </c>
      <c r="RZS28" s="320">
        <f t="shared" ref="RZS28" ca="1" si="2162">IF(RZT28&gt;=1,(RZR28/RZP28),0)</f>
        <v>0</v>
      </c>
      <c r="RZT28" s="292">
        <f t="shared" ref="RZT28" ca="1" si="2163">RZQ28-$G$5</f>
        <v>-591</v>
      </c>
      <c r="RZU28" s="259" t="s">
        <v>55</v>
      </c>
      <c r="RZV28" s="256" t="s">
        <v>76</v>
      </c>
      <c r="RZW28" s="256" t="s">
        <v>77</v>
      </c>
      <c r="RZX28" s="256" t="s">
        <v>78</v>
      </c>
      <c r="RZY28" s="256" t="s">
        <v>79</v>
      </c>
      <c r="RZZ28" s="256" t="s">
        <v>80</v>
      </c>
      <c r="SAA28" s="256" t="s">
        <v>81</v>
      </c>
      <c r="SAB28" s="331"/>
      <c r="SAC28" s="290">
        <v>45492</v>
      </c>
      <c r="SAD28" s="339" t="s">
        <v>141</v>
      </c>
      <c r="SAE28" s="305"/>
      <c r="SAF28" s="305">
        <v>1</v>
      </c>
      <c r="SAG28" s="304">
        <f t="shared" ref="SAG28" si="2164">EDATE(SAC28,SAF28)</f>
        <v>45523</v>
      </c>
      <c r="SAH28" s="340">
        <v>0</v>
      </c>
      <c r="SAI28" s="320">
        <f t="shared" ref="SAI28" ca="1" si="2165">IF(SAJ28&gt;=1,(SAH28/SAF28),0)</f>
        <v>0</v>
      </c>
      <c r="SAJ28" s="292">
        <f t="shared" ref="SAJ28" ca="1" si="2166">SAG28-$G$5</f>
        <v>-591</v>
      </c>
      <c r="SAK28" s="259" t="s">
        <v>55</v>
      </c>
      <c r="SAL28" s="256" t="s">
        <v>76</v>
      </c>
      <c r="SAM28" s="256" t="s">
        <v>77</v>
      </c>
      <c r="SAN28" s="256" t="s">
        <v>78</v>
      </c>
      <c r="SAO28" s="256" t="s">
        <v>79</v>
      </c>
      <c r="SAP28" s="256" t="s">
        <v>80</v>
      </c>
      <c r="SAQ28" s="256" t="s">
        <v>81</v>
      </c>
      <c r="SAR28" s="331"/>
      <c r="SAS28" s="290">
        <v>45492</v>
      </c>
      <c r="SAT28" s="339" t="s">
        <v>141</v>
      </c>
      <c r="SAU28" s="305"/>
      <c r="SAV28" s="305">
        <v>1</v>
      </c>
      <c r="SAW28" s="304">
        <f t="shared" ref="SAW28" si="2167">EDATE(SAS28,SAV28)</f>
        <v>45523</v>
      </c>
      <c r="SAX28" s="340">
        <v>0</v>
      </c>
      <c r="SAY28" s="320">
        <f t="shared" ref="SAY28" ca="1" si="2168">IF(SAZ28&gt;=1,(SAX28/SAV28),0)</f>
        <v>0</v>
      </c>
      <c r="SAZ28" s="292">
        <f t="shared" ref="SAZ28" ca="1" si="2169">SAW28-$G$5</f>
        <v>-591</v>
      </c>
      <c r="SBA28" s="259" t="s">
        <v>55</v>
      </c>
      <c r="SBB28" s="256" t="s">
        <v>76</v>
      </c>
      <c r="SBC28" s="256" t="s">
        <v>77</v>
      </c>
      <c r="SBD28" s="256" t="s">
        <v>78</v>
      </c>
      <c r="SBE28" s="256" t="s">
        <v>79</v>
      </c>
      <c r="SBF28" s="256" t="s">
        <v>80</v>
      </c>
      <c r="SBG28" s="256" t="s">
        <v>81</v>
      </c>
      <c r="SBH28" s="331"/>
      <c r="SBI28" s="290">
        <v>45492</v>
      </c>
      <c r="SBJ28" s="339" t="s">
        <v>141</v>
      </c>
      <c r="SBK28" s="305"/>
      <c r="SBL28" s="305">
        <v>1</v>
      </c>
      <c r="SBM28" s="304">
        <f t="shared" ref="SBM28" si="2170">EDATE(SBI28,SBL28)</f>
        <v>45523</v>
      </c>
      <c r="SBN28" s="340">
        <v>0</v>
      </c>
      <c r="SBO28" s="320">
        <f t="shared" ref="SBO28" ca="1" si="2171">IF(SBP28&gt;=1,(SBN28/SBL28),0)</f>
        <v>0</v>
      </c>
      <c r="SBP28" s="292">
        <f t="shared" ref="SBP28" ca="1" si="2172">SBM28-$G$5</f>
        <v>-591</v>
      </c>
      <c r="SBQ28" s="259" t="s">
        <v>55</v>
      </c>
      <c r="SBR28" s="256" t="s">
        <v>76</v>
      </c>
      <c r="SBS28" s="256" t="s">
        <v>77</v>
      </c>
      <c r="SBT28" s="256" t="s">
        <v>78</v>
      </c>
      <c r="SBU28" s="256" t="s">
        <v>79</v>
      </c>
      <c r="SBV28" s="256" t="s">
        <v>80</v>
      </c>
      <c r="SBW28" s="256" t="s">
        <v>81</v>
      </c>
      <c r="SBX28" s="331"/>
      <c r="SBY28" s="290">
        <v>45492</v>
      </c>
      <c r="SBZ28" s="339" t="s">
        <v>141</v>
      </c>
      <c r="SCA28" s="305"/>
      <c r="SCB28" s="305">
        <v>1</v>
      </c>
      <c r="SCC28" s="304">
        <f t="shared" ref="SCC28" si="2173">EDATE(SBY28,SCB28)</f>
        <v>45523</v>
      </c>
      <c r="SCD28" s="340">
        <v>0</v>
      </c>
      <c r="SCE28" s="320">
        <f t="shared" ref="SCE28" ca="1" si="2174">IF(SCF28&gt;=1,(SCD28/SCB28),0)</f>
        <v>0</v>
      </c>
      <c r="SCF28" s="292">
        <f t="shared" ref="SCF28" ca="1" si="2175">SCC28-$G$5</f>
        <v>-591</v>
      </c>
      <c r="SCG28" s="259" t="s">
        <v>55</v>
      </c>
      <c r="SCH28" s="256" t="s">
        <v>76</v>
      </c>
      <c r="SCI28" s="256" t="s">
        <v>77</v>
      </c>
      <c r="SCJ28" s="256" t="s">
        <v>78</v>
      </c>
      <c r="SCK28" s="256" t="s">
        <v>79</v>
      </c>
      <c r="SCL28" s="256" t="s">
        <v>80</v>
      </c>
      <c r="SCM28" s="256" t="s">
        <v>81</v>
      </c>
      <c r="SCN28" s="331"/>
      <c r="SCO28" s="290">
        <v>45492</v>
      </c>
      <c r="SCP28" s="339" t="s">
        <v>141</v>
      </c>
      <c r="SCQ28" s="305"/>
      <c r="SCR28" s="305">
        <v>1</v>
      </c>
      <c r="SCS28" s="304">
        <f t="shared" ref="SCS28" si="2176">EDATE(SCO28,SCR28)</f>
        <v>45523</v>
      </c>
      <c r="SCT28" s="340">
        <v>0</v>
      </c>
      <c r="SCU28" s="320">
        <f t="shared" ref="SCU28" ca="1" si="2177">IF(SCV28&gt;=1,(SCT28/SCR28),0)</f>
        <v>0</v>
      </c>
      <c r="SCV28" s="292">
        <f t="shared" ref="SCV28" ca="1" si="2178">SCS28-$G$5</f>
        <v>-591</v>
      </c>
      <c r="SCW28" s="259" t="s">
        <v>55</v>
      </c>
      <c r="SCX28" s="256" t="s">
        <v>76</v>
      </c>
      <c r="SCY28" s="256" t="s">
        <v>77</v>
      </c>
      <c r="SCZ28" s="256" t="s">
        <v>78</v>
      </c>
      <c r="SDA28" s="256" t="s">
        <v>79</v>
      </c>
      <c r="SDB28" s="256" t="s">
        <v>80</v>
      </c>
      <c r="SDC28" s="256" t="s">
        <v>81</v>
      </c>
      <c r="SDD28" s="331"/>
      <c r="SDE28" s="290">
        <v>45492</v>
      </c>
      <c r="SDF28" s="339" t="s">
        <v>141</v>
      </c>
      <c r="SDG28" s="305"/>
      <c r="SDH28" s="305">
        <v>1</v>
      </c>
      <c r="SDI28" s="304">
        <f t="shared" ref="SDI28" si="2179">EDATE(SDE28,SDH28)</f>
        <v>45523</v>
      </c>
      <c r="SDJ28" s="340">
        <v>0</v>
      </c>
      <c r="SDK28" s="320">
        <f t="shared" ref="SDK28" ca="1" si="2180">IF(SDL28&gt;=1,(SDJ28/SDH28),0)</f>
        <v>0</v>
      </c>
      <c r="SDL28" s="292">
        <f t="shared" ref="SDL28" ca="1" si="2181">SDI28-$G$5</f>
        <v>-591</v>
      </c>
      <c r="SDM28" s="259" t="s">
        <v>55</v>
      </c>
      <c r="SDN28" s="256" t="s">
        <v>76</v>
      </c>
      <c r="SDO28" s="256" t="s">
        <v>77</v>
      </c>
      <c r="SDP28" s="256" t="s">
        <v>78</v>
      </c>
      <c r="SDQ28" s="256" t="s">
        <v>79</v>
      </c>
      <c r="SDR28" s="256" t="s">
        <v>80</v>
      </c>
      <c r="SDS28" s="256" t="s">
        <v>81</v>
      </c>
      <c r="SDT28" s="331"/>
      <c r="SDU28" s="290">
        <v>45492</v>
      </c>
      <c r="SDV28" s="339" t="s">
        <v>141</v>
      </c>
      <c r="SDW28" s="305"/>
      <c r="SDX28" s="305">
        <v>1</v>
      </c>
      <c r="SDY28" s="304">
        <f t="shared" ref="SDY28" si="2182">EDATE(SDU28,SDX28)</f>
        <v>45523</v>
      </c>
      <c r="SDZ28" s="340">
        <v>0</v>
      </c>
      <c r="SEA28" s="320">
        <f t="shared" ref="SEA28" ca="1" si="2183">IF(SEB28&gt;=1,(SDZ28/SDX28),0)</f>
        <v>0</v>
      </c>
      <c r="SEB28" s="292">
        <f t="shared" ref="SEB28" ca="1" si="2184">SDY28-$G$5</f>
        <v>-591</v>
      </c>
      <c r="SEC28" s="259" t="s">
        <v>55</v>
      </c>
      <c r="SED28" s="256" t="s">
        <v>76</v>
      </c>
      <c r="SEE28" s="256" t="s">
        <v>77</v>
      </c>
      <c r="SEF28" s="256" t="s">
        <v>78</v>
      </c>
      <c r="SEG28" s="256" t="s">
        <v>79</v>
      </c>
      <c r="SEH28" s="256" t="s">
        <v>80</v>
      </c>
      <c r="SEI28" s="256" t="s">
        <v>81</v>
      </c>
      <c r="SEJ28" s="331"/>
      <c r="SEK28" s="290">
        <v>45492</v>
      </c>
      <c r="SEL28" s="339" t="s">
        <v>141</v>
      </c>
      <c r="SEM28" s="305"/>
      <c r="SEN28" s="305">
        <v>1</v>
      </c>
      <c r="SEO28" s="304">
        <f t="shared" ref="SEO28" si="2185">EDATE(SEK28,SEN28)</f>
        <v>45523</v>
      </c>
      <c r="SEP28" s="340">
        <v>0</v>
      </c>
      <c r="SEQ28" s="320">
        <f t="shared" ref="SEQ28" ca="1" si="2186">IF(SER28&gt;=1,(SEP28/SEN28),0)</f>
        <v>0</v>
      </c>
      <c r="SER28" s="292">
        <f t="shared" ref="SER28" ca="1" si="2187">SEO28-$G$5</f>
        <v>-591</v>
      </c>
      <c r="SES28" s="259" t="s">
        <v>55</v>
      </c>
      <c r="SET28" s="256" t="s">
        <v>76</v>
      </c>
      <c r="SEU28" s="256" t="s">
        <v>77</v>
      </c>
      <c r="SEV28" s="256" t="s">
        <v>78</v>
      </c>
      <c r="SEW28" s="256" t="s">
        <v>79</v>
      </c>
      <c r="SEX28" s="256" t="s">
        <v>80</v>
      </c>
      <c r="SEY28" s="256" t="s">
        <v>81</v>
      </c>
      <c r="SEZ28" s="331"/>
      <c r="SFA28" s="290">
        <v>45492</v>
      </c>
      <c r="SFB28" s="339" t="s">
        <v>141</v>
      </c>
      <c r="SFC28" s="305"/>
      <c r="SFD28" s="305">
        <v>1</v>
      </c>
      <c r="SFE28" s="304">
        <f t="shared" ref="SFE28" si="2188">EDATE(SFA28,SFD28)</f>
        <v>45523</v>
      </c>
      <c r="SFF28" s="340">
        <v>0</v>
      </c>
      <c r="SFG28" s="320">
        <f t="shared" ref="SFG28" ca="1" si="2189">IF(SFH28&gt;=1,(SFF28/SFD28),0)</f>
        <v>0</v>
      </c>
      <c r="SFH28" s="292">
        <f t="shared" ref="SFH28" ca="1" si="2190">SFE28-$G$5</f>
        <v>-591</v>
      </c>
      <c r="SFI28" s="259" t="s">
        <v>55</v>
      </c>
      <c r="SFJ28" s="256" t="s">
        <v>76</v>
      </c>
      <c r="SFK28" s="256" t="s">
        <v>77</v>
      </c>
      <c r="SFL28" s="256" t="s">
        <v>78</v>
      </c>
      <c r="SFM28" s="256" t="s">
        <v>79</v>
      </c>
      <c r="SFN28" s="256" t="s">
        <v>80</v>
      </c>
      <c r="SFO28" s="256" t="s">
        <v>81</v>
      </c>
      <c r="SFP28" s="331"/>
      <c r="SFQ28" s="290">
        <v>45492</v>
      </c>
      <c r="SFR28" s="339" t="s">
        <v>141</v>
      </c>
      <c r="SFS28" s="305"/>
      <c r="SFT28" s="305">
        <v>1</v>
      </c>
      <c r="SFU28" s="304">
        <f t="shared" ref="SFU28" si="2191">EDATE(SFQ28,SFT28)</f>
        <v>45523</v>
      </c>
      <c r="SFV28" s="340">
        <v>0</v>
      </c>
      <c r="SFW28" s="320">
        <f t="shared" ref="SFW28" ca="1" si="2192">IF(SFX28&gt;=1,(SFV28/SFT28),0)</f>
        <v>0</v>
      </c>
      <c r="SFX28" s="292">
        <f t="shared" ref="SFX28" ca="1" si="2193">SFU28-$G$5</f>
        <v>-591</v>
      </c>
      <c r="SFY28" s="259" t="s">
        <v>55</v>
      </c>
      <c r="SFZ28" s="256" t="s">
        <v>76</v>
      </c>
      <c r="SGA28" s="256" t="s">
        <v>77</v>
      </c>
      <c r="SGB28" s="256" t="s">
        <v>78</v>
      </c>
      <c r="SGC28" s="256" t="s">
        <v>79</v>
      </c>
      <c r="SGD28" s="256" t="s">
        <v>80</v>
      </c>
      <c r="SGE28" s="256" t="s">
        <v>81</v>
      </c>
      <c r="SGF28" s="331"/>
      <c r="SGG28" s="290">
        <v>45492</v>
      </c>
      <c r="SGH28" s="339" t="s">
        <v>141</v>
      </c>
      <c r="SGI28" s="305"/>
      <c r="SGJ28" s="305">
        <v>1</v>
      </c>
      <c r="SGK28" s="304">
        <f t="shared" ref="SGK28" si="2194">EDATE(SGG28,SGJ28)</f>
        <v>45523</v>
      </c>
      <c r="SGL28" s="340">
        <v>0</v>
      </c>
      <c r="SGM28" s="320">
        <f t="shared" ref="SGM28" ca="1" si="2195">IF(SGN28&gt;=1,(SGL28/SGJ28),0)</f>
        <v>0</v>
      </c>
      <c r="SGN28" s="292">
        <f t="shared" ref="SGN28" ca="1" si="2196">SGK28-$G$5</f>
        <v>-591</v>
      </c>
      <c r="SGO28" s="259" t="s">
        <v>55</v>
      </c>
      <c r="SGP28" s="256" t="s">
        <v>76</v>
      </c>
      <c r="SGQ28" s="256" t="s">
        <v>77</v>
      </c>
      <c r="SGR28" s="256" t="s">
        <v>78</v>
      </c>
      <c r="SGS28" s="256" t="s">
        <v>79</v>
      </c>
      <c r="SGT28" s="256" t="s">
        <v>80</v>
      </c>
      <c r="SGU28" s="256" t="s">
        <v>81</v>
      </c>
      <c r="SGV28" s="331"/>
      <c r="SGW28" s="290">
        <v>45492</v>
      </c>
      <c r="SGX28" s="339" t="s">
        <v>141</v>
      </c>
      <c r="SGY28" s="305"/>
      <c r="SGZ28" s="305">
        <v>1</v>
      </c>
      <c r="SHA28" s="304">
        <f t="shared" ref="SHA28" si="2197">EDATE(SGW28,SGZ28)</f>
        <v>45523</v>
      </c>
      <c r="SHB28" s="340">
        <v>0</v>
      </c>
      <c r="SHC28" s="320">
        <f t="shared" ref="SHC28" ca="1" si="2198">IF(SHD28&gt;=1,(SHB28/SGZ28),0)</f>
        <v>0</v>
      </c>
      <c r="SHD28" s="292">
        <f t="shared" ref="SHD28" ca="1" si="2199">SHA28-$G$5</f>
        <v>-591</v>
      </c>
      <c r="SHE28" s="259" t="s">
        <v>55</v>
      </c>
      <c r="SHF28" s="256" t="s">
        <v>76</v>
      </c>
      <c r="SHG28" s="256" t="s">
        <v>77</v>
      </c>
      <c r="SHH28" s="256" t="s">
        <v>78</v>
      </c>
      <c r="SHI28" s="256" t="s">
        <v>79</v>
      </c>
      <c r="SHJ28" s="256" t="s">
        <v>80</v>
      </c>
      <c r="SHK28" s="256" t="s">
        <v>81</v>
      </c>
      <c r="SHL28" s="331"/>
      <c r="SHM28" s="290">
        <v>45492</v>
      </c>
      <c r="SHN28" s="339" t="s">
        <v>141</v>
      </c>
      <c r="SHO28" s="305"/>
      <c r="SHP28" s="305">
        <v>1</v>
      </c>
      <c r="SHQ28" s="304">
        <f t="shared" ref="SHQ28" si="2200">EDATE(SHM28,SHP28)</f>
        <v>45523</v>
      </c>
      <c r="SHR28" s="340">
        <v>0</v>
      </c>
      <c r="SHS28" s="320">
        <f t="shared" ref="SHS28" ca="1" si="2201">IF(SHT28&gt;=1,(SHR28/SHP28),0)</f>
        <v>0</v>
      </c>
      <c r="SHT28" s="292">
        <f t="shared" ref="SHT28" ca="1" si="2202">SHQ28-$G$5</f>
        <v>-591</v>
      </c>
      <c r="SHU28" s="259" t="s">
        <v>55</v>
      </c>
      <c r="SHV28" s="256" t="s">
        <v>76</v>
      </c>
      <c r="SHW28" s="256" t="s">
        <v>77</v>
      </c>
      <c r="SHX28" s="256" t="s">
        <v>78</v>
      </c>
      <c r="SHY28" s="256" t="s">
        <v>79</v>
      </c>
      <c r="SHZ28" s="256" t="s">
        <v>80</v>
      </c>
      <c r="SIA28" s="256" t="s">
        <v>81</v>
      </c>
      <c r="SIB28" s="331"/>
      <c r="SIC28" s="290">
        <v>45492</v>
      </c>
      <c r="SID28" s="339" t="s">
        <v>141</v>
      </c>
      <c r="SIE28" s="305"/>
      <c r="SIF28" s="305">
        <v>1</v>
      </c>
      <c r="SIG28" s="304">
        <f t="shared" ref="SIG28" si="2203">EDATE(SIC28,SIF28)</f>
        <v>45523</v>
      </c>
      <c r="SIH28" s="340">
        <v>0</v>
      </c>
      <c r="SII28" s="320">
        <f t="shared" ref="SII28" ca="1" si="2204">IF(SIJ28&gt;=1,(SIH28/SIF28),0)</f>
        <v>0</v>
      </c>
      <c r="SIJ28" s="292">
        <f t="shared" ref="SIJ28" ca="1" si="2205">SIG28-$G$5</f>
        <v>-591</v>
      </c>
      <c r="SIK28" s="259" t="s">
        <v>55</v>
      </c>
      <c r="SIL28" s="256" t="s">
        <v>76</v>
      </c>
      <c r="SIM28" s="256" t="s">
        <v>77</v>
      </c>
      <c r="SIN28" s="256" t="s">
        <v>78</v>
      </c>
      <c r="SIO28" s="256" t="s">
        <v>79</v>
      </c>
      <c r="SIP28" s="256" t="s">
        <v>80</v>
      </c>
      <c r="SIQ28" s="256" t="s">
        <v>81</v>
      </c>
      <c r="SIR28" s="331"/>
      <c r="SIS28" s="290">
        <v>45492</v>
      </c>
      <c r="SIT28" s="339" t="s">
        <v>141</v>
      </c>
      <c r="SIU28" s="305"/>
      <c r="SIV28" s="305">
        <v>1</v>
      </c>
      <c r="SIW28" s="304">
        <f t="shared" ref="SIW28" si="2206">EDATE(SIS28,SIV28)</f>
        <v>45523</v>
      </c>
      <c r="SIX28" s="340">
        <v>0</v>
      </c>
      <c r="SIY28" s="320">
        <f t="shared" ref="SIY28" ca="1" si="2207">IF(SIZ28&gt;=1,(SIX28/SIV28),0)</f>
        <v>0</v>
      </c>
      <c r="SIZ28" s="292">
        <f t="shared" ref="SIZ28" ca="1" si="2208">SIW28-$G$5</f>
        <v>-591</v>
      </c>
      <c r="SJA28" s="259" t="s">
        <v>55</v>
      </c>
      <c r="SJB28" s="256" t="s">
        <v>76</v>
      </c>
      <c r="SJC28" s="256" t="s">
        <v>77</v>
      </c>
      <c r="SJD28" s="256" t="s">
        <v>78</v>
      </c>
      <c r="SJE28" s="256" t="s">
        <v>79</v>
      </c>
      <c r="SJF28" s="256" t="s">
        <v>80</v>
      </c>
      <c r="SJG28" s="256" t="s">
        <v>81</v>
      </c>
      <c r="SJH28" s="331"/>
      <c r="SJI28" s="290">
        <v>45492</v>
      </c>
      <c r="SJJ28" s="339" t="s">
        <v>141</v>
      </c>
      <c r="SJK28" s="305"/>
      <c r="SJL28" s="305">
        <v>1</v>
      </c>
      <c r="SJM28" s="304">
        <f t="shared" ref="SJM28" si="2209">EDATE(SJI28,SJL28)</f>
        <v>45523</v>
      </c>
      <c r="SJN28" s="340">
        <v>0</v>
      </c>
      <c r="SJO28" s="320">
        <f t="shared" ref="SJO28" ca="1" si="2210">IF(SJP28&gt;=1,(SJN28/SJL28),0)</f>
        <v>0</v>
      </c>
      <c r="SJP28" s="292">
        <f t="shared" ref="SJP28" ca="1" si="2211">SJM28-$G$5</f>
        <v>-591</v>
      </c>
      <c r="SJQ28" s="259" t="s">
        <v>55</v>
      </c>
      <c r="SJR28" s="256" t="s">
        <v>76</v>
      </c>
      <c r="SJS28" s="256" t="s">
        <v>77</v>
      </c>
      <c r="SJT28" s="256" t="s">
        <v>78</v>
      </c>
      <c r="SJU28" s="256" t="s">
        <v>79</v>
      </c>
      <c r="SJV28" s="256" t="s">
        <v>80</v>
      </c>
      <c r="SJW28" s="256" t="s">
        <v>81</v>
      </c>
      <c r="SJX28" s="331"/>
      <c r="SJY28" s="290">
        <v>45492</v>
      </c>
      <c r="SJZ28" s="339" t="s">
        <v>141</v>
      </c>
      <c r="SKA28" s="305"/>
      <c r="SKB28" s="305">
        <v>1</v>
      </c>
      <c r="SKC28" s="304">
        <f t="shared" ref="SKC28" si="2212">EDATE(SJY28,SKB28)</f>
        <v>45523</v>
      </c>
      <c r="SKD28" s="340">
        <v>0</v>
      </c>
      <c r="SKE28" s="320">
        <f t="shared" ref="SKE28" ca="1" si="2213">IF(SKF28&gt;=1,(SKD28/SKB28),0)</f>
        <v>0</v>
      </c>
      <c r="SKF28" s="292">
        <f t="shared" ref="SKF28" ca="1" si="2214">SKC28-$G$5</f>
        <v>-591</v>
      </c>
      <c r="SKG28" s="259" t="s">
        <v>55</v>
      </c>
      <c r="SKH28" s="256" t="s">
        <v>76</v>
      </c>
      <c r="SKI28" s="256" t="s">
        <v>77</v>
      </c>
      <c r="SKJ28" s="256" t="s">
        <v>78</v>
      </c>
      <c r="SKK28" s="256" t="s">
        <v>79</v>
      </c>
      <c r="SKL28" s="256" t="s">
        <v>80</v>
      </c>
      <c r="SKM28" s="256" t="s">
        <v>81</v>
      </c>
      <c r="SKN28" s="331"/>
      <c r="SKO28" s="290">
        <v>45492</v>
      </c>
      <c r="SKP28" s="339" t="s">
        <v>141</v>
      </c>
      <c r="SKQ28" s="305"/>
      <c r="SKR28" s="305">
        <v>1</v>
      </c>
      <c r="SKS28" s="304">
        <f t="shared" ref="SKS28" si="2215">EDATE(SKO28,SKR28)</f>
        <v>45523</v>
      </c>
      <c r="SKT28" s="340">
        <v>0</v>
      </c>
      <c r="SKU28" s="320">
        <f t="shared" ref="SKU28" ca="1" si="2216">IF(SKV28&gt;=1,(SKT28/SKR28),0)</f>
        <v>0</v>
      </c>
      <c r="SKV28" s="292">
        <f t="shared" ref="SKV28" ca="1" si="2217">SKS28-$G$5</f>
        <v>-591</v>
      </c>
      <c r="SKW28" s="259" t="s">
        <v>55</v>
      </c>
      <c r="SKX28" s="256" t="s">
        <v>76</v>
      </c>
      <c r="SKY28" s="256" t="s">
        <v>77</v>
      </c>
      <c r="SKZ28" s="256" t="s">
        <v>78</v>
      </c>
      <c r="SLA28" s="256" t="s">
        <v>79</v>
      </c>
      <c r="SLB28" s="256" t="s">
        <v>80</v>
      </c>
      <c r="SLC28" s="256" t="s">
        <v>81</v>
      </c>
      <c r="SLD28" s="331"/>
      <c r="SLE28" s="290">
        <v>45492</v>
      </c>
      <c r="SLF28" s="339" t="s">
        <v>141</v>
      </c>
      <c r="SLG28" s="305"/>
      <c r="SLH28" s="305">
        <v>1</v>
      </c>
      <c r="SLI28" s="304">
        <f t="shared" ref="SLI28" si="2218">EDATE(SLE28,SLH28)</f>
        <v>45523</v>
      </c>
      <c r="SLJ28" s="340">
        <v>0</v>
      </c>
      <c r="SLK28" s="320">
        <f t="shared" ref="SLK28" ca="1" si="2219">IF(SLL28&gt;=1,(SLJ28/SLH28),0)</f>
        <v>0</v>
      </c>
      <c r="SLL28" s="292">
        <f t="shared" ref="SLL28" ca="1" si="2220">SLI28-$G$5</f>
        <v>-591</v>
      </c>
      <c r="SLM28" s="259" t="s">
        <v>55</v>
      </c>
      <c r="SLN28" s="256" t="s">
        <v>76</v>
      </c>
      <c r="SLO28" s="256" t="s">
        <v>77</v>
      </c>
      <c r="SLP28" s="256" t="s">
        <v>78</v>
      </c>
      <c r="SLQ28" s="256" t="s">
        <v>79</v>
      </c>
      <c r="SLR28" s="256" t="s">
        <v>80</v>
      </c>
      <c r="SLS28" s="256" t="s">
        <v>81</v>
      </c>
      <c r="SLT28" s="331"/>
      <c r="SLU28" s="290">
        <v>45492</v>
      </c>
      <c r="SLV28" s="339" t="s">
        <v>141</v>
      </c>
      <c r="SLW28" s="305"/>
      <c r="SLX28" s="305">
        <v>1</v>
      </c>
      <c r="SLY28" s="304">
        <f t="shared" ref="SLY28" si="2221">EDATE(SLU28,SLX28)</f>
        <v>45523</v>
      </c>
      <c r="SLZ28" s="340">
        <v>0</v>
      </c>
      <c r="SMA28" s="320">
        <f t="shared" ref="SMA28" ca="1" si="2222">IF(SMB28&gt;=1,(SLZ28/SLX28),0)</f>
        <v>0</v>
      </c>
      <c r="SMB28" s="292">
        <f t="shared" ref="SMB28" ca="1" si="2223">SLY28-$G$5</f>
        <v>-591</v>
      </c>
      <c r="SMC28" s="259" t="s">
        <v>55</v>
      </c>
      <c r="SMD28" s="256" t="s">
        <v>76</v>
      </c>
      <c r="SME28" s="256" t="s">
        <v>77</v>
      </c>
      <c r="SMF28" s="256" t="s">
        <v>78</v>
      </c>
      <c r="SMG28" s="256" t="s">
        <v>79</v>
      </c>
      <c r="SMH28" s="256" t="s">
        <v>80</v>
      </c>
      <c r="SMI28" s="256" t="s">
        <v>81</v>
      </c>
      <c r="SMJ28" s="331"/>
      <c r="SMK28" s="290">
        <v>45492</v>
      </c>
      <c r="SML28" s="339" t="s">
        <v>141</v>
      </c>
      <c r="SMM28" s="305"/>
      <c r="SMN28" s="305">
        <v>1</v>
      </c>
      <c r="SMO28" s="304">
        <f t="shared" ref="SMO28" si="2224">EDATE(SMK28,SMN28)</f>
        <v>45523</v>
      </c>
      <c r="SMP28" s="340">
        <v>0</v>
      </c>
      <c r="SMQ28" s="320">
        <f t="shared" ref="SMQ28" ca="1" si="2225">IF(SMR28&gt;=1,(SMP28/SMN28),0)</f>
        <v>0</v>
      </c>
      <c r="SMR28" s="292">
        <f t="shared" ref="SMR28" ca="1" si="2226">SMO28-$G$5</f>
        <v>-591</v>
      </c>
      <c r="SMS28" s="259" t="s">
        <v>55</v>
      </c>
      <c r="SMT28" s="256" t="s">
        <v>76</v>
      </c>
      <c r="SMU28" s="256" t="s">
        <v>77</v>
      </c>
      <c r="SMV28" s="256" t="s">
        <v>78</v>
      </c>
      <c r="SMW28" s="256" t="s">
        <v>79</v>
      </c>
      <c r="SMX28" s="256" t="s">
        <v>80</v>
      </c>
      <c r="SMY28" s="256" t="s">
        <v>81</v>
      </c>
      <c r="SMZ28" s="331"/>
      <c r="SNA28" s="290">
        <v>45492</v>
      </c>
      <c r="SNB28" s="339" t="s">
        <v>141</v>
      </c>
      <c r="SNC28" s="305"/>
      <c r="SND28" s="305">
        <v>1</v>
      </c>
      <c r="SNE28" s="304">
        <f t="shared" ref="SNE28" si="2227">EDATE(SNA28,SND28)</f>
        <v>45523</v>
      </c>
      <c r="SNF28" s="340">
        <v>0</v>
      </c>
      <c r="SNG28" s="320">
        <f t="shared" ref="SNG28" ca="1" si="2228">IF(SNH28&gt;=1,(SNF28/SND28),0)</f>
        <v>0</v>
      </c>
      <c r="SNH28" s="292">
        <f t="shared" ref="SNH28" ca="1" si="2229">SNE28-$G$5</f>
        <v>-591</v>
      </c>
      <c r="SNI28" s="259" t="s">
        <v>55</v>
      </c>
      <c r="SNJ28" s="256" t="s">
        <v>76</v>
      </c>
      <c r="SNK28" s="256" t="s">
        <v>77</v>
      </c>
      <c r="SNL28" s="256" t="s">
        <v>78</v>
      </c>
      <c r="SNM28" s="256" t="s">
        <v>79</v>
      </c>
      <c r="SNN28" s="256" t="s">
        <v>80</v>
      </c>
      <c r="SNO28" s="256" t="s">
        <v>81</v>
      </c>
      <c r="SNP28" s="331"/>
      <c r="SNQ28" s="290">
        <v>45492</v>
      </c>
      <c r="SNR28" s="339" t="s">
        <v>141</v>
      </c>
      <c r="SNS28" s="305"/>
      <c r="SNT28" s="305">
        <v>1</v>
      </c>
      <c r="SNU28" s="304">
        <f t="shared" ref="SNU28" si="2230">EDATE(SNQ28,SNT28)</f>
        <v>45523</v>
      </c>
      <c r="SNV28" s="340">
        <v>0</v>
      </c>
      <c r="SNW28" s="320">
        <f t="shared" ref="SNW28" ca="1" si="2231">IF(SNX28&gt;=1,(SNV28/SNT28),0)</f>
        <v>0</v>
      </c>
      <c r="SNX28" s="292">
        <f t="shared" ref="SNX28" ca="1" si="2232">SNU28-$G$5</f>
        <v>-591</v>
      </c>
      <c r="SNY28" s="259" t="s">
        <v>55</v>
      </c>
      <c r="SNZ28" s="256" t="s">
        <v>76</v>
      </c>
      <c r="SOA28" s="256" t="s">
        <v>77</v>
      </c>
      <c r="SOB28" s="256" t="s">
        <v>78</v>
      </c>
      <c r="SOC28" s="256" t="s">
        <v>79</v>
      </c>
      <c r="SOD28" s="256" t="s">
        <v>80</v>
      </c>
      <c r="SOE28" s="256" t="s">
        <v>81</v>
      </c>
      <c r="SOF28" s="331"/>
      <c r="SOG28" s="290">
        <v>45492</v>
      </c>
      <c r="SOH28" s="339" t="s">
        <v>141</v>
      </c>
      <c r="SOI28" s="305"/>
      <c r="SOJ28" s="305">
        <v>1</v>
      </c>
      <c r="SOK28" s="304">
        <f t="shared" ref="SOK28" si="2233">EDATE(SOG28,SOJ28)</f>
        <v>45523</v>
      </c>
      <c r="SOL28" s="340">
        <v>0</v>
      </c>
      <c r="SOM28" s="320">
        <f t="shared" ref="SOM28" ca="1" si="2234">IF(SON28&gt;=1,(SOL28/SOJ28),0)</f>
        <v>0</v>
      </c>
      <c r="SON28" s="292">
        <f t="shared" ref="SON28" ca="1" si="2235">SOK28-$G$5</f>
        <v>-591</v>
      </c>
      <c r="SOO28" s="259" t="s">
        <v>55</v>
      </c>
      <c r="SOP28" s="256" t="s">
        <v>76</v>
      </c>
      <c r="SOQ28" s="256" t="s">
        <v>77</v>
      </c>
      <c r="SOR28" s="256" t="s">
        <v>78</v>
      </c>
      <c r="SOS28" s="256" t="s">
        <v>79</v>
      </c>
      <c r="SOT28" s="256" t="s">
        <v>80</v>
      </c>
      <c r="SOU28" s="256" t="s">
        <v>81</v>
      </c>
      <c r="SOV28" s="331"/>
      <c r="SOW28" s="290">
        <v>45492</v>
      </c>
      <c r="SOX28" s="339" t="s">
        <v>141</v>
      </c>
      <c r="SOY28" s="305"/>
      <c r="SOZ28" s="305">
        <v>1</v>
      </c>
      <c r="SPA28" s="304">
        <f t="shared" ref="SPA28" si="2236">EDATE(SOW28,SOZ28)</f>
        <v>45523</v>
      </c>
      <c r="SPB28" s="340">
        <v>0</v>
      </c>
      <c r="SPC28" s="320">
        <f t="shared" ref="SPC28" ca="1" si="2237">IF(SPD28&gt;=1,(SPB28/SOZ28),0)</f>
        <v>0</v>
      </c>
      <c r="SPD28" s="292">
        <f t="shared" ref="SPD28" ca="1" si="2238">SPA28-$G$5</f>
        <v>-591</v>
      </c>
      <c r="SPE28" s="259" t="s">
        <v>55</v>
      </c>
      <c r="SPF28" s="256" t="s">
        <v>76</v>
      </c>
      <c r="SPG28" s="256" t="s">
        <v>77</v>
      </c>
      <c r="SPH28" s="256" t="s">
        <v>78</v>
      </c>
      <c r="SPI28" s="256" t="s">
        <v>79</v>
      </c>
      <c r="SPJ28" s="256" t="s">
        <v>80</v>
      </c>
      <c r="SPK28" s="256" t="s">
        <v>81</v>
      </c>
      <c r="SPL28" s="331"/>
      <c r="SPM28" s="290">
        <v>45492</v>
      </c>
      <c r="SPN28" s="339" t="s">
        <v>141</v>
      </c>
      <c r="SPO28" s="305"/>
      <c r="SPP28" s="305">
        <v>1</v>
      </c>
      <c r="SPQ28" s="304">
        <f t="shared" ref="SPQ28" si="2239">EDATE(SPM28,SPP28)</f>
        <v>45523</v>
      </c>
      <c r="SPR28" s="340">
        <v>0</v>
      </c>
      <c r="SPS28" s="320">
        <f t="shared" ref="SPS28" ca="1" si="2240">IF(SPT28&gt;=1,(SPR28/SPP28),0)</f>
        <v>0</v>
      </c>
      <c r="SPT28" s="292">
        <f t="shared" ref="SPT28" ca="1" si="2241">SPQ28-$G$5</f>
        <v>-591</v>
      </c>
      <c r="SPU28" s="259" t="s">
        <v>55</v>
      </c>
      <c r="SPV28" s="256" t="s">
        <v>76</v>
      </c>
      <c r="SPW28" s="256" t="s">
        <v>77</v>
      </c>
      <c r="SPX28" s="256" t="s">
        <v>78</v>
      </c>
      <c r="SPY28" s="256" t="s">
        <v>79</v>
      </c>
      <c r="SPZ28" s="256" t="s">
        <v>80</v>
      </c>
      <c r="SQA28" s="256" t="s">
        <v>81</v>
      </c>
      <c r="SQB28" s="331"/>
      <c r="SQC28" s="290">
        <v>45492</v>
      </c>
      <c r="SQD28" s="339" t="s">
        <v>141</v>
      </c>
      <c r="SQE28" s="305"/>
      <c r="SQF28" s="305">
        <v>1</v>
      </c>
      <c r="SQG28" s="304">
        <f t="shared" ref="SQG28" si="2242">EDATE(SQC28,SQF28)</f>
        <v>45523</v>
      </c>
      <c r="SQH28" s="340">
        <v>0</v>
      </c>
      <c r="SQI28" s="320">
        <f t="shared" ref="SQI28" ca="1" si="2243">IF(SQJ28&gt;=1,(SQH28/SQF28),0)</f>
        <v>0</v>
      </c>
      <c r="SQJ28" s="292">
        <f t="shared" ref="SQJ28" ca="1" si="2244">SQG28-$G$5</f>
        <v>-591</v>
      </c>
      <c r="SQK28" s="259" t="s">
        <v>55</v>
      </c>
      <c r="SQL28" s="256" t="s">
        <v>76</v>
      </c>
      <c r="SQM28" s="256" t="s">
        <v>77</v>
      </c>
      <c r="SQN28" s="256" t="s">
        <v>78</v>
      </c>
      <c r="SQO28" s="256" t="s">
        <v>79</v>
      </c>
      <c r="SQP28" s="256" t="s">
        <v>80</v>
      </c>
      <c r="SQQ28" s="256" t="s">
        <v>81</v>
      </c>
      <c r="SQR28" s="331"/>
      <c r="SQS28" s="290">
        <v>45492</v>
      </c>
      <c r="SQT28" s="339" t="s">
        <v>141</v>
      </c>
      <c r="SQU28" s="305"/>
      <c r="SQV28" s="305">
        <v>1</v>
      </c>
      <c r="SQW28" s="304">
        <f t="shared" ref="SQW28" si="2245">EDATE(SQS28,SQV28)</f>
        <v>45523</v>
      </c>
      <c r="SQX28" s="340">
        <v>0</v>
      </c>
      <c r="SQY28" s="320">
        <f t="shared" ref="SQY28" ca="1" si="2246">IF(SQZ28&gt;=1,(SQX28/SQV28),0)</f>
        <v>0</v>
      </c>
      <c r="SQZ28" s="292">
        <f t="shared" ref="SQZ28" ca="1" si="2247">SQW28-$G$5</f>
        <v>-591</v>
      </c>
      <c r="SRA28" s="259" t="s">
        <v>55</v>
      </c>
      <c r="SRB28" s="256" t="s">
        <v>76</v>
      </c>
      <c r="SRC28" s="256" t="s">
        <v>77</v>
      </c>
      <c r="SRD28" s="256" t="s">
        <v>78</v>
      </c>
      <c r="SRE28" s="256" t="s">
        <v>79</v>
      </c>
      <c r="SRF28" s="256" t="s">
        <v>80</v>
      </c>
      <c r="SRG28" s="256" t="s">
        <v>81</v>
      </c>
      <c r="SRH28" s="331"/>
      <c r="SRI28" s="290">
        <v>45492</v>
      </c>
      <c r="SRJ28" s="339" t="s">
        <v>141</v>
      </c>
      <c r="SRK28" s="305"/>
      <c r="SRL28" s="305">
        <v>1</v>
      </c>
      <c r="SRM28" s="304">
        <f t="shared" ref="SRM28" si="2248">EDATE(SRI28,SRL28)</f>
        <v>45523</v>
      </c>
      <c r="SRN28" s="340">
        <v>0</v>
      </c>
      <c r="SRO28" s="320">
        <f t="shared" ref="SRO28" ca="1" si="2249">IF(SRP28&gt;=1,(SRN28/SRL28),0)</f>
        <v>0</v>
      </c>
      <c r="SRP28" s="292">
        <f t="shared" ref="SRP28" ca="1" si="2250">SRM28-$G$5</f>
        <v>-591</v>
      </c>
      <c r="SRQ28" s="259" t="s">
        <v>55</v>
      </c>
      <c r="SRR28" s="256" t="s">
        <v>76</v>
      </c>
      <c r="SRS28" s="256" t="s">
        <v>77</v>
      </c>
      <c r="SRT28" s="256" t="s">
        <v>78</v>
      </c>
      <c r="SRU28" s="256" t="s">
        <v>79</v>
      </c>
      <c r="SRV28" s="256" t="s">
        <v>80</v>
      </c>
      <c r="SRW28" s="256" t="s">
        <v>81</v>
      </c>
      <c r="SRX28" s="331"/>
      <c r="SRY28" s="290">
        <v>45492</v>
      </c>
      <c r="SRZ28" s="339" t="s">
        <v>141</v>
      </c>
      <c r="SSA28" s="305"/>
      <c r="SSB28" s="305">
        <v>1</v>
      </c>
      <c r="SSC28" s="304">
        <f t="shared" ref="SSC28" si="2251">EDATE(SRY28,SSB28)</f>
        <v>45523</v>
      </c>
      <c r="SSD28" s="340">
        <v>0</v>
      </c>
      <c r="SSE28" s="320">
        <f t="shared" ref="SSE28" ca="1" si="2252">IF(SSF28&gt;=1,(SSD28/SSB28),0)</f>
        <v>0</v>
      </c>
      <c r="SSF28" s="292">
        <f t="shared" ref="SSF28" ca="1" si="2253">SSC28-$G$5</f>
        <v>-591</v>
      </c>
      <c r="SSG28" s="259" t="s">
        <v>55</v>
      </c>
      <c r="SSH28" s="256" t="s">
        <v>76</v>
      </c>
      <c r="SSI28" s="256" t="s">
        <v>77</v>
      </c>
      <c r="SSJ28" s="256" t="s">
        <v>78</v>
      </c>
      <c r="SSK28" s="256" t="s">
        <v>79</v>
      </c>
      <c r="SSL28" s="256" t="s">
        <v>80</v>
      </c>
      <c r="SSM28" s="256" t="s">
        <v>81</v>
      </c>
      <c r="SSN28" s="331"/>
      <c r="SSO28" s="290">
        <v>45492</v>
      </c>
      <c r="SSP28" s="339" t="s">
        <v>141</v>
      </c>
      <c r="SSQ28" s="305"/>
      <c r="SSR28" s="305">
        <v>1</v>
      </c>
      <c r="SSS28" s="304">
        <f t="shared" ref="SSS28" si="2254">EDATE(SSO28,SSR28)</f>
        <v>45523</v>
      </c>
      <c r="SST28" s="340">
        <v>0</v>
      </c>
      <c r="SSU28" s="320">
        <f t="shared" ref="SSU28" ca="1" si="2255">IF(SSV28&gt;=1,(SST28/SSR28),0)</f>
        <v>0</v>
      </c>
      <c r="SSV28" s="292">
        <f t="shared" ref="SSV28" ca="1" si="2256">SSS28-$G$5</f>
        <v>-591</v>
      </c>
      <c r="SSW28" s="259" t="s">
        <v>55</v>
      </c>
      <c r="SSX28" s="256" t="s">
        <v>76</v>
      </c>
      <c r="SSY28" s="256" t="s">
        <v>77</v>
      </c>
      <c r="SSZ28" s="256" t="s">
        <v>78</v>
      </c>
      <c r="STA28" s="256" t="s">
        <v>79</v>
      </c>
      <c r="STB28" s="256" t="s">
        <v>80</v>
      </c>
      <c r="STC28" s="256" t="s">
        <v>81</v>
      </c>
      <c r="STD28" s="331"/>
      <c r="STE28" s="290">
        <v>45492</v>
      </c>
      <c r="STF28" s="339" t="s">
        <v>141</v>
      </c>
      <c r="STG28" s="305"/>
      <c r="STH28" s="305">
        <v>1</v>
      </c>
      <c r="STI28" s="304">
        <f t="shared" ref="STI28" si="2257">EDATE(STE28,STH28)</f>
        <v>45523</v>
      </c>
      <c r="STJ28" s="340">
        <v>0</v>
      </c>
      <c r="STK28" s="320">
        <f t="shared" ref="STK28" ca="1" si="2258">IF(STL28&gt;=1,(STJ28/STH28),0)</f>
        <v>0</v>
      </c>
      <c r="STL28" s="292">
        <f t="shared" ref="STL28" ca="1" si="2259">STI28-$G$5</f>
        <v>-591</v>
      </c>
      <c r="STM28" s="259" t="s">
        <v>55</v>
      </c>
      <c r="STN28" s="256" t="s">
        <v>76</v>
      </c>
      <c r="STO28" s="256" t="s">
        <v>77</v>
      </c>
      <c r="STP28" s="256" t="s">
        <v>78</v>
      </c>
      <c r="STQ28" s="256" t="s">
        <v>79</v>
      </c>
      <c r="STR28" s="256" t="s">
        <v>80</v>
      </c>
      <c r="STS28" s="256" t="s">
        <v>81</v>
      </c>
      <c r="STT28" s="331"/>
      <c r="STU28" s="290">
        <v>45492</v>
      </c>
      <c r="STV28" s="339" t="s">
        <v>141</v>
      </c>
      <c r="STW28" s="305"/>
      <c r="STX28" s="305">
        <v>1</v>
      </c>
      <c r="STY28" s="304">
        <f t="shared" ref="STY28" si="2260">EDATE(STU28,STX28)</f>
        <v>45523</v>
      </c>
      <c r="STZ28" s="340">
        <v>0</v>
      </c>
      <c r="SUA28" s="320">
        <f t="shared" ref="SUA28" ca="1" si="2261">IF(SUB28&gt;=1,(STZ28/STX28),0)</f>
        <v>0</v>
      </c>
      <c r="SUB28" s="292">
        <f t="shared" ref="SUB28" ca="1" si="2262">STY28-$G$5</f>
        <v>-591</v>
      </c>
      <c r="SUC28" s="259" t="s">
        <v>55</v>
      </c>
      <c r="SUD28" s="256" t="s">
        <v>76</v>
      </c>
      <c r="SUE28" s="256" t="s">
        <v>77</v>
      </c>
      <c r="SUF28" s="256" t="s">
        <v>78</v>
      </c>
      <c r="SUG28" s="256" t="s">
        <v>79</v>
      </c>
      <c r="SUH28" s="256" t="s">
        <v>80</v>
      </c>
      <c r="SUI28" s="256" t="s">
        <v>81</v>
      </c>
      <c r="SUJ28" s="331"/>
      <c r="SUK28" s="290">
        <v>45492</v>
      </c>
      <c r="SUL28" s="339" t="s">
        <v>141</v>
      </c>
      <c r="SUM28" s="305"/>
      <c r="SUN28" s="305">
        <v>1</v>
      </c>
      <c r="SUO28" s="304">
        <f t="shared" ref="SUO28" si="2263">EDATE(SUK28,SUN28)</f>
        <v>45523</v>
      </c>
      <c r="SUP28" s="340">
        <v>0</v>
      </c>
      <c r="SUQ28" s="320">
        <f t="shared" ref="SUQ28" ca="1" si="2264">IF(SUR28&gt;=1,(SUP28/SUN28),0)</f>
        <v>0</v>
      </c>
      <c r="SUR28" s="292">
        <f t="shared" ref="SUR28" ca="1" si="2265">SUO28-$G$5</f>
        <v>-591</v>
      </c>
      <c r="SUS28" s="259" t="s">
        <v>55</v>
      </c>
      <c r="SUT28" s="256" t="s">
        <v>76</v>
      </c>
      <c r="SUU28" s="256" t="s">
        <v>77</v>
      </c>
      <c r="SUV28" s="256" t="s">
        <v>78</v>
      </c>
      <c r="SUW28" s="256" t="s">
        <v>79</v>
      </c>
      <c r="SUX28" s="256" t="s">
        <v>80</v>
      </c>
      <c r="SUY28" s="256" t="s">
        <v>81</v>
      </c>
      <c r="SUZ28" s="331"/>
      <c r="SVA28" s="290">
        <v>45492</v>
      </c>
      <c r="SVB28" s="339" t="s">
        <v>141</v>
      </c>
      <c r="SVC28" s="305"/>
      <c r="SVD28" s="305">
        <v>1</v>
      </c>
      <c r="SVE28" s="304">
        <f t="shared" ref="SVE28" si="2266">EDATE(SVA28,SVD28)</f>
        <v>45523</v>
      </c>
      <c r="SVF28" s="340">
        <v>0</v>
      </c>
      <c r="SVG28" s="320">
        <f t="shared" ref="SVG28" ca="1" si="2267">IF(SVH28&gt;=1,(SVF28/SVD28),0)</f>
        <v>0</v>
      </c>
      <c r="SVH28" s="292">
        <f t="shared" ref="SVH28" ca="1" si="2268">SVE28-$G$5</f>
        <v>-591</v>
      </c>
      <c r="SVI28" s="259" t="s">
        <v>55</v>
      </c>
      <c r="SVJ28" s="256" t="s">
        <v>76</v>
      </c>
      <c r="SVK28" s="256" t="s">
        <v>77</v>
      </c>
      <c r="SVL28" s="256" t="s">
        <v>78</v>
      </c>
      <c r="SVM28" s="256" t="s">
        <v>79</v>
      </c>
      <c r="SVN28" s="256" t="s">
        <v>80</v>
      </c>
      <c r="SVO28" s="256" t="s">
        <v>81</v>
      </c>
      <c r="SVP28" s="331"/>
      <c r="SVQ28" s="290">
        <v>45492</v>
      </c>
      <c r="SVR28" s="339" t="s">
        <v>141</v>
      </c>
      <c r="SVS28" s="305"/>
      <c r="SVT28" s="305">
        <v>1</v>
      </c>
      <c r="SVU28" s="304">
        <f t="shared" ref="SVU28" si="2269">EDATE(SVQ28,SVT28)</f>
        <v>45523</v>
      </c>
      <c r="SVV28" s="340">
        <v>0</v>
      </c>
      <c r="SVW28" s="320">
        <f t="shared" ref="SVW28" ca="1" si="2270">IF(SVX28&gt;=1,(SVV28/SVT28),0)</f>
        <v>0</v>
      </c>
      <c r="SVX28" s="292">
        <f t="shared" ref="SVX28" ca="1" si="2271">SVU28-$G$5</f>
        <v>-591</v>
      </c>
      <c r="SVY28" s="259" t="s">
        <v>55</v>
      </c>
      <c r="SVZ28" s="256" t="s">
        <v>76</v>
      </c>
      <c r="SWA28" s="256" t="s">
        <v>77</v>
      </c>
      <c r="SWB28" s="256" t="s">
        <v>78</v>
      </c>
      <c r="SWC28" s="256" t="s">
        <v>79</v>
      </c>
      <c r="SWD28" s="256" t="s">
        <v>80</v>
      </c>
      <c r="SWE28" s="256" t="s">
        <v>81</v>
      </c>
      <c r="SWF28" s="331"/>
      <c r="SWG28" s="290">
        <v>45492</v>
      </c>
      <c r="SWH28" s="339" t="s">
        <v>141</v>
      </c>
      <c r="SWI28" s="305"/>
      <c r="SWJ28" s="305">
        <v>1</v>
      </c>
      <c r="SWK28" s="304">
        <f t="shared" ref="SWK28" si="2272">EDATE(SWG28,SWJ28)</f>
        <v>45523</v>
      </c>
      <c r="SWL28" s="340">
        <v>0</v>
      </c>
      <c r="SWM28" s="320">
        <f t="shared" ref="SWM28" ca="1" si="2273">IF(SWN28&gt;=1,(SWL28/SWJ28),0)</f>
        <v>0</v>
      </c>
      <c r="SWN28" s="292">
        <f t="shared" ref="SWN28" ca="1" si="2274">SWK28-$G$5</f>
        <v>-591</v>
      </c>
      <c r="SWO28" s="259" t="s">
        <v>55</v>
      </c>
      <c r="SWP28" s="256" t="s">
        <v>76</v>
      </c>
      <c r="SWQ28" s="256" t="s">
        <v>77</v>
      </c>
      <c r="SWR28" s="256" t="s">
        <v>78</v>
      </c>
      <c r="SWS28" s="256" t="s">
        <v>79</v>
      </c>
      <c r="SWT28" s="256" t="s">
        <v>80</v>
      </c>
      <c r="SWU28" s="256" t="s">
        <v>81</v>
      </c>
      <c r="SWV28" s="331"/>
      <c r="SWW28" s="290">
        <v>45492</v>
      </c>
      <c r="SWX28" s="339" t="s">
        <v>141</v>
      </c>
      <c r="SWY28" s="305"/>
      <c r="SWZ28" s="305">
        <v>1</v>
      </c>
      <c r="SXA28" s="304">
        <f t="shared" ref="SXA28" si="2275">EDATE(SWW28,SWZ28)</f>
        <v>45523</v>
      </c>
      <c r="SXB28" s="340">
        <v>0</v>
      </c>
      <c r="SXC28" s="320">
        <f t="shared" ref="SXC28" ca="1" si="2276">IF(SXD28&gt;=1,(SXB28/SWZ28),0)</f>
        <v>0</v>
      </c>
      <c r="SXD28" s="292">
        <f t="shared" ref="SXD28" ca="1" si="2277">SXA28-$G$5</f>
        <v>-591</v>
      </c>
      <c r="SXE28" s="259" t="s">
        <v>55</v>
      </c>
      <c r="SXF28" s="256" t="s">
        <v>76</v>
      </c>
      <c r="SXG28" s="256" t="s">
        <v>77</v>
      </c>
      <c r="SXH28" s="256" t="s">
        <v>78</v>
      </c>
      <c r="SXI28" s="256" t="s">
        <v>79</v>
      </c>
      <c r="SXJ28" s="256" t="s">
        <v>80</v>
      </c>
      <c r="SXK28" s="256" t="s">
        <v>81</v>
      </c>
      <c r="SXL28" s="331"/>
      <c r="SXM28" s="290">
        <v>45492</v>
      </c>
      <c r="SXN28" s="339" t="s">
        <v>141</v>
      </c>
      <c r="SXO28" s="305"/>
      <c r="SXP28" s="305">
        <v>1</v>
      </c>
      <c r="SXQ28" s="304">
        <f t="shared" ref="SXQ28" si="2278">EDATE(SXM28,SXP28)</f>
        <v>45523</v>
      </c>
      <c r="SXR28" s="340">
        <v>0</v>
      </c>
      <c r="SXS28" s="320">
        <f t="shared" ref="SXS28" ca="1" si="2279">IF(SXT28&gt;=1,(SXR28/SXP28),0)</f>
        <v>0</v>
      </c>
      <c r="SXT28" s="292">
        <f t="shared" ref="SXT28" ca="1" si="2280">SXQ28-$G$5</f>
        <v>-591</v>
      </c>
      <c r="SXU28" s="259" t="s">
        <v>55</v>
      </c>
      <c r="SXV28" s="256" t="s">
        <v>76</v>
      </c>
      <c r="SXW28" s="256" t="s">
        <v>77</v>
      </c>
      <c r="SXX28" s="256" t="s">
        <v>78</v>
      </c>
      <c r="SXY28" s="256" t="s">
        <v>79</v>
      </c>
      <c r="SXZ28" s="256" t="s">
        <v>80</v>
      </c>
      <c r="SYA28" s="256" t="s">
        <v>81</v>
      </c>
      <c r="SYB28" s="331"/>
      <c r="SYC28" s="290">
        <v>45492</v>
      </c>
      <c r="SYD28" s="339" t="s">
        <v>141</v>
      </c>
      <c r="SYE28" s="305"/>
      <c r="SYF28" s="305">
        <v>1</v>
      </c>
      <c r="SYG28" s="304">
        <f t="shared" ref="SYG28" si="2281">EDATE(SYC28,SYF28)</f>
        <v>45523</v>
      </c>
      <c r="SYH28" s="340">
        <v>0</v>
      </c>
      <c r="SYI28" s="320">
        <f t="shared" ref="SYI28" ca="1" si="2282">IF(SYJ28&gt;=1,(SYH28/SYF28),0)</f>
        <v>0</v>
      </c>
      <c r="SYJ28" s="292">
        <f t="shared" ref="SYJ28" ca="1" si="2283">SYG28-$G$5</f>
        <v>-591</v>
      </c>
      <c r="SYK28" s="259" t="s">
        <v>55</v>
      </c>
      <c r="SYL28" s="256" t="s">
        <v>76</v>
      </c>
      <c r="SYM28" s="256" t="s">
        <v>77</v>
      </c>
      <c r="SYN28" s="256" t="s">
        <v>78</v>
      </c>
      <c r="SYO28" s="256" t="s">
        <v>79</v>
      </c>
      <c r="SYP28" s="256" t="s">
        <v>80</v>
      </c>
      <c r="SYQ28" s="256" t="s">
        <v>81</v>
      </c>
      <c r="SYR28" s="331"/>
      <c r="SYS28" s="290">
        <v>45492</v>
      </c>
      <c r="SYT28" s="339" t="s">
        <v>141</v>
      </c>
      <c r="SYU28" s="305"/>
      <c r="SYV28" s="305">
        <v>1</v>
      </c>
      <c r="SYW28" s="304">
        <f t="shared" ref="SYW28" si="2284">EDATE(SYS28,SYV28)</f>
        <v>45523</v>
      </c>
      <c r="SYX28" s="340">
        <v>0</v>
      </c>
      <c r="SYY28" s="320">
        <f t="shared" ref="SYY28" ca="1" si="2285">IF(SYZ28&gt;=1,(SYX28/SYV28),0)</f>
        <v>0</v>
      </c>
      <c r="SYZ28" s="292">
        <f t="shared" ref="SYZ28" ca="1" si="2286">SYW28-$G$5</f>
        <v>-591</v>
      </c>
      <c r="SZA28" s="259" t="s">
        <v>55</v>
      </c>
      <c r="SZB28" s="256" t="s">
        <v>76</v>
      </c>
      <c r="SZC28" s="256" t="s">
        <v>77</v>
      </c>
      <c r="SZD28" s="256" t="s">
        <v>78</v>
      </c>
      <c r="SZE28" s="256" t="s">
        <v>79</v>
      </c>
      <c r="SZF28" s="256" t="s">
        <v>80</v>
      </c>
      <c r="SZG28" s="256" t="s">
        <v>81</v>
      </c>
      <c r="SZH28" s="331"/>
      <c r="SZI28" s="290">
        <v>45492</v>
      </c>
      <c r="SZJ28" s="339" t="s">
        <v>141</v>
      </c>
      <c r="SZK28" s="305"/>
      <c r="SZL28" s="305">
        <v>1</v>
      </c>
      <c r="SZM28" s="304">
        <f t="shared" ref="SZM28" si="2287">EDATE(SZI28,SZL28)</f>
        <v>45523</v>
      </c>
      <c r="SZN28" s="340">
        <v>0</v>
      </c>
      <c r="SZO28" s="320">
        <f t="shared" ref="SZO28" ca="1" si="2288">IF(SZP28&gt;=1,(SZN28/SZL28),0)</f>
        <v>0</v>
      </c>
      <c r="SZP28" s="292">
        <f t="shared" ref="SZP28" ca="1" si="2289">SZM28-$G$5</f>
        <v>-591</v>
      </c>
      <c r="SZQ28" s="259" t="s">
        <v>55</v>
      </c>
      <c r="SZR28" s="256" t="s">
        <v>76</v>
      </c>
      <c r="SZS28" s="256" t="s">
        <v>77</v>
      </c>
      <c r="SZT28" s="256" t="s">
        <v>78</v>
      </c>
      <c r="SZU28" s="256" t="s">
        <v>79</v>
      </c>
      <c r="SZV28" s="256" t="s">
        <v>80</v>
      </c>
      <c r="SZW28" s="256" t="s">
        <v>81</v>
      </c>
      <c r="SZX28" s="331"/>
      <c r="SZY28" s="290">
        <v>45492</v>
      </c>
      <c r="SZZ28" s="339" t="s">
        <v>141</v>
      </c>
      <c r="TAA28" s="305"/>
      <c r="TAB28" s="305">
        <v>1</v>
      </c>
      <c r="TAC28" s="304">
        <f t="shared" ref="TAC28" si="2290">EDATE(SZY28,TAB28)</f>
        <v>45523</v>
      </c>
      <c r="TAD28" s="340">
        <v>0</v>
      </c>
      <c r="TAE28" s="320">
        <f t="shared" ref="TAE28" ca="1" si="2291">IF(TAF28&gt;=1,(TAD28/TAB28),0)</f>
        <v>0</v>
      </c>
      <c r="TAF28" s="292">
        <f t="shared" ref="TAF28" ca="1" si="2292">TAC28-$G$5</f>
        <v>-591</v>
      </c>
      <c r="TAG28" s="259" t="s">
        <v>55</v>
      </c>
      <c r="TAH28" s="256" t="s">
        <v>76</v>
      </c>
      <c r="TAI28" s="256" t="s">
        <v>77</v>
      </c>
      <c r="TAJ28" s="256" t="s">
        <v>78</v>
      </c>
      <c r="TAK28" s="256" t="s">
        <v>79</v>
      </c>
      <c r="TAL28" s="256" t="s">
        <v>80</v>
      </c>
      <c r="TAM28" s="256" t="s">
        <v>81</v>
      </c>
      <c r="TAN28" s="331"/>
      <c r="TAO28" s="290">
        <v>45492</v>
      </c>
      <c r="TAP28" s="339" t="s">
        <v>141</v>
      </c>
      <c r="TAQ28" s="305"/>
      <c r="TAR28" s="305">
        <v>1</v>
      </c>
      <c r="TAS28" s="304">
        <f t="shared" ref="TAS28" si="2293">EDATE(TAO28,TAR28)</f>
        <v>45523</v>
      </c>
      <c r="TAT28" s="340">
        <v>0</v>
      </c>
      <c r="TAU28" s="320">
        <f t="shared" ref="TAU28" ca="1" si="2294">IF(TAV28&gt;=1,(TAT28/TAR28),0)</f>
        <v>0</v>
      </c>
      <c r="TAV28" s="292">
        <f t="shared" ref="TAV28" ca="1" si="2295">TAS28-$G$5</f>
        <v>-591</v>
      </c>
      <c r="TAW28" s="259" t="s">
        <v>55</v>
      </c>
      <c r="TAX28" s="256" t="s">
        <v>76</v>
      </c>
      <c r="TAY28" s="256" t="s">
        <v>77</v>
      </c>
      <c r="TAZ28" s="256" t="s">
        <v>78</v>
      </c>
      <c r="TBA28" s="256" t="s">
        <v>79</v>
      </c>
      <c r="TBB28" s="256" t="s">
        <v>80</v>
      </c>
      <c r="TBC28" s="256" t="s">
        <v>81</v>
      </c>
      <c r="TBD28" s="331"/>
      <c r="TBE28" s="290">
        <v>45492</v>
      </c>
      <c r="TBF28" s="339" t="s">
        <v>141</v>
      </c>
      <c r="TBG28" s="305"/>
      <c r="TBH28" s="305">
        <v>1</v>
      </c>
      <c r="TBI28" s="304">
        <f t="shared" ref="TBI28" si="2296">EDATE(TBE28,TBH28)</f>
        <v>45523</v>
      </c>
      <c r="TBJ28" s="340">
        <v>0</v>
      </c>
      <c r="TBK28" s="320">
        <f t="shared" ref="TBK28" ca="1" si="2297">IF(TBL28&gt;=1,(TBJ28/TBH28),0)</f>
        <v>0</v>
      </c>
      <c r="TBL28" s="292">
        <f t="shared" ref="TBL28" ca="1" si="2298">TBI28-$G$5</f>
        <v>-591</v>
      </c>
      <c r="TBM28" s="259" t="s">
        <v>55</v>
      </c>
      <c r="TBN28" s="256" t="s">
        <v>76</v>
      </c>
      <c r="TBO28" s="256" t="s">
        <v>77</v>
      </c>
      <c r="TBP28" s="256" t="s">
        <v>78</v>
      </c>
      <c r="TBQ28" s="256" t="s">
        <v>79</v>
      </c>
      <c r="TBR28" s="256" t="s">
        <v>80</v>
      </c>
      <c r="TBS28" s="256" t="s">
        <v>81</v>
      </c>
      <c r="TBT28" s="331"/>
      <c r="TBU28" s="290">
        <v>45492</v>
      </c>
      <c r="TBV28" s="339" t="s">
        <v>141</v>
      </c>
      <c r="TBW28" s="305"/>
      <c r="TBX28" s="305">
        <v>1</v>
      </c>
      <c r="TBY28" s="304">
        <f t="shared" ref="TBY28" si="2299">EDATE(TBU28,TBX28)</f>
        <v>45523</v>
      </c>
      <c r="TBZ28" s="340">
        <v>0</v>
      </c>
      <c r="TCA28" s="320">
        <f t="shared" ref="TCA28" ca="1" si="2300">IF(TCB28&gt;=1,(TBZ28/TBX28),0)</f>
        <v>0</v>
      </c>
      <c r="TCB28" s="292">
        <f t="shared" ref="TCB28" ca="1" si="2301">TBY28-$G$5</f>
        <v>-591</v>
      </c>
      <c r="TCC28" s="259" t="s">
        <v>55</v>
      </c>
      <c r="TCD28" s="256" t="s">
        <v>76</v>
      </c>
      <c r="TCE28" s="256" t="s">
        <v>77</v>
      </c>
      <c r="TCF28" s="256" t="s">
        <v>78</v>
      </c>
      <c r="TCG28" s="256" t="s">
        <v>79</v>
      </c>
      <c r="TCH28" s="256" t="s">
        <v>80</v>
      </c>
      <c r="TCI28" s="256" t="s">
        <v>81</v>
      </c>
      <c r="TCJ28" s="331"/>
      <c r="TCK28" s="290">
        <v>45492</v>
      </c>
      <c r="TCL28" s="339" t="s">
        <v>141</v>
      </c>
      <c r="TCM28" s="305"/>
      <c r="TCN28" s="305">
        <v>1</v>
      </c>
      <c r="TCO28" s="304">
        <f t="shared" ref="TCO28" si="2302">EDATE(TCK28,TCN28)</f>
        <v>45523</v>
      </c>
      <c r="TCP28" s="340">
        <v>0</v>
      </c>
      <c r="TCQ28" s="320">
        <f t="shared" ref="TCQ28" ca="1" si="2303">IF(TCR28&gt;=1,(TCP28/TCN28),0)</f>
        <v>0</v>
      </c>
      <c r="TCR28" s="292">
        <f t="shared" ref="TCR28" ca="1" si="2304">TCO28-$G$5</f>
        <v>-591</v>
      </c>
      <c r="TCS28" s="259" t="s">
        <v>55</v>
      </c>
      <c r="TCT28" s="256" t="s">
        <v>76</v>
      </c>
      <c r="TCU28" s="256" t="s">
        <v>77</v>
      </c>
      <c r="TCV28" s="256" t="s">
        <v>78</v>
      </c>
      <c r="TCW28" s="256" t="s">
        <v>79</v>
      </c>
      <c r="TCX28" s="256" t="s">
        <v>80</v>
      </c>
      <c r="TCY28" s="256" t="s">
        <v>81</v>
      </c>
      <c r="TCZ28" s="331"/>
      <c r="TDA28" s="290">
        <v>45492</v>
      </c>
      <c r="TDB28" s="339" t="s">
        <v>141</v>
      </c>
      <c r="TDC28" s="305"/>
      <c r="TDD28" s="305">
        <v>1</v>
      </c>
      <c r="TDE28" s="304">
        <f t="shared" ref="TDE28" si="2305">EDATE(TDA28,TDD28)</f>
        <v>45523</v>
      </c>
      <c r="TDF28" s="340">
        <v>0</v>
      </c>
      <c r="TDG28" s="320">
        <f t="shared" ref="TDG28" ca="1" si="2306">IF(TDH28&gt;=1,(TDF28/TDD28),0)</f>
        <v>0</v>
      </c>
      <c r="TDH28" s="292">
        <f t="shared" ref="TDH28" ca="1" si="2307">TDE28-$G$5</f>
        <v>-591</v>
      </c>
      <c r="TDI28" s="259" t="s">
        <v>55</v>
      </c>
      <c r="TDJ28" s="256" t="s">
        <v>76</v>
      </c>
      <c r="TDK28" s="256" t="s">
        <v>77</v>
      </c>
      <c r="TDL28" s="256" t="s">
        <v>78</v>
      </c>
      <c r="TDM28" s="256" t="s">
        <v>79</v>
      </c>
      <c r="TDN28" s="256" t="s">
        <v>80</v>
      </c>
      <c r="TDO28" s="256" t="s">
        <v>81</v>
      </c>
      <c r="TDP28" s="331"/>
      <c r="TDQ28" s="290">
        <v>45492</v>
      </c>
      <c r="TDR28" s="339" t="s">
        <v>141</v>
      </c>
      <c r="TDS28" s="305"/>
      <c r="TDT28" s="305">
        <v>1</v>
      </c>
      <c r="TDU28" s="304">
        <f t="shared" ref="TDU28" si="2308">EDATE(TDQ28,TDT28)</f>
        <v>45523</v>
      </c>
      <c r="TDV28" s="340">
        <v>0</v>
      </c>
      <c r="TDW28" s="320">
        <f t="shared" ref="TDW28" ca="1" si="2309">IF(TDX28&gt;=1,(TDV28/TDT28),0)</f>
        <v>0</v>
      </c>
      <c r="TDX28" s="292">
        <f t="shared" ref="TDX28" ca="1" si="2310">TDU28-$G$5</f>
        <v>-591</v>
      </c>
      <c r="TDY28" s="259" t="s">
        <v>55</v>
      </c>
      <c r="TDZ28" s="256" t="s">
        <v>76</v>
      </c>
      <c r="TEA28" s="256" t="s">
        <v>77</v>
      </c>
      <c r="TEB28" s="256" t="s">
        <v>78</v>
      </c>
      <c r="TEC28" s="256" t="s">
        <v>79</v>
      </c>
      <c r="TED28" s="256" t="s">
        <v>80</v>
      </c>
      <c r="TEE28" s="256" t="s">
        <v>81</v>
      </c>
      <c r="TEF28" s="331"/>
      <c r="TEG28" s="290">
        <v>45492</v>
      </c>
      <c r="TEH28" s="339" t="s">
        <v>141</v>
      </c>
      <c r="TEI28" s="305"/>
      <c r="TEJ28" s="305">
        <v>1</v>
      </c>
      <c r="TEK28" s="304">
        <f t="shared" ref="TEK28" si="2311">EDATE(TEG28,TEJ28)</f>
        <v>45523</v>
      </c>
      <c r="TEL28" s="340">
        <v>0</v>
      </c>
      <c r="TEM28" s="320">
        <f t="shared" ref="TEM28" ca="1" si="2312">IF(TEN28&gt;=1,(TEL28/TEJ28),0)</f>
        <v>0</v>
      </c>
      <c r="TEN28" s="292">
        <f t="shared" ref="TEN28" ca="1" si="2313">TEK28-$G$5</f>
        <v>-591</v>
      </c>
      <c r="TEO28" s="259" t="s">
        <v>55</v>
      </c>
      <c r="TEP28" s="256" t="s">
        <v>76</v>
      </c>
      <c r="TEQ28" s="256" t="s">
        <v>77</v>
      </c>
      <c r="TER28" s="256" t="s">
        <v>78</v>
      </c>
      <c r="TES28" s="256" t="s">
        <v>79</v>
      </c>
      <c r="TET28" s="256" t="s">
        <v>80</v>
      </c>
      <c r="TEU28" s="256" t="s">
        <v>81</v>
      </c>
      <c r="TEV28" s="331"/>
      <c r="TEW28" s="290">
        <v>45492</v>
      </c>
      <c r="TEX28" s="339" t="s">
        <v>141</v>
      </c>
      <c r="TEY28" s="305"/>
      <c r="TEZ28" s="305">
        <v>1</v>
      </c>
      <c r="TFA28" s="304">
        <f t="shared" ref="TFA28" si="2314">EDATE(TEW28,TEZ28)</f>
        <v>45523</v>
      </c>
      <c r="TFB28" s="340">
        <v>0</v>
      </c>
      <c r="TFC28" s="320">
        <f t="shared" ref="TFC28" ca="1" si="2315">IF(TFD28&gt;=1,(TFB28/TEZ28),0)</f>
        <v>0</v>
      </c>
      <c r="TFD28" s="292">
        <f t="shared" ref="TFD28" ca="1" si="2316">TFA28-$G$5</f>
        <v>-591</v>
      </c>
      <c r="TFE28" s="259" t="s">
        <v>55</v>
      </c>
      <c r="TFF28" s="256" t="s">
        <v>76</v>
      </c>
      <c r="TFG28" s="256" t="s">
        <v>77</v>
      </c>
      <c r="TFH28" s="256" t="s">
        <v>78</v>
      </c>
      <c r="TFI28" s="256" t="s">
        <v>79</v>
      </c>
      <c r="TFJ28" s="256" t="s">
        <v>80</v>
      </c>
      <c r="TFK28" s="256" t="s">
        <v>81</v>
      </c>
      <c r="TFL28" s="331"/>
      <c r="TFM28" s="290">
        <v>45492</v>
      </c>
      <c r="TFN28" s="339" t="s">
        <v>141</v>
      </c>
      <c r="TFO28" s="305"/>
      <c r="TFP28" s="305">
        <v>1</v>
      </c>
      <c r="TFQ28" s="304">
        <f t="shared" ref="TFQ28" si="2317">EDATE(TFM28,TFP28)</f>
        <v>45523</v>
      </c>
      <c r="TFR28" s="340">
        <v>0</v>
      </c>
      <c r="TFS28" s="320">
        <f t="shared" ref="TFS28" ca="1" si="2318">IF(TFT28&gt;=1,(TFR28/TFP28),0)</f>
        <v>0</v>
      </c>
      <c r="TFT28" s="292">
        <f t="shared" ref="TFT28" ca="1" si="2319">TFQ28-$G$5</f>
        <v>-591</v>
      </c>
      <c r="TFU28" s="259" t="s">
        <v>55</v>
      </c>
      <c r="TFV28" s="256" t="s">
        <v>76</v>
      </c>
      <c r="TFW28" s="256" t="s">
        <v>77</v>
      </c>
      <c r="TFX28" s="256" t="s">
        <v>78</v>
      </c>
      <c r="TFY28" s="256" t="s">
        <v>79</v>
      </c>
      <c r="TFZ28" s="256" t="s">
        <v>80</v>
      </c>
      <c r="TGA28" s="256" t="s">
        <v>81</v>
      </c>
      <c r="TGB28" s="331"/>
      <c r="TGC28" s="290">
        <v>45492</v>
      </c>
      <c r="TGD28" s="339" t="s">
        <v>141</v>
      </c>
      <c r="TGE28" s="305"/>
      <c r="TGF28" s="305">
        <v>1</v>
      </c>
      <c r="TGG28" s="304">
        <f t="shared" ref="TGG28" si="2320">EDATE(TGC28,TGF28)</f>
        <v>45523</v>
      </c>
      <c r="TGH28" s="340">
        <v>0</v>
      </c>
      <c r="TGI28" s="320">
        <f t="shared" ref="TGI28" ca="1" si="2321">IF(TGJ28&gt;=1,(TGH28/TGF28),0)</f>
        <v>0</v>
      </c>
      <c r="TGJ28" s="292">
        <f t="shared" ref="TGJ28" ca="1" si="2322">TGG28-$G$5</f>
        <v>-591</v>
      </c>
      <c r="TGK28" s="259" t="s">
        <v>55</v>
      </c>
      <c r="TGL28" s="256" t="s">
        <v>76</v>
      </c>
      <c r="TGM28" s="256" t="s">
        <v>77</v>
      </c>
      <c r="TGN28" s="256" t="s">
        <v>78</v>
      </c>
      <c r="TGO28" s="256" t="s">
        <v>79</v>
      </c>
      <c r="TGP28" s="256" t="s">
        <v>80</v>
      </c>
      <c r="TGQ28" s="256" t="s">
        <v>81</v>
      </c>
      <c r="TGR28" s="331"/>
      <c r="TGS28" s="290">
        <v>45492</v>
      </c>
      <c r="TGT28" s="339" t="s">
        <v>141</v>
      </c>
      <c r="TGU28" s="305"/>
      <c r="TGV28" s="305">
        <v>1</v>
      </c>
      <c r="TGW28" s="304">
        <f t="shared" ref="TGW28" si="2323">EDATE(TGS28,TGV28)</f>
        <v>45523</v>
      </c>
      <c r="TGX28" s="340">
        <v>0</v>
      </c>
      <c r="TGY28" s="320">
        <f t="shared" ref="TGY28" ca="1" si="2324">IF(TGZ28&gt;=1,(TGX28/TGV28),0)</f>
        <v>0</v>
      </c>
      <c r="TGZ28" s="292">
        <f t="shared" ref="TGZ28" ca="1" si="2325">TGW28-$G$5</f>
        <v>-591</v>
      </c>
      <c r="THA28" s="259" t="s">
        <v>55</v>
      </c>
      <c r="THB28" s="256" t="s">
        <v>76</v>
      </c>
      <c r="THC28" s="256" t="s">
        <v>77</v>
      </c>
      <c r="THD28" s="256" t="s">
        <v>78</v>
      </c>
      <c r="THE28" s="256" t="s">
        <v>79</v>
      </c>
      <c r="THF28" s="256" t="s">
        <v>80</v>
      </c>
      <c r="THG28" s="256" t="s">
        <v>81</v>
      </c>
      <c r="THH28" s="331"/>
      <c r="THI28" s="290">
        <v>45492</v>
      </c>
      <c r="THJ28" s="339" t="s">
        <v>141</v>
      </c>
      <c r="THK28" s="305"/>
      <c r="THL28" s="305">
        <v>1</v>
      </c>
      <c r="THM28" s="304">
        <f t="shared" ref="THM28" si="2326">EDATE(THI28,THL28)</f>
        <v>45523</v>
      </c>
      <c r="THN28" s="340">
        <v>0</v>
      </c>
      <c r="THO28" s="320">
        <f t="shared" ref="THO28" ca="1" si="2327">IF(THP28&gt;=1,(THN28/THL28),0)</f>
        <v>0</v>
      </c>
      <c r="THP28" s="292">
        <f t="shared" ref="THP28" ca="1" si="2328">THM28-$G$5</f>
        <v>-591</v>
      </c>
      <c r="THQ28" s="259" t="s">
        <v>55</v>
      </c>
      <c r="THR28" s="256" t="s">
        <v>76</v>
      </c>
      <c r="THS28" s="256" t="s">
        <v>77</v>
      </c>
      <c r="THT28" s="256" t="s">
        <v>78</v>
      </c>
      <c r="THU28" s="256" t="s">
        <v>79</v>
      </c>
      <c r="THV28" s="256" t="s">
        <v>80</v>
      </c>
      <c r="THW28" s="256" t="s">
        <v>81</v>
      </c>
      <c r="THX28" s="331"/>
      <c r="THY28" s="290">
        <v>45492</v>
      </c>
      <c r="THZ28" s="339" t="s">
        <v>141</v>
      </c>
      <c r="TIA28" s="305"/>
      <c r="TIB28" s="305">
        <v>1</v>
      </c>
      <c r="TIC28" s="304">
        <f t="shared" ref="TIC28" si="2329">EDATE(THY28,TIB28)</f>
        <v>45523</v>
      </c>
      <c r="TID28" s="340">
        <v>0</v>
      </c>
      <c r="TIE28" s="320">
        <f t="shared" ref="TIE28" ca="1" si="2330">IF(TIF28&gt;=1,(TID28/TIB28),0)</f>
        <v>0</v>
      </c>
      <c r="TIF28" s="292">
        <f t="shared" ref="TIF28" ca="1" si="2331">TIC28-$G$5</f>
        <v>-591</v>
      </c>
      <c r="TIG28" s="259" t="s">
        <v>55</v>
      </c>
      <c r="TIH28" s="256" t="s">
        <v>76</v>
      </c>
      <c r="TII28" s="256" t="s">
        <v>77</v>
      </c>
      <c r="TIJ28" s="256" t="s">
        <v>78</v>
      </c>
      <c r="TIK28" s="256" t="s">
        <v>79</v>
      </c>
      <c r="TIL28" s="256" t="s">
        <v>80</v>
      </c>
      <c r="TIM28" s="256" t="s">
        <v>81</v>
      </c>
      <c r="TIN28" s="331"/>
      <c r="TIO28" s="290">
        <v>45492</v>
      </c>
      <c r="TIP28" s="339" t="s">
        <v>141</v>
      </c>
      <c r="TIQ28" s="305"/>
      <c r="TIR28" s="305">
        <v>1</v>
      </c>
      <c r="TIS28" s="304">
        <f t="shared" ref="TIS28" si="2332">EDATE(TIO28,TIR28)</f>
        <v>45523</v>
      </c>
      <c r="TIT28" s="340">
        <v>0</v>
      </c>
      <c r="TIU28" s="320">
        <f t="shared" ref="TIU28" ca="1" si="2333">IF(TIV28&gt;=1,(TIT28/TIR28),0)</f>
        <v>0</v>
      </c>
      <c r="TIV28" s="292">
        <f t="shared" ref="TIV28" ca="1" si="2334">TIS28-$G$5</f>
        <v>-591</v>
      </c>
      <c r="TIW28" s="259" t="s">
        <v>55</v>
      </c>
      <c r="TIX28" s="256" t="s">
        <v>76</v>
      </c>
      <c r="TIY28" s="256" t="s">
        <v>77</v>
      </c>
      <c r="TIZ28" s="256" t="s">
        <v>78</v>
      </c>
      <c r="TJA28" s="256" t="s">
        <v>79</v>
      </c>
      <c r="TJB28" s="256" t="s">
        <v>80</v>
      </c>
      <c r="TJC28" s="256" t="s">
        <v>81</v>
      </c>
      <c r="TJD28" s="331"/>
      <c r="TJE28" s="290">
        <v>45492</v>
      </c>
      <c r="TJF28" s="339" t="s">
        <v>141</v>
      </c>
      <c r="TJG28" s="305"/>
      <c r="TJH28" s="305">
        <v>1</v>
      </c>
      <c r="TJI28" s="304">
        <f t="shared" ref="TJI28" si="2335">EDATE(TJE28,TJH28)</f>
        <v>45523</v>
      </c>
      <c r="TJJ28" s="340">
        <v>0</v>
      </c>
      <c r="TJK28" s="320">
        <f t="shared" ref="TJK28" ca="1" si="2336">IF(TJL28&gt;=1,(TJJ28/TJH28),0)</f>
        <v>0</v>
      </c>
      <c r="TJL28" s="292">
        <f t="shared" ref="TJL28" ca="1" si="2337">TJI28-$G$5</f>
        <v>-591</v>
      </c>
      <c r="TJM28" s="259" t="s">
        <v>55</v>
      </c>
      <c r="TJN28" s="256" t="s">
        <v>76</v>
      </c>
      <c r="TJO28" s="256" t="s">
        <v>77</v>
      </c>
      <c r="TJP28" s="256" t="s">
        <v>78</v>
      </c>
      <c r="TJQ28" s="256" t="s">
        <v>79</v>
      </c>
      <c r="TJR28" s="256" t="s">
        <v>80</v>
      </c>
      <c r="TJS28" s="256" t="s">
        <v>81</v>
      </c>
      <c r="TJT28" s="331"/>
      <c r="TJU28" s="290">
        <v>45492</v>
      </c>
      <c r="TJV28" s="339" t="s">
        <v>141</v>
      </c>
      <c r="TJW28" s="305"/>
      <c r="TJX28" s="305">
        <v>1</v>
      </c>
      <c r="TJY28" s="304">
        <f t="shared" ref="TJY28" si="2338">EDATE(TJU28,TJX28)</f>
        <v>45523</v>
      </c>
      <c r="TJZ28" s="340">
        <v>0</v>
      </c>
      <c r="TKA28" s="320">
        <f t="shared" ref="TKA28" ca="1" si="2339">IF(TKB28&gt;=1,(TJZ28/TJX28),0)</f>
        <v>0</v>
      </c>
      <c r="TKB28" s="292">
        <f t="shared" ref="TKB28" ca="1" si="2340">TJY28-$G$5</f>
        <v>-591</v>
      </c>
      <c r="TKC28" s="259" t="s">
        <v>55</v>
      </c>
      <c r="TKD28" s="256" t="s">
        <v>76</v>
      </c>
      <c r="TKE28" s="256" t="s">
        <v>77</v>
      </c>
      <c r="TKF28" s="256" t="s">
        <v>78</v>
      </c>
      <c r="TKG28" s="256" t="s">
        <v>79</v>
      </c>
      <c r="TKH28" s="256" t="s">
        <v>80</v>
      </c>
      <c r="TKI28" s="256" t="s">
        <v>81</v>
      </c>
      <c r="TKJ28" s="331"/>
      <c r="TKK28" s="290">
        <v>45492</v>
      </c>
      <c r="TKL28" s="339" t="s">
        <v>141</v>
      </c>
      <c r="TKM28" s="305"/>
      <c r="TKN28" s="305">
        <v>1</v>
      </c>
      <c r="TKO28" s="304">
        <f t="shared" ref="TKO28" si="2341">EDATE(TKK28,TKN28)</f>
        <v>45523</v>
      </c>
      <c r="TKP28" s="340">
        <v>0</v>
      </c>
      <c r="TKQ28" s="320">
        <f t="shared" ref="TKQ28" ca="1" si="2342">IF(TKR28&gt;=1,(TKP28/TKN28),0)</f>
        <v>0</v>
      </c>
      <c r="TKR28" s="292">
        <f t="shared" ref="TKR28" ca="1" si="2343">TKO28-$G$5</f>
        <v>-591</v>
      </c>
      <c r="TKS28" s="259" t="s">
        <v>55</v>
      </c>
      <c r="TKT28" s="256" t="s">
        <v>76</v>
      </c>
      <c r="TKU28" s="256" t="s">
        <v>77</v>
      </c>
      <c r="TKV28" s="256" t="s">
        <v>78</v>
      </c>
      <c r="TKW28" s="256" t="s">
        <v>79</v>
      </c>
      <c r="TKX28" s="256" t="s">
        <v>80</v>
      </c>
      <c r="TKY28" s="256" t="s">
        <v>81</v>
      </c>
      <c r="TKZ28" s="331"/>
      <c r="TLA28" s="290">
        <v>45492</v>
      </c>
      <c r="TLB28" s="339" t="s">
        <v>141</v>
      </c>
      <c r="TLC28" s="305"/>
      <c r="TLD28" s="305">
        <v>1</v>
      </c>
      <c r="TLE28" s="304">
        <f t="shared" ref="TLE28" si="2344">EDATE(TLA28,TLD28)</f>
        <v>45523</v>
      </c>
      <c r="TLF28" s="340">
        <v>0</v>
      </c>
      <c r="TLG28" s="320">
        <f t="shared" ref="TLG28" ca="1" si="2345">IF(TLH28&gt;=1,(TLF28/TLD28),0)</f>
        <v>0</v>
      </c>
      <c r="TLH28" s="292">
        <f t="shared" ref="TLH28" ca="1" si="2346">TLE28-$G$5</f>
        <v>-591</v>
      </c>
      <c r="TLI28" s="259" t="s">
        <v>55</v>
      </c>
      <c r="TLJ28" s="256" t="s">
        <v>76</v>
      </c>
      <c r="TLK28" s="256" t="s">
        <v>77</v>
      </c>
      <c r="TLL28" s="256" t="s">
        <v>78</v>
      </c>
      <c r="TLM28" s="256" t="s">
        <v>79</v>
      </c>
      <c r="TLN28" s="256" t="s">
        <v>80</v>
      </c>
      <c r="TLO28" s="256" t="s">
        <v>81</v>
      </c>
      <c r="TLP28" s="331"/>
      <c r="TLQ28" s="290">
        <v>45492</v>
      </c>
      <c r="TLR28" s="339" t="s">
        <v>141</v>
      </c>
      <c r="TLS28" s="305"/>
      <c r="TLT28" s="305">
        <v>1</v>
      </c>
      <c r="TLU28" s="304">
        <f t="shared" ref="TLU28" si="2347">EDATE(TLQ28,TLT28)</f>
        <v>45523</v>
      </c>
      <c r="TLV28" s="340">
        <v>0</v>
      </c>
      <c r="TLW28" s="320">
        <f t="shared" ref="TLW28" ca="1" si="2348">IF(TLX28&gt;=1,(TLV28/TLT28),0)</f>
        <v>0</v>
      </c>
      <c r="TLX28" s="292">
        <f t="shared" ref="TLX28" ca="1" si="2349">TLU28-$G$5</f>
        <v>-591</v>
      </c>
      <c r="TLY28" s="259" t="s">
        <v>55</v>
      </c>
      <c r="TLZ28" s="256" t="s">
        <v>76</v>
      </c>
      <c r="TMA28" s="256" t="s">
        <v>77</v>
      </c>
      <c r="TMB28" s="256" t="s">
        <v>78</v>
      </c>
      <c r="TMC28" s="256" t="s">
        <v>79</v>
      </c>
      <c r="TMD28" s="256" t="s">
        <v>80</v>
      </c>
      <c r="TME28" s="256" t="s">
        <v>81</v>
      </c>
      <c r="TMF28" s="331"/>
      <c r="TMG28" s="290">
        <v>45492</v>
      </c>
      <c r="TMH28" s="339" t="s">
        <v>141</v>
      </c>
      <c r="TMI28" s="305"/>
      <c r="TMJ28" s="305">
        <v>1</v>
      </c>
      <c r="TMK28" s="304">
        <f t="shared" ref="TMK28" si="2350">EDATE(TMG28,TMJ28)</f>
        <v>45523</v>
      </c>
      <c r="TML28" s="340">
        <v>0</v>
      </c>
      <c r="TMM28" s="320">
        <f t="shared" ref="TMM28" ca="1" si="2351">IF(TMN28&gt;=1,(TML28/TMJ28),0)</f>
        <v>0</v>
      </c>
      <c r="TMN28" s="292">
        <f t="shared" ref="TMN28" ca="1" si="2352">TMK28-$G$5</f>
        <v>-591</v>
      </c>
      <c r="TMO28" s="259" t="s">
        <v>55</v>
      </c>
      <c r="TMP28" s="256" t="s">
        <v>76</v>
      </c>
      <c r="TMQ28" s="256" t="s">
        <v>77</v>
      </c>
      <c r="TMR28" s="256" t="s">
        <v>78</v>
      </c>
      <c r="TMS28" s="256" t="s">
        <v>79</v>
      </c>
      <c r="TMT28" s="256" t="s">
        <v>80</v>
      </c>
      <c r="TMU28" s="256" t="s">
        <v>81</v>
      </c>
      <c r="TMV28" s="331"/>
      <c r="TMW28" s="290">
        <v>45492</v>
      </c>
      <c r="TMX28" s="339" t="s">
        <v>141</v>
      </c>
      <c r="TMY28" s="305"/>
      <c r="TMZ28" s="305">
        <v>1</v>
      </c>
      <c r="TNA28" s="304">
        <f t="shared" ref="TNA28" si="2353">EDATE(TMW28,TMZ28)</f>
        <v>45523</v>
      </c>
      <c r="TNB28" s="340">
        <v>0</v>
      </c>
      <c r="TNC28" s="320">
        <f t="shared" ref="TNC28" ca="1" si="2354">IF(TND28&gt;=1,(TNB28/TMZ28),0)</f>
        <v>0</v>
      </c>
      <c r="TND28" s="292">
        <f t="shared" ref="TND28" ca="1" si="2355">TNA28-$G$5</f>
        <v>-591</v>
      </c>
      <c r="TNE28" s="259" t="s">
        <v>55</v>
      </c>
      <c r="TNF28" s="256" t="s">
        <v>76</v>
      </c>
      <c r="TNG28" s="256" t="s">
        <v>77</v>
      </c>
      <c r="TNH28" s="256" t="s">
        <v>78</v>
      </c>
      <c r="TNI28" s="256" t="s">
        <v>79</v>
      </c>
      <c r="TNJ28" s="256" t="s">
        <v>80</v>
      </c>
      <c r="TNK28" s="256" t="s">
        <v>81</v>
      </c>
      <c r="TNL28" s="331"/>
      <c r="TNM28" s="290">
        <v>45492</v>
      </c>
      <c r="TNN28" s="339" t="s">
        <v>141</v>
      </c>
      <c r="TNO28" s="305"/>
      <c r="TNP28" s="305">
        <v>1</v>
      </c>
      <c r="TNQ28" s="304">
        <f t="shared" ref="TNQ28" si="2356">EDATE(TNM28,TNP28)</f>
        <v>45523</v>
      </c>
      <c r="TNR28" s="340">
        <v>0</v>
      </c>
      <c r="TNS28" s="320">
        <f t="shared" ref="TNS28" ca="1" si="2357">IF(TNT28&gt;=1,(TNR28/TNP28),0)</f>
        <v>0</v>
      </c>
      <c r="TNT28" s="292">
        <f t="shared" ref="TNT28" ca="1" si="2358">TNQ28-$G$5</f>
        <v>-591</v>
      </c>
      <c r="TNU28" s="259" t="s">
        <v>55</v>
      </c>
      <c r="TNV28" s="256" t="s">
        <v>76</v>
      </c>
      <c r="TNW28" s="256" t="s">
        <v>77</v>
      </c>
      <c r="TNX28" s="256" t="s">
        <v>78</v>
      </c>
      <c r="TNY28" s="256" t="s">
        <v>79</v>
      </c>
      <c r="TNZ28" s="256" t="s">
        <v>80</v>
      </c>
      <c r="TOA28" s="256" t="s">
        <v>81</v>
      </c>
      <c r="TOB28" s="331"/>
      <c r="TOC28" s="290">
        <v>45492</v>
      </c>
      <c r="TOD28" s="339" t="s">
        <v>141</v>
      </c>
      <c r="TOE28" s="305"/>
      <c r="TOF28" s="305">
        <v>1</v>
      </c>
      <c r="TOG28" s="304">
        <f t="shared" ref="TOG28" si="2359">EDATE(TOC28,TOF28)</f>
        <v>45523</v>
      </c>
      <c r="TOH28" s="340">
        <v>0</v>
      </c>
      <c r="TOI28" s="320">
        <f t="shared" ref="TOI28" ca="1" si="2360">IF(TOJ28&gt;=1,(TOH28/TOF28),0)</f>
        <v>0</v>
      </c>
      <c r="TOJ28" s="292">
        <f t="shared" ref="TOJ28" ca="1" si="2361">TOG28-$G$5</f>
        <v>-591</v>
      </c>
      <c r="TOK28" s="259" t="s">
        <v>55</v>
      </c>
      <c r="TOL28" s="256" t="s">
        <v>76</v>
      </c>
      <c r="TOM28" s="256" t="s">
        <v>77</v>
      </c>
      <c r="TON28" s="256" t="s">
        <v>78</v>
      </c>
      <c r="TOO28" s="256" t="s">
        <v>79</v>
      </c>
      <c r="TOP28" s="256" t="s">
        <v>80</v>
      </c>
      <c r="TOQ28" s="256" t="s">
        <v>81</v>
      </c>
      <c r="TOR28" s="331"/>
      <c r="TOS28" s="290">
        <v>45492</v>
      </c>
      <c r="TOT28" s="339" t="s">
        <v>141</v>
      </c>
      <c r="TOU28" s="305"/>
      <c r="TOV28" s="305">
        <v>1</v>
      </c>
      <c r="TOW28" s="304">
        <f t="shared" ref="TOW28" si="2362">EDATE(TOS28,TOV28)</f>
        <v>45523</v>
      </c>
      <c r="TOX28" s="340">
        <v>0</v>
      </c>
      <c r="TOY28" s="320">
        <f t="shared" ref="TOY28" ca="1" si="2363">IF(TOZ28&gt;=1,(TOX28/TOV28),0)</f>
        <v>0</v>
      </c>
      <c r="TOZ28" s="292">
        <f t="shared" ref="TOZ28" ca="1" si="2364">TOW28-$G$5</f>
        <v>-591</v>
      </c>
      <c r="TPA28" s="259" t="s">
        <v>55</v>
      </c>
      <c r="TPB28" s="256" t="s">
        <v>76</v>
      </c>
      <c r="TPC28" s="256" t="s">
        <v>77</v>
      </c>
      <c r="TPD28" s="256" t="s">
        <v>78</v>
      </c>
      <c r="TPE28" s="256" t="s">
        <v>79</v>
      </c>
      <c r="TPF28" s="256" t="s">
        <v>80</v>
      </c>
      <c r="TPG28" s="256" t="s">
        <v>81</v>
      </c>
      <c r="TPH28" s="331"/>
      <c r="TPI28" s="290">
        <v>45492</v>
      </c>
      <c r="TPJ28" s="339" t="s">
        <v>141</v>
      </c>
      <c r="TPK28" s="305"/>
      <c r="TPL28" s="305">
        <v>1</v>
      </c>
      <c r="TPM28" s="304">
        <f t="shared" ref="TPM28" si="2365">EDATE(TPI28,TPL28)</f>
        <v>45523</v>
      </c>
      <c r="TPN28" s="340">
        <v>0</v>
      </c>
      <c r="TPO28" s="320">
        <f t="shared" ref="TPO28" ca="1" si="2366">IF(TPP28&gt;=1,(TPN28/TPL28),0)</f>
        <v>0</v>
      </c>
      <c r="TPP28" s="292">
        <f t="shared" ref="TPP28" ca="1" si="2367">TPM28-$G$5</f>
        <v>-591</v>
      </c>
      <c r="TPQ28" s="259" t="s">
        <v>55</v>
      </c>
      <c r="TPR28" s="256" t="s">
        <v>76</v>
      </c>
      <c r="TPS28" s="256" t="s">
        <v>77</v>
      </c>
      <c r="TPT28" s="256" t="s">
        <v>78</v>
      </c>
      <c r="TPU28" s="256" t="s">
        <v>79</v>
      </c>
      <c r="TPV28" s="256" t="s">
        <v>80</v>
      </c>
      <c r="TPW28" s="256" t="s">
        <v>81</v>
      </c>
      <c r="TPX28" s="331"/>
      <c r="TPY28" s="290">
        <v>45492</v>
      </c>
      <c r="TPZ28" s="339" t="s">
        <v>141</v>
      </c>
      <c r="TQA28" s="305"/>
      <c r="TQB28" s="305">
        <v>1</v>
      </c>
      <c r="TQC28" s="304">
        <f t="shared" ref="TQC28" si="2368">EDATE(TPY28,TQB28)</f>
        <v>45523</v>
      </c>
      <c r="TQD28" s="340">
        <v>0</v>
      </c>
      <c r="TQE28" s="320">
        <f t="shared" ref="TQE28" ca="1" si="2369">IF(TQF28&gt;=1,(TQD28/TQB28),0)</f>
        <v>0</v>
      </c>
      <c r="TQF28" s="292">
        <f t="shared" ref="TQF28" ca="1" si="2370">TQC28-$G$5</f>
        <v>-591</v>
      </c>
      <c r="TQG28" s="259" t="s">
        <v>55</v>
      </c>
      <c r="TQH28" s="256" t="s">
        <v>76</v>
      </c>
      <c r="TQI28" s="256" t="s">
        <v>77</v>
      </c>
      <c r="TQJ28" s="256" t="s">
        <v>78</v>
      </c>
      <c r="TQK28" s="256" t="s">
        <v>79</v>
      </c>
      <c r="TQL28" s="256" t="s">
        <v>80</v>
      </c>
      <c r="TQM28" s="256" t="s">
        <v>81</v>
      </c>
      <c r="TQN28" s="331"/>
      <c r="TQO28" s="290">
        <v>45492</v>
      </c>
      <c r="TQP28" s="339" t="s">
        <v>141</v>
      </c>
      <c r="TQQ28" s="305"/>
      <c r="TQR28" s="305">
        <v>1</v>
      </c>
      <c r="TQS28" s="304">
        <f t="shared" ref="TQS28" si="2371">EDATE(TQO28,TQR28)</f>
        <v>45523</v>
      </c>
      <c r="TQT28" s="340">
        <v>0</v>
      </c>
      <c r="TQU28" s="320">
        <f t="shared" ref="TQU28" ca="1" si="2372">IF(TQV28&gt;=1,(TQT28/TQR28),0)</f>
        <v>0</v>
      </c>
      <c r="TQV28" s="292">
        <f t="shared" ref="TQV28" ca="1" si="2373">TQS28-$G$5</f>
        <v>-591</v>
      </c>
      <c r="TQW28" s="259" t="s">
        <v>55</v>
      </c>
      <c r="TQX28" s="256" t="s">
        <v>76</v>
      </c>
      <c r="TQY28" s="256" t="s">
        <v>77</v>
      </c>
      <c r="TQZ28" s="256" t="s">
        <v>78</v>
      </c>
      <c r="TRA28" s="256" t="s">
        <v>79</v>
      </c>
      <c r="TRB28" s="256" t="s">
        <v>80</v>
      </c>
      <c r="TRC28" s="256" t="s">
        <v>81</v>
      </c>
      <c r="TRD28" s="331"/>
      <c r="TRE28" s="290">
        <v>45492</v>
      </c>
      <c r="TRF28" s="339" t="s">
        <v>141</v>
      </c>
      <c r="TRG28" s="305"/>
      <c r="TRH28" s="305">
        <v>1</v>
      </c>
      <c r="TRI28" s="304">
        <f t="shared" ref="TRI28" si="2374">EDATE(TRE28,TRH28)</f>
        <v>45523</v>
      </c>
      <c r="TRJ28" s="340">
        <v>0</v>
      </c>
      <c r="TRK28" s="320">
        <f t="shared" ref="TRK28" ca="1" si="2375">IF(TRL28&gt;=1,(TRJ28/TRH28),0)</f>
        <v>0</v>
      </c>
      <c r="TRL28" s="292">
        <f t="shared" ref="TRL28" ca="1" si="2376">TRI28-$G$5</f>
        <v>-591</v>
      </c>
      <c r="TRM28" s="259" t="s">
        <v>55</v>
      </c>
      <c r="TRN28" s="256" t="s">
        <v>76</v>
      </c>
      <c r="TRO28" s="256" t="s">
        <v>77</v>
      </c>
      <c r="TRP28" s="256" t="s">
        <v>78</v>
      </c>
      <c r="TRQ28" s="256" t="s">
        <v>79</v>
      </c>
      <c r="TRR28" s="256" t="s">
        <v>80</v>
      </c>
      <c r="TRS28" s="256" t="s">
        <v>81</v>
      </c>
      <c r="TRT28" s="331"/>
      <c r="TRU28" s="290">
        <v>45492</v>
      </c>
      <c r="TRV28" s="339" t="s">
        <v>141</v>
      </c>
      <c r="TRW28" s="305"/>
      <c r="TRX28" s="305">
        <v>1</v>
      </c>
      <c r="TRY28" s="304">
        <f t="shared" ref="TRY28" si="2377">EDATE(TRU28,TRX28)</f>
        <v>45523</v>
      </c>
      <c r="TRZ28" s="340">
        <v>0</v>
      </c>
      <c r="TSA28" s="320">
        <f t="shared" ref="TSA28" ca="1" si="2378">IF(TSB28&gt;=1,(TRZ28/TRX28),0)</f>
        <v>0</v>
      </c>
      <c r="TSB28" s="292">
        <f t="shared" ref="TSB28" ca="1" si="2379">TRY28-$G$5</f>
        <v>-591</v>
      </c>
      <c r="TSC28" s="259" t="s">
        <v>55</v>
      </c>
      <c r="TSD28" s="256" t="s">
        <v>76</v>
      </c>
      <c r="TSE28" s="256" t="s">
        <v>77</v>
      </c>
      <c r="TSF28" s="256" t="s">
        <v>78</v>
      </c>
      <c r="TSG28" s="256" t="s">
        <v>79</v>
      </c>
      <c r="TSH28" s="256" t="s">
        <v>80</v>
      </c>
      <c r="TSI28" s="256" t="s">
        <v>81</v>
      </c>
      <c r="TSJ28" s="331"/>
      <c r="TSK28" s="290">
        <v>45492</v>
      </c>
      <c r="TSL28" s="339" t="s">
        <v>141</v>
      </c>
      <c r="TSM28" s="305"/>
      <c r="TSN28" s="305">
        <v>1</v>
      </c>
      <c r="TSO28" s="304">
        <f t="shared" ref="TSO28" si="2380">EDATE(TSK28,TSN28)</f>
        <v>45523</v>
      </c>
      <c r="TSP28" s="340">
        <v>0</v>
      </c>
      <c r="TSQ28" s="320">
        <f t="shared" ref="TSQ28" ca="1" si="2381">IF(TSR28&gt;=1,(TSP28/TSN28),0)</f>
        <v>0</v>
      </c>
      <c r="TSR28" s="292">
        <f t="shared" ref="TSR28" ca="1" si="2382">TSO28-$G$5</f>
        <v>-591</v>
      </c>
      <c r="TSS28" s="259" t="s">
        <v>55</v>
      </c>
      <c r="TST28" s="256" t="s">
        <v>76</v>
      </c>
      <c r="TSU28" s="256" t="s">
        <v>77</v>
      </c>
      <c r="TSV28" s="256" t="s">
        <v>78</v>
      </c>
      <c r="TSW28" s="256" t="s">
        <v>79</v>
      </c>
      <c r="TSX28" s="256" t="s">
        <v>80</v>
      </c>
      <c r="TSY28" s="256" t="s">
        <v>81</v>
      </c>
      <c r="TSZ28" s="331"/>
      <c r="TTA28" s="290">
        <v>45492</v>
      </c>
      <c r="TTB28" s="339" t="s">
        <v>141</v>
      </c>
      <c r="TTC28" s="305"/>
      <c r="TTD28" s="305">
        <v>1</v>
      </c>
      <c r="TTE28" s="304">
        <f t="shared" ref="TTE28" si="2383">EDATE(TTA28,TTD28)</f>
        <v>45523</v>
      </c>
      <c r="TTF28" s="340">
        <v>0</v>
      </c>
      <c r="TTG28" s="320">
        <f t="shared" ref="TTG28" ca="1" si="2384">IF(TTH28&gt;=1,(TTF28/TTD28),0)</f>
        <v>0</v>
      </c>
      <c r="TTH28" s="292">
        <f t="shared" ref="TTH28" ca="1" si="2385">TTE28-$G$5</f>
        <v>-591</v>
      </c>
      <c r="TTI28" s="259" t="s">
        <v>55</v>
      </c>
      <c r="TTJ28" s="256" t="s">
        <v>76</v>
      </c>
      <c r="TTK28" s="256" t="s">
        <v>77</v>
      </c>
      <c r="TTL28" s="256" t="s">
        <v>78</v>
      </c>
      <c r="TTM28" s="256" t="s">
        <v>79</v>
      </c>
      <c r="TTN28" s="256" t="s">
        <v>80</v>
      </c>
      <c r="TTO28" s="256" t="s">
        <v>81</v>
      </c>
      <c r="TTP28" s="331"/>
      <c r="TTQ28" s="290">
        <v>45492</v>
      </c>
      <c r="TTR28" s="339" t="s">
        <v>141</v>
      </c>
      <c r="TTS28" s="305"/>
      <c r="TTT28" s="305">
        <v>1</v>
      </c>
      <c r="TTU28" s="304">
        <f t="shared" ref="TTU28" si="2386">EDATE(TTQ28,TTT28)</f>
        <v>45523</v>
      </c>
      <c r="TTV28" s="340">
        <v>0</v>
      </c>
      <c r="TTW28" s="320">
        <f t="shared" ref="TTW28" ca="1" si="2387">IF(TTX28&gt;=1,(TTV28/TTT28),0)</f>
        <v>0</v>
      </c>
      <c r="TTX28" s="292">
        <f t="shared" ref="TTX28" ca="1" si="2388">TTU28-$G$5</f>
        <v>-591</v>
      </c>
      <c r="TTY28" s="259" t="s">
        <v>55</v>
      </c>
      <c r="TTZ28" s="256" t="s">
        <v>76</v>
      </c>
      <c r="TUA28" s="256" t="s">
        <v>77</v>
      </c>
      <c r="TUB28" s="256" t="s">
        <v>78</v>
      </c>
      <c r="TUC28" s="256" t="s">
        <v>79</v>
      </c>
      <c r="TUD28" s="256" t="s">
        <v>80</v>
      </c>
      <c r="TUE28" s="256" t="s">
        <v>81</v>
      </c>
      <c r="TUF28" s="331"/>
      <c r="TUG28" s="290">
        <v>45492</v>
      </c>
      <c r="TUH28" s="339" t="s">
        <v>141</v>
      </c>
      <c r="TUI28" s="305"/>
      <c r="TUJ28" s="305">
        <v>1</v>
      </c>
      <c r="TUK28" s="304">
        <f t="shared" ref="TUK28" si="2389">EDATE(TUG28,TUJ28)</f>
        <v>45523</v>
      </c>
      <c r="TUL28" s="340">
        <v>0</v>
      </c>
      <c r="TUM28" s="320">
        <f t="shared" ref="TUM28" ca="1" si="2390">IF(TUN28&gt;=1,(TUL28/TUJ28),0)</f>
        <v>0</v>
      </c>
      <c r="TUN28" s="292">
        <f t="shared" ref="TUN28" ca="1" si="2391">TUK28-$G$5</f>
        <v>-591</v>
      </c>
      <c r="TUO28" s="259" t="s">
        <v>55</v>
      </c>
      <c r="TUP28" s="256" t="s">
        <v>76</v>
      </c>
      <c r="TUQ28" s="256" t="s">
        <v>77</v>
      </c>
      <c r="TUR28" s="256" t="s">
        <v>78</v>
      </c>
      <c r="TUS28" s="256" t="s">
        <v>79</v>
      </c>
      <c r="TUT28" s="256" t="s">
        <v>80</v>
      </c>
      <c r="TUU28" s="256" t="s">
        <v>81</v>
      </c>
      <c r="TUV28" s="331"/>
      <c r="TUW28" s="290">
        <v>45492</v>
      </c>
      <c r="TUX28" s="339" t="s">
        <v>141</v>
      </c>
      <c r="TUY28" s="305"/>
      <c r="TUZ28" s="305">
        <v>1</v>
      </c>
      <c r="TVA28" s="304">
        <f t="shared" ref="TVA28" si="2392">EDATE(TUW28,TUZ28)</f>
        <v>45523</v>
      </c>
      <c r="TVB28" s="340">
        <v>0</v>
      </c>
      <c r="TVC28" s="320">
        <f t="shared" ref="TVC28" ca="1" si="2393">IF(TVD28&gt;=1,(TVB28/TUZ28),0)</f>
        <v>0</v>
      </c>
      <c r="TVD28" s="292">
        <f t="shared" ref="TVD28" ca="1" si="2394">TVA28-$G$5</f>
        <v>-591</v>
      </c>
      <c r="TVE28" s="259" t="s">
        <v>55</v>
      </c>
      <c r="TVF28" s="256" t="s">
        <v>76</v>
      </c>
      <c r="TVG28" s="256" t="s">
        <v>77</v>
      </c>
      <c r="TVH28" s="256" t="s">
        <v>78</v>
      </c>
      <c r="TVI28" s="256" t="s">
        <v>79</v>
      </c>
      <c r="TVJ28" s="256" t="s">
        <v>80</v>
      </c>
      <c r="TVK28" s="256" t="s">
        <v>81</v>
      </c>
      <c r="TVL28" s="331"/>
      <c r="TVM28" s="290">
        <v>45492</v>
      </c>
      <c r="TVN28" s="339" t="s">
        <v>141</v>
      </c>
      <c r="TVO28" s="305"/>
      <c r="TVP28" s="305">
        <v>1</v>
      </c>
      <c r="TVQ28" s="304">
        <f t="shared" ref="TVQ28" si="2395">EDATE(TVM28,TVP28)</f>
        <v>45523</v>
      </c>
      <c r="TVR28" s="340">
        <v>0</v>
      </c>
      <c r="TVS28" s="320">
        <f t="shared" ref="TVS28" ca="1" si="2396">IF(TVT28&gt;=1,(TVR28/TVP28),0)</f>
        <v>0</v>
      </c>
      <c r="TVT28" s="292">
        <f t="shared" ref="TVT28" ca="1" si="2397">TVQ28-$G$5</f>
        <v>-591</v>
      </c>
      <c r="TVU28" s="259" t="s">
        <v>55</v>
      </c>
      <c r="TVV28" s="256" t="s">
        <v>76</v>
      </c>
      <c r="TVW28" s="256" t="s">
        <v>77</v>
      </c>
      <c r="TVX28" s="256" t="s">
        <v>78</v>
      </c>
      <c r="TVY28" s="256" t="s">
        <v>79</v>
      </c>
      <c r="TVZ28" s="256" t="s">
        <v>80</v>
      </c>
      <c r="TWA28" s="256" t="s">
        <v>81</v>
      </c>
      <c r="TWB28" s="331"/>
      <c r="TWC28" s="290">
        <v>45492</v>
      </c>
      <c r="TWD28" s="339" t="s">
        <v>141</v>
      </c>
      <c r="TWE28" s="305"/>
      <c r="TWF28" s="305">
        <v>1</v>
      </c>
      <c r="TWG28" s="304">
        <f t="shared" ref="TWG28" si="2398">EDATE(TWC28,TWF28)</f>
        <v>45523</v>
      </c>
      <c r="TWH28" s="340">
        <v>0</v>
      </c>
      <c r="TWI28" s="320">
        <f t="shared" ref="TWI28" ca="1" si="2399">IF(TWJ28&gt;=1,(TWH28/TWF28),0)</f>
        <v>0</v>
      </c>
      <c r="TWJ28" s="292">
        <f t="shared" ref="TWJ28" ca="1" si="2400">TWG28-$G$5</f>
        <v>-591</v>
      </c>
      <c r="TWK28" s="259" t="s">
        <v>55</v>
      </c>
      <c r="TWL28" s="256" t="s">
        <v>76</v>
      </c>
      <c r="TWM28" s="256" t="s">
        <v>77</v>
      </c>
      <c r="TWN28" s="256" t="s">
        <v>78</v>
      </c>
      <c r="TWO28" s="256" t="s">
        <v>79</v>
      </c>
      <c r="TWP28" s="256" t="s">
        <v>80</v>
      </c>
      <c r="TWQ28" s="256" t="s">
        <v>81</v>
      </c>
      <c r="TWR28" s="331"/>
      <c r="TWS28" s="290">
        <v>45492</v>
      </c>
      <c r="TWT28" s="339" t="s">
        <v>141</v>
      </c>
      <c r="TWU28" s="305"/>
      <c r="TWV28" s="305">
        <v>1</v>
      </c>
      <c r="TWW28" s="304">
        <f t="shared" ref="TWW28" si="2401">EDATE(TWS28,TWV28)</f>
        <v>45523</v>
      </c>
      <c r="TWX28" s="340">
        <v>0</v>
      </c>
      <c r="TWY28" s="320">
        <f t="shared" ref="TWY28" ca="1" si="2402">IF(TWZ28&gt;=1,(TWX28/TWV28),0)</f>
        <v>0</v>
      </c>
      <c r="TWZ28" s="292">
        <f t="shared" ref="TWZ28" ca="1" si="2403">TWW28-$G$5</f>
        <v>-591</v>
      </c>
      <c r="TXA28" s="259" t="s">
        <v>55</v>
      </c>
      <c r="TXB28" s="256" t="s">
        <v>76</v>
      </c>
      <c r="TXC28" s="256" t="s">
        <v>77</v>
      </c>
      <c r="TXD28" s="256" t="s">
        <v>78</v>
      </c>
      <c r="TXE28" s="256" t="s">
        <v>79</v>
      </c>
      <c r="TXF28" s="256" t="s">
        <v>80</v>
      </c>
      <c r="TXG28" s="256" t="s">
        <v>81</v>
      </c>
      <c r="TXH28" s="331"/>
      <c r="TXI28" s="290">
        <v>45492</v>
      </c>
      <c r="TXJ28" s="339" t="s">
        <v>141</v>
      </c>
      <c r="TXK28" s="305"/>
      <c r="TXL28" s="305">
        <v>1</v>
      </c>
      <c r="TXM28" s="304">
        <f t="shared" ref="TXM28" si="2404">EDATE(TXI28,TXL28)</f>
        <v>45523</v>
      </c>
      <c r="TXN28" s="340">
        <v>0</v>
      </c>
      <c r="TXO28" s="320">
        <f t="shared" ref="TXO28" ca="1" si="2405">IF(TXP28&gt;=1,(TXN28/TXL28),0)</f>
        <v>0</v>
      </c>
      <c r="TXP28" s="292">
        <f t="shared" ref="TXP28" ca="1" si="2406">TXM28-$G$5</f>
        <v>-591</v>
      </c>
      <c r="TXQ28" s="259" t="s">
        <v>55</v>
      </c>
      <c r="TXR28" s="256" t="s">
        <v>76</v>
      </c>
      <c r="TXS28" s="256" t="s">
        <v>77</v>
      </c>
      <c r="TXT28" s="256" t="s">
        <v>78</v>
      </c>
      <c r="TXU28" s="256" t="s">
        <v>79</v>
      </c>
      <c r="TXV28" s="256" t="s">
        <v>80</v>
      </c>
      <c r="TXW28" s="256" t="s">
        <v>81</v>
      </c>
      <c r="TXX28" s="331"/>
      <c r="TXY28" s="290">
        <v>45492</v>
      </c>
      <c r="TXZ28" s="339" t="s">
        <v>141</v>
      </c>
      <c r="TYA28" s="305"/>
      <c r="TYB28" s="305">
        <v>1</v>
      </c>
      <c r="TYC28" s="304">
        <f t="shared" ref="TYC28" si="2407">EDATE(TXY28,TYB28)</f>
        <v>45523</v>
      </c>
      <c r="TYD28" s="340">
        <v>0</v>
      </c>
      <c r="TYE28" s="320">
        <f t="shared" ref="TYE28" ca="1" si="2408">IF(TYF28&gt;=1,(TYD28/TYB28),0)</f>
        <v>0</v>
      </c>
      <c r="TYF28" s="292">
        <f t="shared" ref="TYF28" ca="1" si="2409">TYC28-$G$5</f>
        <v>-591</v>
      </c>
      <c r="TYG28" s="259" t="s">
        <v>55</v>
      </c>
      <c r="TYH28" s="256" t="s">
        <v>76</v>
      </c>
      <c r="TYI28" s="256" t="s">
        <v>77</v>
      </c>
      <c r="TYJ28" s="256" t="s">
        <v>78</v>
      </c>
      <c r="TYK28" s="256" t="s">
        <v>79</v>
      </c>
      <c r="TYL28" s="256" t="s">
        <v>80</v>
      </c>
      <c r="TYM28" s="256" t="s">
        <v>81</v>
      </c>
      <c r="TYN28" s="331"/>
      <c r="TYO28" s="290">
        <v>45492</v>
      </c>
      <c r="TYP28" s="339" t="s">
        <v>141</v>
      </c>
      <c r="TYQ28" s="305"/>
      <c r="TYR28" s="305">
        <v>1</v>
      </c>
      <c r="TYS28" s="304">
        <f t="shared" ref="TYS28" si="2410">EDATE(TYO28,TYR28)</f>
        <v>45523</v>
      </c>
      <c r="TYT28" s="340">
        <v>0</v>
      </c>
      <c r="TYU28" s="320">
        <f t="shared" ref="TYU28" ca="1" si="2411">IF(TYV28&gt;=1,(TYT28/TYR28),0)</f>
        <v>0</v>
      </c>
      <c r="TYV28" s="292">
        <f t="shared" ref="TYV28" ca="1" si="2412">TYS28-$G$5</f>
        <v>-591</v>
      </c>
      <c r="TYW28" s="259" t="s">
        <v>55</v>
      </c>
      <c r="TYX28" s="256" t="s">
        <v>76</v>
      </c>
      <c r="TYY28" s="256" t="s">
        <v>77</v>
      </c>
      <c r="TYZ28" s="256" t="s">
        <v>78</v>
      </c>
      <c r="TZA28" s="256" t="s">
        <v>79</v>
      </c>
      <c r="TZB28" s="256" t="s">
        <v>80</v>
      </c>
      <c r="TZC28" s="256" t="s">
        <v>81</v>
      </c>
      <c r="TZD28" s="331"/>
      <c r="TZE28" s="290">
        <v>45492</v>
      </c>
      <c r="TZF28" s="339" t="s">
        <v>141</v>
      </c>
      <c r="TZG28" s="305"/>
      <c r="TZH28" s="305">
        <v>1</v>
      </c>
      <c r="TZI28" s="304">
        <f t="shared" ref="TZI28" si="2413">EDATE(TZE28,TZH28)</f>
        <v>45523</v>
      </c>
      <c r="TZJ28" s="340">
        <v>0</v>
      </c>
      <c r="TZK28" s="320">
        <f t="shared" ref="TZK28" ca="1" si="2414">IF(TZL28&gt;=1,(TZJ28/TZH28),0)</f>
        <v>0</v>
      </c>
      <c r="TZL28" s="292">
        <f t="shared" ref="TZL28" ca="1" si="2415">TZI28-$G$5</f>
        <v>-591</v>
      </c>
      <c r="TZM28" s="259" t="s">
        <v>55</v>
      </c>
      <c r="TZN28" s="256" t="s">
        <v>76</v>
      </c>
      <c r="TZO28" s="256" t="s">
        <v>77</v>
      </c>
      <c r="TZP28" s="256" t="s">
        <v>78</v>
      </c>
      <c r="TZQ28" s="256" t="s">
        <v>79</v>
      </c>
      <c r="TZR28" s="256" t="s">
        <v>80</v>
      </c>
      <c r="TZS28" s="256" t="s">
        <v>81</v>
      </c>
      <c r="TZT28" s="331"/>
      <c r="TZU28" s="290">
        <v>45492</v>
      </c>
      <c r="TZV28" s="339" t="s">
        <v>141</v>
      </c>
      <c r="TZW28" s="305"/>
      <c r="TZX28" s="305">
        <v>1</v>
      </c>
      <c r="TZY28" s="304">
        <f t="shared" ref="TZY28" si="2416">EDATE(TZU28,TZX28)</f>
        <v>45523</v>
      </c>
      <c r="TZZ28" s="340">
        <v>0</v>
      </c>
      <c r="UAA28" s="320">
        <f t="shared" ref="UAA28" ca="1" si="2417">IF(UAB28&gt;=1,(TZZ28/TZX28),0)</f>
        <v>0</v>
      </c>
      <c r="UAB28" s="292">
        <f t="shared" ref="UAB28" ca="1" si="2418">TZY28-$G$5</f>
        <v>-591</v>
      </c>
      <c r="UAC28" s="259" t="s">
        <v>55</v>
      </c>
      <c r="UAD28" s="256" t="s">
        <v>76</v>
      </c>
      <c r="UAE28" s="256" t="s">
        <v>77</v>
      </c>
      <c r="UAF28" s="256" t="s">
        <v>78</v>
      </c>
      <c r="UAG28" s="256" t="s">
        <v>79</v>
      </c>
      <c r="UAH28" s="256" t="s">
        <v>80</v>
      </c>
      <c r="UAI28" s="256" t="s">
        <v>81</v>
      </c>
      <c r="UAJ28" s="331"/>
      <c r="UAK28" s="290">
        <v>45492</v>
      </c>
      <c r="UAL28" s="339" t="s">
        <v>141</v>
      </c>
      <c r="UAM28" s="305"/>
      <c r="UAN28" s="305">
        <v>1</v>
      </c>
      <c r="UAO28" s="304">
        <f t="shared" ref="UAO28" si="2419">EDATE(UAK28,UAN28)</f>
        <v>45523</v>
      </c>
      <c r="UAP28" s="340">
        <v>0</v>
      </c>
      <c r="UAQ28" s="320">
        <f t="shared" ref="UAQ28" ca="1" si="2420">IF(UAR28&gt;=1,(UAP28/UAN28),0)</f>
        <v>0</v>
      </c>
      <c r="UAR28" s="292">
        <f t="shared" ref="UAR28" ca="1" si="2421">UAO28-$G$5</f>
        <v>-591</v>
      </c>
      <c r="UAS28" s="259" t="s">
        <v>55</v>
      </c>
      <c r="UAT28" s="256" t="s">
        <v>76</v>
      </c>
      <c r="UAU28" s="256" t="s">
        <v>77</v>
      </c>
      <c r="UAV28" s="256" t="s">
        <v>78</v>
      </c>
      <c r="UAW28" s="256" t="s">
        <v>79</v>
      </c>
      <c r="UAX28" s="256" t="s">
        <v>80</v>
      </c>
      <c r="UAY28" s="256" t="s">
        <v>81</v>
      </c>
      <c r="UAZ28" s="331"/>
      <c r="UBA28" s="290">
        <v>45492</v>
      </c>
      <c r="UBB28" s="339" t="s">
        <v>141</v>
      </c>
      <c r="UBC28" s="305"/>
      <c r="UBD28" s="305">
        <v>1</v>
      </c>
      <c r="UBE28" s="304">
        <f t="shared" ref="UBE28" si="2422">EDATE(UBA28,UBD28)</f>
        <v>45523</v>
      </c>
      <c r="UBF28" s="340">
        <v>0</v>
      </c>
      <c r="UBG28" s="320">
        <f t="shared" ref="UBG28" ca="1" si="2423">IF(UBH28&gt;=1,(UBF28/UBD28),0)</f>
        <v>0</v>
      </c>
      <c r="UBH28" s="292">
        <f t="shared" ref="UBH28" ca="1" si="2424">UBE28-$G$5</f>
        <v>-591</v>
      </c>
      <c r="UBI28" s="259" t="s">
        <v>55</v>
      </c>
      <c r="UBJ28" s="256" t="s">
        <v>76</v>
      </c>
      <c r="UBK28" s="256" t="s">
        <v>77</v>
      </c>
      <c r="UBL28" s="256" t="s">
        <v>78</v>
      </c>
      <c r="UBM28" s="256" t="s">
        <v>79</v>
      </c>
      <c r="UBN28" s="256" t="s">
        <v>80</v>
      </c>
      <c r="UBO28" s="256" t="s">
        <v>81</v>
      </c>
      <c r="UBP28" s="331"/>
      <c r="UBQ28" s="290">
        <v>45492</v>
      </c>
      <c r="UBR28" s="339" t="s">
        <v>141</v>
      </c>
      <c r="UBS28" s="305"/>
      <c r="UBT28" s="305">
        <v>1</v>
      </c>
      <c r="UBU28" s="304">
        <f t="shared" ref="UBU28" si="2425">EDATE(UBQ28,UBT28)</f>
        <v>45523</v>
      </c>
      <c r="UBV28" s="340">
        <v>0</v>
      </c>
      <c r="UBW28" s="320">
        <f t="shared" ref="UBW28" ca="1" si="2426">IF(UBX28&gt;=1,(UBV28/UBT28),0)</f>
        <v>0</v>
      </c>
      <c r="UBX28" s="292">
        <f t="shared" ref="UBX28" ca="1" si="2427">UBU28-$G$5</f>
        <v>-591</v>
      </c>
      <c r="UBY28" s="259" t="s">
        <v>55</v>
      </c>
      <c r="UBZ28" s="256" t="s">
        <v>76</v>
      </c>
      <c r="UCA28" s="256" t="s">
        <v>77</v>
      </c>
      <c r="UCB28" s="256" t="s">
        <v>78</v>
      </c>
      <c r="UCC28" s="256" t="s">
        <v>79</v>
      </c>
      <c r="UCD28" s="256" t="s">
        <v>80</v>
      </c>
      <c r="UCE28" s="256" t="s">
        <v>81</v>
      </c>
      <c r="UCF28" s="331"/>
      <c r="UCG28" s="290">
        <v>45492</v>
      </c>
      <c r="UCH28" s="339" t="s">
        <v>141</v>
      </c>
      <c r="UCI28" s="305"/>
      <c r="UCJ28" s="305">
        <v>1</v>
      </c>
      <c r="UCK28" s="304">
        <f t="shared" ref="UCK28" si="2428">EDATE(UCG28,UCJ28)</f>
        <v>45523</v>
      </c>
      <c r="UCL28" s="340">
        <v>0</v>
      </c>
      <c r="UCM28" s="320">
        <f t="shared" ref="UCM28" ca="1" si="2429">IF(UCN28&gt;=1,(UCL28/UCJ28),0)</f>
        <v>0</v>
      </c>
      <c r="UCN28" s="292">
        <f t="shared" ref="UCN28" ca="1" si="2430">UCK28-$G$5</f>
        <v>-591</v>
      </c>
      <c r="UCO28" s="259" t="s">
        <v>55</v>
      </c>
      <c r="UCP28" s="256" t="s">
        <v>76</v>
      </c>
      <c r="UCQ28" s="256" t="s">
        <v>77</v>
      </c>
      <c r="UCR28" s="256" t="s">
        <v>78</v>
      </c>
      <c r="UCS28" s="256" t="s">
        <v>79</v>
      </c>
      <c r="UCT28" s="256" t="s">
        <v>80</v>
      </c>
      <c r="UCU28" s="256" t="s">
        <v>81</v>
      </c>
      <c r="UCV28" s="331"/>
      <c r="UCW28" s="290">
        <v>45492</v>
      </c>
      <c r="UCX28" s="339" t="s">
        <v>141</v>
      </c>
      <c r="UCY28" s="305"/>
      <c r="UCZ28" s="305">
        <v>1</v>
      </c>
      <c r="UDA28" s="304">
        <f t="shared" ref="UDA28" si="2431">EDATE(UCW28,UCZ28)</f>
        <v>45523</v>
      </c>
      <c r="UDB28" s="340">
        <v>0</v>
      </c>
      <c r="UDC28" s="320">
        <f t="shared" ref="UDC28" ca="1" si="2432">IF(UDD28&gt;=1,(UDB28/UCZ28),0)</f>
        <v>0</v>
      </c>
      <c r="UDD28" s="292">
        <f t="shared" ref="UDD28" ca="1" si="2433">UDA28-$G$5</f>
        <v>-591</v>
      </c>
      <c r="UDE28" s="259" t="s">
        <v>55</v>
      </c>
      <c r="UDF28" s="256" t="s">
        <v>76</v>
      </c>
      <c r="UDG28" s="256" t="s">
        <v>77</v>
      </c>
      <c r="UDH28" s="256" t="s">
        <v>78</v>
      </c>
      <c r="UDI28" s="256" t="s">
        <v>79</v>
      </c>
      <c r="UDJ28" s="256" t="s">
        <v>80</v>
      </c>
      <c r="UDK28" s="256" t="s">
        <v>81</v>
      </c>
      <c r="UDL28" s="331"/>
      <c r="UDM28" s="290">
        <v>45492</v>
      </c>
      <c r="UDN28" s="339" t="s">
        <v>141</v>
      </c>
      <c r="UDO28" s="305"/>
      <c r="UDP28" s="305">
        <v>1</v>
      </c>
      <c r="UDQ28" s="304">
        <f t="shared" ref="UDQ28" si="2434">EDATE(UDM28,UDP28)</f>
        <v>45523</v>
      </c>
      <c r="UDR28" s="340">
        <v>0</v>
      </c>
      <c r="UDS28" s="320">
        <f t="shared" ref="UDS28" ca="1" si="2435">IF(UDT28&gt;=1,(UDR28/UDP28),0)</f>
        <v>0</v>
      </c>
      <c r="UDT28" s="292">
        <f t="shared" ref="UDT28" ca="1" si="2436">UDQ28-$G$5</f>
        <v>-591</v>
      </c>
      <c r="UDU28" s="259" t="s">
        <v>55</v>
      </c>
      <c r="UDV28" s="256" t="s">
        <v>76</v>
      </c>
      <c r="UDW28" s="256" t="s">
        <v>77</v>
      </c>
      <c r="UDX28" s="256" t="s">
        <v>78</v>
      </c>
      <c r="UDY28" s="256" t="s">
        <v>79</v>
      </c>
      <c r="UDZ28" s="256" t="s">
        <v>80</v>
      </c>
      <c r="UEA28" s="256" t="s">
        <v>81</v>
      </c>
      <c r="UEB28" s="331"/>
      <c r="UEC28" s="290">
        <v>45492</v>
      </c>
      <c r="UED28" s="339" t="s">
        <v>141</v>
      </c>
      <c r="UEE28" s="305"/>
      <c r="UEF28" s="305">
        <v>1</v>
      </c>
      <c r="UEG28" s="304">
        <f t="shared" ref="UEG28" si="2437">EDATE(UEC28,UEF28)</f>
        <v>45523</v>
      </c>
      <c r="UEH28" s="340">
        <v>0</v>
      </c>
      <c r="UEI28" s="320">
        <f t="shared" ref="UEI28" ca="1" si="2438">IF(UEJ28&gt;=1,(UEH28/UEF28),0)</f>
        <v>0</v>
      </c>
      <c r="UEJ28" s="292">
        <f t="shared" ref="UEJ28" ca="1" si="2439">UEG28-$G$5</f>
        <v>-591</v>
      </c>
      <c r="UEK28" s="259" t="s">
        <v>55</v>
      </c>
      <c r="UEL28" s="256" t="s">
        <v>76</v>
      </c>
      <c r="UEM28" s="256" t="s">
        <v>77</v>
      </c>
      <c r="UEN28" s="256" t="s">
        <v>78</v>
      </c>
      <c r="UEO28" s="256" t="s">
        <v>79</v>
      </c>
      <c r="UEP28" s="256" t="s">
        <v>80</v>
      </c>
      <c r="UEQ28" s="256" t="s">
        <v>81</v>
      </c>
      <c r="UER28" s="331"/>
      <c r="UES28" s="290">
        <v>45492</v>
      </c>
      <c r="UET28" s="339" t="s">
        <v>141</v>
      </c>
      <c r="UEU28" s="305"/>
      <c r="UEV28" s="305">
        <v>1</v>
      </c>
      <c r="UEW28" s="304">
        <f t="shared" ref="UEW28" si="2440">EDATE(UES28,UEV28)</f>
        <v>45523</v>
      </c>
      <c r="UEX28" s="340">
        <v>0</v>
      </c>
      <c r="UEY28" s="320">
        <f t="shared" ref="UEY28" ca="1" si="2441">IF(UEZ28&gt;=1,(UEX28/UEV28),0)</f>
        <v>0</v>
      </c>
      <c r="UEZ28" s="292">
        <f t="shared" ref="UEZ28" ca="1" si="2442">UEW28-$G$5</f>
        <v>-591</v>
      </c>
      <c r="UFA28" s="259" t="s">
        <v>55</v>
      </c>
      <c r="UFB28" s="256" t="s">
        <v>76</v>
      </c>
      <c r="UFC28" s="256" t="s">
        <v>77</v>
      </c>
      <c r="UFD28" s="256" t="s">
        <v>78</v>
      </c>
      <c r="UFE28" s="256" t="s">
        <v>79</v>
      </c>
      <c r="UFF28" s="256" t="s">
        <v>80</v>
      </c>
      <c r="UFG28" s="256" t="s">
        <v>81</v>
      </c>
      <c r="UFH28" s="331"/>
      <c r="UFI28" s="290">
        <v>45492</v>
      </c>
      <c r="UFJ28" s="339" t="s">
        <v>141</v>
      </c>
      <c r="UFK28" s="305"/>
      <c r="UFL28" s="305">
        <v>1</v>
      </c>
      <c r="UFM28" s="304">
        <f t="shared" ref="UFM28" si="2443">EDATE(UFI28,UFL28)</f>
        <v>45523</v>
      </c>
      <c r="UFN28" s="340">
        <v>0</v>
      </c>
      <c r="UFO28" s="320">
        <f t="shared" ref="UFO28" ca="1" si="2444">IF(UFP28&gt;=1,(UFN28/UFL28),0)</f>
        <v>0</v>
      </c>
      <c r="UFP28" s="292">
        <f t="shared" ref="UFP28" ca="1" si="2445">UFM28-$G$5</f>
        <v>-591</v>
      </c>
      <c r="UFQ28" s="259" t="s">
        <v>55</v>
      </c>
      <c r="UFR28" s="256" t="s">
        <v>76</v>
      </c>
      <c r="UFS28" s="256" t="s">
        <v>77</v>
      </c>
      <c r="UFT28" s="256" t="s">
        <v>78</v>
      </c>
      <c r="UFU28" s="256" t="s">
        <v>79</v>
      </c>
      <c r="UFV28" s="256" t="s">
        <v>80</v>
      </c>
      <c r="UFW28" s="256" t="s">
        <v>81</v>
      </c>
      <c r="UFX28" s="331"/>
      <c r="UFY28" s="290">
        <v>45492</v>
      </c>
      <c r="UFZ28" s="339" t="s">
        <v>141</v>
      </c>
      <c r="UGA28" s="305"/>
      <c r="UGB28" s="305">
        <v>1</v>
      </c>
      <c r="UGC28" s="304">
        <f t="shared" ref="UGC28" si="2446">EDATE(UFY28,UGB28)</f>
        <v>45523</v>
      </c>
      <c r="UGD28" s="340">
        <v>0</v>
      </c>
      <c r="UGE28" s="320">
        <f t="shared" ref="UGE28" ca="1" si="2447">IF(UGF28&gt;=1,(UGD28/UGB28),0)</f>
        <v>0</v>
      </c>
      <c r="UGF28" s="292">
        <f t="shared" ref="UGF28" ca="1" si="2448">UGC28-$G$5</f>
        <v>-591</v>
      </c>
      <c r="UGG28" s="259" t="s">
        <v>55</v>
      </c>
      <c r="UGH28" s="256" t="s">
        <v>76</v>
      </c>
      <c r="UGI28" s="256" t="s">
        <v>77</v>
      </c>
      <c r="UGJ28" s="256" t="s">
        <v>78</v>
      </c>
      <c r="UGK28" s="256" t="s">
        <v>79</v>
      </c>
      <c r="UGL28" s="256" t="s">
        <v>80</v>
      </c>
      <c r="UGM28" s="256" t="s">
        <v>81</v>
      </c>
      <c r="UGN28" s="331"/>
      <c r="UGO28" s="290">
        <v>45492</v>
      </c>
      <c r="UGP28" s="339" t="s">
        <v>141</v>
      </c>
      <c r="UGQ28" s="305"/>
      <c r="UGR28" s="305">
        <v>1</v>
      </c>
      <c r="UGS28" s="304">
        <f t="shared" ref="UGS28" si="2449">EDATE(UGO28,UGR28)</f>
        <v>45523</v>
      </c>
      <c r="UGT28" s="340">
        <v>0</v>
      </c>
      <c r="UGU28" s="320">
        <f t="shared" ref="UGU28" ca="1" si="2450">IF(UGV28&gt;=1,(UGT28/UGR28),0)</f>
        <v>0</v>
      </c>
      <c r="UGV28" s="292">
        <f t="shared" ref="UGV28" ca="1" si="2451">UGS28-$G$5</f>
        <v>-591</v>
      </c>
      <c r="UGW28" s="259" t="s">
        <v>55</v>
      </c>
      <c r="UGX28" s="256" t="s">
        <v>76</v>
      </c>
      <c r="UGY28" s="256" t="s">
        <v>77</v>
      </c>
      <c r="UGZ28" s="256" t="s">
        <v>78</v>
      </c>
      <c r="UHA28" s="256" t="s">
        <v>79</v>
      </c>
      <c r="UHB28" s="256" t="s">
        <v>80</v>
      </c>
      <c r="UHC28" s="256" t="s">
        <v>81</v>
      </c>
      <c r="UHD28" s="331"/>
      <c r="UHE28" s="290">
        <v>45492</v>
      </c>
      <c r="UHF28" s="339" t="s">
        <v>141</v>
      </c>
      <c r="UHG28" s="305"/>
      <c r="UHH28" s="305">
        <v>1</v>
      </c>
      <c r="UHI28" s="304">
        <f t="shared" ref="UHI28" si="2452">EDATE(UHE28,UHH28)</f>
        <v>45523</v>
      </c>
      <c r="UHJ28" s="340">
        <v>0</v>
      </c>
      <c r="UHK28" s="320">
        <f t="shared" ref="UHK28" ca="1" si="2453">IF(UHL28&gt;=1,(UHJ28/UHH28),0)</f>
        <v>0</v>
      </c>
      <c r="UHL28" s="292">
        <f t="shared" ref="UHL28" ca="1" si="2454">UHI28-$G$5</f>
        <v>-591</v>
      </c>
      <c r="UHM28" s="259" t="s">
        <v>55</v>
      </c>
      <c r="UHN28" s="256" t="s">
        <v>76</v>
      </c>
      <c r="UHO28" s="256" t="s">
        <v>77</v>
      </c>
      <c r="UHP28" s="256" t="s">
        <v>78</v>
      </c>
      <c r="UHQ28" s="256" t="s">
        <v>79</v>
      </c>
      <c r="UHR28" s="256" t="s">
        <v>80</v>
      </c>
      <c r="UHS28" s="256" t="s">
        <v>81</v>
      </c>
      <c r="UHT28" s="331"/>
      <c r="UHU28" s="290">
        <v>45492</v>
      </c>
      <c r="UHV28" s="339" t="s">
        <v>141</v>
      </c>
      <c r="UHW28" s="305"/>
      <c r="UHX28" s="305">
        <v>1</v>
      </c>
      <c r="UHY28" s="304">
        <f t="shared" ref="UHY28" si="2455">EDATE(UHU28,UHX28)</f>
        <v>45523</v>
      </c>
      <c r="UHZ28" s="340">
        <v>0</v>
      </c>
      <c r="UIA28" s="320">
        <f t="shared" ref="UIA28" ca="1" si="2456">IF(UIB28&gt;=1,(UHZ28/UHX28),0)</f>
        <v>0</v>
      </c>
      <c r="UIB28" s="292">
        <f t="shared" ref="UIB28" ca="1" si="2457">UHY28-$G$5</f>
        <v>-591</v>
      </c>
      <c r="UIC28" s="259" t="s">
        <v>55</v>
      </c>
      <c r="UID28" s="256" t="s">
        <v>76</v>
      </c>
      <c r="UIE28" s="256" t="s">
        <v>77</v>
      </c>
      <c r="UIF28" s="256" t="s">
        <v>78</v>
      </c>
      <c r="UIG28" s="256" t="s">
        <v>79</v>
      </c>
      <c r="UIH28" s="256" t="s">
        <v>80</v>
      </c>
      <c r="UII28" s="256" t="s">
        <v>81</v>
      </c>
      <c r="UIJ28" s="331"/>
      <c r="UIK28" s="290">
        <v>45492</v>
      </c>
      <c r="UIL28" s="339" t="s">
        <v>141</v>
      </c>
      <c r="UIM28" s="305"/>
      <c r="UIN28" s="305">
        <v>1</v>
      </c>
      <c r="UIO28" s="304">
        <f t="shared" ref="UIO28" si="2458">EDATE(UIK28,UIN28)</f>
        <v>45523</v>
      </c>
      <c r="UIP28" s="340">
        <v>0</v>
      </c>
      <c r="UIQ28" s="320">
        <f t="shared" ref="UIQ28" ca="1" si="2459">IF(UIR28&gt;=1,(UIP28/UIN28),0)</f>
        <v>0</v>
      </c>
      <c r="UIR28" s="292">
        <f t="shared" ref="UIR28" ca="1" si="2460">UIO28-$G$5</f>
        <v>-591</v>
      </c>
      <c r="UIS28" s="259" t="s">
        <v>55</v>
      </c>
      <c r="UIT28" s="256" t="s">
        <v>76</v>
      </c>
      <c r="UIU28" s="256" t="s">
        <v>77</v>
      </c>
      <c r="UIV28" s="256" t="s">
        <v>78</v>
      </c>
      <c r="UIW28" s="256" t="s">
        <v>79</v>
      </c>
      <c r="UIX28" s="256" t="s">
        <v>80</v>
      </c>
      <c r="UIY28" s="256" t="s">
        <v>81</v>
      </c>
      <c r="UIZ28" s="331"/>
      <c r="UJA28" s="290">
        <v>45492</v>
      </c>
      <c r="UJB28" s="339" t="s">
        <v>141</v>
      </c>
      <c r="UJC28" s="305"/>
      <c r="UJD28" s="305">
        <v>1</v>
      </c>
      <c r="UJE28" s="304">
        <f t="shared" ref="UJE28" si="2461">EDATE(UJA28,UJD28)</f>
        <v>45523</v>
      </c>
      <c r="UJF28" s="340">
        <v>0</v>
      </c>
      <c r="UJG28" s="320">
        <f t="shared" ref="UJG28" ca="1" si="2462">IF(UJH28&gt;=1,(UJF28/UJD28),0)</f>
        <v>0</v>
      </c>
      <c r="UJH28" s="292">
        <f t="shared" ref="UJH28" ca="1" si="2463">UJE28-$G$5</f>
        <v>-591</v>
      </c>
      <c r="UJI28" s="259" t="s">
        <v>55</v>
      </c>
      <c r="UJJ28" s="256" t="s">
        <v>76</v>
      </c>
      <c r="UJK28" s="256" t="s">
        <v>77</v>
      </c>
      <c r="UJL28" s="256" t="s">
        <v>78</v>
      </c>
      <c r="UJM28" s="256" t="s">
        <v>79</v>
      </c>
      <c r="UJN28" s="256" t="s">
        <v>80</v>
      </c>
      <c r="UJO28" s="256" t="s">
        <v>81</v>
      </c>
      <c r="UJP28" s="331"/>
      <c r="UJQ28" s="290">
        <v>45492</v>
      </c>
      <c r="UJR28" s="339" t="s">
        <v>141</v>
      </c>
      <c r="UJS28" s="305"/>
      <c r="UJT28" s="305">
        <v>1</v>
      </c>
      <c r="UJU28" s="304">
        <f t="shared" ref="UJU28" si="2464">EDATE(UJQ28,UJT28)</f>
        <v>45523</v>
      </c>
      <c r="UJV28" s="340">
        <v>0</v>
      </c>
      <c r="UJW28" s="320">
        <f t="shared" ref="UJW28" ca="1" si="2465">IF(UJX28&gt;=1,(UJV28/UJT28),0)</f>
        <v>0</v>
      </c>
      <c r="UJX28" s="292">
        <f t="shared" ref="UJX28" ca="1" si="2466">UJU28-$G$5</f>
        <v>-591</v>
      </c>
      <c r="UJY28" s="259" t="s">
        <v>55</v>
      </c>
      <c r="UJZ28" s="256" t="s">
        <v>76</v>
      </c>
      <c r="UKA28" s="256" t="s">
        <v>77</v>
      </c>
      <c r="UKB28" s="256" t="s">
        <v>78</v>
      </c>
      <c r="UKC28" s="256" t="s">
        <v>79</v>
      </c>
      <c r="UKD28" s="256" t="s">
        <v>80</v>
      </c>
      <c r="UKE28" s="256" t="s">
        <v>81</v>
      </c>
      <c r="UKF28" s="331"/>
      <c r="UKG28" s="290">
        <v>45492</v>
      </c>
      <c r="UKH28" s="339" t="s">
        <v>141</v>
      </c>
      <c r="UKI28" s="305"/>
      <c r="UKJ28" s="305">
        <v>1</v>
      </c>
      <c r="UKK28" s="304">
        <f t="shared" ref="UKK28" si="2467">EDATE(UKG28,UKJ28)</f>
        <v>45523</v>
      </c>
      <c r="UKL28" s="340">
        <v>0</v>
      </c>
      <c r="UKM28" s="320">
        <f t="shared" ref="UKM28" ca="1" si="2468">IF(UKN28&gt;=1,(UKL28/UKJ28),0)</f>
        <v>0</v>
      </c>
      <c r="UKN28" s="292">
        <f t="shared" ref="UKN28" ca="1" si="2469">UKK28-$G$5</f>
        <v>-591</v>
      </c>
      <c r="UKO28" s="259" t="s">
        <v>55</v>
      </c>
      <c r="UKP28" s="256" t="s">
        <v>76</v>
      </c>
      <c r="UKQ28" s="256" t="s">
        <v>77</v>
      </c>
      <c r="UKR28" s="256" t="s">
        <v>78</v>
      </c>
      <c r="UKS28" s="256" t="s">
        <v>79</v>
      </c>
      <c r="UKT28" s="256" t="s">
        <v>80</v>
      </c>
      <c r="UKU28" s="256" t="s">
        <v>81</v>
      </c>
      <c r="UKV28" s="331"/>
      <c r="UKW28" s="290">
        <v>45492</v>
      </c>
      <c r="UKX28" s="339" t="s">
        <v>141</v>
      </c>
      <c r="UKY28" s="305"/>
      <c r="UKZ28" s="305">
        <v>1</v>
      </c>
      <c r="ULA28" s="304">
        <f t="shared" ref="ULA28" si="2470">EDATE(UKW28,UKZ28)</f>
        <v>45523</v>
      </c>
      <c r="ULB28" s="340">
        <v>0</v>
      </c>
      <c r="ULC28" s="320">
        <f t="shared" ref="ULC28" ca="1" si="2471">IF(ULD28&gt;=1,(ULB28/UKZ28),0)</f>
        <v>0</v>
      </c>
      <c r="ULD28" s="292">
        <f t="shared" ref="ULD28" ca="1" si="2472">ULA28-$G$5</f>
        <v>-591</v>
      </c>
      <c r="ULE28" s="259" t="s">
        <v>55</v>
      </c>
      <c r="ULF28" s="256" t="s">
        <v>76</v>
      </c>
      <c r="ULG28" s="256" t="s">
        <v>77</v>
      </c>
      <c r="ULH28" s="256" t="s">
        <v>78</v>
      </c>
      <c r="ULI28" s="256" t="s">
        <v>79</v>
      </c>
      <c r="ULJ28" s="256" t="s">
        <v>80</v>
      </c>
      <c r="ULK28" s="256" t="s">
        <v>81</v>
      </c>
      <c r="ULL28" s="331"/>
      <c r="ULM28" s="290">
        <v>45492</v>
      </c>
      <c r="ULN28" s="339" t="s">
        <v>141</v>
      </c>
      <c r="ULO28" s="305"/>
      <c r="ULP28" s="305">
        <v>1</v>
      </c>
      <c r="ULQ28" s="304">
        <f t="shared" ref="ULQ28" si="2473">EDATE(ULM28,ULP28)</f>
        <v>45523</v>
      </c>
      <c r="ULR28" s="340">
        <v>0</v>
      </c>
      <c r="ULS28" s="320">
        <f t="shared" ref="ULS28" ca="1" si="2474">IF(ULT28&gt;=1,(ULR28/ULP28),0)</f>
        <v>0</v>
      </c>
      <c r="ULT28" s="292">
        <f t="shared" ref="ULT28" ca="1" si="2475">ULQ28-$G$5</f>
        <v>-591</v>
      </c>
      <c r="ULU28" s="259" t="s">
        <v>55</v>
      </c>
      <c r="ULV28" s="256" t="s">
        <v>76</v>
      </c>
      <c r="ULW28" s="256" t="s">
        <v>77</v>
      </c>
      <c r="ULX28" s="256" t="s">
        <v>78</v>
      </c>
      <c r="ULY28" s="256" t="s">
        <v>79</v>
      </c>
      <c r="ULZ28" s="256" t="s">
        <v>80</v>
      </c>
      <c r="UMA28" s="256" t="s">
        <v>81</v>
      </c>
      <c r="UMB28" s="331"/>
      <c r="UMC28" s="290">
        <v>45492</v>
      </c>
      <c r="UMD28" s="339" t="s">
        <v>141</v>
      </c>
      <c r="UME28" s="305"/>
      <c r="UMF28" s="305">
        <v>1</v>
      </c>
      <c r="UMG28" s="304">
        <f t="shared" ref="UMG28" si="2476">EDATE(UMC28,UMF28)</f>
        <v>45523</v>
      </c>
      <c r="UMH28" s="340">
        <v>0</v>
      </c>
      <c r="UMI28" s="320">
        <f t="shared" ref="UMI28" ca="1" si="2477">IF(UMJ28&gt;=1,(UMH28/UMF28),0)</f>
        <v>0</v>
      </c>
      <c r="UMJ28" s="292">
        <f t="shared" ref="UMJ28" ca="1" si="2478">UMG28-$G$5</f>
        <v>-591</v>
      </c>
      <c r="UMK28" s="259" t="s">
        <v>55</v>
      </c>
      <c r="UML28" s="256" t="s">
        <v>76</v>
      </c>
      <c r="UMM28" s="256" t="s">
        <v>77</v>
      </c>
      <c r="UMN28" s="256" t="s">
        <v>78</v>
      </c>
      <c r="UMO28" s="256" t="s">
        <v>79</v>
      </c>
      <c r="UMP28" s="256" t="s">
        <v>80</v>
      </c>
      <c r="UMQ28" s="256" t="s">
        <v>81</v>
      </c>
      <c r="UMR28" s="331"/>
      <c r="UMS28" s="290">
        <v>45492</v>
      </c>
      <c r="UMT28" s="339" t="s">
        <v>141</v>
      </c>
      <c r="UMU28" s="305"/>
      <c r="UMV28" s="305">
        <v>1</v>
      </c>
      <c r="UMW28" s="304">
        <f t="shared" ref="UMW28" si="2479">EDATE(UMS28,UMV28)</f>
        <v>45523</v>
      </c>
      <c r="UMX28" s="340">
        <v>0</v>
      </c>
      <c r="UMY28" s="320">
        <f t="shared" ref="UMY28" ca="1" si="2480">IF(UMZ28&gt;=1,(UMX28/UMV28),0)</f>
        <v>0</v>
      </c>
      <c r="UMZ28" s="292">
        <f t="shared" ref="UMZ28" ca="1" si="2481">UMW28-$G$5</f>
        <v>-591</v>
      </c>
      <c r="UNA28" s="259" t="s">
        <v>55</v>
      </c>
      <c r="UNB28" s="256" t="s">
        <v>76</v>
      </c>
      <c r="UNC28" s="256" t="s">
        <v>77</v>
      </c>
      <c r="UND28" s="256" t="s">
        <v>78</v>
      </c>
      <c r="UNE28" s="256" t="s">
        <v>79</v>
      </c>
      <c r="UNF28" s="256" t="s">
        <v>80</v>
      </c>
      <c r="UNG28" s="256" t="s">
        <v>81</v>
      </c>
      <c r="UNH28" s="331"/>
      <c r="UNI28" s="290">
        <v>45492</v>
      </c>
      <c r="UNJ28" s="339" t="s">
        <v>141</v>
      </c>
      <c r="UNK28" s="305"/>
      <c r="UNL28" s="305">
        <v>1</v>
      </c>
      <c r="UNM28" s="304">
        <f t="shared" ref="UNM28" si="2482">EDATE(UNI28,UNL28)</f>
        <v>45523</v>
      </c>
      <c r="UNN28" s="340">
        <v>0</v>
      </c>
      <c r="UNO28" s="320">
        <f t="shared" ref="UNO28" ca="1" si="2483">IF(UNP28&gt;=1,(UNN28/UNL28),0)</f>
        <v>0</v>
      </c>
      <c r="UNP28" s="292">
        <f t="shared" ref="UNP28" ca="1" si="2484">UNM28-$G$5</f>
        <v>-591</v>
      </c>
      <c r="UNQ28" s="259" t="s">
        <v>55</v>
      </c>
      <c r="UNR28" s="256" t="s">
        <v>76</v>
      </c>
      <c r="UNS28" s="256" t="s">
        <v>77</v>
      </c>
      <c r="UNT28" s="256" t="s">
        <v>78</v>
      </c>
      <c r="UNU28" s="256" t="s">
        <v>79</v>
      </c>
      <c r="UNV28" s="256" t="s">
        <v>80</v>
      </c>
      <c r="UNW28" s="256" t="s">
        <v>81</v>
      </c>
      <c r="UNX28" s="331"/>
      <c r="UNY28" s="290">
        <v>45492</v>
      </c>
      <c r="UNZ28" s="339" t="s">
        <v>141</v>
      </c>
      <c r="UOA28" s="305"/>
      <c r="UOB28" s="305">
        <v>1</v>
      </c>
      <c r="UOC28" s="304">
        <f t="shared" ref="UOC28" si="2485">EDATE(UNY28,UOB28)</f>
        <v>45523</v>
      </c>
      <c r="UOD28" s="340">
        <v>0</v>
      </c>
      <c r="UOE28" s="320">
        <f t="shared" ref="UOE28" ca="1" si="2486">IF(UOF28&gt;=1,(UOD28/UOB28),0)</f>
        <v>0</v>
      </c>
      <c r="UOF28" s="292">
        <f t="shared" ref="UOF28" ca="1" si="2487">UOC28-$G$5</f>
        <v>-591</v>
      </c>
      <c r="UOG28" s="259" t="s">
        <v>55</v>
      </c>
      <c r="UOH28" s="256" t="s">
        <v>76</v>
      </c>
      <c r="UOI28" s="256" t="s">
        <v>77</v>
      </c>
      <c r="UOJ28" s="256" t="s">
        <v>78</v>
      </c>
      <c r="UOK28" s="256" t="s">
        <v>79</v>
      </c>
      <c r="UOL28" s="256" t="s">
        <v>80</v>
      </c>
      <c r="UOM28" s="256" t="s">
        <v>81</v>
      </c>
      <c r="UON28" s="331"/>
      <c r="UOO28" s="290">
        <v>45492</v>
      </c>
      <c r="UOP28" s="339" t="s">
        <v>141</v>
      </c>
      <c r="UOQ28" s="305"/>
      <c r="UOR28" s="305">
        <v>1</v>
      </c>
      <c r="UOS28" s="304">
        <f t="shared" ref="UOS28" si="2488">EDATE(UOO28,UOR28)</f>
        <v>45523</v>
      </c>
      <c r="UOT28" s="340">
        <v>0</v>
      </c>
      <c r="UOU28" s="320">
        <f t="shared" ref="UOU28" ca="1" si="2489">IF(UOV28&gt;=1,(UOT28/UOR28),0)</f>
        <v>0</v>
      </c>
      <c r="UOV28" s="292">
        <f t="shared" ref="UOV28" ca="1" si="2490">UOS28-$G$5</f>
        <v>-591</v>
      </c>
      <c r="UOW28" s="259" t="s">
        <v>55</v>
      </c>
      <c r="UOX28" s="256" t="s">
        <v>76</v>
      </c>
      <c r="UOY28" s="256" t="s">
        <v>77</v>
      </c>
      <c r="UOZ28" s="256" t="s">
        <v>78</v>
      </c>
      <c r="UPA28" s="256" t="s">
        <v>79</v>
      </c>
      <c r="UPB28" s="256" t="s">
        <v>80</v>
      </c>
      <c r="UPC28" s="256" t="s">
        <v>81</v>
      </c>
      <c r="UPD28" s="331"/>
      <c r="UPE28" s="290">
        <v>45492</v>
      </c>
      <c r="UPF28" s="339" t="s">
        <v>141</v>
      </c>
      <c r="UPG28" s="305"/>
      <c r="UPH28" s="305">
        <v>1</v>
      </c>
      <c r="UPI28" s="304">
        <f t="shared" ref="UPI28" si="2491">EDATE(UPE28,UPH28)</f>
        <v>45523</v>
      </c>
      <c r="UPJ28" s="340">
        <v>0</v>
      </c>
      <c r="UPK28" s="320">
        <f t="shared" ref="UPK28" ca="1" si="2492">IF(UPL28&gt;=1,(UPJ28/UPH28),0)</f>
        <v>0</v>
      </c>
      <c r="UPL28" s="292">
        <f t="shared" ref="UPL28" ca="1" si="2493">UPI28-$G$5</f>
        <v>-591</v>
      </c>
      <c r="UPM28" s="259" t="s">
        <v>55</v>
      </c>
      <c r="UPN28" s="256" t="s">
        <v>76</v>
      </c>
      <c r="UPO28" s="256" t="s">
        <v>77</v>
      </c>
      <c r="UPP28" s="256" t="s">
        <v>78</v>
      </c>
      <c r="UPQ28" s="256" t="s">
        <v>79</v>
      </c>
      <c r="UPR28" s="256" t="s">
        <v>80</v>
      </c>
      <c r="UPS28" s="256" t="s">
        <v>81</v>
      </c>
      <c r="UPT28" s="331"/>
      <c r="UPU28" s="290">
        <v>45492</v>
      </c>
      <c r="UPV28" s="339" t="s">
        <v>141</v>
      </c>
      <c r="UPW28" s="305"/>
      <c r="UPX28" s="305">
        <v>1</v>
      </c>
      <c r="UPY28" s="304">
        <f t="shared" ref="UPY28" si="2494">EDATE(UPU28,UPX28)</f>
        <v>45523</v>
      </c>
      <c r="UPZ28" s="340">
        <v>0</v>
      </c>
      <c r="UQA28" s="320">
        <f t="shared" ref="UQA28" ca="1" si="2495">IF(UQB28&gt;=1,(UPZ28/UPX28),0)</f>
        <v>0</v>
      </c>
      <c r="UQB28" s="292">
        <f t="shared" ref="UQB28" ca="1" si="2496">UPY28-$G$5</f>
        <v>-591</v>
      </c>
      <c r="UQC28" s="259" t="s">
        <v>55</v>
      </c>
      <c r="UQD28" s="256" t="s">
        <v>76</v>
      </c>
      <c r="UQE28" s="256" t="s">
        <v>77</v>
      </c>
      <c r="UQF28" s="256" t="s">
        <v>78</v>
      </c>
      <c r="UQG28" s="256" t="s">
        <v>79</v>
      </c>
      <c r="UQH28" s="256" t="s">
        <v>80</v>
      </c>
      <c r="UQI28" s="256" t="s">
        <v>81</v>
      </c>
      <c r="UQJ28" s="331"/>
      <c r="UQK28" s="290">
        <v>45492</v>
      </c>
      <c r="UQL28" s="339" t="s">
        <v>141</v>
      </c>
      <c r="UQM28" s="305"/>
      <c r="UQN28" s="305">
        <v>1</v>
      </c>
      <c r="UQO28" s="304">
        <f t="shared" ref="UQO28" si="2497">EDATE(UQK28,UQN28)</f>
        <v>45523</v>
      </c>
      <c r="UQP28" s="340">
        <v>0</v>
      </c>
      <c r="UQQ28" s="320">
        <f t="shared" ref="UQQ28" ca="1" si="2498">IF(UQR28&gt;=1,(UQP28/UQN28),0)</f>
        <v>0</v>
      </c>
      <c r="UQR28" s="292">
        <f t="shared" ref="UQR28" ca="1" si="2499">UQO28-$G$5</f>
        <v>-591</v>
      </c>
      <c r="UQS28" s="259" t="s">
        <v>55</v>
      </c>
      <c r="UQT28" s="256" t="s">
        <v>76</v>
      </c>
      <c r="UQU28" s="256" t="s">
        <v>77</v>
      </c>
      <c r="UQV28" s="256" t="s">
        <v>78</v>
      </c>
      <c r="UQW28" s="256" t="s">
        <v>79</v>
      </c>
      <c r="UQX28" s="256" t="s">
        <v>80</v>
      </c>
      <c r="UQY28" s="256" t="s">
        <v>81</v>
      </c>
      <c r="UQZ28" s="331"/>
      <c r="URA28" s="290">
        <v>45492</v>
      </c>
      <c r="URB28" s="339" t="s">
        <v>141</v>
      </c>
      <c r="URC28" s="305"/>
      <c r="URD28" s="305">
        <v>1</v>
      </c>
      <c r="URE28" s="304">
        <f t="shared" ref="URE28" si="2500">EDATE(URA28,URD28)</f>
        <v>45523</v>
      </c>
      <c r="URF28" s="340">
        <v>0</v>
      </c>
      <c r="URG28" s="320">
        <f t="shared" ref="URG28" ca="1" si="2501">IF(URH28&gt;=1,(URF28/URD28),0)</f>
        <v>0</v>
      </c>
      <c r="URH28" s="292">
        <f t="shared" ref="URH28" ca="1" si="2502">URE28-$G$5</f>
        <v>-591</v>
      </c>
      <c r="URI28" s="259" t="s">
        <v>55</v>
      </c>
      <c r="URJ28" s="256" t="s">
        <v>76</v>
      </c>
      <c r="URK28" s="256" t="s">
        <v>77</v>
      </c>
      <c r="URL28" s="256" t="s">
        <v>78</v>
      </c>
      <c r="URM28" s="256" t="s">
        <v>79</v>
      </c>
      <c r="URN28" s="256" t="s">
        <v>80</v>
      </c>
      <c r="URO28" s="256" t="s">
        <v>81</v>
      </c>
      <c r="URP28" s="331"/>
      <c r="URQ28" s="290">
        <v>45492</v>
      </c>
      <c r="URR28" s="339" t="s">
        <v>141</v>
      </c>
      <c r="URS28" s="305"/>
      <c r="URT28" s="305">
        <v>1</v>
      </c>
      <c r="URU28" s="304">
        <f t="shared" ref="URU28" si="2503">EDATE(URQ28,URT28)</f>
        <v>45523</v>
      </c>
      <c r="URV28" s="340">
        <v>0</v>
      </c>
      <c r="URW28" s="320">
        <f t="shared" ref="URW28" ca="1" si="2504">IF(URX28&gt;=1,(URV28/URT28),0)</f>
        <v>0</v>
      </c>
      <c r="URX28" s="292">
        <f t="shared" ref="URX28" ca="1" si="2505">URU28-$G$5</f>
        <v>-591</v>
      </c>
      <c r="URY28" s="259" t="s">
        <v>55</v>
      </c>
      <c r="URZ28" s="256" t="s">
        <v>76</v>
      </c>
      <c r="USA28" s="256" t="s">
        <v>77</v>
      </c>
      <c r="USB28" s="256" t="s">
        <v>78</v>
      </c>
      <c r="USC28" s="256" t="s">
        <v>79</v>
      </c>
      <c r="USD28" s="256" t="s">
        <v>80</v>
      </c>
      <c r="USE28" s="256" t="s">
        <v>81</v>
      </c>
      <c r="USF28" s="331"/>
      <c r="USG28" s="290">
        <v>45492</v>
      </c>
      <c r="USH28" s="339" t="s">
        <v>141</v>
      </c>
      <c r="USI28" s="305"/>
      <c r="USJ28" s="305">
        <v>1</v>
      </c>
      <c r="USK28" s="304">
        <f t="shared" ref="USK28" si="2506">EDATE(USG28,USJ28)</f>
        <v>45523</v>
      </c>
      <c r="USL28" s="340">
        <v>0</v>
      </c>
      <c r="USM28" s="320">
        <f t="shared" ref="USM28" ca="1" si="2507">IF(USN28&gt;=1,(USL28/USJ28),0)</f>
        <v>0</v>
      </c>
      <c r="USN28" s="292">
        <f t="shared" ref="USN28" ca="1" si="2508">USK28-$G$5</f>
        <v>-591</v>
      </c>
      <c r="USO28" s="259" t="s">
        <v>55</v>
      </c>
      <c r="USP28" s="256" t="s">
        <v>76</v>
      </c>
      <c r="USQ28" s="256" t="s">
        <v>77</v>
      </c>
      <c r="USR28" s="256" t="s">
        <v>78</v>
      </c>
      <c r="USS28" s="256" t="s">
        <v>79</v>
      </c>
      <c r="UST28" s="256" t="s">
        <v>80</v>
      </c>
      <c r="USU28" s="256" t="s">
        <v>81</v>
      </c>
      <c r="USV28" s="331"/>
      <c r="USW28" s="290">
        <v>45492</v>
      </c>
      <c r="USX28" s="339" t="s">
        <v>141</v>
      </c>
      <c r="USY28" s="305"/>
      <c r="USZ28" s="305">
        <v>1</v>
      </c>
      <c r="UTA28" s="304">
        <f t="shared" ref="UTA28" si="2509">EDATE(USW28,USZ28)</f>
        <v>45523</v>
      </c>
      <c r="UTB28" s="340">
        <v>0</v>
      </c>
      <c r="UTC28" s="320">
        <f t="shared" ref="UTC28" ca="1" si="2510">IF(UTD28&gt;=1,(UTB28/USZ28),0)</f>
        <v>0</v>
      </c>
      <c r="UTD28" s="292">
        <f t="shared" ref="UTD28" ca="1" si="2511">UTA28-$G$5</f>
        <v>-591</v>
      </c>
      <c r="UTE28" s="259" t="s">
        <v>55</v>
      </c>
      <c r="UTF28" s="256" t="s">
        <v>76</v>
      </c>
      <c r="UTG28" s="256" t="s">
        <v>77</v>
      </c>
      <c r="UTH28" s="256" t="s">
        <v>78</v>
      </c>
      <c r="UTI28" s="256" t="s">
        <v>79</v>
      </c>
      <c r="UTJ28" s="256" t="s">
        <v>80</v>
      </c>
      <c r="UTK28" s="256" t="s">
        <v>81</v>
      </c>
      <c r="UTL28" s="331"/>
      <c r="UTM28" s="290">
        <v>45492</v>
      </c>
      <c r="UTN28" s="339" t="s">
        <v>141</v>
      </c>
      <c r="UTO28" s="305"/>
      <c r="UTP28" s="305">
        <v>1</v>
      </c>
      <c r="UTQ28" s="304">
        <f t="shared" ref="UTQ28" si="2512">EDATE(UTM28,UTP28)</f>
        <v>45523</v>
      </c>
      <c r="UTR28" s="340">
        <v>0</v>
      </c>
      <c r="UTS28" s="320">
        <f t="shared" ref="UTS28" ca="1" si="2513">IF(UTT28&gt;=1,(UTR28/UTP28),0)</f>
        <v>0</v>
      </c>
      <c r="UTT28" s="292">
        <f t="shared" ref="UTT28" ca="1" si="2514">UTQ28-$G$5</f>
        <v>-591</v>
      </c>
      <c r="UTU28" s="259" t="s">
        <v>55</v>
      </c>
      <c r="UTV28" s="256" t="s">
        <v>76</v>
      </c>
      <c r="UTW28" s="256" t="s">
        <v>77</v>
      </c>
      <c r="UTX28" s="256" t="s">
        <v>78</v>
      </c>
      <c r="UTY28" s="256" t="s">
        <v>79</v>
      </c>
      <c r="UTZ28" s="256" t="s">
        <v>80</v>
      </c>
      <c r="UUA28" s="256" t="s">
        <v>81</v>
      </c>
      <c r="UUB28" s="331"/>
      <c r="UUC28" s="290">
        <v>45492</v>
      </c>
      <c r="UUD28" s="339" t="s">
        <v>141</v>
      </c>
      <c r="UUE28" s="305"/>
      <c r="UUF28" s="305">
        <v>1</v>
      </c>
      <c r="UUG28" s="304">
        <f t="shared" ref="UUG28" si="2515">EDATE(UUC28,UUF28)</f>
        <v>45523</v>
      </c>
      <c r="UUH28" s="340">
        <v>0</v>
      </c>
      <c r="UUI28" s="320">
        <f t="shared" ref="UUI28" ca="1" si="2516">IF(UUJ28&gt;=1,(UUH28/UUF28),0)</f>
        <v>0</v>
      </c>
      <c r="UUJ28" s="292">
        <f t="shared" ref="UUJ28" ca="1" si="2517">UUG28-$G$5</f>
        <v>-591</v>
      </c>
      <c r="UUK28" s="259" t="s">
        <v>55</v>
      </c>
      <c r="UUL28" s="256" t="s">
        <v>76</v>
      </c>
      <c r="UUM28" s="256" t="s">
        <v>77</v>
      </c>
      <c r="UUN28" s="256" t="s">
        <v>78</v>
      </c>
      <c r="UUO28" s="256" t="s">
        <v>79</v>
      </c>
      <c r="UUP28" s="256" t="s">
        <v>80</v>
      </c>
      <c r="UUQ28" s="256" t="s">
        <v>81</v>
      </c>
      <c r="UUR28" s="331"/>
      <c r="UUS28" s="290">
        <v>45492</v>
      </c>
      <c r="UUT28" s="339" t="s">
        <v>141</v>
      </c>
      <c r="UUU28" s="305"/>
      <c r="UUV28" s="305">
        <v>1</v>
      </c>
      <c r="UUW28" s="304">
        <f t="shared" ref="UUW28" si="2518">EDATE(UUS28,UUV28)</f>
        <v>45523</v>
      </c>
      <c r="UUX28" s="340">
        <v>0</v>
      </c>
      <c r="UUY28" s="320">
        <f t="shared" ref="UUY28" ca="1" si="2519">IF(UUZ28&gt;=1,(UUX28/UUV28),0)</f>
        <v>0</v>
      </c>
      <c r="UUZ28" s="292">
        <f t="shared" ref="UUZ28" ca="1" si="2520">UUW28-$G$5</f>
        <v>-591</v>
      </c>
      <c r="UVA28" s="259" t="s">
        <v>55</v>
      </c>
      <c r="UVB28" s="256" t="s">
        <v>76</v>
      </c>
      <c r="UVC28" s="256" t="s">
        <v>77</v>
      </c>
      <c r="UVD28" s="256" t="s">
        <v>78</v>
      </c>
      <c r="UVE28" s="256" t="s">
        <v>79</v>
      </c>
      <c r="UVF28" s="256" t="s">
        <v>80</v>
      </c>
      <c r="UVG28" s="256" t="s">
        <v>81</v>
      </c>
      <c r="UVH28" s="331"/>
      <c r="UVI28" s="290">
        <v>45492</v>
      </c>
      <c r="UVJ28" s="339" t="s">
        <v>141</v>
      </c>
      <c r="UVK28" s="305"/>
      <c r="UVL28" s="305">
        <v>1</v>
      </c>
      <c r="UVM28" s="304">
        <f t="shared" ref="UVM28" si="2521">EDATE(UVI28,UVL28)</f>
        <v>45523</v>
      </c>
      <c r="UVN28" s="340">
        <v>0</v>
      </c>
      <c r="UVO28" s="320">
        <f t="shared" ref="UVO28" ca="1" si="2522">IF(UVP28&gt;=1,(UVN28/UVL28),0)</f>
        <v>0</v>
      </c>
      <c r="UVP28" s="292">
        <f t="shared" ref="UVP28" ca="1" si="2523">UVM28-$G$5</f>
        <v>-591</v>
      </c>
      <c r="UVQ28" s="259" t="s">
        <v>55</v>
      </c>
      <c r="UVR28" s="256" t="s">
        <v>76</v>
      </c>
      <c r="UVS28" s="256" t="s">
        <v>77</v>
      </c>
      <c r="UVT28" s="256" t="s">
        <v>78</v>
      </c>
      <c r="UVU28" s="256" t="s">
        <v>79</v>
      </c>
      <c r="UVV28" s="256" t="s">
        <v>80</v>
      </c>
      <c r="UVW28" s="256" t="s">
        <v>81</v>
      </c>
      <c r="UVX28" s="331"/>
      <c r="UVY28" s="290">
        <v>45492</v>
      </c>
      <c r="UVZ28" s="339" t="s">
        <v>141</v>
      </c>
      <c r="UWA28" s="305"/>
      <c r="UWB28" s="305">
        <v>1</v>
      </c>
      <c r="UWC28" s="304">
        <f t="shared" ref="UWC28" si="2524">EDATE(UVY28,UWB28)</f>
        <v>45523</v>
      </c>
      <c r="UWD28" s="340">
        <v>0</v>
      </c>
      <c r="UWE28" s="320">
        <f t="shared" ref="UWE28" ca="1" si="2525">IF(UWF28&gt;=1,(UWD28/UWB28),0)</f>
        <v>0</v>
      </c>
      <c r="UWF28" s="292">
        <f t="shared" ref="UWF28" ca="1" si="2526">UWC28-$G$5</f>
        <v>-591</v>
      </c>
      <c r="UWG28" s="259" t="s">
        <v>55</v>
      </c>
      <c r="UWH28" s="256" t="s">
        <v>76</v>
      </c>
      <c r="UWI28" s="256" t="s">
        <v>77</v>
      </c>
      <c r="UWJ28" s="256" t="s">
        <v>78</v>
      </c>
      <c r="UWK28" s="256" t="s">
        <v>79</v>
      </c>
      <c r="UWL28" s="256" t="s">
        <v>80</v>
      </c>
      <c r="UWM28" s="256" t="s">
        <v>81</v>
      </c>
      <c r="UWN28" s="331"/>
      <c r="UWO28" s="290">
        <v>45492</v>
      </c>
      <c r="UWP28" s="339" t="s">
        <v>141</v>
      </c>
      <c r="UWQ28" s="305"/>
      <c r="UWR28" s="305">
        <v>1</v>
      </c>
      <c r="UWS28" s="304">
        <f t="shared" ref="UWS28" si="2527">EDATE(UWO28,UWR28)</f>
        <v>45523</v>
      </c>
      <c r="UWT28" s="340">
        <v>0</v>
      </c>
      <c r="UWU28" s="320">
        <f t="shared" ref="UWU28" ca="1" si="2528">IF(UWV28&gt;=1,(UWT28/UWR28),0)</f>
        <v>0</v>
      </c>
      <c r="UWV28" s="292">
        <f t="shared" ref="UWV28" ca="1" si="2529">UWS28-$G$5</f>
        <v>-591</v>
      </c>
      <c r="UWW28" s="259" t="s">
        <v>55</v>
      </c>
      <c r="UWX28" s="256" t="s">
        <v>76</v>
      </c>
      <c r="UWY28" s="256" t="s">
        <v>77</v>
      </c>
      <c r="UWZ28" s="256" t="s">
        <v>78</v>
      </c>
      <c r="UXA28" s="256" t="s">
        <v>79</v>
      </c>
      <c r="UXB28" s="256" t="s">
        <v>80</v>
      </c>
      <c r="UXC28" s="256" t="s">
        <v>81</v>
      </c>
      <c r="UXD28" s="331"/>
      <c r="UXE28" s="290">
        <v>45492</v>
      </c>
      <c r="UXF28" s="339" t="s">
        <v>141</v>
      </c>
      <c r="UXG28" s="305"/>
      <c r="UXH28" s="305">
        <v>1</v>
      </c>
      <c r="UXI28" s="304">
        <f t="shared" ref="UXI28" si="2530">EDATE(UXE28,UXH28)</f>
        <v>45523</v>
      </c>
      <c r="UXJ28" s="340">
        <v>0</v>
      </c>
      <c r="UXK28" s="320">
        <f t="shared" ref="UXK28" ca="1" si="2531">IF(UXL28&gt;=1,(UXJ28/UXH28),0)</f>
        <v>0</v>
      </c>
      <c r="UXL28" s="292">
        <f t="shared" ref="UXL28" ca="1" si="2532">UXI28-$G$5</f>
        <v>-591</v>
      </c>
      <c r="UXM28" s="259" t="s">
        <v>55</v>
      </c>
      <c r="UXN28" s="256" t="s">
        <v>76</v>
      </c>
      <c r="UXO28" s="256" t="s">
        <v>77</v>
      </c>
      <c r="UXP28" s="256" t="s">
        <v>78</v>
      </c>
      <c r="UXQ28" s="256" t="s">
        <v>79</v>
      </c>
      <c r="UXR28" s="256" t="s">
        <v>80</v>
      </c>
      <c r="UXS28" s="256" t="s">
        <v>81</v>
      </c>
      <c r="UXT28" s="331"/>
      <c r="UXU28" s="290">
        <v>45492</v>
      </c>
      <c r="UXV28" s="339" t="s">
        <v>141</v>
      </c>
      <c r="UXW28" s="305"/>
      <c r="UXX28" s="305">
        <v>1</v>
      </c>
      <c r="UXY28" s="304">
        <f t="shared" ref="UXY28" si="2533">EDATE(UXU28,UXX28)</f>
        <v>45523</v>
      </c>
      <c r="UXZ28" s="340">
        <v>0</v>
      </c>
      <c r="UYA28" s="320">
        <f t="shared" ref="UYA28" ca="1" si="2534">IF(UYB28&gt;=1,(UXZ28/UXX28),0)</f>
        <v>0</v>
      </c>
      <c r="UYB28" s="292">
        <f t="shared" ref="UYB28" ca="1" si="2535">UXY28-$G$5</f>
        <v>-591</v>
      </c>
      <c r="UYC28" s="259" t="s">
        <v>55</v>
      </c>
      <c r="UYD28" s="256" t="s">
        <v>76</v>
      </c>
      <c r="UYE28" s="256" t="s">
        <v>77</v>
      </c>
      <c r="UYF28" s="256" t="s">
        <v>78</v>
      </c>
      <c r="UYG28" s="256" t="s">
        <v>79</v>
      </c>
      <c r="UYH28" s="256" t="s">
        <v>80</v>
      </c>
      <c r="UYI28" s="256" t="s">
        <v>81</v>
      </c>
      <c r="UYJ28" s="331"/>
      <c r="UYK28" s="290">
        <v>45492</v>
      </c>
      <c r="UYL28" s="339" t="s">
        <v>141</v>
      </c>
      <c r="UYM28" s="305"/>
      <c r="UYN28" s="305">
        <v>1</v>
      </c>
      <c r="UYO28" s="304">
        <f t="shared" ref="UYO28" si="2536">EDATE(UYK28,UYN28)</f>
        <v>45523</v>
      </c>
      <c r="UYP28" s="340">
        <v>0</v>
      </c>
      <c r="UYQ28" s="320">
        <f t="shared" ref="UYQ28" ca="1" si="2537">IF(UYR28&gt;=1,(UYP28/UYN28),0)</f>
        <v>0</v>
      </c>
      <c r="UYR28" s="292">
        <f t="shared" ref="UYR28" ca="1" si="2538">UYO28-$G$5</f>
        <v>-591</v>
      </c>
      <c r="UYS28" s="259" t="s">
        <v>55</v>
      </c>
      <c r="UYT28" s="256" t="s">
        <v>76</v>
      </c>
      <c r="UYU28" s="256" t="s">
        <v>77</v>
      </c>
      <c r="UYV28" s="256" t="s">
        <v>78</v>
      </c>
      <c r="UYW28" s="256" t="s">
        <v>79</v>
      </c>
      <c r="UYX28" s="256" t="s">
        <v>80</v>
      </c>
      <c r="UYY28" s="256" t="s">
        <v>81</v>
      </c>
      <c r="UYZ28" s="331"/>
      <c r="UZA28" s="290">
        <v>45492</v>
      </c>
      <c r="UZB28" s="339" t="s">
        <v>141</v>
      </c>
      <c r="UZC28" s="305"/>
      <c r="UZD28" s="305">
        <v>1</v>
      </c>
      <c r="UZE28" s="304">
        <f t="shared" ref="UZE28" si="2539">EDATE(UZA28,UZD28)</f>
        <v>45523</v>
      </c>
      <c r="UZF28" s="340">
        <v>0</v>
      </c>
      <c r="UZG28" s="320">
        <f t="shared" ref="UZG28" ca="1" si="2540">IF(UZH28&gt;=1,(UZF28/UZD28),0)</f>
        <v>0</v>
      </c>
      <c r="UZH28" s="292">
        <f t="shared" ref="UZH28" ca="1" si="2541">UZE28-$G$5</f>
        <v>-591</v>
      </c>
      <c r="UZI28" s="259" t="s">
        <v>55</v>
      </c>
      <c r="UZJ28" s="256" t="s">
        <v>76</v>
      </c>
      <c r="UZK28" s="256" t="s">
        <v>77</v>
      </c>
      <c r="UZL28" s="256" t="s">
        <v>78</v>
      </c>
      <c r="UZM28" s="256" t="s">
        <v>79</v>
      </c>
      <c r="UZN28" s="256" t="s">
        <v>80</v>
      </c>
      <c r="UZO28" s="256" t="s">
        <v>81</v>
      </c>
      <c r="UZP28" s="331"/>
      <c r="UZQ28" s="290">
        <v>45492</v>
      </c>
      <c r="UZR28" s="339" t="s">
        <v>141</v>
      </c>
      <c r="UZS28" s="305"/>
      <c r="UZT28" s="305">
        <v>1</v>
      </c>
      <c r="UZU28" s="304">
        <f t="shared" ref="UZU28" si="2542">EDATE(UZQ28,UZT28)</f>
        <v>45523</v>
      </c>
      <c r="UZV28" s="340">
        <v>0</v>
      </c>
      <c r="UZW28" s="320">
        <f t="shared" ref="UZW28" ca="1" si="2543">IF(UZX28&gt;=1,(UZV28/UZT28),0)</f>
        <v>0</v>
      </c>
      <c r="UZX28" s="292">
        <f t="shared" ref="UZX28" ca="1" si="2544">UZU28-$G$5</f>
        <v>-591</v>
      </c>
      <c r="UZY28" s="259" t="s">
        <v>55</v>
      </c>
      <c r="UZZ28" s="256" t="s">
        <v>76</v>
      </c>
      <c r="VAA28" s="256" t="s">
        <v>77</v>
      </c>
      <c r="VAB28" s="256" t="s">
        <v>78</v>
      </c>
      <c r="VAC28" s="256" t="s">
        <v>79</v>
      </c>
      <c r="VAD28" s="256" t="s">
        <v>80</v>
      </c>
      <c r="VAE28" s="256" t="s">
        <v>81</v>
      </c>
      <c r="VAF28" s="331"/>
      <c r="VAG28" s="290">
        <v>45492</v>
      </c>
      <c r="VAH28" s="339" t="s">
        <v>141</v>
      </c>
      <c r="VAI28" s="305"/>
      <c r="VAJ28" s="305">
        <v>1</v>
      </c>
      <c r="VAK28" s="304">
        <f t="shared" ref="VAK28" si="2545">EDATE(VAG28,VAJ28)</f>
        <v>45523</v>
      </c>
      <c r="VAL28" s="340">
        <v>0</v>
      </c>
      <c r="VAM28" s="320">
        <f t="shared" ref="VAM28" ca="1" si="2546">IF(VAN28&gt;=1,(VAL28/VAJ28),0)</f>
        <v>0</v>
      </c>
      <c r="VAN28" s="292">
        <f t="shared" ref="VAN28" ca="1" si="2547">VAK28-$G$5</f>
        <v>-591</v>
      </c>
      <c r="VAO28" s="259" t="s">
        <v>55</v>
      </c>
      <c r="VAP28" s="256" t="s">
        <v>76</v>
      </c>
      <c r="VAQ28" s="256" t="s">
        <v>77</v>
      </c>
      <c r="VAR28" s="256" t="s">
        <v>78</v>
      </c>
      <c r="VAS28" s="256" t="s">
        <v>79</v>
      </c>
      <c r="VAT28" s="256" t="s">
        <v>80</v>
      </c>
      <c r="VAU28" s="256" t="s">
        <v>81</v>
      </c>
      <c r="VAV28" s="331"/>
      <c r="VAW28" s="290">
        <v>45492</v>
      </c>
      <c r="VAX28" s="339" t="s">
        <v>141</v>
      </c>
      <c r="VAY28" s="305"/>
      <c r="VAZ28" s="305">
        <v>1</v>
      </c>
      <c r="VBA28" s="304">
        <f t="shared" ref="VBA28" si="2548">EDATE(VAW28,VAZ28)</f>
        <v>45523</v>
      </c>
      <c r="VBB28" s="340">
        <v>0</v>
      </c>
      <c r="VBC28" s="320">
        <f t="shared" ref="VBC28" ca="1" si="2549">IF(VBD28&gt;=1,(VBB28/VAZ28),0)</f>
        <v>0</v>
      </c>
      <c r="VBD28" s="292">
        <f t="shared" ref="VBD28" ca="1" si="2550">VBA28-$G$5</f>
        <v>-591</v>
      </c>
      <c r="VBE28" s="259" t="s">
        <v>55</v>
      </c>
      <c r="VBF28" s="256" t="s">
        <v>76</v>
      </c>
      <c r="VBG28" s="256" t="s">
        <v>77</v>
      </c>
      <c r="VBH28" s="256" t="s">
        <v>78</v>
      </c>
      <c r="VBI28" s="256" t="s">
        <v>79</v>
      </c>
      <c r="VBJ28" s="256" t="s">
        <v>80</v>
      </c>
      <c r="VBK28" s="256" t="s">
        <v>81</v>
      </c>
      <c r="VBL28" s="331"/>
      <c r="VBM28" s="290">
        <v>45492</v>
      </c>
      <c r="VBN28" s="339" t="s">
        <v>141</v>
      </c>
      <c r="VBO28" s="305"/>
      <c r="VBP28" s="305">
        <v>1</v>
      </c>
      <c r="VBQ28" s="304">
        <f t="shared" ref="VBQ28" si="2551">EDATE(VBM28,VBP28)</f>
        <v>45523</v>
      </c>
      <c r="VBR28" s="340">
        <v>0</v>
      </c>
      <c r="VBS28" s="320">
        <f t="shared" ref="VBS28" ca="1" si="2552">IF(VBT28&gt;=1,(VBR28/VBP28),0)</f>
        <v>0</v>
      </c>
      <c r="VBT28" s="292">
        <f t="shared" ref="VBT28" ca="1" si="2553">VBQ28-$G$5</f>
        <v>-591</v>
      </c>
      <c r="VBU28" s="259" t="s">
        <v>55</v>
      </c>
      <c r="VBV28" s="256" t="s">
        <v>76</v>
      </c>
      <c r="VBW28" s="256" t="s">
        <v>77</v>
      </c>
      <c r="VBX28" s="256" t="s">
        <v>78</v>
      </c>
      <c r="VBY28" s="256" t="s">
        <v>79</v>
      </c>
      <c r="VBZ28" s="256" t="s">
        <v>80</v>
      </c>
      <c r="VCA28" s="256" t="s">
        <v>81</v>
      </c>
      <c r="VCB28" s="331"/>
      <c r="VCC28" s="290">
        <v>45492</v>
      </c>
      <c r="VCD28" s="339" t="s">
        <v>141</v>
      </c>
      <c r="VCE28" s="305"/>
      <c r="VCF28" s="305">
        <v>1</v>
      </c>
      <c r="VCG28" s="304">
        <f t="shared" ref="VCG28" si="2554">EDATE(VCC28,VCF28)</f>
        <v>45523</v>
      </c>
      <c r="VCH28" s="340">
        <v>0</v>
      </c>
      <c r="VCI28" s="320">
        <f t="shared" ref="VCI28" ca="1" si="2555">IF(VCJ28&gt;=1,(VCH28/VCF28),0)</f>
        <v>0</v>
      </c>
      <c r="VCJ28" s="292">
        <f t="shared" ref="VCJ28" ca="1" si="2556">VCG28-$G$5</f>
        <v>-591</v>
      </c>
      <c r="VCK28" s="259" t="s">
        <v>55</v>
      </c>
      <c r="VCL28" s="256" t="s">
        <v>76</v>
      </c>
      <c r="VCM28" s="256" t="s">
        <v>77</v>
      </c>
      <c r="VCN28" s="256" t="s">
        <v>78</v>
      </c>
      <c r="VCO28" s="256" t="s">
        <v>79</v>
      </c>
      <c r="VCP28" s="256" t="s">
        <v>80</v>
      </c>
      <c r="VCQ28" s="256" t="s">
        <v>81</v>
      </c>
      <c r="VCR28" s="331"/>
      <c r="VCS28" s="290">
        <v>45492</v>
      </c>
      <c r="VCT28" s="339" t="s">
        <v>141</v>
      </c>
      <c r="VCU28" s="305"/>
      <c r="VCV28" s="305">
        <v>1</v>
      </c>
      <c r="VCW28" s="304">
        <f t="shared" ref="VCW28" si="2557">EDATE(VCS28,VCV28)</f>
        <v>45523</v>
      </c>
      <c r="VCX28" s="340">
        <v>0</v>
      </c>
      <c r="VCY28" s="320">
        <f t="shared" ref="VCY28" ca="1" si="2558">IF(VCZ28&gt;=1,(VCX28/VCV28),0)</f>
        <v>0</v>
      </c>
      <c r="VCZ28" s="292">
        <f t="shared" ref="VCZ28" ca="1" si="2559">VCW28-$G$5</f>
        <v>-591</v>
      </c>
      <c r="VDA28" s="259" t="s">
        <v>55</v>
      </c>
      <c r="VDB28" s="256" t="s">
        <v>76</v>
      </c>
      <c r="VDC28" s="256" t="s">
        <v>77</v>
      </c>
      <c r="VDD28" s="256" t="s">
        <v>78</v>
      </c>
      <c r="VDE28" s="256" t="s">
        <v>79</v>
      </c>
      <c r="VDF28" s="256" t="s">
        <v>80</v>
      </c>
      <c r="VDG28" s="256" t="s">
        <v>81</v>
      </c>
      <c r="VDH28" s="331"/>
      <c r="VDI28" s="290">
        <v>45492</v>
      </c>
      <c r="VDJ28" s="339" t="s">
        <v>141</v>
      </c>
      <c r="VDK28" s="305"/>
      <c r="VDL28" s="305">
        <v>1</v>
      </c>
      <c r="VDM28" s="304">
        <f t="shared" ref="VDM28" si="2560">EDATE(VDI28,VDL28)</f>
        <v>45523</v>
      </c>
      <c r="VDN28" s="340">
        <v>0</v>
      </c>
      <c r="VDO28" s="320">
        <f t="shared" ref="VDO28" ca="1" si="2561">IF(VDP28&gt;=1,(VDN28/VDL28),0)</f>
        <v>0</v>
      </c>
      <c r="VDP28" s="292">
        <f t="shared" ref="VDP28" ca="1" si="2562">VDM28-$G$5</f>
        <v>-591</v>
      </c>
      <c r="VDQ28" s="259" t="s">
        <v>55</v>
      </c>
      <c r="VDR28" s="256" t="s">
        <v>76</v>
      </c>
      <c r="VDS28" s="256" t="s">
        <v>77</v>
      </c>
      <c r="VDT28" s="256" t="s">
        <v>78</v>
      </c>
      <c r="VDU28" s="256" t="s">
        <v>79</v>
      </c>
      <c r="VDV28" s="256" t="s">
        <v>80</v>
      </c>
      <c r="VDW28" s="256" t="s">
        <v>81</v>
      </c>
      <c r="VDX28" s="331"/>
      <c r="VDY28" s="290">
        <v>45492</v>
      </c>
      <c r="VDZ28" s="339" t="s">
        <v>141</v>
      </c>
      <c r="VEA28" s="305"/>
      <c r="VEB28" s="305">
        <v>1</v>
      </c>
      <c r="VEC28" s="304">
        <f t="shared" ref="VEC28" si="2563">EDATE(VDY28,VEB28)</f>
        <v>45523</v>
      </c>
      <c r="VED28" s="340">
        <v>0</v>
      </c>
      <c r="VEE28" s="320">
        <f t="shared" ref="VEE28" ca="1" si="2564">IF(VEF28&gt;=1,(VED28/VEB28),0)</f>
        <v>0</v>
      </c>
      <c r="VEF28" s="292">
        <f t="shared" ref="VEF28" ca="1" si="2565">VEC28-$G$5</f>
        <v>-591</v>
      </c>
      <c r="VEG28" s="259" t="s">
        <v>55</v>
      </c>
      <c r="VEH28" s="256" t="s">
        <v>76</v>
      </c>
      <c r="VEI28" s="256" t="s">
        <v>77</v>
      </c>
      <c r="VEJ28" s="256" t="s">
        <v>78</v>
      </c>
      <c r="VEK28" s="256" t="s">
        <v>79</v>
      </c>
      <c r="VEL28" s="256" t="s">
        <v>80</v>
      </c>
      <c r="VEM28" s="256" t="s">
        <v>81</v>
      </c>
      <c r="VEN28" s="331"/>
      <c r="VEO28" s="290">
        <v>45492</v>
      </c>
      <c r="VEP28" s="339" t="s">
        <v>141</v>
      </c>
      <c r="VEQ28" s="305"/>
      <c r="VER28" s="305">
        <v>1</v>
      </c>
      <c r="VES28" s="304">
        <f t="shared" ref="VES28" si="2566">EDATE(VEO28,VER28)</f>
        <v>45523</v>
      </c>
      <c r="VET28" s="340">
        <v>0</v>
      </c>
      <c r="VEU28" s="320">
        <f t="shared" ref="VEU28" ca="1" si="2567">IF(VEV28&gt;=1,(VET28/VER28),0)</f>
        <v>0</v>
      </c>
      <c r="VEV28" s="292">
        <f t="shared" ref="VEV28" ca="1" si="2568">VES28-$G$5</f>
        <v>-591</v>
      </c>
      <c r="VEW28" s="259" t="s">
        <v>55</v>
      </c>
      <c r="VEX28" s="256" t="s">
        <v>76</v>
      </c>
      <c r="VEY28" s="256" t="s">
        <v>77</v>
      </c>
      <c r="VEZ28" s="256" t="s">
        <v>78</v>
      </c>
      <c r="VFA28" s="256" t="s">
        <v>79</v>
      </c>
      <c r="VFB28" s="256" t="s">
        <v>80</v>
      </c>
      <c r="VFC28" s="256" t="s">
        <v>81</v>
      </c>
      <c r="VFD28" s="331"/>
      <c r="VFE28" s="290">
        <v>45492</v>
      </c>
      <c r="VFF28" s="339" t="s">
        <v>141</v>
      </c>
      <c r="VFG28" s="305"/>
      <c r="VFH28" s="305">
        <v>1</v>
      </c>
      <c r="VFI28" s="304">
        <f t="shared" ref="VFI28" si="2569">EDATE(VFE28,VFH28)</f>
        <v>45523</v>
      </c>
      <c r="VFJ28" s="340">
        <v>0</v>
      </c>
      <c r="VFK28" s="320">
        <f t="shared" ref="VFK28" ca="1" si="2570">IF(VFL28&gt;=1,(VFJ28/VFH28),0)</f>
        <v>0</v>
      </c>
      <c r="VFL28" s="292">
        <f t="shared" ref="VFL28" ca="1" si="2571">VFI28-$G$5</f>
        <v>-591</v>
      </c>
      <c r="VFM28" s="259" t="s">
        <v>55</v>
      </c>
      <c r="VFN28" s="256" t="s">
        <v>76</v>
      </c>
      <c r="VFO28" s="256" t="s">
        <v>77</v>
      </c>
      <c r="VFP28" s="256" t="s">
        <v>78</v>
      </c>
      <c r="VFQ28" s="256" t="s">
        <v>79</v>
      </c>
      <c r="VFR28" s="256" t="s">
        <v>80</v>
      </c>
      <c r="VFS28" s="256" t="s">
        <v>81</v>
      </c>
      <c r="VFT28" s="331"/>
      <c r="VFU28" s="290">
        <v>45492</v>
      </c>
      <c r="VFV28" s="339" t="s">
        <v>141</v>
      </c>
      <c r="VFW28" s="305"/>
      <c r="VFX28" s="305">
        <v>1</v>
      </c>
      <c r="VFY28" s="304">
        <f t="shared" ref="VFY28" si="2572">EDATE(VFU28,VFX28)</f>
        <v>45523</v>
      </c>
      <c r="VFZ28" s="340">
        <v>0</v>
      </c>
      <c r="VGA28" s="320">
        <f t="shared" ref="VGA28" ca="1" si="2573">IF(VGB28&gt;=1,(VFZ28/VFX28),0)</f>
        <v>0</v>
      </c>
      <c r="VGB28" s="292">
        <f t="shared" ref="VGB28" ca="1" si="2574">VFY28-$G$5</f>
        <v>-591</v>
      </c>
      <c r="VGC28" s="259" t="s">
        <v>55</v>
      </c>
      <c r="VGD28" s="256" t="s">
        <v>76</v>
      </c>
      <c r="VGE28" s="256" t="s">
        <v>77</v>
      </c>
      <c r="VGF28" s="256" t="s">
        <v>78</v>
      </c>
      <c r="VGG28" s="256" t="s">
        <v>79</v>
      </c>
      <c r="VGH28" s="256" t="s">
        <v>80</v>
      </c>
      <c r="VGI28" s="256" t="s">
        <v>81</v>
      </c>
      <c r="VGJ28" s="331"/>
      <c r="VGK28" s="290">
        <v>45492</v>
      </c>
      <c r="VGL28" s="339" t="s">
        <v>141</v>
      </c>
      <c r="VGM28" s="305"/>
      <c r="VGN28" s="305">
        <v>1</v>
      </c>
      <c r="VGO28" s="304">
        <f t="shared" ref="VGO28" si="2575">EDATE(VGK28,VGN28)</f>
        <v>45523</v>
      </c>
      <c r="VGP28" s="340">
        <v>0</v>
      </c>
      <c r="VGQ28" s="320">
        <f t="shared" ref="VGQ28" ca="1" si="2576">IF(VGR28&gt;=1,(VGP28/VGN28),0)</f>
        <v>0</v>
      </c>
      <c r="VGR28" s="292">
        <f t="shared" ref="VGR28" ca="1" si="2577">VGO28-$G$5</f>
        <v>-591</v>
      </c>
      <c r="VGS28" s="259" t="s">
        <v>55</v>
      </c>
      <c r="VGT28" s="256" t="s">
        <v>76</v>
      </c>
      <c r="VGU28" s="256" t="s">
        <v>77</v>
      </c>
      <c r="VGV28" s="256" t="s">
        <v>78</v>
      </c>
      <c r="VGW28" s="256" t="s">
        <v>79</v>
      </c>
      <c r="VGX28" s="256" t="s">
        <v>80</v>
      </c>
      <c r="VGY28" s="256" t="s">
        <v>81</v>
      </c>
      <c r="VGZ28" s="331"/>
      <c r="VHA28" s="290">
        <v>45492</v>
      </c>
      <c r="VHB28" s="339" t="s">
        <v>141</v>
      </c>
      <c r="VHC28" s="305"/>
      <c r="VHD28" s="305">
        <v>1</v>
      </c>
      <c r="VHE28" s="304">
        <f t="shared" ref="VHE28" si="2578">EDATE(VHA28,VHD28)</f>
        <v>45523</v>
      </c>
      <c r="VHF28" s="340">
        <v>0</v>
      </c>
      <c r="VHG28" s="320">
        <f t="shared" ref="VHG28" ca="1" si="2579">IF(VHH28&gt;=1,(VHF28/VHD28),0)</f>
        <v>0</v>
      </c>
      <c r="VHH28" s="292">
        <f t="shared" ref="VHH28" ca="1" si="2580">VHE28-$G$5</f>
        <v>-591</v>
      </c>
      <c r="VHI28" s="259" t="s">
        <v>55</v>
      </c>
      <c r="VHJ28" s="256" t="s">
        <v>76</v>
      </c>
      <c r="VHK28" s="256" t="s">
        <v>77</v>
      </c>
      <c r="VHL28" s="256" t="s">
        <v>78</v>
      </c>
      <c r="VHM28" s="256" t="s">
        <v>79</v>
      </c>
      <c r="VHN28" s="256" t="s">
        <v>80</v>
      </c>
      <c r="VHO28" s="256" t="s">
        <v>81</v>
      </c>
      <c r="VHP28" s="331"/>
      <c r="VHQ28" s="290">
        <v>45492</v>
      </c>
      <c r="VHR28" s="339" t="s">
        <v>141</v>
      </c>
      <c r="VHS28" s="305"/>
      <c r="VHT28" s="305">
        <v>1</v>
      </c>
      <c r="VHU28" s="304">
        <f t="shared" ref="VHU28" si="2581">EDATE(VHQ28,VHT28)</f>
        <v>45523</v>
      </c>
      <c r="VHV28" s="340">
        <v>0</v>
      </c>
      <c r="VHW28" s="320">
        <f t="shared" ref="VHW28" ca="1" si="2582">IF(VHX28&gt;=1,(VHV28/VHT28),0)</f>
        <v>0</v>
      </c>
      <c r="VHX28" s="292">
        <f t="shared" ref="VHX28" ca="1" si="2583">VHU28-$G$5</f>
        <v>-591</v>
      </c>
      <c r="VHY28" s="259" t="s">
        <v>55</v>
      </c>
      <c r="VHZ28" s="256" t="s">
        <v>76</v>
      </c>
      <c r="VIA28" s="256" t="s">
        <v>77</v>
      </c>
      <c r="VIB28" s="256" t="s">
        <v>78</v>
      </c>
      <c r="VIC28" s="256" t="s">
        <v>79</v>
      </c>
      <c r="VID28" s="256" t="s">
        <v>80</v>
      </c>
      <c r="VIE28" s="256" t="s">
        <v>81</v>
      </c>
      <c r="VIF28" s="331"/>
      <c r="VIG28" s="290">
        <v>45492</v>
      </c>
      <c r="VIH28" s="339" t="s">
        <v>141</v>
      </c>
      <c r="VII28" s="305"/>
      <c r="VIJ28" s="305">
        <v>1</v>
      </c>
      <c r="VIK28" s="304">
        <f t="shared" ref="VIK28" si="2584">EDATE(VIG28,VIJ28)</f>
        <v>45523</v>
      </c>
      <c r="VIL28" s="340">
        <v>0</v>
      </c>
      <c r="VIM28" s="320">
        <f t="shared" ref="VIM28" ca="1" si="2585">IF(VIN28&gt;=1,(VIL28/VIJ28),0)</f>
        <v>0</v>
      </c>
      <c r="VIN28" s="292">
        <f t="shared" ref="VIN28" ca="1" si="2586">VIK28-$G$5</f>
        <v>-591</v>
      </c>
      <c r="VIO28" s="259" t="s">
        <v>55</v>
      </c>
      <c r="VIP28" s="256" t="s">
        <v>76</v>
      </c>
      <c r="VIQ28" s="256" t="s">
        <v>77</v>
      </c>
      <c r="VIR28" s="256" t="s">
        <v>78</v>
      </c>
      <c r="VIS28" s="256" t="s">
        <v>79</v>
      </c>
      <c r="VIT28" s="256" t="s">
        <v>80</v>
      </c>
      <c r="VIU28" s="256" t="s">
        <v>81</v>
      </c>
      <c r="VIV28" s="331"/>
      <c r="VIW28" s="290">
        <v>45492</v>
      </c>
      <c r="VIX28" s="339" t="s">
        <v>141</v>
      </c>
      <c r="VIY28" s="305"/>
      <c r="VIZ28" s="305">
        <v>1</v>
      </c>
      <c r="VJA28" s="304">
        <f t="shared" ref="VJA28" si="2587">EDATE(VIW28,VIZ28)</f>
        <v>45523</v>
      </c>
      <c r="VJB28" s="340">
        <v>0</v>
      </c>
      <c r="VJC28" s="320">
        <f t="shared" ref="VJC28" ca="1" si="2588">IF(VJD28&gt;=1,(VJB28/VIZ28),0)</f>
        <v>0</v>
      </c>
      <c r="VJD28" s="292">
        <f t="shared" ref="VJD28" ca="1" si="2589">VJA28-$G$5</f>
        <v>-591</v>
      </c>
      <c r="VJE28" s="259" t="s">
        <v>55</v>
      </c>
      <c r="VJF28" s="256" t="s">
        <v>76</v>
      </c>
      <c r="VJG28" s="256" t="s">
        <v>77</v>
      </c>
      <c r="VJH28" s="256" t="s">
        <v>78</v>
      </c>
      <c r="VJI28" s="256" t="s">
        <v>79</v>
      </c>
      <c r="VJJ28" s="256" t="s">
        <v>80</v>
      </c>
      <c r="VJK28" s="256" t="s">
        <v>81</v>
      </c>
      <c r="VJL28" s="331"/>
      <c r="VJM28" s="290">
        <v>45492</v>
      </c>
      <c r="VJN28" s="339" t="s">
        <v>141</v>
      </c>
      <c r="VJO28" s="305"/>
      <c r="VJP28" s="305">
        <v>1</v>
      </c>
      <c r="VJQ28" s="304">
        <f t="shared" ref="VJQ28" si="2590">EDATE(VJM28,VJP28)</f>
        <v>45523</v>
      </c>
      <c r="VJR28" s="340">
        <v>0</v>
      </c>
      <c r="VJS28" s="320">
        <f t="shared" ref="VJS28" ca="1" si="2591">IF(VJT28&gt;=1,(VJR28/VJP28),0)</f>
        <v>0</v>
      </c>
      <c r="VJT28" s="292">
        <f t="shared" ref="VJT28" ca="1" si="2592">VJQ28-$G$5</f>
        <v>-591</v>
      </c>
      <c r="VJU28" s="259" t="s">
        <v>55</v>
      </c>
      <c r="VJV28" s="256" t="s">
        <v>76</v>
      </c>
      <c r="VJW28" s="256" t="s">
        <v>77</v>
      </c>
      <c r="VJX28" s="256" t="s">
        <v>78</v>
      </c>
      <c r="VJY28" s="256" t="s">
        <v>79</v>
      </c>
      <c r="VJZ28" s="256" t="s">
        <v>80</v>
      </c>
      <c r="VKA28" s="256" t="s">
        <v>81</v>
      </c>
      <c r="VKB28" s="331"/>
      <c r="VKC28" s="290">
        <v>45492</v>
      </c>
      <c r="VKD28" s="339" t="s">
        <v>141</v>
      </c>
      <c r="VKE28" s="305"/>
      <c r="VKF28" s="305">
        <v>1</v>
      </c>
      <c r="VKG28" s="304">
        <f t="shared" ref="VKG28" si="2593">EDATE(VKC28,VKF28)</f>
        <v>45523</v>
      </c>
      <c r="VKH28" s="340">
        <v>0</v>
      </c>
      <c r="VKI28" s="320">
        <f t="shared" ref="VKI28" ca="1" si="2594">IF(VKJ28&gt;=1,(VKH28/VKF28),0)</f>
        <v>0</v>
      </c>
      <c r="VKJ28" s="292">
        <f t="shared" ref="VKJ28" ca="1" si="2595">VKG28-$G$5</f>
        <v>-591</v>
      </c>
      <c r="VKK28" s="259" t="s">
        <v>55</v>
      </c>
      <c r="VKL28" s="256" t="s">
        <v>76</v>
      </c>
      <c r="VKM28" s="256" t="s">
        <v>77</v>
      </c>
      <c r="VKN28" s="256" t="s">
        <v>78</v>
      </c>
      <c r="VKO28" s="256" t="s">
        <v>79</v>
      </c>
      <c r="VKP28" s="256" t="s">
        <v>80</v>
      </c>
      <c r="VKQ28" s="256" t="s">
        <v>81</v>
      </c>
      <c r="VKR28" s="331"/>
      <c r="VKS28" s="290">
        <v>45492</v>
      </c>
      <c r="VKT28" s="339" t="s">
        <v>141</v>
      </c>
      <c r="VKU28" s="305"/>
      <c r="VKV28" s="305">
        <v>1</v>
      </c>
      <c r="VKW28" s="304">
        <f t="shared" ref="VKW28" si="2596">EDATE(VKS28,VKV28)</f>
        <v>45523</v>
      </c>
      <c r="VKX28" s="340">
        <v>0</v>
      </c>
      <c r="VKY28" s="320">
        <f t="shared" ref="VKY28" ca="1" si="2597">IF(VKZ28&gt;=1,(VKX28/VKV28),0)</f>
        <v>0</v>
      </c>
      <c r="VKZ28" s="292">
        <f t="shared" ref="VKZ28" ca="1" si="2598">VKW28-$G$5</f>
        <v>-591</v>
      </c>
      <c r="VLA28" s="259" t="s">
        <v>55</v>
      </c>
      <c r="VLB28" s="256" t="s">
        <v>76</v>
      </c>
      <c r="VLC28" s="256" t="s">
        <v>77</v>
      </c>
      <c r="VLD28" s="256" t="s">
        <v>78</v>
      </c>
      <c r="VLE28" s="256" t="s">
        <v>79</v>
      </c>
      <c r="VLF28" s="256" t="s">
        <v>80</v>
      </c>
      <c r="VLG28" s="256" t="s">
        <v>81</v>
      </c>
      <c r="VLH28" s="331"/>
      <c r="VLI28" s="290">
        <v>45492</v>
      </c>
      <c r="VLJ28" s="339" t="s">
        <v>141</v>
      </c>
      <c r="VLK28" s="305"/>
      <c r="VLL28" s="305">
        <v>1</v>
      </c>
      <c r="VLM28" s="304">
        <f t="shared" ref="VLM28" si="2599">EDATE(VLI28,VLL28)</f>
        <v>45523</v>
      </c>
      <c r="VLN28" s="340">
        <v>0</v>
      </c>
      <c r="VLO28" s="320">
        <f t="shared" ref="VLO28" ca="1" si="2600">IF(VLP28&gt;=1,(VLN28/VLL28),0)</f>
        <v>0</v>
      </c>
      <c r="VLP28" s="292">
        <f t="shared" ref="VLP28" ca="1" si="2601">VLM28-$G$5</f>
        <v>-591</v>
      </c>
      <c r="VLQ28" s="259" t="s">
        <v>55</v>
      </c>
      <c r="VLR28" s="256" t="s">
        <v>76</v>
      </c>
      <c r="VLS28" s="256" t="s">
        <v>77</v>
      </c>
      <c r="VLT28" s="256" t="s">
        <v>78</v>
      </c>
      <c r="VLU28" s="256" t="s">
        <v>79</v>
      </c>
      <c r="VLV28" s="256" t="s">
        <v>80</v>
      </c>
      <c r="VLW28" s="256" t="s">
        <v>81</v>
      </c>
      <c r="VLX28" s="331"/>
      <c r="VLY28" s="290">
        <v>45492</v>
      </c>
      <c r="VLZ28" s="339" t="s">
        <v>141</v>
      </c>
      <c r="VMA28" s="305"/>
      <c r="VMB28" s="305">
        <v>1</v>
      </c>
      <c r="VMC28" s="304">
        <f t="shared" ref="VMC28" si="2602">EDATE(VLY28,VMB28)</f>
        <v>45523</v>
      </c>
      <c r="VMD28" s="340">
        <v>0</v>
      </c>
      <c r="VME28" s="320">
        <f t="shared" ref="VME28" ca="1" si="2603">IF(VMF28&gt;=1,(VMD28/VMB28),0)</f>
        <v>0</v>
      </c>
      <c r="VMF28" s="292">
        <f t="shared" ref="VMF28" ca="1" si="2604">VMC28-$G$5</f>
        <v>-591</v>
      </c>
      <c r="VMG28" s="259" t="s">
        <v>55</v>
      </c>
      <c r="VMH28" s="256" t="s">
        <v>76</v>
      </c>
      <c r="VMI28" s="256" t="s">
        <v>77</v>
      </c>
      <c r="VMJ28" s="256" t="s">
        <v>78</v>
      </c>
      <c r="VMK28" s="256" t="s">
        <v>79</v>
      </c>
      <c r="VML28" s="256" t="s">
        <v>80</v>
      </c>
      <c r="VMM28" s="256" t="s">
        <v>81</v>
      </c>
      <c r="VMN28" s="331"/>
      <c r="VMO28" s="290">
        <v>45492</v>
      </c>
      <c r="VMP28" s="339" t="s">
        <v>141</v>
      </c>
      <c r="VMQ28" s="305"/>
      <c r="VMR28" s="305">
        <v>1</v>
      </c>
      <c r="VMS28" s="304">
        <f t="shared" ref="VMS28" si="2605">EDATE(VMO28,VMR28)</f>
        <v>45523</v>
      </c>
      <c r="VMT28" s="340">
        <v>0</v>
      </c>
      <c r="VMU28" s="320">
        <f t="shared" ref="VMU28" ca="1" si="2606">IF(VMV28&gt;=1,(VMT28/VMR28),0)</f>
        <v>0</v>
      </c>
      <c r="VMV28" s="292">
        <f t="shared" ref="VMV28" ca="1" si="2607">VMS28-$G$5</f>
        <v>-591</v>
      </c>
      <c r="VMW28" s="259" t="s">
        <v>55</v>
      </c>
      <c r="VMX28" s="256" t="s">
        <v>76</v>
      </c>
      <c r="VMY28" s="256" t="s">
        <v>77</v>
      </c>
      <c r="VMZ28" s="256" t="s">
        <v>78</v>
      </c>
      <c r="VNA28" s="256" t="s">
        <v>79</v>
      </c>
      <c r="VNB28" s="256" t="s">
        <v>80</v>
      </c>
      <c r="VNC28" s="256" t="s">
        <v>81</v>
      </c>
      <c r="VND28" s="331"/>
      <c r="VNE28" s="290">
        <v>45492</v>
      </c>
      <c r="VNF28" s="339" t="s">
        <v>141</v>
      </c>
      <c r="VNG28" s="305"/>
      <c r="VNH28" s="305">
        <v>1</v>
      </c>
      <c r="VNI28" s="304">
        <f t="shared" ref="VNI28" si="2608">EDATE(VNE28,VNH28)</f>
        <v>45523</v>
      </c>
      <c r="VNJ28" s="340">
        <v>0</v>
      </c>
      <c r="VNK28" s="320">
        <f t="shared" ref="VNK28" ca="1" si="2609">IF(VNL28&gt;=1,(VNJ28/VNH28),0)</f>
        <v>0</v>
      </c>
      <c r="VNL28" s="292">
        <f t="shared" ref="VNL28" ca="1" si="2610">VNI28-$G$5</f>
        <v>-591</v>
      </c>
      <c r="VNM28" s="259" t="s">
        <v>55</v>
      </c>
      <c r="VNN28" s="256" t="s">
        <v>76</v>
      </c>
      <c r="VNO28" s="256" t="s">
        <v>77</v>
      </c>
      <c r="VNP28" s="256" t="s">
        <v>78</v>
      </c>
      <c r="VNQ28" s="256" t="s">
        <v>79</v>
      </c>
      <c r="VNR28" s="256" t="s">
        <v>80</v>
      </c>
      <c r="VNS28" s="256" t="s">
        <v>81</v>
      </c>
      <c r="VNT28" s="331"/>
      <c r="VNU28" s="290">
        <v>45492</v>
      </c>
      <c r="VNV28" s="339" t="s">
        <v>141</v>
      </c>
      <c r="VNW28" s="305"/>
      <c r="VNX28" s="305">
        <v>1</v>
      </c>
      <c r="VNY28" s="304">
        <f t="shared" ref="VNY28" si="2611">EDATE(VNU28,VNX28)</f>
        <v>45523</v>
      </c>
      <c r="VNZ28" s="340">
        <v>0</v>
      </c>
      <c r="VOA28" s="320">
        <f t="shared" ref="VOA28" ca="1" si="2612">IF(VOB28&gt;=1,(VNZ28/VNX28),0)</f>
        <v>0</v>
      </c>
      <c r="VOB28" s="292">
        <f t="shared" ref="VOB28" ca="1" si="2613">VNY28-$G$5</f>
        <v>-591</v>
      </c>
      <c r="VOC28" s="259" t="s">
        <v>55</v>
      </c>
      <c r="VOD28" s="256" t="s">
        <v>76</v>
      </c>
      <c r="VOE28" s="256" t="s">
        <v>77</v>
      </c>
      <c r="VOF28" s="256" t="s">
        <v>78</v>
      </c>
      <c r="VOG28" s="256" t="s">
        <v>79</v>
      </c>
      <c r="VOH28" s="256" t="s">
        <v>80</v>
      </c>
      <c r="VOI28" s="256" t="s">
        <v>81</v>
      </c>
      <c r="VOJ28" s="331"/>
      <c r="VOK28" s="290">
        <v>45492</v>
      </c>
      <c r="VOL28" s="339" t="s">
        <v>141</v>
      </c>
      <c r="VOM28" s="305"/>
      <c r="VON28" s="305">
        <v>1</v>
      </c>
      <c r="VOO28" s="304">
        <f t="shared" ref="VOO28" si="2614">EDATE(VOK28,VON28)</f>
        <v>45523</v>
      </c>
      <c r="VOP28" s="340">
        <v>0</v>
      </c>
      <c r="VOQ28" s="320">
        <f t="shared" ref="VOQ28" ca="1" si="2615">IF(VOR28&gt;=1,(VOP28/VON28),0)</f>
        <v>0</v>
      </c>
      <c r="VOR28" s="292">
        <f t="shared" ref="VOR28" ca="1" si="2616">VOO28-$G$5</f>
        <v>-591</v>
      </c>
      <c r="VOS28" s="259" t="s">
        <v>55</v>
      </c>
      <c r="VOT28" s="256" t="s">
        <v>76</v>
      </c>
      <c r="VOU28" s="256" t="s">
        <v>77</v>
      </c>
      <c r="VOV28" s="256" t="s">
        <v>78</v>
      </c>
      <c r="VOW28" s="256" t="s">
        <v>79</v>
      </c>
      <c r="VOX28" s="256" t="s">
        <v>80</v>
      </c>
      <c r="VOY28" s="256" t="s">
        <v>81</v>
      </c>
      <c r="VOZ28" s="331"/>
      <c r="VPA28" s="290">
        <v>45492</v>
      </c>
      <c r="VPB28" s="339" t="s">
        <v>141</v>
      </c>
      <c r="VPC28" s="305"/>
      <c r="VPD28" s="305">
        <v>1</v>
      </c>
      <c r="VPE28" s="304">
        <f t="shared" ref="VPE28" si="2617">EDATE(VPA28,VPD28)</f>
        <v>45523</v>
      </c>
      <c r="VPF28" s="340">
        <v>0</v>
      </c>
      <c r="VPG28" s="320">
        <f t="shared" ref="VPG28" ca="1" si="2618">IF(VPH28&gt;=1,(VPF28/VPD28),0)</f>
        <v>0</v>
      </c>
      <c r="VPH28" s="292">
        <f t="shared" ref="VPH28" ca="1" si="2619">VPE28-$G$5</f>
        <v>-591</v>
      </c>
      <c r="VPI28" s="259" t="s">
        <v>55</v>
      </c>
      <c r="VPJ28" s="256" t="s">
        <v>76</v>
      </c>
      <c r="VPK28" s="256" t="s">
        <v>77</v>
      </c>
      <c r="VPL28" s="256" t="s">
        <v>78</v>
      </c>
      <c r="VPM28" s="256" t="s">
        <v>79</v>
      </c>
      <c r="VPN28" s="256" t="s">
        <v>80</v>
      </c>
      <c r="VPO28" s="256" t="s">
        <v>81</v>
      </c>
      <c r="VPP28" s="331"/>
      <c r="VPQ28" s="290">
        <v>45492</v>
      </c>
      <c r="VPR28" s="339" t="s">
        <v>141</v>
      </c>
      <c r="VPS28" s="305"/>
      <c r="VPT28" s="305">
        <v>1</v>
      </c>
      <c r="VPU28" s="304">
        <f t="shared" ref="VPU28" si="2620">EDATE(VPQ28,VPT28)</f>
        <v>45523</v>
      </c>
      <c r="VPV28" s="340">
        <v>0</v>
      </c>
      <c r="VPW28" s="320">
        <f t="shared" ref="VPW28" ca="1" si="2621">IF(VPX28&gt;=1,(VPV28/VPT28),0)</f>
        <v>0</v>
      </c>
      <c r="VPX28" s="292">
        <f t="shared" ref="VPX28" ca="1" si="2622">VPU28-$G$5</f>
        <v>-591</v>
      </c>
      <c r="VPY28" s="259" t="s">
        <v>55</v>
      </c>
      <c r="VPZ28" s="256" t="s">
        <v>76</v>
      </c>
      <c r="VQA28" s="256" t="s">
        <v>77</v>
      </c>
      <c r="VQB28" s="256" t="s">
        <v>78</v>
      </c>
      <c r="VQC28" s="256" t="s">
        <v>79</v>
      </c>
      <c r="VQD28" s="256" t="s">
        <v>80</v>
      </c>
      <c r="VQE28" s="256" t="s">
        <v>81</v>
      </c>
      <c r="VQF28" s="331"/>
      <c r="VQG28" s="290">
        <v>45492</v>
      </c>
      <c r="VQH28" s="339" t="s">
        <v>141</v>
      </c>
      <c r="VQI28" s="305"/>
      <c r="VQJ28" s="305">
        <v>1</v>
      </c>
      <c r="VQK28" s="304">
        <f t="shared" ref="VQK28" si="2623">EDATE(VQG28,VQJ28)</f>
        <v>45523</v>
      </c>
      <c r="VQL28" s="340">
        <v>0</v>
      </c>
      <c r="VQM28" s="320">
        <f t="shared" ref="VQM28" ca="1" si="2624">IF(VQN28&gt;=1,(VQL28/VQJ28),0)</f>
        <v>0</v>
      </c>
      <c r="VQN28" s="292">
        <f t="shared" ref="VQN28" ca="1" si="2625">VQK28-$G$5</f>
        <v>-591</v>
      </c>
      <c r="VQO28" s="259" t="s">
        <v>55</v>
      </c>
      <c r="VQP28" s="256" t="s">
        <v>76</v>
      </c>
      <c r="VQQ28" s="256" t="s">
        <v>77</v>
      </c>
      <c r="VQR28" s="256" t="s">
        <v>78</v>
      </c>
      <c r="VQS28" s="256" t="s">
        <v>79</v>
      </c>
      <c r="VQT28" s="256" t="s">
        <v>80</v>
      </c>
      <c r="VQU28" s="256" t="s">
        <v>81</v>
      </c>
      <c r="VQV28" s="331"/>
      <c r="VQW28" s="290">
        <v>45492</v>
      </c>
      <c r="VQX28" s="339" t="s">
        <v>141</v>
      </c>
      <c r="VQY28" s="305"/>
      <c r="VQZ28" s="305">
        <v>1</v>
      </c>
      <c r="VRA28" s="304">
        <f t="shared" ref="VRA28" si="2626">EDATE(VQW28,VQZ28)</f>
        <v>45523</v>
      </c>
      <c r="VRB28" s="340">
        <v>0</v>
      </c>
      <c r="VRC28" s="320">
        <f t="shared" ref="VRC28" ca="1" si="2627">IF(VRD28&gt;=1,(VRB28/VQZ28),0)</f>
        <v>0</v>
      </c>
      <c r="VRD28" s="292">
        <f t="shared" ref="VRD28" ca="1" si="2628">VRA28-$G$5</f>
        <v>-591</v>
      </c>
      <c r="VRE28" s="259" t="s">
        <v>55</v>
      </c>
      <c r="VRF28" s="256" t="s">
        <v>76</v>
      </c>
      <c r="VRG28" s="256" t="s">
        <v>77</v>
      </c>
      <c r="VRH28" s="256" t="s">
        <v>78</v>
      </c>
      <c r="VRI28" s="256" t="s">
        <v>79</v>
      </c>
      <c r="VRJ28" s="256" t="s">
        <v>80</v>
      </c>
      <c r="VRK28" s="256" t="s">
        <v>81</v>
      </c>
      <c r="VRL28" s="331"/>
      <c r="VRM28" s="290">
        <v>45492</v>
      </c>
      <c r="VRN28" s="339" t="s">
        <v>141</v>
      </c>
      <c r="VRO28" s="305"/>
      <c r="VRP28" s="305">
        <v>1</v>
      </c>
      <c r="VRQ28" s="304">
        <f t="shared" ref="VRQ28" si="2629">EDATE(VRM28,VRP28)</f>
        <v>45523</v>
      </c>
      <c r="VRR28" s="340">
        <v>0</v>
      </c>
      <c r="VRS28" s="320">
        <f t="shared" ref="VRS28" ca="1" si="2630">IF(VRT28&gt;=1,(VRR28/VRP28),0)</f>
        <v>0</v>
      </c>
      <c r="VRT28" s="292">
        <f t="shared" ref="VRT28" ca="1" si="2631">VRQ28-$G$5</f>
        <v>-591</v>
      </c>
      <c r="VRU28" s="259" t="s">
        <v>55</v>
      </c>
      <c r="VRV28" s="256" t="s">
        <v>76</v>
      </c>
      <c r="VRW28" s="256" t="s">
        <v>77</v>
      </c>
      <c r="VRX28" s="256" t="s">
        <v>78</v>
      </c>
      <c r="VRY28" s="256" t="s">
        <v>79</v>
      </c>
      <c r="VRZ28" s="256" t="s">
        <v>80</v>
      </c>
      <c r="VSA28" s="256" t="s">
        <v>81</v>
      </c>
      <c r="VSB28" s="331"/>
      <c r="VSC28" s="290">
        <v>45492</v>
      </c>
      <c r="VSD28" s="339" t="s">
        <v>141</v>
      </c>
      <c r="VSE28" s="305"/>
      <c r="VSF28" s="305">
        <v>1</v>
      </c>
      <c r="VSG28" s="304">
        <f t="shared" ref="VSG28" si="2632">EDATE(VSC28,VSF28)</f>
        <v>45523</v>
      </c>
      <c r="VSH28" s="340">
        <v>0</v>
      </c>
      <c r="VSI28" s="320">
        <f t="shared" ref="VSI28" ca="1" si="2633">IF(VSJ28&gt;=1,(VSH28/VSF28),0)</f>
        <v>0</v>
      </c>
      <c r="VSJ28" s="292">
        <f t="shared" ref="VSJ28" ca="1" si="2634">VSG28-$G$5</f>
        <v>-591</v>
      </c>
      <c r="VSK28" s="259" t="s">
        <v>55</v>
      </c>
      <c r="VSL28" s="256" t="s">
        <v>76</v>
      </c>
      <c r="VSM28" s="256" t="s">
        <v>77</v>
      </c>
      <c r="VSN28" s="256" t="s">
        <v>78</v>
      </c>
      <c r="VSO28" s="256" t="s">
        <v>79</v>
      </c>
      <c r="VSP28" s="256" t="s">
        <v>80</v>
      </c>
      <c r="VSQ28" s="256" t="s">
        <v>81</v>
      </c>
      <c r="VSR28" s="331"/>
      <c r="VSS28" s="290">
        <v>45492</v>
      </c>
      <c r="VST28" s="339" t="s">
        <v>141</v>
      </c>
      <c r="VSU28" s="305"/>
      <c r="VSV28" s="305">
        <v>1</v>
      </c>
      <c r="VSW28" s="304">
        <f t="shared" ref="VSW28" si="2635">EDATE(VSS28,VSV28)</f>
        <v>45523</v>
      </c>
      <c r="VSX28" s="340">
        <v>0</v>
      </c>
      <c r="VSY28" s="320">
        <f t="shared" ref="VSY28" ca="1" si="2636">IF(VSZ28&gt;=1,(VSX28/VSV28),0)</f>
        <v>0</v>
      </c>
      <c r="VSZ28" s="292">
        <f t="shared" ref="VSZ28" ca="1" si="2637">VSW28-$G$5</f>
        <v>-591</v>
      </c>
      <c r="VTA28" s="259" t="s">
        <v>55</v>
      </c>
      <c r="VTB28" s="256" t="s">
        <v>76</v>
      </c>
      <c r="VTC28" s="256" t="s">
        <v>77</v>
      </c>
      <c r="VTD28" s="256" t="s">
        <v>78</v>
      </c>
      <c r="VTE28" s="256" t="s">
        <v>79</v>
      </c>
      <c r="VTF28" s="256" t="s">
        <v>80</v>
      </c>
      <c r="VTG28" s="256" t="s">
        <v>81</v>
      </c>
      <c r="VTH28" s="331"/>
      <c r="VTI28" s="290">
        <v>45492</v>
      </c>
      <c r="VTJ28" s="339" t="s">
        <v>141</v>
      </c>
      <c r="VTK28" s="305"/>
      <c r="VTL28" s="305">
        <v>1</v>
      </c>
      <c r="VTM28" s="304">
        <f t="shared" ref="VTM28" si="2638">EDATE(VTI28,VTL28)</f>
        <v>45523</v>
      </c>
      <c r="VTN28" s="340">
        <v>0</v>
      </c>
      <c r="VTO28" s="320">
        <f t="shared" ref="VTO28" ca="1" si="2639">IF(VTP28&gt;=1,(VTN28/VTL28),0)</f>
        <v>0</v>
      </c>
      <c r="VTP28" s="292">
        <f t="shared" ref="VTP28" ca="1" si="2640">VTM28-$G$5</f>
        <v>-591</v>
      </c>
      <c r="VTQ28" s="259" t="s">
        <v>55</v>
      </c>
      <c r="VTR28" s="256" t="s">
        <v>76</v>
      </c>
      <c r="VTS28" s="256" t="s">
        <v>77</v>
      </c>
      <c r="VTT28" s="256" t="s">
        <v>78</v>
      </c>
      <c r="VTU28" s="256" t="s">
        <v>79</v>
      </c>
      <c r="VTV28" s="256" t="s">
        <v>80</v>
      </c>
      <c r="VTW28" s="256" t="s">
        <v>81</v>
      </c>
      <c r="VTX28" s="331"/>
      <c r="VTY28" s="290">
        <v>45492</v>
      </c>
      <c r="VTZ28" s="339" t="s">
        <v>141</v>
      </c>
      <c r="VUA28" s="305"/>
      <c r="VUB28" s="305">
        <v>1</v>
      </c>
      <c r="VUC28" s="304">
        <f t="shared" ref="VUC28" si="2641">EDATE(VTY28,VUB28)</f>
        <v>45523</v>
      </c>
      <c r="VUD28" s="340">
        <v>0</v>
      </c>
      <c r="VUE28" s="320">
        <f t="shared" ref="VUE28" ca="1" si="2642">IF(VUF28&gt;=1,(VUD28/VUB28),0)</f>
        <v>0</v>
      </c>
      <c r="VUF28" s="292">
        <f t="shared" ref="VUF28" ca="1" si="2643">VUC28-$G$5</f>
        <v>-591</v>
      </c>
      <c r="VUG28" s="259" t="s">
        <v>55</v>
      </c>
      <c r="VUH28" s="256" t="s">
        <v>76</v>
      </c>
      <c r="VUI28" s="256" t="s">
        <v>77</v>
      </c>
      <c r="VUJ28" s="256" t="s">
        <v>78</v>
      </c>
      <c r="VUK28" s="256" t="s">
        <v>79</v>
      </c>
      <c r="VUL28" s="256" t="s">
        <v>80</v>
      </c>
      <c r="VUM28" s="256" t="s">
        <v>81</v>
      </c>
      <c r="VUN28" s="331"/>
      <c r="VUO28" s="290">
        <v>45492</v>
      </c>
      <c r="VUP28" s="339" t="s">
        <v>141</v>
      </c>
      <c r="VUQ28" s="305"/>
      <c r="VUR28" s="305">
        <v>1</v>
      </c>
      <c r="VUS28" s="304">
        <f t="shared" ref="VUS28" si="2644">EDATE(VUO28,VUR28)</f>
        <v>45523</v>
      </c>
      <c r="VUT28" s="340">
        <v>0</v>
      </c>
      <c r="VUU28" s="320">
        <f t="shared" ref="VUU28" ca="1" si="2645">IF(VUV28&gt;=1,(VUT28/VUR28),0)</f>
        <v>0</v>
      </c>
      <c r="VUV28" s="292">
        <f t="shared" ref="VUV28" ca="1" si="2646">VUS28-$G$5</f>
        <v>-591</v>
      </c>
      <c r="VUW28" s="259" t="s">
        <v>55</v>
      </c>
      <c r="VUX28" s="256" t="s">
        <v>76</v>
      </c>
      <c r="VUY28" s="256" t="s">
        <v>77</v>
      </c>
      <c r="VUZ28" s="256" t="s">
        <v>78</v>
      </c>
      <c r="VVA28" s="256" t="s">
        <v>79</v>
      </c>
      <c r="VVB28" s="256" t="s">
        <v>80</v>
      </c>
      <c r="VVC28" s="256" t="s">
        <v>81</v>
      </c>
      <c r="VVD28" s="331"/>
      <c r="VVE28" s="290">
        <v>45492</v>
      </c>
      <c r="VVF28" s="339" t="s">
        <v>141</v>
      </c>
      <c r="VVG28" s="305"/>
      <c r="VVH28" s="305">
        <v>1</v>
      </c>
      <c r="VVI28" s="304">
        <f t="shared" ref="VVI28" si="2647">EDATE(VVE28,VVH28)</f>
        <v>45523</v>
      </c>
      <c r="VVJ28" s="340">
        <v>0</v>
      </c>
      <c r="VVK28" s="320">
        <f t="shared" ref="VVK28" ca="1" si="2648">IF(VVL28&gt;=1,(VVJ28/VVH28),0)</f>
        <v>0</v>
      </c>
      <c r="VVL28" s="292">
        <f t="shared" ref="VVL28" ca="1" si="2649">VVI28-$G$5</f>
        <v>-591</v>
      </c>
      <c r="VVM28" s="259" t="s">
        <v>55</v>
      </c>
      <c r="VVN28" s="256" t="s">
        <v>76</v>
      </c>
      <c r="VVO28" s="256" t="s">
        <v>77</v>
      </c>
      <c r="VVP28" s="256" t="s">
        <v>78</v>
      </c>
      <c r="VVQ28" s="256" t="s">
        <v>79</v>
      </c>
      <c r="VVR28" s="256" t="s">
        <v>80</v>
      </c>
      <c r="VVS28" s="256" t="s">
        <v>81</v>
      </c>
      <c r="VVT28" s="331"/>
      <c r="VVU28" s="290">
        <v>45492</v>
      </c>
      <c r="VVV28" s="339" t="s">
        <v>141</v>
      </c>
      <c r="VVW28" s="305"/>
      <c r="VVX28" s="305">
        <v>1</v>
      </c>
      <c r="VVY28" s="304">
        <f t="shared" ref="VVY28" si="2650">EDATE(VVU28,VVX28)</f>
        <v>45523</v>
      </c>
      <c r="VVZ28" s="340">
        <v>0</v>
      </c>
      <c r="VWA28" s="320">
        <f t="shared" ref="VWA28" ca="1" si="2651">IF(VWB28&gt;=1,(VVZ28/VVX28),0)</f>
        <v>0</v>
      </c>
      <c r="VWB28" s="292">
        <f t="shared" ref="VWB28" ca="1" si="2652">VVY28-$G$5</f>
        <v>-591</v>
      </c>
      <c r="VWC28" s="259" t="s">
        <v>55</v>
      </c>
      <c r="VWD28" s="256" t="s">
        <v>76</v>
      </c>
      <c r="VWE28" s="256" t="s">
        <v>77</v>
      </c>
      <c r="VWF28" s="256" t="s">
        <v>78</v>
      </c>
      <c r="VWG28" s="256" t="s">
        <v>79</v>
      </c>
      <c r="VWH28" s="256" t="s">
        <v>80</v>
      </c>
      <c r="VWI28" s="256" t="s">
        <v>81</v>
      </c>
      <c r="VWJ28" s="331"/>
      <c r="VWK28" s="290">
        <v>45492</v>
      </c>
      <c r="VWL28" s="339" t="s">
        <v>141</v>
      </c>
      <c r="VWM28" s="305"/>
      <c r="VWN28" s="305">
        <v>1</v>
      </c>
      <c r="VWO28" s="304">
        <f t="shared" ref="VWO28" si="2653">EDATE(VWK28,VWN28)</f>
        <v>45523</v>
      </c>
      <c r="VWP28" s="340">
        <v>0</v>
      </c>
      <c r="VWQ28" s="320">
        <f t="shared" ref="VWQ28" ca="1" si="2654">IF(VWR28&gt;=1,(VWP28/VWN28),0)</f>
        <v>0</v>
      </c>
      <c r="VWR28" s="292">
        <f t="shared" ref="VWR28" ca="1" si="2655">VWO28-$G$5</f>
        <v>-591</v>
      </c>
      <c r="VWS28" s="259" t="s">
        <v>55</v>
      </c>
      <c r="VWT28" s="256" t="s">
        <v>76</v>
      </c>
      <c r="VWU28" s="256" t="s">
        <v>77</v>
      </c>
      <c r="VWV28" s="256" t="s">
        <v>78</v>
      </c>
      <c r="VWW28" s="256" t="s">
        <v>79</v>
      </c>
      <c r="VWX28" s="256" t="s">
        <v>80</v>
      </c>
      <c r="VWY28" s="256" t="s">
        <v>81</v>
      </c>
      <c r="VWZ28" s="331"/>
      <c r="VXA28" s="290">
        <v>45492</v>
      </c>
      <c r="VXB28" s="339" t="s">
        <v>141</v>
      </c>
      <c r="VXC28" s="305"/>
      <c r="VXD28" s="305">
        <v>1</v>
      </c>
      <c r="VXE28" s="304">
        <f t="shared" ref="VXE28" si="2656">EDATE(VXA28,VXD28)</f>
        <v>45523</v>
      </c>
      <c r="VXF28" s="340">
        <v>0</v>
      </c>
      <c r="VXG28" s="320">
        <f t="shared" ref="VXG28" ca="1" si="2657">IF(VXH28&gt;=1,(VXF28/VXD28),0)</f>
        <v>0</v>
      </c>
      <c r="VXH28" s="292">
        <f t="shared" ref="VXH28" ca="1" si="2658">VXE28-$G$5</f>
        <v>-591</v>
      </c>
      <c r="VXI28" s="259" t="s">
        <v>55</v>
      </c>
      <c r="VXJ28" s="256" t="s">
        <v>76</v>
      </c>
      <c r="VXK28" s="256" t="s">
        <v>77</v>
      </c>
      <c r="VXL28" s="256" t="s">
        <v>78</v>
      </c>
      <c r="VXM28" s="256" t="s">
        <v>79</v>
      </c>
      <c r="VXN28" s="256" t="s">
        <v>80</v>
      </c>
      <c r="VXO28" s="256" t="s">
        <v>81</v>
      </c>
      <c r="VXP28" s="331"/>
      <c r="VXQ28" s="290">
        <v>45492</v>
      </c>
      <c r="VXR28" s="339" t="s">
        <v>141</v>
      </c>
      <c r="VXS28" s="305"/>
      <c r="VXT28" s="305">
        <v>1</v>
      </c>
      <c r="VXU28" s="304">
        <f t="shared" ref="VXU28" si="2659">EDATE(VXQ28,VXT28)</f>
        <v>45523</v>
      </c>
      <c r="VXV28" s="340">
        <v>0</v>
      </c>
      <c r="VXW28" s="320">
        <f t="shared" ref="VXW28" ca="1" si="2660">IF(VXX28&gt;=1,(VXV28/VXT28),0)</f>
        <v>0</v>
      </c>
      <c r="VXX28" s="292">
        <f t="shared" ref="VXX28" ca="1" si="2661">VXU28-$G$5</f>
        <v>-591</v>
      </c>
      <c r="VXY28" s="259" t="s">
        <v>55</v>
      </c>
      <c r="VXZ28" s="256" t="s">
        <v>76</v>
      </c>
      <c r="VYA28" s="256" t="s">
        <v>77</v>
      </c>
      <c r="VYB28" s="256" t="s">
        <v>78</v>
      </c>
      <c r="VYC28" s="256" t="s">
        <v>79</v>
      </c>
      <c r="VYD28" s="256" t="s">
        <v>80</v>
      </c>
      <c r="VYE28" s="256" t="s">
        <v>81</v>
      </c>
      <c r="VYF28" s="331"/>
      <c r="VYG28" s="290">
        <v>45492</v>
      </c>
      <c r="VYH28" s="339" t="s">
        <v>141</v>
      </c>
      <c r="VYI28" s="305"/>
      <c r="VYJ28" s="305">
        <v>1</v>
      </c>
      <c r="VYK28" s="304">
        <f t="shared" ref="VYK28" si="2662">EDATE(VYG28,VYJ28)</f>
        <v>45523</v>
      </c>
      <c r="VYL28" s="340">
        <v>0</v>
      </c>
      <c r="VYM28" s="320">
        <f t="shared" ref="VYM28" ca="1" si="2663">IF(VYN28&gt;=1,(VYL28/VYJ28),0)</f>
        <v>0</v>
      </c>
      <c r="VYN28" s="292">
        <f t="shared" ref="VYN28" ca="1" si="2664">VYK28-$G$5</f>
        <v>-591</v>
      </c>
      <c r="VYO28" s="259" t="s">
        <v>55</v>
      </c>
      <c r="VYP28" s="256" t="s">
        <v>76</v>
      </c>
      <c r="VYQ28" s="256" t="s">
        <v>77</v>
      </c>
      <c r="VYR28" s="256" t="s">
        <v>78</v>
      </c>
      <c r="VYS28" s="256" t="s">
        <v>79</v>
      </c>
      <c r="VYT28" s="256" t="s">
        <v>80</v>
      </c>
      <c r="VYU28" s="256" t="s">
        <v>81</v>
      </c>
      <c r="VYV28" s="331"/>
      <c r="VYW28" s="290">
        <v>45492</v>
      </c>
      <c r="VYX28" s="339" t="s">
        <v>141</v>
      </c>
      <c r="VYY28" s="305"/>
      <c r="VYZ28" s="305">
        <v>1</v>
      </c>
      <c r="VZA28" s="304">
        <f t="shared" ref="VZA28" si="2665">EDATE(VYW28,VYZ28)</f>
        <v>45523</v>
      </c>
      <c r="VZB28" s="340">
        <v>0</v>
      </c>
      <c r="VZC28" s="320">
        <f t="shared" ref="VZC28" ca="1" si="2666">IF(VZD28&gt;=1,(VZB28/VYZ28),0)</f>
        <v>0</v>
      </c>
      <c r="VZD28" s="292">
        <f t="shared" ref="VZD28" ca="1" si="2667">VZA28-$G$5</f>
        <v>-591</v>
      </c>
      <c r="VZE28" s="259" t="s">
        <v>55</v>
      </c>
      <c r="VZF28" s="256" t="s">
        <v>76</v>
      </c>
      <c r="VZG28" s="256" t="s">
        <v>77</v>
      </c>
      <c r="VZH28" s="256" t="s">
        <v>78</v>
      </c>
      <c r="VZI28" s="256" t="s">
        <v>79</v>
      </c>
      <c r="VZJ28" s="256" t="s">
        <v>80</v>
      </c>
      <c r="VZK28" s="256" t="s">
        <v>81</v>
      </c>
      <c r="VZL28" s="331"/>
      <c r="VZM28" s="290">
        <v>45492</v>
      </c>
      <c r="VZN28" s="339" t="s">
        <v>141</v>
      </c>
      <c r="VZO28" s="305"/>
      <c r="VZP28" s="305">
        <v>1</v>
      </c>
      <c r="VZQ28" s="304">
        <f t="shared" ref="VZQ28" si="2668">EDATE(VZM28,VZP28)</f>
        <v>45523</v>
      </c>
      <c r="VZR28" s="340">
        <v>0</v>
      </c>
      <c r="VZS28" s="320">
        <f t="shared" ref="VZS28" ca="1" si="2669">IF(VZT28&gt;=1,(VZR28/VZP28),0)</f>
        <v>0</v>
      </c>
      <c r="VZT28" s="292">
        <f t="shared" ref="VZT28" ca="1" si="2670">VZQ28-$G$5</f>
        <v>-591</v>
      </c>
      <c r="VZU28" s="259" t="s">
        <v>55</v>
      </c>
      <c r="VZV28" s="256" t="s">
        <v>76</v>
      </c>
      <c r="VZW28" s="256" t="s">
        <v>77</v>
      </c>
      <c r="VZX28" s="256" t="s">
        <v>78</v>
      </c>
      <c r="VZY28" s="256" t="s">
        <v>79</v>
      </c>
      <c r="VZZ28" s="256" t="s">
        <v>80</v>
      </c>
      <c r="WAA28" s="256" t="s">
        <v>81</v>
      </c>
      <c r="WAB28" s="331"/>
      <c r="WAC28" s="290">
        <v>45492</v>
      </c>
      <c r="WAD28" s="339" t="s">
        <v>141</v>
      </c>
      <c r="WAE28" s="305"/>
      <c r="WAF28" s="305">
        <v>1</v>
      </c>
      <c r="WAG28" s="304">
        <f t="shared" ref="WAG28" si="2671">EDATE(WAC28,WAF28)</f>
        <v>45523</v>
      </c>
      <c r="WAH28" s="340">
        <v>0</v>
      </c>
      <c r="WAI28" s="320">
        <f t="shared" ref="WAI28" ca="1" si="2672">IF(WAJ28&gt;=1,(WAH28/WAF28),0)</f>
        <v>0</v>
      </c>
      <c r="WAJ28" s="292">
        <f t="shared" ref="WAJ28" ca="1" si="2673">WAG28-$G$5</f>
        <v>-591</v>
      </c>
      <c r="WAK28" s="259" t="s">
        <v>55</v>
      </c>
      <c r="WAL28" s="256" t="s">
        <v>76</v>
      </c>
      <c r="WAM28" s="256" t="s">
        <v>77</v>
      </c>
      <c r="WAN28" s="256" t="s">
        <v>78</v>
      </c>
      <c r="WAO28" s="256" t="s">
        <v>79</v>
      </c>
      <c r="WAP28" s="256" t="s">
        <v>80</v>
      </c>
      <c r="WAQ28" s="256" t="s">
        <v>81</v>
      </c>
      <c r="WAR28" s="331"/>
      <c r="WAS28" s="290">
        <v>45492</v>
      </c>
      <c r="WAT28" s="339" t="s">
        <v>141</v>
      </c>
      <c r="WAU28" s="305"/>
      <c r="WAV28" s="305">
        <v>1</v>
      </c>
      <c r="WAW28" s="304">
        <f t="shared" ref="WAW28" si="2674">EDATE(WAS28,WAV28)</f>
        <v>45523</v>
      </c>
      <c r="WAX28" s="340">
        <v>0</v>
      </c>
      <c r="WAY28" s="320">
        <f t="shared" ref="WAY28" ca="1" si="2675">IF(WAZ28&gt;=1,(WAX28/WAV28),0)</f>
        <v>0</v>
      </c>
      <c r="WAZ28" s="292">
        <f t="shared" ref="WAZ28" ca="1" si="2676">WAW28-$G$5</f>
        <v>-591</v>
      </c>
      <c r="WBA28" s="259" t="s">
        <v>55</v>
      </c>
      <c r="WBB28" s="256" t="s">
        <v>76</v>
      </c>
      <c r="WBC28" s="256" t="s">
        <v>77</v>
      </c>
      <c r="WBD28" s="256" t="s">
        <v>78</v>
      </c>
      <c r="WBE28" s="256" t="s">
        <v>79</v>
      </c>
      <c r="WBF28" s="256" t="s">
        <v>80</v>
      </c>
      <c r="WBG28" s="256" t="s">
        <v>81</v>
      </c>
      <c r="WBH28" s="331"/>
      <c r="WBI28" s="290">
        <v>45492</v>
      </c>
      <c r="WBJ28" s="339" t="s">
        <v>141</v>
      </c>
      <c r="WBK28" s="305"/>
      <c r="WBL28" s="305">
        <v>1</v>
      </c>
      <c r="WBM28" s="304">
        <f t="shared" ref="WBM28" si="2677">EDATE(WBI28,WBL28)</f>
        <v>45523</v>
      </c>
      <c r="WBN28" s="340">
        <v>0</v>
      </c>
      <c r="WBO28" s="320">
        <f t="shared" ref="WBO28" ca="1" si="2678">IF(WBP28&gt;=1,(WBN28/WBL28),0)</f>
        <v>0</v>
      </c>
      <c r="WBP28" s="292">
        <f t="shared" ref="WBP28" ca="1" si="2679">WBM28-$G$5</f>
        <v>-591</v>
      </c>
      <c r="WBQ28" s="259" t="s">
        <v>55</v>
      </c>
      <c r="WBR28" s="256" t="s">
        <v>76</v>
      </c>
      <c r="WBS28" s="256" t="s">
        <v>77</v>
      </c>
      <c r="WBT28" s="256" t="s">
        <v>78</v>
      </c>
      <c r="WBU28" s="256" t="s">
        <v>79</v>
      </c>
      <c r="WBV28" s="256" t="s">
        <v>80</v>
      </c>
      <c r="WBW28" s="256" t="s">
        <v>81</v>
      </c>
      <c r="WBX28" s="331"/>
      <c r="WBY28" s="290">
        <v>45492</v>
      </c>
      <c r="WBZ28" s="339" t="s">
        <v>141</v>
      </c>
      <c r="WCA28" s="305"/>
      <c r="WCB28" s="305">
        <v>1</v>
      </c>
      <c r="WCC28" s="304">
        <f t="shared" ref="WCC28" si="2680">EDATE(WBY28,WCB28)</f>
        <v>45523</v>
      </c>
      <c r="WCD28" s="340">
        <v>0</v>
      </c>
      <c r="WCE28" s="320">
        <f t="shared" ref="WCE28" ca="1" si="2681">IF(WCF28&gt;=1,(WCD28/WCB28),0)</f>
        <v>0</v>
      </c>
      <c r="WCF28" s="292">
        <f t="shared" ref="WCF28" ca="1" si="2682">WCC28-$G$5</f>
        <v>-591</v>
      </c>
      <c r="WCG28" s="259" t="s">
        <v>55</v>
      </c>
      <c r="WCH28" s="256" t="s">
        <v>76</v>
      </c>
      <c r="WCI28" s="256" t="s">
        <v>77</v>
      </c>
      <c r="WCJ28" s="256" t="s">
        <v>78</v>
      </c>
      <c r="WCK28" s="256" t="s">
        <v>79</v>
      </c>
      <c r="WCL28" s="256" t="s">
        <v>80</v>
      </c>
      <c r="WCM28" s="256" t="s">
        <v>81</v>
      </c>
      <c r="WCN28" s="331"/>
      <c r="WCO28" s="290">
        <v>45492</v>
      </c>
      <c r="WCP28" s="339" t="s">
        <v>141</v>
      </c>
      <c r="WCQ28" s="305"/>
      <c r="WCR28" s="305">
        <v>1</v>
      </c>
      <c r="WCS28" s="304">
        <f t="shared" ref="WCS28" si="2683">EDATE(WCO28,WCR28)</f>
        <v>45523</v>
      </c>
      <c r="WCT28" s="340">
        <v>0</v>
      </c>
      <c r="WCU28" s="320">
        <f t="shared" ref="WCU28" ca="1" si="2684">IF(WCV28&gt;=1,(WCT28/WCR28),0)</f>
        <v>0</v>
      </c>
      <c r="WCV28" s="292">
        <f t="shared" ref="WCV28" ca="1" si="2685">WCS28-$G$5</f>
        <v>-591</v>
      </c>
      <c r="WCW28" s="259" t="s">
        <v>55</v>
      </c>
      <c r="WCX28" s="256" t="s">
        <v>76</v>
      </c>
      <c r="WCY28" s="256" t="s">
        <v>77</v>
      </c>
      <c r="WCZ28" s="256" t="s">
        <v>78</v>
      </c>
      <c r="WDA28" s="256" t="s">
        <v>79</v>
      </c>
      <c r="WDB28" s="256" t="s">
        <v>80</v>
      </c>
      <c r="WDC28" s="256" t="s">
        <v>81</v>
      </c>
      <c r="WDD28" s="331"/>
      <c r="WDE28" s="290">
        <v>45492</v>
      </c>
      <c r="WDF28" s="339" t="s">
        <v>141</v>
      </c>
      <c r="WDG28" s="305"/>
      <c r="WDH28" s="305">
        <v>1</v>
      </c>
      <c r="WDI28" s="304">
        <f t="shared" ref="WDI28" si="2686">EDATE(WDE28,WDH28)</f>
        <v>45523</v>
      </c>
      <c r="WDJ28" s="340">
        <v>0</v>
      </c>
      <c r="WDK28" s="320">
        <f t="shared" ref="WDK28" ca="1" si="2687">IF(WDL28&gt;=1,(WDJ28/WDH28),0)</f>
        <v>0</v>
      </c>
      <c r="WDL28" s="292">
        <f t="shared" ref="WDL28" ca="1" si="2688">WDI28-$G$5</f>
        <v>-591</v>
      </c>
      <c r="WDM28" s="259" t="s">
        <v>55</v>
      </c>
      <c r="WDN28" s="256" t="s">
        <v>76</v>
      </c>
      <c r="WDO28" s="256" t="s">
        <v>77</v>
      </c>
      <c r="WDP28" s="256" t="s">
        <v>78</v>
      </c>
      <c r="WDQ28" s="256" t="s">
        <v>79</v>
      </c>
      <c r="WDR28" s="256" t="s">
        <v>80</v>
      </c>
      <c r="WDS28" s="256" t="s">
        <v>81</v>
      </c>
      <c r="WDT28" s="331"/>
      <c r="WDU28" s="290">
        <v>45492</v>
      </c>
      <c r="WDV28" s="339" t="s">
        <v>141</v>
      </c>
      <c r="WDW28" s="305"/>
      <c r="WDX28" s="305">
        <v>1</v>
      </c>
      <c r="WDY28" s="304">
        <f t="shared" ref="WDY28" si="2689">EDATE(WDU28,WDX28)</f>
        <v>45523</v>
      </c>
      <c r="WDZ28" s="340">
        <v>0</v>
      </c>
      <c r="WEA28" s="320">
        <f t="shared" ref="WEA28" ca="1" si="2690">IF(WEB28&gt;=1,(WDZ28/WDX28),0)</f>
        <v>0</v>
      </c>
      <c r="WEB28" s="292">
        <f t="shared" ref="WEB28" ca="1" si="2691">WDY28-$G$5</f>
        <v>-591</v>
      </c>
      <c r="WEC28" s="259" t="s">
        <v>55</v>
      </c>
      <c r="WED28" s="256" t="s">
        <v>76</v>
      </c>
      <c r="WEE28" s="256" t="s">
        <v>77</v>
      </c>
      <c r="WEF28" s="256" t="s">
        <v>78</v>
      </c>
      <c r="WEG28" s="256" t="s">
        <v>79</v>
      </c>
      <c r="WEH28" s="256" t="s">
        <v>80</v>
      </c>
      <c r="WEI28" s="256" t="s">
        <v>81</v>
      </c>
      <c r="WEJ28" s="331"/>
      <c r="WEK28" s="290">
        <v>45492</v>
      </c>
      <c r="WEL28" s="339" t="s">
        <v>141</v>
      </c>
      <c r="WEM28" s="305"/>
      <c r="WEN28" s="305">
        <v>1</v>
      </c>
      <c r="WEO28" s="304">
        <f t="shared" ref="WEO28" si="2692">EDATE(WEK28,WEN28)</f>
        <v>45523</v>
      </c>
      <c r="WEP28" s="340">
        <v>0</v>
      </c>
      <c r="WEQ28" s="320">
        <f t="shared" ref="WEQ28" ca="1" si="2693">IF(WER28&gt;=1,(WEP28/WEN28),0)</f>
        <v>0</v>
      </c>
      <c r="WER28" s="292">
        <f t="shared" ref="WER28" ca="1" si="2694">WEO28-$G$5</f>
        <v>-591</v>
      </c>
      <c r="WES28" s="259" t="s">
        <v>55</v>
      </c>
      <c r="WET28" s="256" t="s">
        <v>76</v>
      </c>
      <c r="WEU28" s="256" t="s">
        <v>77</v>
      </c>
      <c r="WEV28" s="256" t="s">
        <v>78</v>
      </c>
      <c r="WEW28" s="256" t="s">
        <v>79</v>
      </c>
      <c r="WEX28" s="256" t="s">
        <v>80</v>
      </c>
      <c r="WEY28" s="256" t="s">
        <v>81</v>
      </c>
      <c r="WEZ28" s="331"/>
      <c r="WFA28" s="290">
        <v>45492</v>
      </c>
      <c r="WFB28" s="339" t="s">
        <v>141</v>
      </c>
      <c r="WFC28" s="305"/>
      <c r="WFD28" s="305">
        <v>1</v>
      </c>
      <c r="WFE28" s="304">
        <f t="shared" ref="WFE28" si="2695">EDATE(WFA28,WFD28)</f>
        <v>45523</v>
      </c>
      <c r="WFF28" s="340">
        <v>0</v>
      </c>
      <c r="WFG28" s="320">
        <f t="shared" ref="WFG28" ca="1" si="2696">IF(WFH28&gt;=1,(WFF28/WFD28),0)</f>
        <v>0</v>
      </c>
      <c r="WFH28" s="292">
        <f t="shared" ref="WFH28" ca="1" si="2697">WFE28-$G$5</f>
        <v>-591</v>
      </c>
      <c r="WFI28" s="259" t="s">
        <v>55</v>
      </c>
      <c r="WFJ28" s="256" t="s">
        <v>76</v>
      </c>
      <c r="WFK28" s="256" t="s">
        <v>77</v>
      </c>
      <c r="WFL28" s="256" t="s">
        <v>78</v>
      </c>
      <c r="WFM28" s="256" t="s">
        <v>79</v>
      </c>
      <c r="WFN28" s="256" t="s">
        <v>80</v>
      </c>
      <c r="WFO28" s="256" t="s">
        <v>81</v>
      </c>
      <c r="WFP28" s="331"/>
      <c r="WFQ28" s="290">
        <v>45492</v>
      </c>
      <c r="WFR28" s="339" t="s">
        <v>141</v>
      </c>
      <c r="WFS28" s="305"/>
      <c r="WFT28" s="305">
        <v>1</v>
      </c>
      <c r="WFU28" s="304">
        <f t="shared" ref="WFU28" si="2698">EDATE(WFQ28,WFT28)</f>
        <v>45523</v>
      </c>
      <c r="WFV28" s="340">
        <v>0</v>
      </c>
      <c r="WFW28" s="320">
        <f t="shared" ref="WFW28" ca="1" si="2699">IF(WFX28&gt;=1,(WFV28/WFT28),0)</f>
        <v>0</v>
      </c>
      <c r="WFX28" s="292">
        <f t="shared" ref="WFX28" ca="1" si="2700">WFU28-$G$5</f>
        <v>-591</v>
      </c>
      <c r="WFY28" s="259" t="s">
        <v>55</v>
      </c>
      <c r="WFZ28" s="256" t="s">
        <v>76</v>
      </c>
      <c r="WGA28" s="256" t="s">
        <v>77</v>
      </c>
      <c r="WGB28" s="256" t="s">
        <v>78</v>
      </c>
      <c r="WGC28" s="256" t="s">
        <v>79</v>
      </c>
      <c r="WGD28" s="256" t="s">
        <v>80</v>
      </c>
      <c r="WGE28" s="256" t="s">
        <v>81</v>
      </c>
      <c r="WGF28" s="331"/>
      <c r="WGG28" s="290">
        <v>45492</v>
      </c>
      <c r="WGH28" s="339" t="s">
        <v>141</v>
      </c>
      <c r="WGI28" s="305"/>
      <c r="WGJ28" s="305">
        <v>1</v>
      </c>
      <c r="WGK28" s="304">
        <f t="shared" ref="WGK28" si="2701">EDATE(WGG28,WGJ28)</f>
        <v>45523</v>
      </c>
      <c r="WGL28" s="340">
        <v>0</v>
      </c>
      <c r="WGM28" s="320">
        <f t="shared" ref="WGM28" ca="1" si="2702">IF(WGN28&gt;=1,(WGL28/WGJ28),0)</f>
        <v>0</v>
      </c>
      <c r="WGN28" s="292">
        <f t="shared" ref="WGN28" ca="1" si="2703">WGK28-$G$5</f>
        <v>-591</v>
      </c>
      <c r="WGO28" s="259" t="s">
        <v>55</v>
      </c>
      <c r="WGP28" s="256" t="s">
        <v>76</v>
      </c>
      <c r="WGQ28" s="256" t="s">
        <v>77</v>
      </c>
      <c r="WGR28" s="256" t="s">
        <v>78</v>
      </c>
      <c r="WGS28" s="256" t="s">
        <v>79</v>
      </c>
      <c r="WGT28" s="256" t="s">
        <v>80</v>
      </c>
      <c r="WGU28" s="256" t="s">
        <v>81</v>
      </c>
      <c r="WGV28" s="331"/>
      <c r="WGW28" s="290">
        <v>45492</v>
      </c>
      <c r="WGX28" s="339" t="s">
        <v>141</v>
      </c>
      <c r="WGY28" s="305"/>
      <c r="WGZ28" s="305">
        <v>1</v>
      </c>
      <c r="WHA28" s="304">
        <f t="shared" ref="WHA28" si="2704">EDATE(WGW28,WGZ28)</f>
        <v>45523</v>
      </c>
      <c r="WHB28" s="340">
        <v>0</v>
      </c>
      <c r="WHC28" s="320">
        <f t="shared" ref="WHC28" ca="1" si="2705">IF(WHD28&gt;=1,(WHB28/WGZ28),0)</f>
        <v>0</v>
      </c>
      <c r="WHD28" s="292">
        <f t="shared" ref="WHD28" ca="1" si="2706">WHA28-$G$5</f>
        <v>-591</v>
      </c>
      <c r="WHE28" s="259" t="s">
        <v>55</v>
      </c>
      <c r="WHF28" s="256" t="s">
        <v>76</v>
      </c>
      <c r="WHG28" s="256" t="s">
        <v>77</v>
      </c>
      <c r="WHH28" s="256" t="s">
        <v>78</v>
      </c>
      <c r="WHI28" s="256" t="s">
        <v>79</v>
      </c>
      <c r="WHJ28" s="256" t="s">
        <v>80</v>
      </c>
      <c r="WHK28" s="256" t="s">
        <v>81</v>
      </c>
      <c r="WHL28" s="331"/>
      <c r="WHM28" s="290">
        <v>45492</v>
      </c>
      <c r="WHN28" s="339" t="s">
        <v>141</v>
      </c>
      <c r="WHO28" s="305"/>
      <c r="WHP28" s="305">
        <v>1</v>
      </c>
      <c r="WHQ28" s="304">
        <f t="shared" ref="WHQ28" si="2707">EDATE(WHM28,WHP28)</f>
        <v>45523</v>
      </c>
      <c r="WHR28" s="340">
        <v>0</v>
      </c>
      <c r="WHS28" s="320">
        <f t="shared" ref="WHS28" ca="1" si="2708">IF(WHT28&gt;=1,(WHR28/WHP28),0)</f>
        <v>0</v>
      </c>
      <c r="WHT28" s="292">
        <f t="shared" ref="WHT28" ca="1" si="2709">WHQ28-$G$5</f>
        <v>-591</v>
      </c>
      <c r="WHU28" s="259" t="s">
        <v>55</v>
      </c>
      <c r="WHV28" s="256" t="s">
        <v>76</v>
      </c>
      <c r="WHW28" s="256" t="s">
        <v>77</v>
      </c>
      <c r="WHX28" s="256" t="s">
        <v>78</v>
      </c>
      <c r="WHY28" s="256" t="s">
        <v>79</v>
      </c>
      <c r="WHZ28" s="256" t="s">
        <v>80</v>
      </c>
      <c r="WIA28" s="256" t="s">
        <v>81</v>
      </c>
      <c r="WIB28" s="331"/>
      <c r="WIC28" s="290">
        <v>45492</v>
      </c>
      <c r="WID28" s="339" t="s">
        <v>141</v>
      </c>
      <c r="WIE28" s="305"/>
      <c r="WIF28" s="305">
        <v>1</v>
      </c>
      <c r="WIG28" s="304">
        <f t="shared" ref="WIG28" si="2710">EDATE(WIC28,WIF28)</f>
        <v>45523</v>
      </c>
      <c r="WIH28" s="340">
        <v>0</v>
      </c>
      <c r="WII28" s="320">
        <f t="shared" ref="WII28" ca="1" si="2711">IF(WIJ28&gt;=1,(WIH28/WIF28),0)</f>
        <v>0</v>
      </c>
      <c r="WIJ28" s="292">
        <f t="shared" ref="WIJ28" ca="1" si="2712">WIG28-$G$5</f>
        <v>-591</v>
      </c>
      <c r="WIK28" s="259" t="s">
        <v>55</v>
      </c>
      <c r="WIL28" s="256" t="s">
        <v>76</v>
      </c>
      <c r="WIM28" s="256" t="s">
        <v>77</v>
      </c>
      <c r="WIN28" s="256" t="s">
        <v>78</v>
      </c>
      <c r="WIO28" s="256" t="s">
        <v>79</v>
      </c>
      <c r="WIP28" s="256" t="s">
        <v>80</v>
      </c>
      <c r="WIQ28" s="256" t="s">
        <v>81</v>
      </c>
      <c r="WIR28" s="331"/>
      <c r="WIS28" s="290">
        <v>45492</v>
      </c>
      <c r="WIT28" s="339" t="s">
        <v>141</v>
      </c>
      <c r="WIU28" s="305"/>
      <c r="WIV28" s="305">
        <v>1</v>
      </c>
      <c r="WIW28" s="304">
        <f t="shared" ref="WIW28" si="2713">EDATE(WIS28,WIV28)</f>
        <v>45523</v>
      </c>
      <c r="WIX28" s="340">
        <v>0</v>
      </c>
      <c r="WIY28" s="320">
        <f t="shared" ref="WIY28" ca="1" si="2714">IF(WIZ28&gt;=1,(WIX28/WIV28),0)</f>
        <v>0</v>
      </c>
      <c r="WIZ28" s="292">
        <f t="shared" ref="WIZ28" ca="1" si="2715">WIW28-$G$5</f>
        <v>-591</v>
      </c>
      <c r="WJA28" s="259" t="s">
        <v>55</v>
      </c>
      <c r="WJB28" s="256" t="s">
        <v>76</v>
      </c>
      <c r="WJC28" s="256" t="s">
        <v>77</v>
      </c>
      <c r="WJD28" s="256" t="s">
        <v>78</v>
      </c>
      <c r="WJE28" s="256" t="s">
        <v>79</v>
      </c>
      <c r="WJF28" s="256" t="s">
        <v>80</v>
      </c>
      <c r="WJG28" s="256" t="s">
        <v>81</v>
      </c>
      <c r="WJH28" s="331"/>
      <c r="WJI28" s="290">
        <v>45492</v>
      </c>
      <c r="WJJ28" s="339" t="s">
        <v>141</v>
      </c>
      <c r="WJK28" s="305"/>
      <c r="WJL28" s="305">
        <v>1</v>
      </c>
      <c r="WJM28" s="304">
        <f t="shared" ref="WJM28" si="2716">EDATE(WJI28,WJL28)</f>
        <v>45523</v>
      </c>
      <c r="WJN28" s="340">
        <v>0</v>
      </c>
      <c r="WJO28" s="320">
        <f t="shared" ref="WJO28" ca="1" si="2717">IF(WJP28&gt;=1,(WJN28/WJL28),0)</f>
        <v>0</v>
      </c>
      <c r="WJP28" s="292">
        <f t="shared" ref="WJP28" ca="1" si="2718">WJM28-$G$5</f>
        <v>-591</v>
      </c>
      <c r="WJQ28" s="259" t="s">
        <v>55</v>
      </c>
      <c r="WJR28" s="256" t="s">
        <v>76</v>
      </c>
      <c r="WJS28" s="256" t="s">
        <v>77</v>
      </c>
      <c r="WJT28" s="256" t="s">
        <v>78</v>
      </c>
      <c r="WJU28" s="256" t="s">
        <v>79</v>
      </c>
      <c r="WJV28" s="256" t="s">
        <v>80</v>
      </c>
      <c r="WJW28" s="256" t="s">
        <v>81</v>
      </c>
      <c r="WJX28" s="331"/>
      <c r="WJY28" s="290">
        <v>45492</v>
      </c>
      <c r="WJZ28" s="339" t="s">
        <v>141</v>
      </c>
      <c r="WKA28" s="305"/>
      <c r="WKB28" s="305">
        <v>1</v>
      </c>
      <c r="WKC28" s="304">
        <f t="shared" ref="WKC28" si="2719">EDATE(WJY28,WKB28)</f>
        <v>45523</v>
      </c>
      <c r="WKD28" s="340">
        <v>0</v>
      </c>
      <c r="WKE28" s="320">
        <f t="shared" ref="WKE28" ca="1" si="2720">IF(WKF28&gt;=1,(WKD28/WKB28),0)</f>
        <v>0</v>
      </c>
      <c r="WKF28" s="292">
        <f t="shared" ref="WKF28" ca="1" si="2721">WKC28-$G$5</f>
        <v>-591</v>
      </c>
      <c r="WKG28" s="259" t="s">
        <v>55</v>
      </c>
      <c r="WKH28" s="256" t="s">
        <v>76</v>
      </c>
      <c r="WKI28" s="256" t="s">
        <v>77</v>
      </c>
      <c r="WKJ28" s="256" t="s">
        <v>78</v>
      </c>
      <c r="WKK28" s="256" t="s">
        <v>79</v>
      </c>
      <c r="WKL28" s="256" t="s">
        <v>80</v>
      </c>
      <c r="WKM28" s="256" t="s">
        <v>81</v>
      </c>
      <c r="WKN28" s="331"/>
      <c r="WKO28" s="290">
        <v>45492</v>
      </c>
      <c r="WKP28" s="339" t="s">
        <v>141</v>
      </c>
      <c r="WKQ28" s="305"/>
      <c r="WKR28" s="305">
        <v>1</v>
      </c>
      <c r="WKS28" s="304">
        <f t="shared" ref="WKS28" si="2722">EDATE(WKO28,WKR28)</f>
        <v>45523</v>
      </c>
      <c r="WKT28" s="340">
        <v>0</v>
      </c>
      <c r="WKU28" s="320">
        <f t="shared" ref="WKU28" ca="1" si="2723">IF(WKV28&gt;=1,(WKT28/WKR28),0)</f>
        <v>0</v>
      </c>
      <c r="WKV28" s="292">
        <f t="shared" ref="WKV28" ca="1" si="2724">WKS28-$G$5</f>
        <v>-591</v>
      </c>
      <c r="WKW28" s="259" t="s">
        <v>55</v>
      </c>
      <c r="WKX28" s="256" t="s">
        <v>76</v>
      </c>
      <c r="WKY28" s="256" t="s">
        <v>77</v>
      </c>
      <c r="WKZ28" s="256" t="s">
        <v>78</v>
      </c>
      <c r="WLA28" s="256" t="s">
        <v>79</v>
      </c>
      <c r="WLB28" s="256" t="s">
        <v>80</v>
      </c>
      <c r="WLC28" s="256" t="s">
        <v>81</v>
      </c>
      <c r="WLD28" s="331"/>
      <c r="WLE28" s="290">
        <v>45492</v>
      </c>
      <c r="WLF28" s="339" t="s">
        <v>141</v>
      </c>
      <c r="WLG28" s="305"/>
      <c r="WLH28" s="305">
        <v>1</v>
      </c>
      <c r="WLI28" s="304">
        <f t="shared" ref="WLI28" si="2725">EDATE(WLE28,WLH28)</f>
        <v>45523</v>
      </c>
      <c r="WLJ28" s="340">
        <v>0</v>
      </c>
      <c r="WLK28" s="320">
        <f t="shared" ref="WLK28" ca="1" si="2726">IF(WLL28&gt;=1,(WLJ28/WLH28),0)</f>
        <v>0</v>
      </c>
      <c r="WLL28" s="292">
        <f t="shared" ref="WLL28" ca="1" si="2727">WLI28-$G$5</f>
        <v>-591</v>
      </c>
      <c r="WLM28" s="259" t="s">
        <v>55</v>
      </c>
      <c r="WLN28" s="256" t="s">
        <v>76</v>
      </c>
      <c r="WLO28" s="256" t="s">
        <v>77</v>
      </c>
      <c r="WLP28" s="256" t="s">
        <v>78</v>
      </c>
      <c r="WLQ28" s="256" t="s">
        <v>79</v>
      </c>
      <c r="WLR28" s="256" t="s">
        <v>80</v>
      </c>
      <c r="WLS28" s="256" t="s">
        <v>81</v>
      </c>
      <c r="WLT28" s="331"/>
      <c r="WLU28" s="290">
        <v>45492</v>
      </c>
      <c r="WLV28" s="339" t="s">
        <v>141</v>
      </c>
      <c r="WLW28" s="305"/>
      <c r="WLX28" s="305">
        <v>1</v>
      </c>
      <c r="WLY28" s="304">
        <f t="shared" ref="WLY28" si="2728">EDATE(WLU28,WLX28)</f>
        <v>45523</v>
      </c>
      <c r="WLZ28" s="340">
        <v>0</v>
      </c>
      <c r="WMA28" s="320">
        <f t="shared" ref="WMA28" ca="1" si="2729">IF(WMB28&gt;=1,(WLZ28/WLX28),0)</f>
        <v>0</v>
      </c>
      <c r="WMB28" s="292">
        <f t="shared" ref="WMB28" ca="1" si="2730">WLY28-$G$5</f>
        <v>-591</v>
      </c>
      <c r="WMC28" s="259" t="s">
        <v>55</v>
      </c>
      <c r="WMD28" s="256" t="s">
        <v>76</v>
      </c>
      <c r="WME28" s="256" t="s">
        <v>77</v>
      </c>
      <c r="WMF28" s="256" t="s">
        <v>78</v>
      </c>
      <c r="WMG28" s="256" t="s">
        <v>79</v>
      </c>
      <c r="WMH28" s="256" t="s">
        <v>80</v>
      </c>
      <c r="WMI28" s="256" t="s">
        <v>81</v>
      </c>
      <c r="WMJ28" s="331"/>
      <c r="WMK28" s="290">
        <v>45492</v>
      </c>
      <c r="WML28" s="339" t="s">
        <v>141</v>
      </c>
      <c r="WMM28" s="305"/>
      <c r="WMN28" s="305">
        <v>1</v>
      </c>
      <c r="WMO28" s="304">
        <f t="shared" ref="WMO28" si="2731">EDATE(WMK28,WMN28)</f>
        <v>45523</v>
      </c>
      <c r="WMP28" s="340">
        <v>0</v>
      </c>
      <c r="WMQ28" s="320">
        <f t="shared" ref="WMQ28" ca="1" si="2732">IF(WMR28&gt;=1,(WMP28/WMN28),0)</f>
        <v>0</v>
      </c>
      <c r="WMR28" s="292">
        <f t="shared" ref="WMR28" ca="1" si="2733">WMO28-$G$5</f>
        <v>-591</v>
      </c>
      <c r="WMS28" s="259" t="s">
        <v>55</v>
      </c>
      <c r="WMT28" s="256" t="s">
        <v>76</v>
      </c>
      <c r="WMU28" s="256" t="s">
        <v>77</v>
      </c>
      <c r="WMV28" s="256" t="s">
        <v>78</v>
      </c>
      <c r="WMW28" s="256" t="s">
        <v>79</v>
      </c>
      <c r="WMX28" s="256" t="s">
        <v>80</v>
      </c>
      <c r="WMY28" s="256" t="s">
        <v>81</v>
      </c>
      <c r="WMZ28" s="331"/>
      <c r="WNA28" s="290">
        <v>45492</v>
      </c>
      <c r="WNB28" s="339" t="s">
        <v>141</v>
      </c>
      <c r="WNC28" s="305"/>
      <c r="WND28" s="305">
        <v>1</v>
      </c>
      <c r="WNE28" s="304">
        <f t="shared" ref="WNE28" si="2734">EDATE(WNA28,WND28)</f>
        <v>45523</v>
      </c>
      <c r="WNF28" s="340">
        <v>0</v>
      </c>
      <c r="WNG28" s="320">
        <f t="shared" ref="WNG28" ca="1" si="2735">IF(WNH28&gt;=1,(WNF28/WND28),0)</f>
        <v>0</v>
      </c>
      <c r="WNH28" s="292">
        <f t="shared" ref="WNH28" ca="1" si="2736">WNE28-$G$5</f>
        <v>-591</v>
      </c>
      <c r="WNI28" s="259" t="s">
        <v>55</v>
      </c>
      <c r="WNJ28" s="256" t="s">
        <v>76</v>
      </c>
      <c r="WNK28" s="256" t="s">
        <v>77</v>
      </c>
      <c r="WNL28" s="256" t="s">
        <v>78</v>
      </c>
      <c r="WNM28" s="256" t="s">
        <v>79</v>
      </c>
      <c r="WNN28" s="256" t="s">
        <v>80</v>
      </c>
      <c r="WNO28" s="256" t="s">
        <v>81</v>
      </c>
      <c r="WNP28" s="331"/>
      <c r="WNQ28" s="290">
        <v>45492</v>
      </c>
      <c r="WNR28" s="339" t="s">
        <v>141</v>
      </c>
      <c r="WNS28" s="305"/>
      <c r="WNT28" s="305">
        <v>1</v>
      </c>
      <c r="WNU28" s="304">
        <f t="shared" ref="WNU28" si="2737">EDATE(WNQ28,WNT28)</f>
        <v>45523</v>
      </c>
      <c r="WNV28" s="340">
        <v>0</v>
      </c>
      <c r="WNW28" s="320">
        <f t="shared" ref="WNW28" ca="1" si="2738">IF(WNX28&gt;=1,(WNV28/WNT28),0)</f>
        <v>0</v>
      </c>
      <c r="WNX28" s="292">
        <f t="shared" ref="WNX28" ca="1" si="2739">WNU28-$G$5</f>
        <v>-591</v>
      </c>
      <c r="WNY28" s="259" t="s">
        <v>55</v>
      </c>
      <c r="WNZ28" s="256" t="s">
        <v>76</v>
      </c>
      <c r="WOA28" s="256" t="s">
        <v>77</v>
      </c>
      <c r="WOB28" s="256" t="s">
        <v>78</v>
      </c>
      <c r="WOC28" s="256" t="s">
        <v>79</v>
      </c>
      <c r="WOD28" s="256" t="s">
        <v>80</v>
      </c>
      <c r="WOE28" s="256" t="s">
        <v>81</v>
      </c>
      <c r="WOF28" s="331"/>
      <c r="WOG28" s="290">
        <v>45492</v>
      </c>
      <c r="WOH28" s="339" t="s">
        <v>141</v>
      </c>
      <c r="WOI28" s="305"/>
      <c r="WOJ28" s="305">
        <v>1</v>
      </c>
      <c r="WOK28" s="304">
        <f t="shared" ref="WOK28" si="2740">EDATE(WOG28,WOJ28)</f>
        <v>45523</v>
      </c>
      <c r="WOL28" s="340">
        <v>0</v>
      </c>
      <c r="WOM28" s="320">
        <f t="shared" ref="WOM28" ca="1" si="2741">IF(WON28&gt;=1,(WOL28/WOJ28),0)</f>
        <v>0</v>
      </c>
      <c r="WON28" s="292">
        <f t="shared" ref="WON28" ca="1" si="2742">WOK28-$G$5</f>
        <v>-591</v>
      </c>
      <c r="WOO28" s="259" t="s">
        <v>55</v>
      </c>
      <c r="WOP28" s="256" t="s">
        <v>76</v>
      </c>
      <c r="WOQ28" s="256" t="s">
        <v>77</v>
      </c>
      <c r="WOR28" s="256" t="s">
        <v>78</v>
      </c>
      <c r="WOS28" s="256" t="s">
        <v>79</v>
      </c>
      <c r="WOT28" s="256" t="s">
        <v>80</v>
      </c>
      <c r="WOU28" s="256" t="s">
        <v>81</v>
      </c>
      <c r="WOV28" s="331"/>
      <c r="WOW28" s="290">
        <v>45492</v>
      </c>
      <c r="WOX28" s="339" t="s">
        <v>141</v>
      </c>
      <c r="WOY28" s="305"/>
      <c r="WOZ28" s="305">
        <v>1</v>
      </c>
      <c r="WPA28" s="304">
        <f t="shared" ref="WPA28" si="2743">EDATE(WOW28,WOZ28)</f>
        <v>45523</v>
      </c>
      <c r="WPB28" s="340">
        <v>0</v>
      </c>
      <c r="WPC28" s="320">
        <f t="shared" ref="WPC28" ca="1" si="2744">IF(WPD28&gt;=1,(WPB28/WOZ28),0)</f>
        <v>0</v>
      </c>
      <c r="WPD28" s="292">
        <f t="shared" ref="WPD28" ca="1" si="2745">WPA28-$G$5</f>
        <v>-591</v>
      </c>
      <c r="WPE28" s="259" t="s">
        <v>55</v>
      </c>
      <c r="WPF28" s="256" t="s">
        <v>76</v>
      </c>
      <c r="WPG28" s="256" t="s">
        <v>77</v>
      </c>
      <c r="WPH28" s="256" t="s">
        <v>78</v>
      </c>
      <c r="WPI28" s="256" t="s">
        <v>79</v>
      </c>
      <c r="WPJ28" s="256" t="s">
        <v>80</v>
      </c>
      <c r="WPK28" s="256" t="s">
        <v>81</v>
      </c>
      <c r="WPL28" s="331"/>
      <c r="WPM28" s="290">
        <v>45492</v>
      </c>
      <c r="WPN28" s="339" t="s">
        <v>141</v>
      </c>
      <c r="WPO28" s="305"/>
      <c r="WPP28" s="305">
        <v>1</v>
      </c>
      <c r="WPQ28" s="304">
        <f t="shared" ref="WPQ28" si="2746">EDATE(WPM28,WPP28)</f>
        <v>45523</v>
      </c>
      <c r="WPR28" s="340">
        <v>0</v>
      </c>
      <c r="WPS28" s="320">
        <f t="shared" ref="WPS28" ca="1" si="2747">IF(WPT28&gt;=1,(WPR28/WPP28),0)</f>
        <v>0</v>
      </c>
      <c r="WPT28" s="292">
        <f t="shared" ref="WPT28" ca="1" si="2748">WPQ28-$G$5</f>
        <v>-591</v>
      </c>
      <c r="WPU28" s="259" t="s">
        <v>55</v>
      </c>
      <c r="WPV28" s="256" t="s">
        <v>76</v>
      </c>
      <c r="WPW28" s="256" t="s">
        <v>77</v>
      </c>
      <c r="WPX28" s="256" t="s">
        <v>78</v>
      </c>
      <c r="WPY28" s="256" t="s">
        <v>79</v>
      </c>
      <c r="WPZ28" s="256" t="s">
        <v>80</v>
      </c>
      <c r="WQA28" s="256" t="s">
        <v>81</v>
      </c>
      <c r="WQB28" s="331"/>
      <c r="WQC28" s="290">
        <v>45492</v>
      </c>
      <c r="WQD28" s="339" t="s">
        <v>141</v>
      </c>
      <c r="WQE28" s="305"/>
      <c r="WQF28" s="305">
        <v>1</v>
      </c>
      <c r="WQG28" s="304">
        <f t="shared" ref="WQG28" si="2749">EDATE(WQC28,WQF28)</f>
        <v>45523</v>
      </c>
      <c r="WQH28" s="340">
        <v>0</v>
      </c>
      <c r="WQI28" s="320">
        <f t="shared" ref="WQI28" ca="1" si="2750">IF(WQJ28&gt;=1,(WQH28/WQF28),0)</f>
        <v>0</v>
      </c>
      <c r="WQJ28" s="292">
        <f t="shared" ref="WQJ28" ca="1" si="2751">WQG28-$G$5</f>
        <v>-591</v>
      </c>
      <c r="WQK28" s="259" t="s">
        <v>55</v>
      </c>
      <c r="WQL28" s="256" t="s">
        <v>76</v>
      </c>
      <c r="WQM28" s="256" t="s">
        <v>77</v>
      </c>
      <c r="WQN28" s="256" t="s">
        <v>78</v>
      </c>
      <c r="WQO28" s="256" t="s">
        <v>79</v>
      </c>
      <c r="WQP28" s="256" t="s">
        <v>80</v>
      </c>
      <c r="WQQ28" s="256" t="s">
        <v>81</v>
      </c>
      <c r="WQR28" s="331"/>
      <c r="WQS28" s="290">
        <v>45492</v>
      </c>
      <c r="WQT28" s="339" t="s">
        <v>141</v>
      </c>
      <c r="WQU28" s="305"/>
      <c r="WQV28" s="305">
        <v>1</v>
      </c>
      <c r="WQW28" s="304">
        <f t="shared" ref="WQW28" si="2752">EDATE(WQS28,WQV28)</f>
        <v>45523</v>
      </c>
      <c r="WQX28" s="340">
        <v>0</v>
      </c>
      <c r="WQY28" s="320">
        <f t="shared" ref="WQY28" ca="1" si="2753">IF(WQZ28&gt;=1,(WQX28/WQV28),0)</f>
        <v>0</v>
      </c>
      <c r="WQZ28" s="292">
        <f t="shared" ref="WQZ28" ca="1" si="2754">WQW28-$G$5</f>
        <v>-591</v>
      </c>
      <c r="WRA28" s="259" t="s">
        <v>55</v>
      </c>
      <c r="WRB28" s="256" t="s">
        <v>76</v>
      </c>
      <c r="WRC28" s="256" t="s">
        <v>77</v>
      </c>
      <c r="WRD28" s="256" t="s">
        <v>78</v>
      </c>
      <c r="WRE28" s="256" t="s">
        <v>79</v>
      </c>
      <c r="WRF28" s="256" t="s">
        <v>80</v>
      </c>
      <c r="WRG28" s="256" t="s">
        <v>81</v>
      </c>
      <c r="WRH28" s="331"/>
      <c r="WRI28" s="290">
        <v>45492</v>
      </c>
      <c r="WRJ28" s="339" t="s">
        <v>141</v>
      </c>
      <c r="WRK28" s="305"/>
      <c r="WRL28" s="305">
        <v>1</v>
      </c>
      <c r="WRM28" s="304">
        <f t="shared" ref="WRM28" si="2755">EDATE(WRI28,WRL28)</f>
        <v>45523</v>
      </c>
      <c r="WRN28" s="340">
        <v>0</v>
      </c>
      <c r="WRO28" s="320">
        <f t="shared" ref="WRO28" ca="1" si="2756">IF(WRP28&gt;=1,(WRN28/WRL28),0)</f>
        <v>0</v>
      </c>
      <c r="WRP28" s="292">
        <f t="shared" ref="WRP28" ca="1" si="2757">WRM28-$G$5</f>
        <v>-591</v>
      </c>
      <c r="WRQ28" s="259" t="s">
        <v>55</v>
      </c>
      <c r="WRR28" s="256" t="s">
        <v>76</v>
      </c>
      <c r="WRS28" s="256" t="s">
        <v>77</v>
      </c>
      <c r="WRT28" s="256" t="s">
        <v>78</v>
      </c>
      <c r="WRU28" s="256" t="s">
        <v>79</v>
      </c>
      <c r="WRV28" s="256" t="s">
        <v>80</v>
      </c>
      <c r="WRW28" s="256" t="s">
        <v>81</v>
      </c>
      <c r="WRX28" s="331"/>
      <c r="WRY28" s="290">
        <v>45492</v>
      </c>
      <c r="WRZ28" s="339" t="s">
        <v>141</v>
      </c>
      <c r="WSA28" s="305"/>
      <c r="WSB28" s="305">
        <v>1</v>
      </c>
      <c r="WSC28" s="304">
        <f t="shared" ref="WSC28" si="2758">EDATE(WRY28,WSB28)</f>
        <v>45523</v>
      </c>
      <c r="WSD28" s="340">
        <v>0</v>
      </c>
      <c r="WSE28" s="320">
        <f t="shared" ref="WSE28" ca="1" si="2759">IF(WSF28&gt;=1,(WSD28/WSB28),0)</f>
        <v>0</v>
      </c>
      <c r="WSF28" s="292">
        <f t="shared" ref="WSF28" ca="1" si="2760">WSC28-$G$5</f>
        <v>-591</v>
      </c>
      <c r="WSG28" s="259" t="s">
        <v>55</v>
      </c>
      <c r="WSH28" s="256" t="s">
        <v>76</v>
      </c>
      <c r="WSI28" s="256" t="s">
        <v>77</v>
      </c>
      <c r="WSJ28" s="256" t="s">
        <v>78</v>
      </c>
      <c r="WSK28" s="256" t="s">
        <v>79</v>
      </c>
      <c r="WSL28" s="256" t="s">
        <v>80</v>
      </c>
      <c r="WSM28" s="256" t="s">
        <v>81</v>
      </c>
      <c r="WSN28" s="331"/>
      <c r="WSO28" s="290">
        <v>45492</v>
      </c>
      <c r="WSP28" s="339" t="s">
        <v>141</v>
      </c>
      <c r="WSQ28" s="305"/>
      <c r="WSR28" s="305">
        <v>1</v>
      </c>
      <c r="WSS28" s="304">
        <f t="shared" ref="WSS28" si="2761">EDATE(WSO28,WSR28)</f>
        <v>45523</v>
      </c>
      <c r="WST28" s="340">
        <v>0</v>
      </c>
      <c r="WSU28" s="320">
        <f t="shared" ref="WSU28" ca="1" si="2762">IF(WSV28&gt;=1,(WST28/WSR28),0)</f>
        <v>0</v>
      </c>
      <c r="WSV28" s="292">
        <f t="shared" ref="WSV28" ca="1" si="2763">WSS28-$G$5</f>
        <v>-591</v>
      </c>
      <c r="WSW28" s="259" t="s">
        <v>55</v>
      </c>
      <c r="WSX28" s="256" t="s">
        <v>76</v>
      </c>
      <c r="WSY28" s="256" t="s">
        <v>77</v>
      </c>
      <c r="WSZ28" s="256" t="s">
        <v>78</v>
      </c>
      <c r="WTA28" s="256" t="s">
        <v>79</v>
      </c>
      <c r="WTB28" s="256" t="s">
        <v>80</v>
      </c>
      <c r="WTC28" s="256" t="s">
        <v>81</v>
      </c>
      <c r="WTD28" s="331"/>
      <c r="WTE28" s="290">
        <v>45492</v>
      </c>
      <c r="WTF28" s="339" t="s">
        <v>141</v>
      </c>
      <c r="WTG28" s="305"/>
      <c r="WTH28" s="305">
        <v>1</v>
      </c>
      <c r="WTI28" s="304">
        <f t="shared" ref="WTI28" si="2764">EDATE(WTE28,WTH28)</f>
        <v>45523</v>
      </c>
      <c r="WTJ28" s="340">
        <v>0</v>
      </c>
      <c r="WTK28" s="320">
        <f t="shared" ref="WTK28" ca="1" si="2765">IF(WTL28&gt;=1,(WTJ28/WTH28),0)</f>
        <v>0</v>
      </c>
      <c r="WTL28" s="292">
        <f t="shared" ref="WTL28" ca="1" si="2766">WTI28-$G$5</f>
        <v>-591</v>
      </c>
      <c r="WTM28" s="259" t="s">
        <v>55</v>
      </c>
      <c r="WTN28" s="256" t="s">
        <v>76</v>
      </c>
      <c r="WTO28" s="256" t="s">
        <v>77</v>
      </c>
      <c r="WTP28" s="256" t="s">
        <v>78</v>
      </c>
      <c r="WTQ28" s="256" t="s">
        <v>79</v>
      </c>
      <c r="WTR28" s="256" t="s">
        <v>80</v>
      </c>
      <c r="WTS28" s="256" t="s">
        <v>81</v>
      </c>
      <c r="WTT28" s="331"/>
      <c r="WTU28" s="290">
        <v>45492</v>
      </c>
      <c r="WTV28" s="339" t="s">
        <v>141</v>
      </c>
      <c r="WTW28" s="305"/>
      <c r="WTX28" s="305">
        <v>1</v>
      </c>
      <c r="WTY28" s="304">
        <f t="shared" ref="WTY28" si="2767">EDATE(WTU28,WTX28)</f>
        <v>45523</v>
      </c>
      <c r="WTZ28" s="340">
        <v>0</v>
      </c>
      <c r="WUA28" s="320">
        <f t="shared" ref="WUA28" ca="1" si="2768">IF(WUB28&gt;=1,(WTZ28/WTX28),0)</f>
        <v>0</v>
      </c>
      <c r="WUB28" s="292">
        <f t="shared" ref="WUB28" ca="1" si="2769">WTY28-$G$5</f>
        <v>-591</v>
      </c>
      <c r="WUC28" s="259" t="s">
        <v>55</v>
      </c>
      <c r="WUD28" s="256" t="s">
        <v>76</v>
      </c>
      <c r="WUE28" s="256" t="s">
        <v>77</v>
      </c>
      <c r="WUF28" s="256" t="s">
        <v>78</v>
      </c>
      <c r="WUG28" s="256" t="s">
        <v>79</v>
      </c>
      <c r="WUH28" s="256" t="s">
        <v>80</v>
      </c>
      <c r="WUI28" s="256" t="s">
        <v>81</v>
      </c>
      <c r="WUJ28" s="331"/>
      <c r="WUK28" s="290">
        <v>45492</v>
      </c>
      <c r="WUL28" s="339" t="s">
        <v>141</v>
      </c>
      <c r="WUM28" s="305"/>
      <c r="WUN28" s="305">
        <v>1</v>
      </c>
      <c r="WUO28" s="304">
        <f t="shared" ref="WUO28" si="2770">EDATE(WUK28,WUN28)</f>
        <v>45523</v>
      </c>
      <c r="WUP28" s="340">
        <v>0</v>
      </c>
      <c r="WUQ28" s="320">
        <f t="shared" ref="WUQ28" ca="1" si="2771">IF(WUR28&gt;=1,(WUP28/WUN28),0)</f>
        <v>0</v>
      </c>
      <c r="WUR28" s="292">
        <f t="shared" ref="WUR28" ca="1" si="2772">WUO28-$G$5</f>
        <v>-591</v>
      </c>
      <c r="WUS28" s="259" t="s">
        <v>55</v>
      </c>
      <c r="WUT28" s="256" t="s">
        <v>76</v>
      </c>
      <c r="WUU28" s="256" t="s">
        <v>77</v>
      </c>
      <c r="WUV28" s="256" t="s">
        <v>78</v>
      </c>
      <c r="WUW28" s="256" t="s">
        <v>79</v>
      </c>
      <c r="WUX28" s="256" t="s">
        <v>80</v>
      </c>
      <c r="WUY28" s="256" t="s">
        <v>81</v>
      </c>
      <c r="WUZ28" s="331"/>
      <c r="WVA28" s="290">
        <v>45492</v>
      </c>
      <c r="WVB28" s="339" t="s">
        <v>141</v>
      </c>
      <c r="WVC28" s="305"/>
      <c r="WVD28" s="305">
        <v>1</v>
      </c>
      <c r="WVE28" s="304">
        <f t="shared" ref="WVE28" si="2773">EDATE(WVA28,WVD28)</f>
        <v>45523</v>
      </c>
      <c r="WVF28" s="340">
        <v>0</v>
      </c>
      <c r="WVG28" s="320">
        <f t="shared" ref="WVG28" ca="1" si="2774">IF(WVH28&gt;=1,(WVF28/WVD28),0)</f>
        <v>0</v>
      </c>
      <c r="WVH28" s="292">
        <f t="shared" ref="WVH28" ca="1" si="2775">WVE28-$G$5</f>
        <v>-591</v>
      </c>
      <c r="WVI28" s="259" t="s">
        <v>55</v>
      </c>
      <c r="WVJ28" s="256" t="s">
        <v>76</v>
      </c>
      <c r="WVK28" s="256" t="s">
        <v>77</v>
      </c>
      <c r="WVL28" s="256" t="s">
        <v>78</v>
      </c>
      <c r="WVM28" s="256" t="s">
        <v>79</v>
      </c>
      <c r="WVN28" s="256" t="s">
        <v>80</v>
      </c>
      <c r="WVO28" s="256" t="s">
        <v>81</v>
      </c>
      <c r="WVP28" s="331"/>
      <c r="WVQ28" s="290">
        <v>45492</v>
      </c>
      <c r="WVR28" s="339" t="s">
        <v>141</v>
      </c>
      <c r="WVS28" s="305"/>
      <c r="WVT28" s="305">
        <v>1</v>
      </c>
      <c r="WVU28" s="304">
        <f t="shared" ref="WVU28" si="2776">EDATE(WVQ28,WVT28)</f>
        <v>45523</v>
      </c>
      <c r="WVV28" s="340">
        <v>0</v>
      </c>
      <c r="WVW28" s="320">
        <f t="shared" ref="WVW28" ca="1" si="2777">IF(WVX28&gt;=1,(WVV28/WVT28),0)</f>
        <v>0</v>
      </c>
      <c r="WVX28" s="292">
        <f t="shared" ref="WVX28" ca="1" si="2778">WVU28-$G$5</f>
        <v>-591</v>
      </c>
      <c r="WVY28" s="259" t="s">
        <v>55</v>
      </c>
      <c r="WVZ28" s="256" t="s">
        <v>76</v>
      </c>
      <c r="WWA28" s="256" t="s">
        <v>77</v>
      </c>
      <c r="WWB28" s="256" t="s">
        <v>78</v>
      </c>
      <c r="WWC28" s="256" t="s">
        <v>79</v>
      </c>
      <c r="WWD28" s="256" t="s">
        <v>80</v>
      </c>
      <c r="WWE28" s="256" t="s">
        <v>81</v>
      </c>
      <c r="WWF28" s="331"/>
      <c r="WWG28" s="290">
        <v>45492</v>
      </c>
      <c r="WWH28" s="339" t="s">
        <v>141</v>
      </c>
      <c r="WWI28" s="305"/>
      <c r="WWJ28" s="305">
        <v>1</v>
      </c>
      <c r="WWK28" s="304">
        <f t="shared" ref="WWK28" si="2779">EDATE(WWG28,WWJ28)</f>
        <v>45523</v>
      </c>
      <c r="WWL28" s="340">
        <v>0</v>
      </c>
      <c r="WWM28" s="320">
        <f t="shared" ref="WWM28" ca="1" si="2780">IF(WWN28&gt;=1,(WWL28/WWJ28),0)</f>
        <v>0</v>
      </c>
      <c r="WWN28" s="292">
        <f t="shared" ref="WWN28" ca="1" si="2781">WWK28-$G$5</f>
        <v>-591</v>
      </c>
      <c r="WWO28" s="259" t="s">
        <v>55</v>
      </c>
      <c r="WWP28" s="256" t="s">
        <v>76</v>
      </c>
      <c r="WWQ28" s="256" t="s">
        <v>77</v>
      </c>
      <c r="WWR28" s="256" t="s">
        <v>78</v>
      </c>
      <c r="WWS28" s="256" t="s">
        <v>79</v>
      </c>
      <c r="WWT28" s="256" t="s">
        <v>80</v>
      </c>
      <c r="WWU28" s="256" t="s">
        <v>81</v>
      </c>
      <c r="WWV28" s="331"/>
      <c r="WWW28" s="290">
        <v>45492</v>
      </c>
      <c r="WWX28" s="339" t="s">
        <v>141</v>
      </c>
      <c r="WWY28" s="305"/>
      <c r="WWZ28" s="305">
        <v>1</v>
      </c>
      <c r="WXA28" s="304">
        <f t="shared" ref="WXA28" si="2782">EDATE(WWW28,WWZ28)</f>
        <v>45523</v>
      </c>
      <c r="WXB28" s="340">
        <v>0</v>
      </c>
      <c r="WXC28" s="320">
        <f t="shared" ref="WXC28" ca="1" si="2783">IF(WXD28&gt;=1,(WXB28/WWZ28),0)</f>
        <v>0</v>
      </c>
      <c r="WXD28" s="292">
        <f t="shared" ref="WXD28" ca="1" si="2784">WXA28-$G$5</f>
        <v>-591</v>
      </c>
      <c r="WXE28" s="259" t="s">
        <v>55</v>
      </c>
      <c r="WXF28" s="256" t="s">
        <v>76</v>
      </c>
      <c r="WXG28" s="256" t="s">
        <v>77</v>
      </c>
      <c r="WXH28" s="256" t="s">
        <v>78</v>
      </c>
      <c r="WXI28" s="256" t="s">
        <v>79</v>
      </c>
      <c r="WXJ28" s="256" t="s">
        <v>80</v>
      </c>
      <c r="WXK28" s="256" t="s">
        <v>81</v>
      </c>
      <c r="WXL28" s="331"/>
      <c r="WXM28" s="290">
        <v>45492</v>
      </c>
      <c r="WXN28" s="339" t="s">
        <v>141</v>
      </c>
      <c r="WXO28" s="305"/>
      <c r="WXP28" s="305">
        <v>1</v>
      </c>
      <c r="WXQ28" s="304">
        <f t="shared" ref="WXQ28" si="2785">EDATE(WXM28,WXP28)</f>
        <v>45523</v>
      </c>
      <c r="WXR28" s="340">
        <v>0</v>
      </c>
      <c r="WXS28" s="320">
        <f t="shared" ref="WXS28" ca="1" si="2786">IF(WXT28&gt;=1,(WXR28/WXP28),0)</f>
        <v>0</v>
      </c>
      <c r="WXT28" s="292">
        <f t="shared" ref="WXT28" ca="1" si="2787">WXQ28-$G$5</f>
        <v>-591</v>
      </c>
      <c r="WXU28" s="259" t="s">
        <v>55</v>
      </c>
      <c r="WXV28" s="256" t="s">
        <v>76</v>
      </c>
      <c r="WXW28" s="256" t="s">
        <v>77</v>
      </c>
      <c r="WXX28" s="256" t="s">
        <v>78</v>
      </c>
      <c r="WXY28" s="256" t="s">
        <v>79</v>
      </c>
      <c r="WXZ28" s="256" t="s">
        <v>80</v>
      </c>
      <c r="WYA28" s="256" t="s">
        <v>81</v>
      </c>
      <c r="WYB28" s="331"/>
      <c r="WYC28" s="290">
        <v>45492</v>
      </c>
      <c r="WYD28" s="339" t="s">
        <v>141</v>
      </c>
      <c r="WYE28" s="305"/>
      <c r="WYF28" s="305">
        <v>1</v>
      </c>
      <c r="WYG28" s="304">
        <f t="shared" ref="WYG28" si="2788">EDATE(WYC28,WYF28)</f>
        <v>45523</v>
      </c>
      <c r="WYH28" s="340">
        <v>0</v>
      </c>
      <c r="WYI28" s="320">
        <f t="shared" ref="WYI28" ca="1" si="2789">IF(WYJ28&gt;=1,(WYH28/WYF28),0)</f>
        <v>0</v>
      </c>
      <c r="WYJ28" s="292">
        <f t="shared" ref="WYJ28" ca="1" si="2790">WYG28-$G$5</f>
        <v>-591</v>
      </c>
      <c r="WYK28" s="259" t="s">
        <v>55</v>
      </c>
      <c r="WYL28" s="256" t="s">
        <v>76</v>
      </c>
      <c r="WYM28" s="256" t="s">
        <v>77</v>
      </c>
      <c r="WYN28" s="256" t="s">
        <v>78</v>
      </c>
      <c r="WYO28" s="256" t="s">
        <v>79</v>
      </c>
      <c r="WYP28" s="256" t="s">
        <v>80</v>
      </c>
      <c r="WYQ28" s="256" t="s">
        <v>81</v>
      </c>
      <c r="WYR28" s="331"/>
      <c r="WYS28" s="290">
        <v>45492</v>
      </c>
      <c r="WYT28" s="339" t="s">
        <v>141</v>
      </c>
      <c r="WYU28" s="305"/>
      <c r="WYV28" s="305">
        <v>1</v>
      </c>
      <c r="WYW28" s="304">
        <f t="shared" ref="WYW28" si="2791">EDATE(WYS28,WYV28)</f>
        <v>45523</v>
      </c>
      <c r="WYX28" s="340">
        <v>0</v>
      </c>
      <c r="WYY28" s="320">
        <f t="shared" ref="WYY28" ca="1" si="2792">IF(WYZ28&gt;=1,(WYX28/WYV28),0)</f>
        <v>0</v>
      </c>
      <c r="WYZ28" s="292">
        <f t="shared" ref="WYZ28" ca="1" si="2793">WYW28-$G$5</f>
        <v>-591</v>
      </c>
      <c r="WZA28" s="259" t="s">
        <v>55</v>
      </c>
      <c r="WZB28" s="256" t="s">
        <v>76</v>
      </c>
      <c r="WZC28" s="256" t="s">
        <v>77</v>
      </c>
      <c r="WZD28" s="256" t="s">
        <v>78</v>
      </c>
      <c r="WZE28" s="256" t="s">
        <v>79</v>
      </c>
      <c r="WZF28" s="256" t="s">
        <v>80</v>
      </c>
      <c r="WZG28" s="256" t="s">
        <v>81</v>
      </c>
      <c r="WZH28" s="331"/>
      <c r="WZI28" s="290">
        <v>45492</v>
      </c>
      <c r="WZJ28" s="339" t="s">
        <v>141</v>
      </c>
      <c r="WZK28" s="305"/>
      <c r="WZL28" s="305">
        <v>1</v>
      </c>
      <c r="WZM28" s="304">
        <f t="shared" ref="WZM28" si="2794">EDATE(WZI28,WZL28)</f>
        <v>45523</v>
      </c>
      <c r="WZN28" s="340">
        <v>0</v>
      </c>
      <c r="WZO28" s="320">
        <f t="shared" ref="WZO28" ca="1" si="2795">IF(WZP28&gt;=1,(WZN28/WZL28),0)</f>
        <v>0</v>
      </c>
      <c r="WZP28" s="292">
        <f t="shared" ref="WZP28" ca="1" si="2796">WZM28-$G$5</f>
        <v>-591</v>
      </c>
      <c r="WZQ28" s="259" t="s">
        <v>55</v>
      </c>
      <c r="WZR28" s="256" t="s">
        <v>76</v>
      </c>
      <c r="WZS28" s="256" t="s">
        <v>77</v>
      </c>
      <c r="WZT28" s="256" t="s">
        <v>78</v>
      </c>
      <c r="WZU28" s="256" t="s">
        <v>79</v>
      </c>
      <c r="WZV28" s="256" t="s">
        <v>80</v>
      </c>
      <c r="WZW28" s="256" t="s">
        <v>81</v>
      </c>
      <c r="WZX28" s="331"/>
      <c r="WZY28" s="290">
        <v>45492</v>
      </c>
      <c r="WZZ28" s="339" t="s">
        <v>141</v>
      </c>
      <c r="XAA28" s="305"/>
      <c r="XAB28" s="305">
        <v>1</v>
      </c>
      <c r="XAC28" s="304">
        <f t="shared" ref="XAC28" si="2797">EDATE(WZY28,XAB28)</f>
        <v>45523</v>
      </c>
      <c r="XAD28" s="340">
        <v>0</v>
      </c>
      <c r="XAE28" s="320">
        <f t="shared" ref="XAE28" ca="1" si="2798">IF(XAF28&gt;=1,(XAD28/XAB28),0)</f>
        <v>0</v>
      </c>
      <c r="XAF28" s="292">
        <f t="shared" ref="XAF28" ca="1" si="2799">XAC28-$G$5</f>
        <v>-591</v>
      </c>
      <c r="XAG28" s="259" t="s">
        <v>55</v>
      </c>
      <c r="XAH28" s="256" t="s">
        <v>76</v>
      </c>
      <c r="XAI28" s="256" t="s">
        <v>77</v>
      </c>
      <c r="XAJ28" s="256" t="s">
        <v>78</v>
      </c>
      <c r="XAK28" s="256" t="s">
        <v>79</v>
      </c>
      <c r="XAL28" s="256" t="s">
        <v>80</v>
      </c>
      <c r="XAM28" s="256" t="s">
        <v>81</v>
      </c>
      <c r="XAN28" s="331"/>
      <c r="XAO28" s="290">
        <v>45492</v>
      </c>
      <c r="XAP28" s="339" t="s">
        <v>141</v>
      </c>
      <c r="XAQ28" s="305"/>
      <c r="XAR28" s="305">
        <v>1</v>
      </c>
      <c r="XAS28" s="304">
        <f t="shared" ref="XAS28" si="2800">EDATE(XAO28,XAR28)</f>
        <v>45523</v>
      </c>
      <c r="XAT28" s="340">
        <v>0</v>
      </c>
      <c r="XAU28" s="320">
        <f t="shared" ref="XAU28" ca="1" si="2801">IF(XAV28&gt;=1,(XAT28/XAR28),0)</f>
        <v>0</v>
      </c>
      <c r="XAV28" s="292">
        <f t="shared" ref="XAV28" ca="1" si="2802">XAS28-$G$5</f>
        <v>-591</v>
      </c>
      <c r="XAW28" s="259" t="s">
        <v>55</v>
      </c>
      <c r="XAX28" s="256" t="s">
        <v>76</v>
      </c>
      <c r="XAY28" s="256" t="s">
        <v>77</v>
      </c>
      <c r="XAZ28" s="256" t="s">
        <v>78</v>
      </c>
      <c r="XBA28" s="256" t="s">
        <v>79</v>
      </c>
      <c r="XBB28" s="256" t="s">
        <v>80</v>
      </c>
      <c r="XBC28" s="256" t="s">
        <v>81</v>
      </c>
      <c r="XBD28" s="331"/>
      <c r="XBE28" s="290">
        <v>45492</v>
      </c>
      <c r="XBF28" s="339" t="s">
        <v>141</v>
      </c>
      <c r="XBG28" s="305"/>
      <c r="XBH28" s="305">
        <v>1</v>
      </c>
      <c r="XBI28" s="304">
        <f t="shared" ref="XBI28" si="2803">EDATE(XBE28,XBH28)</f>
        <v>45523</v>
      </c>
      <c r="XBJ28" s="340">
        <v>0</v>
      </c>
      <c r="XBK28" s="320">
        <f t="shared" ref="XBK28" ca="1" si="2804">IF(XBL28&gt;=1,(XBJ28/XBH28),0)</f>
        <v>0</v>
      </c>
      <c r="XBL28" s="292">
        <f t="shared" ref="XBL28" ca="1" si="2805">XBI28-$G$5</f>
        <v>-591</v>
      </c>
      <c r="XBM28" s="259" t="s">
        <v>55</v>
      </c>
      <c r="XBN28" s="256" t="s">
        <v>76</v>
      </c>
      <c r="XBO28" s="256" t="s">
        <v>77</v>
      </c>
      <c r="XBP28" s="256" t="s">
        <v>78</v>
      </c>
      <c r="XBQ28" s="256" t="s">
        <v>79</v>
      </c>
      <c r="XBR28" s="256" t="s">
        <v>80</v>
      </c>
      <c r="XBS28" s="256" t="s">
        <v>81</v>
      </c>
      <c r="XBT28" s="331"/>
      <c r="XBU28" s="290">
        <v>45492</v>
      </c>
      <c r="XBV28" s="339" t="s">
        <v>141</v>
      </c>
      <c r="XBW28" s="305"/>
      <c r="XBX28" s="305">
        <v>1</v>
      </c>
      <c r="XBY28" s="304">
        <f t="shared" ref="XBY28" si="2806">EDATE(XBU28,XBX28)</f>
        <v>45523</v>
      </c>
      <c r="XBZ28" s="340">
        <v>0</v>
      </c>
      <c r="XCA28" s="320">
        <f t="shared" ref="XCA28" ca="1" si="2807">IF(XCB28&gt;=1,(XBZ28/XBX28),0)</f>
        <v>0</v>
      </c>
      <c r="XCB28" s="292">
        <f t="shared" ref="XCB28" ca="1" si="2808">XBY28-$G$5</f>
        <v>-591</v>
      </c>
      <c r="XCC28" s="259" t="s">
        <v>55</v>
      </c>
      <c r="XCD28" s="256" t="s">
        <v>76</v>
      </c>
      <c r="XCE28" s="256" t="s">
        <v>77</v>
      </c>
      <c r="XCF28" s="256" t="s">
        <v>78</v>
      </c>
      <c r="XCG28" s="256" t="s">
        <v>79</v>
      </c>
      <c r="XCH28" s="256" t="s">
        <v>80</v>
      </c>
      <c r="XCI28" s="256" t="s">
        <v>81</v>
      </c>
      <c r="XCJ28" s="331"/>
      <c r="XCK28" s="290">
        <v>45492</v>
      </c>
      <c r="XCL28" s="339" t="s">
        <v>141</v>
      </c>
      <c r="XCM28" s="305"/>
      <c r="XCN28" s="305">
        <v>1</v>
      </c>
      <c r="XCO28" s="304">
        <f t="shared" ref="XCO28" si="2809">EDATE(XCK28,XCN28)</f>
        <v>45523</v>
      </c>
      <c r="XCP28" s="340">
        <v>0</v>
      </c>
      <c r="XCQ28" s="320">
        <f t="shared" ref="XCQ28" ca="1" si="2810">IF(XCR28&gt;=1,(XCP28/XCN28),0)</f>
        <v>0</v>
      </c>
      <c r="XCR28" s="292">
        <f t="shared" ref="XCR28" ca="1" si="2811">XCO28-$G$5</f>
        <v>-591</v>
      </c>
      <c r="XCS28" s="259" t="s">
        <v>55</v>
      </c>
      <c r="XCT28" s="256" t="s">
        <v>76</v>
      </c>
      <c r="XCU28" s="256" t="s">
        <v>77</v>
      </c>
      <c r="XCV28" s="256" t="s">
        <v>78</v>
      </c>
      <c r="XCW28" s="256" t="s">
        <v>79</v>
      </c>
      <c r="XCX28" s="256" t="s">
        <v>80</v>
      </c>
      <c r="XCY28" s="256" t="s">
        <v>81</v>
      </c>
      <c r="XCZ28" s="331"/>
      <c r="XDA28" s="290">
        <v>45492</v>
      </c>
      <c r="XDB28" s="339" t="s">
        <v>141</v>
      </c>
      <c r="XDC28" s="305"/>
      <c r="XDD28" s="305">
        <v>1</v>
      </c>
      <c r="XDE28" s="304">
        <f t="shared" ref="XDE28" si="2812">EDATE(XDA28,XDD28)</f>
        <v>45523</v>
      </c>
      <c r="XDF28" s="340">
        <v>0</v>
      </c>
      <c r="XDG28" s="320">
        <f t="shared" ref="XDG28" ca="1" si="2813">IF(XDH28&gt;=1,(XDF28/XDD28),0)</f>
        <v>0</v>
      </c>
      <c r="XDH28" s="292">
        <f t="shared" ref="XDH28" ca="1" si="2814">XDE28-$G$5</f>
        <v>-591</v>
      </c>
      <c r="XDI28" s="259" t="s">
        <v>55</v>
      </c>
      <c r="XDJ28" s="256" t="s">
        <v>76</v>
      </c>
      <c r="XDK28" s="256" t="s">
        <v>77</v>
      </c>
      <c r="XDL28" s="256" t="s">
        <v>78</v>
      </c>
      <c r="XDM28" s="256" t="s">
        <v>79</v>
      </c>
      <c r="XDN28" s="256" t="s">
        <v>80</v>
      </c>
      <c r="XDO28" s="256" t="s">
        <v>81</v>
      </c>
      <c r="XDP28" s="331"/>
      <c r="XDQ28" s="290">
        <v>45492</v>
      </c>
      <c r="XDR28" s="339" t="s">
        <v>141</v>
      </c>
      <c r="XDS28" s="305"/>
      <c r="XDT28" s="305">
        <v>1</v>
      </c>
      <c r="XDU28" s="304">
        <f t="shared" ref="XDU28" si="2815">EDATE(XDQ28,XDT28)</f>
        <v>45523</v>
      </c>
      <c r="XDV28" s="340">
        <v>0</v>
      </c>
      <c r="XDW28" s="320">
        <f t="shared" ref="XDW28" ca="1" si="2816">IF(XDX28&gt;=1,(XDV28/XDT28),0)</f>
        <v>0</v>
      </c>
      <c r="XDX28" s="292">
        <f t="shared" ref="XDX28" ca="1" si="2817">XDU28-$G$5</f>
        <v>-591</v>
      </c>
      <c r="XDY28" s="259" t="s">
        <v>55</v>
      </c>
      <c r="XDZ28" s="256" t="s">
        <v>76</v>
      </c>
      <c r="XEA28" s="256" t="s">
        <v>77</v>
      </c>
      <c r="XEB28" s="256" t="s">
        <v>78</v>
      </c>
      <c r="XEC28" s="256" t="s">
        <v>79</v>
      </c>
      <c r="XED28" s="256" t="s">
        <v>80</v>
      </c>
      <c r="XEE28" s="256" t="s">
        <v>81</v>
      </c>
      <c r="XEF28" s="331"/>
      <c r="XEG28" s="290">
        <v>45492</v>
      </c>
      <c r="XEH28" s="339" t="s">
        <v>141</v>
      </c>
      <c r="XEI28" s="305"/>
      <c r="XEJ28" s="305">
        <v>1</v>
      </c>
      <c r="XEK28" s="304">
        <f t="shared" ref="XEK28" si="2818">EDATE(XEG28,XEJ28)</f>
        <v>45523</v>
      </c>
      <c r="XEL28" s="340">
        <v>0</v>
      </c>
      <c r="XEM28" s="320">
        <f t="shared" ref="XEM28" ca="1" si="2819">IF(XEN28&gt;=1,(XEL28/XEJ28),0)</f>
        <v>0</v>
      </c>
      <c r="XEN28" s="292">
        <f t="shared" ref="XEN28" ca="1" si="2820">XEK28-$G$5</f>
        <v>-591</v>
      </c>
      <c r="XEO28" s="259" t="s">
        <v>55</v>
      </c>
      <c r="XEP28" s="256" t="s">
        <v>76</v>
      </c>
      <c r="XEQ28" s="256" t="s">
        <v>77</v>
      </c>
      <c r="XER28" s="256" t="s">
        <v>78</v>
      </c>
      <c r="XES28" s="256" t="s">
        <v>79</v>
      </c>
      <c r="XET28" s="256" t="s">
        <v>80</v>
      </c>
      <c r="XEU28" s="256" t="s">
        <v>81</v>
      </c>
      <c r="XEV28" s="331"/>
      <c r="XEW28" s="290">
        <v>45492</v>
      </c>
      <c r="XEX28" s="339" t="s">
        <v>141</v>
      </c>
      <c r="XEY28" s="305"/>
      <c r="XEZ28" s="305">
        <v>1</v>
      </c>
      <c r="XFA28" s="304">
        <f t="shared" ref="XFA28" si="2821">EDATE(XEW28,XEZ28)</f>
        <v>45523</v>
      </c>
      <c r="XFB28" s="340">
        <v>0</v>
      </c>
      <c r="XFC28" s="320">
        <f t="shared" ref="XFC28" ca="1" si="2822">IF(XFD28&gt;=1,(XFB28/XEZ28),0)</f>
        <v>0</v>
      </c>
      <c r="XFD28" s="292">
        <f t="shared" ref="XFD28" ca="1" si="2823">XFA28-$G$5</f>
        <v>-591</v>
      </c>
    </row>
    <row r="29" spans="1:16384" x14ac:dyDescent="0.3">
      <c r="A29" s="290">
        <v>45492</v>
      </c>
      <c r="B29" s="304" t="s">
        <v>113</v>
      </c>
      <c r="C29" s="256" t="s">
        <v>82</v>
      </c>
      <c r="D29" s="256">
        <v>1</v>
      </c>
      <c r="E29" s="286">
        <f>EDATE(A29,D29)</f>
        <v>45523</v>
      </c>
      <c r="F29" s="291">
        <v>0</v>
      </c>
      <c r="G29" s="288">
        <f t="shared" ca="1" si="16"/>
        <v>0</v>
      </c>
      <c r="H29" s="289">
        <f t="shared" ca="1" si="18"/>
        <v>-591</v>
      </c>
      <c r="I29" s="308">
        <v>45494</v>
      </c>
      <c r="J29" s="259" t="s">
        <v>76</v>
      </c>
      <c r="K29" s="256"/>
      <c r="L29" s="256">
        <v>1</v>
      </c>
      <c r="M29" s="304">
        <f t="shared" si="19"/>
        <v>45525</v>
      </c>
      <c r="N29" s="262">
        <v>0</v>
      </c>
      <c r="O29" s="307">
        <f t="shared" ca="1" si="20"/>
        <v>0</v>
      </c>
      <c r="P29" s="292">
        <f t="shared" ca="1" si="15"/>
        <v>-589</v>
      </c>
    </row>
    <row r="30" spans="1:16384" ht="15" thickBot="1" x14ac:dyDescent="0.35">
      <c r="A30" s="290">
        <v>45493</v>
      </c>
      <c r="B30" s="304" t="s">
        <v>113</v>
      </c>
      <c r="C30" s="256" t="s">
        <v>82</v>
      </c>
      <c r="D30" s="256">
        <v>1</v>
      </c>
      <c r="E30" s="286">
        <f t="shared" ref="E30:E31" si="2824">EDATE(A30,D30)</f>
        <v>45524</v>
      </c>
      <c r="F30" s="291">
        <v>0</v>
      </c>
      <c r="G30" s="288">
        <f t="shared" ca="1" si="16"/>
        <v>0</v>
      </c>
      <c r="H30" s="289">
        <f t="shared" ca="1" si="18"/>
        <v>-590</v>
      </c>
      <c r="I30" s="635"/>
      <c r="J30" s="636"/>
      <c r="K30" s="636"/>
      <c r="L30" s="636"/>
      <c r="M30" s="637"/>
      <c r="N30" s="342" t="s">
        <v>7</v>
      </c>
      <c r="O30" s="319">
        <f ca="1">SUM(O26:O29)</f>
        <v>0</v>
      </c>
      <c r="P30" s="302"/>
    </row>
    <row r="31" spans="1:16384" x14ac:dyDescent="0.3">
      <c r="A31" s="290">
        <v>45494</v>
      </c>
      <c r="B31" s="304" t="s">
        <v>113</v>
      </c>
      <c r="C31" s="256" t="s">
        <v>82</v>
      </c>
      <c r="D31" s="256">
        <v>1</v>
      </c>
      <c r="E31" s="286">
        <f t="shared" si="2824"/>
        <v>45525</v>
      </c>
      <c r="F31" s="291">
        <v>0</v>
      </c>
      <c r="G31" s="288">
        <f t="shared" ca="1" si="16"/>
        <v>0</v>
      </c>
      <c r="H31" s="289">
        <f t="shared" ca="1" si="18"/>
        <v>-589</v>
      </c>
      <c r="I31" s="259" t="s">
        <v>55</v>
      </c>
      <c r="J31" s="256" t="s">
        <v>76</v>
      </c>
      <c r="K31" s="256" t="s">
        <v>77</v>
      </c>
      <c r="L31" s="256" t="s">
        <v>78</v>
      </c>
      <c r="M31" s="256" t="s">
        <v>79</v>
      </c>
      <c r="N31" s="256" t="s">
        <v>80</v>
      </c>
      <c r="O31" s="256" t="s">
        <v>81</v>
      </c>
      <c r="P31" s="292" t="e">
        <f t="shared" ca="1" si="15"/>
        <v>#VALUE!</v>
      </c>
    </row>
    <row r="32" spans="1:16384" ht="15" thickBot="1" x14ac:dyDescent="0.35">
      <c r="A32" s="635"/>
      <c r="B32" s="636"/>
      <c r="C32" s="636"/>
      <c r="D32" s="636"/>
      <c r="E32" s="637"/>
      <c r="F32" s="298" t="s">
        <v>7</v>
      </c>
      <c r="G32" s="299">
        <f ca="1">SUM(G29:G31)</f>
        <v>0</v>
      </c>
      <c r="H32" s="300"/>
      <c r="I32" s="308">
        <v>45494</v>
      </c>
      <c r="J32" s="259" t="s">
        <v>76</v>
      </c>
      <c r="K32" s="259"/>
      <c r="L32" s="259">
        <v>1</v>
      </c>
      <c r="M32" s="303">
        <f t="shared" ref="M32:M34" si="2825">EDATE(I32,L32)</f>
        <v>45525</v>
      </c>
      <c r="N32" s="262">
        <v>0</v>
      </c>
      <c r="O32" s="307">
        <f t="shared" ref="O32:O34" ca="1" si="2826">IF(P32&gt;=1,(N32/L32),0)</f>
        <v>0</v>
      </c>
      <c r="P32" s="292">
        <f t="shared" ca="1" si="15"/>
        <v>-589</v>
      </c>
    </row>
    <row r="33" spans="1:16384" x14ac:dyDescent="0.3">
      <c r="A33" s="259" t="s">
        <v>55</v>
      </c>
      <c r="B33" s="256" t="s">
        <v>167</v>
      </c>
      <c r="C33" s="256" t="s">
        <v>77</v>
      </c>
      <c r="D33" s="256" t="s">
        <v>78</v>
      </c>
      <c r="E33" s="256" t="s">
        <v>79</v>
      </c>
      <c r="F33" s="256" t="s">
        <v>80</v>
      </c>
      <c r="G33" s="256" t="s">
        <v>81</v>
      </c>
      <c r="H33" s="331"/>
      <c r="I33" s="290">
        <v>45492</v>
      </c>
      <c r="J33" s="259" t="s">
        <v>76</v>
      </c>
      <c r="K33" s="305"/>
      <c r="L33" s="305">
        <v>1</v>
      </c>
      <c r="M33" s="304">
        <f t="shared" si="2825"/>
        <v>45523</v>
      </c>
      <c r="N33" s="340">
        <v>0</v>
      </c>
      <c r="O33" s="320">
        <f t="shared" si="2826"/>
        <v>0</v>
      </c>
      <c r="P33" s="292"/>
    </row>
    <row r="34" spans="1:16384" x14ac:dyDescent="0.3">
      <c r="A34" s="308">
        <v>45495</v>
      </c>
      <c r="B34" s="259" t="s">
        <v>114</v>
      </c>
      <c r="C34" s="305" t="s">
        <v>82</v>
      </c>
      <c r="D34" s="305">
        <v>1</v>
      </c>
      <c r="E34" s="304">
        <f>EDATE(A34,D34)</f>
        <v>45526</v>
      </c>
      <c r="F34" s="340">
        <v>0</v>
      </c>
      <c r="G34" s="307">
        <f t="shared" ca="1" si="16"/>
        <v>0</v>
      </c>
      <c r="H34" s="289">
        <f t="shared" ca="1" si="18"/>
        <v>-588</v>
      </c>
      <c r="I34" s="308">
        <v>45495</v>
      </c>
      <c r="J34" s="259" t="s">
        <v>76</v>
      </c>
      <c r="K34" s="259"/>
      <c r="L34" s="259">
        <v>1</v>
      </c>
      <c r="M34" s="303">
        <f t="shared" si="2825"/>
        <v>45526</v>
      </c>
      <c r="N34" s="262">
        <v>0</v>
      </c>
      <c r="O34" s="307">
        <f t="shared" ca="1" si="2826"/>
        <v>0</v>
      </c>
      <c r="P34" s="292">
        <f t="shared" ca="1" si="15"/>
        <v>-588</v>
      </c>
    </row>
    <row r="35" spans="1:16384" ht="15" thickBot="1" x14ac:dyDescent="0.35">
      <c r="A35" s="290">
        <v>45496</v>
      </c>
      <c r="B35" s="259" t="s">
        <v>114</v>
      </c>
      <c r="C35" s="256" t="s">
        <v>82</v>
      </c>
      <c r="D35" s="256">
        <v>1</v>
      </c>
      <c r="E35" s="304">
        <f t="shared" ref="E35:E36" si="2827">EDATE(A35,D35)</f>
        <v>45527</v>
      </c>
      <c r="F35" s="291">
        <v>0</v>
      </c>
      <c r="G35" s="288">
        <f t="shared" ca="1" si="16"/>
        <v>0</v>
      </c>
      <c r="H35" s="289">
        <f t="shared" ca="1" si="18"/>
        <v>-587</v>
      </c>
      <c r="I35" s="343"/>
      <c r="J35" s="344"/>
      <c r="K35" s="344"/>
      <c r="L35" s="344"/>
      <c r="M35" s="345"/>
      <c r="N35" s="336" t="s">
        <v>7</v>
      </c>
      <c r="O35" s="319">
        <f ca="1">SUM(O31:O34)</f>
        <v>0</v>
      </c>
      <c r="P35" s="302"/>
    </row>
    <row r="36" spans="1:16384" x14ac:dyDescent="0.3">
      <c r="A36" s="290">
        <v>45497</v>
      </c>
      <c r="B36" s="259" t="s">
        <v>114</v>
      </c>
      <c r="C36" s="256" t="s">
        <v>82</v>
      </c>
      <c r="D36" s="256">
        <v>1</v>
      </c>
      <c r="E36" s="304">
        <f t="shared" si="2827"/>
        <v>45528</v>
      </c>
      <c r="F36" s="291">
        <v>0</v>
      </c>
      <c r="G36" s="288">
        <f t="shared" ca="1" si="16"/>
        <v>0</v>
      </c>
      <c r="H36" s="289">
        <f t="shared" ca="1" si="18"/>
        <v>-586</v>
      </c>
      <c r="I36" s="259" t="s">
        <v>55</v>
      </c>
      <c r="J36" s="256" t="s">
        <v>76</v>
      </c>
      <c r="K36" s="256" t="s">
        <v>77</v>
      </c>
      <c r="L36" s="256" t="s">
        <v>78</v>
      </c>
      <c r="M36" s="256" t="s">
        <v>79</v>
      </c>
      <c r="N36" s="256" t="s">
        <v>80</v>
      </c>
      <c r="O36" s="256" t="s">
        <v>81</v>
      </c>
      <c r="P36" s="292" t="e">
        <f t="shared" ca="1" si="15"/>
        <v>#VALUE!</v>
      </c>
    </row>
    <row r="37" spans="1:16384" ht="15" thickBot="1" x14ac:dyDescent="0.35">
      <c r="A37" s="635"/>
      <c r="B37" s="636"/>
      <c r="C37" s="636"/>
      <c r="D37" s="636"/>
      <c r="E37" s="637"/>
      <c r="F37" s="298" t="s">
        <v>7</v>
      </c>
      <c r="G37" s="299">
        <f ca="1">SUM(G34:G36)</f>
        <v>0</v>
      </c>
      <c r="H37" s="300"/>
      <c r="I37" s="308">
        <v>45493</v>
      </c>
      <c r="J37" s="259" t="s">
        <v>76</v>
      </c>
      <c r="K37" s="305"/>
      <c r="L37" s="305">
        <v>1</v>
      </c>
      <c r="M37" s="304">
        <f t="shared" ref="M37:M39" si="2828">EDATE(I37,L37)</f>
        <v>45524</v>
      </c>
      <c r="N37" s="340">
        <v>0</v>
      </c>
      <c r="O37" s="320">
        <f t="shared" ca="1" si="1"/>
        <v>0</v>
      </c>
      <c r="P37" s="292">
        <f t="shared" ca="1" si="15"/>
        <v>-590</v>
      </c>
    </row>
    <row r="38" spans="1:16384" x14ac:dyDescent="0.3">
      <c r="A38" s="259" t="s">
        <v>55</v>
      </c>
      <c r="B38" s="256" t="s">
        <v>168</v>
      </c>
      <c r="C38" s="256" t="s">
        <v>77</v>
      </c>
      <c r="D38" s="256" t="s">
        <v>78</v>
      </c>
      <c r="E38" s="256" t="s">
        <v>79</v>
      </c>
      <c r="F38" s="256" t="s">
        <v>80</v>
      </c>
      <c r="G38" s="256" t="s">
        <v>81</v>
      </c>
      <c r="H38" s="331"/>
      <c r="I38" s="290">
        <v>45492</v>
      </c>
      <c r="J38" s="259" t="s">
        <v>76</v>
      </c>
      <c r="K38" s="305"/>
      <c r="L38" s="305">
        <v>1</v>
      </c>
      <c r="M38" s="304">
        <f t="shared" si="2828"/>
        <v>45523</v>
      </c>
      <c r="N38" s="340">
        <v>0</v>
      </c>
      <c r="O38" s="320">
        <f t="shared" si="1"/>
        <v>0</v>
      </c>
      <c r="P38" s="292"/>
      <c r="Q38" s="41"/>
      <c r="R38" s="41"/>
      <c r="S38" s="41"/>
      <c r="T38" s="41"/>
      <c r="U38" s="41"/>
      <c r="V38" s="41"/>
      <c r="W38" s="41"/>
      <c r="X38" s="255"/>
      <c r="Y38" s="40"/>
      <c r="Z38" s="41"/>
      <c r="AA38" s="41"/>
      <c r="AB38" s="41"/>
      <c r="AC38" s="352"/>
      <c r="AD38" s="353"/>
      <c r="AE38" s="354"/>
      <c r="AF38" s="355"/>
      <c r="AG38" s="41"/>
      <c r="AH38" s="41"/>
      <c r="AI38" s="41"/>
      <c r="AJ38" s="41"/>
      <c r="AK38" s="41"/>
      <c r="AL38" s="41"/>
      <c r="AM38" s="41"/>
      <c r="AN38" s="255"/>
      <c r="AO38" s="40"/>
      <c r="AP38" s="41"/>
      <c r="AQ38" s="41"/>
      <c r="AR38" s="41"/>
      <c r="AS38" s="352"/>
      <c r="AT38" s="353"/>
      <c r="AU38" s="354"/>
      <c r="AV38" s="355"/>
      <c r="AW38" s="41"/>
      <c r="AX38" s="41"/>
      <c r="AY38" s="41"/>
      <c r="AZ38" s="41"/>
      <c r="BA38" s="41"/>
      <c r="BB38" s="41"/>
      <c r="BC38" s="41"/>
      <c r="BD38" s="255"/>
      <c r="BE38" s="40"/>
      <c r="BF38" s="41"/>
      <c r="BG38" s="41"/>
      <c r="BH38" s="41"/>
      <c r="BI38" s="352"/>
      <c r="BJ38" s="353"/>
      <c r="BK38" s="354"/>
      <c r="BL38" s="355"/>
      <c r="BM38" s="41"/>
      <c r="BN38" s="41"/>
      <c r="BO38" s="41"/>
      <c r="BP38" s="41"/>
      <c r="BQ38" s="41"/>
      <c r="BR38" s="41"/>
      <c r="BS38" s="41"/>
      <c r="BT38" s="255"/>
      <c r="BU38" s="40"/>
      <c r="BV38" s="41"/>
      <c r="BW38" s="41"/>
      <c r="BX38" s="41"/>
      <c r="BY38" s="352"/>
      <c r="BZ38" s="353"/>
      <c r="CA38" s="354"/>
      <c r="CB38" s="355"/>
      <c r="CC38" s="41"/>
      <c r="CD38" s="41"/>
      <c r="CE38" s="41"/>
      <c r="CF38" s="41"/>
      <c r="CG38" s="41"/>
      <c r="CH38" s="41"/>
      <c r="CI38" s="41"/>
      <c r="CJ38" s="255"/>
      <c r="CK38" s="40"/>
      <c r="CL38" s="41"/>
      <c r="CM38" s="41"/>
      <c r="CN38" s="41"/>
      <c r="CO38" s="352"/>
      <c r="CP38" s="353"/>
      <c r="CQ38" s="354"/>
      <c r="CR38" s="355"/>
      <c r="CS38" s="41"/>
      <c r="CT38" s="41"/>
      <c r="CU38" s="41"/>
      <c r="CV38" s="41"/>
      <c r="CW38" s="41"/>
      <c r="CX38" s="41"/>
      <c r="CY38" s="41"/>
      <c r="CZ38" s="255"/>
      <c r="DA38" s="40"/>
      <c r="DB38" s="41"/>
      <c r="DC38" s="41"/>
      <c r="DD38" s="41"/>
      <c r="DE38" s="352"/>
      <c r="DF38" s="353"/>
      <c r="DG38" s="354"/>
      <c r="DH38" s="355"/>
      <c r="DI38" s="41"/>
      <c r="DJ38" s="41"/>
      <c r="DK38" s="41"/>
      <c r="DL38" s="41"/>
      <c r="DM38" s="41"/>
      <c r="DN38" s="41"/>
      <c r="DO38" s="41"/>
      <c r="DP38" s="255"/>
      <c r="DQ38" s="40"/>
      <c r="DR38" s="41"/>
      <c r="DS38" s="41"/>
      <c r="DT38" s="41"/>
      <c r="DU38" s="352"/>
      <c r="DV38" s="353"/>
      <c r="DW38" s="354"/>
      <c r="DX38" s="355"/>
      <c r="DY38" s="41"/>
      <c r="DZ38" s="41"/>
      <c r="EA38" s="41"/>
      <c r="EB38" s="41"/>
      <c r="EC38" s="41"/>
      <c r="ED38" s="41"/>
      <c r="EE38" s="41"/>
      <c r="EF38" s="255"/>
      <c r="EG38" s="40"/>
      <c r="EH38" s="41"/>
      <c r="EI38" s="41"/>
      <c r="EJ38" s="41"/>
      <c r="EK38" s="352"/>
      <c r="EL38" s="353"/>
      <c r="EM38" s="354"/>
      <c r="EN38" s="355"/>
      <c r="EO38" s="41"/>
      <c r="EP38" s="41"/>
      <c r="EQ38" s="41"/>
      <c r="ER38" s="41"/>
      <c r="ES38" s="41"/>
      <c r="ET38" s="41"/>
      <c r="EU38" s="41"/>
      <c r="EV38" s="255"/>
      <c r="EW38" s="40"/>
      <c r="EX38" s="41"/>
      <c r="EY38" s="41"/>
      <c r="EZ38" s="41"/>
      <c r="FA38" s="352"/>
      <c r="FB38" s="353"/>
      <c r="FC38" s="354"/>
      <c r="FD38" s="355"/>
      <c r="FE38" s="41"/>
      <c r="FF38" s="41"/>
      <c r="FG38" s="41"/>
      <c r="FH38" s="41"/>
      <c r="FI38" s="41"/>
      <c r="FJ38" s="41"/>
      <c r="FK38" s="41"/>
      <c r="FL38" s="255"/>
      <c r="FM38" s="40"/>
      <c r="FN38" s="41"/>
      <c r="FO38" s="41"/>
      <c r="FP38" s="41"/>
      <c r="FQ38" s="352"/>
      <c r="FR38" s="353"/>
      <c r="FS38" s="354"/>
      <c r="FT38" s="355"/>
      <c r="FU38" s="41"/>
      <c r="FV38" s="41"/>
      <c r="FW38" s="41"/>
      <c r="FX38" s="41"/>
      <c r="FY38" s="41"/>
      <c r="FZ38" s="41"/>
      <c r="GA38" s="41"/>
      <c r="GB38" s="255"/>
      <c r="GC38" s="40"/>
      <c r="GD38" s="41"/>
      <c r="GE38" s="41"/>
      <c r="GF38" s="41"/>
      <c r="GG38" s="352"/>
      <c r="GH38" s="353"/>
      <c r="GI38" s="354"/>
      <c r="GJ38" s="355"/>
      <c r="GK38" s="41"/>
      <c r="GL38" s="41"/>
      <c r="GM38" s="41"/>
      <c r="GN38" s="41"/>
      <c r="GO38" s="41"/>
      <c r="GP38" s="41"/>
      <c r="GQ38" s="41"/>
      <c r="GR38" s="255"/>
      <c r="GS38" s="40"/>
      <c r="GT38" s="41"/>
      <c r="GU38" s="41"/>
      <c r="GV38" s="41"/>
      <c r="GW38" s="352"/>
      <c r="GX38" s="353"/>
      <c r="GY38" s="354"/>
      <c r="GZ38" s="355"/>
      <c r="HA38" s="41"/>
      <c r="HB38" s="41"/>
      <c r="HC38" s="41"/>
      <c r="HD38" s="41"/>
      <c r="HE38" s="41"/>
      <c r="HF38" s="41"/>
      <c r="HG38" s="41"/>
      <c r="HH38" s="255"/>
      <c r="HI38" s="40"/>
      <c r="HJ38" s="41"/>
      <c r="HK38" s="41"/>
      <c r="HL38" s="41"/>
      <c r="HM38" s="352"/>
      <c r="HN38" s="353"/>
      <c r="HO38" s="354"/>
      <c r="HP38" s="355"/>
      <c r="HQ38" s="41"/>
      <c r="HR38" s="41"/>
      <c r="HS38" s="41"/>
      <c r="HT38" s="41"/>
      <c r="HU38" s="41"/>
      <c r="HV38" s="41"/>
      <c r="HW38" s="41"/>
      <c r="HX38" s="255"/>
      <c r="HY38" s="40"/>
      <c r="HZ38" s="41"/>
      <c r="IA38" s="41"/>
      <c r="IB38" s="41"/>
      <c r="IC38" s="352"/>
      <c r="ID38" s="353"/>
      <c r="IE38" s="354"/>
      <c r="IF38" s="355"/>
      <c r="IG38" s="41"/>
      <c r="IH38" s="41"/>
      <c r="II38" s="41"/>
      <c r="IJ38" s="41"/>
      <c r="IK38" s="41"/>
      <c r="IL38" s="41"/>
      <c r="IM38" s="41"/>
      <c r="IN38" s="255"/>
      <c r="IO38" s="40"/>
      <c r="IP38" s="41"/>
      <c r="IQ38" s="41"/>
      <c r="IR38" s="41"/>
      <c r="IS38" s="352"/>
      <c r="IT38" s="353"/>
      <c r="IU38" s="354"/>
      <c r="IV38" s="355"/>
      <c r="IW38" s="41"/>
      <c r="IX38" s="41"/>
      <c r="IY38" s="41"/>
      <c r="IZ38" s="41"/>
      <c r="JA38" s="41"/>
      <c r="JB38" s="41"/>
      <c r="JC38" s="41"/>
      <c r="JD38" s="255"/>
      <c r="JE38" s="40"/>
      <c r="JF38" s="41"/>
      <c r="JG38" s="41"/>
      <c r="JH38" s="41"/>
      <c r="JI38" s="352"/>
      <c r="JJ38" s="353"/>
      <c r="JK38" s="354"/>
      <c r="JL38" s="355"/>
      <c r="JM38" s="41"/>
      <c r="JN38" s="41"/>
      <c r="JO38" s="41"/>
      <c r="JP38" s="41"/>
      <c r="JQ38" s="41"/>
      <c r="JR38" s="41"/>
      <c r="JS38" s="41"/>
      <c r="JT38" s="255"/>
      <c r="JU38" s="40"/>
      <c r="JV38" s="41"/>
      <c r="JW38" s="41"/>
      <c r="JX38" s="41"/>
      <c r="JY38" s="352"/>
      <c r="JZ38" s="353"/>
      <c r="KA38" s="354"/>
      <c r="KB38" s="355"/>
      <c r="KC38" s="41"/>
      <c r="KD38" s="41"/>
      <c r="KE38" s="41"/>
      <c r="KF38" s="41"/>
      <c r="KG38" s="41"/>
      <c r="KH38" s="41"/>
      <c r="KI38" s="41"/>
      <c r="KJ38" s="255"/>
      <c r="KK38" s="40"/>
      <c r="KL38" s="41"/>
      <c r="KM38" s="41"/>
      <c r="KN38" s="41"/>
      <c r="KO38" s="352"/>
      <c r="KP38" s="353"/>
      <c r="KQ38" s="354"/>
      <c r="KR38" s="355"/>
      <c r="KS38" s="41"/>
      <c r="KT38" s="41"/>
      <c r="KU38" s="41"/>
      <c r="KV38" s="41"/>
      <c r="KW38" s="41"/>
      <c r="KX38" s="41"/>
      <c r="KY38" s="41"/>
      <c r="KZ38" s="255"/>
      <c r="LA38" s="40"/>
      <c r="LB38" s="41"/>
      <c r="LC38" s="41"/>
      <c r="LD38" s="41"/>
      <c r="LE38" s="352"/>
      <c r="LF38" s="353"/>
      <c r="LG38" s="354"/>
      <c r="LH38" s="355"/>
      <c r="LI38" s="41"/>
      <c r="LJ38" s="41"/>
      <c r="LK38" s="41"/>
      <c r="LL38" s="41"/>
      <c r="LM38" s="41"/>
      <c r="LN38" s="41"/>
      <c r="LO38" s="41"/>
      <c r="LP38" s="255"/>
      <c r="LQ38" s="40"/>
      <c r="LR38" s="41"/>
      <c r="LS38" s="41"/>
      <c r="LT38" s="41"/>
      <c r="LU38" s="352"/>
      <c r="LV38" s="353"/>
      <c r="LW38" s="354"/>
      <c r="LX38" s="355"/>
      <c r="LY38" s="41"/>
      <c r="LZ38" s="41"/>
      <c r="MA38" s="41"/>
      <c r="MB38" s="41"/>
      <c r="MC38" s="41"/>
      <c r="MD38" s="41"/>
      <c r="ME38" s="41"/>
      <c r="MF38" s="255"/>
      <c r="MG38" s="40"/>
      <c r="MH38" s="41"/>
      <c r="MI38" s="41"/>
      <c r="MJ38" s="41"/>
      <c r="MK38" s="352"/>
      <c r="ML38" s="353"/>
      <c r="MM38" s="354"/>
      <c r="MN38" s="355"/>
      <c r="MO38" s="41"/>
      <c r="MP38" s="41"/>
      <c r="MQ38" s="41"/>
      <c r="MR38" s="41"/>
      <c r="MS38" s="41"/>
      <c r="MT38" s="41"/>
      <c r="MU38" s="41"/>
      <c r="MV38" s="255"/>
      <c r="MW38" s="40"/>
      <c r="MX38" s="41"/>
      <c r="MY38" s="41"/>
      <c r="MZ38" s="41"/>
      <c r="NA38" s="352"/>
      <c r="NB38" s="353"/>
      <c r="NC38" s="354"/>
      <c r="ND38" s="355"/>
      <c r="NE38" s="41"/>
      <c r="NF38" s="41"/>
      <c r="NG38" s="41"/>
      <c r="NH38" s="41"/>
      <c r="NI38" s="41"/>
      <c r="NJ38" s="41"/>
      <c r="NK38" s="41"/>
      <c r="NL38" s="255"/>
      <c r="NM38" s="40"/>
      <c r="NN38" s="41"/>
      <c r="NO38" s="41"/>
      <c r="NP38" s="41"/>
      <c r="NQ38" s="352"/>
      <c r="NR38" s="353"/>
      <c r="NS38" s="354"/>
      <c r="NT38" s="355"/>
      <c r="NU38" s="41"/>
      <c r="NV38" s="41"/>
      <c r="NW38" s="41"/>
      <c r="NX38" s="41"/>
      <c r="NY38" s="41"/>
      <c r="NZ38" s="41"/>
      <c r="OA38" s="41"/>
      <c r="OB38" s="255"/>
      <c r="OC38" s="40"/>
      <c r="OD38" s="41"/>
      <c r="OE38" s="41"/>
      <c r="OF38" s="41"/>
      <c r="OG38" s="352"/>
      <c r="OH38" s="353"/>
      <c r="OI38" s="354"/>
      <c r="OJ38" s="355"/>
      <c r="OK38" s="41"/>
      <c r="OL38" s="41"/>
      <c r="OM38" s="41"/>
      <c r="ON38" s="41"/>
      <c r="OO38" s="41"/>
      <c r="OP38" s="41"/>
      <c r="OQ38" s="41"/>
      <c r="OR38" s="255"/>
      <c r="OS38" s="40"/>
      <c r="OT38" s="41"/>
      <c r="OU38" s="41"/>
      <c r="OV38" s="41"/>
      <c r="OW38" s="352"/>
      <c r="OX38" s="353"/>
      <c r="OY38" s="354"/>
      <c r="OZ38" s="355"/>
      <c r="PA38" s="41"/>
      <c r="PB38" s="41"/>
      <c r="PC38" s="41"/>
      <c r="PD38" s="41"/>
      <c r="PE38" s="41"/>
      <c r="PF38" s="41"/>
      <c r="PG38" s="41"/>
      <c r="PH38" s="255"/>
      <c r="PI38" s="40"/>
      <c r="PJ38" s="41"/>
      <c r="PK38" s="41"/>
      <c r="PL38" s="41"/>
      <c r="PM38" s="352"/>
      <c r="PN38" s="353"/>
      <c r="PO38" s="354"/>
      <c r="PP38" s="355"/>
      <c r="PQ38" s="41"/>
      <c r="PR38" s="41"/>
      <c r="PS38" s="41"/>
      <c r="PT38" s="41"/>
      <c r="PU38" s="41"/>
      <c r="PV38" s="41"/>
      <c r="PW38" s="41"/>
      <c r="PX38" s="255"/>
      <c r="PY38" s="40"/>
      <c r="PZ38" s="41"/>
      <c r="QA38" s="41"/>
      <c r="QB38" s="41"/>
      <c r="QC38" s="352"/>
      <c r="QD38" s="353"/>
      <c r="QE38" s="354"/>
      <c r="QF38" s="355"/>
      <c r="QG38" s="41"/>
      <c r="QH38" s="41"/>
      <c r="QI38" s="41"/>
      <c r="QJ38" s="41"/>
      <c r="QK38" s="41"/>
      <c r="QL38" s="41"/>
      <c r="QM38" s="41"/>
      <c r="QN38" s="255"/>
      <c r="QO38" s="40"/>
      <c r="QP38" s="41"/>
      <c r="QQ38" s="41"/>
      <c r="QR38" s="41"/>
      <c r="QS38" s="352"/>
      <c r="QT38" s="353"/>
      <c r="QU38" s="354"/>
      <c r="QV38" s="355"/>
      <c r="QW38" s="41"/>
      <c r="QX38" s="41"/>
      <c r="QY38" s="41"/>
      <c r="QZ38" s="41"/>
      <c r="RA38" s="41"/>
      <c r="RB38" s="41"/>
      <c r="RC38" s="41"/>
      <c r="RD38" s="255"/>
      <c r="RE38" s="40"/>
      <c r="RF38" s="41"/>
      <c r="RG38" s="41"/>
      <c r="RH38" s="41"/>
      <c r="RI38" s="352"/>
      <c r="RJ38" s="353"/>
      <c r="RK38" s="354"/>
      <c r="RL38" s="355"/>
      <c r="RM38" s="41"/>
      <c r="RN38" s="41"/>
      <c r="RO38" s="41"/>
      <c r="RP38" s="41"/>
      <c r="RQ38" s="41"/>
      <c r="RR38" s="41"/>
      <c r="RS38" s="41"/>
      <c r="RT38" s="255"/>
      <c r="RU38" s="40"/>
      <c r="RV38" s="41"/>
      <c r="RW38" s="41"/>
      <c r="RX38" s="41"/>
      <c r="RY38" s="352"/>
      <c r="RZ38" s="353"/>
      <c r="SA38" s="354"/>
      <c r="SB38" s="355"/>
      <c r="SC38" s="41"/>
      <c r="SD38" s="41"/>
      <c r="SE38" s="41"/>
      <c r="SF38" s="41"/>
      <c r="SG38" s="41"/>
      <c r="SH38" s="41"/>
      <c r="SI38" s="41"/>
      <c r="SJ38" s="255"/>
      <c r="SK38" s="40"/>
      <c r="SL38" s="41"/>
      <c r="SM38" s="41"/>
      <c r="SN38" s="41"/>
      <c r="SO38" s="352"/>
      <c r="SP38" s="353"/>
      <c r="SQ38" s="354"/>
      <c r="SR38" s="355"/>
      <c r="SS38" s="41"/>
      <c r="ST38" s="41"/>
      <c r="SU38" s="41"/>
      <c r="SV38" s="41"/>
      <c r="SW38" s="41"/>
      <c r="SX38" s="41"/>
      <c r="SY38" s="41"/>
      <c r="SZ38" s="255"/>
      <c r="TA38" s="40"/>
      <c r="TB38" s="41"/>
      <c r="TC38" s="41"/>
      <c r="TD38" s="41"/>
      <c r="TE38" s="352"/>
      <c r="TF38" s="353"/>
      <c r="TG38" s="354"/>
      <c r="TH38" s="355"/>
      <c r="TI38" s="41"/>
      <c r="TJ38" s="41"/>
      <c r="TK38" s="41"/>
      <c r="TL38" s="41"/>
      <c r="TM38" s="41"/>
      <c r="TN38" s="41"/>
      <c r="TO38" s="41"/>
      <c r="TP38" s="255"/>
      <c r="TQ38" s="40"/>
      <c r="TR38" s="41"/>
      <c r="TS38" s="41"/>
      <c r="TT38" s="41"/>
      <c r="TU38" s="352"/>
      <c r="TV38" s="353"/>
      <c r="TW38" s="354"/>
      <c r="TX38" s="355"/>
      <c r="TY38" s="41"/>
      <c r="TZ38" s="41"/>
      <c r="UA38" s="41"/>
      <c r="UB38" s="41"/>
      <c r="UC38" s="41"/>
      <c r="UD38" s="41"/>
      <c r="UE38" s="41"/>
      <c r="UF38" s="255"/>
      <c r="UG38" s="40"/>
      <c r="UH38" s="41"/>
      <c r="UI38" s="41"/>
      <c r="UJ38" s="41"/>
      <c r="UK38" s="352"/>
      <c r="UL38" s="353"/>
      <c r="UM38" s="354"/>
      <c r="UN38" s="355"/>
      <c r="UO38" s="41"/>
      <c r="UP38" s="41"/>
      <c r="UQ38" s="41"/>
      <c r="UR38" s="41"/>
      <c r="US38" s="41"/>
      <c r="UT38" s="41"/>
      <c r="UU38" s="41"/>
      <c r="UV38" s="255"/>
      <c r="UW38" s="40"/>
      <c r="UX38" s="41"/>
      <c r="UY38" s="41"/>
      <c r="UZ38" s="41"/>
      <c r="VA38" s="352"/>
      <c r="VB38" s="353"/>
      <c r="VC38" s="354"/>
      <c r="VD38" s="355"/>
      <c r="VE38" s="41"/>
      <c r="VF38" s="41"/>
      <c r="VG38" s="41"/>
      <c r="VH38" s="41"/>
      <c r="VI38" s="41"/>
      <c r="VJ38" s="41"/>
      <c r="VK38" s="41"/>
      <c r="VL38" s="255"/>
      <c r="VM38" s="40"/>
      <c r="VN38" s="41"/>
      <c r="VO38" s="41"/>
      <c r="VP38" s="41"/>
      <c r="VQ38" s="352"/>
      <c r="VR38" s="353"/>
      <c r="VS38" s="354"/>
      <c r="VT38" s="355"/>
      <c r="VU38" s="41"/>
      <c r="VV38" s="41"/>
      <c r="VW38" s="41"/>
      <c r="VX38" s="41"/>
      <c r="VY38" s="41"/>
      <c r="VZ38" s="41"/>
      <c r="WA38" s="41"/>
      <c r="WB38" s="255"/>
      <c r="WC38" s="40"/>
      <c r="WD38" s="41"/>
      <c r="WE38" s="41"/>
      <c r="WF38" s="41"/>
      <c r="WG38" s="352"/>
      <c r="WH38" s="353"/>
      <c r="WI38" s="354"/>
      <c r="WJ38" s="355"/>
      <c r="WK38" s="41"/>
      <c r="WL38" s="41"/>
      <c r="WM38" s="41"/>
      <c r="WN38" s="41"/>
      <c r="WO38" s="41"/>
      <c r="WP38" s="41"/>
      <c r="WQ38" s="41"/>
      <c r="WR38" s="255"/>
      <c r="WS38" s="40"/>
      <c r="WT38" s="41"/>
      <c r="WU38" s="41"/>
      <c r="WV38" s="41"/>
      <c r="WW38" s="352"/>
      <c r="WX38" s="353"/>
      <c r="WY38" s="354"/>
      <c r="WZ38" s="355"/>
      <c r="XA38" s="41"/>
      <c r="XB38" s="41"/>
      <c r="XC38" s="41"/>
      <c r="XD38" s="41"/>
      <c r="XE38" s="41"/>
      <c r="XF38" s="41"/>
      <c r="XG38" s="41"/>
      <c r="XH38" s="255"/>
      <c r="XI38" s="40"/>
      <c r="XJ38" s="41"/>
      <c r="XK38" s="41"/>
      <c r="XL38" s="41"/>
      <c r="XM38" s="352"/>
      <c r="XN38" s="353"/>
      <c r="XO38" s="354"/>
      <c r="XP38" s="355"/>
      <c r="XQ38" s="41"/>
      <c r="XR38" s="41"/>
      <c r="XS38" s="41"/>
      <c r="XT38" s="41"/>
      <c r="XU38" s="41"/>
      <c r="XV38" s="41"/>
      <c r="XW38" s="41"/>
      <c r="XX38" s="255"/>
      <c r="XY38" s="40"/>
      <c r="XZ38" s="41"/>
      <c r="YA38" s="41"/>
      <c r="YB38" s="41"/>
      <c r="YC38" s="352"/>
      <c r="YD38" s="353"/>
      <c r="YE38" s="354"/>
      <c r="YF38" s="355"/>
      <c r="YG38" s="41"/>
      <c r="YH38" s="41"/>
      <c r="YI38" s="41"/>
      <c r="YJ38" s="41"/>
      <c r="YK38" s="41"/>
      <c r="YL38" s="41"/>
      <c r="YM38" s="41"/>
      <c r="YN38" s="255"/>
      <c r="YO38" s="40"/>
      <c r="YP38" s="41"/>
      <c r="YQ38" s="41"/>
      <c r="YR38" s="41"/>
      <c r="YS38" s="352"/>
      <c r="YT38" s="353"/>
      <c r="YU38" s="354"/>
      <c r="YV38" s="355"/>
      <c r="YW38" s="41"/>
      <c r="YX38" s="41"/>
      <c r="YY38" s="41"/>
      <c r="YZ38" s="41"/>
      <c r="ZA38" s="41"/>
      <c r="ZB38" s="41"/>
      <c r="ZC38" s="41"/>
      <c r="ZD38" s="255"/>
      <c r="ZE38" s="40"/>
      <c r="ZF38" s="41"/>
      <c r="ZG38" s="41"/>
      <c r="ZH38" s="41"/>
      <c r="ZI38" s="352"/>
      <c r="ZJ38" s="353"/>
      <c r="ZK38" s="354"/>
      <c r="ZL38" s="355"/>
      <c r="ZM38" s="41"/>
      <c r="ZN38" s="41"/>
      <c r="ZO38" s="41"/>
      <c r="ZP38" s="41"/>
      <c r="ZQ38" s="41"/>
      <c r="ZR38" s="41"/>
      <c r="ZS38" s="41"/>
      <c r="ZT38" s="255"/>
      <c r="ZU38" s="40"/>
      <c r="ZV38" s="41"/>
      <c r="ZW38" s="41"/>
      <c r="ZX38" s="41"/>
      <c r="ZY38" s="352"/>
      <c r="ZZ38" s="353"/>
      <c r="AAA38" s="354"/>
      <c r="AAB38" s="355"/>
      <c r="AAC38" s="41"/>
      <c r="AAD38" s="41"/>
      <c r="AAE38" s="41"/>
      <c r="AAF38" s="41"/>
      <c r="AAG38" s="41"/>
      <c r="AAH38" s="41"/>
      <c r="AAI38" s="41"/>
      <c r="AAJ38" s="255"/>
      <c r="AAK38" s="40"/>
      <c r="AAL38" s="41"/>
      <c r="AAM38" s="41"/>
      <c r="AAN38" s="41"/>
      <c r="AAO38" s="352"/>
      <c r="AAP38" s="353"/>
      <c r="AAQ38" s="354"/>
      <c r="AAR38" s="355"/>
      <c r="AAS38" s="41"/>
      <c r="AAT38" s="41"/>
      <c r="AAU38" s="41"/>
      <c r="AAV38" s="41"/>
      <c r="AAW38" s="41"/>
      <c r="AAX38" s="41"/>
      <c r="AAY38" s="41"/>
      <c r="AAZ38" s="255"/>
      <c r="ABA38" s="40"/>
      <c r="ABB38" s="41"/>
      <c r="ABC38" s="41"/>
      <c r="ABD38" s="41"/>
      <c r="ABE38" s="352"/>
      <c r="ABF38" s="353"/>
      <c r="ABG38" s="354"/>
      <c r="ABH38" s="355"/>
      <c r="ABI38" s="41"/>
      <c r="ABJ38" s="41"/>
      <c r="ABK38" s="41"/>
      <c r="ABL38" s="41"/>
      <c r="ABM38" s="41"/>
      <c r="ABN38" s="41"/>
      <c r="ABO38" s="41"/>
      <c r="ABP38" s="255"/>
      <c r="ABQ38" s="40"/>
      <c r="ABR38" s="41"/>
      <c r="ABS38" s="41"/>
      <c r="ABT38" s="41"/>
      <c r="ABU38" s="352"/>
      <c r="ABV38" s="353"/>
      <c r="ABW38" s="354"/>
      <c r="ABX38" s="355"/>
      <c r="ABY38" s="41"/>
      <c r="ABZ38" s="41"/>
      <c r="ACA38" s="41"/>
      <c r="ACB38" s="41"/>
      <c r="ACC38" s="41"/>
      <c r="ACD38" s="41"/>
      <c r="ACE38" s="41"/>
      <c r="ACF38" s="255"/>
      <c r="ACG38" s="40"/>
      <c r="ACH38" s="41"/>
      <c r="ACI38" s="41"/>
      <c r="ACJ38" s="41"/>
      <c r="ACK38" s="352"/>
      <c r="ACL38" s="353"/>
      <c r="ACM38" s="354"/>
      <c r="ACN38" s="355"/>
      <c r="ACO38" s="41"/>
      <c r="ACP38" s="41"/>
      <c r="ACQ38" s="41"/>
      <c r="ACR38" s="41"/>
      <c r="ACS38" s="41"/>
      <c r="ACT38" s="41"/>
      <c r="ACU38" s="41"/>
      <c r="ACV38" s="255"/>
      <c r="ACW38" s="40"/>
      <c r="ACX38" s="41"/>
      <c r="ACY38" s="41"/>
      <c r="ACZ38" s="41"/>
      <c r="ADA38" s="352"/>
      <c r="ADB38" s="353"/>
      <c r="ADC38" s="354"/>
      <c r="ADD38" s="355"/>
      <c r="ADE38" s="41"/>
      <c r="ADF38" s="41"/>
      <c r="ADG38" s="41"/>
      <c r="ADH38" s="41"/>
      <c r="ADI38" s="41"/>
      <c r="ADJ38" s="41"/>
      <c r="ADK38" s="41"/>
      <c r="ADL38" s="255"/>
      <c r="ADM38" s="40"/>
      <c r="ADN38" s="41"/>
      <c r="ADO38" s="41"/>
      <c r="ADP38" s="41"/>
      <c r="ADQ38" s="352"/>
      <c r="ADR38" s="353"/>
      <c r="ADS38" s="354"/>
      <c r="ADT38" s="355"/>
      <c r="ADU38" s="41"/>
      <c r="ADV38" s="41"/>
      <c r="ADW38" s="41"/>
      <c r="ADX38" s="41"/>
      <c r="ADY38" s="41"/>
      <c r="ADZ38" s="41"/>
      <c r="AEA38" s="41"/>
      <c r="AEB38" s="255"/>
      <c r="AEC38" s="40"/>
      <c r="AED38" s="41"/>
      <c r="AEE38" s="41"/>
      <c r="AEF38" s="41"/>
      <c r="AEG38" s="352"/>
      <c r="AEH38" s="353"/>
      <c r="AEI38" s="354"/>
      <c r="AEJ38" s="355"/>
      <c r="AEK38" s="41"/>
      <c r="AEL38" s="41"/>
      <c r="AEM38" s="41"/>
      <c r="AEN38" s="41"/>
      <c r="AEO38" s="41"/>
      <c r="AEP38" s="41"/>
      <c r="AEQ38" s="41"/>
      <c r="AER38" s="255"/>
      <c r="AES38" s="40"/>
      <c r="AET38" s="41"/>
      <c r="AEU38" s="41"/>
      <c r="AEV38" s="41"/>
      <c r="AEW38" s="352"/>
      <c r="AEX38" s="353"/>
      <c r="AEY38" s="354"/>
      <c r="AEZ38" s="355"/>
      <c r="AFA38" s="41"/>
      <c r="AFB38" s="41"/>
      <c r="AFC38" s="41"/>
      <c r="AFD38" s="41"/>
      <c r="AFE38" s="41"/>
      <c r="AFF38" s="41"/>
      <c r="AFG38" s="41"/>
      <c r="AFH38" s="255"/>
      <c r="AFI38" s="40"/>
      <c r="AFJ38" s="41"/>
      <c r="AFK38" s="41"/>
      <c r="AFL38" s="41"/>
      <c r="AFM38" s="352"/>
      <c r="AFN38" s="353"/>
      <c r="AFO38" s="354"/>
      <c r="AFP38" s="355"/>
      <c r="AFQ38" s="41"/>
      <c r="AFR38" s="41"/>
      <c r="AFS38" s="41"/>
      <c r="AFT38" s="41"/>
      <c r="AFU38" s="41"/>
      <c r="AFV38" s="41"/>
      <c r="AFW38" s="41"/>
      <c r="AFX38" s="255"/>
      <c r="AFY38" s="40"/>
      <c r="AFZ38" s="41"/>
      <c r="AGA38" s="41"/>
      <c r="AGB38" s="41"/>
      <c r="AGC38" s="352"/>
      <c r="AGD38" s="353"/>
      <c r="AGE38" s="354"/>
      <c r="AGF38" s="355"/>
      <c r="AGG38" s="41"/>
      <c r="AGH38" s="41"/>
      <c r="AGI38" s="41"/>
      <c r="AGJ38" s="41"/>
      <c r="AGK38" s="41"/>
      <c r="AGL38" s="41"/>
      <c r="AGM38" s="41"/>
      <c r="AGN38" s="255"/>
      <c r="AGO38" s="40"/>
      <c r="AGP38" s="41"/>
      <c r="AGQ38" s="41"/>
      <c r="AGR38" s="41"/>
      <c r="AGS38" s="352"/>
      <c r="AGT38" s="353"/>
      <c r="AGU38" s="354"/>
      <c r="AGV38" s="355"/>
      <c r="AGW38" s="41"/>
      <c r="AGX38" s="41"/>
      <c r="AGY38" s="41"/>
      <c r="AGZ38" s="41"/>
      <c r="AHA38" s="41"/>
      <c r="AHB38" s="41"/>
      <c r="AHC38" s="41"/>
      <c r="AHD38" s="255"/>
      <c r="AHE38" s="40"/>
      <c r="AHF38" s="41"/>
      <c r="AHG38" s="41"/>
      <c r="AHH38" s="41"/>
      <c r="AHI38" s="352"/>
      <c r="AHJ38" s="353"/>
      <c r="AHK38" s="354"/>
      <c r="AHL38" s="355"/>
      <c r="AHM38" s="41"/>
      <c r="AHN38" s="41"/>
      <c r="AHO38" s="41"/>
      <c r="AHP38" s="41"/>
      <c r="AHQ38" s="41"/>
      <c r="AHR38" s="41"/>
      <c r="AHS38" s="41"/>
      <c r="AHT38" s="255"/>
      <c r="AHU38" s="40"/>
      <c r="AHV38" s="41"/>
      <c r="AHW38" s="41"/>
      <c r="AHX38" s="41"/>
      <c r="AHY38" s="352"/>
      <c r="AHZ38" s="353"/>
      <c r="AIA38" s="354"/>
      <c r="AIB38" s="355"/>
      <c r="AIC38" s="41"/>
      <c r="AID38" s="41"/>
      <c r="AIE38" s="41"/>
      <c r="AIF38" s="41"/>
      <c r="AIG38" s="41"/>
      <c r="AIH38" s="41"/>
      <c r="AII38" s="41"/>
      <c r="AIJ38" s="255"/>
      <c r="AIK38" s="40"/>
      <c r="AIL38" s="41"/>
      <c r="AIM38" s="41"/>
      <c r="AIN38" s="41"/>
      <c r="AIO38" s="352"/>
      <c r="AIP38" s="353"/>
      <c r="AIQ38" s="354"/>
      <c r="AIR38" s="355"/>
      <c r="AIS38" s="41"/>
      <c r="AIT38" s="41"/>
      <c r="AIU38" s="41"/>
      <c r="AIV38" s="41"/>
      <c r="AIW38" s="41"/>
      <c r="AIX38" s="41"/>
      <c r="AIY38" s="41"/>
      <c r="AIZ38" s="255"/>
      <c r="AJA38" s="40"/>
      <c r="AJB38" s="41"/>
      <c r="AJC38" s="41"/>
      <c r="AJD38" s="41"/>
      <c r="AJE38" s="352"/>
      <c r="AJF38" s="353"/>
      <c r="AJG38" s="354"/>
      <c r="AJH38" s="355"/>
      <c r="AJI38" s="41"/>
      <c r="AJJ38" s="41"/>
      <c r="AJK38" s="41"/>
      <c r="AJL38" s="41"/>
      <c r="AJM38" s="41"/>
      <c r="AJN38" s="41"/>
      <c r="AJO38" s="41"/>
      <c r="AJP38" s="255"/>
      <c r="AJQ38" s="40"/>
      <c r="AJR38" s="41"/>
      <c r="AJS38" s="41"/>
      <c r="AJT38" s="41"/>
      <c r="AJU38" s="352"/>
      <c r="AJV38" s="353"/>
      <c r="AJW38" s="354"/>
      <c r="AJX38" s="355"/>
      <c r="AJY38" s="41"/>
      <c r="AJZ38" s="41"/>
      <c r="AKA38" s="41"/>
      <c r="AKB38" s="41"/>
      <c r="AKC38" s="41"/>
      <c r="AKD38" s="41"/>
      <c r="AKE38" s="41"/>
      <c r="AKF38" s="255"/>
      <c r="AKG38" s="40"/>
      <c r="AKH38" s="41"/>
      <c r="AKI38" s="41"/>
      <c r="AKJ38" s="41"/>
      <c r="AKK38" s="352"/>
      <c r="AKL38" s="353"/>
      <c r="AKM38" s="354"/>
      <c r="AKN38" s="355"/>
      <c r="AKO38" s="41"/>
      <c r="AKP38" s="41"/>
      <c r="AKQ38" s="41"/>
      <c r="AKR38" s="41"/>
      <c r="AKS38" s="41"/>
      <c r="AKT38" s="41"/>
      <c r="AKU38" s="41"/>
      <c r="AKV38" s="255"/>
      <c r="AKW38" s="40"/>
      <c r="AKX38" s="41"/>
      <c r="AKY38" s="41"/>
      <c r="AKZ38" s="41"/>
      <c r="ALA38" s="352"/>
      <c r="ALB38" s="353"/>
      <c r="ALC38" s="354"/>
      <c r="ALD38" s="355"/>
      <c r="ALE38" s="41"/>
      <c r="ALF38" s="41"/>
      <c r="ALG38" s="41"/>
      <c r="ALH38" s="41"/>
      <c r="ALI38" s="41"/>
      <c r="ALJ38" s="41"/>
      <c r="ALK38" s="41"/>
      <c r="ALL38" s="255"/>
      <c r="ALM38" s="40"/>
      <c r="ALN38" s="41"/>
      <c r="ALO38" s="41"/>
      <c r="ALP38" s="41"/>
      <c r="ALQ38" s="352"/>
      <c r="ALR38" s="353"/>
      <c r="ALS38" s="354"/>
      <c r="ALT38" s="355"/>
      <c r="ALU38" s="41"/>
      <c r="ALV38" s="41"/>
      <c r="ALW38" s="41"/>
      <c r="ALX38" s="41"/>
      <c r="ALY38" s="41"/>
      <c r="ALZ38" s="41"/>
      <c r="AMA38" s="41"/>
      <c r="AMB38" s="255"/>
      <c r="AMC38" s="40"/>
      <c r="AMD38" s="41"/>
      <c r="AME38" s="41"/>
      <c r="AMF38" s="41"/>
      <c r="AMG38" s="352"/>
      <c r="AMH38" s="353"/>
      <c r="AMI38" s="354"/>
      <c r="AMJ38" s="355"/>
      <c r="AMK38" s="41"/>
      <c r="AML38" s="41"/>
      <c r="AMM38" s="41"/>
      <c r="AMN38" s="41"/>
      <c r="AMO38" s="41"/>
      <c r="AMP38" s="41"/>
      <c r="AMQ38" s="41"/>
      <c r="AMR38" s="255"/>
      <c r="AMS38" s="40"/>
      <c r="AMT38" s="41"/>
      <c r="AMU38" s="41"/>
      <c r="AMV38" s="41"/>
      <c r="AMW38" s="352"/>
      <c r="AMX38" s="353"/>
      <c r="AMY38" s="354"/>
      <c r="AMZ38" s="355"/>
      <c r="ANA38" s="41"/>
      <c r="ANB38" s="41"/>
      <c r="ANC38" s="41"/>
      <c r="AND38" s="41"/>
      <c r="ANE38" s="41"/>
      <c r="ANF38" s="41"/>
      <c r="ANG38" s="41"/>
      <c r="ANH38" s="255"/>
      <c r="ANI38" s="40"/>
      <c r="ANJ38" s="41"/>
      <c r="ANK38" s="41"/>
      <c r="ANL38" s="41"/>
      <c r="ANM38" s="352"/>
      <c r="ANN38" s="353"/>
      <c r="ANO38" s="354"/>
      <c r="ANP38" s="355"/>
      <c r="ANQ38" s="41"/>
      <c r="ANR38" s="41"/>
      <c r="ANS38" s="41"/>
      <c r="ANT38" s="41"/>
      <c r="ANU38" s="41"/>
      <c r="ANV38" s="41"/>
      <c r="ANW38" s="41"/>
      <c r="ANX38" s="255"/>
      <c r="ANY38" s="40"/>
      <c r="ANZ38" s="41"/>
      <c r="AOA38" s="41"/>
      <c r="AOB38" s="41"/>
      <c r="AOC38" s="352"/>
      <c r="AOD38" s="353"/>
      <c r="AOE38" s="354"/>
      <c r="AOF38" s="355"/>
      <c r="AOG38" s="41"/>
      <c r="AOH38" s="41"/>
      <c r="AOI38" s="41"/>
      <c r="AOJ38" s="41"/>
      <c r="AOK38" s="41"/>
      <c r="AOL38" s="41"/>
      <c r="AOM38" s="41"/>
      <c r="AON38" s="255"/>
      <c r="AOO38" s="40"/>
      <c r="AOP38" s="41"/>
      <c r="AOQ38" s="41"/>
      <c r="AOR38" s="41"/>
      <c r="AOS38" s="352"/>
      <c r="AOT38" s="353"/>
      <c r="AOU38" s="354"/>
      <c r="AOV38" s="355"/>
      <c r="AOW38" s="41"/>
      <c r="AOX38" s="41"/>
      <c r="AOY38" s="41"/>
      <c r="AOZ38" s="41"/>
      <c r="APA38" s="41"/>
      <c r="APB38" s="41"/>
      <c r="APC38" s="41"/>
      <c r="APD38" s="255"/>
      <c r="APE38" s="40"/>
      <c r="APF38" s="41"/>
      <c r="APG38" s="41"/>
      <c r="APH38" s="41"/>
      <c r="API38" s="352"/>
      <c r="APJ38" s="353"/>
      <c r="APK38" s="354"/>
      <c r="APL38" s="355"/>
      <c r="APM38" s="41"/>
      <c r="APN38" s="41"/>
      <c r="APO38" s="41"/>
      <c r="APP38" s="41"/>
      <c r="APQ38" s="41"/>
      <c r="APR38" s="41"/>
      <c r="APS38" s="41"/>
      <c r="APT38" s="255"/>
      <c r="APU38" s="40"/>
      <c r="APV38" s="41"/>
      <c r="APW38" s="41"/>
      <c r="APX38" s="41"/>
      <c r="APY38" s="352"/>
      <c r="APZ38" s="353"/>
      <c r="AQA38" s="354"/>
      <c r="AQB38" s="355"/>
      <c r="AQC38" s="41"/>
      <c r="AQD38" s="41"/>
      <c r="AQE38" s="41"/>
      <c r="AQF38" s="41"/>
      <c r="AQG38" s="41"/>
      <c r="AQH38" s="41"/>
      <c r="AQI38" s="41"/>
      <c r="AQJ38" s="255"/>
      <c r="AQK38" s="40"/>
      <c r="AQL38" s="41"/>
      <c r="AQM38" s="41"/>
      <c r="AQN38" s="41"/>
      <c r="AQO38" s="352"/>
      <c r="AQP38" s="353"/>
      <c r="AQQ38" s="354"/>
      <c r="AQR38" s="355"/>
      <c r="AQS38" s="41"/>
      <c r="AQT38" s="41"/>
      <c r="AQU38" s="41"/>
      <c r="AQV38" s="41"/>
      <c r="AQW38" s="41"/>
      <c r="AQX38" s="41"/>
      <c r="AQY38" s="41"/>
      <c r="AQZ38" s="255"/>
      <c r="ARA38" s="40"/>
      <c r="ARB38" s="41"/>
      <c r="ARC38" s="41"/>
      <c r="ARD38" s="41"/>
      <c r="ARE38" s="352"/>
      <c r="ARF38" s="353"/>
      <c r="ARG38" s="354"/>
      <c r="ARH38" s="355"/>
      <c r="ARI38" s="41"/>
      <c r="ARJ38" s="41"/>
      <c r="ARK38" s="41"/>
      <c r="ARL38" s="41"/>
      <c r="ARM38" s="41"/>
      <c r="ARN38" s="41"/>
      <c r="ARO38" s="41"/>
      <c r="ARP38" s="255"/>
      <c r="ARQ38" s="40"/>
      <c r="ARR38" s="41"/>
      <c r="ARS38" s="41"/>
      <c r="ART38" s="41"/>
      <c r="ARU38" s="352"/>
      <c r="ARV38" s="353"/>
      <c r="ARW38" s="354"/>
      <c r="ARX38" s="355"/>
      <c r="ARY38" s="41"/>
      <c r="ARZ38" s="41"/>
      <c r="ASA38" s="41"/>
      <c r="ASB38" s="41"/>
      <c r="ASC38" s="41"/>
      <c r="ASD38" s="41"/>
      <c r="ASE38" s="41"/>
      <c r="ASF38" s="255"/>
      <c r="ASG38" s="40"/>
      <c r="ASH38" s="41"/>
      <c r="ASI38" s="41"/>
      <c r="ASJ38" s="41"/>
      <c r="ASK38" s="352"/>
      <c r="ASL38" s="353"/>
      <c r="ASM38" s="354"/>
      <c r="ASN38" s="355"/>
      <c r="ASO38" s="41"/>
      <c r="ASP38" s="41"/>
      <c r="ASQ38" s="41"/>
      <c r="ASR38" s="41"/>
      <c r="ASS38" s="41"/>
      <c r="AST38" s="41"/>
      <c r="ASU38" s="41"/>
      <c r="ASV38" s="255"/>
      <c r="ASW38" s="40"/>
      <c r="ASX38" s="41"/>
      <c r="ASY38" s="41"/>
      <c r="ASZ38" s="41"/>
      <c r="ATA38" s="352"/>
      <c r="ATB38" s="353"/>
      <c r="ATC38" s="354"/>
      <c r="ATD38" s="355"/>
      <c r="ATE38" s="41"/>
      <c r="ATF38" s="41"/>
      <c r="ATG38" s="41"/>
      <c r="ATH38" s="41"/>
      <c r="ATI38" s="41"/>
      <c r="ATJ38" s="41"/>
      <c r="ATK38" s="41"/>
      <c r="ATL38" s="255"/>
      <c r="ATM38" s="40"/>
      <c r="ATN38" s="41"/>
      <c r="ATO38" s="41"/>
      <c r="ATP38" s="41"/>
      <c r="ATQ38" s="352"/>
      <c r="ATR38" s="353"/>
      <c r="ATS38" s="354"/>
      <c r="ATT38" s="355"/>
      <c r="ATU38" s="41"/>
      <c r="ATV38" s="41"/>
      <c r="ATW38" s="41"/>
      <c r="ATX38" s="41"/>
      <c r="ATY38" s="41"/>
      <c r="ATZ38" s="41"/>
      <c r="AUA38" s="41"/>
      <c r="AUB38" s="255"/>
      <c r="AUC38" s="40"/>
      <c r="AUD38" s="41"/>
      <c r="AUE38" s="41"/>
      <c r="AUF38" s="41"/>
      <c r="AUG38" s="352"/>
      <c r="AUH38" s="353"/>
      <c r="AUI38" s="354"/>
      <c r="AUJ38" s="355"/>
      <c r="AUK38" s="41"/>
      <c r="AUL38" s="41"/>
      <c r="AUM38" s="41"/>
      <c r="AUN38" s="41"/>
      <c r="AUO38" s="41"/>
      <c r="AUP38" s="41"/>
      <c r="AUQ38" s="41"/>
      <c r="AUR38" s="255"/>
      <c r="AUS38" s="40"/>
      <c r="AUT38" s="41"/>
      <c r="AUU38" s="41"/>
      <c r="AUV38" s="41"/>
      <c r="AUW38" s="352"/>
      <c r="AUX38" s="353"/>
      <c r="AUY38" s="354"/>
      <c r="AUZ38" s="355"/>
      <c r="AVA38" s="41"/>
      <c r="AVB38" s="41"/>
      <c r="AVC38" s="41"/>
      <c r="AVD38" s="41"/>
      <c r="AVE38" s="41"/>
      <c r="AVF38" s="41"/>
      <c r="AVG38" s="41"/>
      <c r="AVH38" s="255"/>
      <c r="AVI38" s="40"/>
      <c r="AVJ38" s="41"/>
      <c r="AVK38" s="41"/>
      <c r="AVL38" s="41"/>
      <c r="AVM38" s="352"/>
      <c r="AVN38" s="353"/>
      <c r="AVO38" s="354"/>
      <c r="AVP38" s="355"/>
      <c r="AVQ38" s="41"/>
      <c r="AVR38" s="41"/>
      <c r="AVS38" s="41"/>
      <c r="AVT38" s="41"/>
      <c r="AVU38" s="41"/>
      <c r="AVV38" s="41"/>
      <c r="AVW38" s="41"/>
      <c r="AVX38" s="255"/>
      <c r="AVY38" s="40"/>
      <c r="AVZ38" s="41"/>
      <c r="AWA38" s="41"/>
      <c r="AWB38" s="41"/>
      <c r="AWC38" s="352"/>
      <c r="AWD38" s="353"/>
      <c r="AWE38" s="354"/>
      <c r="AWF38" s="355"/>
      <c r="AWG38" s="41"/>
      <c r="AWH38" s="41"/>
      <c r="AWI38" s="41"/>
      <c r="AWJ38" s="41"/>
      <c r="AWK38" s="41"/>
      <c r="AWL38" s="41"/>
      <c r="AWM38" s="41"/>
      <c r="AWN38" s="255"/>
      <c r="AWO38" s="40"/>
      <c r="AWP38" s="41"/>
      <c r="AWQ38" s="41"/>
      <c r="AWR38" s="41"/>
      <c r="AWS38" s="352"/>
      <c r="AWT38" s="353"/>
      <c r="AWU38" s="354"/>
      <c r="AWV38" s="355"/>
      <c r="AWW38" s="41"/>
      <c r="AWX38" s="41"/>
      <c r="AWY38" s="41"/>
      <c r="AWZ38" s="41"/>
      <c r="AXA38" s="41"/>
      <c r="AXB38" s="41"/>
      <c r="AXC38" s="41"/>
      <c r="AXD38" s="255"/>
      <c r="AXE38" s="40"/>
      <c r="AXF38" s="41"/>
      <c r="AXG38" s="41"/>
      <c r="AXH38" s="41"/>
      <c r="AXI38" s="352"/>
      <c r="AXJ38" s="353"/>
      <c r="AXK38" s="354"/>
      <c r="AXL38" s="355"/>
      <c r="AXM38" s="41"/>
      <c r="AXN38" s="41"/>
      <c r="AXO38" s="41"/>
      <c r="AXP38" s="41"/>
      <c r="AXQ38" s="41"/>
      <c r="AXR38" s="41"/>
      <c r="AXS38" s="41"/>
      <c r="AXT38" s="255"/>
      <c r="AXU38" s="40"/>
      <c r="AXV38" s="41"/>
      <c r="AXW38" s="41"/>
      <c r="AXX38" s="41"/>
      <c r="AXY38" s="352"/>
      <c r="AXZ38" s="353"/>
      <c r="AYA38" s="354"/>
      <c r="AYB38" s="355"/>
      <c r="AYC38" s="41"/>
      <c r="AYD38" s="41"/>
      <c r="AYE38" s="41"/>
      <c r="AYF38" s="41"/>
      <c r="AYG38" s="41"/>
      <c r="AYH38" s="41"/>
      <c r="AYI38" s="41"/>
      <c r="AYJ38" s="255"/>
      <c r="AYK38" s="40"/>
      <c r="AYL38" s="41"/>
      <c r="AYM38" s="41"/>
      <c r="AYN38" s="41"/>
      <c r="AYO38" s="352"/>
      <c r="AYP38" s="353"/>
      <c r="AYQ38" s="354"/>
      <c r="AYR38" s="355"/>
      <c r="AYS38" s="41"/>
      <c r="AYT38" s="41"/>
      <c r="AYU38" s="41"/>
      <c r="AYV38" s="41"/>
      <c r="AYW38" s="41"/>
      <c r="AYX38" s="41"/>
      <c r="AYY38" s="41"/>
      <c r="AYZ38" s="255"/>
      <c r="AZA38" s="40"/>
      <c r="AZB38" s="41"/>
      <c r="AZC38" s="41"/>
      <c r="AZD38" s="41"/>
      <c r="AZE38" s="352"/>
      <c r="AZF38" s="353"/>
      <c r="AZG38" s="354"/>
      <c r="AZH38" s="355"/>
      <c r="AZI38" s="41"/>
      <c r="AZJ38" s="41"/>
      <c r="AZK38" s="41"/>
      <c r="AZL38" s="41"/>
      <c r="AZM38" s="41"/>
      <c r="AZN38" s="41"/>
      <c r="AZO38" s="41"/>
      <c r="AZP38" s="255"/>
      <c r="AZQ38" s="40"/>
      <c r="AZR38" s="41"/>
      <c r="AZS38" s="41"/>
      <c r="AZT38" s="41"/>
      <c r="AZU38" s="352"/>
      <c r="AZV38" s="353"/>
      <c r="AZW38" s="354"/>
      <c r="AZX38" s="355"/>
      <c r="AZY38" s="41"/>
      <c r="AZZ38" s="41"/>
      <c r="BAA38" s="41"/>
      <c r="BAB38" s="41"/>
      <c r="BAC38" s="41"/>
      <c r="BAD38" s="41"/>
      <c r="BAE38" s="41"/>
      <c r="BAF38" s="255"/>
      <c r="BAG38" s="40"/>
      <c r="BAH38" s="41"/>
      <c r="BAI38" s="41"/>
      <c r="BAJ38" s="41"/>
      <c r="BAK38" s="352"/>
      <c r="BAL38" s="353"/>
      <c r="BAM38" s="354"/>
      <c r="BAN38" s="355"/>
      <c r="BAO38" s="41"/>
      <c r="BAP38" s="41"/>
      <c r="BAQ38" s="41"/>
      <c r="BAR38" s="41"/>
      <c r="BAS38" s="41"/>
      <c r="BAT38" s="41"/>
      <c r="BAU38" s="41"/>
      <c r="BAV38" s="255"/>
      <c r="BAW38" s="40"/>
      <c r="BAX38" s="41"/>
      <c r="BAY38" s="41"/>
      <c r="BAZ38" s="41"/>
      <c r="BBA38" s="352"/>
      <c r="BBB38" s="353"/>
      <c r="BBC38" s="354"/>
      <c r="BBD38" s="355"/>
      <c r="BBE38" s="41"/>
      <c r="BBF38" s="41"/>
      <c r="BBG38" s="41"/>
      <c r="BBH38" s="41"/>
      <c r="BBI38" s="41"/>
      <c r="BBJ38" s="41"/>
      <c r="BBK38" s="41"/>
      <c r="BBL38" s="255"/>
      <c r="BBM38" s="40"/>
      <c r="BBN38" s="41"/>
      <c r="BBO38" s="41"/>
      <c r="BBP38" s="41"/>
      <c r="BBQ38" s="352"/>
      <c r="BBR38" s="353"/>
      <c r="BBS38" s="354"/>
      <c r="BBT38" s="355"/>
      <c r="BBU38" s="41"/>
      <c r="BBV38" s="41"/>
      <c r="BBW38" s="41"/>
      <c r="BBX38" s="41"/>
      <c r="BBY38" s="41"/>
      <c r="BBZ38" s="41"/>
      <c r="BCA38" s="41"/>
      <c r="BCB38" s="255"/>
      <c r="BCC38" s="40"/>
      <c r="BCD38" s="41"/>
      <c r="BCE38" s="41"/>
      <c r="BCF38" s="41"/>
      <c r="BCG38" s="352"/>
      <c r="BCH38" s="353"/>
      <c r="BCI38" s="354"/>
      <c r="BCJ38" s="355"/>
      <c r="BCK38" s="41"/>
      <c r="BCL38" s="41"/>
      <c r="BCM38" s="41"/>
      <c r="BCN38" s="41"/>
      <c r="BCO38" s="41"/>
      <c r="BCP38" s="41"/>
      <c r="BCQ38" s="49" t="s">
        <v>81</v>
      </c>
      <c r="BCR38" s="331"/>
      <c r="BCS38" s="290">
        <v>45492</v>
      </c>
      <c r="BCT38" s="339" t="s">
        <v>141</v>
      </c>
      <c r="BCU38" s="305"/>
      <c r="BCV38" s="305">
        <v>1</v>
      </c>
      <c r="BCW38" s="304">
        <f t="shared" ref="BCW38" si="2829">EDATE(BCS38,BCV38)</f>
        <v>45523</v>
      </c>
      <c r="BCX38" s="340">
        <v>0</v>
      </c>
      <c r="BCY38" s="320">
        <f t="shared" ref="BCY38" si="2830">IF(BCZ38&gt;=1,(BCX38/BCV38),0)</f>
        <v>0</v>
      </c>
      <c r="BCZ38" s="292"/>
      <c r="BDA38" s="259" t="s">
        <v>55</v>
      </c>
      <c r="BDB38" s="256" t="s">
        <v>76</v>
      </c>
      <c r="BDC38" s="256" t="s">
        <v>77</v>
      </c>
      <c r="BDD38" s="256" t="s">
        <v>78</v>
      </c>
      <c r="BDE38" s="256" t="s">
        <v>79</v>
      </c>
      <c r="BDF38" s="256" t="s">
        <v>80</v>
      </c>
      <c r="BDG38" s="256" t="s">
        <v>81</v>
      </c>
      <c r="BDH38" s="331"/>
      <c r="BDI38" s="290">
        <v>45492</v>
      </c>
      <c r="BDJ38" s="339" t="s">
        <v>141</v>
      </c>
      <c r="BDK38" s="305"/>
      <c r="BDL38" s="305">
        <v>1</v>
      </c>
      <c r="BDM38" s="304">
        <f t="shared" ref="BDM38" si="2831">EDATE(BDI38,BDL38)</f>
        <v>45523</v>
      </c>
      <c r="BDN38" s="340">
        <v>0</v>
      </c>
      <c r="BDO38" s="320">
        <f t="shared" ref="BDO38" si="2832">IF(BDP38&gt;=1,(BDN38/BDL38),0)</f>
        <v>0</v>
      </c>
      <c r="BDP38" s="292"/>
      <c r="BDQ38" s="259" t="s">
        <v>55</v>
      </c>
      <c r="BDR38" s="256" t="s">
        <v>76</v>
      </c>
      <c r="BDS38" s="256" t="s">
        <v>77</v>
      </c>
      <c r="BDT38" s="256" t="s">
        <v>78</v>
      </c>
      <c r="BDU38" s="256" t="s">
        <v>79</v>
      </c>
      <c r="BDV38" s="256" t="s">
        <v>80</v>
      </c>
      <c r="BDW38" s="256" t="s">
        <v>81</v>
      </c>
      <c r="BDX38" s="331"/>
      <c r="BDY38" s="290">
        <v>45492</v>
      </c>
      <c r="BDZ38" s="339" t="s">
        <v>141</v>
      </c>
      <c r="BEA38" s="305"/>
      <c r="BEB38" s="305">
        <v>1</v>
      </c>
      <c r="BEC38" s="304">
        <f t="shared" ref="BEC38" si="2833">EDATE(BDY38,BEB38)</f>
        <v>45523</v>
      </c>
      <c r="BED38" s="340">
        <v>0</v>
      </c>
      <c r="BEE38" s="320">
        <f t="shared" ref="BEE38" si="2834">IF(BEF38&gt;=1,(BED38/BEB38),0)</f>
        <v>0</v>
      </c>
      <c r="BEF38" s="292"/>
      <c r="BEG38" s="259" t="s">
        <v>55</v>
      </c>
      <c r="BEH38" s="256" t="s">
        <v>76</v>
      </c>
      <c r="BEI38" s="256" t="s">
        <v>77</v>
      </c>
      <c r="BEJ38" s="256" t="s">
        <v>78</v>
      </c>
      <c r="BEK38" s="256" t="s">
        <v>79</v>
      </c>
      <c r="BEL38" s="256" t="s">
        <v>80</v>
      </c>
      <c r="BEM38" s="256" t="s">
        <v>81</v>
      </c>
      <c r="BEN38" s="331"/>
      <c r="BEO38" s="290">
        <v>45492</v>
      </c>
      <c r="BEP38" s="339" t="s">
        <v>141</v>
      </c>
      <c r="BEQ38" s="305"/>
      <c r="BER38" s="305">
        <v>1</v>
      </c>
      <c r="BES38" s="304">
        <f t="shared" ref="BES38" si="2835">EDATE(BEO38,BER38)</f>
        <v>45523</v>
      </c>
      <c r="BET38" s="340">
        <v>0</v>
      </c>
      <c r="BEU38" s="320">
        <f t="shared" ref="BEU38" si="2836">IF(BEV38&gt;=1,(BET38/BER38),0)</f>
        <v>0</v>
      </c>
      <c r="BEV38" s="292"/>
      <c r="BEW38" s="259" t="s">
        <v>55</v>
      </c>
      <c r="BEX38" s="256" t="s">
        <v>76</v>
      </c>
      <c r="BEY38" s="256" t="s">
        <v>77</v>
      </c>
      <c r="BEZ38" s="256" t="s">
        <v>78</v>
      </c>
      <c r="BFA38" s="256" t="s">
        <v>79</v>
      </c>
      <c r="BFB38" s="256" t="s">
        <v>80</v>
      </c>
      <c r="BFC38" s="256" t="s">
        <v>81</v>
      </c>
      <c r="BFD38" s="331"/>
      <c r="BFE38" s="290">
        <v>45492</v>
      </c>
      <c r="BFF38" s="339" t="s">
        <v>141</v>
      </c>
      <c r="BFG38" s="305"/>
      <c r="BFH38" s="305">
        <v>1</v>
      </c>
      <c r="BFI38" s="304">
        <f t="shared" ref="BFI38" si="2837">EDATE(BFE38,BFH38)</f>
        <v>45523</v>
      </c>
      <c r="BFJ38" s="340">
        <v>0</v>
      </c>
      <c r="BFK38" s="320">
        <f t="shared" ref="BFK38" si="2838">IF(BFL38&gt;=1,(BFJ38/BFH38),0)</f>
        <v>0</v>
      </c>
      <c r="BFL38" s="292"/>
      <c r="BFM38" s="259" t="s">
        <v>55</v>
      </c>
      <c r="BFN38" s="256" t="s">
        <v>76</v>
      </c>
      <c r="BFO38" s="256" t="s">
        <v>77</v>
      </c>
      <c r="BFP38" s="256" t="s">
        <v>78</v>
      </c>
      <c r="BFQ38" s="256" t="s">
        <v>79</v>
      </c>
      <c r="BFR38" s="256" t="s">
        <v>80</v>
      </c>
      <c r="BFS38" s="256" t="s">
        <v>81</v>
      </c>
      <c r="BFT38" s="331"/>
      <c r="BFU38" s="290">
        <v>45492</v>
      </c>
      <c r="BFV38" s="339" t="s">
        <v>141</v>
      </c>
      <c r="BFW38" s="305"/>
      <c r="BFX38" s="305">
        <v>1</v>
      </c>
      <c r="BFY38" s="304">
        <f t="shared" ref="BFY38" si="2839">EDATE(BFU38,BFX38)</f>
        <v>45523</v>
      </c>
      <c r="BFZ38" s="340">
        <v>0</v>
      </c>
      <c r="BGA38" s="320">
        <f t="shared" ref="BGA38" si="2840">IF(BGB38&gt;=1,(BFZ38/BFX38),0)</f>
        <v>0</v>
      </c>
      <c r="BGB38" s="292"/>
      <c r="BGC38" s="259" t="s">
        <v>55</v>
      </c>
      <c r="BGD38" s="256" t="s">
        <v>76</v>
      </c>
      <c r="BGE38" s="256" t="s">
        <v>77</v>
      </c>
      <c r="BGF38" s="256" t="s">
        <v>78</v>
      </c>
      <c r="BGG38" s="256" t="s">
        <v>79</v>
      </c>
      <c r="BGH38" s="256" t="s">
        <v>80</v>
      </c>
      <c r="BGI38" s="256" t="s">
        <v>81</v>
      </c>
      <c r="BGJ38" s="331"/>
      <c r="BGK38" s="290">
        <v>45492</v>
      </c>
      <c r="BGL38" s="339" t="s">
        <v>141</v>
      </c>
      <c r="BGM38" s="305"/>
      <c r="BGN38" s="305">
        <v>1</v>
      </c>
      <c r="BGO38" s="304">
        <f t="shared" ref="BGO38" si="2841">EDATE(BGK38,BGN38)</f>
        <v>45523</v>
      </c>
      <c r="BGP38" s="340">
        <v>0</v>
      </c>
      <c r="BGQ38" s="320">
        <f t="shared" ref="BGQ38" si="2842">IF(BGR38&gt;=1,(BGP38/BGN38),0)</f>
        <v>0</v>
      </c>
      <c r="BGR38" s="292"/>
      <c r="BGS38" s="259" t="s">
        <v>55</v>
      </c>
      <c r="BGT38" s="256" t="s">
        <v>76</v>
      </c>
      <c r="BGU38" s="256" t="s">
        <v>77</v>
      </c>
      <c r="BGV38" s="256" t="s">
        <v>78</v>
      </c>
      <c r="BGW38" s="256" t="s">
        <v>79</v>
      </c>
      <c r="BGX38" s="256" t="s">
        <v>80</v>
      </c>
      <c r="BGY38" s="256" t="s">
        <v>81</v>
      </c>
      <c r="BGZ38" s="331"/>
      <c r="BHA38" s="290">
        <v>45492</v>
      </c>
      <c r="BHB38" s="339" t="s">
        <v>141</v>
      </c>
      <c r="BHC38" s="305"/>
      <c r="BHD38" s="305">
        <v>1</v>
      </c>
      <c r="BHE38" s="304">
        <f t="shared" ref="BHE38" si="2843">EDATE(BHA38,BHD38)</f>
        <v>45523</v>
      </c>
      <c r="BHF38" s="340">
        <v>0</v>
      </c>
      <c r="BHG38" s="320">
        <f t="shared" ref="BHG38" si="2844">IF(BHH38&gt;=1,(BHF38/BHD38),0)</f>
        <v>0</v>
      </c>
      <c r="BHH38" s="292"/>
      <c r="BHI38" s="259" t="s">
        <v>55</v>
      </c>
      <c r="BHJ38" s="256" t="s">
        <v>76</v>
      </c>
      <c r="BHK38" s="256" t="s">
        <v>77</v>
      </c>
      <c r="BHL38" s="256" t="s">
        <v>78</v>
      </c>
      <c r="BHM38" s="256" t="s">
        <v>79</v>
      </c>
      <c r="BHN38" s="256" t="s">
        <v>80</v>
      </c>
      <c r="BHO38" s="256" t="s">
        <v>81</v>
      </c>
      <c r="BHP38" s="331"/>
      <c r="BHQ38" s="290">
        <v>45492</v>
      </c>
      <c r="BHR38" s="339" t="s">
        <v>141</v>
      </c>
      <c r="BHS38" s="305"/>
      <c r="BHT38" s="305">
        <v>1</v>
      </c>
      <c r="BHU38" s="304">
        <f t="shared" ref="BHU38" si="2845">EDATE(BHQ38,BHT38)</f>
        <v>45523</v>
      </c>
      <c r="BHV38" s="340">
        <v>0</v>
      </c>
      <c r="BHW38" s="320">
        <f t="shared" ref="BHW38" si="2846">IF(BHX38&gt;=1,(BHV38/BHT38),0)</f>
        <v>0</v>
      </c>
      <c r="BHX38" s="292"/>
      <c r="BHY38" s="259" t="s">
        <v>55</v>
      </c>
      <c r="BHZ38" s="256" t="s">
        <v>76</v>
      </c>
      <c r="BIA38" s="256" t="s">
        <v>77</v>
      </c>
      <c r="BIB38" s="256" t="s">
        <v>78</v>
      </c>
      <c r="BIC38" s="256" t="s">
        <v>79</v>
      </c>
      <c r="BID38" s="256" t="s">
        <v>80</v>
      </c>
      <c r="BIE38" s="256" t="s">
        <v>81</v>
      </c>
      <c r="BIF38" s="331"/>
      <c r="BIG38" s="290">
        <v>45492</v>
      </c>
      <c r="BIH38" s="339" t="s">
        <v>141</v>
      </c>
      <c r="BII38" s="305"/>
      <c r="BIJ38" s="305">
        <v>1</v>
      </c>
      <c r="BIK38" s="304">
        <f t="shared" ref="BIK38" si="2847">EDATE(BIG38,BIJ38)</f>
        <v>45523</v>
      </c>
      <c r="BIL38" s="340">
        <v>0</v>
      </c>
      <c r="BIM38" s="320">
        <f t="shared" ref="BIM38" si="2848">IF(BIN38&gt;=1,(BIL38/BIJ38),0)</f>
        <v>0</v>
      </c>
      <c r="BIN38" s="292"/>
      <c r="BIO38" s="259" t="s">
        <v>55</v>
      </c>
      <c r="BIP38" s="256" t="s">
        <v>76</v>
      </c>
      <c r="BIQ38" s="256" t="s">
        <v>77</v>
      </c>
      <c r="BIR38" s="256" t="s">
        <v>78</v>
      </c>
      <c r="BIS38" s="256" t="s">
        <v>79</v>
      </c>
      <c r="BIT38" s="256" t="s">
        <v>80</v>
      </c>
      <c r="BIU38" s="256" t="s">
        <v>81</v>
      </c>
      <c r="BIV38" s="331"/>
      <c r="BIW38" s="290">
        <v>45492</v>
      </c>
      <c r="BIX38" s="339" t="s">
        <v>141</v>
      </c>
      <c r="BIY38" s="305"/>
      <c r="BIZ38" s="305">
        <v>1</v>
      </c>
      <c r="BJA38" s="304">
        <f t="shared" ref="BJA38" si="2849">EDATE(BIW38,BIZ38)</f>
        <v>45523</v>
      </c>
      <c r="BJB38" s="340">
        <v>0</v>
      </c>
      <c r="BJC38" s="320">
        <f t="shared" ref="BJC38" si="2850">IF(BJD38&gt;=1,(BJB38/BIZ38),0)</f>
        <v>0</v>
      </c>
      <c r="BJD38" s="292"/>
      <c r="BJE38" s="259" t="s">
        <v>55</v>
      </c>
      <c r="BJF38" s="256" t="s">
        <v>76</v>
      </c>
      <c r="BJG38" s="256" t="s">
        <v>77</v>
      </c>
      <c r="BJH38" s="256" t="s">
        <v>78</v>
      </c>
      <c r="BJI38" s="256" t="s">
        <v>79</v>
      </c>
      <c r="BJJ38" s="256" t="s">
        <v>80</v>
      </c>
      <c r="BJK38" s="256" t="s">
        <v>81</v>
      </c>
      <c r="BJL38" s="331"/>
      <c r="BJM38" s="290">
        <v>45492</v>
      </c>
      <c r="BJN38" s="339" t="s">
        <v>141</v>
      </c>
      <c r="BJO38" s="305"/>
      <c r="BJP38" s="305">
        <v>1</v>
      </c>
      <c r="BJQ38" s="304">
        <f t="shared" ref="BJQ38" si="2851">EDATE(BJM38,BJP38)</f>
        <v>45523</v>
      </c>
      <c r="BJR38" s="340">
        <v>0</v>
      </c>
      <c r="BJS38" s="320">
        <f t="shared" ref="BJS38" si="2852">IF(BJT38&gt;=1,(BJR38/BJP38),0)</f>
        <v>0</v>
      </c>
      <c r="BJT38" s="292"/>
      <c r="BJU38" s="259" t="s">
        <v>55</v>
      </c>
      <c r="BJV38" s="256" t="s">
        <v>76</v>
      </c>
      <c r="BJW38" s="256" t="s">
        <v>77</v>
      </c>
      <c r="BJX38" s="256" t="s">
        <v>78</v>
      </c>
      <c r="BJY38" s="256" t="s">
        <v>79</v>
      </c>
      <c r="BJZ38" s="256" t="s">
        <v>80</v>
      </c>
      <c r="BKA38" s="256" t="s">
        <v>81</v>
      </c>
      <c r="BKB38" s="331"/>
      <c r="BKC38" s="290">
        <v>45492</v>
      </c>
      <c r="BKD38" s="339" t="s">
        <v>141</v>
      </c>
      <c r="BKE38" s="305"/>
      <c r="BKF38" s="305">
        <v>1</v>
      </c>
      <c r="BKG38" s="304">
        <f t="shared" ref="BKG38" si="2853">EDATE(BKC38,BKF38)</f>
        <v>45523</v>
      </c>
      <c r="BKH38" s="340">
        <v>0</v>
      </c>
      <c r="BKI38" s="320">
        <f t="shared" ref="BKI38" si="2854">IF(BKJ38&gt;=1,(BKH38/BKF38),0)</f>
        <v>0</v>
      </c>
      <c r="BKJ38" s="292"/>
      <c r="BKK38" s="259" t="s">
        <v>55</v>
      </c>
      <c r="BKL38" s="256" t="s">
        <v>76</v>
      </c>
      <c r="BKM38" s="256" t="s">
        <v>77</v>
      </c>
      <c r="BKN38" s="256" t="s">
        <v>78</v>
      </c>
      <c r="BKO38" s="256" t="s">
        <v>79</v>
      </c>
      <c r="BKP38" s="256" t="s">
        <v>80</v>
      </c>
      <c r="BKQ38" s="256" t="s">
        <v>81</v>
      </c>
      <c r="BKR38" s="331"/>
      <c r="BKS38" s="290">
        <v>45492</v>
      </c>
      <c r="BKT38" s="339" t="s">
        <v>141</v>
      </c>
      <c r="BKU38" s="305"/>
      <c r="BKV38" s="305">
        <v>1</v>
      </c>
      <c r="BKW38" s="304">
        <f t="shared" ref="BKW38" si="2855">EDATE(BKS38,BKV38)</f>
        <v>45523</v>
      </c>
      <c r="BKX38" s="340">
        <v>0</v>
      </c>
      <c r="BKY38" s="320">
        <f t="shared" ref="BKY38" si="2856">IF(BKZ38&gt;=1,(BKX38/BKV38),0)</f>
        <v>0</v>
      </c>
      <c r="BKZ38" s="292"/>
      <c r="BLA38" s="259" t="s">
        <v>55</v>
      </c>
      <c r="BLB38" s="256" t="s">
        <v>76</v>
      </c>
      <c r="BLC38" s="256" t="s">
        <v>77</v>
      </c>
      <c r="BLD38" s="256" t="s">
        <v>78</v>
      </c>
      <c r="BLE38" s="256" t="s">
        <v>79</v>
      </c>
      <c r="BLF38" s="256" t="s">
        <v>80</v>
      </c>
      <c r="BLG38" s="256" t="s">
        <v>81</v>
      </c>
      <c r="BLH38" s="331"/>
      <c r="BLI38" s="290">
        <v>45492</v>
      </c>
      <c r="BLJ38" s="339" t="s">
        <v>141</v>
      </c>
      <c r="BLK38" s="305"/>
      <c r="BLL38" s="305">
        <v>1</v>
      </c>
      <c r="BLM38" s="304">
        <f t="shared" ref="BLM38" si="2857">EDATE(BLI38,BLL38)</f>
        <v>45523</v>
      </c>
      <c r="BLN38" s="340">
        <v>0</v>
      </c>
      <c r="BLO38" s="320">
        <f t="shared" ref="BLO38" si="2858">IF(BLP38&gt;=1,(BLN38/BLL38),0)</f>
        <v>0</v>
      </c>
      <c r="BLP38" s="292"/>
      <c r="BLQ38" s="259" t="s">
        <v>55</v>
      </c>
      <c r="BLR38" s="256" t="s">
        <v>76</v>
      </c>
      <c r="BLS38" s="256" t="s">
        <v>77</v>
      </c>
      <c r="BLT38" s="256" t="s">
        <v>78</v>
      </c>
      <c r="BLU38" s="256" t="s">
        <v>79</v>
      </c>
      <c r="BLV38" s="256" t="s">
        <v>80</v>
      </c>
      <c r="BLW38" s="256" t="s">
        <v>81</v>
      </c>
      <c r="BLX38" s="331"/>
      <c r="BLY38" s="290">
        <v>45492</v>
      </c>
      <c r="BLZ38" s="339" t="s">
        <v>141</v>
      </c>
      <c r="BMA38" s="305"/>
      <c r="BMB38" s="305">
        <v>1</v>
      </c>
      <c r="BMC38" s="304">
        <f t="shared" ref="BMC38" si="2859">EDATE(BLY38,BMB38)</f>
        <v>45523</v>
      </c>
      <c r="BMD38" s="340">
        <v>0</v>
      </c>
      <c r="BME38" s="320">
        <f t="shared" ref="BME38" si="2860">IF(BMF38&gt;=1,(BMD38/BMB38),0)</f>
        <v>0</v>
      </c>
      <c r="BMF38" s="292"/>
      <c r="BMG38" s="259" t="s">
        <v>55</v>
      </c>
      <c r="BMH38" s="256" t="s">
        <v>76</v>
      </c>
      <c r="BMI38" s="256" t="s">
        <v>77</v>
      </c>
      <c r="BMJ38" s="256" t="s">
        <v>78</v>
      </c>
      <c r="BMK38" s="256" t="s">
        <v>79</v>
      </c>
      <c r="BML38" s="256" t="s">
        <v>80</v>
      </c>
      <c r="BMM38" s="256" t="s">
        <v>81</v>
      </c>
      <c r="BMN38" s="331"/>
      <c r="BMO38" s="290">
        <v>45492</v>
      </c>
      <c r="BMP38" s="339" t="s">
        <v>141</v>
      </c>
      <c r="BMQ38" s="305"/>
      <c r="BMR38" s="305">
        <v>1</v>
      </c>
      <c r="BMS38" s="304">
        <f t="shared" ref="BMS38" si="2861">EDATE(BMO38,BMR38)</f>
        <v>45523</v>
      </c>
      <c r="BMT38" s="340">
        <v>0</v>
      </c>
      <c r="BMU38" s="320">
        <f t="shared" ref="BMU38" si="2862">IF(BMV38&gt;=1,(BMT38/BMR38),0)</f>
        <v>0</v>
      </c>
      <c r="BMV38" s="292"/>
      <c r="BMW38" s="259" t="s">
        <v>55</v>
      </c>
      <c r="BMX38" s="256" t="s">
        <v>76</v>
      </c>
      <c r="BMY38" s="256" t="s">
        <v>77</v>
      </c>
      <c r="BMZ38" s="256" t="s">
        <v>78</v>
      </c>
      <c r="BNA38" s="256" t="s">
        <v>79</v>
      </c>
      <c r="BNB38" s="256" t="s">
        <v>80</v>
      </c>
      <c r="BNC38" s="256" t="s">
        <v>81</v>
      </c>
      <c r="BND38" s="331"/>
      <c r="BNE38" s="290">
        <v>45492</v>
      </c>
      <c r="BNF38" s="339" t="s">
        <v>141</v>
      </c>
      <c r="BNG38" s="305"/>
      <c r="BNH38" s="305">
        <v>1</v>
      </c>
      <c r="BNI38" s="304">
        <f t="shared" ref="BNI38" si="2863">EDATE(BNE38,BNH38)</f>
        <v>45523</v>
      </c>
      <c r="BNJ38" s="340">
        <v>0</v>
      </c>
      <c r="BNK38" s="320">
        <f t="shared" ref="BNK38" si="2864">IF(BNL38&gt;=1,(BNJ38/BNH38),0)</f>
        <v>0</v>
      </c>
      <c r="BNL38" s="292"/>
      <c r="BNM38" s="259" t="s">
        <v>55</v>
      </c>
      <c r="BNN38" s="256" t="s">
        <v>76</v>
      </c>
      <c r="BNO38" s="256" t="s">
        <v>77</v>
      </c>
      <c r="BNP38" s="256" t="s">
        <v>78</v>
      </c>
      <c r="BNQ38" s="256" t="s">
        <v>79</v>
      </c>
      <c r="BNR38" s="256" t="s">
        <v>80</v>
      </c>
      <c r="BNS38" s="256" t="s">
        <v>81</v>
      </c>
      <c r="BNT38" s="331"/>
      <c r="BNU38" s="290">
        <v>45492</v>
      </c>
      <c r="BNV38" s="339" t="s">
        <v>141</v>
      </c>
      <c r="BNW38" s="305"/>
      <c r="BNX38" s="305">
        <v>1</v>
      </c>
      <c r="BNY38" s="304">
        <f t="shared" ref="BNY38" si="2865">EDATE(BNU38,BNX38)</f>
        <v>45523</v>
      </c>
      <c r="BNZ38" s="340">
        <v>0</v>
      </c>
      <c r="BOA38" s="320">
        <f t="shared" ref="BOA38" si="2866">IF(BOB38&gt;=1,(BNZ38/BNX38),0)</f>
        <v>0</v>
      </c>
      <c r="BOB38" s="292"/>
      <c r="BOC38" s="259" t="s">
        <v>55</v>
      </c>
      <c r="BOD38" s="256" t="s">
        <v>76</v>
      </c>
      <c r="BOE38" s="256" t="s">
        <v>77</v>
      </c>
      <c r="BOF38" s="256" t="s">
        <v>78</v>
      </c>
      <c r="BOG38" s="256" t="s">
        <v>79</v>
      </c>
      <c r="BOH38" s="256" t="s">
        <v>80</v>
      </c>
      <c r="BOI38" s="256" t="s">
        <v>81</v>
      </c>
      <c r="BOJ38" s="331"/>
      <c r="BOK38" s="290">
        <v>45492</v>
      </c>
      <c r="BOL38" s="339" t="s">
        <v>141</v>
      </c>
      <c r="BOM38" s="305"/>
      <c r="BON38" s="305">
        <v>1</v>
      </c>
      <c r="BOO38" s="304">
        <f t="shared" ref="BOO38" si="2867">EDATE(BOK38,BON38)</f>
        <v>45523</v>
      </c>
      <c r="BOP38" s="340">
        <v>0</v>
      </c>
      <c r="BOQ38" s="320">
        <f t="shared" ref="BOQ38" si="2868">IF(BOR38&gt;=1,(BOP38/BON38),0)</f>
        <v>0</v>
      </c>
      <c r="BOR38" s="292"/>
      <c r="BOS38" s="259" t="s">
        <v>55</v>
      </c>
      <c r="BOT38" s="256" t="s">
        <v>76</v>
      </c>
      <c r="BOU38" s="256" t="s">
        <v>77</v>
      </c>
      <c r="BOV38" s="256" t="s">
        <v>78</v>
      </c>
      <c r="BOW38" s="256" t="s">
        <v>79</v>
      </c>
      <c r="BOX38" s="256" t="s">
        <v>80</v>
      </c>
      <c r="BOY38" s="256" t="s">
        <v>81</v>
      </c>
      <c r="BOZ38" s="331"/>
      <c r="BPA38" s="290">
        <v>45492</v>
      </c>
      <c r="BPB38" s="339" t="s">
        <v>141</v>
      </c>
      <c r="BPC38" s="305"/>
      <c r="BPD38" s="305">
        <v>1</v>
      </c>
      <c r="BPE38" s="304">
        <f t="shared" ref="BPE38" si="2869">EDATE(BPA38,BPD38)</f>
        <v>45523</v>
      </c>
      <c r="BPF38" s="340">
        <v>0</v>
      </c>
      <c r="BPG38" s="320">
        <f t="shared" ref="BPG38" si="2870">IF(BPH38&gt;=1,(BPF38/BPD38),0)</f>
        <v>0</v>
      </c>
      <c r="BPH38" s="292"/>
      <c r="BPI38" s="259" t="s">
        <v>55</v>
      </c>
      <c r="BPJ38" s="256" t="s">
        <v>76</v>
      </c>
      <c r="BPK38" s="256" t="s">
        <v>77</v>
      </c>
      <c r="BPL38" s="256" t="s">
        <v>78</v>
      </c>
      <c r="BPM38" s="256" t="s">
        <v>79</v>
      </c>
      <c r="BPN38" s="256" t="s">
        <v>80</v>
      </c>
      <c r="BPO38" s="256" t="s">
        <v>81</v>
      </c>
      <c r="BPP38" s="331"/>
      <c r="BPQ38" s="290">
        <v>45492</v>
      </c>
      <c r="BPR38" s="339" t="s">
        <v>141</v>
      </c>
      <c r="BPS38" s="305"/>
      <c r="BPT38" s="305">
        <v>1</v>
      </c>
      <c r="BPU38" s="304">
        <f t="shared" ref="BPU38" si="2871">EDATE(BPQ38,BPT38)</f>
        <v>45523</v>
      </c>
      <c r="BPV38" s="340">
        <v>0</v>
      </c>
      <c r="BPW38" s="320">
        <f t="shared" ref="BPW38" si="2872">IF(BPX38&gt;=1,(BPV38/BPT38),0)</f>
        <v>0</v>
      </c>
      <c r="BPX38" s="292"/>
      <c r="BPY38" s="259" t="s">
        <v>55</v>
      </c>
      <c r="BPZ38" s="256" t="s">
        <v>76</v>
      </c>
      <c r="BQA38" s="256" t="s">
        <v>77</v>
      </c>
      <c r="BQB38" s="256" t="s">
        <v>78</v>
      </c>
      <c r="BQC38" s="256" t="s">
        <v>79</v>
      </c>
      <c r="BQD38" s="256" t="s">
        <v>80</v>
      </c>
      <c r="BQE38" s="256" t="s">
        <v>81</v>
      </c>
      <c r="BQF38" s="331"/>
      <c r="BQG38" s="290">
        <v>45492</v>
      </c>
      <c r="BQH38" s="339" t="s">
        <v>141</v>
      </c>
      <c r="BQI38" s="305"/>
      <c r="BQJ38" s="305">
        <v>1</v>
      </c>
      <c r="BQK38" s="304">
        <f t="shared" ref="BQK38" si="2873">EDATE(BQG38,BQJ38)</f>
        <v>45523</v>
      </c>
      <c r="BQL38" s="340">
        <v>0</v>
      </c>
      <c r="BQM38" s="320">
        <f t="shared" ref="BQM38" si="2874">IF(BQN38&gt;=1,(BQL38/BQJ38),0)</f>
        <v>0</v>
      </c>
      <c r="BQN38" s="292"/>
      <c r="BQO38" s="259" t="s">
        <v>55</v>
      </c>
      <c r="BQP38" s="256" t="s">
        <v>76</v>
      </c>
      <c r="BQQ38" s="256" t="s">
        <v>77</v>
      </c>
      <c r="BQR38" s="256" t="s">
        <v>78</v>
      </c>
      <c r="BQS38" s="256" t="s">
        <v>79</v>
      </c>
      <c r="BQT38" s="256" t="s">
        <v>80</v>
      </c>
      <c r="BQU38" s="256" t="s">
        <v>81</v>
      </c>
      <c r="BQV38" s="331"/>
      <c r="BQW38" s="290">
        <v>45492</v>
      </c>
      <c r="BQX38" s="339" t="s">
        <v>141</v>
      </c>
      <c r="BQY38" s="305"/>
      <c r="BQZ38" s="305">
        <v>1</v>
      </c>
      <c r="BRA38" s="304">
        <f t="shared" ref="BRA38" si="2875">EDATE(BQW38,BQZ38)</f>
        <v>45523</v>
      </c>
      <c r="BRB38" s="340">
        <v>0</v>
      </c>
      <c r="BRC38" s="320">
        <f t="shared" ref="BRC38" si="2876">IF(BRD38&gt;=1,(BRB38/BQZ38),0)</f>
        <v>0</v>
      </c>
      <c r="BRD38" s="292"/>
      <c r="BRE38" s="259" t="s">
        <v>55</v>
      </c>
      <c r="BRF38" s="256" t="s">
        <v>76</v>
      </c>
      <c r="BRG38" s="256" t="s">
        <v>77</v>
      </c>
      <c r="BRH38" s="256" t="s">
        <v>78</v>
      </c>
      <c r="BRI38" s="256" t="s">
        <v>79</v>
      </c>
      <c r="BRJ38" s="256" t="s">
        <v>80</v>
      </c>
      <c r="BRK38" s="256" t="s">
        <v>81</v>
      </c>
      <c r="BRL38" s="331"/>
      <c r="BRM38" s="290">
        <v>45492</v>
      </c>
      <c r="BRN38" s="339" t="s">
        <v>141</v>
      </c>
      <c r="BRO38" s="305"/>
      <c r="BRP38" s="305">
        <v>1</v>
      </c>
      <c r="BRQ38" s="304">
        <f t="shared" ref="BRQ38" si="2877">EDATE(BRM38,BRP38)</f>
        <v>45523</v>
      </c>
      <c r="BRR38" s="340">
        <v>0</v>
      </c>
      <c r="BRS38" s="320">
        <f t="shared" ref="BRS38" si="2878">IF(BRT38&gt;=1,(BRR38/BRP38),0)</f>
        <v>0</v>
      </c>
      <c r="BRT38" s="292"/>
      <c r="BRU38" s="259" t="s">
        <v>55</v>
      </c>
      <c r="BRV38" s="256" t="s">
        <v>76</v>
      </c>
      <c r="BRW38" s="256" t="s">
        <v>77</v>
      </c>
      <c r="BRX38" s="256" t="s">
        <v>78</v>
      </c>
      <c r="BRY38" s="256" t="s">
        <v>79</v>
      </c>
      <c r="BRZ38" s="256" t="s">
        <v>80</v>
      </c>
      <c r="BSA38" s="256" t="s">
        <v>81</v>
      </c>
      <c r="BSB38" s="331"/>
      <c r="BSC38" s="290">
        <v>45492</v>
      </c>
      <c r="BSD38" s="339" t="s">
        <v>141</v>
      </c>
      <c r="BSE38" s="305"/>
      <c r="BSF38" s="305">
        <v>1</v>
      </c>
      <c r="BSG38" s="304">
        <f t="shared" ref="BSG38" si="2879">EDATE(BSC38,BSF38)</f>
        <v>45523</v>
      </c>
      <c r="BSH38" s="340">
        <v>0</v>
      </c>
      <c r="BSI38" s="320">
        <f t="shared" ref="BSI38" si="2880">IF(BSJ38&gt;=1,(BSH38/BSF38),0)</f>
        <v>0</v>
      </c>
      <c r="BSJ38" s="292"/>
      <c r="BSK38" s="259" t="s">
        <v>55</v>
      </c>
      <c r="BSL38" s="256" t="s">
        <v>76</v>
      </c>
      <c r="BSM38" s="256" t="s">
        <v>77</v>
      </c>
      <c r="BSN38" s="256" t="s">
        <v>78</v>
      </c>
      <c r="BSO38" s="256" t="s">
        <v>79</v>
      </c>
      <c r="BSP38" s="256" t="s">
        <v>80</v>
      </c>
      <c r="BSQ38" s="256" t="s">
        <v>81</v>
      </c>
      <c r="BSR38" s="331"/>
      <c r="BSS38" s="290">
        <v>45492</v>
      </c>
      <c r="BST38" s="339" t="s">
        <v>141</v>
      </c>
      <c r="BSU38" s="305"/>
      <c r="BSV38" s="305">
        <v>1</v>
      </c>
      <c r="BSW38" s="304">
        <f t="shared" ref="BSW38" si="2881">EDATE(BSS38,BSV38)</f>
        <v>45523</v>
      </c>
      <c r="BSX38" s="340">
        <v>0</v>
      </c>
      <c r="BSY38" s="320">
        <f t="shared" ref="BSY38" si="2882">IF(BSZ38&gt;=1,(BSX38/BSV38),0)</f>
        <v>0</v>
      </c>
      <c r="BSZ38" s="292"/>
      <c r="BTA38" s="259" t="s">
        <v>55</v>
      </c>
      <c r="BTB38" s="256" t="s">
        <v>76</v>
      </c>
      <c r="BTC38" s="256" t="s">
        <v>77</v>
      </c>
      <c r="BTD38" s="256" t="s">
        <v>78</v>
      </c>
      <c r="BTE38" s="256" t="s">
        <v>79</v>
      </c>
      <c r="BTF38" s="256" t="s">
        <v>80</v>
      </c>
      <c r="BTG38" s="256" t="s">
        <v>81</v>
      </c>
      <c r="BTH38" s="331"/>
      <c r="BTI38" s="290">
        <v>45492</v>
      </c>
      <c r="BTJ38" s="339" t="s">
        <v>141</v>
      </c>
      <c r="BTK38" s="305"/>
      <c r="BTL38" s="305">
        <v>1</v>
      </c>
      <c r="BTM38" s="304">
        <f t="shared" ref="BTM38" si="2883">EDATE(BTI38,BTL38)</f>
        <v>45523</v>
      </c>
      <c r="BTN38" s="340">
        <v>0</v>
      </c>
      <c r="BTO38" s="320">
        <f t="shared" ref="BTO38" si="2884">IF(BTP38&gt;=1,(BTN38/BTL38),0)</f>
        <v>0</v>
      </c>
      <c r="BTP38" s="292"/>
      <c r="BTQ38" s="259" t="s">
        <v>55</v>
      </c>
      <c r="BTR38" s="256" t="s">
        <v>76</v>
      </c>
      <c r="BTS38" s="256" t="s">
        <v>77</v>
      </c>
      <c r="BTT38" s="256" t="s">
        <v>78</v>
      </c>
      <c r="BTU38" s="256" t="s">
        <v>79</v>
      </c>
      <c r="BTV38" s="256" t="s">
        <v>80</v>
      </c>
      <c r="BTW38" s="256" t="s">
        <v>81</v>
      </c>
      <c r="BTX38" s="331"/>
      <c r="BTY38" s="290">
        <v>45492</v>
      </c>
      <c r="BTZ38" s="339" t="s">
        <v>141</v>
      </c>
      <c r="BUA38" s="305"/>
      <c r="BUB38" s="305">
        <v>1</v>
      </c>
      <c r="BUC38" s="304">
        <f t="shared" ref="BUC38" si="2885">EDATE(BTY38,BUB38)</f>
        <v>45523</v>
      </c>
      <c r="BUD38" s="340">
        <v>0</v>
      </c>
      <c r="BUE38" s="320">
        <f t="shared" ref="BUE38" si="2886">IF(BUF38&gt;=1,(BUD38/BUB38),0)</f>
        <v>0</v>
      </c>
      <c r="BUF38" s="292"/>
      <c r="BUG38" s="259" t="s">
        <v>55</v>
      </c>
      <c r="BUH38" s="256" t="s">
        <v>76</v>
      </c>
      <c r="BUI38" s="256" t="s">
        <v>77</v>
      </c>
      <c r="BUJ38" s="256" t="s">
        <v>78</v>
      </c>
      <c r="BUK38" s="256" t="s">
        <v>79</v>
      </c>
      <c r="BUL38" s="256" t="s">
        <v>80</v>
      </c>
      <c r="BUM38" s="256" t="s">
        <v>81</v>
      </c>
      <c r="BUN38" s="331"/>
      <c r="BUO38" s="290">
        <v>45492</v>
      </c>
      <c r="BUP38" s="339" t="s">
        <v>141</v>
      </c>
      <c r="BUQ38" s="305"/>
      <c r="BUR38" s="305">
        <v>1</v>
      </c>
      <c r="BUS38" s="304">
        <f t="shared" ref="BUS38" si="2887">EDATE(BUO38,BUR38)</f>
        <v>45523</v>
      </c>
      <c r="BUT38" s="340">
        <v>0</v>
      </c>
      <c r="BUU38" s="320">
        <f t="shared" ref="BUU38" si="2888">IF(BUV38&gt;=1,(BUT38/BUR38),0)</f>
        <v>0</v>
      </c>
      <c r="BUV38" s="292"/>
      <c r="BUW38" s="259" t="s">
        <v>55</v>
      </c>
      <c r="BUX38" s="256" t="s">
        <v>76</v>
      </c>
      <c r="BUY38" s="256" t="s">
        <v>77</v>
      </c>
      <c r="BUZ38" s="256" t="s">
        <v>78</v>
      </c>
      <c r="BVA38" s="256" t="s">
        <v>79</v>
      </c>
      <c r="BVB38" s="256" t="s">
        <v>80</v>
      </c>
      <c r="BVC38" s="256" t="s">
        <v>81</v>
      </c>
      <c r="BVD38" s="331"/>
      <c r="BVE38" s="290">
        <v>45492</v>
      </c>
      <c r="BVF38" s="339" t="s">
        <v>141</v>
      </c>
      <c r="BVG38" s="305"/>
      <c r="BVH38" s="305">
        <v>1</v>
      </c>
      <c r="BVI38" s="304">
        <f t="shared" ref="BVI38" si="2889">EDATE(BVE38,BVH38)</f>
        <v>45523</v>
      </c>
      <c r="BVJ38" s="340">
        <v>0</v>
      </c>
      <c r="BVK38" s="320">
        <f t="shared" ref="BVK38" si="2890">IF(BVL38&gt;=1,(BVJ38/BVH38),0)</f>
        <v>0</v>
      </c>
      <c r="BVL38" s="292"/>
      <c r="BVM38" s="259" t="s">
        <v>55</v>
      </c>
      <c r="BVN38" s="256" t="s">
        <v>76</v>
      </c>
      <c r="BVO38" s="256" t="s">
        <v>77</v>
      </c>
      <c r="BVP38" s="256" t="s">
        <v>78</v>
      </c>
      <c r="BVQ38" s="256" t="s">
        <v>79</v>
      </c>
      <c r="BVR38" s="256" t="s">
        <v>80</v>
      </c>
      <c r="BVS38" s="256" t="s">
        <v>81</v>
      </c>
      <c r="BVT38" s="331"/>
      <c r="BVU38" s="290">
        <v>45492</v>
      </c>
      <c r="BVV38" s="339" t="s">
        <v>141</v>
      </c>
      <c r="BVW38" s="305"/>
      <c r="BVX38" s="305">
        <v>1</v>
      </c>
      <c r="BVY38" s="304">
        <f t="shared" ref="BVY38" si="2891">EDATE(BVU38,BVX38)</f>
        <v>45523</v>
      </c>
      <c r="BVZ38" s="340">
        <v>0</v>
      </c>
      <c r="BWA38" s="320">
        <f t="shared" ref="BWA38" si="2892">IF(BWB38&gt;=1,(BVZ38/BVX38),0)</f>
        <v>0</v>
      </c>
      <c r="BWB38" s="292"/>
      <c r="BWC38" s="259" t="s">
        <v>55</v>
      </c>
      <c r="BWD38" s="256" t="s">
        <v>76</v>
      </c>
      <c r="BWE38" s="256" t="s">
        <v>77</v>
      </c>
      <c r="BWF38" s="256" t="s">
        <v>78</v>
      </c>
      <c r="BWG38" s="256" t="s">
        <v>79</v>
      </c>
      <c r="BWH38" s="256" t="s">
        <v>80</v>
      </c>
      <c r="BWI38" s="256" t="s">
        <v>81</v>
      </c>
      <c r="BWJ38" s="331"/>
      <c r="BWK38" s="290">
        <v>45492</v>
      </c>
      <c r="BWL38" s="339" t="s">
        <v>141</v>
      </c>
      <c r="BWM38" s="305"/>
      <c r="BWN38" s="305">
        <v>1</v>
      </c>
      <c r="BWO38" s="304">
        <f t="shared" ref="BWO38" si="2893">EDATE(BWK38,BWN38)</f>
        <v>45523</v>
      </c>
      <c r="BWP38" s="340">
        <v>0</v>
      </c>
      <c r="BWQ38" s="320">
        <f t="shared" ref="BWQ38" si="2894">IF(BWR38&gt;=1,(BWP38/BWN38),0)</f>
        <v>0</v>
      </c>
      <c r="BWR38" s="292"/>
      <c r="BWS38" s="259" t="s">
        <v>55</v>
      </c>
      <c r="BWT38" s="256" t="s">
        <v>76</v>
      </c>
      <c r="BWU38" s="256" t="s">
        <v>77</v>
      </c>
      <c r="BWV38" s="256" t="s">
        <v>78</v>
      </c>
      <c r="BWW38" s="256" t="s">
        <v>79</v>
      </c>
      <c r="BWX38" s="256" t="s">
        <v>80</v>
      </c>
      <c r="BWY38" s="256" t="s">
        <v>81</v>
      </c>
      <c r="BWZ38" s="331"/>
      <c r="BXA38" s="290">
        <v>45492</v>
      </c>
      <c r="BXB38" s="339" t="s">
        <v>141</v>
      </c>
      <c r="BXC38" s="305"/>
      <c r="BXD38" s="305">
        <v>1</v>
      </c>
      <c r="BXE38" s="304">
        <f t="shared" ref="BXE38" si="2895">EDATE(BXA38,BXD38)</f>
        <v>45523</v>
      </c>
      <c r="BXF38" s="340">
        <v>0</v>
      </c>
      <c r="BXG38" s="320">
        <f t="shared" ref="BXG38" si="2896">IF(BXH38&gt;=1,(BXF38/BXD38),0)</f>
        <v>0</v>
      </c>
      <c r="BXH38" s="292"/>
      <c r="BXI38" s="259" t="s">
        <v>55</v>
      </c>
      <c r="BXJ38" s="256" t="s">
        <v>76</v>
      </c>
      <c r="BXK38" s="256" t="s">
        <v>77</v>
      </c>
      <c r="BXL38" s="256" t="s">
        <v>78</v>
      </c>
      <c r="BXM38" s="256" t="s">
        <v>79</v>
      </c>
      <c r="BXN38" s="256" t="s">
        <v>80</v>
      </c>
      <c r="BXO38" s="256" t="s">
        <v>81</v>
      </c>
      <c r="BXP38" s="331"/>
      <c r="BXQ38" s="290">
        <v>45492</v>
      </c>
      <c r="BXR38" s="339" t="s">
        <v>141</v>
      </c>
      <c r="BXS38" s="305"/>
      <c r="BXT38" s="305">
        <v>1</v>
      </c>
      <c r="BXU38" s="304">
        <f t="shared" ref="BXU38" si="2897">EDATE(BXQ38,BXT38)</f>
        <v>45523</v>
      </c>
      <c r="BXV38" s="340">
        <v>0</v>
      </c>
      <c r="BXW38" s="320">
        <f t="shared" ref="BXW38" si="2898">IF(BXX38&gt;=1,(BXV38/BXT38),0)</f>
        <v>0</v>
      </c>
      <c r="BXX38" s="292"/>
      <c r="BXY38" s="259" t="s">
        <v>55</v>
      </c>
      <c r="BXZ38" s="256" t="s">
        <v>76</v>
      </c>
      <c r="BYA38" s="256" t="s">
        <v>77</v>
      </c>
      <c r="BYB38" s="256" t="s">
        <v>78</v>
      </c>
      <c r="BYC38" s="256" t="s">
        <v>79</v>
      </c>
      <c r="BYD38" s="256" t="s">
        <v>80</v>
      </c>
      <c r="BYE38" s="256" t="s">
        <v>81</v>
      </c>
      <c r="BYF38" s="331"/>
      <c r="BYG38" s="290">
        <v>45492</v>
      </c>
      <c r="BYH38" s="339" t="s">
        <v>141</v>
      </c>
      <c r="BYI38" s="305"/>
      <c r="BYJ38" s="305">
        <v>1</v>
      </c>
      <c r="BYK38" s="304">
        <f t="shared" ref="BYK38" si="2899">EDATE(BYG38,BYJ38)</f>
        <v>45523</v>
      </c>
      <c r="BYL38" s="340">
        <v>0</v>
      </c>
      <c r="BYM38" s="320">
        <f t="shared" ref="BYM38" si="2900">IF(BYN38&gt;=1,(BYL38/BYJ38),0)</f>
        <v>0</v>
      </c>
      <c r="BYN38" s="292"/>
      <c r="BYO38" s="259" t="s">
        <v>55</v>
      </c>
      <c r="BYP38" s="256" t="s">
        <v>76</v>
      </c>
      <c r="BYQ38" s="256" t="s">
        <v>77</v>
      </c>
      <c r="BYR38" s="256" t="s">
        <v>78</v>
      </c>
      <c r="BYS38" s="256" t="s">
        <v>79</v>
      </c>
      <c r="BYT38" s="256" t="s">
        <v>80</v>
      </c>
      <c r="BYU38" s="256" t="s">
        <v>81</v>
      </c>
      <c r="BYV38" s="331"/>
      <c r="BYW38" s="290">
        <v>45492</v>
      </c>
      <c r="BYX38" s="339" t="s">
        <v>141</v>
      </c>
      <c r="BYY38" s="305"/>
      <c r="BYZ38" s="305">
        <v>1</v>
      </c>
      <c r="BZA38" s="304">
        <f t="shared" ref="BZA38" si="2901">EDATE(BYW38,BYZ38)</f>
        <v>45523</v>
      </c>
      <c r="BZB38" s="340">
        <v>0</v>
      </c>
      <c r="BZC38" s="320">
        <f t="shared" ref="BZC38" si="2902">IF(BZD38&gt;=1,(BZB38/BYZ38),0)</f>
        <v>0</v>
      </c>
      <c r="BZD38" s="292"/>
      <c r="BZE38" s="259" t="s">
        <v>55</v>
      </c>
      <c r="BZF38" s="256" t="s">
        <v>76</v>
      </c>
      <c r="BZG38" s="256" t="s">
        <v>77</v>
      </c>
      <c r="BZH38" s="256" t="s">
        <v>78</v>
      </c>
      <c r="BZI38" s="256" t="s">
        <v>79</v>
      </c>
      <c r="BZJ38" s="256" t="s">
        <v>80</v>
      </c>
      <c r="BZK38" s="256" t="s">
        <v>81</v>
      </c>
      <c r="BZL38" s="331"/>
      <c r="BZM38" s="290">
        <v>45492</v>
      </c>
      <c r="BZN38" s="339" t="s">
        <v>141</v>
      </c>
      <c r="BZO38" s="305"/>
      <c r="BZP38" s="305">
        <v>1</v>
      </c>
      <c r="BZQ38" s="304">
        <f t="shared" ref="BZQ38" si="2903">EDATE(BZM38,BZP38)</f>
        <v>45523</v>
      </c>
      <c r="BZR38" s="340">
        <v>0</v>
      </c>
      <c r="BZS38" s="320">
        <f t="shared" ref="BZS38" si="2904">IF(BZT38&gt;=1,(BZR38/BZP38),0)</f>
        <v>0</v>
      </c>
      <c r="BZT38" s="292"/>
      <c r="BZU38" s="259" t="s">
        <v>55</v>
      </c>
      <c r="BZV38" s="256" t="s">
        <v>76</v>
      </c>
      <c r="BZW38" s="256" t="s">
        <v>77</v>
      </c>
      <c r="BZX38" s="256" t="s">
        <v>78</v>
      </c>
      <c r="BZY38" s="256" t="s">
        <v>79</v>
      </c>
      <c r="BZZ38" s="256" t="s">
        <v>80</v>
      </c>
      <c r="CAA38" s="256" t="s">
        <v>81</v>
      </c>
      <c r="CAB38" s="331"/>
      <c r="CAC38" s="290">
        <v>45492</v>
      </c>
      <c r="CAD38" s="339" t="s">
        <v>141</v>
      </c>
      <c r="CAE38" s="305"/>
      <c r="CAF38" s="305">
        <v>1</v>
      </c>
      <c r="CAG38" s="304">
        <f t="shared" ref="CAG38" si="2905">EDATE(CAC38,CAF38)</f>
        <v>45523</v>
      </c>
      <c r="CAH38" s="340">
        <v>0</v>
      </c>
      <c r="CAI38" s="320">
        <f t="shared" ref="CAI38" si="2906">IF(CAJ38&gt;=1,(CAH38/CAF38),0)</f>
        <v>0</v>
      </c>
      <c r="CAJ38" s="292"/>
      <c r="CAK38" s="259" t="s">
        <v>55</v>
      </c>
      <c r="CAL38" s="256" t="s">
        <v>76</v>
      </c>
      <c r="CAM38" s="256" t="s">
        <v>77</v>
      </c>
      <c r="CAN38" s="256" t="s">
        <v>78</v>
      </c>
      <c r="CAO38" s="256" t="s">
        <v>79</v>
      </c>
      <c r="CAP38" s="256" t="s">
        <v>80</v>
      </c>
      <c r="CAQ38" s="256" t="s">
        <v>81</v>
      </c>
      <c r="CAR38" s="331"/>
      <c r="CAS38" s="290">
        <v>45492</v>
      </c>
      <c r="CAT38" s="339" t="s">
        <v>141</v>
      </c>
      <c r="CAU38" s="305"/>
      <c r="CAV38" s="305">
        <v>1</v>
      </c>
      <c r="CAW38" s="304">
        <f t="shared" ref="CAW38" si="2907">EDATE(CAS38,CAV38)</f>
        <v>45523</v>
      </c>
      <c r="CAX38" s="340">
        <v>0</v>
      </c>
      <c r="CAY38" s="320">
        <f t="shared" ref="CAY38" si="2908">IF(CAZ38&gt;=1,(CAX38/CAV38),0)</f>
        <v>0</v>
      </c>
      <c r="CAZ38" s="292"/>
      <c r="CBA38" s="259" t="s">
        <v>55</v>
      </c>
      <c r="CBB38" s="256" t="s">
        <v>76</v>
      </c>
      <c r="CBC38" s="256" t="s">
        <v>77</v>
      </c>
      <c r="CBD38" s="256" t="s">
        <v>78</v>
      </c>
      <c r="CBE38" s="256" t="s">
        <v>79</v>
      </c>
      <c r="CBF38" s="256" t="s">
        <v>80</v>
      </c>
      <c r="CBG38" s="256" t="s">
        <v>81</v>
      </c>
      <c r="CBH38" s="331"/>
      <c r="CBI38" s="290">
        <v>45492</v>
      </c>
      <c r="CBJ38" s="339" t="s">
        <v>141</v>
      </c>
      <c r="CBK38" s="305"/>
      <c r="CBL38" s="305">
        <v>1</v>
      </c>
      <c r="CBM38" s="304">
        <f t="shared" ref="CBM38" si="2909">EDATE(CBI38,CBL38)</f>
        <v>45523</v>
      </c>
      <c r="CBN38" s="340">
        <v>0</v>
      </c>
      <c r="CBO38" s="320">
        <f t="shared" ref="CBO38" si="2910">IF(CBP38&gt;=1,(CBN38/CBL38),0)</f>
        <v>0</v>
      </c>
      <c r="CBP38" s="292"/>
      <c r="CBQ38" s="259" t="s">
        <v>55</v>
      </c>
      <c r="CBR38" s="256" t="s">
        <v>76</v>
      </c>
      <c r="CBS38" s="256" t="s">
        <v>77</v>
      </c>
      <c r="CBT38" s="256" t="s">
        <v>78</v>
      </c>
      <c r="CBU38" s="256" t="s">
        <v>79</v>
      </c>
      <c r="CBV38" s="256" t="s">
        <v>80</v>
      </c>
      <c r="CBW38" s="256" t="s">
        <v>81</v>
      </c>
      <c r="CBX38" s="331"/>
      <c r="CBY38" s="290">
        <v>45492</v>
      </c>
      <c r="CBZ38" s="339" t="s">
        <v>141</v>
      </c>
      <c r="CCA38" s="305"/>
      <c r="CCB38" s="305">
        <v>1</v>
      </c>
      <c r="CCC38" s="304">
        <f t="shared" ref="CCC38" si="2911">EDATE(CBY38,CCB38)</f>
        <v>45523</v>
      </c>
      <c r="CCD38" s="340">
        <v>0</v>
      </c>
      <c r="CCE38" s="320">
        <f t="shared" ref="CCE38" si="2912">IF(CCF38&gt;=1,(CCD38/CCB38),0)</f>
        <v>0</v>
      </c>
      <c r="CCF38" s="292"/>
      <c r="CCG38" s="259" t="s">
        <v>55</v>
      </c>
      <c r="CCH38" s="256" t="s">
        <v>76</v>
      </c>
      <c r="CCI38" s="256" t="s">
        <v>77</v>
      </c>
      <c r="CCJ38" s="256" t="s">
        <v>78</v>
      </c>
      <c r="CCK38" s="256" t="s">
        <v>79</v>
      </c>
      <c r="CCL38" s="256" t="s">
        <v>80</v>
      </c>
      <c r="CCM38" s="256" t="s">
        <v>81</v>
      </c>
      <c r="CCN38" s="331"/>
      <c r="CCO38" s="290">
        <v>45492</v>
      </c>
      <c r="CCP38" s="339" t="s">
        <v>141</v>
      </c>
      <c r="CCQ38" s="305"/>
      <c r="CCR38" s="305">
        <v>1</v>
      </c>
      <c r="CCS38" s="304">
        <f t="shared" ref="CCS38" si="2913">EDATE(CCO38,CCR38)</f>
        <v>45523</v>
      </c>
      <c r="CCT38" s="340">
        <v>0</v>
      </c>
      <c r="CCU38" s="320">
        <f t="shared" ref="CCU38" si="2914">IF(CCV38&gt;=1,(CCT38/CCR38),0)</f>
        <v>0</v>
      </c>
      <c r="CCV38" s="292"/>
      <c r="CCW38" s="259" t="s">
        <v>55</v>
      </c>
      <c r="CCX38" s="256" t="s">
        <v>76</v>
      </c>
      <c r="CCY38" s="256" t="s">
        <v>77</v>
      </c>
      <c r="CCZ38" s="256" t="s">
        <v>78</v>
      </c>
      <c r="CDA38" s="256" t="s">
        <v>79</v>
      </c>
      <c r="CDB38" s="256" t="s">
        <v>80</v>
      </c>
      <c r="CDC38" s="256" t="s">
        <v>81</v>
      </c>
      <c r="CDD38" s="331"/>
      <c r="CDE38" s="290">
        <v>45492</v>
      </c>
      <c r="CDF38" s="339" t="s">
        <v>141</v>
      </c>
      <c r="CDG38" s="305"/>
      <c r="CDH38" s="305">
        <v>1</v>
      </c>
      <c r="CDI38" s="304">
        <f t="shared" ref="CDI38" si="2915">EDATE(CDE38,CDH38)</f>
        <v>45523</v>
      </c>
      <c r="CDJ38" s="340">
        <v>0</v>
      </c>
      <c r="CDK38" s="320">
        <f t="shared" ref="CDK38" si="2916">IF(CDL38&gt;=1,(CDJ38/CDH38),0)</f>
        <v>0</v>
      </c>
      <c r="CDL38" s="292"/>
      <c r="CDM38" s="259" t="s">
        <v>55</v>
      </c>
      <c r="CDN38" s="256" t="s">
        <v>76</v>
      </c>
      <c r="CDO38" s="256" t="s">
        <v>77</v>
      </c>
      <c r="CDP38" s="256" t="s">
        <v>78</v>
      </c>
      <c r="CDQ38" s="256" t="s">
        <v>79</v>
      </c>
      <c r="CDR38" s="256" t="s">
        <v>80</v>
      </c>
      <c r="CDS38" s="256" t="s">
        <v>81</v>
      </c>
      <c r="CDT38" s="331"/>
      <c r="CDU38" s="290">
        <v>45492</v>
      </c>
      <c r="CDV38" s="339" t="s">
        <v>141</v>
      </c>
      <c r="CDW38" s="305"/>
      <c r="CDX38" s="305">
        <v>1</v>
      </c>
      <c r="CDY38" s="304">
        <f t="shared" ref="CDY38" si="2917">EDATE(CDU38,CDX38)</f>
        <v>45523</v>
      </c>
      <c r="CDZ38" s="340">
        <v>0</v>
      </c>
      <c r="CEA38" s="320">
        <f t="shared" ref="CEA38" si="2918">IF(CEB38&gt;=1,(CDZ38/CDX38),0)</f>
        <v>0</v>
      </c>
      <c r="CEB38" s="292"/>
      <c r="CEC38" s="259" t="s">
        <v>55</v>
      </c>
      <c r="CED38" s="256" t="s">
        <v>76</v>
      </c>
      <c r="CEE38" s="256" t="s">
        <v>77</v>
      </c>
      <c r="CEF38" s="256" t="s">
        <v>78</v>
      </c>
      <c r="CEG38" s="256" t="s">
        <v>79</v>
      </c>
      <c r="CEH38" s="256" t="s">
        <v>80</v>
      </c>
      <c r="CEI38" s="256" t="s">
        <v>81</v>
      </c>
      <c r="CEJ38" s="331"/>
      <c r="CEK38" s="290">
        <v>45492</v>
      </c>
      <c r="CEL38" s="339" t="s">
        <v>141</v>
      </c>
      <c r="CEM38" s="305"/>
      <c r="CEN38" s="305">
        <v>1</v>
      </c>
      <c r="CEO38" s="304">
        <f t="shared" ref="CEO38" si="2919">EDATE(CEK38,CEN38)</f>
        <v>45523</v>
      </c>
      <c r="CEP38" s="340">
        <v>0</v>
      </c>
      <c r="CEQ38" s="320">
        <f t="shared" ref="CEQ38" si="2920">IF(CER38&gt;=1,(CEP38/CEN38),0)</f>
        <v>0</v>
      </c>
      <c r="CER38" s="292"/>
      <c r="CES38" s="259" t="s">
        <v>55</v>
      </c>
      <c r="CET38" s="256" t="s">
        <v>76</v>
      </c>
      <c r="CEU38" s="256" t="s">
        <v>77</v>
      </c>
      <c r="CEV38" s="256" t="s">
        <v>78</v>
      </c>
      <c r="CEW38" s="256" t="s">
        <v>79</v>
      </c>
      <c r="CEX38" s="256" t="s">
        <v>80</v>
      </c>
      <c r="CEY38" s="256" t="s">
        <v>81</v>
      </c>
      <c r="CEZ38" s="331"/>
      <c r="CFA38" s="290">
        <v>45492</v>
      </c>
      <c r="CFB38" s="339" t="s">
        <v>141</v>
      </c>
      <c r="CFC38" s="305"/>
      <c r="CFD38" s="305">
        <v>1</v>
      </c>
      <c r="CFE38" s="304">
        <f t="shared" ref="CFE38" si="2921">EDATE(CFA38,CFD38)</f>
        <v>45523</v>
      </c>
      <c r="CFF38" s="340">
        <v>0</v>
      </c>
      <c r="CFG38" s="320">
        <f t="shared" ref="CFG38" si="2922">IF(CFH38&gt;=1,(CFF38/CFD38),0)</f>
        <v>0</v>
      </c>
      <c r="CFH38" s="292"/>
      <c r="CFI38" s="259" t="s">
        <v>55</v>
      </c>
      <c r="CFJ38" s="256" t="s">
        <v>76</v>
      </c>
      <c r="CFK38" s="256" t="s">
        <v>77</v>
      </c>
      <c r="CFL38" s="256" t="s">
        <v>78</v>
      </c>
      <c r="CFM38" s="256" t="s">
        <v>79</v>
      </c>
      <c r="CFN38" s="256" t="s">
        <v>80</v>
      </c>
      <c r="CFO38" s="256" t="s">
        <v>81</v>
      </c>
      <c r="CFP38" s="331"/>
      <c r="CFQ38" s="290">
        <v>45492</v>
      </c>
      <c r="CFR38" s="339" t="s">
        <v>141</v>
      </c>
      <c r="CFS38" s="305"/>
      <c r="CFT38" s="305">
        <v>1</v>
      </c>
      <c r="CFU38" s="304">
        <f t="shared" ref="CFU38" si="2923">EDATE(CFQ38,CFT38)</f>
        <v>45523</v>
      </c>
      <c r="CFV38" s="340">
        <v>0</v>
      </c>
      <c r="CFW38" s="320">
        <f t="shared" ref="CFW38" si="2924">IF(CFX38&gt;=1,(CFV38/CFT38),0)</f>
        <v>0</v>
      </c>
      <c r="CFX38" s="292"/>
      <c r="CFY38" s="259" t="s">
        <v>55</v>
      </c>
      <c r="CFZ38" s="256" t="s">
        <v>76</v>
      </c>
      <c r="CGA38" s="256" t="s">
        <v>77</v>
      </c>
      <c r="CGB38" s="256" t="s">
        <v>78</v>
      </c>
      <c r="CGC38" s="256" t="s">
        <v>79</v>
      </c>
      <c r="CGD38" s="256" t="s">
        <v>80</v>
      </c>
      <c r="CGE38" s="256" t="s">
        <v>81</v>
      </c>
      <c r="CGF38" s="331"/>
      <c r="CGG38" s="290">
        <v>45492</v>
      </c>
      <c r="CGH38" s="339" t="s">
        <v>141</v>
      </c>
      <c r="CGI38" s="305"/>
      <c r="CGJ38" s="305">
        <v>1</v>
      </c>
      <c r="CGK38" s="304">
        <f t="shared" ref="CGK38" si="2925">EDATE(CGG38,CGJ38)</f>
        <v>45523</v>
      </c>
      <c r="CGL38" s="340">
        <v>0</v>
      </c>
      <c r="CGM38" s="320">
        <f t="shared" ref="CGM38" si="2926">IF(CGN38&gt;=1,(CGL38/CGJ38),0)</f>
        <v>0</v>
      </c>
      <c r="CGN38" s="292"/>
      <c r="CGO38" s="259" t="s">
        <v>55</v>
      </c>
      <c r="CGP38" s="256" t="s">
        <v>76</v>
      </c>
      <c r="CGQ38" s="256" t="s">
        <v>77</v>
      </c>
      <c r="CGR38" s="256" t="s">
        <v>78</v>
      </c>
      <c r="CGS38" s="256" t="s">
        <v>79</v>
      </c>
      <c r="CGT38" s="256" t="s">
        <v>80</v>
      </c>
      <c r="CGU38" s="256" t="s">
        <v>81</v>
      </c>
      <c r="CGV38" s="331"/>
      <c r="CGW38" s="290">
        <v>45492</v>
      </c>
      <c r="CGX38" s="339" t="s">
        <v>141</v>
      </c>
      <c r="CGY38" s="305"/>
      <c r="CGZ38" s="305">
        <v>1</v>
      </c>
      <c r="CHA38" s="304">
        <f t="shared" ref="CHA38" si="2927">EDATE(CGW38,CGZ38)</f>
        <v>45523</v>
      </c>
      <c r="CHB38" s="340">
        <v>0</v>
      </c>
      <c r="CHC38" s="320">
        <f t="shared" ref="CHC38" si="2928">IF(CHD38&gt;=1,(CHB38/CGZ38),0)</f>
        <v>0</v>
      </c>
      <c r="CHD38" s="292"/>
      <c r="CHE38" s="259" t="s">
        <v>55</v>
      </c>
      <c r="CHF38" s="256" t="s">
        <v>76</v>
      </c>
      <c r="CHG38" s="256" t="s">
        <v>77</v>
      </c>
      <c r="CHH38" s="256" t="s">
        <v>78</v>
      </c>
      <c r="CHI38" s="256" t="s">
        <v>79</v>
      </c>
      <c r="CHJ38" s="256" t="s">
        <v>80</v>
      </c>
      <c r="CHK38" s="256" t="s">
        <v>81</v>
      </c>
      <c r="CHL38" s="331"/>
      <c r="CHM38" s="290">
        <v>45492</v>
      </c>
      <c r="CHN38" s="339" t="s">
        <v>141</v>
      </c>
      <c r="CHO38" s="305"/>
      <c r="CHP38" s="305">
        <v>1</v>
      </c>
      <c r="CHQ38" s="304">
        <f t="shared" ref="CHQ38" si="2929">EDATE(CHM38,CHP38)</f>
        <v>45523</v>
      </c>
      <c r="CHR38" s="340">
        <v>0</v>
      </c>
      <c r="CHS38" s="320">
        <f t="shared" ref="CHS38" si="2930">IF(CHT38&gt;=1,(CHR38/CHP38),0)</f>
        <v>0</v>
      </c>
      <c r="CHT38" s="292"/>
      <c r="CHU38" s="259" t="s">
        <v>55</v>
      </c>
      <c r="CHV38" s="256" t="s">
        <v>76</v>
      </c>
      <c r="CHW38" s="256" t="s">
        <v>77</v>
      </c>
      <c r="CHX38" s="256" t="s">
        <v>78</v>
      </c>
      <c r="CHY38" s="256" t="s">
        <v>79</v>
      </c>
      <c r="CHZ38" s="256" t="s">
        <v>80</v>
      </c>
      <c r="CIA38" s="256" t="s">
        <v>81</v>
      </c>
      <c r="CIB38" s="331"/>
      <c r="CIC38" s="290">
        <v>45492</v>
      </c>
      <c r="CID38" s="339" t="s">
        <v>141</v>
      </c>
      <c r="CIE38" s="305"/>
      <c r="CIF38" s="305">
        <v>1</v>
      </c>
      <c r="CIG38" s="304">
        <f t="shared" ref="CIG38" si="2931">EDATE(CIC38,CIF38)</f>
        <v>45523</v>
      </c>
      <c r="CIH38" s="340">
        <v>0</v>
      </c>
      <c r="CII38" s="320">
        <f t="shared" ref="CII38" si="2932">IF(CIJ38&gt;=1,(CIH38/CIF38),0)</f>
        <v>0</v>
      </c>
      <c r="CIJ38" s="292"/>
      <c r="CIK38" s="259" t="s">
        <v>55</v>
      </c>
      <c r="CIL38" s="256" t="s">
        <v>76</v>
      </c>
      <c r="CIM38" s="256" t="s">
        <v>77</v>
      </c>
      <c r="CIN38" s="256" t="s">
        <v>78</v>
      </c>
      <c r="CIO38" s="256" t="s">
        <v>79</v>
      </c>
      <c r="CIP38" s="256" t="s">
        <v>80</v>
      </c>
      <c r="CIQ38" s="256" t="s">
        <v>81</v>
      </c>
      <c r="CIR38" s="331"/>
      <c r="CIS38" s="290">
        <v>45492</v>
      </c>
      <c r="CIT38" s="339" t="s">
        <v>141</v>
      </c>
      <c r="CIU38" s="305"/>
      <c r="CIV38" s="305">
        <v>1</v>
      </c>
      <c r="CIW38" s="304">
        <f t="shared" ref="CIW38" si="2933">EDATE(CIS38,CIV38)</f>
        <v>45523</v>
      </c>
      <c r="CIX38" s="340">
        <v>0</v>
      </c>
      <c r="CIY38" s="320">
        <f t="shared" ref="CIY38" si="2934">IF(CIZ38&gt;=1,(CIX38/CIV38),0)</f>
        <v>0</v>
      </c>
      <c r="CIZ38" s="292"/>
      <c r="CJA38" s="259" t="s">
        <v>55</v>
      </c>
      <c r="CJB38" s="256" t="s">
        <v>76</v>
      </c>
      <c r="CJC38" s="256" t="s">
        <v>77</v>
      </c>
      <c r="CJD38" s="256" t="s">
        <v>78</v>
      </c>
      <c r="CJE38" s="256" t="s">
        <v>79</v>
      </c>
      <c r="CJF38" s="256" t="s">
        <v>80</v>
      </c>
      <c r="CJG38" s="256" t="s">
        <v>81</v>
      </c>
      <c r="CJH38" s="331"/>
      <c r="CJI38" s="290">
        <v>45492</v>
      </c>
      <c r="CJJ38" s="339" t="s">
        <v>141</v>
      </c>
      <c r="CJK38" s="305"/>
      <c r="CJL38" s="305">
        <v>1</v>
      </c>
      <c r="CJM38" s="304">
        <f t="shared" ref="CJM38" si="2935">EDATE(CJI38,CJL38)</f>
        <v>45523</v>
      </c>
      <c r="CJN38" s="340">
        <v>0</v>
      </c>
      <c r="CJO38" s="320">
        <f t="shared" ref="CJO38" si="2936">IF(CJP38&gt;=1,(CJN38/CJL38),0)</f>
        <v>0</v>
      </c>
      <c r="CJP38" s="292"/>
      <c r="CJQ38" s="259" t="s">
        <v>55</v>
      </c>
      <c r="CJR38" s="256" t="s">
        <v>76</v>
      </c>
      <c r="CJS38" s="256" t="s">
        <v>77</v>
      </c>
      <c r="CJT38" s="256" t="s">
        <v>78</v>
      </c>
      <c r="CJU38" s="256" t="s">
        <v>79</v>
      </c>
      <c r="CJV38" s="256" t="s">
        <v>80</v>
      </c>
      <c r="CJW38" s="256" t="s">
        <v>81</v>
      </c>
      <c r="CJX38" s="331"/>
      <c r="CJY38" s="290">
        <v>45492</v>
      </c>
      <c r="CJZ38" s="339" t="s">
        <v>141</v>
      </c>
      <c r="CKA38" s="305"/>
      <c r="CKB38" s="305">
        <v>1</v>
      </c>
      <c r="CKC38" s="304">
        <f t="shared" ref="CKC38" si="2937">EDATE(CJY38,CKB38)</f>
        <v>45523</v>
      </c>
      <c r="CKD38" s="340">
        <v>0</v>
      </c>
      <c r="CKE38" s="320">
        <f t="shared" ref="CKE38" si="2938">IF(CKF38&gt;=1,(CKD38/CKB38),0)</f>
        <v>0</v>
      </c>
      <c r="CKF38" s="292"/>
      <c r="CKG38" s="259" t="s">
        <v>55</v>
      </c>
      <c r="CKH38" s="256" t="s">
        <v>76</v>
      </c>
      <c r="CKI38" s="256" t="s">
        <v>77</v>
      </c>
      <c r="CKJ38" s="256" t="s">
        <v>78</v>
      </c>
      <c r="CKK38" s="256" t="s">
        <v>79</v>
      </c>
      <c r="CKL38" s="256" t="s">
        <v>80</v>
      </c>
      <c r="CKM38" s="256" t="s">
        <v>81</v>
      </c>
      <c r="CKN38" s="331"/>
      <c r="CKO38" s="290">
        <v>45492</v>
      </c>
      <c r="CKP38" s="339" t="s">
        <v>141</v>
      </c>
      <c r="CKQ38" s="305"/>
      <c r="CKR38" s="305">
        <v>1</v>
      </c>
      <c r="CKS38" s="304">
        <f t="shared" ref="CKS38" si="2939">EDATE(CKO38,CKR38)</f>
        <v>45523</v>
      </c>
      <c r="CKT38" s="340">
        <v>0</v>
      </c>
      <c r="CKU38" s="320">
        <f t="shared" ref="CKU38" si="2940">IF(CKV38&gt;=1,(CKT38/CKR38),0)</f>
        <v>0</v>
      </c>
      <c r="CKV38" s="292"/>
      <c r="CKW38" s="259" t="s">
        <v>55</v>
      </c>
      <c r="CKX38" s="256" t="s">
        <v>76</v>
      </c>
      <c r="CKY38" s="256" t="s">
        <v>77</v>
      </c>
      <c r="CKZ38" s="256" t="s">
        <v>78</v>
      </c>
      <c r="CLA38" s="256" t="s">
        <v>79</v>
      </c>
      <c r="CLB38" s="256" t="s">
        <v>80</v>
      </c>
      <c r="CLC38" s="256" t="s">
        <v>81</v>
      </c>
      <c r="CLD38" s="331"/>
      <c r="CLE38" s="290">
        <v>45492</v>
      </c>
      <c r="CLF38" s="339" t="s">
        <v>141</v>
      </c>
      <c r="CLG38" s="305"/>
      <c r="CLH38" s="305">
        <v>1</v>
      </c>
      <c r="CLI38" s="304">
        <f t="shared" ref="CLI38" si="2941">EDATE(CLE38,CLH38)</f>
        <v>45523</v>
      </c>
      <c r="CLJ38" s="340">
        <v>0</v>
      </c>
      <c r="CLK38" s="320">
        <f t="shared" ref="CLK38" si="2942">IF(CLL38&gt;=1,(CLJ38/CLH38),0)</f>
        <v>0</v>
      </c>
      <c r="CLL38" s="292"/>
      <c r="CLM38" s="259" t="s">
        <v>55</v>
      </c>
      <c r="CLN38" s="256" t="s">
        <v>76</v>
      </c>
      <c r="CLO38" s="256" t="s">
        <v>77</v>
      </c>
      <c r="CLP38" s="256" t="s">
        <v>78</v>
      </c>
      <c r="CLQ38" s="256" t="s">
        <v>79</v>
      </c>
      <c r="CLR38" s="256" t="s">
        <v>80</v>
      </c>
      <c r="CLS38" s="256" t="s">
        <v>81</v>
      </c>
      <c r="CLT38" s="331"/>
      <c r="CLU38" s="290">
        <v>45492</v>
      </c>
      <c r="CLV38" s="339" t="s">
        <v>141</v>
      </c>
      <c r="CLW38" s="305"/>
      <c r="CLX38" s="305">
        <v>1</v>
      </c>
      <c r="CLY38" s="304">
        <f t="shared" ref="CLY38" si="2943">EDATE(CLU38,CLX38)</f>
        <v>45523</v>
      </c>
      <c r="CLZ38" s="340">
        <v>0</v>
      </c>
      <c r="CMA38" s="320">
        <f t="shared" ref="CMA38" si="2944">IF(CMB38&gt;=1,(CLZ38/CLX38),0)</f>
        <v>0</v>
      </c>
      <c r="CMB38" s="292"/>
      <c r="CMC38" s="259" t="s">
        <v>55</v>
      </c>
      <c r="CMD38" s="256" t="s">
        <v>76</v>
      </c>
      <c r="CME38" s="256" t="s">
        <v>77</v>
      </c>
      <c r="CMF38" s="256" t="s">
        <v>78</v>
      </c>
      <c r="CMG38" s="256" t="s">
        <v>79</v>
      </c>
      <c r="CMH38" s="256" t="s">
        <v>80</v>
      </c>
      <c r="CMI38" s="256" t="s">
        <v>81</v>
      </c>
      <c r="CMJ38" s="331"/>
      <c r="CMK38" s="290">
        <v>45492</v>
      </c>
      <c r="CML38" s="339" t="s">
        <v>141</v>
      </c>
      <c r="CMM38" s="305"/>
      <c r="CMN38" s="305">
        <v>1</v>
      </c>
      <c r="CMO38" s="304">
        <f t="shared" ref="CMO38" si="2945">EDATE(CMK38,CMN38)</f>
        <v>45523</v>
      </c>
      <c r="CMP38" s="340">
        <v>0</v>
      </c>
      <c r="CMQ38" s="320">
        <f t="shared" ref="CMQ38" si="2946">IF(CMR38&gt;=1,(CMP38/CMN38),0)</f>
        <v>0</v>
      </c>
      <c r="CMR38" s="292"/>
      <c r="CMS38" s="259" t="s">
        <v>55</v>
      </c>
      <c r="CMT38" s="256" t="s">
        <v>76</v>
      </c>
      <c r="CMU38" s="256" t="s">
        <v>77</v>
      </c>
      <c r="CMV38" s="256" t="s">
        <v>78</v>
      </c>
      <c r="CMW38" s="256" t="s">
        <v>79</v>
      </c>
      <c r="CMX38" s="256" t="s">
        <v>80</v>
      </c>
      <c r="CMY38" s="256" t="s">
        <v>81</v>
      </c>
      <c r="CMZ38" s="331"/>
      <c r="CNA38" s="290">
        <v>45492</v>
      </c>
      <c r="CNB38" s="339" t="s">
        <v>141</v>
      </c>
      <c r="CNC38" s="305"/>
      <c r="CND38" s="305">
        <v>1</v>
      </c>
      <c r="CNE38" s="304">
        <f t="shared" ref="CNE38" si="2947">EDATE(CNA38,CND38)</f>
        <v>45523</v>
      </c>
      <c r="CNF38" s="340">
        <v>0</v>
      </c>
      <c r="CNG38" s="320">
        <f t="shared" ref="CNG38" si="2948">IF(CNH38&gt;=1,(CNF38/CND38),0)</f>
        <v>0</v>
      </c>
      <c r="CNH38" s="292"/>
      <c r="CNI38" s="259" t="s">
        <v>55</v>
      </c>
      <c r="CNJ38" s="256" t="s">
        <v>76</v>
      </c>
      <c r="CNK38" s="256" t="s">
        <v>77</v>
      </c>
      <c r="CNL38" s="256" t="s">
        <v>78</v>
      </c>
      <c r="CNM38" s="256" t="s">
        <v>79</v>
      </c>
      <c r="CNN38" s="256" t="s">
        <v>80</v>
      </c>
      <c r="CNO38" s="256" t="s">
        <v>81</v>
      </c>
      <c r="CNP38" s="331"/>
      <c r="CNQ38" s="290">
        <v>45492</v>
      </c>
      <c r="CNR38" s="339" t="s">
        <v>141</v>
      </c>
      <c r="CNS38" s="305"/>
      <c r="CNT38" s="305">
        <v>1</v>
      </c>
      <c r="CNU38" s="304">
        <f t="shared" ref="CNU38" si="2949">EDATE(CNQ38,CNT38)</f>
        <v>45523</v>
      </c>
      <c r="CNV38" s="340">
        <v>0</v>
      </c>
      <c r="CNW38" s="320">
        <f t="shared" ref="CNW38" si="2950">IF(CNX38&gt;=1,(CNV38/CNT38),0)</f>
        <v>0</v>
      </c>
      <c r="CNX38" s="292"/>
      <c r="CNY38" s="259" t="s">
        <v>55</v>
      </c>
      <c r="CNZ38" s="256" t="s">
        <v>76</v>
      </c>
      <c r="COA38" s="256" t="s">
        <v>77</v>
      </c>
      <c r="COB38" s="256" t="s">
        <v>78</v>
      </c>
      <c r="COC38" s="256" t="s">
        <v>79</v>
      </c>
      <c r="COD38" s="256" t="s">
        <v>80</v>
      </c>
      <c r="COE38" s="256" t="s">
        <v>81</v>
      </c>
      <c r="COF38" s="331"/>
      <c r="COG38" s="290">
        <v>45492</v>
      </c>
      <c r="COH38" s="339" t="s">
        <v>141</v>
      </c>
      <c r="COI38" s="305"/>
      <c r="COJ38" s="305">
        <v>1</v>
      </c>
      <c r="COK38" s="304">
        <f t="shared" ref="COK38" si="2951">EDATE(COG38,COJ38)</f>
        <v>45523</v>
      </c>
      <c r="COL38" s="340">
        <v>0</v>
      </c>
      <c r="COM38" s="320">
        <f t="shared" ref="COM38" si="2952">IF(CON38&gt;=1,(COL38/COJ38),0)</f>
        <v>0</v>
      </c>
      <c r="CON38" s="292"/>
      <c r="COO38" s="259" t="s">
        <v>55</v>
      </c>
      <c r="COP38" s="256" t="s">
        <v>76</v>
      </c>
      <c r="COQ38" s="256" t="s">
        <v>77</v>
      </c>
      <c r="COR38" s="256" t="s">
        <v>78</v>
      </c>
      <c r="COS38" s="256" t="s">
        <v>79</v>
      </c>
      <c r="COT38" s="256" t="s">
        <v>80</v>
      </c>
      <c r="COU38" s="256" t="s">
        <v>81</v>
      </c>
      <c r="COV38" s="331"/>
      <c r="COW38" s="290">
        <v>45492</v>
      </c>
      <c r="COX38" s="339" t="s">
        <v>141</v>
      </c>
      <c r="COY38" s="305"/>
      <c r="COZ38" s="305">
        <v>1</v>
      </c>
      <c r="CPA38" s="304">
        <f t="shared" ref="CPA38" si="2953">EDATE(COW38,COZ38)</f>
        <v>45523</v>
      </c>
      <c r="CPB38" s="340">
        <v>0</v>
      </c>
      <c r="CPC38" s="320">
        <f t="shared" ref="CPC38" si="2954">IF(CPD38&gt;=1,(CPB38/COZ38),0)</f>
        <v>0</v>
      </c>
      <c r="CPD38" s="292"/>
      <c r="CPE38" s="259" t="s">
        <v>55</v>
      </c>
      <c r="CPF38" s="256" t="s">
        <v>76</v>
      </c>
      <c r="CPG38" s="256" t="s">
        <v>77</v>
      </c>
      <c r="CPH38" s="256" t="s">
        <v>78</v>
      </c>
      <c r="CPI38" s="256" t="s">
        <v>79</v>
      </c>
      <c r="CPJ38" s="256" t="s">
        <v>80</v>
      </c>
      <c r="CPK38" s="256" t="s">
        <v>81</v>
      </c>
      <c r="CPL38" s="331"/>
      <c r="CPM38" s="290">
        <v>45492</v>
      </c>
      <c r="CPN38" s="339" t="s">
        <v>141</v>
      </c>
      <c r="CPO38" s="305"/>
      <c r="CPP38" s="305">
        <v>1</v>
      </c>
      <c r="CPQ38" s="304">
        <f t="shared" ref="CPQ38" si="2955">EDATE(CPM38,CPP38)</f>
        <v>45523</v>
      </c>
      <c r="CPR38" s="340">
        <v>0</v>
      </c>
      <c r="CPS38" s="320">
        <f t="shared" ref="CPS38" si="2956">IF(CPT38&gt;=1,(CPR38/CPP38),0)</f>
        <v>0</v>
      </c>
      <c r="CPT38" s="292"/>
      <c r="CPU38" s="259" t="s">
        <v>55</v>
      </c>
      <c r="CPV38" s="256" t="s">
        <v>76</v>
      </c>
      <c r="CPW38" s="256" t="s">
        <v>77</v>
      </c>
      <c r="CPX38" s="256" t="s">
        <v>78</v>
      </c>
      <c r="CPY38" s="256" t="s">
        <v>79</v>
      </c>
      <c r="CPZ38" s="256" t="s">
        <v>80</v>
      </c>
      <c r="CQA38" s="256" t="s">
        <v>81</v>
      </c>
      <c r="CQB38" s="331"/>
      <c r="CQC38" s="290">
        <v>45492</v>
      </c>
      <c r="CQD38" s="339" t="s">
        <v>141</v>
      </c>
      <c r="CQE38" s="305"/>
      <c r="CQF38" s="305">
        <v>1</v>
      </c>
      <c r="CQG38" s="304">
        <f t="shared" ref="CQG38" si="2957">EDATE(CQC38,CQF38)</f>
        <v>45523</v>
      </c>
      <c r="CQH38" s="340">
        <v>0</v>
      </c>
      <c r="CQI38" s="320">
        <f t="shared" ref="CQI38" si="2958">IF(CQJ38&gt;=1,(CQH38/CQF38),0)</f>
        <v>0</v>
      </c>
      <c r="CQJ38" s="292"/>
      <c r="CQK38" s="259" t="s">
        <v>55</v>
      </c>
      <c r="CQL38" s="256" t="s">
        <v>76</v>
      </c>
      <c r="CQM38" s="256" t="s">
        <v>77</v>
      </c>
      <c r="CQN38" s="256" t="s">
        <v>78</v>
      </c>
      <c r="CQO38" s="256" t="s">
        <v>79</v>
      </c>
      <c r="CQP38" s="256" t="s">
        <v>80</v>
      </c>
      <c r="CQQ38" s="256" t="s">
        <v>81</v>
      </c>
      <c r="CQR38" s="331"/>
      <c r="CQS38" s="290">
        <v>45492</v>
      </c>
      <c r="CQT38" s="339" t="s">
        <v>141</v>
      </c>
      <c r="CQU38" s="305"/>
      <c r="CQV38" s="305">
        <v>1</v>
      </c>
      <c r="CQW38" s="304">
        <f t="shared" ref="CQW38" si="2959">EDATE(CQS38,CQV38)</f>
        <v>45523</v>
      </c>
      <c r="CQX38" s="340">
        <v>0</v>
      </c>
      <c r="CQY38" s="320">
        <f t="shared" ref="CQY38" si="2960">IF(CQZ38&gt;=1,(CQX38/CQV38),0)</f>
        <v>0</v>
      </c>
      <c r="CQZ38" s="292"/>
      <c r="CRA38" s="259" t="s">
        <v>55</v>
      </c>
      <c r="CRB38" s="256" t="s">
        <v>76</v>
      </c>
      <c r="CRC38" s="256" t="s">
        <v>77</v>
      </c>
      <c r="CRD38" s="256" t="s">
        <v>78</v>
      </c>
      <c r="CRE38" s="256" t="s">
        <v>79</v>
      </c>
      <c r="CRF38" s="256" t="s">
        <v>80</v>
      </c>
      <c r="CRG38" s="256" t="s">
        <v>81</v>
      </c>
      <c r="CRH38" s="331"/>
      <c r="CRI38" s="290">
        <v>45492</v>
      </c>
      <c r="CRJ38" s="339" t="s">
        <v>141</v>
      </c>
      <c r="CRK38" s="305"/>
      <c r="CRL38" s="305">
        <v>1</v>
      </c>
      <c r="CRM38" s="304">
        <f t="shared" ref="CRM38" si="2961">EDATE(CRI38,CRL38)</f>
        <v>45523</v>
      </c>
      <c r="CRN38" s="340">
        <v>0</v>
      </c>
      <c r="CRO38" s="320">
        <f t="shared" ref="CRO38" si="2962">IF(CRP38&gt;=1,(CRN38/CRL38),0)</f>
        <v>0</v>
      </c>
      <c r="CRP38" s="292"/>
      <c r="CRQ38" s="259" t="s">
        <v>55</v>
      </c>
      <c r="CRR38" s="256" t="s">
        <v>76</v>
      </c>
      <c r="CRS38" s="256" t="s">
        <v>77</v>
      </c>
      <c r="CRT38" s="256" t="s">
        <v>78</v>
      </c>
      <c r="CRU38" s="256" t="s">
        <v>79</v>
      </c>
      <c r="CRV38" s="256" t="s">
        <v>80</v>
      </c>
      <c r="CRW38" s="256" t="s">
        <v>81</v>
      </c>
      <c r="CRX38" s="331"/>
      <c r="CRY38" s="290">
        <v>45492</v>
      </c>
      <c r="CRZ38" s="339" t="s">
        <v>141</v>
      </c>
      <c r="CSA38" s="305"/>
      <c r="CSB38" s="305">
        <v>1</v>
      </c>
      <c r="CSC38" s="304">
        <f t="shared" ref="CSC38" si="2963">EDATE(CRY38,CSB38)</f>
        <v>45523</v>
      </c>
      <c r="CSD38" s="340">
        <v>0</v>
      </c>
      <c r="CSE38" s="320">
        <f t="shared" ref="CSE38" si="2964">IF(CSF38&gt;=1,(CSD38/CSB38),0)</f>
        <v>0</v>
      </c>
      <c r="CSF38" s="292"/>
      <c r="CSG38" s="259" t="s">
        <v>55</v>
      </c>
      <c r="CSH38" s="256" t="s">
        <v>76</v>
      </c>
      <c r="CSI38" s="256" t="s">
        <v>77</v>
      </c>
      <c r="CSJ38" s="256" t="s">
        <v>78</v>
      </c>
      <c r="CSK38" s="256" t="s">
        <v>79</v>
      </c>
      <c r="CSL38" s="256" t="s">
        <v>80</v>
      </c>
      <c r="CSM38" s="256" t="s">
        <v>81</v>
      </c>
      <c r="CSN38" s="331"/>
      <c r="CSO38" s="290">
        <v>45492</v>
      </c>
      <c r="CSP38" s="339" t="s">
        <v>141</v>
      </c>
      <c r="CSQ38" s="305"/>
      <c r="CSR38" s="305">
        <v>1</v>
      </c>
      <c r="CSS38" s="304">
        <f t="shared" ref="CSS38" si="2965">EDATE(CSO38,CSR38)</f>
        <v>45523</v>
      </c>
      <c r="CST38" s="340">
        <v>0</v>
      </c>
      <c r="CSU38" s="320">
        <f t="shared" ref="CSU38" si="2966">IF(CSV38&gt;=1,(CST38/CSR38),0)</f>
        <v>0</v>
      </c>
      <c r="CSV38" s="292"/>
      <c r="CSW38" s="259" t="s">
        <v>55</v>
      </c>
      <c r="CSX38" s="256" t="s">
        <v>76</v>
      </c>
      <c r="CSY38" s="256" t="s">
        <v>77</v>
      </c>
      <c r="CSZ38" s="256" t="s">
        <v>78</v>
      </c>
      <c r="CTA38" s="256" t="s">
        <v>79</v>
      </c>
      <c r="CTB38" s="256" t="s">
        <v>80</v>
      </c>
      <c r="CTC38" s="256" t="s">
        <v>81</v>
      </c>
      <c r="CTD38" s="331"/>
      <c r="CTE38" s="290">
        <v>45492</v>
      </c>
      <c r="CTF38" s="339" t="s">
        <v>141</v>
      </c>
      <c r="CTG38" s="305"/>
      <c r="CTH38" s="305">
        <v>1</v>
      </c>
      <c r="CTI38" s="304">
        <f t="shared" ref="CTI38" si="2967">EDATE(CTE38,CTH38)</f>
        <v>45523</v>
      </c>
      <c r="CTJ38" s="340">
        <v>0</v>
      </c>
      <c r="CTK38" s="320">
        <f t="shared" ref="CTK38" si="2968">IF(CTL38&gt;=1,(CTJ38/CTH38),0)</f>
        <v>0</v>
      </c>
      <c r="CTL38" s="292"/>
      <c r="CTM38" s="259" t="s">
        <v>55</v>
      </c>
      <c r="CTN38" s="256" t="s">
        <v>76</v>
      </c>
      <c r="CTO38" s="256" t="s">
        <v>77</v>
      </c>
      <c r="CTP38" s="256" t="s">
        <v>78</v>
      </c>
      <c r="CTQ38" s="256" t="s">
        <v>79</v>
      </c>
      <c r="CTR38" s="256" t="s">
        <v>80</v>
      </c>
      <c r="CTS38" s="256" t="s">
        <v>81</v>
      </c>
      <c r="CTT38" s="331"/>
      <c r="CTU38" s="290">
        <v>45492</v>
      </c>
      <c r="CTV38" s="339" t="s">
        <v>141</v>
      </c>
      <c r="CTW38" s="305"/>
      <c r="CTX38" s="305">
        <v>1</v>
      </c>
      <c r="CTY38" s="304">
        <f t="shared" ref="CTY38" si="2969">EDATE(CTU38,CTX38)</f>
        <v>45523</v>
      </c>
      <c r="CTZ38" s="340">
        <v>0</v>
      </c>
      <c r="CUA38" s="320">
        <f t="shared" ref="CUA38" si="2970">IF(CUB38&gt;=1,(CTZ38/CTX38),0)</f>
        <v>0</v>
      </c>
      <c r="CUB38" s="292"/>
      <c r="CUC38" s="259" t="s">
        <v>55</v>
      </c>
      <c r="CUD38" s="256" t="s">
        <v>76</v>
      </c>
      <c r="CUE38" s="256" t="s">
        <v>77</v>
      </c>
      <c r="CUF38" s="256" t="s">
        <v>78</v>
      </c>
      <c r="CUG38" s="256" t="s">
        <v>79</v>
      </c>
      <c r="CUH38" s="256" t="s">
        <v>80</v>
      </c>
      <c r="CUI38" s="256" t="s">
        <v>81</v>
      </c>
      <c r="CUJ38" s="331"/>
      <c r="CUK38" s="290">
        <v>45492</v>
      </c>
      <c r="CUL38" s="339" t="s">
        <v>141</v>
      </c>
      <c r="CUM38" s="305"/>
      <c r="CUN38" s="305">
        <v>1</v>
      </c>
      <c r="CUO38" s="304">
        <f t="shared" ref="CUO38" si="2971">EDATE(CUK38,CUN38)</f>
        <v>45523</v>
      </c>
      <c r="CUP38" s="340">
        <v>0</v>
      </c>
      <c r="CUQ38" s="320">
        <f t="shared" ref="CUQ38" si="2972">IF(CUR38&gt;=1,(CUP38/CUN38),0)</f>
        <v>0</v>
      </c>
      <c r="CUR38" s="292"/>
      <c r="CUS38" s="259" t="s">
        <v>55</v>
      </c>
      <c r="CUT38" s="256" t="s">
        <v>76</v>
      </c>
      <c r="CUU38" s="256" t="s">
        <v>77</v>
      </c>
      <c r="CUV38" s="256" t="s">
        <v>78</v>
      </c>
      <c r="CUW38" s="256" t="s">
        <v>79</v>
      </c>
      <c r="CUX38" s="256" t="s">
        <v>80</v>
      </c>
      <c r="CUY38" s="256" t="s">
        <v>81</v>
      </c>
      <c r="CUZ38" s="331"/>
      <c r="CVA38" s="290">
        <v>45492</v>
      </c>
      <c r="CVB38" s="339" t="s">
        <v>141</v>
      </c>
      <c r="CVC38" s="305"/>
      <c r="CVD38" s="305">
        <v>1</v>
      </c>
      <c r="CVE38" s="304">
        <f t="shared" ref="CVE38" si="2973">EDATE(CVA38,CVD38)</f>
        <v>45523</v>
      </c>
      <c r="CVF38" s="340">
        <v>0</v>
      </c>
      <c r="CVG38" s="320">
        <f t="shared" ref="CVG38" si="2974">IF(CVH38&gt;=1,(CVF38/CVD38),0)</f>
        <v>0</v>
      </c>
      <c r="CVH38" s="292"/>
      <c r="CVI38" s="259" t="s">
        <v>55</v>
      </c>
      <c r="CVJ38" s="256" t="s">
        <v>76</v>
      </c>
      <c r="CVK38" s="256" t="s">
        <v>77</v>
      </c>
      <c r="CVL38" s="256" t="s">
        <v>78</v>
      </c>
      <c r="CVM38" s="256" t="s">
        <v>79</v>
      </c>
      <c r="CVN38" s="256" t="s">
        <v>80</v>
      </c>
      <c r="CVO38" s="256" t="s">
        <v>81</v>
      </c>
      <c r="CVP38" s="331"/>
      <c r="CVQ38" s="290">
        <v>45492</v>
      </c>
      <c r="CVR38" s="339" t="s">
        <v>141</v>
      </c>
      <c r="CVS38" s="305"/>
      <c r="CVT38" s="305">
        <v>1</v>
      </c>
      <c r="CVU38" s="304">
        <f t="shared" ref="CVU38" si="2975">EDATE(CVQ38,CVT38)</f>
        <v>45523</v>
      </c>
      <c r="CVV38" s="340">
        <v>0</v>
      </c>
      <c r="CVW38" s="320">
        <f t="shared" ref="CVW38" si="2976">IF(CVX38&gt;=1,(CVV38/CVT38),0)</f>
        <v>0</v>
      </c>
      <c r="CVX38" s="292"/>
      <c r="CVY38" s="259" t="s">
        <v>55</v>
      </c>
      <c r="CVZ38" s="256" t="s">
        <v>76</v>
      </c>
      <c r="CWA38" s="256" t="s">
        <v>77</v>
      </c>
      <c r="CWB38" s="256" t="s">
        <v>78</v>
      </c>
      <c r="CWC38" s="256" t="s">
        <v>79</v>
      </c>
      <c r="CWD38" s="256" t="s">
        <v>80</v>
      </c>
      <c r="CWE38" s="256" t="s">
        <v>81</v>
      </c>
      <c r="CWF38" s="331"/>
      <c r="CWG38" s="290">
        <v>45492</v>
      </c>
      <c r="CWH38" s="339" t="s">
        <v>141</v>
      </c>
      <c r="CWI38" s="305"/>
      <c r="CWJ38" s="305">
        <v>1</v>
      </c>
      <c r="CWK38" s="304">
        <f t="shared" ref="CWK38" si="2977">EDATE(CWG38,CWJ38)</f>
        <v>45523</v>
      </c>
      <c r="CWL38" s="340">
        <v>0</v>
      </c>
      <c r="CWM38" s="320">
        <f t="shared" ref="CWM38" si="2978">IF(CWN38&gt;=1,(CWL38/CWJ38),0)</f>
        <v>0</v>
      </c>
      <c r="CWN38" s="292"/>
      <c r="CWO38" s="259" t="s">
        <v>55</v>
      </c>
      <c r="CWP38" s="256" t="s">
        <v>76</v>
      </c>
      <c r="CWQ38" s="256" t="s">
        <v>77</v>
      </c>
      <c r="CWR38" s="256" t="s">
        <v>78</v>
      </c>
      <c r="CWS38" s="256" t="s">
        <v>79</v>
      </c>
      <c r="CWT38" s="256" t="s">
        <v>80</v>
      </c>
      <c r="CWU38" s="256" t="s">
        <v>81</v>
      </c>
      <c r="CWV38" s="331"/>
      <c r="CWW38" s="290">
        <v>45492</v>
      </c>
      <c r="CWX38" s="339" t="s">
        <v>141</v>
      </c>
      <c r="CWY38" s="305"/>
      <c r="CWZ38" s="305">
        <v>1</v>
      </c>
      <c r="CXA38" s="304">
        <f t="shared" ref="CXA38" si="2979">EDATE(CWW38,CWZ38)</f>
        <v>45523</v>
      </c>
      <c r="CXB38" s="340">
        <v>0</v>
      </c>
      <c r="CXC38" s="320">
        <f t="shared" ref="CXC38" si="2980">IF(CXD38&gt;=1,(CXB38/CWZ38),0)</f>
        <v>0</v>
      </c>
      <c r="CXD38" s="292"/>
      <c r="CXE38" s="259" t="s">
        <v>55</v>
      </c>
      <c r="CXF38" s="256" t="s">
        <v>76</v>
      </c>
      <c r="CXG38" s="256" t="s">
        <v>77</v>
      </c>
      <c r="CXH38" s="256" t="s">
        <v>78</v>
      </c>
      <c r="CXI38" s="256" t="s">
        <v>79</v>
      </c>
      <c r="CXJ38" s="256" t="s">
        <v>80</v>
      </c>
      <c r="CXK38" s="256" t="s">
        <v>81</v>
      </c>
      <c r="CXL38" s="331"/>
      <c r="CXM38" s="290">
        <v>45492</v>
      </c>
      <c r="CXN38" s="339" t="s">
        <v>141</v>
      </c>
      <c r="CXO38" s="305"/>
      <c r="CXP38" s="305">
        <v>1</v>
      </c>
      <c r="CXQ38" s="304">
        <f t="shared" ref="CXQ38" si="2981">EDATE(CXM38,CXP38)</f>
        <v>45523</v>
      </c>
      <c r="CXR38" s="340">
        <v>0</v>
      </c>
      <c r="CXS38" s="320">
        <f t="shared" ref="CXS38" si="2982">IF(CXT38&gt;=1,(CXR38/CXP38),0)</f>
        <v>0</v>
      </c>
      <c r="CXT38" s="292"/>
      <c r="CXU38" s="259" t="s">
        <v>55</v>
      </c>
      <c r="CXV38" s="256" t="s">
        <v>76</v>
      </c>
      <c r="CXW38" s="256" t="s">
        <v>77</v>
      </c>
      <c r="CXX38" s="256" t="s">
        <v>78</v>
      </c>
      <c r="CXY38" s="256" t="s">
        <v>79</v>
      </c>
      <c r="CXZ38" s="256" t="s">
        <v>80</v>
      </c>
      <c r="CYA38" s="256" t="s">
        <v>81</v>
      </c>
      <c r="CYB38" s="331"/>
      <c r="CYC38" s="290">
        <v>45492</v>
      </c>
      <c r="CYD38" s="339" t="s">
        <v>141</v>
      </c>
      <c r="CYE38" s="305"/>
      <c r="CYF38" s="305">
        <v>1</v>
      </c>
      <c r="CYG38" s="304">
        <f t="shared" ref="CYG38" si="2983">EDATE(CYC38,CYF38)</f>
        <v>45523</v>
      </c>
      <c r="CYH38" s="340">
        <v>0</v>
      </c>
      <c r="CYI38" s="320">
        <f t="shared" ref="CYI38" si="2984">IF(CYJ38&gt;=1,(CYH38/CYF38),0)</f>
        <v>0</v>
      </c>
      <c r="CYJ38" s="292"/>
      <c r="CYK38" s="259" t="s">
        <v>55</v>
      </c>
      <c r="CYL38" s="256" t="s">
        <v>76</v>
      </c>
      <c r="CYM38" s="256" t="s">
        <v>77</v>
      </c>
      <c r="CYN38" s="256" t="s">
        <v>78</v>
      </c>
      <c r="CYO38" s="256" t="s">
        <v>79</v>
      </c>
      <c r="CYP38" s="256" t="s">
        <v>80</v>
      </c>
      <c r="CYQ38" s="256" t="s">
        <v>81</v>
      </c>
      <c r="CYR38" s="331"/>
      <c r="CYS38" s="290">
        <v>45492</v>
      </c>
      <c r="CYT38" s="339" t="s">
        <v>141</v>
      </c>
      <c r="CYU38" s="305"/>
      <c r="CYV38" s="305">
        <v>1</v>
      </c>
      <c r="CYW38" s="304">
        <f t="shared" ref="CYW38" si="2985">EDATE(CYS38,CYV38)</f>
        <v>45523</v>
      </c>
      <c r="CYX38" s="340">
        <v>0</v>
      </c>
      <c r="CYY38" s="320">
        <f t="shared" ref="CYY38" si="2986">IF(CYZ38&gt;=1,(CYX38/CYV38),0)</f>
        <v>0</v>
      </c>
      <c r="CYZ38" s="292"/>
      <c r="CZA38" s="259" t="s">
        <v>55</v>
      </c>
      <c r="CZB38" s="256" t="s">
        <v>76</v>
      </c>
      <c r="CZC38" s="256" t="s">
        <v>77</v>
      </c>
      <c r="CZD38" s="256" t="s">
        <v>78</v>
      </c>
      <c r="CZE38" s="256" t="s">
        <v>79</v>
      </c>
      <c r="CZF38" s="256" t="s">
        <v>80</v>
      </c>
      <c r="CZG38" s="256" t="s">
        <v>81</v>
      </c>
      <c r="CZH38" s="331"/>
      <c r="CZI38" s="290">
        <v>45492</v>
      </c>
      <c r="CZJ38" s="339" t="s">
        <v>141</v>
      </c>
      <c r="CZK38" s="305"/>
      <c r="CZL38" s="305">
        <v>1</v>
      </c>
      <c r="CZM38" s="304">
        <f t="shared" ref="CZM38" si="2987">EDATE(CZI38,CZL38)</f>
        <v>45523</v>
      </c>
      <c r="CZN38" s="340">
        <v>0</v>
      </c>
      <c r="CZO38" s="320">
        <f t="shared" ref="CZO38" si="2988">IF(CZP38&gt;=1,(CZN38/CZL38),0)</f>
        <v>0</v>
      </c>
      <c r="CZP38" s="292"/>
      <c r="CZQ38" s="259" t="s">
        <v>55</v>
      </c>
      <c r="CZR38" s="256" t="s">
        <v>76</v>
      </c>
      <c r="CZS38" s="256" t="s">
        <v>77</v>
      </c>
      <c r="CZT38" s="256" t="s">
        <v>78</v>
      </c>
      <c r="CZU38" s="256" t="s">
        <v>79</v>
      </c>
      <c r="CZV38" s="256" t="s">
        <v>80</v>
      </c>
      <c r="CZW38" s="256" t="s">
        <v>81</v>
      </c>
      <c r="CZX38" s="331"/>
      <c r="CZY38" s="290">
        <v>45492</v>
      </c>
      <c r="CZZ38" s="339" t="s">
        <v>141</v>
      </c>
      <c r="DAA38" s="305"/>
      <c r="DAB38" s="305">
        <v>1</v>
      </c>
      <c r="DAC38" s="304">
        <f t="shared" ref="DAC38" si="2989">EDATE(CZY38,DAB38)</f>
        <v>45523</v>
      </c>
      <c r="DAD38" s="340">
        <v>0</v>
      </c>
      <c r="DAE38" s="320">
        <f t="shared" ref="DAE38" si="2990">IF(DAF38&gt;=1,(DAD38/DAB38),0)</f>
        <v>0</v>
      </c>
      <c r="DAF38" s="292"/>
      <c r="DAG38" s="259" t="s">
        <v>55</v>
      </c>
      <c r="DAH38" s="256" t="s">
        <v>76</v>
      </c>
      <c r="DAI38" s="256" t="s">
        <v>77</v>
      </c>
      <c r="DAJ38" s="256" t="s">
        <v>78</v>
      </c>
      <c r="DAK38" s="256" t="s">
        <v>79</v>
      </c>
      <c r="DAL38" s="256" t="s">
        <v>80</v>
      </c>
      <c r="DAM38" s="256" t="s">
        <v>81</v>
      </c>
      <c r="DAN38" s="331"/>
      <c r="DAO38" s="290">
        <v>45492</v>
      </c>
      <c r="DAP38" s="339" t="s">
        <v>141</v>
      </c>
      <c r="DAQ38" s="305"/>
      <c r="DAR38" s="305">
        <v>1</v>
      </c>
      <c r="DAS38" s="304">
        <f t="shared" ref="DAS38" si="2991">EDATE(DAO38,DAR38)</f>
        <v>45523</v>
      </c>
      <c r="DAT38" s="340">
        <v>0</v>
      </c>
      <c r="DAU38" s="320">
        <f t="shared" ref="DAU38" si="2992">IF(DAV38&gt;=1,(DAT38/DAR38),0)</f>
        <v>0</v>
      </c>
      <c r="DAV38" s="292"/>
      <c r="DAW38" s="259" t="s">
        <v>55</v>
      </c>
      <c r="DAX38" s="256" t="s">
        <v>76</v>
      </c>
      <c r="DAY38" s="256" t="s">
        <v>77</v>
      </c>
      <c r="DAZ38" s="256" t="s">
        <v>78</v>
      </c>
      <c r="DBA38" s="256" t="s">
        <v>79</v>
      </c>
      <c r="DBB38" s="256" t="s">
        <v>80</v>
      </c>
      <c r="DBC38" s="256" t="s">
        <v>81</v>
      </c>
      <c r="DBD38" s="331"/>
      <c r="DBE38" s="290">
        <v>45492</v>
      </c>
      <c r="DBF38" s="339" t="s">
        <v>141</v>
      </c>
      <c r="DBG38" s="305"/>
      <c r="DBH38" s="305">
        <v>1</v>
      </c>
      <c r="DBI38" s="304">
        <f t="shared" ref="DBI38" si="2993">EDATE(DBE38,DBH38)</f>
        <v>45523</v>
      </c>
      <c r="DBJ38" s="340">
        <v>0</v>
      </c>
      <c r="DBK38" s="320">
        <f t="shared" ref="DBK38" si="2994">IF(DBL38&gt;=1,(DBJ38/DBH38),0)</f>
        <v>0</v>
      </c>
      <c r="DBL38" s="292"/>
      <c r="DBM38" s="259" t="s">
        <v>55</v>
      </c>
      <c r="DBN38" s="256" t="s">
        <v>76</v>
      </c>
      <c r="DBO38" s="256" t="s">
        <v>77</v>
      </c>
      <c r="DBP38" s="256" t="s">
        <v>78</v>
      </c>
      <c r="DBQ38" s="256" t="s">
        <v>79</v>
      </c>
      <c r="DBR38" s="256" t="s">
        <v>80</v>
      </c>
      <c r="DBS38" s="256" t="s">
        <v>81</v>
      </c>
      <c r="DBT38" s="331"/>
      <c r="DBU38" s="290">
        <v>45492</v>
      </c>
      <c r="DBV38" s="339" t="s">
        <v>141</v>
      </c>
      <c r="DBW38" s="305"/>
      <c r="DBX38" s="305">
        <v>1</v>
      </c>
      <c r="DBY38" s="304">
        <f t="shared" ref="DBY38" si="2995">EDATE(DBU38,DBX38)</f>
        <v>45523</v>
      </c>
      <c r="DBZ38" s="340">
        <v>0</v>
      </c>
      <c r="DCA38" s="320">
        <f t="shared" ref="DCA38" si="2996">IF(DCB38&gt;=1,(DBZ38/DBX38),0)</f>
        <v>0</v>
      </c>
      <c r="DCB38" s="292"/>
      <c r="DCC38" s="259" t="s">
        <v>55</v>
      </c>
      <c r="DCD38" s="256" t="s">
        <v>76</v>
      </c>
      <c r="DCE38" s="256" t="s">
        <v>77</v>
      </c>
      <c r="DCF38" s="256" t="s">
        <v>78</v>
      </c>
      <c r="DCG38" s="256" t="s">
        <v>79</v>
      </c>
      <c r="DCH38" s="256" t="s">
        <v>80</v>
      </c>
      <c r="DCI38" s="256" t="s">
        <v>81</v>
      </c>
      <c r="DCJ38" s="331"/>
      <c r="DCK38" s="290">
        <v>45492</v>
      </c>
      <c r="DCL38" s="339" t="s">
        <v>141</v>
      </c>
      <c r="DCM38" s="305"/>
      <c r="DCN38" s="305">
        <v>1</v>
      </c>
      <c r="DCO38" s="304">
        <f t="shared" ref="DCO38" si="2997">EDATE(DCK38,DCN38)</f>
        <v>45523</v>
      </c>
      <c r="DCP38" s="340">
        <v>0</v>
      </c>
      <c r="DCQ38" s="320">
        <f t="shared" ref="DCQ38" si="2998">IF(DCR38&gt;=1,(DCP38/DCN38),0)</f>
        <v>0</v>
      </c>
      <c r="DCR38" s="292"/>
      <c r="DCS38" s="259" t="s">
        <v>55</v>
      </c>
      <c r="DCT38" s="256" t="s">
        <v>76</v>
      </c>
      <c r="DCU38" s="256" t="s">
        <v>77</v>
      </c>
      <c r="DCV38" s="256" t="s">
        <v>78</v>
      </c>
      <c r="DCW38" s="256" t="s">
        <v>79</v>
      </c>
      <c r="DCX38" s="256" t="s">
        <v>80</v>
      </c>
      <c r="DCY38" s="256" t="s">
        <v>81</v>
      </c>
      <c r="DCZ38" s="331"/>
      <c r="DDA38" s="290">
        <v>45492</v>
      </c>
      <c r="DDB38" s="339" t="s">
        <v>141</v>
      </c>
      <c r="DDC38" s="305"/>
      <c r="DDD38" s="305">
        <v>1</v>
      </c>
      <c r="DDE38" s="304">
        <f t="shared" ref="DDE38" si="2999">EDATE(DDA38,DDD38)</f>
        <v>45523</v>
      </c>
      <c r="DDF38" s="340">
        <v>0</v>
      </c>
      <c r="DDG38" s="320">
        <f t="shared" ref="DDG38" si="3000">IF(DDH38&gt;=1,(DDF38/DDD38),0)</f>
        <v>0</v>
      </c>
      <c r="DDH38" s="292"/>
      <c r="DDI38" s="259" t="s">
        <v>55</v>
      </c>
      <c r="DDJ38" s="256" t="s">
        <v>76</v>
      </c>
      <c r="DDK38" s="256" t="s">
        <v>77</v>
      </c>
      <c r="DDL38" s="256" t="s">
        <v>78</v>
      </c>
      <c r="DDM38" s="256" t="s">
        <v>79</v>
      </c>
      <c r="DDN38" s="256" t="s">
        <v>80</v>
      </c>
      <c r="DDO38" s="256" t="s">
        <v>81</v>
      </c>
      <c r="DDP38" s="331"/>
      <c r="DDQ38" s="290">
        <v>45492</v>
      </c>
      <c r="DDR38" s="339" t="s">
        <v>141</v>
      </c>
      <c r="DDS38" s="305"/>
      <c r="DDT38" s="305">
        <v>1</v>
      </c>
      <c r="DDU38" s="304">
        <f t="shared" ref="DDU38" si="3001">EDATE(DDQ38,DDT38)</f>
        <v>45523</v>
      </c>
      <c r="DDV38" s="340">
        <v>0</v>
      </c>
      <c r="DDW38" s="320">
        <f t="shared" ref="DDW38" si="3002">IF(DDX38&gt;=1,(DDV38/DDT38),0)</f>
        <v>0</v>
      </c>
      <c r="DDX38" s="292"/>
      <c r="DDY38" s="259" t="s">
        <v>55</v>
      </c>
      <c r="DDZ38" s="256" t="s">
        <v>76</v>
      </c>
      <c r="DEA38" s="256" t="s">
        <v>77</v>
      </c>
      <c r="DEB38" s="256" t="s">
        <v>78</v>
      </c>
      <c r="DEC38" s="256" t="s">
        <v>79</v>
      </c>
      <c r="DED38" s="256" t="s">
        <v>80</v>
      </c>
      <c r="DEE38" s="256" t="s">
        <v>81</v>
      </c>
      <c r="DEF38" s="331"/>
      <c r="DEG38" s="290">
        <v>45492</v>
      </c>
      <c r="DEH38" s="339" t="s">
        <v>141</v>
      </c>
      <c r="DEI38" s="305"/>
      <c r="DEJ38" s="305">
        <v>1</v>
      </c>
      <c r="DEK38" s="304">
        <f t="shared" ref="DEK38" si="3003">EDATE(DEG38,DEJ38)</f>
        <v>45523</v>
      </c>
      <c r="DEL38" s="340">
        <v>0</v>
      </c>
      <c r="DEM38" s="320">
        <f t="shared" ref="DEM38" si="3004">IF(DEN38&gt;=1,(DEL38/DEJ38),0)</f>
        <v>0</v>
      </c>
      <c r="DEN38" s="292"/>
      <c r="DEO38" s="259" t="s">
        <v>55</v>
      </c>
      <c r="DEP38" s="256" t="s">
        <v>76</v>
      </c>
      <c r="DEQ38" s="256" t="s">
        <v>77</v>
      </c>
      <c r="DER38" s="256" t="s">
        <v>78</v>
      </c>
      <c r="DES38" s="256" t="s">
        <v>79</v>
      </c>
      <c r="DET38" s="256" t="s">
        <v>80</v>
      </c>
      <c r="DEU38" s="256" t="s">
        <v>81</v>
      </c>
      <c r="DEV38" s="331"/>
      <c r="DEW38" s="290">
        <v>45492</v>
      </c>
      <c r="DEX38" s="339" t="s">
        <v>141</v>
      </c>
      <c r="DEY38" s="305"/>
      <c r="DEZ38" s="305">
        <v>1</v>
      </c>
      <c r="DFA38" s="304">
        <f t="shared" ref="DFA38" si="3005">EDATE(DEW38,DEZ38)</f>
        <v>45523</v>
      </c>
      <c r="DFB38" s="340">
        <v>0</v>
      </c>
      <c r="DFC38" s="320">
        <f t="shared" ref="DFC38" si="3006">IF(DFD38&gt;=1,(DFB38/DEZ38),0)</f>
        <v>0</v>
      </c>
      <c r="DFD38" s="292"/>
      <c r="DFE38" s="259" t="s">
        <v>55</v>
      </c>
      <c r="DFF38" s="256" t="s">
        <v>76</v>
      </c>
      <c r="DFG38" s="256" t="s">
        <v>77</v>
      </c>
      <c r="DFH38" s="256" t="s">
        <v>78</v>
      </c>
      <c r="DFI38" s="256" t="s">
        <v>79</v>
      </c>
      <c r="DFJ38" s="256" t="s">
        <v>80</v>
      </c>
      <c r="DFK38" s="256" t="s">
        <v>81</v>
      </c>
      <c r="DFL38" s="331"/>
      <c r="DFM38" s="290">
        <v>45492</v>
      </c>
      <c r="DFN38" s="339" t="s">
        <v>141</v>
      </c>
      <c r="DFO38" s="305"/>
      <c r="DFP38" s="305">
        <v>1</v>
      </c>
      <c r="DFQ38" s="304">
        <f t="shared" ref="DFQ38" si="3007">EDATE(DFM38,DFP38)</f>
        <v>45523</v>
      </c>
      <c r="DFR38" s="340">
        <v>0</v>
      </c>
      <c r="DFS38" s="320">
        <f t="shared" ref="DFS38" si="3008">IF(DFT38&gt;=1,(DFR38/DFP38),0)</f>
        <v>0</v>
      </c>
      <c r="DFT38" s="292"/>
      <c r="DFU38" s="259" t="s">
        <v>55</v>
      </c>
      <c r="DFV38" s="256" t="s">
        <v>76</v>
      </c>
      <c r="DFW38" s="256" t="s">
        <v>77</v>
      </c>
      <c r="DFX38" s="256" t="s">
        <v>78</v>
      </c>
      <c r="DFY38" s="256" t="s">
        <v>79</v>
      </c>
      <c r="DFZ38" s="256" t="s">
        <v>80</v>
      </c>
      <c r="DGA38" s="256" t="s">
        <v>81</v>
      </c>
      <c r="DGB38" s="331"/>
      <c r="DGC38" s="290">
        <v>45492</v>
      </c>
      <c r="DGD38" s="339" t="s">
        <v>141</v>
      </c>
      <c r="DGE38" s="305"/>
      <c r="DGF38" s="305">
        <v>1</v>
      </c>
      <c r="DGG38" s="304">
        <f t="shared" ref="DGG38" si="3009">EDATE(DGC38,DGF38)</f>
        <v>45523</v>
      </c>
      <c r="DGH38" s="340">
        <v>0</v>
      </c>
      <c r="DGI38" s="320">
        <f t="shared" ref="DGI38" si="3010">IF(DGJ38&gt;=1,(DGH38/DGF38),0)</f>
        <v>0</v>
      </c>
      <c r="DGJ38" s="292"/>
      <c r="DGK38" s="259" t="s">
        <v>55</v>
      </c>
      <c r="DGL38" s="256" t="s">
        <v>76</v>
      </c>
      <c r="DGM38" s="256" t="s">
        <v>77</v>
      </c>
      <c r="DGN38" s="256" t="s">
        <v>78</v>
      </c>
      <c r="DGO38" s="256" t="s">
        <v>79</v>
      </c>
      <c r="DGP38" s="256" t="s">
        <v>80</v>
      </c>
      <c r="DGQ38" s="256" t="s">
        <v>81</v>
      </c>
      <c r="DGR38" s="331"/>
      <c r="DGS38" s="290">
        <v>45492</v>
      </c>
      <c r="DGT38" s="339" t="s">
        <v>141</v>
      </c>
      <c r="DGU38" s="305"/>
      <c r="DGV38" s="305">
        <v>1</v>
      </c>
      <c r="DGW38" s="304">
        <f t="shared" ref="DGW38" si="3011">EDATE(DGS38,DGV38)</f>
        <v>45523</v>
      </c>
      <c r="DGX38" s="340">
        <v>0</v>
      </c>
      <c r="DGY38" s="320">
        <f t="shared" ref="DGY38" si="3012">IF(DGZ38&gt;=1,(DGX38/DGV38),0)</f>
        <v>0</v>
      </c>
      <c r="DGZ38" s="292"/>
      <c r="DHA38" s="259" t="s">
        <v>55</v>
      </c>
      <c r="DHB38" s="256" t="s">
        <v>76</v>
      </c>
      <c r="DHC38" s="256" t="s">
        <v>77</v>
      </c>
      <c r="DHD38" s="256" t="s">
        <v>78</v>
      </c>
      <c r="DHE38" s="256" t="s">
        <v>79</v>
      </c>
      <c r="DHF38" s="256" t="s">
        <v>80</v>
      </c>
      <c r="DHG38" s="256" t="s">
        <v>81</v>
      </c>
      <c r="DHH38" s="331"/>
      <c r="DHI38" s="290">
        <v>45492</v>
      </c>
      <c r="DHJ38" s="339" t="s">
        <v>141</v>
      </c>
      <c r="DHK38" s="305"/>
      <c r="DHL38" s="305">
        <v>1</v>
      </c>
      <c r="DHM38" s="304">
        <f t="shared" ref="DHM38" si="3013">EDATE(DHI38,DHL38)</f>
        <v>45523</v>
      </c>
      <c r="DHN38" s="340">
        <v>0</v>
      </c>
      <c r="DHO38" s="320">
        <f t="shared" ref="DHO38" si="3014">IF(DHP38&gt;=1,(DHN38/DHL38),0)</f>
        <v>0</v>
      </c>
      <c r="DHP38" s="292"/>
      <c r="DHQ38" s="259" t="s">
        <v>55</v>
      </c>
      <c r="DHR38" s="256" t="s">
        <v>76</v>
      </c>
      <c r="DHS38" s="256" t="s">
        <v>77</v>
      </c>
      <c r="DHT38" s="256" t="s">
        <v>78</v>
      </c>
      <c r="DHU38" s="256" t="s">
        <v>79</v>
      </c>
      <c r="DHV38" s="256" t="s">
        <v>80</v>
      </c>
      <c r="DHW38" s="256" t="s">
        <v>81</v>
      </c>
      <c r="DHX38" s="331"/>
      <c r="DHY38" s="290">
        <v>45492</v>
      </c>
      <c r="DHZ38" s="339" t="s">
        <v>141</v>
      </c>
      <c r="DIA38" s="305"/>
      <c r="DIB38" s="305">
        <v>1</v>
      </c>
      <c r="DIC38" s="304">
        <f t="shared" ref="DIC38" si="3015">EDATE(DHY38,DIB38)</f>
        <v>45523</v>
      </c>
      <c r="DID38" s="340">
        <v>0</v>
      </c>
      <c r="DIE38" s="320">
        <f t="shared" ref="DIE38" si="3016">IF(DIF38&gt;=1,(DID38/DIB38),0)</f>
        <v>0</v>
      </c>
      <c r="DIF38" s="292"/>
      <c r="DIG38" s="259" t="s">
        <v>55</v>
      </c>
      <c r="DIH38" s="256" t="s">
        <v>76</v>
      </c>
      <c r="DII38" s="256" t="s">
        <v>77</v>
      </c>
      <c r="DIJ38" s="256" t="s">
        <v>78</v>
      </c>
      <c r="DIK38" s="256" t="s">
        <v>79</v>
      </c>
      <c r="DIL38" s="256" t="s">
        <v>80</v>
      </c>
      <c r="DIM38" s="256" t="s">
        <v>81</v>
      </c>
      <c r="DIN38" s="331"/>
      <c r="DIO38" s="290">
        <v>45492</v>
      </c>
      <c r="DIP38" s="339" t="s">
        <v>141</v>
      </c>
      <c r="DIQ38" s="305"/>
      <c r="DIR38" s="305">
        <v>1</v>
      </c>
      <c r="DIS38" s="304">
        <f t="shared" ref="DIS38" si="3017">EDATE(DIO38,DIR38)</f>
        <v>45523</v>
      </c>
      <c r="DIT38" s="340">
        <v>0</v>
      </c>
      <c r="DIU38" s="320">
        <f t="shared" ref="DIU38" si="3018">IF(DIV38&gt;=1,(DIT38/DIR38),0)</f>
        <v>0</v>
      </c>
      <c r="DIV38" s="292"/>
      <c r="DIW38" s="259" t="s">
        <v>55</v>
      </c>
      <c r="DIX38" s="256" t="s">
        <v>76</v>
      </c>
      <c r="DIY38" s="256" t="s">
        <v>77</v>
      </c>
      <c r="DIZ38" s="256" t="s">
        <v>78</v>
      </c>
      <c r="DJA38" s="256" t="s">
        <v>79</v>
      </c>
      <c r="DJB38" s="256" t="s">
        <v>80</v>
      </c>
      <c r="DJC38" s="256" t="s">
        <v>81</v>
      </c>
      <c r="DJD38" s="331"/>
      <c r="DJE38" s="290">
        <v>45492</v>
      </c>
      <c r="DJF38" s="339" t="s">
        <v>141</v>
      </c>
      <c r="DJG38" s="305"/>
      <c r="DJH38" s="305">
        <v>1</v>
      </c>
      <c r="DJI38" s="304">
        <f t="shared" ref="DJI38" si="3019">EDATE(DJE38,DJH38)</f>
        <v>45523</v>
      </c>
      <c r="DJJ38" s="340">
        <v>0</v>
      </c>
      <c r="DJK38" s="320">
        <f t="shared" ref="DJK38" si="3020">IF(DJL38&gt;=1,(DJJ38/DJH38),0)</f>
        <v>0</v>
      </c>
      <c r="DJL38" s="292"/>
      <c r="DJM38" s="259" t="s">
        <v>55</v>
      </c>
      <c r="DJN38" s="256" t="s">
        <v>76</v>
      </c>
      <c r="DJO38" s="256" t="s">
        <v>77</v>
      </c>
      <c r="DJP38" s="256" t="s">
        <v>78</v>
      </c>
      <c r="DJQ38" s="256" t="s">
        <v>79</v>
      </c>
      <c r="DJR38" s="256" t="s">
        <v>80</v>
      </c>
      <c r="DJS38" s="256" t="s">
        <v>81</v>
      </c>
      <c r="DJT38" s="331"/>
      <c r="DJU38" s="290">
        <v>45492</v>
      </c>
      <c r="DJV38" s="339" t="s">
        <v>141</v>
      </c>
      <c r="DJW38" s="305"/>
      <c r="DJX38" s="305">
        <v>1</v>
      </c>
      <c r="DJY38" s="304">
        <f t="shared" ref="DJY38" si="3021">EDATE(DJU38,DJX38)</f>
        <v>45523</v>
      </c>
      <c r="DJZ38" s="340">
        <v>0</v>
      </c>
      <c r="DKA38" s="320">
        <f t="shared" ref="DKA38" si="3022">IF(DKB38&gt;=1,(DJZ38/DJX38),0)</f>
        <v>0</v>
      </c>
      <c r="DKB38" s="292"/>
      <c r="DKC38" s="259" t="s">
        <v>55</v>
      </c>
      <c r="DKD38" s="256" t="s">
        <v>76</v>
      </c>
      <c r="DKE38" s="256" t="s">
        <v>77</v>
      </c>
      <c r="DKF38" s="256" t="s">
        <v>78</v>
      </c>
      <c r="DKG38" s="256" t="s">
        <v>79</v>
      </c>
      <c r="DKH38" s="256" t="s">
        <v>80</v>
      </c>
      <c r="DKI38" s="256" t="s">
        <v>81</v>
      </c>
      <c r="DKJ38" s="331"/>
      <c r="DKK38" s="290">
        <v>45492</v>
      </c>
      <c r="DKL38" s="339" t="s">
        <v>141</v>
      </c>
      <c r="DKM38" s="305"/>
      <c r="DKN38" s="305">
        <v>1</v>
      </c>
      <c r="DKO38" s="304">
        <f t="shared" ref="DKO38" si="3023">EDATE(DKK38,DKN38)</f>
        <v>45523</v>
      </c>
      <c r="DKP38" s="340">
        <v>0</v>
      </c>
      <c r="DKQ38" s="320">
        <f t="shared" ref="DKQ38" si="3024">IF(DKR38&gt;=1,(DKP38/DKN38),0)</f>
        <v>0</v>
      </c>
      <c r="DKR38" s="292"/>
      <c r="DKS38" s="259" t="s">
        <v>55</v>
      </c>
      <c r="DKT38" s="256" t="s">
        <v>76</v>
      </c>
      <c r="DKU38" s="256" t="s">
        <v>77</v>
      </c>
      <c r="DKV38" s="256" t="s">
        <v>78</v>
      </c>
      <c r="DKW38" s="256" t="s">
        <v>79</v>
      </c>
      <c r="DKX38" s="256" t="s">
        <v>80</v>
      </c>
      <c r="DKY38" s="256" t="s">
        <v>81</v>
      </c>
      <c r="DKZ38" s="331"/>
      <c r="DLA38" s="290">
        <v>45492</v>
      </c>
      <c r="DLB38" s="339" t="s">
        <v>141</v>
      </c>
      <c r="DLC38" s="305"/>
      <c r="DLD38" s="305">
        <v>1</v>
      </c>
      <c r="DLE38" s="304">
        <f t="shared" ref="DLE38" si="3025">EDATE(DLA38,DLD38)</f>
        <v>45523</v>
      </c>
      <c r="DLF38" s="340">
        <v>0</v>
      </c>
      <c r="DLG38" s="320">
        <f t="shared" ref="DLG38" si="3026">IF(DLH38&gt;=1,(DLF38/DLD38),0)</f>
        <v>0</v>
      </c>
      <c r="DLH38" s="292"/>
      <c r="DLI38" s="259" t="s">
        <v>55</v>
      </c>
      <c r="DLJ38" s="256" t="s">
        <v>76</v>
      </c>
      <c r="DLK38" s="256" t="s">
        <v>77</v>
      </c>
      <c r="DLL38" s="256" t="s">
        <v>78</v>
      </c>
      <c r="DLM38" s="256" t="s">
        <v>79</v>
      </c>
      <c r="DLN38" s="256" t="s">
        <v>80</v>
      </c>
      <c r="DLO38" s="256" t="s">
        <v>81</v>
      </c>
      <c r="DLP38" s="331"/>
      <c r="DLQ38" s="290">
        <v>45492</v>
      </c>
      <c r="DLR38" s="339" t="s">
        <v>141</v>
      </c>
      <c r="DLS38" s="305"/>
      <c r="DLT38" s="305">
        <v>1</v>
      </c>
      <c r="DLU38" s="304">
        <f t="shared" ref="DLU38" si="3027">EDATE(DLQ38,DLT38)</f>
        <v>45523</v>
      </c>
      <c r="DLV38" s="340">
        <v>0</v>
      </c>
      <c r="DLW38" s="320">
        <f t="shared" ref="DLW38" si="3028">IF(DLX38&gt;=1,(DLV38/DLT38),0)</f>
        <v>0</v>
      </c>
      <c r="DLX38" s="292"/>
      <c r="DLY38" s="259" t="s">
        <v>55</v>
      </c>
      <c r="DLZ38" s="256" t="s">
        <v>76</v>
      </c>
      <c r="DMA38" s="256" t="s">
        <v>77</v>
      </c>
      <c r="DMB38" s="256" t="s">
        <v>78</v>
      </c>
      <c r="DMC38" s="256" t="s">
        <v>79</v>
      </c>
      <c r="DMD38" s="256" t="s">
        <v>80</v>
      </c>
      <c r="DME38" s="256" t="s">
        <v>81</v>
      </c>
      <c r="DMF38" s="331"/>
      <c r="DMG38" s="290">
        <v>45492</v>
      </c>
      <c r="DMH38" s="339" t="s">
        <v>141</v>
      </c>
      <c r="DMI38" s="305"/>
      <c r="DMJ38" s="305">
        <v>1</v>
      </c>
      <c r="DMK38" s="304">
        <f t="shared" ref="DMK38" si="3029">EDATE(DMG38,DMJ38)</f>
        <v>45523</v>
      </c>
      <c r="DML38" s="340">
        <v>0</v>
      </c>
      <c r="DMM38" s="320">
        <f t="shared" ref="DMM38" si="3030">IF(DMN38&gt;=1,(DML38/DMJ38),0)</f>
        <v>0</v>
      </c>
      <c r="DMN38" s="292"/>
      <c r="DMO38" s="259" t="s">
        <v>55</v>
      </c>
      <c r="DMP38" s="256" t="s">
        <v>76</v>
      </c>
      <c r="DMQ38" s="256" t="s">
        <v>77</v>
      </c>
      <c r="DMR38" s="256" t="s">
        <v>78</v>
      </c>
      <c r="DMS38" s="256" t="s">
        <v>79</v>
      </c>
      <c r="DMT38" s="256" t="s">
        <v>80</v>
      </c>
      <c r="DMU38" s="256" t="s">
        <v>81</v>
      </c>
      <c r="DMV38" s="331"/>
      <c r="DMW38" s="290">
        <v>45492</v>
      </c>
      <c r="DMX38" s="339" t="s">
        <v>141</v>
      </c>
      <c r="DMY38" s="305"/>
      <c r="DMZ38" s="305">
        <v>1</v>
      </c>
      <c r="DNA38" s="304">
        <f t="shared" ref="DNA38" si="3031">EDATE(DMW38,DMZ38)</f>
        <v>45523</v>
      </c>
      <c r="DNB38" s="340">
        <v>0</v>
      </c>
      <c r="DNC38" s="320">
        <f t="shared" ref="DNC38" si="3032">IF(DND38&gt;=1,(DNB38/DMZ38),0)</f>
        <v>0</v>
      </c>
      <c r="DND38" s="292"/>
      <c r="DNE38" s="259" t="s">
        <v>55</v>
      </c>
      <c r="DNF38" s="256" t="s">
        <v>76</v>
      </c>
      <c r="DNG38" s="256" t="s">
        <v>77</v>
      </c>
      <c r="DNH38" s="256" t="s">
        <v>78</v>
      </c>
      <c r="DNI38" s="256" t="s">
        <v>79</v>
      </c>
      <c r="DNJ38" s="256" t="s">
        <v>80</v>
      </c>
      <c r="DNK38" s="256" t="s">
        <v>81</v>
      </c>
      <c r="DNL38" s="331"/>
      <c r="DNM38" s="290">
        <v>45492</v>
      </c>
      <c r="DNN38" s="339" t="s">
        <v>141</v>
      </c>
      <c r="DNO38" s="305"/>
      <c r="DNP38" s="305">
        <v>1</v>
      </c>
      <c r="DNQ38" s="304">
        <f t="shared" ref="DNQ38" si="3033">EDATE(DNM38,DNP38)</f>
        <v>45523</v>
      </c>
      <c r="DNR38" s="340">
        <v>0</v>
      </c>
      <c r="DNS38" s="320">
        <f t="shared" ref="DNS38" si="3034">IF(DNT38&gt;=1,(DNR38/DNP38),0)</f>
        <v>0</v>
      </c>
      <c r="DNT38" s="292"/>
      <c r="DNU38" s="259" t="s">
        <v>55</v>
      </c>
      <c r="DNV38" s="256" t="s">
        <v>76</v>
      </c>
      <c r="DNW38" s="256" t="s">
        <v>77</v>
      </c>
      <c r="DNX38" s="256" t="s">
        <v>78</v>
      </c>
      <c r="DNY38" s="256" t="s">
        <v>79</v>
      </c>
      <c r="DNZ38" s="256" t="s">
        <v>80</v>
      </c>
      <c r="DOA38" s="256" t="s">
        <v>81</v>
      </c>
      <c r="DOB38" s="331"/>
      <c r="DOC38" s="290">
        <v>45492</v>
      </c>
      <c r="DOD38" s="339" t="s">
        <v>141</v>
      </c>
      <c r="DOE38" s="305"/>
      <c r="DOF38" s="305">
        <v>1</v>
      </c>
      <c r="DOG38" s="304">
        <f t="shared" ref="DOG38" si="3035">EDATE(DOC38,DOF38)</f>
        <v>45523</v>
      </c>
      <c r="DOH38" s="340">
        <v>0</v>
      </c>
      <c r="DOI38" s="320">
        <f t="shared" ref="DOI38" si="3036">IF(DOJ38&gt;=1,(DOH38/DOF38),0)</f>
        <v>0</v>
      </c>
      <c r="DOJ38" s="292"/>
      <c r="DOK38" s="259" t="s">
        <v>55</v>
      </c>
      <c r="DOL38" s="256" t="s">
        <v>76</v>
      </c>
      <c r="DOM38" s="256" t="s">
        <v>77</v>
      </c>
      <c r="DON38" s="256" t="s">
        <v>78</v>
      </c>
      <c r="DOO38" s="256" t="s">
        <v>79</v>
      </c>
      <c r="DOP38" s="256" t="s">
        <v>80</v>
      </c>
      <c r="DOQ38" s="256" t="s">
        <v>81</v>
      </c>
      <c r="DOR38" s="331"/>
      <c r="DOS38" s="290">
        <v>45492</v>
      </c>
      <c r="DOT38" s="339" t="s">
        <v>141</v>
      </c>
      <c r="DOU38" s="305"/>
      <c r="DOV38" s="305">
        <v>1</v>
      </c>
      <c r="DOW38" s="304">
        <f t="shared" ref="DOW38" si="3037">EDATE(DOS38,DOV38)</f>
        <v>45523</v>
      </c>
      <c r="DOX38" s="340">
        <v>0</v>
      </c>
      <c r="DOY38" s="320">
        <f t="shared" ref="DOY38" si="3038">IF(DOZ38&gt;=1,(DOX38/DOV38),0)</f>
        <v>0</v>
      </c>
      <c r="DOZ38" s="292"/>
      <c r="DPA38" s="259" t="s">
        <v>55</v>
      </c>
      <c r="DPB38" s="256" t="s">
        <v>76</v>
      </c>
      <c r="DPC38" s="256" t="s">
        <v>77</v>
      </c>
      <c r="DPD38" s="256" t="s">
        <v>78</v>
      </c>
      <c r="DPE38" s="256" t="s">
        <v>79</v>
      </c>
      <c r="DPF38" s="256" t="s">
        <v>80</v>
      </c>
      <c r="DPG38" s="256" t="s">
        <v>81</v>
      </c>
      <c r="DPH38" s="331"/>
      <c r="DPI38" s="290">
        <v>45492</v>
      </c>
      <c r="DPJ38" s="339" t="s">
        <v>141</v>
      </c>
      <c r="DPK38" s="305"/>
      <c r="DPL38" s="305">
        <v>1</v>
      </c>
      <c r="DPM38" s="304">
        <f t="shared" ref="DPM38" si="3039">EDATE(DPI38,DPL38)</f>
        <v>45523</v>
      </c>
      <c r="DPN38" s="340">
        <v>0</v>
      </c>
      <c r="DPO38" s="320">
        <f t="shared" ref="DPO38" si="3040">IF(DPP38&gt;=1,(DPN38/DPL38),0)</f>
        <v>0</v>
      </c>
      <c r="DPP38" s="292"/>
      <c r="DPQ38" s="259" t="s">
        <v>55</v>
      </c>
      <c r="DPR38" s="256" t="s">
        <v>76</v>
      </c>
      <c r="DPS38" s="256" t="s">
        <v>77</v>
      </c>
      <c r="DPT38" s="256" t="s">
        <v>78</v>
      </c>
      <c r="DPU38" s="256" t="s">
        <v>79</v>
      </c>
      <c r="DPV38" s="256" t="s">
        <v>80</v>
      </c>
      <c r="DPW38" s="256" t="s">
        <v>81</v>
      </c>
      <c r="DPX38" s="331"/>
      <c r="DPY38" s="290">
        <v>45492</v>
      </c>
      <c r="DPZ38" s="339" t="s">
        <v>141</v>
      </c>
      <c r="DQA38" s="305"/>
      <c r="DQB38" s="305">
        <v>1</v>
      </c>
      <c r="DQC38" s="304">
        <f t="shared" ref="DQC38" si="3041">EDATE(DPY38,DQB38)</f>
        <v>45523</v>
      </c>
      <c r="DQD38" s="340">
        <v>0</v>
      </c>
      <c r="DQE38" s="320">
        <f t="shared" ref="DQE38" si="3042">IF(DQF38&gt;=1,(DQD38/DQB38),0)</f>
        <v>0</v>
      </c>
      <c r="DQF38" s="292"/>
      <c r="DQG38" s="259" t="s">
        <v>55</v>
      </c>
      <c r="DQH38" s="256" t="s">
        <v>76</v>
      </c>
      <c r="DQI38" s="256" t="s">
        <v>77</v>
      </c>
      <c r="DQJ38" s="256" t="s">
        <v>78</v>
      </c>
      <c r="DQK38" s="256" t="s">
        <v>79</v>
      </c>
      <c r="DQL38" s="256" t="s">
        <v>80</v>
      </c>
      <c r="DQM38" s="256" t="s">
        <v>81</v>
      </c>
      <c r="DQN38" s="331"/>
      <c r="DQO38" s="290">
        <v>45492</v>
      </c>
      <c r="DQP38" s="339" t="s">
        <v>141</v>
      </c>
      <c r="DQQ38" s="305"/>
      <c r="DQR38" s="305">
        <v>1</v>
      </c>
      <c r="DQS38" s="304">
        <f t="shared" ref="DQS38" si="3043">EDATE(DQO38,DQR38)</f>
        <v>45523</v>
      </c>
      <c r="DQT38" s="340">
        <v>0</v>
      </c>
      <c r="DQU38" s="320">
        <f t="shared" ref="DQU38" si="3044">IF(DQV38&gt;=1,(DQT38/DQR38),0)</f>
        <v>0</v>
      </c>
      <c r="DQV38" s="292"/>
      <c r="DQW38" s="259" t="s">
        <v>55</v>
      </c>
      <c r="DQX38" s="256" t="s">
        <v>76</v>
      </c>
      <c r="DQY38" s="256" t="s">
        <v>77</v>
      </c>
      <c r="DQZ38" s="256" t="s">
        <v>78</v>
      </c>
      <c r="DRA38" s="256" t="s">
        <v>79</v>
      </c>
      <c r="DRB38" s="256" t="s">
        <v>80</v>
      </c>
      <c r="DRC38" s="256" t="s">
        <v>81</v>
      </c>
      <c r="DRD38" s="331"/>
      <c r="DRE38" s="290">
        <v>45492</v>
      </c>
      <c r="DRF38" s="339" t="s">
        <v>141</v>
      </c>
      <c r="DRG38" s="305"/>
      <c r="DRH38" s="305">
        <v>1</v>
      </c>
      <c r="DRI38" s="304">
        <f t="shared" ref="DRI38" si="3045">EDATE(DRE38,DRH38)</f>
        <v>45523</v>
      </c>
      <c r="DRJ38" s="340">
        <v>0</v>
      </c>
      <c r="DRK38" s="320">
        <f t="shared" ref="DRK38" si="3046">IF(DRL38&gt;=1,(DRJ38/DRH38),0)</f>
        <v>0</v>
      </c>
      <c r="DRL38" s="292"/>
      <c r="DRM38" s="259" t="s">
        <v>55</v>
      </c>
      <c r="DRN38" s="256" t="s">
        <v>76</v>
      </c>
      <c r="DRO38" s="256" t="s">
        <v>77</v>
      </c>
      <c r="DRP38" s="256" t="s">
        <v>78</v>
      </c>
      <c r="DRQ38" s="256" t="s">
        <v>79</v>
      </c>
      <c r="DRR38" s="256" t="s">
        <v>80</v>
      </c>
      <c r="DRS38" s="256" t="s">
        <v>81</v>
      </c>
      <c r="DRT38" s="331"/>
      <c r="DRU38" s="290">
        <v>45492</v>
      </c>
      <c r="DRV38" s="339" t="s">
        <v>141</v>
      </c>
      <c r="DRW38" s="305"/>
      <c r="DRX38" s="305">
        <v>1</v>
      </c>
      <c r="DRY38" s="304">
        <f t="shared" ref="DRY38" si="3047">EDATE(DRU38,DRX38)</f>
        <v>45523</v>
      </c>
      <c r="DRZ38" s="340">
        <v>0</v>
      </c>
      <c r="DSA38" s="320">
        <f t="shared" ref="DSA38" si="3048">IF(DSB38&gt;=1,(DRZ38/DRX38),0)</f>
        <v>0</v>
      </c>
      <c r="DSB38" s="292"/>
      <c r="DSC38" s="259" t="s">
        <v>55</v>
      </c>
      <c r="DSD38" s="256" t="s">
        <v>76</v>
      </c>
      <c r="DSE38" s="256" t="s">
        <v>77</v>
      </c>
      <c r="DSF38" s="256" t="s">
        <v>78</v>
      </c>
      <c r="DSG38" s="256" t="s">
        <v>79</v>
      </c>
      <c r="DSH38" s="256" t="s">
        <v>80</v>
      </c>
      <c r="DSI38" s="256" t="s">
        <v>81</v>
      </c>
      <c r="DSJ38" s="331"/>
      <c r="DSK38" s="290">
        <v>45492</v>
      </c>
      <c r="DSL38" s="339" t="s">
        <v>141</v>
      </c>
      <c r="DSM38" s="305"/>
      <c r="DSN38" s="305">
        <v>1</v>
      </c>
      <c r="DSO38" s="304">
        <f t="shared" ref="DSO38" si="3049">EDATE(DSK38,DSN38)</f>
        <v>45523</v>
      </c>
      <c r="DSP38" s="340">
        <v>0</v>
      </c>
      <c r="DSQ38" s="320">
        <f t="shared" ref="DSQ38" si="3050">IF(DSR38&gt;=1,(DSP38/DSN38),0)</f>
        <v>0</v>
      </c>
      <c r="DSR38" s="292"/>
      <c r="DSS38" s="259" t="s">
        <v>55</v>
      </c>
      <c r="DST38" s="256" t="s">
        <v>76</v>
      </c>
      <c r="DSU38" s="256" t="s">
        <v>77</v>
      </c>
      <c r="DSV38" s="256" t="s">
        <v>78</v>
      </c>
      <c r="DSW38" s="256" t="s">
        <v>79</v>
      </c>
      <c r="DSX38" s="256" t="s">
        <v>80</v>
      </c>
      <c r="DSY38" s="256" t="s">
        <v>81</v>
      </c>
      <c r="DSZ38" s="331"/>
      <c r="DTA38" s="290">
        <v>45492</v>
      </c>
      <c r="DTB38" s="339" t="s">
        <v>141</v>
      </c>
      <c r="DTC38" s="305"/>
      <c r="DTD38" s="305">
        <v>1</v>
      </c>
      <c r="DTE38" s="304">
        <f t="shared" ref="DTE38" si="3051">EDATE(DTA38,DTD38)</f>
        <v>45523</v>
      </c>
      <c r="DTF38" s="340">
        <v>0</v>
      </c>
      <c r="DTG38" s="320">
        <f t="shared" ref="DTG38" si="3052">IF(DTH38&gt;=1,(DTF38/DTD38),0)</f>
        <v>0</v>
      </c>
      <c r="DTH38" s="292"/>
      <c r="DTI38" s="259" t="s">
        <v>55</v>
      </c>
      <c r="DTJ38" s="256" t="s">
        <v>76</v>
      </c>
      <c r="DTK38" s="256" t="s">
        <v>77</v>
      </c>
      <c r="DTL38" s="256" t="s">
        <v>78</v>
      </c>
      <c r="DTM38" s="256" t="s">
        <v>79</v>
      </c>
      <c r="DTN38" s="256" t="s">
        <v>80</v>
      </c>
      <c r="DTO38" s="256" t="s">
        <v>81</v>
      </c>
      <c r="DTP38" s="331"/>
      <c r="DTQ38" s="290">
        <v>45492</v>
      </c>
      <c r="DTR38" s="339" t="s">
        <v>141</v>
      </c>
      <c r="DTS38" s="305"/>
      <c r="DTT38" s="305">
        <v>1</v>
      </c>
      <c r="DTU38" s="304">
        <f t="shared" ref="DTU38" si="3053">EDATE(DTQ38,DTT38)</f>
        <v>45523</v>
      </c>
      <c r="DTV38" s="340">
        <v>0</v>
      </c>
      <c r="DTW38" s="320">
        <f t="shared" ref="DTW38" si="3054">IF(DTX38&gt;=1,(DTV38/DTT38),0)</f>
        <v>0</v>
      </c>
      <c r="DTX38" s="292"/>
      <c r="DTY38" s="259" t="s">
        <v>55</v>
      </c>
      <c r="DTZ38" s="256" t="s">
        <v>76</v>
      </c>
      <c r="DUA38" s="256" t="s">
        <v>77</v>
      </c>
      <c r="DUB38" s="256" t="s">
        <v>78</v>
      </c>
      <c r="DUC38" s="256" t="s">
        <v>79</v>
      </c>
      <c r="DUD38" s="256" t="s">
        <v>80</v>
      </c>
      <c r="DUE38" s="256" t="s">
        <v>81</v>
      </c>
      <c r="DUF38" s="331"/>
      <c r="DUG38" s="290">
        <v>45492</v>
      </c>
      <c r="DUH38" s="339" t="s">
        <v>141</v>
      </c>
      <c r="DUI38" s="305"/>
      <c r="DUJ38" s="305">
        <v>1</v>
      </c>
      <c r="DUK38" s="304">
        <f t="shared" ref="DUK38" si="3055">EDATE(DUG38,DUJ38)</f>
        <v>45523</v>
      </c>
      <c r="DUL38" s="340">
        <v>0</v>
      </c>
      <c r="DUM38" s="320">
        <f t="shared" ref="DUM38" si="3056">IF(DUN38&gt;=1,(DUL38/DUJ38),0)</f>
        <v>0</v>
      </c>
      <c r="DUN38" s="292"/>
      <c r="DUO38" s="259" t="s">
        <v>55</v>
      </c>
      <c r="DUP38" s="256" t="s">
        <v>76</v>
      </c>
      <c r="DUQ38" s="256" t="s">
        <v>77</v>
      </c>
      <c r="DUR38" s="256" t="s">
        <v>78</v>
      </c>
      <c r="DUS38" s="256" t="s">
        <v>79</v>
      </c>
      <c r="DUT38" s="256" t="s">
        <v>80</v>
      </c>
      <c r="DUU38" s="256" t="s">
        <v>81</v>
      </c>
      <c r="DUV38" s="331"/>
      <c r="DUW38" s="290">
        <v>45492</v>
      </c>
      <c r="DUX38" s="339" t="s">
        <v>141</v>
      </c>
      <c r="DUY38" s="305"/>
      <c r="DUZ38" s="305">
        <v>1</v>
      </c>
      <c r="DVA38" s="304">
        <f t="shared" ref="DVA38" si="3057">EDATE(DUW38,DUZ38)</f>
        <v>45523</v>
      </c>
      <c r="DVB38" s="340">
        <v>0</v>
      </c>
      <c r="DVC38" s="320">
        <f t="shared" ref="DVC38" si="3058">IF(DVD38&gt;=1,(DVB38/DUZ38),0)</f>
        <v>0</v>
      </c>
      <c r="DVD38" s="292"/>
      <c r="DVE38" s="259" t="s">
        <v>55</v>
      </c>
      <c r="DVF38" s="256" t="s">
        <v>76</v>
      </c>
      <c r="DVG38" s="256" t="s">
        <v>77</v>
      </c>
      <c r="DVH38" s="256" t="s">
        <v>78</v>
      </c>
      <c r="DVI38" s="256" t="s">
        <v>79</v>
      </c>
      <c r="DVJ38" s="256" t="s">
        <v>80</v>
      </c>
      <c r="DVK38" s="256" t="s">
        <v>81</v>
      </c>
      <c r="DVL38" s="331"/>
      <c r="DVM38" s="290">
        <v>45492</v>
      </c>
      <c r="DVN38" s="339" t="s">
        <v>141</v>
      </c>
      <c r="DVO38" s="305"/>
      <c r="DVP38" s="305">
        <v>1</v>
      </c>
      <c r="DVQ38" s="304">
        <f t="shared" ref="DVQ38" si="3059">EDATE(DVM38,DVP38)</f>
        <v>45523</v>
      </c>
      <c r="DVR38" s="340">
        <v>0</v>
      </c>
      <c r="DVS38" s="320">
        <f t="shared" ref="DVS38" si="3060">IF(DVT38&gt;=1,(DVR38/DVP38),0)</f>
        <v>0</v>
      </c>
      <c r="DVT38" s="292"/>
      <c r="DVU38" s="259" t="s">
        <v>55</v>
      </c>
      <c r="DVV38" s="256" t="s">
        <v>76</v>
      </c>
      <c r="DVW38" s="256" t="s">
        <v>77</v>
      </c>
      <c r="DVX38" s="256" t="s">
        <v>78</v>
      </c>
      <c r="DVY38" s="256" t="s">
        <v>79</v>
      </c>
      <c r="DVZ38" s="256" t="s">
        <v>80</v>
      </c>
      <c r="DWA38" s="256" t="s">
        <v>81</v>
      </c>
      <c r="DWB38" s="331"/>
      <c r="DWC38" s="290">
        <v>45492</v>
      </c>
      <c r="DWD38" s="339" t="s">
        <v>141</v>
      </c>
      <c r="DWE38" s="305"/>
      <c r="DWF38" s="305">
        <v>1</v>
      </c>
      <c r="DWG38" s="304">
        <f t="shared" ref="DWG38" si="3061">EDATE(DWC38,DWF38)</f>
        <v>45523</v>
      </c>
      <c r="DWH38" s="340">
        <v>0</v>
      </c>
      <c r="DWI38" s="320">
        <f t="shared" ref="DWI38" si="3062">IF(DWJ38&gt;=1,(DWH38/DWF38),0)</f>
        <v>0</v>
      </c>
      <c r="DWJ38" s="292"/>
      <c r="DWK38" s="259" t="s">
        <v>55</v>
      </c>
      <c r="DWL38" s="256" t="s">
        <v>76</v>
      </c>
      <c r="DWM38" s="256" t="s">
        <v>77</v>
      </c>
      <c r="DWN38" s="256" t="s">
        <v>78</v>
      </c>
      <c r="DWO38" s="256" t="s">
        <v>79</v>
      </c>
      <c r="DWP38" s="256" t="s">
        <v>80</v>
      </c>
      <c r="DWQ38" s="256" t="s">
        <v>81</v>
      </c>
      <c r="DWR38" s="331"/>
      <c r="DWS38" s="290">
        <v>45492</v>
      </c>
      <c r="DWT38" s="339" t="s">
        <v>141</v>
      </c>
      <c r="DWU38" s="305"/>
      <c r="DWV38" s="305">
        <v>1</v>
      </c>
      <c r="DWW38" s="304">
        <f t="shared" ref="DWW38" si="3063">EDATE(DWS38,DWV38)</f>
        <v>45523</v>
      </c>
      <c r="DWX38" s="340">
        <v>0</v>
      </c>
      <c r="DWY38" s="320">
        <f t="shared" ref="DWY38" si="3064">IF(DWZ38&gt;=1,(DWX38/DWV38),0)</f>
        <v>0</v>
      </c>
      <c r="DWZ38" s="292"/>
      <c r="DXA38" s="259" t="s">
        <v>55</v>
      </c>
      <c r="DXB38" s="256" t="s">
        <v>76</v>
      </c>
      <c r="DXC38" s="256" t="s">
        <v>77</v>
      </c>
      <c r="DXD38" s="256" t="s">
        <v>78</v>
      </c>
      <c r="DXE38" s="256" t="s">
        <v>79</v>
      </c>
      <c r="DXF38" s="256" t="s">
        <v>80</v>
      </c>
      <c r="DXG38" s="256" t="s">
        <v>81</v>
      </c>
      <c r="DXH38" s="331"/>
      <c r="DXI38" s="290">
        <v>45492</v>
      </c>
      <c r="DXJ38" s="339" t="s">
        <v>141</v>
      </c>
      <c r="DXK38" s="305"/>
      <c r="DXL38" s="305">
        <v>1</v>
      </c>
      <c r="DXM38" s="304">
        <f t="shared" ref="DXM38" si="3065">EDATE(DXI38,DXL38)</f>
        <v>45523</v>
      </c>
      <c r="DXN38" s="340">
        <v>0</v>
      </c>
      <c r="DXO38" s="320">
        <f t="shared" ref="DXO38" si="3066">IF(DXP38&gt;=1,(DXN38/DXL38),0)</f>
        <v>0</v>
      </c>
      <c r="DXP38" s="292"/>
      <c r="DXQ38" s="259" t="s">
        <v>55</v>
      </c>
      <c r="DXR38" s="256" t="s">
        <v>76</v>
      </c>
      <c r="DXS38" s="256" t="s">
        <v>77</v>
      </c>
      <c r="DXT38" s="256" t="s">
        <v>78</v>
      </c>
      <c r="DXU38" s="256" t="s">
        <v>79</v>
      </c>
      <c r="DXV38" s="256" t="s">
        <v>80</v>
      </c>
      <c r="DXW38" s="256" t="s">
        <v>81</v>
      </c>
      <c r="DXX38" s="331"/>
      <c r="DXY38" s="290">
        <v>45492</v>
      </c>
      <c r="DXZ38" s="339" t="s">
        <v>141</v>
      </c>
      <c r="DYA38" s="305"/>
      <c r="DYB38" s="305">
        <v>1</v>
      </c>
      <c r="DYC38" s="304">
        <f t="shared" ref="DYC38" si="3067">EDATE(DXY38,DYB38)</f>
        <v>45523</v>
      </c>
      <c r="DYD38" s="340">
        <v>0</v>
      </c>
      <c r="DYE38" s="320">
        <f t="shared" ref="DYE38" si="3068">IF(DYF38&gt;=1,(DYD38/DYB38),0)</f>
        <v>0</v>
      </c>
      <c r="DYF38" s="292"/>
      <c r="DYG38" s="259" t="s">
        <v>55</v>
      </c>
      <c r="DYH38" s="256" t="s">
        <v>76</v>
      </c>
      <c r="DYI38" s="256" t="s">
        <v>77</v>
      </c>
      <c r="DYJ38" s="256" t="s">
        <v>78</v>
      </c>
      <c r="DYK38" s="256" t="s">
        <v>79</v>
      </c>
      <c r="DYL38" s="256" t="s">
        <v>80</v>
      </c>
      <c r="DYM38" s="256" t="s">
        <v>81</v>
      </c>
      <c r="DYN38" s="331"/>
      <c r="DYO38" s="290">
        <v>45492</v>
      </c>
      <c r="DYP38" s="339" t="s">
        <v>141</v>
      </c>
      <c r="DYQ38" s="305"/>
      <c r="DYR38" s="305">
        <v>1</v>
      </c>
      <c r="DYS38" s="304">
        <f t="shared" ref="DYS38" si="3069">EDATE(DYO38,DYR38)</f>
        <v>45523</v>
      </c>
      <c r="DYT38" s="340">
        <v>0</v>
      </c>
      <c r="DYU38" s="320">
        <f t="shared" ref="DYU38" si="3070">IF(DYV38&gt;=1,(DYT38/DYR38),0)</f>
        <v>0</v>
      </c>
      <c r="DYV38" s="292"/>
      <c r="DYW38" s="259" t="s">
        <v>55</v>
      </c>
      <c r="DYX38" s="256" t="s">
        <v>76</v>
      </c>
      <c r="DYY38" s="256" t="s">
        <v>77</v>
      </c>
      <c r="DYZ38" s="256" t="s">
        <v>78</v>
      </c>
      <c r="DZA38" s="256" t="s">
        <v>79</v>
      </c>
      <c r="DZB38" s="256" t="s">
        <v>80</v>
      </c>
      <c r="DZC38" s="256" t="s">
        <v>81</v>
      </c>
      <c r="DZD38" s="331"/>
      <c r="DZE38" s="290">
        <v>45492</v>
      </c>
      <c r="DZF38" s="339" t="s">
        <v>141</v>
      </c>
      <c r="DZG38" s="305"/>
      <c r="DZH38" s="305">
        <v>1</v>
      </c>
      <c r="DZI38" s="304">
        <f t="shared" ref="DZI38" si="3071">EDATE(DZE38,DZH38)</f>
        <v>45523</v>
      </c>
      <c r="DZJ38" s="340">
        <v>0</v>
      </c>
      <c r="DZK38" s="320">
        <f t="shared" ref="DZK38" si="3072">IF(DZL38&gt;=1,(DZJ38/DZH38),0)</f>
        <v>0</v>
      </c>
      <c r="DZL38" s="292"/>
      <c r="DZM38" s="259" t="s">
        <v>55</v>
      </c>
      <c r="DZN38" s="256" t="s">
        <v>76</v>
      </c>
      <c r="DZO38" s="256" t="s">
        <v>77</v>
      </c>
      <c r="DZP38" s="256" t="s">
        <v>78</v>
      </c>
      <c r="DZQ38" s="256" t="s">
        <v>79</v>
      </c>
      <c r="DZR38" s="256" t="s">
        <v>80</v>
      </c>
      <c r="DZS38" s="256" t="s">
        <v>81</v>
      </c>
      <c r="DZT38" s="331"/>
      <c r="DZU38" s="290">
        <v>45492</v>
      </c>
      <c r="DZV38" s="339" t="s">
        <v>141</v>
      </c>
      <c r="DZW38" s="305"/>
      <c r="DZX38" s="305">
        <v>1</v>
      </c>
      <c r="DZY38" s="304">
        <f t="shared" ref="DZY38" si="3073">EDATE(DZU38,DZX38)</f>
        <v>45523</v>
      </c>
      <c r="DZZ38" s="340">
        <v>0</v>
      </c>
      <c r="EAA38" s="320">
        <f t="shared" ref="EAA38" si="3074">IF(EAB38&gt;=1,(DZZ38/DZX38),0)</f>
        <v>0</v>
      </c>
      <c r="EAB38" s="292"/>
      <c r="EAC38" s="259" t="s">
        <v>55</v>
      </c>
      <c r="EAD38" s="256" t="s">
        <v>76</v>
      </c>
      <c r="EAE38" s="256" t="s">
        <v>77</v>
      </c>
      <c r="EAF38" s="256" t="s">
        <v>78</v>
      </c>
      <c r="EAG38" s="256" t="s">
        <v>79</v>
      </c>
      <c r="EAH38" s="256" t="s">
        <v>80</v>
      </c>
      <c r="EAI38" s="256" t="s">
        <v>81</v>
      </c>
      <c r="EAJ38" s="331"/>
      <c r="EAK38" s="290">
        <v>45492</v>
      </c>
      <c r="EAL38" s="339" t="s">
        <v>141</v>
      </c>
      <c r="EAM38" s="305"/>
      <c r="EAN38" s="305">
        <v>1</v>
      </c>
      <c r="EAO38" s="304">
        <f t="shared" ref="EAO38" si="3075">EDATE(EAK38,EAN38)</f>
        <v>45523</v>
      </c>
      <c r="EAP38" s="340">
        <v>0</v>
      </c>
      <c r="EAQ38" s="320">
        <f t="shared" ref="EAQ38" si="3076">IF(EAR38&gt;=1,(EAP38/EAN38),0)</f>
        <v>0</v>
      </c>
      <c r="EAR38" s="292"/>
      <c r="EAS38" s="259" t="s">
        <v>55</v>
      </c>
      <c r="EAT38" s="256" t="s">
        <v>76</v>
      </c>
      <c r="EAU38" s="256" t="s">
        <v>77</v>
      </c>
      <c r="EAV38" s="256" t="s">
        <v>78</v>
      </c>
      <c r="EAW38" s="256" t="s">
        <v>79</v>
      </c>
      <c r="EAX38" s="256" t="s">
        <v>80</v>
      </c>
      <c r="EAY38" s="256" t="s">
        <v>81</v>
      </c>
      <c r="EAZ38" s="331"/>
      <c r="EBA38" s="290">
        <v>45492</v>
      </c>
      <c r="EBB38" s="339" t="s">
        <v>141</v>
      </c>
      <c r="EBC38" s="305"/>
      <c r="EBD38" s="305">
        <v>1</v>
      </c>
      <c r="EBE38" s="304">
        <f t="shared" ref="EBE38" si="3077">EDATE(EBA38,EBD38)</f>
        <v>45523</v>
      </c>
      <c r="EBF38" s="340">
        <v>0</v>
      </c>
      <c r="EBG38" s="320">
        <f t="shared" ref="EBG38" si="3078">IF(EBH38&gt;=1,(EBF38/EBD38),0)</f>
        <v>0</v>
      </c>
      <c r="EBH38" s="292"/>
      <c r="EBI38" s="259" t="s">
        <v>55</v>
      </c>
      <c r="EBJ38" s="256" t="s">
        <v>76</v>
      </c>
      <c r="EBK38" s="256" t="s">
        <v>77</v>
      </c>
      <c r="EBL38" s="256" t="s">
        <v>78</v>
      </c>
      <c r="EBM38" s="256" t="s">
        <v>79</v>
      </c>
      <c r="EBN38" s="256" t="s">
        <v>80</v>
      </c>
      <c r="EBO38" s="256" t="s">
        <v>81</v>
      </c>
      <c r="EBP38" s="331"/>
      <c r="EBQ38" s="290">
        <v>45492</v>
      </c>
      <c r="EBR38" s="339" t="s">
        <v>141</v>
      </c>
      <c r="EBS38" s="305"/>
      <c r="EBT38" s="305">
        <v>1</v>
      </c>
      <c r="EBU38" s="304">
        <f t="shared" ref="EBU38" si="3079">EDATE(EBQ38,EBT38)</f>
        <v>45523</v>
      </c>
      <c r="EBV38" s="340">
        <v>0</v>
      </c>
      <c r="EBW38" s="320">
        <f t="shared" ref="EBW38" si="3080">IF(EBX38&gt;=1,(EBV38/EBT38),0)</f>
        <v>0</v>
      </c>
      <c r="EBX38" s="292"/>
      <c r="EBY38" s="259" t="s">
        <v>55</v>
      </c>
      <c r="EBZ38" s="256" t="s">
        <v>76</v>
      </c>
      <c r="ECA38" s="256" t="s">
        <v>77</v>
      </c>
      <c r="ECB38" s="256" t="s">
        <v>78</v>
      </c>
      <c r="ECC38" s="256" t="s">
        <v>79</v>
      </c>
      <c r="ECD38" s="256" t="s">
        <v>80</v>
      </c>
      <c r="ECE38" s="256" t="s">
        <v>81</v>
      </c>
      <c r="ECF38" s="331"/>
      <c r="ECG38" s="290">
        <v>45492</v>
      </c>
      <c r="ECH38" s="339" t="s">
        <v>141</v>
      </c>
      <c r="ECI38" s="305"/>
      <c r="ECJ38" s="305">
        <v>1</v>
      </c>
      <c r="ECK38" s="304">
        <f t="shared" ref="ECK38" si="3081">EDATE(ECG38,ECJ38)</f>
        <v>45523</v>
      </c>
      <c r="ECL38" s="340">
        <v>0</v>
      </c>
      <c r="ECM38" s="320">
        <f t="shared" ref="ECM38" si="3082">IF(ECN38&gt;=1,(ECL38/ECJ38),0)</f>
        <v>0</v>
      </c>
      <c r="ECN38" s="292"/>
      <c r="ECO38" s="259" t="s">
        <v>55</v>
      </c>
      <c r="ECP38" s="256" t="s">
        <v>76</v>
      </c>
      <c r="ECQ38" s="256" t="s">
        <v>77</v>
      </c>
      <c r="ECR38" s="256" t="s">
        <v>78</v>
      </c>
      <c r="ECS38" s="256" t="s">
        <v>79</v>
      </c>
      <c r="ECT38" s="256" t="s">
        <v>80</v>
      </c>
      <c r="ECU38" s="256" t="s">
        <v>81</v>
      </c>
      <c r="ECV38" s="331"/>
      <c r="ECW38" s="290">
        <v>45492</v>
      </c>
      <c r="ECX38" s="339" t="s">
        <v>141</v>
      </c>
      <c r="ECY38" s="305"/>
      <c r="ECZ38" s="305">
        <v>1</v>
      </c>
      <c r="EDA38" s="304">
        <f t="shared" ref="EDA38" si="3083">EDATE(ECW38,ECZ38)</f>
        <v>45523</v>
      </c>
      <c r="EDB38" s="340">
        <v>0</v>
      </c>
      <c r="EDC38" s="320">
        <f t="shared" ref="EDC38" si="3084">IF(EDD38&gt;=1,(EDB38/ECZ38),0)</f>
        <v>0</v>
      </c>
      <c r="EDD38" s="292"/>
      <c r="EDE38" s="259" t="s">
        <v>55</v>
      </c>
      <c r="EDF38" s="256" t="s">
        <v>76</v>
      </c>
      <c r="EDG38" s="256" t="s">
        <v>77</v>
      </c>
      <c r="EDH38" s="256" t="s">
        <v>78</v>
      </c>
      <c r="EDI38" s="256" t="s">
        <v>79</v>
      </c>
      <c r="EDJ38" s="256" t="s">
        <v>80</v>
      </c>
      <c r="EDK38" s="256" t="s">
        <v>81</v>
      </c>
      <c r="EDL38" s="331"/>
      <c r="EDM38" s="290">
        <v>45492</v>
      </c>
      <c r="EDN38" s="339" t="s">
        <v>141</v>
      </c>
      <c r="EDO38" s="305"/>
      <c r="EDP38" s="305">
        <v>1</v>
      </c>
      <c r="EDQ38" s="304">
        <f t="shared" ref="EDQ38" si="3085">EDATE(EDM38,EDP38)</f>
        <v>45523</v>
      </c>
      <c r="EDR38" s="340">
        <v>0</v>
      </c>
      <c r="EDS38" s="320">
        <f t="shared" ref="EDS38" si="3086">IF(EDT38&gt;=1,(EDR38/EDP38),0)</f>
        <v>0</v>
      </c>
      <c r="EDT38" s="292"/>
      <c r="EDU38" s="259" t="s">
        <v>55</v>
      </c>
      <c r="EDV38" s="256" t="s">
        <v>76</v>
      </c>
      <c r="EDW38" s="256" t="s">
        <v>77</v>
      </c>
      <c r="EDX38" s="256" t="s">
        <v>78</v>
      </c>
      <c r="EDY38" s="256" t="s">
        <v>79</v>
      </c>
      <c r="EDZ38" s="256" t="s">
        <v>80</v>
      </c>
      <c r="EEA38" s="256" t="s">
        <v>81</v>
      </c>
      <c r="EEB38" s="331"/>
      <c r="EEC38" s="290">
        <v>45492</v>
      </c>
      <c r="EED38" s="339" t="s">
        <v>141</v>
      </c>
      <c r="EEE38" s="305"/>
      <c r="EEF38" s="305">
        <v>1</v>
      </c>
      <c r="EEG38" s="304">
        <f t="shared" ref="EEG38" si="3087">EDATE(EEC38,EEF38)</f>
        <v>45523</v>
      </c>
      <c r="EEH38" s="340">
        <v>0</v>
      </c>
      <c r="EEI38" s="320">
        <f t="shared" ref="EEI38" si="3088">IF(EEJ38&gt;=1,(EEH38/EEF38),0)</f>
        <v>0</v>
      </c>
      <c r="EEJ38" s="292"/>
      <c r="EEK38" s="259" t="s">
        <v>55</v>
      </c>
      <c r="EEL38" s="256" t="s">
        <v>76</v>
      </c>
      <c r="EEM38" s="256" t="s">
        <v>77</v>
      </c>
      <c r="EEN38" s="256" t="s">
        <v>78</v>
      </c>
      <c r="EEO38" s="256" t="s">
        <v>79</v>
      </c>
      <c r="EEP38" s="256" t="s">
        <v>80</v>
      </c>
      <c r="EEQ38" s="256" t="s">
        <v>81</v>
      </c>
      <c r="EER38" s="331"/>
      <c r="EES38" s="290">
        <v>45492</v>
      </c>
      <c r="EET38" s="339" t="s">
        <v>141</v>
      </c>
      <c r="EEU38" s="305"/>
      <c r="EEV38" s="305">
        <v>1</v>
      </c>
      <c r="EEW38" s="304">
        <f t="shared" ref="EEW38" si="3089">EDATE(EES38,EEV38)</f>
        <v>45523</v>
      </c>
      <c r="EEX38" s="340">
        <v>0</v>
      </c>
      <c r="EEY38" s="320">
        <f t="shared" ref="EEY38" si="3090">IF(EEZ38&gt;=1,(EEX38/EEV38),0)</f>
        <v>0</v>
      </c>
      <c r="EEZ38" s="292"/>
      <c r="EFA38" s="259" t="s">
        <v>55</v>
      </c>
      <c r="EFB38" s="256" t="s">
        <v>76</v>
      </c>
      <c r="EFC38" s="256" t="s">
        <v>77</v>
      </c>
      <c r="EFD38" s="256" t="s">
        <v>78</v>
      </c>
      <c r="EFE38" s="256" t="s">
        <v>79</v>
      </c>
      <c r="EFF38" s="256" t="s">
        <v>80</v>
      </c>
      <c r="EFG38" s="256" t="s">
        <v>81</v>
      </c>
      <c r="EFH38" s="331"/>
      <c r="EFI38" s="290">
        <v>45492</v>
      </c>
      <c r="EFJ38" s="339" t="s">
        <v>141</v>
      </c>
      <c r="EFK38" s="305"/>
      <c r="EFL38" s="305">
        <v>1</v>
      </c>
      <c r="EFM38" s="304">
        <f t="shared" ref="EFM38" si="3091">EDATE(EFI38,EFL38)</f>
        <v>45523</v>
      </c>
      <c r="EFN38" s="340">
        <v>0</v>
      </c>
      <c r="EFO38" s="320">
        <f t="shared" ref="EFO38" si="3092">IF(EFP38&gt;=1,(EFN38/EFL38),0)</f>
        <v>0</v>
      </c>
      <c r="EFP38" s="292"/>
      <c r="EFQ38" s="259" t="s">
        <v>55</v>
      </c>
      <c r="EFR38" s="256" t="s">
        <v>76</v>
      </c>
      <c r="EFS38" s="256" t="s">
        <v>77</v>
      </c>
      <c r="EFT38" s="256" t="s">
        <v>78</v>
      </c>
      <c r="EFU38" s="256" t="s">
        <v>79</v>
      </c>
      <c r="EFV38" s="256" t="s">
        <v>80</v>
      </c>
      <c r="EFW38" s="256" t="s">
        <v>81</v>
      </c>
      <c r="EFX38" s="331"/>
      <c r="EFY38" s="290">
        <v>45492</v>
      </c>
      <c r="EFZ38" s="339" t="s">
        <v>141</v>
      </c>
      <c r="EGA38" s="305"/>
      <c r="EGB38" s="305">
        <v>1</v>
      </c>
      <c r="EGC38" s="304">
        <f t="shared" ref="EGC38" si="3093">EDATE(EFY38,EGB38)</f>
        <v>45523</v>
      </c>
      <c r="EGD38" s="340">
        <v>0</v>
      </c>
      <c r="EGE38" s="320">
        <f t="shared" ref="EGE38" si="3094">IF(EGF38&gt;=1,(EGD38/EGB38),0)</f>
        <v>0</v>
      </c>
      <c r="EGF38" s="292"/>
      <c r="EGG38" s="259" t="s">
        <v>55</v>
      </c>
      <c r="EGH38" s="256" t="s">
        <v>76</v>
      </c>
      <c r="EGI38" s="256" t="s">
        <v>77</v>
      </c>
      <c r="EGJ38" s="256" t="s">
        <v>78</v>
      </c>
      <c r="EGK38" s="256" t="s">
        <v>79</v>
      </c>
      <c r="EGL38" s="256" t="s">
        <v>80</v>
      </c>
      <c r="EGM38" s="256" t="s">
        <v>81</v>
      </c>
      <c r="EGN38" s="331"/>
      <c r="EGO38" s="290">
        <v>45492</v>
      </c>
      <c r="EGP38" s="339" t="s">
        <v>141</v>
      </c>
      <c r="EGQ38" s="305"/>
      <c r="EGR38" s="305">
        <v>1</v>
      </c>
      <c r="EGS38" s="304">
        <f t="shared" ref="EGS38" si="3095">EDATE(EGO38,EGR38)</f>
        <v>45523</v>
      </c>
      <c r="EGT38" s="340">
        <v>0</v>
      </c>
      <c r="EGU38" s="320">
        <f t="shared" ref="EGU38" si="3096">IF(EGV38&gt;=1,(EGT38/EGR38),0)</f>
        <v>0</v>
      </c>
      <c r="EGV38" s="292"/>
      <c r="EGW38" s="259" t="s">
        <v>55</v>
      </c>
      <c r="EGX38" s="256" t="s">
        <v>76</v>
      </c>
      <c r="EGY38" s="256" t="s">
        <v>77</v>
      </c>
      <c r="EGZ38" s="256" t="s">
        <v>78</v>
      </c>
      <c r="EHA38" s="256" t="s">
        <v>79</v>
      </c>
      <c r="EHB38" s="256" t="s">
        <v>80</v>
      </c>
      <c r="EHC38" s="256" t="s">
        <v>81</v>
      </c>
      <c r="EHD38" s="331"/>
      <c r="EHE38" s="290">
        <v>45492</v>
      </c>
      <c r="EHF38" s="339" t="s">
        <v>141</v>
      </c>
      <c r="EHG38" s="305"/>
      <c r="EHH38" s="305">
        <v>1</v>
      </c>
      <c r="EHI38" s="304">
        <f t="shared" ref="EHI38" si="3097">EDATE(EHE38,EHH38)</f>
        <v>45523</v>
      </c>
      <c r="EHJ38" s="340">
        <v>0</v>
      </c>
      <c r="EHK38" s="320">
        <f t="shared" ref="EHK38" si="3098">IF(EHL38&gt;=1,(EHJ38/EHH38),0)</f>
        <v>0</v>
      </c>
      <c r="EHL38" s="292"/>
      <c r="EHM38" s="259" t="s">
        <v>55</v>
      </c>
      <c r="EHN38" s="256" t="s">
        <v>76</v>
      </c>
      <c r="EHO38" s="256" t="s">
        <v>77</v>
      </c>
      <c r="EHP38" s="256" t="s">
        <v>78</v>
      </c>
      <c r="EHQ38" s="256" t="s">
        <v>79</v>
      </c>
      <c r="EHR38" s="256" t="s">
        <v>80</v>
      </c>
      <c r="EHS38" s="256" t="s">
        <v>81</v>
      </c>
      <c r="EHT38" s="331"/>
      <c r="EHU38" s="290">
        <v>45492</v>
      </c>
      <c r="EHV38" s="339" t="s">
        <v>141</v>
      </c>
      <c r="EHW38" s="305"/>
      <c r="EHX38" s="305">
        <v>1</v>
      </c>
      <c r="EHY38" s="304">
        <f t="shared" ref="EHY38" si="3099">EDATE(EHU38,EHX38)</f>
        <v>45523</v>
      </c>
      <c r="EHZ38" s="340">
        <v>0</v>
      </c>
      <c r="EIA38" s="320">
        <f t="shared" ref="EIA38" si="3100">IF(EIB38&gt;=1,(EHZ38/EHX38),0)</f>
        <v>0</v>
      </c>
      <c r="EIB38" s="292"/>
      <c r="EIC38" s="259" t="s">
        <v>55</v>
      </c>
      <c r="EID38" s="256" t="s">
        <v>76</v>
      </c>
      <c r="EIE38" s="256" t="s">
        <v>77</v>
      </c>
      <c r="EIF38" s="256" t="s">
        <v>78</v>
      </c>
      <c r="EIG38" s="256" t="s">
        <v>79</v>
      </c>
      <c r="EIH38" s="256" t="s">
        <v>80</v>
      </c>
      <c r="EII38" s="256" t="s">
        <v>81</v>
      </c>
      <c r="EIJ38" s="331"/>
      <c r="EIK38" s="290">
        <v>45492</v>
      </c>
      <c r="EIL38" s="339" t="s">
        <v>141</v>
      </c>
      <c r="EIM38" s="305"/>
      <c r="EIN38" s="305">
        <v>1</v>
      </c>
      <c r="EIO38" s="304">
        <f t="shared" ref="EIO38" si="3101">EDATE(EIK38,EIN38)</f>
        <v>45523</v>
      </c>
      <c r="EIP38" s="340">
        <v>0</v>
      </c>
      <c r="EIQ38" s="320">
        <f t="shared" ref="EIQ38" si="3102">IF(EIR38&gt;=1,(EIP38/EIN38),0)</f>
        <v>0</v>
      </c>
      <c r="EIR38" s="292"/>
      <c r="EIS38" s="259" t="s">
        <v>55</v>
      </c>
      <c r="EIT38" s="256" t="s">
        <v>76</v>
      </c>
      <c r="EIU38" s="256" t="s">
        <v>77</v>
      </c>
      <c r="EIV38" s="256" t="s">
        <v>78</v>
      </c>
      <c r="EIW38" s="256" t="s">
        <v>79</v>
      </c>
      <c r="EIX38" s="256" t="s">
        <v>80</v>
      </c>
      <c r="EIY38" s="256" t="s">
        <v>81</v>
      </c>
      <c r="EIZ38" s="331"/>
      <c r="EJA38" s="290">
        <v>45492</v>
      </c>
      <c r="EJB38" s="339" t="s">
        <v>141</v>
      </c>
      <c r="EJC38" s="305"/>
      <c r="EJD38" s="305">
        <v>1</v>
      </c>
      <c r="EJE38" s="304">
        <f t="shared" ref="EJE38" si="3103">EDATE(EJA38,EJD38)</f>
        <v>45523</v>
      </c>
      <c r="EJF38" s="340">
        <v>0</v>
      </c>
      <c r="EJG38" s="320">
        <f t="shared" ref="EJG38" si="3104">IF(EJH38&gt;=1,(EJF38/EJD38),0)</f>
        <v>0</v>
      </c>
      <c r="EJH38" s="292"/>
      <c r="EJI38" s="259" t="s">
        <v>55</v>
      </c>
      <c r="EJJ38" s="256" t="s">
        <v>76</v>
      </c>
      <c r="EJK38" s="256" t="s">
        <v>77</v>
      </c>
      <c r="EJL38" s="256" t="s">
        <v>78</v>
      </c>
      <c r="EJM38" s="256" t="s">
        <v>79</v>
      </c>
      <c r="EJN38" s="256" t="s">
        <v>80</v>
      </c>
      <c r="EJO38" s="256" t="s">
        <v>81</v>
      </c>
      <c r="EJP38" s="331"/>
      <c r="EJQ38" s="290">
        <v>45492</v>
      </c>
      <c r="EJR38" s="339" t="s">
        <v>141</v>
      </c>
      <c r="EJS38" s="305"/>
      <c r="EJT38" s="305">
        <v>1</v>
      </c>
      <c r="EJU38" s="304">
        <f t="shared" ref="EJU38" si="3105">EDATE(EJQ38,EJT38)</f>
        <v>45523</v>
      </c>
      <c r="EJV38" s="340">
        <v>0</v>
      </c>
      <c r="EJW38" s="320">
        <f t="shared" ref="EJW38" si="3106">IF(EJX38&gt;=1,(EJV38/EJT38),0)</f>
        <v>0</v>
      </c>
      <c r="EJX38" s="292"/>
      <c r="EJY38" s="259" t="s">
        <v>55</v>
      </c>
      <c r="EJZ38" s="256" t="s">
        <v>76</v>
      </c>
      <c r="EKA38" s="256" t="s">
        <v>77</v>
      </c>
      <c r="EKB38" s="256" t="s">
        <v>78</v>
      </c>
      <c r="EKC38" s="256" t="s">
        <v>79</v>
      </c>
      <c r="EKD38" s="256" t="s">
        <v>80</v>
      </c>
      <c r="EKE38" s="256" t="s">
        <v>81</v>
      </c>
      <c r="EKF38" s="331"/>
      <c r="EKG38" s="290">
        <v>45492</v>
      </c>
      <c r="EKH38" s="339" t="s">
        <v>141</v>
      </c>
      <c r="EKI38" s="305"/>
      <c r="EKJ38" s="305">
        <v>1</v>
      </c>
      <c r="EKK38" s="304">
        <f t="shared" ref="EKK38" si="3107">EDATE(EKG38,EKJ38)</f>
        <v>45523</v>
      </c>
      <c r="EKL38" s="340">
        <v>0</v>
      </c>
      <c r="EKM38" s="320">
        <f t="shared" ref="EKM38" si="3108">IF(EKN38&gt;=1,(EKL38/EKJ38),0)</f>
        <v>0</v>
      </c>
      <c r="EKN38" s="292"/>
      <c r="EKO38" s="259" t="s">
        <v>55</v>
      </c>
      <c r="EKP38" s="256" t="s">
        <v>76</v>
      </c>
      <c r="EKQ38" s="256" t="s">
        <v>77</v>
      </c>
      <c r="EKR38" s="256" t="s">
        <v>78</v>
      </c>
      <c r="EKS38" s="256" t="s">
        <v>79</v>
      </c>
      <c r="EKT38" s="256" t="s">
        <v>80</v>
      </c>
      <c r="EKU38" s="256" t="s">
        <v>81</v>
      </c>
      <c r="EKV38" s="331"/>
      <c r="EKW38" s="290">
        <v>45492</v>
      </c>
      <c r="EKX38" s="339" t="s">
        <v>141</v>
      </c>
      <c r="EKY38" s="305"/>
      <c r="EKZ38" s="305">
        <v>1</v>
      </c>
      <c r="ELA38" s="304">
        <f t="shared" ref="ELA38" si="3109">EDATE(EKW38,EKZ38)</f>
        <v>45523</v>
      </c>
      <c r="ELB38" s="340">
        <v>0</v>
      </c>
      <c r="ELC38" s="320">
        <f t="shared" ref="ELC38" si="3110">IF(ELD38&gt;=1,(ELB38/EKZ38),0)</f>
        <v>0</v>
      </c>
      <c r="ELD38" s="292"/>
      <c r="ELE38" s="259" t="s">
        <v>55</v>
      </c>
      <c r="ELF38" s="256" t="s">
        <v>76</v>
      </c>
      <c r="ELG38" s="256" t="s">
        <v>77</v>
      </c>
      <c r="ELH38" s="256" t="s">
        <v>78</v>
      </c>
      <c r="ELI38" s="256" t="s">
        <v>79</v>
      </c>
      <c r="ELJ38" s="256" t="s">
        <v>80</v>
      </c>
      <c r="ELK38" s="256" t="s">
        <v>81</v>
      </c>
      <c r="ELL38" s="331"/>
      <c r="ELM38" s="290">
        <v>45492</v>
      </c>
      <c r="ELN38" s="339" t="s">
        <v>141</v>
      </c>
      <c r="ELO38" s="305"/>
      <c r="ELP38" s="305">
        <v>1</v>
      </c>
      <c r="ELQ38" s="304">
        <f t="shared" ref="ELQ38" si="3111">EDATE(ELM38,ELP38)</f>
        <v>45523</v>
      </c>
      <c r="ELR38" s="340">
        <v>0</v>
      </c>
      <c r="ELS38" s="320">
        <f t="shared" ref="ELS38" si="3112">IF(ELT38&gt;=1,(ELR38/ELP38),0)</f>
        <v>0</v>
      </c>
      <c r="ELT38" s="292"/>
      <c r="ELU38" s="259" t="s">
        <v>55</v>
      </c>
      <c r="ELV38" s="256" t="s">
        <v>76</v>
      </c>
      <c r="ELW38" s="256" t="s">
        <v>77</v>
      </c>
      <c r="ELX38" s="256" t="s">
        <v>78</v>
      </c>
      <c r="ELY38" s="256" t="s">
        <v>79</v>
      </c>
      <c r="ELZ38" s="256" t="s">
        <v>80</v>
      </c>
      <c r="EMA38" s="256" t="s">
        <v>81</v>
      </c>
      <c r="EMB38" s="331"/>
      <c r="EMC38" s="290">
        <v>45492</v>
      </c>
      <c r="EMD38" s="339" t="s">
        <v>141</v>
      </c>
      <c r="EME38" s="305"/>
      <c r="EMF38" s="305">
        <v>1</v>
      </c>
      <c r="EMG38" s="304">
        <f t="shared" ref="EMG38" si="3113">EDATE(EMC38,EMF38)</f>
        <v>45523</v>
      </c>
      <c r="EMH38" s="340">
        <v>0</v>
      </c>
      <c r="EMI38" s="320">
        <f t="shared" ref="EMI38" si="3114">IF(EMJ38&gt;=1,(EMH38/EMF38),0)</f>
        <v>0</v>
      </c>
      <c r="EMJ38" s="292"/>
      <c r="EMK38" s="259" t="s">
        <v>55</v>
      </c>
      <c r="EML38" s="256" t="s">
        <v>76</v>
      </c>
      <c r="EMM38" s="256" t="s">
        <v>77</v>
      </c>
      <c r="EMN38" s="256" t="s">
        <v>78</v>
      </c>
      <c r="EMO38" s="256" t="s">
        <v>79</v>
      </c>
      <c r="EMP38" s="256" t="s">
        <v>80</v>
      </c>
      <c r="EMQ38" s="256" t="s">
        <v>81</v>
      </c>
      <c r="EMR38" s="331"/>
      <c r="EMS38" s="290">
        <v>45492</v>
      </c>
      <c r="EMT38" s="339" t="s">
        <v>141</v>
      </c>
      <c r="EMU38" s="305"/>
      <c r="EMV38" s="305">
        <v>1</v>
      </c>
      <c r="EMW38" s="304">
        <f t="shared" ref="EMW38" si="3115">EDATE(EMS38,EMV38)</f>
        <v>45523</v>
      </c>
      <c r="EMX38" s="340">
        <v>0</v>
      </c>
      <c r="EMY38" s="320">
        <f t="shared" ref="EMY38" si="3116">IF(EMZ38&gt;=1,(EMX38/EMV38),0)</f>
        <v>0</v>
      </c>
      <c r="EMZ38" s="292"/>
      <c r="ENA38" s="259" t="s">
        <v>55</v>
      </c>
      <c r="ENB38" s="256" t="s">
        <v>76</v>
      </c>
      <c r="ENC38" s="256" t="s">
        <v>77</v>
      </c>
      <c r="END38" s="256" t="s">
        <v>78</v>
      </c>
      <c r="ENE38" s="256" t="s">
        <v>79</v>
      </c>
      <c r="ENF38" s="256" t="s">
        <v>80</v>
      </c>
      <c r="ENG38" s="256" t="s">
        <v>81</v>
      </c>
      <c r="ENH38" s="331"/>
      <c r="ENI38" s="290">
        <v>45492</v>
      </c>
      <c r="ENJ38" s="339" t="s">
        <v>141</v>
      </c>
      <c r="ENK38" s="305"/>
      <c r="ENL38" s="305">
        <v>1</v>
      </c>
      <c r="ENM38" s="304">
        <f t="shared" ref="ENM38" si="3117">EDATE(ENI38,ENL38)</f>
        <v>45523</v>
      </c>
      <c r="ENN38" s="340">
        <v>0</v>
      </c>
      <c r="ENO38" s="320">
        <f t="shared" ref="ENO38" si="3118">IF(ENP38&gt;=1,(ENN38/ENL38),0)</f>
        <v>0</v>
      </c>
      <c r="ENP38" s="292"/>
      <c r="ENQ38" s="259" t="s">
        <v>55</v>
      </c>
      <c r="ENR38" s="256" t="s">
        <v>76</v>
      </c>
      <c r="ENS38" s="256" t="s">
        <v>77</v>
      </c>
      <c r="ENT38" s="256" t="s">
        <v>78</v>
      </c>
      <c r="ENU38" s="256" t="s">
        <v>79</v>
      </c>
      <c r="ENV38" s="256" t="s">
        <v>80</v>
      </c>
      <c r="ENW38" s="256" t="s">
        <v>81</v>
      </c>
      <c r="ENX38" s="331"/>
      <c r="ENY38" s="290">
        <v>45492</v>
      </c>
      <c r="ENZ38" s="339" t="s">
        <v>141</v>
      </c>
      <c r="EOA38" s="305"/>
      <c r="EOB38" s="305">
        <v>1</v>
      </c>
      <c r="EOC38" s="304">
        <f t="shared" ref="EOC38" si="3119">EDATE(ENY38,EOB38)</f>
        <v>45523</v>
      </c>
      <c r="EOD38" s="340">
        <v>0</v>
      </c>
      <c r="EOE38" s="320">
        <f t="shared" ref="EOE38" si="3120">IF(EOF38&gt;=1,(EOD38/EOB38),0)</f>
        <v>0</v>
      </c>
      <c r="EOF38" s="292"/>
      <c r="EOG38" s="259" t="s">
        <v>55</v>
      </c>
      <c r="EOH38" s="256" t="s">
        <v>76</v>
      </c>
      <c r="EOI38" s="256" t="s">
        <v>77</v>
      </c>
      <c r="EOJ38" s="256" t="s">
        <v>78</v>
      </c>
      <c r="EOK38" s="256" t="s">
        <v>79</v>
      </c>
      <c r="EOL38" s="256" t="s">
        <v>80</v>
      </c>
      <c r="EOM38" s="256" t="s">
        <v>81</v>
      </c>
      <c r="EON38" s="331"/>
      <c r="EOO38" s="290">
        <v>45492</v>
      </c>
      <c r="EOP38" s="339" t="s">
        <v>141</v>
      </c>
      <c r="EOQ38" s="305"/>
      <c r="EOR38" s="305">
        <v>1</v>
      </c>
      <c r="EOS38" s="304">
        <f t="shared" ref="EOS38" si="3121">EDATE(EOO38,EOR38)</f>
        <v>45523</v>
      </c>
      <c r="EOT38" s="340">
        <v>0</v>
      </c>
      <c r="EOU38" s="320">
        <f t="shared" ref="EOU38" si="3122">IF(EOV38&gt;=1,(EOT38/EOR38),0)</f>
        <v>0</v>
      </c>
      <c r="EOV38" s="292"/>
      <c r="EOW38" s="259" t="s">
        <v>55</v>
      </c>
      <c r="EOX38" s="256" t="s">
        <v>76</v>
      </c>
      <c r="EOY38" s="256" t="s">
        <v>77</v>
      </c>
      <c r="EOZ38" s="256" t="s">
        <v>78</v>
      </c>
      <c r="EPA38" s="256" t="s">
        <v>79</v>
      </c>
      <c r="EPB38" s="256" t="s">
        <v>80</v>
      </c>
      <c r="EPC38" s="256" t="s">
        <v>81</v>
      </c>
      <c r="EPD38" s="331"/>
      <c r="EPE38" s="290">
        <v>45492</v>
      </c>
      <c r="EPF38" s="339" t="s">
        <v>141</v>
      </c>
      <c r="EPG38" s="305"/>
      <c r="EPH38" s="305">
        <v>1</v>
      </c>
      <c r="EPI38" s="304">
        <f t="shared" ref="EPI38" si="3123">EDATE(EPE38,EPH38)</f>
        <v>45523</v>
      </c>
      <c r="EPJ38" s="340">
        <v>0</v>
      </c>
      <c r="EPK38" s="320">
        <f t="shared" ref="EPK38" si="3124">IF(EPL38&gt;=1,(EPJ38/EPH38),0)</f>
        <v>0</v>
      </c>
      <c r="EPL38" s="292"/>
      <c r="EPM38" s="259" t="s">
        <v>55</v>
      </c>
      <c r="EPN38" s="256" t="s">
        <v>76</v>
      </c>
      <c r="EPO38" s="256" t="s">
        <v>77</v>
      </c>
      <c r="EPP38" s="256" t="s">
        <v>78</v>
      </c>
      <c r="EPQ38" s="256" t="s">
        <v>79</v>
      </c>
      <c r="EPR38" s="256" t="s">
        <v>80</v>
      </c>
      <c r="EPS38" s="256" t="s">
        <v>81</v>
      </c>
      <c r="EPT38" s="331"/>
      <c r="EPU38" s="290">
        <v>45492</v>
      </c>
      <c r="EPV38" s="339" t="s">
        <v>141</v>
      </c>
      <c r="EPW38" s="305"/>
      <c r="EPX38" s="305">
        <v>1</v>
      </c>
      <c r="EPY38" s="304">
        <f t="shared" ref="EPY38" si="3125">EDATE(EPU38,EPX38)</f>
        <v>45523</v>
      </c>
      <c r="EPZ38" s="340">
        <v>0</v>
      </c>
      <c r="EQA38" s="320">
        <f t="shared" ref="EQA38" si="3126">IF(EQB38&gt;=1,(EPZ38/EPX38),0)</f>
        <v>0</v>
      </c>
      <c r="EQB38" s="292"/>
      <c r="EQC38" s="259" t="s">
        <v>55</v>
      </c>
      <c r="EQD38" s="256" t="s">
        <v>76</v>
      </c>
      <c r="EQE38" s="256" t="s">
        <v>77</v>
      </c>
      <c r="EQF38" s="256" t="s">
        <v>78</v>
      </c>
      <c r="EQG38" s="256" t="s">
        <v>79</v>
      </c>
      <c r="EQH38" s="256" t="s">
        <v>80</v>
      </c>
      <c r="EQI38" s="256" t="s">
        <v>81</v>
      </c>
      <c r="EQJ38" s="331"/>
      <c r="EQK38" s="290">
        <v>45492</v>
      </c>
      <c r="EQL38" s="339" t="s">
        <v>141</v>
      </c>
      <c r="EQM38" s="305"/>
      <c r="EQN38" s="305">
        <v>1</v>
      </c>
      <c r="EQO38" s="304">
        <f t="shared" ref="EQO38" si="3127">EDATE(EQK38,EQN38)</f>
        <v>45523</v>
      </c>
      <c r="EQP38" s="340">
        <v>0</v>
      </c>
      <c r="EQQ38" s="320">
        <f t="shared" ref="EQQ38" si="3128">IF(EQR38&gt;=1,(EQP38/EQN38),0)</f>
        <v>0</v>
      </c>
      <c r="EQR38" s="292"/>
      <c r="EQS38" s="259" t="s">
        <v>55</v>
      </c>
      <c r="EQT38" s="256" t="s">
        <v>76</v>
      </c>
      <c r="EQU38" s="256" t="s">
        <v>77</v>
      </c>
      <c r="EQV38" s="256" t="s">
        <v>78</v>
      </c>
      <c r="EQW38" s="256" t="s">
        <v>79</v>
      </c>
      <c r="EQX38" s="256" t="s">
        <v>80</v>
      </c>
      <c r="EQY38" s="256" t="s">
        <v>81</v>
      </c>
      <c r="EQZ38" s="331"/>
      <c r="ERA38" s="290">
        <v>45492</v>
      </c>
      <c r="ERB38" s="339" t="s">
        <v>141</v>
      </c>
      <c r="ERC38" s="305"/>
      <c r="ERD38" s="305">
        <v>1</v>
      </c>
      <c r="ERE38" s="304">
        <f t="shared" ref="ERE38" si="3129">EDATE(ERA38,ERD38)</f>
        <v>45523</v>
      </c>
      <c r="ERF38" s="340">
        <v>0</v>
      </c>
      <c r="ERG38" s="320">
        <f t="shared" ref="ERG38" si="3130">IF(ERH38&gt;=1,(ERF38/ERD38),0)</f>
        <v>0</v>
      </c>
      <c r="ERH38" s="292"/>
      <c r="ERI38" s="259" t="s">
        <v>55</v>
      </c>
      <c r="ERJ38" s="256" t="s">
        <v>76</v>
      </c>
      <c r="ERK38" s="256" t="s">
        <v>77</v>
      </c>
      <c r="ERL38" s="256" t="s">
        <v>78</v>
      </c>
      <c r="ERM38" s="256" t="s">
        <v>79</v>
      </c>
      <c r="ERN38" s="256" t="s">
        <v>80</v>
      </c>
      <c r="ERO38" s="256" t="s">
        <v>81</v>
      </c>
      <c r="ERP38" s="331"/>
      <c r="ERQ38" s="290">
        <v>45492</v>
      </c>
      <c r="ERR38" s="339" t="s">
        <v>141</v>
      </c>
      <c r="ERS38" s="305"/>
      <c r="ERT38" s="305">
        <v>1</v>
      </c>
      <c r="ERU38" s="304">
        <f t="shared" ref="ERU38" si="3131">EDATE(ERQ38,ERT38)</f>
        <v>45523</v>
      </c>
      <c r="ERV38" s="340">
        <v>0</v>
      </c>
      <c r="ERW38" s="320">
        <f t="shared" ref="ERW38" si="3132">IF(ERX38&gt;=1,(ERV38/ERT38),0)</f>
        <v>0</v>
      </c>
      <c r="ERX38" s="292"/>
      <c r="ERY38" s="259" t="s">
        <v>55</v>
      </c>
      <c r="ERZ38" s="256" t="s">
        <v>76</v>
      </c>
      <c r="ESA38" s="256" t="s">
        <v>77</v>
      </c>
      <c r="ESB38" s="256" t="s">
        <v>78</v>
      </c>
      <c r="ESC38" s="256" t="s">
        <v>79</v>
      </c>
      <c r="ESD38" s="256" t="s">
        <v>80</v>
      </c>
      <c r="ESE38" s="256" t="s">
        <v>81</v>
      </c>
      <c r="ESF38" s="331"/>
      <c r="ESG38" s="290">
        <v>45492</v>
      </c>
      <c r="ESH38" s="339" t="s">
        <v>141</v>
      </c>
      <c r="ESI38" s="305"/>
      <c r="ESJ38" s="305">
        <v>1</v>
      </c>
      <c r="ESK38" s="304">
        <f t="shared" ref="ESK38" si="3133">EDATE(ESG38,ESJ38)</f>
        <v>45523</v>
      </c>
      <c r="ESL38" s="340">
        <v>0</v>
      </c>
      <c r="ESM38" s="320">
        <f t="shared" ref="ESM38" si="3134">IF(ESN38&gt;=1,(ESL38/ESJ38),0)</f>
        <v>0</v>
      </c>
      <c r="ESN38" s="292"/>
      <c r="ESO38" s="259" t="s">
        <v>55</v>
      </c>
      <c r="ESP38" s="256" t="s">
        <v>76</v>
      </c>
      <c r="ESQ38" s="256" t="s">
        <v>77</v>
      </c>
      <c r="ESR38" s="256" t="s">
        <v>78</v>
      </c>
      <c r="ESS38" s="256" t="s">
        <v>79</v>
      </c>
      <c r="EST38" s="256" t="s">
        <v>80</v>
      </c>
      <c r="ESU38" s="256" t="s">
        <v>81</v>
      </c>
      <c r="ESV38" s="331"/>
      <c r="ESW38" s="290">
        <v>45492</v>
      </c>
      <c r="ESX38" s="339" t="s">
        <v>141</v>
      </c>
      <c r="ESY38" s="305"/>
      <c r="ESZ38" s="305">
        <v>1</v>
      </c>
      <c r="ETA38" s="304">
        <f t="shared" ref="ETA38" si="3135">EDATE(ESW38,ESZ38)</f>
        <v>45523</v>
      </c>
      <c r="ETB38" s="340">
        <v>0</v>
      </c>
      <c r="ETC38" s="320">
        <f t="shared" ref="ETC38" si="3136">IF(ETD38&gt;=1,(ETB38/ESZ38),0)</f>
        <v>0</v>
      </c>
      <c r="ETD38" s="292"/>
      <c r="ETE38" s="259" t="s">
        <v>55</v>
      </c>
      <c r="ETF38" s="256" t="s">
        <v>76</v>
      </c>
      <c r="ETG38" s="256" t="s">
        <v>77</v>
      </c>
      <c r="ETH38" s="256" t="s">
        <v>78</v>
      </c>
      <c r="ETI38" s="256" t="s">
        <v>79</v>
      </c>
      <c r="ETJ38" s="256" t="s">
        <v>80</v>
      </c>
      <c r="ETK38" s="256" t="s">
        <v>81</v>
      </c>
      <c r="ETL38" s="331"/>
      <c r="ETM38" s="290">
        <v>45492</v>
      </c>
      <c r="ETN38" s="339" t="s">
        <v>141</v>
      </c>
      <c r="ETO38" s="305"/>
      <c r="ETP38" s="305">
        <v>1</v>
      </c>
      <c r="ETQ38" s="304">
        <f t="shared" ref="ETQ38" si="3137">EDATE(ETM38,ETP38)</f>
        <v>45523</v>
      </c>
      <c r="ETR38" s="340">
        <v>0</v>
      </c>
      <c r="ETS38" s="320">
        <f t="shared" ref="ETS38" si="3138">IF(ETT38&gt;=1,(ETR38/ETP38),0)</f>
        <v>0</v>
      </c>
      <c r="ETT38" s="292"/>
      <c r="ETU38" s="259" t="s">
        <v>55</v>
      </c>
      <c r="ETV38" s="256" t="s">
        <v>76</v>
      </c>
      <c r="ETW38" s="256" t="s">
        <v>77</v>
      </c>
      <c r="ETX38" s="256" t="s">
        <v>78</v>
      </c>
      <c r="ETY38" s="256" t="s">
        <v>79</v>
      </c>
      <c r="ETZ38" s="256" t="s">
        <v>80</v>
      </c>
      <c r="EUA38" s="256" t="s">
        <v>81</v>
      </c>
      <c r="EUB38" s="331"/>
      <c r="EUC38" s="290">
        <v>45492</v>
      </c>
      <c r="EUD38" s="339" t="s">
        <v>141</v>
      </c>
      <c r="EUE38" s="305"/>
      <c r="EUF38" s="305">
        <v>1</v>
      </c>
      <c r="EUG38" s="304">
        <f t="shared" ref="EUG38" si="3139">EDATE(EUC38,EUF38)</f>
        <v>45523</v>
      </c>
      <c r="EUH38" s="340">
        <v>0</v>
      </c>
      <c r="EUI38" s="320">
        <f t="shared" ref="EUI38" si="3140">IF(EUJ38&gt;=1,(EUH38/EUF38),0)</f>
        <v>0</v>
      </c>
      <c r="EUJ38" s="292"/>
      <c r="EUK38" s="259" t="s">
        <v>55</v>
      </c>
      <c r="EUL38" s="256" t="s">
        <v>76</v>
      </c>
      <c r="EUM38" s="256" t="s">
        <v>77</v>
      </c>
      <c r="EUN38" s="256" t="s">
        <v>78</v>
      </c>
      <c r="EUO38" s="256" t="s">
        <v>79</v>
      </c>
      <c r="EUP38" s="256" t="s">
        <v>80</v>
      </c>
      <c r="EUQ38" s="256" t="s">
        <v>81</v>
      </c>
      <c r="EUR38" s="331"/>
      <c r="EUS38" s="290">
        <v>45492</v>
      </c>
      <c r="EUT38" s="339" t="s">
        <v>141</v>
      </c>
      <c r="EUU38" s="305"/>
      <c r="EUV38" s="305">
        <v>1</v>
      </c>
      <c r="EUW38" s="304">
        <f t="shared" ref="EUW38" si="3141">EDATE(EUS38,EUV38)</f>
        <v>45523</v>
      </c>
      <c r="EUX38" s="340">
        <v>0</v>
      </c>
      <c r="EUY38" s="320">
        <f t="shared" ref="EUY38" si="3142">IF(EUZ38&gt;=1,(EUX38/EUV38),0)</f>
        <v>0</v>
      </c>
      <c r="EUZ38" s="292"/>
      <c r="EVA38" s="259" t="s">
        <v>55</v>
      </c>
      <c r="EVB38" s="256" t="s">
        <v>76</v>
      </c>
      <c r="EVC38" s="256" t="s">
        <v>77</v>
      </c>
      <c r="EVD38" s="256" t="s">
        <v>78</v>
      </c>
      <c r="EVE38" s="256" t="s">
        <v>79</v>
      </c>
      <c r="EVF38" s="256" t="s">
        <v>80</v>
      </c>
      <c r="EVG38" s="256" t="s">
        <v>81</v>
      </c>
      <c r="EVH38" s="331"/>
      <c r="EVI38" s="290">
        <v>45492</v>
      </c>
      <c r="EVJ38" s="339" t="s">
        <v>141</v>
      </c>
      <c r="EVK38" s="305"/>
      <c r="EVL38" s="305">
        <v>1</v>
      </c>
      <c r="EVM38" s="304">
        <f t="shared" ref="EVM38" si="3143">EDATE(EVI38,EVL38)</f>
        <v>45523</v>
      </c>
      <c r="EVN38" s="340">
        <v>0</v>
      </c>
      <c r="EVO38" s="320">
        <f t="shared" ref="EVO38" si="3144">IF(EVP38&gt;=1,(EVN38/EVL38),0)</f>
        <v>0</v>
      </c>
      <c r="EVP38" s="292"/>
      <c r="EVQ38" s="259" t="s">
        <v>55</v>
      </c>
      <c r="EVR38" s="256" t="s">
        <v>76</v>
      </c>
      <c r="EVS38" s="256" t="s">
        <v>77</v>
      </c>
      <c r="EVT38" s="256" t="s">
        <v>78</v>
      </c>
      <c r="EVU38" s="256" t="s">
        <v>79</v>
      </c>
      <c r="EVV38" s="256" t="s">
        <v>80</v>
      </c>
      <c r="EVW38" s="256" t="s">
        <v>81</v>
      </c>
      <c r="EVX38" s="331"/>
      <c r="EVY38" s="290">
        <v>45492</v>
      </c>
      <c r="EVZ38" s="339" t="s">
        <v>141</v>
      </c>
      <c r="EWA38" s="305"/>
      <c r="EWB38" s="305">
        <v>1</v>
      </c>
      <c r="EWC38" s="304">
        <f t="shared" ref="EWC38" si="3145">EDATE(EVY38,EWB38)</f>
        <v>45523</v>
      </c>
      <c r="EWD38" s="340">
        <v>0</v>
      </c>
      <c r="EWE38" s="320">
        <f t="shared" ref="EWE38" si="3146">IF(EWF38&gt;=1,(EWD38/EWB38),0)</f>
        <v>0</v>
      </c>
      <c r="EWF38" s="292"/>
      <c r="EWG38" s="259" t="s">
        <v>55</v>
      </c>
      <c r="EWH38" s="256" t="s">
        <v>76</v>
      </c>
      <c r="EWI38" s="256" t="s">
        <v>77</v>
      </c>
      <c r="EWJ38" s="256" t="s">
        <v>78</v>
      </c>
      <c r="EWK38" s="256" t="s">
        <v>79</v>
      </c>
      <c r="EWL38" s="256" t="s">
        <v>80</v>
      </c>
      <c r="EWM38" s="256" t="s">
        <v>81</v>
      </c>
      <c r="EWN38" s="331"/>
      <c r="EWO38" s="290">
        <v>45492</v>
      </c>
      <c r="EWP38" s="339" t="s">
        <v>141</v>
      </c>
      <c r="EWQ38" s="305"/>
      <c r="EWR38" s="305">
        <v>1</v>
      </c>
      <c r="EWS38" s="304">
        <f t="shared" ref="EWS38" si="3147">EDATE(EWO38,EWR38)</f>
        <v>45523</v>
      </c>
      <c r="EWT38" s="340">
        <v>0</v>
      </c>
      <c r="EWU38" s="320">
        <f t="shared" ref="EWU38" si="3148">IF(EWV38&gt;=1,(EWT38/EWR38),0)</f>
        <v>0</v>
      </c>
      <c r="EWV38" s="292"/>
      <c r="EWW38" s="259" t="s">
        <v>55</v>
      </c>
      <c r="EWX38" s="256" t="s">
        <v>76</v>
      </c>
      <c r="EWY38" s="256" t="s">
        <v>77</v>
      </c>
      <c r="EWZ38" s="256" t="s">
        <v>78</v>
      </c>
      <c r="EXA38" s="256" t="s">
        <v>79</v>
      </c>
      <c r="EXB38" s="256" t="s">
        <v>80</v>
      </c>
      <c r="EXC38" s="256" t="s">
        <v>81</v>
      </c>
      <c r="EXD38" s="331"/>
      <c r="EXE38" s="290">
        <v>45492</v>
      </c>
      <c r="EXF38" s="339" t="s">
        <v>141</v>
      </c>
      <c r="EXG38" s="305"/>
      <c r="EXH38" s="305">
        <v>1</v>
      </c>
      <c r="EXI38" s="304">
        <f t="shared" ref="EXI38" si="3149">EDATE(EXE38,EXH38)</f>
        <v>45523</v>
      </c>
      <c r="EXJ38" s="340">
        <v>0</v>
      </c>
      <c r="EXK38" s="320">
        <f t="shared" ref="EXK38" si="3150">IF(EXL38&gt;=1,(EXJ38/EXH38),0)</f>
        <v>0</v>
      </c>
      <c r="EXL38" s="292"/>
      <c r="EXM38" s="259" t="s">
        <v>55</v>
      </c>
      <c r="EXN38" s="256" t="s">
        <v>76</v>
      </c>
      <c r="EXO38" s="256" t="s">
        <v>77</v>
      </c>
      <c r="EXP38" s="256" t="s">
        <v>78</v>
      </c>
      <c r="EXQ38" s="256" t="s">
        <v>79</v>
      </c>
      <c r="EXR38" s="256" t="s">
        <v>80</v>
      </c>
      <c r="EXS38" s="256" t="s">
        <v>81</v>
      </c>
      <c r="EXT38" s="331"/>
      <c r="EXU38" s="290">
        <v>45492</v>
      </c>
      <c r="EXV38" s="339" t="s">
        <v>141</v>
      </c>
      <c r="EXW38" s="305"/>
      <c r="EXX38" s="305">
        <v>1</v>
      </c>
      <c r="EXY38" s="304">
        <f t="shared" ref="EXY38" si="3151">EDATE(EXU38,EXX38)</f>
        <v>45523</v>
      </c>
      <c r="EXZ38" s="340">
        <v>0</v>
      </c>
      <c r="EYA38" s="320">
        <f t="shared" ref="EYA38" si="3152">IF(EYB38&gt;=1,(EXZ38/EXX38),0)</f>
        <v>0</v>
      </c>
      <c r="EYB38" s="292"/>
      <c r="EYC38" s="259" t="s">
        <v>55</v>
      </c>
      <c r="EYD38" s="256" t="s">
        <v>76</v>
      </c>
      <c r="EYE38" s="256" t="s">
        <v>77</v>
      </c>
      <c r="EYF38" s="256" t="s">
        <v>78</v>
      </c>
      <c r="EYG38" s="256" t="s">
        <v>79</v>
      </c>
      <c r="EYH38" s="256" t="s">
        <v>80</v>
      </c>
      <c r="EYI38" s="256" t="s">
        <v>81</v>
      </c>
      <c r="EYJ38" s="331"/>
      <c r="EYK38" s="290">
        <v>45492</v>
      </c>
      <c r="EYL38" s="339" t="s">
        <v>141</v>
      </c>
      <c r="EYM38" s="305"/>
      <c r="EYN38" s="305">
        <v>1</v>
      </c>
      <c r="EYO38" s="304">
        <f t="shared" ref="EYO38" si="3153">EDATE(EYK38,EYN38)</f>
        <v>45523</v>
      </c>
      <c r="EYP38" s="340">
        <v>0</v>
      </c>
      <c r="EYQ38" s="320">
        <f t="shared" ref="EYQ38" si="3154">IF(EYR38&gt;=1,(EYP38/EYN38),0)</f>
        <v>0</v>
      </c>
      <c r="EYR38" s="292"/>
      <c r="EYS38" s="259" t="s">
        <v>55</v>
      </c>
      <c r="EYT38" s="256" t="s">
        <v>76</v>
      </c>
      <c r="EYU38" s="256" t="s">
        <v>77</v>
      </c>
      <c r="EYV38" s="256" t="s">
        <v>78</v>
      </c>
      <c r="EYW38" s="256" t="s">
        <v>79</v>
      </c>
      <c r="EYX38" s="256" t="s">
        <v>80</v>
      </c>
      <c r="EYY38" s="256" t="s">
        <v>81</v>
      </c>
      <c r="EYZ38" s="331"/>
      <c r="EZA38" s="290">
        <v>45492</v>
      </c>
      <c r="EZB38" s="339" t="s">
        <v>141</v>
      </c>
      <c r="EZC38" s="305"/>
      <c r="EZD38" s="305">
        <v>1</v>
      </c>
      <c r="EZE38" s="304">
        <f t="shared" ref="EZE38" si="3155">EDATE(EZA38,EZD38)</f>
        <v>45523</v>
      </c>
      <c r="EZF38" s="340">
        <v>0</v>
      </c>
      <c r="EZG38" s="320">
        <f t="shared" ref="EZG38" si="3156">IF(EZH38&gt;=1,(EZF38/EZD38),0)</f>
        <v>0</v>
      </c>
      <c r="EZH38" s="292"/>
      <c r="EZI38" s="259" t="s">
        <v>55</v>
      </c>
      <c r="EZJ38" s="256" t="s">
        <v>76</v>
      </c>
      <c r="EZK38" s="256" t="s">
        <v>77</v>
      </c>
      <c r="EZL38" s="256" t="s">
        <v>78</v>
      </c>
      <c r="EZM38" s="256" t="s">
        <v>79</v>
      </c>
      <c r="EZN38" s="256" t="s">
        <v>80</v>
      </c>
      <c r="EZO38" s="256" t="s">
        <v>81</v>
      </c>
      <c r="EZP38" s="331"/>
      <c r="EZQ38" s="290">
        <v>45492</v>
      </c>
      <c r="EZR38" s="339" t="s">
        <v>141</v>
      </c>
      <c r="EZS38" s="305"/>
      <c r="EZT38" s="305">
        <v>1</v>
      </c>
      <c r="EZU38" s="304">
        <f t="shared" ref="EZU38" si="3157">EDATE(EZQ38,EZT38)</f>
        <v>45523</v>
      </c>
      <c r="EZV38" s="340">
        <v>0</v>
      </c>
      <c r="EZW38" s="320">
        <f t="shared" ref="EZW38" si="3158">IF(EZX38&gt;=1,(EZV38/EZT38),0)</f>
        <v>0</v>
      </c>
      <c r="EZX38" s="292"/>
      <c r="EZY38" s="259" t="s">
        <v>55</v>
      </c>
      <c r="EZZ38" s="256" t="s">
        <v>76</v>
      </c>
      <c r="FAA38" s="256" t="s">
        <v>77</v>
      </c>
      <c r="FAB38" s="256" t="s">
        <v>78</v>
      </c>
      <c r="FAC38" s="256" t="s">
        <v>79</v>
      </c>
      <c r="FAD38" s="256" t="s">
        <v>80</v>
      </c>
      <c r="FAE38" s="256" t="s">
        <v>81</v>
      </c>
      <c r="FAF38" s="331"/>
      <c r="FAG38" s="290">
        <v>45492</v>
      </c>
      <c r="FAH38" s="339" t="s">
        <v>141</v>
      </c>
      <c r="FAI38" s="305"/>
      <c r="FAJ38" s="305">
        <v>1</v>
      </c>
      <c r="FAK38" s="304">
        <f t="shared" ref="FAK38" si="3159">EDATE(FAG38,FAJ38)</f>
        <v>45523</v>
      </c>
      <c r="FAL38" s="340">
        <v>0</v>
      </c>
      <c r="FAM38" s="320">
        <f t="shared" ref="FAM38" si="3160">IF(FAN38&gt;=1,(FAL38/FAJ38),0)</f>
        <v>0</v>
      </c>
      <c r="FAN38" s="292"/>
      <c r="FAO38" s="259" t="s">
        <v>55</v>
      </c>
      <c r="FAP38" s="256" t="s">
        <v>76</v>
      </c>
      <c r="FAQ38" s="256" t="s">
        <v>77</v>
      </c>
      <c r="FAR38" s="256" t="s">
        <v>78</v>
      </c>
      <c r="FAS38" s="256" t="s">
        <v>79</v>
      </c>
      <c r="FAT38" s="256" t="s">
        <v>80</v>
      </c>
      <c r="FAU38" s="256" t="s">
        <v>81</v>
      </c>
      <c r="FAV38" s="331"/>
      <c r="FAW38" s="290">
        <v>45492</v>
      </c>
      <c r="FAX38" s="339" t="s">
        <v>141</v>
      </c>
      <c r="FAY38" s="305"/>
      <c r="FAZ38" s="305">
        <v>1</v>
      </c>
      <c r="FBA38" s="304">
        <f t="shared" ref="FBA38" si="3161">EDATE(FAW38,FAZ38)</f>
        <v>45523</v>
      </c>
      <c r="FBB38" s="340">
        <v>0</v>
      </c>
      <c r="FBC38" s="320">
        <f t="shared" ref="FBC38" si="3162">IF(FBD38&gt;=1,(FBB38/FAZ38),0)</f>
        <v>0</v>
      </c>
      <c r="FBD38" s="292"/>
      <c r="FBE38" s="259" t="s">
        <v>55</v>
      </c>
      <c r="FBF38" s="256" t="s">
        <v>76</v>
      </c>
      <c r="FBG38" s="256" t="s">
        <v>77</v>
      </c>
      <c r="FBH38" s="256" t="s">
        <v>78</v>
      </c>
      <c r="FBI38" s="256" t="s">
        <v>79</v>
      </c>
      <c r="FBJ38" s="256" t="s">
        <v>80</v>
      </c>
      <c r="FBK38" s="256" t="s">
        <v>81</v>
      </c>
      <c r="FBL38" s="331"/>
      <c r="FBM38" s="290">
        <v>45492</v>
      </c>
      <c r="FBN38" s="339" t="s">
        <v>141</v>
      </c>
      <c r="FBO38" s="305"/>
      <c r="FBP38" s="305">
        <v>1</v>
      </c>
      <c r="FBQ38" s="304">
        <f t="shared" ref="FBQ38" si="3163">EDATE(FBM38,FBP38)</f>
        <v>45523</v>
      </c>
      <c r="FBR38" s="340">
        <v>0</v>
      </c>
      <c r="FBS38" s="320">
        <f t="shared" ref="FBS38" si="3164">IF(FBT38&gt;=1,(FBR38/FBP38),0)</f>
        <v>0</v>
      </c>
      <c r="FBT38" s="292"/>
      <c r="FBU38" s="259" t="s">
        <v>55</v>
      </c>
      <c r="FBV38" s="256" t="s">
        <v>76</v>
      </c>
      <c r="FBW38" s="256" t="s">
        <v>77</v>
      </c>
      <c r="FBX38" s="256" t="s">
        <v>78</v>
      </c>
      <c r="FBY38" s="256" t="s">
        <v>79</v>
      </c>
      <c r="FBZ38" s="256" t="s">
        <v>80</v>
      </c>
      <c r="FCA38" s="256" t="s">
        <v>81</v>
      </c>
      <c r="FCB38" s="331"/>
      <c r="FCC38" s="290">
        <v>45492</v>
      </c>
      <c r="FCD38" s="339" t="s">
        <v>141</v>
      </c>
      <c r="FCE38" s="305"/>
      <c r="FCF38" s="305">
        <v>1</v>
      </c>
      <c r="FCG38" s="304">
        <f t="shared" ref="FCG38" si="3165">EDATE(FCC38,FCF38)</f>
        <v>45523</v>
      </c>
      <c r="FCH38" s="340">
        <v>0</v>
      </c>
      <c r="FCI38" s="320">
        <f t="shared" ref="FCI38" si="3166">IF(FCJ38&gt;=1,(FCH38/FCF38),0)</f>
        <v>0</v>
      </c>
      <c r="FCJ38" s="292"/>
      <c r="FCK38" s="259" t="s">
        <v>55</v>
      </c>
      <c r="FCL38" s="256" t="s">
        <v>76</v>
      </c>
      <c r="FCM38" s="256" t="s">
        <v>77</v>
      </c>
      <c r="FCN38" s="256" t="s">
        <v>78</v>
      </c>
      <c r="FCO38" s="256" t="s">
        <v>79</v>
      </c>
      <c r="FCP38" s="256" t="s">
        <v>80</v>
      </c>
      <c r="FCQ38" s="256" t="s">
        <v>81</v>
      </c>
      <c r="FCR38" s="331"/>
      <c r="FCS38" s="290">
        <v>45492</v>
      </c>
      <c r="FCT38" s="339" t="s">
        <v>141</v>
      </c>
      <c r="FCU38" s="305"/>
      <c r="FCV38" s="305">
        <v>1</v>
      </c>
      <c r="FCW38" s="304">
        <f t="shared" ref="FCW38" si="3167">EDATE(FCS38,FCV38)</f>
        <v>45523</v>
      </c>
      <c r="FCX38" s="340">
        <v>0</v>
      </c>
      <c r="FCY38" s="320">
        <f t="shared" ref="FCY38" si="3168">IF(FCZ38&gt;=1,(FCX38/FCV38),0)</f>
        <v>0</v>
      </c>
      <c r="FCZ38" s="292"/>
      <c r="FDA38" s="259" t="s">
        <v>55</v>
      </c>
      <c r="FDB38" s="256" t="s">
        <v>76</v>
      </c>
      <c r="FDC38" s="256" t="s">
        <v>77</v>
      </c>
      <c r="FDD38" s="256" t="s">
        <v>78</v>
      </c>
      <c r="FDE38" s="256" t="s">
        <v>79</v>
      </c>
      <c r="FDF38" s="256" t="s">
        <v>80</v>
      </c>
      <c r="FDG38" s="256" t="s">
        <v>81</v>
      </c>
      <c r="FDH38" s="331"/>
      <c r="FDI38" s="290">
        <v>45492</v>
      </c>
      <c r="FDJ38" s="339" t="s">
        <v>141</v>
      </c>
      <c r="FDK38" s="305"/>
      <c r="FDL38" s="305">
        <v>1</v>
      </c>
      <c r="FDM38" s="304">
        <f t="shared" ref="FDM38" si="3169">EDATE(FDI38,FDL38)</f>
        <v>45523</v>
      </c>
      <c r="FDN38" s="340">
        <v>0</v>
      </c>
      <c r="FDO38" s="320">
        <f t="shared" ref="FDO38" si="3170">IF(FDP38&gt;=1,(FDN38/FDL38),0)</f>
        <v>0</v>
      </c>
      <c r="FDP38" s="292"/>
      <c r="FDQ38" s="259" t="s">
        <v>55</v>
      </c>
      <c r="FDR38" s="256" t="s">
        <v>76</v>
      </c>
      <c r="FDS38" s="256" t="s">
        <v>77</v>
      </c>
      <c r="FDT38" s="256" t="s">
        <v>78</v>
      </c>
      <c r="FDU38" s="256" t="s">
        <v>79</v>
      </c>
      <c r="FDV38" s="256" t="s">
        <v>80</v>
      </c>
      <c r="FDW38" s="256" t="s">
        <v>81</v>
      </c>
      <c r="FDX38" s="331"/>
      <c r="FDY38" s="290">
        <v>45492</v>
      </c>
      <c r="FDZ38" s="339" t="s">
        <v>141</v>
      </c>
      <c r="FEA38" s="305"/>
      <c r="FEB38" s="305">
        <v>1</v>
      </c>
      <c r="FEC38" s="304">
        <f t="shared" ref="FEC38" si="3171">EDATE(FDY38,FEB38)</f>
        <v>45523</v>
      </c>
      <c r="FED38" s="340">
        <v>0</v>
      </c>
      <c r="FEE38" s="320">
        <f t="shared" ref="FEE38" si="3172">IF(FEF38&gt;=1,(FED38/FEB38),0)</f>
        <v>0</v>
      </c>
      <c r="FEF38" s="292"/>
      <c r="FEG38" s="259" t="s">
        <v>55</v>
      </c>
      <c r="FEH38" s="256" t="s">
        <v>76</v>
      </c>
      <c r="FEI38" s="256" t="s">
        <v>77</v>
      </c>
      <c r="FEJ38" s="256" t="s">
        <v>78</v>
      </c>
      <c r="FEK38" s="256" t="s">
        <v>79</v>
      </c>
      <c r="FEL38" s="256" t="s">
        <v>80</v>
      </c>
      <c r="FEM38" s="256" t="s">
        <v>81</v>
      </c>
      <c r="FEN38" s="331"/>
      <c r="FEO38" s="290">
        <v>45492</v>
      </c>
      <c r="FEP38" s="339" t="s">
        <v>141</v>
      </c>
      <c r="FEQ38" s="305"/>
      <c r="FER38" s="305">
        <v>1</v>
      </c>
      <c r="FES38" s="304">
        <f t="shared" ref="FES38" si="3173">EDATE(FEO38,FER38)</f>
        <v>45523</v>
      </c>
      <c r="FET38" s="340">
        <v>0</v>
      </c>
      <c r="FEU38" s="320">
        <f t="shared" ref="FEU38" si="3174">IF(FEV38&gt;=1,(FET38/FER38),0)</f>
        <v>0</v>
      </c>
      <c r="FEV38" s="292"/>
      <c r="FEW38" s="259" t="s">
        <v>55</v>
      </c>
      <c r="FEX38" s="256" t="s">
        <v>76</v>
      </c>
      <c r="FEY38" s="256" t="s">
        <v>77</v>
      </c>
      <c r="FEZ38" s="256" t="s">
        <v>78</v>
      </c>
      <c r="FFA38" s="256" t="s">
        <v>79</v>
      </c>
      <c r="FFB38" s="256" t="s">
        <v>80</v>
      </c>
      <c r="FFC38" s="256" t="s">
        <v>81</v>
      </c>
      <c r="FFD38" s="331"/>
      <c r="FFE38" s="290">
        <v>45492</v>
      </c>
      <c r="FFF38" s="339" t="s">
        <v>141</v>
      </c>
      <c r="FFG38" s="305"/>
      <c r="FFH38" s="305">
        <v>1</v>
      </c>
      <c r="FFI38" s="304">
        <f t="shared" ref="FFI38" si="3175">EDATE(FFE38,FFH38)</f>
        <v>45523</v>
      </c>
      <c r="FFJ38" s="340">
        <v>0</v>
      </c>
      <c r="FFK38" s="320">
        <f t="shared" ref="FFK38" si="3176">IF(FFL38&gt;=1,(FFJ38/FFH38),0)</f>
        <v>0</v>
      </c>
      <c r="FFL38" s="292"/>
      <c r="FFM38" s="259" t="s">
        <v>55</v>
      </c>
      <c r="FFN38" s="256" t="s">
        <v>76</v>
      </c>
      <c r="FFO38" s="256" t="s">
        <v>77</v>
      </c>
      <c r="FFP38" s="256" t="s">
        <v>78</v>
      </c>
      <c r="FFQ38" s="256" t="s">
        <v>79</v>
      </c>
      <c r="FFR38" s="256" t="s">
        <v>80</v>
      </c>
      <c r="FFS38" s="256" t="s">
        <v>81</v>
      </c>
      <c r="FFT38" s="331"/>
      <c r="FFU38" s="290">
        <v>45492</v>
      </c>
      <c r="FFV38" s="339" t="s">
        <v>141</v>
      </c>
      <c r="FFW38" s="305"/>
      <c r="FFX38" s="305">
        <v>1</v>
      </c>
      <c r="FFY38" s="304">
        <f t="shared" ref="FFY38" si="3177">EDATE(FFU38,FFX38)</f>
        <v>45523</v>
      </c>
      <c r="FFZ38" s="340">
        <v>0</v>
      </c>
      <c r="FGA38" s="320">
        <f t="shared" ref="FGA38" si="3178">IF(FGB38&gt;=1,(FFZ38/FFX38),0)</f>
        <v>0</v>
      </c>
      <c r="FGB38" s="292"/>
      <c r="FGC38" s="259" t="s">
        <v>55</v>
      </c>
      <c r="FGD38" s="256" t="s">
        <v>76</v>
      </c>
      <c r="FGE38" s="256" t="s">
        <v>77</v>
      </c>
      <c r="FGF38" s="256" t="s">
        <v>78</v>
      </c>
      <c r="FGG38" s="256" t="s">
        <v>79</v>
      </c>
      <c r="FGH38" s="256" t="s">
        <v>80</v>
      </c>
      <c r="FGI38" s="256" t="s">
        <v>81</v>
      </c>
      <c r="FGJ38" s="331"/>
      <c r="FGK38" s="290">
        <v>45492</v>
      </c>
      <c r="FGL38" s="339" t="s">
        <v>141</v>
      </c>
      <c r="FGM38" s="305"/>
      <c r="FGN38" s="305">
        <v>1</v>
      </c>
      <c r="FGO38" s="304">
        <f t="shared" ref="FGO38" si="3179">EDATE(FGK38,FGN38)</f>
        <v>45523</v>
      </c>
      <c r="FGP38" s="340">
        <v>0</v>
      </c>
      <c r="FGQ38" s="320">
        <f t="shared" ref="FGQ38" si="3180">IF(FGR38&gt;=1,(FGP38/FGN38),0)</f>
        <v>0</v>
      </c>
      <c r="FGR38" s="292"/>
      <c r="FGS38" s="259" t="s">
        <v>55</v>
      </c>
      <c r="FGT38" s="256" t="s">
        <v>76</v>
      </c>
      <c r="FGU38" s="256" t="s">
        <v>77</v>
      </c>
      <c r="FGV38" s="256" t="s">
        <v>78</v>
      </c>
      <c r="FGW38" s="256" t="s">
        <v>79</v>
      </c>
      <c r="FGX38" s="256" t="s">
        <v>80</v>
      </c>
      <c r="FGY38" s="256" t="s">
        <v>81</v>
      </c>
      <c r="FGZ38" s="331"/>
      <c r="FHA38" s="290">
        <v>45492</v>
      </c>
      <c r="FHB38" s="339" t="s">
        <v>141</v>
      </c>
      <c r="FHC38" s="305"/>
      <c r="FHD38" s="305">
        <v>1</v>
      </c>
      <c r="FHE38" s="304">
        <f t="shared" ref="FHE38" si="3181">EDATE(FHA38,FHD38)</f>
        <v>45523</v>
      </c>
      <c r="FHF38" s="340">
        <v>0</v>
      </c>
      <c r="FHG38" s="320">
        <f t="shared" ref="FHG38" si="3182">IF(FHH38&gt;=1,(FHF38/FHD38),0)</f>
        <v>0</v>
      </c>
      <c r="FHH38" s="292"/>
      <c r="FHI38" s="259" t="s">
        <v>55</v>
      </c>
      <c r="FHJ38" s="256" t="s">
        <v>76</v>
      </c>
      <c r="FHK38" s="256" t="s">
        <v>77</v>
      </c>
      <c r="FHL38" s="256" t="s">
        <v>78</v>
      </c>
      <c r="FHM38" s="256" t="s">
        <v>79</v>
      </c>
      <c r="FHN38" s="256" t="s">
        <v>80</v>
      </c>
      <c r="FHO38" s="256" t="s">
        <v>81</v>
      </c>
      <c r="FHP38" s="331"/>
      <c r="FHQ38" s="290">
        <v>45492</v>
      </c>
      <c r="FHR38" s="339" t="s">
        <v>141</v>
      </c>
      <c r="FHS38" s="305"/>
      <c r="FHT38" s="305">
        <v>1</v>
      </c>
      <c r="FHU38" s="304">
        <f t="shared" ref="FHU38" si="3183">EDATE(FHQ38,FHT38)</f>
        <v>45523</v>
      </c>
      <c r="FHV38" s="340">
        <v>0</v>
      </c>
      <c r="FHW38" s="320">
        <f t="shared" ref="FHW38" si="3184">IF(FHX38&gt;=1,(FHV38/FHT38),0)</f>
        <v>0</v>
      </c>
      <c r="FHX38" s="292"/>
      <c r="FHY38" s="259" t="s">
        <v>55</v>
      </c>
      <c r="FHZ38" s="256" t="s">
        <v>76</v>
      </c>
      <c r="FIA38" s="256" t="s">
        <v>77</v>
      </c>
      <c r="FIB38" s="256" t="s">
        <v>78</v>
      </c>
      <c r="FIC38" s="256" t="s">
        <v>79</v>
      </c>
      <c r="FID38" s="256" t="s">
        <v>80</v>
      </c>
      <c r="FIE38" s="256" t="s">
        <v>81</v>
      </c>
      <c r="FIF38" s="331"/>
      <c r="FIG38" s="290">
        <v>45492</v>
      </c>
      <c r="FIH38" s="339" t="s">
        <v>141</v>
      </c>
      <c r="FII38" s="305"/>
      <c r="FIJ38" s="305">
        <v>1</v>
      </c>
      <c r="FIK38" s="304">
        <f t="shared" ref="FIK38" si="3185">EDATE(FIG38,FIJ38)</f>
        <v>45523</v>
      </c>
      <c r="FIL38" s="340">
        <v>0</v>
      </c>
      <c r="FIM38" s="320">
        <f t="shared" ref="FIM38" si="3186">IF(FIN38&gt;=1,(FIL38/FIJ38),0)</f>
        <v>0</v>
      </c>
      <c r="FIN38" s="292"/>
      <c r="FIO38" s="259" t="s">
        <v>55</v>
      </c>
      <c r="FIP38" s="256" t="s">
        <v>76</v>
      </c>
      <c r="FIQ38" s="256" t="s">
        <v>77</v>
      </c>
      <c r="FIR38" s="256" t="s">
        <v>78</v>
      </c>
      <c r="FIS38" s="256" t="s">
        <v>79</v>
      </c>
      <c r="FIT38" s="256" t="s">
        <v>80</v>
      </c>
      <c r="FIU38" s="256" t="s">
        <v>81</v>
      </c>
      <c r="FIV38" s="331"/>
      <c r="FIW38" s="290">
        <v>45492</v>
      </c>
      <c r="FIX38" s="339" t="s">
        <v>141</v>
      </c>
      <c r="FIY38" s="305"/>
      <c r="FIZ38" s="305">
        <v>1</v>
      </c>
      <c r="FJA38" s="304">
        <f t="shared" ref="FJA38" si="3187">EDATE(FIW38,FIZ38)</f>
        <v>45523</v>
      </c>
      <c r="FJB38" s="340">
        <v>0</v>
      </c>
      <c r="FJC38" s="320">
        <f t="shared" ref="FJC38" si="3188">IF(FJD38&gt;=1,(FJB38/FIZ38),0)</f>
        <v>0</v>
      </c>
      <c r="FJD38" s="292"/>
      <c r="FJE38" s="259" t="s">
        <v>55</v>
      </c>
      <c r="FJF38" s="256" t="s">
        <v>76</v>
      </c>
      <c r="FJG38" s="256" t="s">
        <v>77</v>
      </c>
      <c r="FJH38" s="256" t="s">
        <v>78</v>
      </c>
      <c r="FJI38" s="256" t="s">
        <v>79</v>
      </c>
      <c r="FJJ38" s="256" t="s">
        <v>80</v>
      </c>
      <c r="FJK38" s="256" t="s">
        <v>81</v>
      </c>
      <c r="FJL38" s="331"/>
      <c r="FJM38" s="290">
        <v>45492</v>
      </c>
      <c r="FJN38" s="339" t="s">
        <v>141</v>
      </c>
      <c r="FJO38" s="305"/>
      <c r="FJP38" s="305">
        <v>1</v>
      </c>
      <c r="FJQ38" s="304">
        <f t="shared" ref="FJQ38" si="3189">EDATE(FJM38,FJP38)</f>
        <v>45523</v>
      </c>
      <c r="FJR38" s="340">
        <v>0</v>
      </c>
      <c r="FJS38" s="320">
        <f t="shared" ref="FJS38" si="3190">IF(FJT38&gt;=1,(FJR38/FJP38),0)</f>
        <v>0</v>
      </c>
      <c r="FJT38" s="292"/>
      <c r="FJU38" s="259" t="s">
        <v>55</v>
      </c>
      <c r="FJV38" s="256" t="s">
        <v>76</v>
      </c>
      <c r="FJW38" s="256" t="s">
        <v>77</v>
      </c>
      <c r="FJX38" s="256" t="s">
        <v>78</v>
      </c>
      <c r="FJY38" s="256" t="s">
        <v>79</v>
      </c>
      <c r="FJZ38" s="256" t="s">
        <v>80</v>
      </c>
      <c r="FKA38" s="256" t="s">
        <v>81</v>
      </c>
      <c r="FKB38" s="331"/>
      <c r="FKC38" s="290">
        <v>45492</v>
      </c>
      <c r="FKD38" s="339" t="s">
        <v>141</v>
      </c>
      <c r="FKE38" s="305"/>
      <c r="FKF38" s="305">
        <v>1</v>
      </c>
      <c r="FKG38" s="304">
        <f t="shared" ref="FKG38" si="3191">EDATE(FKC38,FKF38)</f>
        <v>45523</v>
      </c>
      <c r="FKH38" s="340">
        <v>0</v>
      </c>
      <c r="FKI38" s="320">
        <f t="shared" ref="FKI38" si="3192">IF(FKJ38&gt;=1,(FKH38/FKF38),0)</f>
        <v>0</v>
      </c>
      <c r="FKJ38" s="292"/>
      <c r="FKK38" s="259" t="s">
        <v>55</v>
      </c>
      <c r="FKL38" s="256" t="s">
        <v>76</v>
      </c>
      <c r="FKM38" s="256" t="s">
        <v>77</v>
      </c>
      <c r="FKN38" s="256" t="s">
        <v>78</v>
      </c>
      <c r="FKO38" s="256" t="s">
        <v>79</v>
      </c>
      <c r="FKP38" s="256" t="s">
        <v>80</v>
      </c>
      <c r="FKQ38" s="256" t="s">
        <v>81</v>
      </c>
      <c r="FKR38" s="331"/>
      <c r="FKS38" s="290">
        <v>45492</v>
      </c>
      <c r="FKT38" s="339" t="s">
        <v>141</v>
      </c>
      <c r="FKU38" s="305"/>
      <c r="FKV38" s="305">
        <v>1</v>
      </c>
      <c r="FKW38" s="304">
        <f t="shared" ref="FKW38" si="3193">EDATE(FKS38,FKV38)</f>
        <v>45523</v>
      </c>
      <c r="FKX38" s="340">
        <v>0</v>
      </c>
      <c r="FKY38" s="320">
        <f t="shared" ref="FKY38" si="3194">IF(FKZ38&gt;=1,(FKX38/FKV38),0)</f>
        <v>0</v>
      </c>
      <c r="FKZ38" s="292"/>
      <c r="FLA38" s="259" t="s">
        <v>55</v>
      </c>
      <c r="FLB38" s="256" t="s">
        <v>76</v>
      </c>
      <c r="FLC38" s="256" t="s">
        <v>77</v>
      </c>
      <c r="FLD38" s="256" t="s">
        <v>78</v>
      </c>
      <c r="FLE38" s="256" t="s">
        <v>79</v>
      </c>
      <c r="FLF38" s="256" t="s">
        <v>80</v>
      </c>
      <c r="FLG38" s="256" t="s">
        <v>81</v>
      </c>
      <c r="FLH38" s="331"/>
      <c r="FLI38" s="290">
        <v>45492</v>
      </c>
      <c r="FLJ38" s="339" t="s">
        <v>141</v>
      </c>
      <c r="FLK38" s="305"/>
      <c r="FLL38" s="305">
        <v>1</v>
      </c>
      <c r="FLM38" s="304">
        <f t="shared" ref="FLM38" si="3195">EDATE(FLI38,FLL38)</f>
        <v>45523</v>
      </c>
      <c r="FLN38" s="340">
        <v>0</v>
      </c>
      <c r="FLO38" s="320">
        <f t="shared" ref="FLO38" si="3196">IF(FLP38&gt;=1,(FLN38/FLL38),0)</f>
        <v>0</v>
      </c>
      <c r="FLP38" s="292"/>
      <c r="FLQ38" s="259" t="s">
        <v>55</v>
      </c>
      <c r="FLR38" s="256" t="s">
        <v>76</v>
      </c>
      <c r="FLS38" s="256" t="s">
        <v>77</v>
      </c>
      <c r="FLT38" s="256" t="s">
        <v>78</v>
      </c>
      <c r="FLU38" s="256" t="s">
        <v>79</v>
      </c>
      <c r="FLV38" s="256" t="s">
        <v>80</v>
      </c>
      <c r="FLW38" s="256" t="s">
        <v>81</v>
      </c>
      <c r="FLX38" s="331"/>
      <c r="FLY38" s="290">
        <v>45492</v>
      </c>
      <c r="FLZ38" s="339" t="s">
        <v>141</v>
      </c>
      <c r="FMA38" s="305"/>
      <c r="FMB38" s="305">
        <v>1</v>
      </c>
      <c r="FMC38" s="304">
        <f t="shared" ref="FMC38" si="3197">EDATE(FLY38,FMB38)</f>
        <v>45523</v>
      </c>
      <c r="FMD38" s="340">
        <v>0</v>
      </c>
      <c r="FME38" s="320">
        <f t="shared" ref="FME38" si="3198">IF(FMF38&gt;=1,(FMD38/FMB38),0)</f>
        <v>0</v>
      </c>
      <c r="FMF38" s="292"/>
      <c r="FMG38" s="259" t="s">
        <v>55</v>
      </c>
      <c r="FMH38" s="256" t="s">
        <v>76</v>
      </c>
      <c r="FMI38" s="256" t="s">
        <v>77</v>
      </c>
      <c r="FMJ38" s="256" t="s">
        <v>78</v>
      </c>
      <c r="FMK38" s="256" t="s">
        <v>79</v>
      </c>
      <c r="FML38" s="256" t="s">
        <v>80</v>
      </c>
      <c r="FMM38" s="256" t="s">
        <v>81</v>
      </c>
      <c r="FMN38" s="331"/>
      <c r="FMO38" s="290">
        <v>45492</v>
      </c>
      <c r="FMP38" s="339" t="s">
        <v>141</v>
      </c>
      <c r="FMQ38" s="305"/>
      <c r="FMR38" s="305">
        <v>1</v>
      </c>
      <c r="FMS38" s="304">
        <f t="shared" ref="FMS38" si="3199">EDATE(FMO38,FMR38)</f>
        <v>45523</v>
      </c>
      <c r="FMT38" s="340">
        <v>0</v>
      </c>
      <c r="FMU38" s="320">
        <f t="shared" ref="FMU38" si="3200">IF(FMV38&gt;=1,(FMT38/FMR38),0)</f>
        <v>0</v>
      </c>
      <c r="FMV38" s="292"/>
      <c r="FMW38" s="259" t="s">
        <v>55</v>
      </c>
      <c r="FMX38" s="256" t="s">
        <v>76</v>
      </c>
      <c r="FMY38" s="256" t="s">
        <v>77</v>
      </c>
      <c r="FMZ38" s="256" t="s">
        <v>78</v>
      </c>
      <c r="FNA38" s="256" t="s">
        <v>79</v>
      </c>
      <c r="FNB38" s="256" t="s">
        <v>80</v>
      </c>
      <c r="FNC38" s="256" t="s">
        <v>81</v>
      </c>
      <c r="FND38" s="331"/>
      <c r="FNE38" s="290">
        <v>45492</v>
      </c>
      <c r="FNF38" s="339" t="s">
        <v>141</v>
      </c>
      <c r="FNG38" s="305"/>
      <c r="FNH38" s="305">
        <v>1</v>
      </c>
      <c r="FNI38" s="304">
        <f t="shared" ref="FNI38" si="3201">EDATE(FNE38,FNH38)</f>
        <v>45523</v>
      </c>
      <c r="FNJ38" s="340">
        <v>0</v>
      </c>
      <c r="FNK38" s="320">
        <f t="shared" ref="FNK38" si="3202">IF(FNL38&gt;=1,(FNJ38/FNH38),0)</f>
        <v>0</v>
      </c>
      <c r="FNL38" s="292"/>
      <c r="FNM38" s="259" t="s">
        <v>55</v>
      </c>
      <c r="FNN38" s="256" t="s">
        <v>76</v>
      </c>
      <c r="FNO38" s="256" t="s">
        <v>77</v>
      </c>
      <c r="FNP38" s="256" t="s">
        <v>78</v>
      </c>
      <c r="FNQ38" s="256" t="s">
        <v>79</v>
      </c>
      <c r="FNR38" s="256" t="s">
        <v>80</v>
      </c>
      <c r="FNS38" s="256" t="s">
        <v>81</v>
      </c>
      <c r="FNT38" s="331"/>
      <c r="FNU38" s="290">
        <v>45492</v>
      </c>
      <c r="FNV38" s="339" t="s">
        <v>141</v>
      </c>
      <c r="FNW38" s="305"/>
      <c r="FNX38" s="305">
        <v>1</v>
      </c>
      <c r="FNY38" s="304">
        <f t="shared" ref="FNY38" si="3203">EDATE(FNU38,FNX38)</f>
        <v>45523</v>
      </c>
      <c r="FNZ38" s="340">
        <v>0</v>
      </c>
      <c r="FOA38" s="320">
        <f t="shared" ref="FOA38" si="3204">IF(FOB38&gt;=1,(FNZ38/FNX38),0)</f>
        <v>0</v>
      </c>
      <c r="FOB38" s="292"/>
      <c r="FOC38" s="259" t="s">
        <v>55</v>
      </c>
      <c r="FOD38" s="256" t="s">
        <v>76</v>
      </c>
      <c r="FOE38" s="256" t="s">
        <v>77</v>
      </c>
      <c r="FOF38" s="256" t="s">
        <v>78</v>
      </c>
      <c r="FOG38" s="256" t="s">
        <v>79</v>
      </c>
      <c r="FOH38" s="256" t="s">
        <v>80</v>
      </c>
      <c r="FOI38" s="256" t="s">
        <v>81</v>
      </c>
      <c r="FOJ38" s="331"/>
      <c r="FOK38" s="290">
        <v>45492</v>
      </c>
      <c r="FOL38" s="339" t="s">
        <v>141</v>
      </c>
      <c r="FOM38" s="305"/>
      <c r="FON38" s="305">
        <v>1</v>
      </c>
      <c r="FOO38" s="304">
        <f t="shared" ref="FOO38" si="3205">EDATE(FOK38,FON38)</f>
        <v>45523</v>
      </c>
      <c r="FOP38" s="340">
        <v>0</v>
      </c>
      <c r="FOQ38" s="320">
        <f t="shared" ref="FOQ38" si="3206">IF(FOR38&gt;=1,(FOP38/FON38),0)</f>
        <v>0</v>
      </c>
      <c r="FOR38" s="292"/>
      <c r="FOS38" s="259" t="s">
        <v>55</v>
      </c>
      <c r="FOT38" s="256" t="s">
        <v>76</v>
      </c>
      <c r="FOU38" s="256" t="s">
        <v>77</v>
      </c>
      <c r="FOV38" s="256" t="s">
        <v>78</v>
      </c>
      <c r="FOW38" s="256" t="s">
        <v>79</v>
      </c>
      <c r="FOX38" s="256" t="s">
        <v>80</v>
      </c>
      <c r="FOY38" s="256" t="s">
        <v>81</v>
      </c>
      <c r="FOZ38" s="331"/>
      <c r="FPA38" s="290">
        <v>45492</v>
      </c>
      <c r="FPB38" s="339" t="s">
        <v>141</v>
      </c>
      <c r="FPC38" s="305"/>
      <c r="FPD38" s="305">
        <v>1</v>
      </c>
      <c r="FPE38" s="304">
        <f t="shared" ref="FPE38" si="3207">EDATE(FPA38,FPD38)</f>
        <v>45523</v>
      </c>
      <c r="FPF38" s="340">
        <v>0</v>
      </c>
      <c r="FPG38" s="320">
        <f t="shared" ref="FPG38" si="3208">IF(FPH38&gt;=1,(FPF38/FPD38),0)</f>
        <v>0</v>
      </c>
      <c r="FPH38" s="292"/>
      <c r="FPI38" s="259" t="s">
        <v>55</v>
      </c>
      <c r="FPJ38" s="256" t="s">
        <v>76</v>
      </c>
      <c r="FPK38" s="256" t="s">
        <v>77</v>
      </c>
      <c r="FPL38" s="256" t="s">
        <v>78</v>
      </c>
      <c r="FPM38" s="256" t="s">
        <v>79</v>
      </c>
      <c r="FPN38" s="256" t="s">
        <v>80</v>
      </c>
      <c r="FPO38" s="256" t="s">
        <v>81</v>
      </c>
      <c r="FPP38" s="331"/>
      <c r="FPQ38" s="290">
        <v>45492</v>
      </c>
      <c r="FPR38" s="339" t="s">
        <v>141</v>
      </c>
      <c r="FPS38" s="305"/>
      <c r="FPT38" s="305">
        <v>1</v>
      </c>
      <c r="FPU38" s="304">
        <f t="shared" ref="FPU38" si="3209">EDATE(FPQ38,FPT38)</f>
        <v>45523</v>
      </c>
      <c r="FPV38" s="340">
        <v>0</v>
      </c>
      <c r="FPW38" s="320">
        <f t="shared" ref="FPW38" si="3210">IF(FPX38&gt;=1,(FPV38/FPT38),0)</f>
        <v>0</v>
      </c>
      <c r="FPX38" s="292"/>
      <c r="FPY38" s="259" t="s">
        <v>55</v>
      </c>
      <c r="FPZ38" s="256" t="s">
        <v>76</v>
      </c>
      <c r="FQA38" s="256" t="s">
        <v>77</v>
      </c>
      <c r="FQB38" s="256" t="s">
        <v>78</v>
      </c>
      <c r="FQC38" s="256" t="s">
        <v>79</v>
      </c>
      <c r="FQD38" s="256" t="s">
        <v>80</v>
      </c>
      <c r="FQE38" s="256" t="s">
        <v>81</v>
      </c>
      <c r="FQF38" s="331"/>
      <c r="FQG38" s="290">
        <v>45492</v>
      </c>
      <c r="FQH38" s="339" t="s">
        <v>141</v>
      </c>
      <c r="FQI38" s="305"/>
      <c r="FQJ38" s="305">
        <v>1</v>
      </c>
      <c r="FQK38" s="304">
        <f t="shared" ref="FQK38" si="3211">EDATE(FQG38,FQJ38)</f>
        <v>45523</v>
      </c>
      <c r="FQL38" s="340">
        <v>0</v>
      </c>
      <c r="FQM38" s="320">
        <f t="shared" ref="FQM38" si="3212">IF(FQN38&gt;=1,(FQL38/FQJ38),0)</f>
        <v>0</v>
      </c>
      <c r="FQN38" s="292"/>
      <c r="FQO38" s="259" t="s">
        <v>55</v>
      </c>
      <c r="FQP38" s="256" t="s">
        <v>76</v>
      </c>
      <c r="FQQ38" s="256" t="s">
        <v>77</v>
      </c>
      <c r="FQR38" s="256" t="s">
        <v>78</v>
      </c>
      <c r="FQS38" s="256" t="s">
        <v>79</v>
      </c>
      <c r="FQT38" s="256" t="s">
        <v>80</v>
      </c>
      <c r="FQU38" s="256" t="s">
        <v>81</v>
      </c>
      <c r="FQV38" s="331"/>
      <c r="FQW38" s="290">
        <v>45492</v>
      </c>
      <c r="FQX38" s="339" t="s">
        <v>141</v>
      </c>
      <c r="FQY38" s="305"/>
      <c r="FQZ38" s="305">
        <v>1</v>
      </c>
      <c r="FRA38" s="304">
        <f t="shared" ref="FRA38" si="3213">EDATE(FQW38,FQZ38)</f>
        <v>45523</v>
      </c>
      <c r="FRB38" s="340">
        <v>0</v>
      </c>
      <c r="FRC38" s="320">
        <f t="shared" ref="FRC38" si="3214">IF(FRD38&gt;=1,(FRB38/FQZ38),0)</f>
        <v>0</v>
      </c>
      <c r="FRD38" s="292"/>
      <c r="FRE38" s="259" t="s">
        <v>55</v>
      </c>
      <c r="FRF38" s="256" t="s">
        <v>76</v>
      </c>
      <c r="FRG38" s="256" t="s">
        <v>77</v>
      </c>
      <c r="FRH38" s="256" t="s">
        <v>78</v>
      </c>
      <c r="FRI38" s="256" t="s">
        <v>79</v>
      </c>
      <c r="FRJ38" s="256" t="s">
        <v>80</v>
      </c>
      <c r="FRK38" s="256" t="s">
        <v>81</v>
      </c>
      <c r="FRL38" s="331"/>
      <c r="FRM38" s="290">
        <v>45492</v>
      </c>
      <c r="FRN38" s="339" t="s">
        <v>141</v>
      </c>
      <c r="FRO38" s="305"/>
      <c r="FRP38" s="305">
        <v>1</v>
      </c>
      <c r="FRQ38" s="304">
        <f t="shared" ref="FRQ38" si="3215">EDATE(FRM38,FRP38)</f>
        <v>45523</v>
      </c>
      <c r="FRR38" s="340">
        <v>0</v>
      </c>
      <c r="FRS38" s="320">
        <f t="shared" ref="FRS38" si="3216">IF(FRT38&gt;=1,(FRR38/FRP38),0)</f>
        <v>0</v>
      </c>
      <c r="FRT38" s="292"/>
      <c r="FRU38" s="259" t="s">
        <v>55</v>
      </c>
      <c r="FRV38" s="256" t="s">
        <v>76</v>
      </c>
      <c r="FRW38" s="256" t="s">
        <v>77</v>
      </c>
      <c r="FRX38" s="256" t="s">
        <v>78</v>
      </c>
      <c r="FRY38" s="256" t="s">
        <v>79</v>
      </c>
      <c r="FRZ38" s="256" t="s">
        <v>80</v>
      </c>
      <c r="FSA38" s="256" t="s">
        <v>81</v>
      </c>
      <c r="FSB38" s="331"/>
      <c r="FSC38" s="290">
        <v>45492</v>
      </c>
      <c r="FSD38" s="339" t="s">
        <v>141</v>
      </c>
      <c r="FSE38" s="305"/>
      <c r="FSF38" s="305">
        <v>1</v>
      </c>
      <c r="FSG38" s="304">
        <f t="shared" ref="FSG38" si="3217">EDATE(FSC38,FSF38)</f>
        <v>45523</v>
      </c>
      <c r="FSH38" s="340">
        <v>0</v>
      </c>
      <c r="FSI38" s="320">
        <f t="shared" ref="FSI38" si="3218">IF(FSJ38&gt;=1,(FSH38/FSF38),0)</f>
        <v>0</v>
      </c>
      <c r="FSJ38" s="292"/>
      <c r="FSK38" s="259" t="s">
        <v>55</v>
      </c>
      <c r="FSL38" s="256" t="s">
        <v>76</v>
      </c>
      <c r="FSM38" s="256" t="s">
        <v>77</v>
      </c>
      <c r="FSN38" s="256" t="s">
        <v>78</v>
      </c>
      <c r="FSO38" s="256" t="s">
        <v>79</v>
      </c>
      <c r="FSP38" s="256" t="s">
        <v>80</v>
      </c>
      <c r="FSQ38" s="256" t="s">
        <v>81</v>
      </c>
      <c r="FSR38" s="331"/>
      <c r="FSS38" s="290">
        <v>45492</v>
      </c>
      <c r="FST38" s="339" t="s">
        <v>141</v>
      </c>
      <c r="FSU38" s="305"/>
      <c r="FSV38" s="305">
        <v>1</v>
      </c>
      <c r="FSW38" s="304">
        <f t="shared" ref="FSW38" si="3219">EDATE(FSS38,FSV38)</f>
        <v>45523</v>
      </c>
      <c r="FSX38" s="340">
        <v>0</v>
      </c>
      <c r="FSY38" s="320">
        <f t="shared" ref="FSY38" si="3220">IF(FSZ38&gt;=1,(FSX38/FSV38),0)</f>
        <v>0</v>
      </c>
      <c r="FSZ38" s="292"/>
      <c r="FTA38" s="259" t="s">
        <v>55</v>
      </c>
      <c r="FTB38" s="256" t="s">
        <v>76</v>
      </c>
      <c r="FTC38" s="256" t="s">
        <v>77</v>
      </c>
      <c r="FTD38" s="256" t="s">
        <v>78</v>
      </c>
      <c r="FTE38" s="256" t="s">
        <v>79</v>
      </c>
      <c r="FTF38" s="256" t="s">
        <v>80</v>
      </c>
      <c r="FTG38" s="256" t="s">
        <v>81</v>
      </c>
      <c r="FTH38" s="331"/>
      <c r="FTI38" s="290">
        <v>45492</v>
      </c>
      <c r="FTJ38" s="339" t="s">
        <v>141</v>
      </c>
      <c r="FTK38" s="305"/>
      <c r="FTL38" s="305">
        <v>1</v>
      </c>
      <c r="FTM38" s="304">
        <f t="shared" ref="FTM38" si="3221">EDATE(FTI38,FTL38)</f>
        <v>45523</v>
      </c>
      <c r="FTN38" s="340">
        <v>0</v>
      </c>
      <c r="FTO38" s="320">
        <f t="shared" ref="FTO38" si="3222">IF(FTP38&gt;=1,(FTN38/FTL38),0)</f>
        <v>0</v>
      </c>
      <c r="FTP38" s="292"/>
      <c r="FTQ38" s="259" t="s">
        <v>55</v>
      </c>
      <c r="FTR38" s="256" t="s">
        <v>76</v>
      </c>
      <c r="FTS38" s="256" t="s">
        <v>77</v>
      </c>
      <c r="FTT38" s="256" t="s">
        <v>78</v>
      </c>
      <c r="FTU38" s="256" t="s">
        <v>79</v>
      </c>
      <c r="FTV38" s="256" t="s">
        <v>80</v>
      </c>
      <c r="FTW38" s="256" t="s">
        <v>81</v>
      </c>
      <c r="FTX38" s="331"/>
      <c r="FTY38" s="290">
        <v>45492</v>
      </c>
      <c r="FTZ38" s="339" t="s">
        <v>141</v>
      </c>
      <c r="FUA38" s="305"/>
      <c r="FUB38" s="305">
        <v>1</v>
      </c>
      <c r="FUC38" s="304">
        <f t="shared" ref="FUC38" si="3223">EDATE(FTY38,FUB38)</f>
        <v>45523</v>
      </c>
      <c r="FUD38" s="340">
        <v>0</v>
      </c>
      <c r="FUE38" s="320">
        <f t="shared" ref="FUE38" si="3224">IF(FUF38&gt;=1,(FUD38/FUB38),0)</f>
        <v>0</v>
      </c>
      <c r="FUF38" s="292"/>
      <c r="FUG38" s="259" t="s">
        <v>55</v>
      </c>
      <c r="FUH38" s="256" t="s">
        <v>76</v>
      </c>
      <c r="FUI38" s="256" t="s">
        <v>77</v>
      </c>
      <c r="FUJ38" s="256" t="s">
        <v>78</v>
      </c>
      <c r="FUK38" s="256" t="s">
        <v>79</v>
      </c>
      <c r="FUL38" s="256" t="s">
        <v>80</v>
      </c>
      <c r="FUM38" s="256" t="s">
        <v>81</v>
      </c>
      <c r="FUN38" s="331"/>
      <c r="FUO38" s="290">
        <v>45492</v>
      </c>
      <c r="FUP38" s="339" t="s">
        <v>141</v>
      </c>
      <c r="FUQ38" s="305"/>
      <c r="FUR38" s="305">
        <v>1</v>
      </c>
      <c r="FUS38" s="304">
        <f t="shared" ref="FUS38" si="3225">EDATE(FUO38,FUR38)</f>
        <v>45523</v>
      </c>
      <c r="FUT38" s="340">
        <v>0</v>
      </c>
      <c r="FUU38" s="320">
        <f t="shared" ref="FUU38" si="3226">IF(FUV38&gt;=1,(FUT38/FUR38),0)</f>
        <v>0</v>
      </c>
      <c r="FUV38" s="292"/>
      <c r="FUW38" s="259" t="s">
        <v>55</v>
      </c>
      <c r="FUX38" s="256" t="s">
        <v>76</v>
      </c>
      <c r="FUY38" s="256" t="s">
        <v>77</v>
      </c>
      <c r="FUZ38" s="256" t="s">
        <v>78</v>
      </c>
      <c r="FVA38" s="256" t="s">
        <v>79</v>
      </c>
      <c r="FVB38" s="256" t="s">
        <v>80</v>
      </c>
      <c r="FVC38" s="256" t="s">
        <v>81</v>
      </c>
      <c r="FVD38" s="331"/>
      <c r="FVE38" s="290">
        <v>45492</v>
      </c>
      <c r="FVF38" s="339" t="s">
        <v>141</v>
      </c>
      <c r="FVG38" s="305"/>
      <c r="FVH38" s="305">
        <v>1</v>
      </c>
      <c r="FVI38" s="304">
        <f t="shared" ref="FVI38" si="3227">EDATE(FVE38,FVH38)</f>
        <v>45523</v>
      </c>
      <c r="FVJ38" s="340">
        <v>0</v>
      </c>
      <c r="FVK38" s="320">
        <f t="shared" ref="FVK38" si="3228">IF(FVL38&gt;=1,(FVJ38/FVH38),0)</f>
        <v>0</v>
      </c>
      <c r="FVL38" s="292"/>
      <c r="FVM38" s="259" t="s">
        <v>55</v>
      </c>
      <c r="FVN38" s="256" t="s">
        <v>76</v>
      </c>
      <c r="FVO38" s="256" t="s">
        <v>77</v>
      </c>
      <c r="FVP38" s="256" t="s">
        <v>78</v>
      </c>
      <c r="FVQ38" s="256" t="s">
        <v>79</v>
      </c>
      <c r="FVR38" s="256" t="s">
        <v>80</v>
      </c>
      <c r="FVS38" s="256" t="s">
        <v>81</v>
      </c>
      <c r="FVT38" s="331"/>
      <c r="FVU38" s="290">
        <v>45492</v>
      </c>
      <c r="FVV38" s="339" t="s">
        <v>141</v>
      </c>
      <c r="FVW38" s="305"/>
      <c r="FVX38" s="305">
        <v>1</v>
      </c>
      <c r="FVY38" s="304">
        <f t="shared" ref="FVY38" si="3229">EDATE(FVU38,FVX38)</f>
        <v>45523</v>
      </c>
      <c r="FVZ38" s="340">
        <v>0</v>
      </c>
      <c r="FWA38" s="320">
        <f t="shared" ref="FWA38" si="3230">IF(FWB38&gt;=1,(FVZ38/FVX38),0)</f>
        <v>0</v>
      </c>
      <c r="FWB38" s="292"/>
      <c r="FWC38" s="259" t="s">
        <v>55</v>
      </c>
      <c r="FWD38" s="256" t="s">
        <v>76</v>
      </c>
      <c r="FWE38" s="256" t="s">
        <v>77</v>
      </c>
      <c r="FWF38" s="256" t="s">
        <v>78</v>
      </c>
      <c r="FWG38" s="256" t="s">
        <v>79</v>
      </c>
      <c r="FWH38" s="256" t="s">
        <v>80</v>
      </c>
      <c r="FWI38" s="256" t="s">
        <v>81</v>
      </c>
      <c r="FWJ38" s="331"/>
      <c r="FWK38" s="290">
        <v>45492</v>
      </c>
      <c r="FWL38" s="339" t="s">
        <v>141</v>
      </c>
      <c r="FWM38" s="305"/>
      <c r="FWN38" s="305">
        <v>1</v>
      </c>
      <c r="FWO38" s="304">
        <f t="shared" ref="FWO38" si="3231">EDATE(FWK38,FWN38)</f>
        <v>45523</v>
      </c>
      <c r="FWP38" s="340">
        <v>0</v>
      </c>
      <c r="FWQ38" s="320">
        <f t="shared" ref="FWQ38" si="3232">IF(FWR38&gt;=1,(FWP38/FWN38),0)</f>
        <v>0</v>
      </c>
      <c r="FWR38" s="292"/>
      <c r="FWS38" s="259" t="s">
        <v>55</v>
      </c>
      <c r="FWT38" s="256" t="s">
        <v>76</v>
      </c>
      <c r="FWU38" s="256" t="s">
        <v>77</v>
      </c>
      <c r="FWV38" s="256" t="s">
        <v>78</v>
      </c>
      <c r="FWW38" s="256" t="s">
        <v>79</v>
      </c>
      <c r="FWX38" s="256" t="s">
        <v>80</v>
      </c>
      <c r="FWY38" s="256" t="s">
        <v>81</v>
      </c>
      <c r="FWZ38" s="331"/>
      <c r="FXA38" s="290">
        <v>45492</v>
      </c>
      <c r="FXB38" s="339" t="s">
        <v>141</v>
      </c>
      <c r="FXC38" s="305"/>
      <c r="FXD38" s="305">
        <v>1</v>
      </c>
      <c r="FXE38" s="304">
        <f t="shared" ref="FXE38" si="3233">EDATE(FXA38,FXD38)</f>
        <v>45523</v>
      </c>
      <c r="FXF38" s="340">
        <v>0</v>
      </c>
      <c r="FXG38" s="320">
        <f t="shared" ref="FXG38" si="3234">IF(FXH38&gt;=1,(FXF38/FXD38),0)</f>
        <v>0</v>
      </c>
      <c r="FXH38" s="292"/>
      <c r="FXI38" s="259" t="s">
        <v>55</v>
      </c>
      <c r="FXJ38" s="256" t="s">
        <v>76</v>
      </c>
      <c r="FXK38" s="256" t="s">
        <v>77</v>
      </c>
      <c r="FXL38" s="256" t="s">
        <v>78</v>
      </c>
      <c r="FXM38" s="256" t="s">
        <v>79</v>
      </c>
      <c r="FXN38" s="256" t="s">
        <v>80</v>
      </c>
      <c r="FXO38" s="256" t="s">
        <v>81</v>
      </c>
      <c r="FXP38" s="331"/>
      <c r="FXQ38" s="290">
        <v>45492</v>
      </c>
      <c r="FXR38" s="339" t="s">
        <v>141</v>
      </c>
      <c r="FXS38" s="305"/>
      <c r="FXT38" s="305">
        <v>1</v>
      </c>
      <c r="FXU38" s="304">
        <f t="shared" ref="FXU38" si="3235">EDATE(FXQ38,FXT38)</f>
        <v>45523</v>
      </c>
      <c r="FXV38" s="340">
        <v>0</v>
      </c>
      <c r="FXW38" s="320">
        <f t="shared" ref="FXW38" si="3236">IF(FXX38&gt;=1,(FXV38/FXT38),0)</f>
        <v>0</v>
      </c>
      <c r="FXX38" s="292"/>
      <c r="FXY38" s="259" t="s">
        <v>55</v>
      </c>
      <c r="FXZ38" s="256" t="s">
        <v>76</v>
      </c>
      <c r="FYA38" s="256" t="s">
        <v>77</v>
      </c>
      <c r="FYB38" s="256" t="s">
        <v>78</v>
      </c>
      <c r="FYC38" s="256" t="s">
        <v>79</v>
      </c>
      <c r="FYD38" s="256" t="s">
        <v>80</v>
      </c>
      <c r="FYE38" s="256" t="s">
        <v>81</v>
      </c>
      <c r="FYF38" s="331"/>
      <c r="FYG38" s="290">
        <v>45492</v>
      </c>
      <c r="FYH38" s="339" t="s">
        <v>141</v>
      </c>
      <c r="FYI38" s="305"/>
      <c r="FYJ38" s="305">
        <v>1</v>
      </c>
      <c r="FYK38" s="304">
        <f t="shared" ref="FYK38" si="3237">EDATE(FYG38,FYJ38)</f>
        <v>45523</v>
      </c>
      <c r="FYL38" s="340">
        <v>0</v>
      </c>
      <c r="FYM38" s="320">
        <f t="shared" ref="FYM38" si="3238">IF(FYN38&gt;=1,(FYL38/FYJ38),0)</f>
        <v>0</v>
      </c>
      <c r="FYN38" s="292"/>
      <c r="FYO38" s="259" t="s">
        <v>55</v>
      </c>
      <c r="FYP38" s="256" t="s">
        <v>76</v>
      </c>
      <c r="FYQ38" s="256" t="s">
        <v>77</v>
      </c>
      <c r="FYR38" s="256" t="s">
        <v>78</v>
      </c>
      <c r="FYS38" s="256" t="s">
        <v>79</v>
      </c>
      <c r="FYT38" s="256" t="s">
        <v>80</v>
      </c>
      <c r="FYU38" s="256" t="s">
        <v>81</v>
      </c>
      <c r="FYV38" s="331"/>
      <c r="FYW38" s="290">
        <v>45492</v>
      </c>
      <c r="FYX38" s="339" t="s">
        <v>141</v>
      </c>
      <c r="FYY38" s="305"/>
      <c r="FYZ38" s="305">
        <v>1</v>
      </c>
      <c r="FZA38" s="304">
        <f t="shared" ref="FZA38" si="3239">EDATE(FYW38,FYZ38)</f>
        <v>45523</v>
      </c>
      <c r="FZB38" s="340">
        <v>0</v>
      </c>
      <c r="FZC38" s="320">
        <f t="shared" ref="FZC38" si="3240">IF(FZD38&gt;=1,(FZB38/FYZ38),0)</f>
        <v>0</v>
      </c>
      <c r="FZD38" s="292"/>
      <c r="FZE38" s="259" t="s">
        <v>55</v>
      </c>
      <c r="FZF38" s="256" t="s">
        <v>76</v>
      </c>
      <c r="FZG38" s="256" t="s">
        <v>77</v>
      </c>
      <c r="FZH38" s="256" t="s">
        <v>78</v>
      </c>
      <c r="FZI38" s="256" t="s">
        <v>79</v>
      </c>
      <c r="FZJ38" s="256" t="s">
        <v>80</v>
      </c>
      <c r="FZK38" s="256" t="s">
        <v>81</v>
      </c>
      <c r="FZL38" s="331"/>
      <c r="FZM38" s="290">
        <v>45492</v>
      </c>
      <c r="FZN38" s="339" t="s">
        <v>141</v>
      </c>
      <c r="FZO38" s="305"/>
      <c r="FZP38" s="305">
        <v>1</v>
      </c>
      <c r="FZQ38" s="304">
        <f t="shared" ref="FZQ38" si="3241">EDATE(FZM38,FZP38)</f>
        <v>45523</v>
      </c>
      <c r="FZR38" s="340">
        <v>0</v>
      </c>
      <c r="FZS38" s="320">
        <f t="shared" ref="FZS38" si="3242">IF(FZT38&gt;=1,(FZR38/FZP38),0)</f>
        <v>0</v>
      </c>
      <c r="FZT38" s="292"/>
      <c r="FZU38" s="259" t="s">
        <v>55</v>
      </c>
      <c r="FZV38" s="256" t="s">
        <v>76</v>
      </c>
      <c r="FZW38" s="256" t="s">
        <v>77</v>
      </c>
      <c r="FZX38" s="256" t="s">
        <v>78</v>
      </c>
      <c r="FZY38" s="256" t="s">
        <v>79</v>
      </c>
      <c r="FZZ38" s="256" t="s">
        <v>80</v>
      </c>
      <c r="GAA38" s="256" t="s">
        <v>81</v>
      </c>
      <c r="GAB38" s="331"/>
      <c r="GAC38" s="290">
        <v>45492</v>
      </c>
      <c r="GAD38" s="339" t="s">
        <v>141</v>
      </c>
      <c r="GAE38" s="305"/>
      <c r="GAF38" s="305">
        <v>1</v>
      </c>
      <c r="GAG38" s="304">
        <f t="shared" ref="GAG38" si="3243">EDATE(GAC38,GAF38)</f>
        <v>45523</v>
      </c>
      <c r="GAH38" s="340">
        <v>0</v>
      </c>
      <c r="GAI38" s="320">
        <f t="shared" ref="GAI38" si="3244">IF(GAJ38&gt;=1,(GAH38/GAF38),0)</f>
        <v>0</v>
      </c>
      <c r="GAJ38" s="292"/>
      <c r="GAK38" s="259" t="s">
        <v>55</v>
      </c>
      <c r="GAL38" s="256" t="s">
        <v>76</v>
      </c>
      <c r="GAM38" s="256" t="s">
        <v>77</v>
      </c>
      <c r="GAN38" s="256" t="s">
        <v>78</v>
      </c>
      <c r="GAO38" s="256" t="s">
        <v>79</v>
      </c>
      <c r="GAP38" s="256" t="s">
        <v>80</v>
      </c>
      <c r="GAQ38" s="256" t="s">
        <v>81</v>
      </c>
      <c r="GAR38" s="331"/>
      <c r="GAS38" s="290">
        <v>45492</v>
      </c>
      <c r="GAT38" s="339" t="s">
        <v>141</v>
      </c>
      <c r="GAU38" s="305"/>
      <c r="GAV38" s="305">
        <v>1</v>
      </c>
      <c r="GAW38" s="304">
        <f t="shared" ref="GAW38" si="3245">EDATE(GAS38,GAV38)</f>
        <v>45523</v>
      </c>
      <c r="GAX38" s="340">
        <v>0</v>
      </c>
      <c r="GAY38" s="320">
        <f t="shared" ref="GAY38" si="3246">IF(GAZ38&gt;=1,(GAX38/GAV38),0)</f>
        <v>0</v>
      </c>
      <c r="GAZ38" s="292"/>
      <c r="GBA38" s="259" t="s">
        <v>55</v>
      </c>
      <c r="GBB38" s="256" t="s">
        <v>76</v>
      </c>
      <c r="GBC38" s="256" t="s">
        <v>77</v>
      </c>
      <c r="GBD38" s="256" t="s">
        <v>78</v>
      </c>
      <c r="GBE38" s="256" t="s">
        <v>79</v>
      </c>
      <c r="GBF38" s="256" t="s">
        <v>80</v>
      </c>
      <c r="GBG38" s="256" t="s">
        <v>81</v>
      </c>
      <c r="GBH38" s="331"/>
      <c r="GBI38" s="290">
        <v>45492</v>
      </c>
      <c r="GBJ38" s="339" t="s">
        <v>141</v>
      </c>
      <c r="GBK38" s="305"/>
      <c r="GBL38" s="305">
        <v>1</v>
      </c>
      <c r="GBM38" s="304">
        <f t="shared" ref="GBM38" si="3247">EDATE(GBI38,GBL38)</f>
        <v>45523</v>
      </c>
      <c r="GBN38" s="340">
        <v>0</v>
      </c>
      <c r="GBO38" s="320">
        <f t="shared" ref="GBO38" si="3248">IF(GBP38&gt;=1,(GBN38/GBL38),0)</f>
        <v>0</v>
      </c>
      <c r="GBP38" s="292"/>
      <c r="GBQ38" s="259" t="s">
        <v>55</v>
      </c>
      <c r="GBR38" s="256" t="s">
        <v>76</v>
      </c>
      <c r="GBS38" s="256" t="s">
        <v>77</v>
      </c>
      <c r="GBT38" s="256" t="s">
        <v>78</v>
      </c>
      <c r="GBU38" s="256" t="s">
        <v>79</v>
      </c>
      <c r="GBV38" s="256" t="s">
        <v>80</v>
      </c>
      <c r="GBW38" s="256" t="s">
        <v>81</v>
      </c>
      <c r="GBX38" s="331"/>
      <c r="GBY38" s="290">
        <v>45492</v>
      </c>
      <c r="GBZ38" s="339" t="s">
        <v>141</v>
      </c>
      <c r="GCA38" s="305"/>
      <c r="GCB38" s="305">
        <v>1</v>
      </c>
      <c r="GCC38" s="304">
        <f t="shared" ref="GCC38" si="3249">EDATE(GBY38,GCB38)</f>
        <v>45523</v>
      </c>
      <c r="GCD38" s="340">
        <v>0</v>
      </c>
      <c r="GCE38" s="320">
        <f t="shared" ref="GCE38" si="3250">IF(GCF38&gt;=1,(GCD38/GCB38),0)</f>
        <v>0</v>
      </c>
      <c r="GCF38" s="292"/>
      <c r="GCG38" s="259" t="s">
        <v>55</v>
      </c>
      <c r="GCH38" s="256" t="s">
        <v>76</v>
      </c>
      <c r="GCI38" s="256" t="s">
        <v>77</v>
      </c>
      <c r="GCJ38" s="256" t="s">
        <v>78</v>
      </c>
      <c r="GCK38" s="256" t="s">
        <v>79</v>
      </c>
      <c r="GCL38" s="256" t="s">
        <v>80</v>
      </c>
      <c r="GCM38" s="256" t="s">
        <v>81</v>
      </c>
      <c r="GCN38" s="331"/>
      <c r="GCO38" s="290">
        <v>45492</v>
      </c>
      <c r="GCP38" s="339" t="s">
        <v>141</v>
      </c>
      <c r="GCQ38" s="305"/>
      <c r="GCR38" s="305">
        <v>1</v>
      </c>
      <c r="GCS38" s="304">
        <f t="shared" ref="GCS38" si="3251">EDATE(GCO38,GCR38)</f>
        <v>45523</v>
      </c>
      <c r="GCT38" s="340">
        <v>0</v>
      </c>
      <c r="GCU38" s="320">
        <f t="shared" ref="GCU38" si="3252">IF(GCV38&gt;=1,(GCT38/GCR38),0)</f>
        <v>0</v>
      </c>
      <c r="GCV38" s="292"/>
      <c r="GCW38" s="259" t="s">
        <v>55</v>
      </c>
      <c r="GCX38" s="256" t="s">
        <v>76</v>
      </c>
      <c r="GCY38" s="256" t="s">
        <v>77</v>
      </c>
      <c r="GCZ38" s="256" t="s">
        <v>78</v>
      </c>
      <c r="GDA38" s="256" t="s">
        <v>79</v>
      </c>
      <c r="GDB38" s="256" t="s">
        <v>80</v>
      </c>
      <c r="GDC38" s="256" t="s">
        <v>81</v>
      </c>
      <c r="GDD38" s="331"/>
      <c r="GDE38" s="290">
        <v>45492</v>
      </c>
      <c r="GDF38" s="339" t="s">
        <v>141</v>
      </c>
      <c r="GDG38" s="305"/>
      <c r="GDH38" s="305">
        <v>1</v>
      </c>
      <c r="GDI38" s="304">
        <f t="shared" ref="GDI38" si="3253">EDATE(GDE38,GDH38)</f>
        <v>45523</v>
      </c>
      <c r="GDJ38" s="340">
        <v>0</v>
      </c>
      <c r="GDK38" s="320">
        <f t="shared" ref="GDK38" si="3254">IF(GDL38&gt;=1,(GDJ38/GDH38),0)</f>
        <v>0</v>
      </c>
      <c r="GDL38" s="292"/>
      <c r="GDM38" s="259" t="s">
        <v>55</v>
      </c>
      <c r="GDN38" s="256" t="s">
        <v>76</v>
      </c>
      <c r="GDO38" s="256" t="s">
        <v>77</v>
      </c>
      <c r="GDP38" s="256" t="s">
        <v>78</v>
      </c>
      <c r="GDQ38" s="256" t="s">
        <v>79</v>
      </c>
      <c r="GDR38" s="256" t="s">
        <v>80</v>
      </c>
      <c r="GDS38" s="256" t="s">
        <v>81</v>
      </c>
      <c r="GDT38" s="331"/>
      <c r="GDU38" s="290">
        <v>45492</v>
      </c>
      <c r="GDV38" s="339" t="s">
        <v>141</v>
      </c>
      <c r="GDW38" s="305"/>
      <c r="GDX38" s="305">
        <v>1</v>
      </c>
      <c r="GDY38" s="304">
        <f t="shared" ref="GDY38" si="3255">EDATE(GDU38,GDX38)</f>
        <v>45523</v>
      </c>
      <c r="GDZ38" s="340">
        <v>0</v>
      </c>
      <c r="GEA38" s="320">
        <f t="shared" ref="GEA38" si="3256">IF(GEB38&gt;=1,(GDZ38/GDX38),0)</f>
        <v>0</v>
      </c>
      <c r="GEB38" s="292"/>
      <c r="GEC38" s="259" t="s">
        <v>55</v>
      </c>
      <c r="GED38" s="256" t="s">
        <v>76</v>
      </c>
      <c r="GEE38" s="256" t="s">
        <v>77</v>
      </c>
      <c r="GEF38" s="256" t="s">
        <v>78</v>
      </c>
      <c r="GEG38" s="256" t="s">
        <v>79</v>
      </c>
      <c r="GEH38" s="256" t="s">
        <v>80</v>
      </c>
      <c r="GEI38" s="256" t="s">
        <v>81</v>
      </c>
      <c r="GEJ38" s="331"/>
      <c r="GEK38" s="290">
        <v>45492</v>
      </c>
      <c r="GEL38" s="339" t="s">
        <v>141</v>
      </c>
      <c r="GEM38" s="305"/>
      <c r="GEN38" s="305">
        <v>1</v>
      </c>
      <c r="GEO38" s="304">
        <f t="shared" ref="GEO38" si="3257">EDATE(GEK38,GEN38)</f>
        <v>45523</v>
      </c>
      <c r="GEP38" s="340">
        <v>0</v>
      </c>
      <c r="GEQ38" s="320">
        <f t="shared" ref="GEQ38" si="3258">IF(GER38&gt;=1,(GEP38/GEN38),0)</f>
        <v>0</v>
      </c>
      <c r="GER38" s="292"/>
      <c r="GES38" s="259" t="s">
        <v>55</v>
      </c>
      <c r="GET38" s="256" t="s">
        <v>76</v>
      </c>
      <c r="GEU38" s="256" t="s">
        <v>77</v>
      </c>
      <c r="GEV38" s="256" t="s">
        <v>78</v>
      </c>
      <c r="GEW38" s="256" t="s">
        <v>79</v>
      </c>
      <c r="GEX38" s="256" t="s">
        <v>80</v>
      </c>
      <c r="GEY38" s="256" t="s">
        <v>81</v>
      </c>
      <c r="GEZ38" s="331"/>
      <c r="GFA38" s="290">
        <v>45492</v>
      </c>
      <c r="GFB38" s="339" t="s">
        <v>141</v>
      </c>
      <c r="GFC38" s="305"/>
      <c r="GFD38" s="305">
        <v>1</v>
      </c>
      <c r="GFE38" s="304">
        <f t="shared" ref="GFE38" si="3259">EDATE(GFA38,GFD38)</f>
        <v>45523</v>
      </c>
      <c r="GFF38" s="340">
        <v>0</v>
      </c>
      <c r="GFG38" s="320">
        <f t="shared" ref="GFG38" si="3260">IF(GFH38&gt;=1,(GFF38/GFD38),0)</f>
        <v>0</v>
      </c>
      <c r="GFH38" s="292"/>
      <c r="GFI38" s="259" t="s">
        <v>55</v>
      </c>
      <c r="GFJ38" s="256" t="s">
        <v>76</v>
      </c>
      <c r="GFK38" s="256" t="s">
        <v>77</v>
      </c>
      <c r="GFL38" s="256" t="s">
        <v>78</v>
      </c>
      <c r="GFM38" s="256" t="s">
        <v>79</v>
      </c>
      <c r="GFN38" s="256" t="s">
        <v>80</v>
      </c>
      <c r="GFO38" s="256" t="s">
        <v>81</v>
      </c>
      <c r="GFP38" s="331"/>
      <c r="GFQ38" s="290">
        <v>45492</v>
      </c>
      <c r="GFR38" s="339" t="s">
        <v>141</v>
      </c>
      <c r="GFS38" s="305"/>
      <c r="GFT38" s="305">
        <v>1</v>
      </c>
      <c r="GFU38" s="304">
        <f t="shared" ref="GFU38" si="3261">EDATE(GFQ38,GFT38)</f>
        <v>45523</v>
      </c>
      <c r="GFV38" s="340">
        <v>0</v>
      </c>
      <c r="GFW38" s="320">
        <f t="shared" ref="GFW38" si="3262">IF(GFX38&gt;=1,(GFV38/GFT38),0)</f>
        <v>0</v>
      </c>
      <c r="GFX38" s="292"/>
      <c r="GFY38" s="259" t="s">
        <v>55</v>
      </c>
      <c r="GFZ38" s="256" t="s">
        <v>76</v>
      </c>
      <c r="GGA38" s="256" t="s">
        <v>77</v>
      </c>
      <c r="GGB38" s="256" t="s">
        <v>78</v>
      </c>
      <c r="GGC38" s="256" t="s">
        <v>79</v>
      </c>
      <c r="GGD38" s="256" t="s">
        <v>80</v>
      </c>
      <c r="GGE38" s="256" t="s">
        <v>81</v>
      </c>
      <c r="GGF38" s="331"/>
      <c r="GGG38" s="290">
        <v>45492</v>
      </c>
      <c r="GGH38" s="339" t="s">
        <v>141</v>
      </c>
      <c r="GGI38" s="305"/>
      <c r="GGJ38" s="305">
        <v>1</v>
      </c>
      <c r="GGK38" s="304">
        <f t="shared" ref="GGK38" si="3263">EDATE(GGG38,GGJ38)</f>
        <v>45523</v>
      </c>
      <c r="GGL38" s="340">
        <v>0</v>
      </c>
      <c r="GGM38" s="320">
        <f t="shared" ref="GGM38" si="3264">IF(GGN38&gt;=1,(GGL38/GGJ38),0)</f>
        <v>0</v>
      </c>
      <c r="GGN38" s="292"/>
      <c r="GGO38" s="259" t="s">
        <v>55</v>
      </c>
      <c r="GGP38" s="256" t="s">
        <v>76</v>
      </c>
      <c r="GGQ38" s="256" t="s">
        <v>77</v>
      </c>
      <c r="GGR38" s="256" t="s">
        <v>78</v>
      </c>
      <c r="GGS38" s="256" t="s">
        <v>79</v>
      </c>
      <c r="GGT38" s="256" t="s">
        <v>80</v>
      </c>
      <c r="GGU38" s="256" t="s">
        <v>81</v>
      </c>
      <c r="GGV38" s="331"/>
      <c r="GGW38" s="290">
        <v>45492</v>
      </c>
      <c r="GGX38" s="339" t="s">
        <v>141</v>
      </c>
      <c r="GGY38" s="305"/>
      <c r="GGZ38" s="305">
        <v>1</v>
      </c>
      <c r="GHA38" s="304">
        <f t="shared" ref="GHA38" si="3265">EDATE(GGW38,GGZ38)</f>
        <v>45523</v>
      </c>
      <c r="GHB38" s="340">
        <v>0</v>
      </c>
      <c r="GHC38" s="320">
        <f t="shared" ref="GHC38" si="3266">IF(GHD38&gt;=1,(GHB38/GGZ38),0)</f>
        <v>0</v>
      </c>
      <c r="GHD38" s="292"/>
      <c r="GHE38" s="259" t="s">
        <v>55</v>
      </c>
      <c r="GHF38" s="256" t="s">
        <v>76</v>
      </c>
      <c r="GHG38" s="256" t="s">
        <v>77</v>
      </c>
      <c r="GHH38" s="256" t="s">
        <v>78</v>
      </c>
      <c r="GHI38" s="256" t="s">
        <v>79</v>
      </c>
      <c r="GHJ38" s="256" t="s">
        <v>80</v>
      </c>
      <c r="GHK38" s="256" t="s">
        <v>81</v>
      </c>
      <c r="GHL38" s="331"/>
      <c r="GHM38" s="290">
        <v>45492</v>
      </c>
      <c r="GHN38" s="339" t="s">
        <v>141</v>
      </c>
      <c r="GHO38" s="305"/>
      <c r="GHP38" s="305">
        <v>1</v>
      </c>
      <c r="GHQ38" s="304">
        <f t="shared" ref="GHQ38" si="3267">EDATE(GHM38,GHP38)</f>
        <v>45523</v>
      </c>
      <c r="GHR38" s="340">
        <v>0</v>
      </c>
      <c r="GHS38" s="320">
        <f t="shared" ref="GHS38" si="3268">IF(GHT38&gt;=1,(GHR38/GHP38),0)</f>
        <v>0</v>
      </c>
      <c r="GHT38" s="292"/>
      <c r="GHU38" s="259" t="s">
        <v>55</v>
      </c>
      <c r="GHV38" s="256" t="s">
        <v>76</v>
      </c>
      <c r="GHW38" s="256" t="s">
        <v>77</v>
      </c>
      <c r="GHX38" s="256" t="s">
        <v>78</v>
      </c>
      <c r="GHY38" s="256" t="s">
        <v>79</v>
      </c>
      <c r="GHZ38" s="256" t="s">
        <v>80</v>
      </c>
      <c r="GIA38" s="256" t="s">
        <v>81</v>
      </c>
      <c r="GIB38" s="331"/>
      <c r="GIC38" s="290">
        <v>45492</v>
      </c>
      <c r="GID38" s="339" t="s">
        <v>141</v>
      </c>
      <c r="GIE38" s="305"/>
      <c r="GIF38" s="305">
        <v>1</v>
      </c>
      <c r="GIG38" s="304">
        <f t="shared" ref="GIG38" si="3269">EDATE(GIC38,GIF38)</f>
        <v>45523</v>
      </c>
      <c r="GIH38" s="340">
        <v>0</v>
      </c>
      <c r="GII38" s="320">
        <f t="shared" ref="GII38" si="3270">IF(GIJ38&gt;=1,(GIH38/GIF38),0)</f>
        <v>0</v>
      </c>
      <c r="GIJ38" s="292"/>
      <c r="GIK38" s="259" t="s">
        <v>55</v>
      </c>
      <c r="GIL38" s="256" t="s">
        <v>76</v>
      </c>
      <c r="GIM38" s="256" t="s">
        <v>77</v>
      </c>
      <c r="GIN38" s="256" t="s">
        <v>78</v>
      </c>
      <c r="GIO38" s="256" t="s">
        <v>79</v>
      </c>
      <c r="GIP38" s="256" t="s">
        <v>80</v>
      </c>
      <c r="GIQ38" s="256" t="s">
        <v>81</v>
      </c>
      <c r="GIR38" s="331"/>
      <c r="GIS38" s="290">
        <v>45492</v>
      </c>
      <c r="GIT38" s="339" t="s">
        <v>141</v>
      </c>
      <c r="GIU38" s="305"/>
      <c r="GIV38" s="305">
        <v>1</v>
      </c>
      <c r="GIW38" s="304">
        <f t="shared" ref="GIW38" si="3271">EDATE(GIS38,GIV38)</f>
        <v>45523</v>
      </c>
      <c r="GIX38" s="340">
        <v>0</v>
      </c>
      <c r="GIY38" s="320">
        <f t="shared" ref="GIY38" si="3272">IF(GIZ38&gt;=1,(GIX38/GIV38),0)</f>
        <v>0</v>
      </c>
      <c r="GIZ38" s="292"/>
      <c r="GJA38" s="259" t="s">
        <v>55</v>
      </c>
      <c r="GJB38" s="256" t="s">
        <v>76</v>
      </c>
      <c r="GJC38" s="256" t="s">
        <v>77</v>
      </c>
      <c r="GJD38" s="256" t="s">
        <v>78</v>
      </c>
      <c r="GJE38" s="256" t="s">
        <v>79</v>
      </c>
      <c r="GJF38" s="256" t="s">
        <v>80</v>
      </c>
      <c r="GJG38" s="256" t="s">
        <v>81</v>
      </c>
      <c r="GJH38" s="331"/>
      <c r="GJI38" s="290">
        <v>45492</v>
      </c>
      <c r="GJJ38" s="339" t="s">
        <v>141</v>
      </c>
      <c r="GJK38" s="305"/>
      <c r="GJL38" s="305">
        <v>1</v>
      </c>
      <c r="GJM38" s="304">
        <f t="shared" ref="GJM38" si="3273">EDATE(GJI38,GJL38)</f>
        <v>45523</v>
      </c>
      <c r="GJN38" s="340">
        <v>0</v>
      </c>
      <c r="GJO38" s="320">
        <f t="shared" ref="GJO38" si="3274">IF(GJP38&gt;=1,(GJN38/GJL38),0)</f>
        <v>0</v>
      </c>
      <c r="GJP38" s="292"/>
      <c r="GJQ38" s="259" t="s">
        <v>55</v>
      </c>
      <c r="GJR38" s="256" t="s">
        <v>76</v>
      </c>
      <c r="GJS38" s="256" t="s">
        <v>77</v>
      </c>
      <c r="GJT38" s="256" t="s">
        <v>78</v>
      </c>
      <c r="GJU38" s="256" t="s">
        <v>79</v>
      </c>
      <c r="GJV38" s="256" t="s">
        <v>80</v>
      </c>
      <c r="GJW38" s="256" t="s">
        <v>81</v>
      </c>
      <c r="GJX38" s="331"/>
      <c r="GJY38" s="290">
        <v>45492</v>
      </c>
      <c r="GJZ38" s="339" t="s">
        <v>141</v>
      </c>
      <c r="GKA38" s="305"/>
      <c r="GKB38" s="305">
        <v>1</v>
      </c>
      <c r="GKC38" s="304">
        <f t="shared" ref="GKC38" si="3275">EDATE(GJY38,GKB38)</f>
        <v>45523</v>
      </c>
      <c r="GKD38" s="340">
        <v>0</v>
      </c>
      <c r="GKE38" s="320">
        <f t="shared" ref="GKE38" si="3276">IF(GKF38&gt;=1,(GKD38/GKB38),0)</f>
        <v>0</v>
      </c>
      <c r="GKF38" s="292"/>
      <c r="GKG38" s="259" t="s">
        <v>55</v>
      </c>
      <c r="GKH38" s="256" t="s">
        <v>76</v>
      </c>
      <c r="GKI38" s="256" t="s">
        <v>77</v>
      </c>
      <c r="GKJ38" s="256" t="s">
        <v>78</v>
      </c>
      <c r="GKK38" s="256" t="s">
        <v>79</v>
      </c>
      <c r="GKL38" s="256" t="s">
        <v>80</v>
      </c>
      <c r="GKM38" s="256" t="s">
        <v>81</v>
      </c>
      <c r="GKN38" s="331"/>
      <c r="GKO38" s="290">
        <v>45492</v>
      </c>
      <c r="GKP38" s="339" t="s">
        <v>141</v>
      </c>
      <c r="GKQ38" s="305"/>
      <c r="GKR38" s="305">
        <v>1</v>
      </c>
      <c r="GKS38" s="304">
        <f t="shared" ref="GKS38" si="3277">EDATE(GKO38,GKR38)</f>
        <v>45523</v>
      </c>
      <c r="GKT38" s="340">
        <v>0</v>
      </c>
      <c r="GKU38" s="320">
        <f t="shared" ref="GKU38" si="3278">IF(GKV38&gt;=1,(GKT38/GKR38),0)</f>
        <v>0</v>
      </c>
      <c r="GKV38" s="292"/>
      <c r="GKW38" s="259" t="s">
        <v>55</v>
      </c>
      <c r="GKX38" s="256" t="s">
        <v>76</v>
      </c>
      <c r="GKY38" s="256" t="s">
        <v>77</v>
      </c>
      <c r="GKZ38" s="256" t="s">
        <v>78</v>
      </c>
      <c r="GLA38" s="256" t="s">
        <v>79</v>
      </c>
      <c r="GLB38" s="256" t="s">
        <v>80</v>
      </c>
      <c r="GLC38" s="256" t="s">
        <v>81</v>
      </c>
      <c r="GLD38" s="331"/>
      <c r="GLE38" s="290">
        <v>45492</v>
      </c>
      <c r="GLF38" s="339" t="s">
        <v>141</v>
      </c>
      <c r="GLG38" s="305"/>
      <c r="GLH38" s="305">
        <v>1</v>
      </c>
      <c r="GLI38" s="304">
        <f t="shared" ref="GLI38" si="3279">EDATE(GLE38,GLH38)</f>
        <v>45523</v>
      </c>
      <c r="GLJ38" s="340">
        <v>0</v>
      </c>
      <c r="GLK38" s="320">
        <f t="shared" ref="GLK38" si="3280">IF(GLL38&gt;=1,(GLJ38/GLH38),0)</f>
        <v>0</v>
      </c>
      <c r="GLL38" s="292"/>
      <c r="GLM38" s="259" t="s">
        <v>55</v>
      </c>
      <c r="GLN38" s="256" t="s">
        <v>76</v>
      </c>
      <c r="GLO38" s="256" t="s">
        <v>77</v>
      </c>
      <c r="GLP38" s="256" t="s">
        <v>78</v>
      </c>
      <c r="GLQ38" s="256" t="s">
        <v>79</v>
      </c>
      <c r="GLR38" s="256" t="s">
        <v>80</v>
      </c>
      <c r="GLS38" s="256" t="s">
        <v>81</v>
      </c>
      <c r="GLT38" s="331"/>
      <c r="GLU38" s="290">
        <v>45492</v>
      </c>
      <c r="GLV38" s="339" t="s">
        <v>141</v>
      </c>
      <c r="GLW38" s="305"/>
      <c r="GLX38" s="305">
        <v>1</v>
      </c>
      <c r="GLY38" s="304">
        <f t="shared" ref="GLY38" si="3281">EDATE(GLU38,GLX38)</f>
        <v>45523</v>
      </c>
      <c r="GLZ38" s="340">
        <v>0</v>
      </c>
      <c r="GMA38" s="320">
        <f t="shared" ref="GMA38" si="3282">IF(GMB38&gt;=1,(GLZ38/GLX38),0)</f>
        <v>0</v>
      </c>
      <c r="GMB38" s="292"/>
      <c r="GMC38" s="259" t="s">
        <v>55</v>
      </c>
      <c r="GMD38" s="256" t="s">
        <v>76</v>
      </c>
      <c r="GME38" s="256" t="s">
        <v>77</v>
      </c>
      <c r="GMF38" s="256" t="s">
        <v>78</v>
      </c>
      <c r="GMG38" s="256" t="s">
        <v>79</v>
      </c>
      <c r="GMH38" s="256" t="s">
        <v>80</v>
      </c>
      <c r="GMI38" s="256" t="s">
        <v>81</v>
      </c>
      <c r="GMJ38" s="331"/>
      <c r="GMK38" s="290">
        <v>45492</v>
      </c>
      <c r="GML38" s="339" t="s">
        <v>141</v>
      </c>
      <c r="GMM38" s="305"/>
      <c r="GMN38" s="305">
        <v>1</v>
      </c>
      <c r="GMO38" s="304">
        <f t="shared" ref="GMO38" si="3283">EDATE(GMK38,GMN38)</f>
        <v>45523</v>
      </c>
      <c r="GMP38" s="340">
        <v>0</v>
      </c>
      <c r="GMQ38" s="320">
        <f t="shared" ref="GMQ38" si="3284">IF(GMR38&gt;=1,(GMP38/GMN38),0)</f>
        <v>0</v>
      </c>
      <c r="GMR38" s="292"/>
      <c r="GMS38" s="259" t="s">
        <v>55</v>
      </c>
      <c r="GMT38" s="256" t="s">
        <v>76</v>
      </c>
      <c r="GMU38" s="256" t="s">
        <v>77</v>
      </c>
      <c r="GMV38" s="256" t="s">
        <v>78</v>
      </c>
      <c r="GMW38" s="256" t="s">
        <v>79</v>
      </c>
      <c r="GMX38" s="256" t="s">
        <v>80</v>
      </c>
      <c r="GMY38" s="256" t="s">
        <v>81</v>
      </c>
      <c r="GMZ38" s="331"/>
      <c r="GNA38" s="290">
        <v>45492</v>
      </c>
      <c r="GNB38" s="339" t="s">
        <v>141</v>
      </c>
      <c r="GNC38" s="305"/>
      <c r="GND38" s="305">
        <v>1</v>
      </c>
      <c r="GNE38" s="304">
        <f t="shared" ref="GNE38" si="3285">EDATE(GNA38,GND38)</f>
        <v>45523</v>
      </c>
      <c r="GNF38" s="340">
        <v>0</v>
      </c>
      <c r="GNG38" s="320">
        <f t="shared" ref="GNG38" si="3286">IF(GNH38&gt;=1,(GNF38/GND38),0)</f>
        <v>0</v>
      </c>
      <c r="GNH38" s="292"/>
      <c r="GNI38" s="259" t="s">
        <v>55</v>
      </c>
      <c r="GNJ38" s="256" t="s">
        <v>76</v>
      </c>
      <c r="GNK38" s="256" t="s">
        <v>77</v>
      </c>
      <c r="GNL38" s="256" t="s">
        <v>78</v>
      </c>
      <c r="GNM38" s="256" t="s">
        <v>79</v>
      </c>
      <c r="GNN38" s="256" t="s">
        <v>80</v>
      </c>
      <c r="GNO38" s="256" t="s">
        <v>81</v>
      </c>
      <c r="GNP38" s="331"/>
      <c r="GNQ38" s="290">
        <v>45492</v>
      </c>
      <c r="GNR38" s="339" t="s">
        <v>141</v>
      </c>
      <c r="GNS38" s="305"/>
      <c r="GNT38" s="305">
        <v>1</v>
      </c>
      <c r="GNU38" s="304">
        <f t="shared" ref="GNU38" si="3287">EDATE(GNQ38,GNT38)</f>
        <v>45523</v>
      </c>
      <c r="GNV38" s="340">
        <v>0</v>
      </c>
      <c r="GNW38" s="320">
        <f t="shared" ref="GNW38" si="3288">IF(GNX38&gt;=1,(GNV38/GNT38),0)</f>
        <v>0</v>
      </c>
      <c r="GNX38" s="292"/>
      <c r="GNY38" s="259" t="s">
        <v>55</v>
      </c>
      <c r="GNZ38" s="256" t="s">
        <v>76</v>
      </c>
      <c r="GOA38" s="256" t="s">
        <v>77</v>
      </c>
      <c r="GOB38" s="256" t="s">
        <v>78</v>
      </c>
      <c r="GOC38" s="256" t="s">
        <v>79</v>
      </c>
      <c r="GOD38" s="256" t="s">
        <v>80</v>
      </c>
      <c r="GOE38" s="256" t="s">
        <v>81</v>
      </c>
      <c r="GOF38" s="331"/>
      <c r="GOG38" s="290">
        <v>45492</v>
      </c>
      <c r="GOH38" s="339" t="s">
        <v>141</v>
      </c>
      <c r="GOI38" s="305"/>
      <c r="GOJ38" s="305">
        <v>1</v>
      </c>
      <c r="GOK38" s="304">
        <f t="shared" ref="GOK38" si="3289">EDATE(GOG38,GOJ38)</f>
        <v>45523</v>
      </c>
      <c r="GOL38" s="340">
        <v>0</v>
      </c>
      <c r="GOM38" s="320">
        <f t="shared" ref="GOM38" si="3290">IF(GON38&gt;=1,(GOL38/GOJ38),0)</f>
        <v>0</v>
      </c>
      <c r="GON38" s="292"/>
      <c r="GOO38" s="259" t="s">
        <v>55</v>
      </c>
      <c r="GOP38" s="256" t="s">
        <v>76</v>
      </c>
      <c r="GOQ38" s="256" t="s">
        <v>77</v>
      </c>
      <c r="GOR38" s="256" t="s">
        <v>78</v>
      </c>
      <c r="GOS38" s="256" t="s">
        <v>79</v>
      </c>
      <c r="GOT38" s="256" t="s">
        <v>80</v>
      </c>
      <c r="GOU38" s="256" t="s">
        <v>81</v>
      </c>
      <c r="GOV38" s="331"/>
      <c r="GOW38" s="290">
        <v>45492</v>
      </c>
      <c r="GOX38" s="339" t="s">
        <v>141</v>
      </c>
      <c r="GOY38" s="305"/>
      <c r="GOZ38" s="305">
        <v>1</v>
      </c>
      <c r="GPA38" s="304">
        <f t="shared" ref="GPA38" si="3291">EDATE(GOW38,GOZ38)</f>
        <v>45523</v>
      </c>
      <c r="GPB38" s="340">
        <v>0</v>
      </c>
      <c r="GPC38" s="320">
        <f t="shared" ref="GPC38" si="3292">IF(GPD38&gt;=1,(GPB38/GOZ38),0)</f>
        <v>0</v>
      </c>
      <c r="GPD38" s="292"/>
      <c r="GPE38" s="259" t="s">
        <v>55</v>
      </c>
      <c r="GPF38" s="256" t="s">
        <v>76</v>
      </c>
      <c r="GPG38" s="256" t="s">
        <v>77</v>
      </c>
      <c r="GPH38" s="256" t="s">
        <v>78</v>
      </c>
      <c r="GPI38" s="256" t="s">
        <v>79</v>
      </c>
      <c r="GPJ38" s="256" t="s">
        <v>80</v>
      </c>
      <c r="GPK38" s="256" t="s">
        <v>81</v>
      </c>
      <c r="GPL38" s="331"/>
      <c r="GPM38" s="290">
        <v>45492</v>
      </c>
      <c r="GPN38" s="339" t="s">
        <v>141</v>
      </c>
      <c r="GPO38" s="305"/>
      <c r="GPP38" s="305">
        <v>1</v>
      </c>
      <c r="GPQ38" s="304">
        <f t="shared" ref="GPQ38" si="3293">EDATE(GPM38,GPP38)</f>
        <v>45523</v>
      </c>
      <c r="GPR38" s="340">
        <v>0</v>
      </c>
      <c r="GPS38" s="320">
        <f t="shared" ref="GPS38" si="3294">IF(GPT38&gt;=1,(GPR38/GPP38),0)</f>
        <v>0</v>
      </c>
      <c r="GPT38" s="292"/>
      <c r="GPU38" s="259" t="s">
        <v>55</v>
      </c>
      <c r="GPV38" s="256" t="s">
        <v>76</v>
      </c>
      <c r="GPW38" s="256" t="s">
        <v>77</v>
      </c>
      <c r="GPX38" s="256" t="s">
        <v>78</v>
      </c>
      <c r="GPY38" s="256" t="s">
        <v>79</v>
      </c>
      <c r="GPZ38" s="256" t="s">
        <v>80</v>
      </c>
      <c r="GQA38" s="256" t="s">
        <v>81</v>
      </c>
      <c r="GQB38" s="331"/>
      <c r="GQC38" s="290">
        <v>45492</v>
      </c>
      <c r="GQD38" s="339" t="s">
        <v>141</v>
      </c>
      <c r="GQE38" s="305"/>
      <c r="GQF38" s="305">
        <v>1</v>
      </c>
      <c r="GQG38" s="304">
        <f t="shared" ref="GQG38" si="3295">EDATE(GQC38,GQF38)</f>
        <v>45523</v>
      </c>
      <c r="GQH38" s="340">
        <v>0</v>
      </c>
      <c r="GQI38" s="320">
        <f t="shared" ref="GQI38" si="3296">IF(GQJ38&gt;=1,(GQH38/GQF38),0)</f>
        <v>0</v>
      </c>
      <c r="GQJ38" s="292"/>
      <c r="GQK38" s="259" t="s">
        <v>55</v>
      </c>
      <c r="GQL38" s="256" t="s">
        <v>76</v>
      </c>
      <c r="GQM38" s="256" t="s">
        <v>77</v>
      </c>
      <c r="GQN38" s="256" t="s">
        <v>78</v>
      </c>
      <c r="GQO38" s="256" t="s">
        <v>79</v>
      </c>
      <c r="GQP38" s="256" t="s">
        <v>80</v>
      </c>
      <c r="GQQ38" s="256" t="s">
        <v>81</v>
      </c>
      <c r="GQR38" s="331"/>
      <c r="GQS38" s="290">
        <v>45492</v>
      </c>
      <c r="GQT38" s="339" t="s">
        <v>141</v>
      </c>
      <c r="GQU38" s="305"/>
      <c r="GQV38" s="305">
        <v>1</v>
      </c>
      <c r="GQW38" s="304">
        <f t="shared" ref="GQW38" si="3297">EDATE(GQS38,GQV38)</f>
        <v>45523</v>
      </c>
      <c r="GQX38" s="340">
        <v>0</v>
      </c>
      <c r="GQY38" s="320">
        <f t="shared" ref="GQY38" si="3298">IF(GQZ38&gt;=1,(GQX38/GQV38),0)</f>
        <v>0</v>
      </c>
      <c r="GQZ38" s="292"/>
      <c r="GRA38" s="259" t="s">
        <v>55</v>
      </c>
      <c r="GRB38" s="256" t="s">
        <v>76</v>
      </c>
      <c r="GRC38" s="256" t="s">
        <v>77</v>
      </c>
      <c r="GRD38" s="256" t="s">
        <v>78</v>
      </c>
      <c r="GRE38" s="256" t="s">
        <v>79</v>
      </c>
      <c r="GRF38" s="256" t="s">
        <v>80</v>
      </c>
      <c r="GRG38" s="256" t="s">
        <v>81</v>
      </c>
      <c r="GRH38" s="331"/>
      <c r="GRI38" s="290">
        <v>45492</v>
      </c>
      <c r="GRJ38" s="339" t="s">
        <v>141</v>
      </c>
      <c r="GRK38" s="305"/>
      <c r="GRL38" s="305">
        <v>1</v>
      </c>
      <c r="GRM38" s="304">
        <f t="shared" ref="GRM38" si="3299">EDATE(GRI38,GRL38)</f>
        <v>45523</v>
      </c>
      <c r="GRN38" s="340">
        <v>0</v>
      </c>
      <c r="GRO38" s="320">
        <f t="shared" ref="GRO38" si="3300">IF(GRP38&gt;=1,(GRN38/GRL38),0)</f>
        <v>0</v>
      </c>
      <c r="GRP38" s="292"/>
      <c r="GRQ38" s="259" t="s">
        <v>55</v>
      </c>
      <c r="GRR38" s="256" t="s">
        <v>76</v>
      </c>
      <c r="GRS38" s="256" t="s">
        <v>77</v>
      </c>
      <c r="GRT38" s="256" t="s">
        <v>78</v>
      </c>
      <c r="GRU38" s="256" t="s">
        <v>79</v>
      </c>
      <c r="GRV38" s="256" t="s">
        <v>80</v>
      </c>
      <c r="GRW38" s="256" t="s">
        <v>81</v>
      </c>
      <c r="GRX38" s="331"/>
      <c r="GRY38" s="290">
        <v>45492</v>
      </c>
      <c r="GRZ38" s="339" t="s">
        <v>141</v>
      </c>
      <c r="GSA38" s="305"/>
      <c r="GSB38" s="305">
        <v>1</v>
      </c>
      <c r="GSC38" s="304">
        <f t="shared" ref="GSC38" si="3301">EDATE(GRY38,GSB38)</f>
        <v>45523</v>
      </c>
      <c r="GSD38" s="340">
        <v>0</v>
      </c>
      <c r="GSE38" s="320">
        <f t="shared" ref="GSE38" si="3302">IF(GSF38&gt;=1,(GSD38/GSB38),0)</f>
        <v>0</v>
      </c>
      <c r="GSF38" s="292"/>
      <c r="GSG38" s="259" t="s">
        <v>55</v>
      </c>
      <c r="GSH38" s="256" t="s">
        <v>76</v>
      </c>
      <c r="GSI38" s="256" t="s">
        <v>77</v>
      </c>
      <c r="GSJ38" s="256" t="s">
        <v>78</v>
      </c>
      <c r="GSK38" s="256" t="s">
        <v>79</v>
      </c>
      <c r="GSL38" s="256" t="s">
        <v>80</v>
      </c>
      <c r="GSM38" s="256" t="s">
        <v>81</v>
      </c>
      <c r="GSN38" s="331"/>
      <c r="GSO38" s="290">
        <v>45492</v>
      </c>
      <c r="GSP38" s="339" t="s">
        <v>141</v>
      </c>
      <c r="GSQ38" s="305"/>
      <c r="GSR38" s="305">
        <v>1</v>
      </c>
      <c r="GSS38" s="304">
        <f t="shared" ref="GSS38" si="3303">EDATE(GSO38,GSR38)</f>
        <v>45523</v>
      </c>
      <c r="GST38" s="340">
        <v>0</v>
      </c>
      <c r="GSU38" s="320">
        <f t="shared" ref="GSU38" si="3304">IF(GSV38&gt;=1,(GST38/GSR38),0)</f>
        <v>0</v>
      </c>
      <c r="GSV38" s="292"/>
      <c r="GSW38" s="259" t="s">
        <v>55</v>
      </c>
      <c r="GSX38" s="256" t="s">
        <v>76</v>
      </c>
      <c r="GSY38" s="256" t="s">
        <v>77</v>
      </c>
      <c r="GSZ38" s="256" t="s">
        <v>78</v>
      </c>
      <c r="GTA38" s="256" t="s">
        <v>79</v>
      </c>
      <c r="GTB38" s="256" t="s">
        <v>80</v>
      </c>
      <c r="GTC38" s="256" t="s">
        <v>81</v>
      </c>
      <c r="GTD38" s="331"/>
      <c r="GTE38" s="290">
        <v>45492</v>
      </c>
      <c r="GTF38" s="339" t="s">
        <v>141</v>
      </c>
      <c r="GTG38" s="305"/>
      <c r="GTH38" s="305">
        <v>1</v>
      </c>
      <c r="GTI38" s="304">
        <f t="shared" ref="GTI38" si="3305">EDATE(GTE38,GTH38)</f>
        <v>45523</v>
      </c>
      <c r="GTJ38" s="340">
        <v>0</v>
      </c>
      <c r="GTK38" s="320">
        <f t="shared" ref="GTK38" si="3306">IF(GTL38&gt;=1,(GTJ38/GTH38),0)</f>
        <v>0</v>
      </c>
      <c r="GTL38" s="292"/>
      <c r="GTM38" s="259" t="s">
        <v>55</v>
      </c>
      <c r="GTN38" s="256" t="s">
        <v>76</v>
      </c>
      <c r="GTO38" s="256" t="s">
        <v>77</v>
      </c>
      <c r="GTP38" s="256" t="s">
        <v>78</v>
      </c>
      <c r="GTQ38" s="256" t="s">
        <v>79</v>
      </c>
      <c r="GTR38" s="256" t="s">
        <v>80</v>
      </c>
      <c r="GTS38" s="256" t="s">
        <v>81</v>
      </c>
      <c r="GTT38" s="331"/>
      <c r="GTU38" s="290">
        <v>45492</v>
      </c>
      <c r="GTV38" s="339" t="s">
        <v>141</v>
      </c>
      <c r="GTW38" s="305"/>
      <c r="GTX38" s="305">
        <v>1</v>
      </c>
      <c r="GTY38" s="304">
        <f t="shared" ref="GTY38" si="3307">EDATE(GTU38,GTX38)</f>
        <v>45523</v>
      </c>
      <c r="GTZ38" s="340">
        <v>0</v>
      </c>
      <c r="GUA38" s="320">
        <f t="shared" ref="GUA38" si="3308">IF(GUB38&gt;=1,(GTZ38/GTX38),0)</f>
        <v>0</v>
      </c>
      <c r="GUB38" s="292"/>
      <c r="GUC38" s="259" t="s">
        <v>55</v>
      </c>
      <c r="GUD38" s="256" t="s">
        <v>76</v>
      </c>
      <c r="GUE38" s="256" t="s">
        <v>77</v>
      </c>
      <c r="GUF38" s="256" t="s">
        <v>78</v>
      </c>
      <c r="GUG38" s="256" t="s">
        <v>79</v>
      </c>
      <c r="GUH38" s="256" t="s">
        <v>80</v>
      </c>
      <c r="GUI38" s="256" t="s">
        <v>81</v>
      </c>
      <c r="GUJ38" s="331"/>
      <c r="GUK38" s="290">
        <v>45492</v>
      </c>
      <c r="GUL38" s="339" t="s">
        <v>141</v>
      </c>
      <c r="GUM38" s="305"/>
      <c r="GUN38" s="305">
        <v>1</v>
      </c>
      <c r="GUO38" s="304">
        <f t="shared" ref="GUO38" si="3309">EDATE(GUK38,GUN38)</f>
        <v>45523</v>
      </c>
      <c r="GUP38" s="340">
        <v>0</v>
      </c>
      <c r="GUQ38" s="320">
        <f t="shared" ref="GUQ38" si="3310">IF(GUR38&gt;=1,(GUP38/GUN38),0)</f>
        <v>0</v>
      </c>
      <c r="GUR38" s="292"/>
      <c r="GUS38" s="259" t="s">
        <v>55</v>
      </c>
      <c r="GUT38" s="256" t="s">
        <v>76</v>
      </c>
      <c r="GUU38" s="256" t="s">
        <v>77</v>
      </c>
      <c r="GUV38" s="256" t="s">
        <v>78</v>
      </c>
      <c r="GUW38" s="256" t="s">
        <v>79</v>
      </c>
      <c r="GUX38" s="256" t="s">
        <v>80</v>
      </c>
      <c r="GUY38" s="256" t="s">
        <v>81</v>
      </c>
      <c r="GUZ38" s="331"/>
      <c r="GVA38" s="290">
        <v>45492</v>
      </c>
      <c r="GVB38" s="339" t="s">
        <v>141</v>
      </c>
      <c r="GVC38" s="305"/>
      <c r="GVD38" s="305">
        <v>1</v>
      </c>
      <c r="GVE38" s="304">
        <f t="shared" ref="GVE38" si="3311">EDATE(GVA38,GVD38)</f>
        <v>45523</v>
      </c>
      <c r="GVF38" s="340">
        <v>0</v>
      </c>
      <c r="GVG38" s="320">
        <f t="shared" ref="GVG38" si="3312">IF(GVH38&gt;=1,(GVF38/GVD38),0)</f>
        <v>0</v>
      </c>
      <c r="GVH38" s="292"/>
      <c r="GVI38" s="259" t="s">
        <v>55</v>
      </c>
      <c r="GVJ38" s="256" t="s">
        <v>76</v>
      </c>
      <c r="GVK38" s="256" t="s">
        <v>77</v>
      </c>
      <c r="GVL38" s="256" t="s">
        <v>78</v>
      </c>
      <c r="GVM38" s="256" t="s">
        <v>79</v>
      </c>
      <c r="GVN38" s="256" t="s">
        <v>80</v>
      </c>
      <c r="GVO38" s="256" t="s">
        <v>81</v>
      </c>
      <c r="GVP38" s="331"/>
      <c r="GVQ38" s="290">
        <v>45492</v>
      </c>
      <c r="GVR38" s="339" t="s">
        <v>141</v>
      </c>
      <c r="GVS38" s="305"/>
      <c r="GVT38" s="305">
        <v>1</v>
      </c>
      <c r="GVU38" s="304">
        <f t="shared" ref="GVU38" si="3313">EDATE(GVQ38,GVT38)</f>
        <v>45523</v>
      </c>
      <c r="GVV38" s="340">
        <v>0</v>
      </c>
      <c r="GVW38" s="320">
        <f t="shared" ref="GVW38" si="3314">IF(GVX38&gt;=1,(GVV38/GVT38),0)</f>
        <v>0</v>
      </c>
      <c r="GVX38" s="292"/>
      <c r="GVY38" s="259" t="s">
        <v>55</v>
      </c>
      <c r="GVZ38" s="256" t="s">
        <v>76</v>
      </c>
      <c r="GWA38" s="256" t="s">
        <v>77</v>
      </c>
      <c r="GWB38" s="256" t="s">
        <v>78</v>
      </c>
      <c r="GWC38" s="256" t="s">
        <v>79</v>
      </c>
      <c r="GWD38" s="256" t="s">
        <v>80</v>
      </c>
      <c r="GWE38" s="256" t="s">
        <v>81</v>
      </c>
      <c r="GWF38" s="331"/>
      <c r="GWG38" s="290">
        <v>45492</v>
      </c>
      <c r="GWH38" s="339" t="s">
        <v>141</v>
      </c>
      <c r="GWI38" s="305"/>
      <c r="GWJ38" s="305">
        <v>1</v>
      </c>
      <c r="GWK38" s="304">
        <f t="shared" ref="GWK38" si="3315">EDATE(GWG38,GWJ38)</f>
        <v>45523</v>
      </c>
      <c r="GWL38" s="340">
        <v>0</v>
      </c>
      <c r="GWM38" s="320">
        <f t="shared" ref="GWM38" si="3316">IF(GWN38&gt;=1,(GWL38/GWJ38),0)</f>
        <v>0</v>
      </c>
      <c r="GWN38" s="292"/>
      <c r="GWO38" s="259" t="s">
        <v>55</v>
      </c>
      <c r="GWP38" s="256" t="s">
        <v>76</v>
      </c>
      <c r="GWQ38" s="256" t="s">
        <v>77</v>
      </c>
      <c r="GWR38" s="256" t="s">
        <v>78</v>
      </c>
      <c r="GWS38" s="256" t="s">
        <v>79</v>
      </c>
      <c r="GWT38" s="256" t="s">
        <v>80</v>
      </c>
      <c r="GWU38" s="256" t="s">
        <v>81</v>
      </c>
      <c r="GWV38" s="331"/>
      <c r="GWW38" s="290">
        <v>45492</v>
      </c>
      <c r="GWX38" s="339" t="s">
        <v>141</v>
      </c>
      <c r="GWY38" s="305"/>
      <c r="GWZ38" s="305">
        <v>1</v>
      </c>
      <c r="GXA38" s="304">
        <f t="shared" ref="GXA38" si="3317">EDATE(GWW38,GWZ38)</f>
        <v>45523</v>
      </c>
      <c r="GXB38" s="340">
        <v>0</v>
      </c>
      <c r="GXC38" s="320">
        <f t="shared" ref="GXC38" si="3318">IF(GXD38&gt;=1,(GXB38/GWZ38),0)</f>
        <v>0</v>
      </c>
      <c r="GXD38" s="292"/>
      <c r="GXE38" s="259" t="s">
        <v>55</v>
      </c>
      <c r="GXF38" s="256" t="s">
        <v>76</v>
      </c>
      <c r="GXG38" s="256" t="s">
        <v>77</v>
      </c>
      <c r="GXH38" s="256" t="s">
        <v>78</v>
      </c>
      <c r="GXI38" s="256" t="s">
        <v>79</v>
      </c>
      <c r="GXJ38" s="256" t="s">
        <v>80</v>
      </c>
      <c r="GXK38" s="256" t="s">
        <v>81</v>
      </c>
      <c r="GXL38" s="331"/>
      <c r="GXM38" s="290">
        <v>45492</v>
      </c>
      <c r="GXN38" s="339" t="s">
        <v>141</v>
      </c>
      <c r="GXO38" s="305"/>
      <c r="GXP38" s="305">
        <v>1</v>
      </c>
      <c r="GXQ38" s="304">
        <f t="shared" ref="GXQ38" si="3319">EDATE(GXM38,GXP38)</f>
        <v>45523</v>
      </c>
      <c r="GXR38" s="340">
        <v>0</v>
      </c>
      <c r="GXS38" s="320">
        <f t="shared" ref="GXS38" si="3320">IF(GXT38&gt;=1,(GXR38/GXP38),0)</f>
        <v>0</v>
      </c>
      <c r="GXT38" s="292"/>
      <c r="GXU38" s="259" t="s">
        <v>55</v>
      </c>
      <c r="GXV38" s="256" t="s">
        <v>76</v>
      </c>
      <c r="GXW38" s="256" t="s">
        <v>77</v>
      </c>
      <c r="GXX38" s="256" t="s">
        <v>78</v>
      </c>
      <c r="GXY38" s="256" t="s">
        <v>79</v>
      </c>
      <c r="GXZ38" s="256" t="s">
        <v>80</v>
      </c>
      <c r="GYA38" s="256" t="s">
        <v>81</v>
      </c>
      <c r="GYB38" s="331"/>
      <c r="GYC38" s="290">
        <v>45492</v>
      </c>
      <c r="GYD38" s="339" t="s">
        <v>141</v>
      </c>
      <c r="GYE38" s="305"/>
      <c r="GYF38" s="305">
        <v>1</v>
      </c>
      <c r="GYG38" s="304">
        <f t="shared" ref="GYG38" si="3321">EDATE(GYC38,GYF38)</f>
        <v>45523</v>
      </c>
      <c r="GYH38" s="340">
        <v>0</v>
      </c>
      <c r="GYI38" s="320">
        <f t="shared" ref="GYI38" si="3322">IF(GYJ38&gt;=1,(GYH38/GYF38),0)</f>
        <v>0</v>
      </c>
      <c r="GYJ38" s="292"/>
      <c r="GYK38" s="259" t="s">
        <v>55</v>
      </c>
      <c r="GYL38" s="256" t="s">
        <v>76</v>
      </c>
      <c r="GYM38" s="256" t="s">
        <v>77</v>
      </c>
      <c r="GYN38" s="256" t="s">
        <v>78</v>
      </c>
      <c r="GYO38" s="256" t="s">
        <v>79</v>
      </c>
      <c r="GYP38" s="256" t="s">
        <v>80</v>
      </c>
      <c r="GYQ38" s="256" t="s">
        <v>81</v>
      </c>
      <c r="GYR38" s="331"/>
      <c r="GYS38" s="290">
        <v>45492</v>
      </c>
      <c r="GYT38" s="339" t="s">
        <v>141</v>
      </c>
      <c r="GYU38" s="305"/>
      <c r="GYV38" s="305">
        <v>1</v>
      </c>
      <c r="GYW38" s="304">
        <f t="shared" ref="GYW38" si="3323">EDATE(GYS38,GYV38)</f>
        <v>45523</v>
      </c>
      <c r="GYX38" s="340">
        <v>0</v>
      </c>
      <c r="GYY38" s="320">
        <f t="shared" ref="GYY38" si="3324">IF(GYZ38&gt;=1,(GYX38/GYV38),0)</f>
        <v>0</v>
      </c>
      <c r="GYZ38" s="292"/>
      <c r="GZA38" s="259" t="s">
        <v>55</v>
      </c>
      <c r="GZB38" s="256" t="s">
        <v>76</v>
      </c>
      <c r="GZC38" s="256" t="s">
        <v>77</v>
      </c>
      <c r="GZD38" s="256" t="s">
        <v>78</v>
      </c>
      <c r="GZE38" s="256" t="s">
        <v>79</v>
      </c>
      <c r="GZF38" s="256" t="s">
        <v>80</v>
      </c>
      <c r="GZG38" s="256" t="s">
        <v>81</v>
      </c>
      <c r="GZH38" s="331"/>
      <c r="GZI38" s="290">
        <v>45492</v>
      </c>
      <c r="GZJ38" s="339" t="s">
        <v>141</v>
      </c>
      <c r="GZK38" s="305"/>
      <c r="GZL38" s="305">
        <v>1</v>
      </c>
      <c r="GZM38" s="304">
        <f t="shared" ref="GZM38" si="3325">EDATE(GZI38,GZL38)</f>
        <v>45523</v>
      </c>
      <c r="GZN38" s="340">
        <v>0</v>
      </c>
      <c r="GZO38" s="320">
        <f t="shared" ref="GZO38" si="3326">IF(GZP38&gt;=1,(GZN38/GZL38),0)</f>
        <v>0</v>
      </c>
      <c r="GZP38" s="292"/>
      <c r="GZQ38" s="259" t="s">
        <v>55</v>
      </c>
      <c r="GZR38" s="256" t="s">
        <v>76</v>
      </c>
      <c r="GZS38" s="256" t="s">
        <v>77</v>
      </c>
      <c r="GZT38" s="256" t="s">
        <v>78</v>
      </c>
      <c r="GZU38" s="256" t="s">
        <v>79</v>
      </c>
      <c r="GZV38" s="256" t="s">
        <v>80</v>
      </c>
      <c r="GZW38" s="256" t="s">
        <v>81</v>
      </c>
      <c r="GZX38" s="331"/>
      <c r="GZY38" s="290">
        <v>45492</v>
      </c>
      <c r="GZZ38" s="339" t="s">
        <v>141</v>
      </c>
      <c r="HAA38" s="305"/>
      <c r="HAB38" s="305">
        <v>1</v>
      </c>
      <c r="HAC38" s="304">
        <f t="shared" ref="HAC38" si="3327">EDATE(GZY38,HAB38)</f>
        <v>45523</v>
      </c>
      <c r="HAD38" s="340">
        <v>0</v>
      </c>
      <c r="HAE38" s="320">
        <f t="shared" ref="HAE38" si="3328">IF(HAF38&gt;=1,(HAD38/HAB38),0)</f>
        <v>0</v>
      </c>
      <c r="HAF38" s="292"/>
      <c r="HAG38" s="259" t="s">
        <v>55</v>
      </c>
      <c r="HAH38" s="256" t="s">
        <v>76</v>
      </c>
      <c r="HAI38" s="256" t="s">
        <v>77</v>
      </c>
      <c r="HAJ38" s="256" t="s">
        <v>78</v>
      </c>
      <c r="HAK38" s="256" t="s">
        <v>79</v>
      </c>
      <c r="HAL38" s="256" t="s">
        <v>80</v>
      </c>
      <c r="HAM38" s="256" t="s">
        <v>81</v>
      </c>
      <c r="HAN38" s="331"/>
      <c r="HAO38" s="290">
        <v>45492</v>
      </c>
      <c r="HAP38" s="339" t="s">
        <v>141</v>
      </c>
      <c r="HAQ38" s="305"/>
      <c r="HAR38" s="305">
        <v>1</v>
      </c>
      <c r="HAS38" s="304">
        <f t="shared" ref="HAS38" si="3329">EDATE(HAO38,HAR38)</f>
        <v>45523</v>
      </c>
      <c r="HAT38" s="340">
        <v>0</v>
      </c>
      <c r="HAU38" s="320">
        <f t="shared" ref="HAU38" si="3330">IF(HAV38&gt;=1,(HAT38/HAR38),0)</f>
        <v>0</v>
      </c>
      <c r="HAV38" s="292"/>
      <c r="HAW38" s="259" t="s">
        <v>55</v>
      </c>
      <c r="HAX38" s="256" t="s">
        <v>76</v>
      </c>
      <c r="HAY38" s="256" t="s">
        <v>77</v>
      </c>
      <c r="HAZ38" s="256" t="s">
        <v>78</v>
      </c>
      <c r="HBA38" s="256" t="s">
        <v>79</v>
      </c>
      <c r="HBB38" s="256" t="s">
        <v>80</v>
      </c>
      <c r="HBC38" s="256" t="s">
        <v>81</v>
      </c>
      <c r="HBD38" s="331"/>
      <c r="HBE38" s="290">
        <v>45492</v>
      </c>
      <c r="HBF38" s="339" t="s">
        <v>141</v>
      </c>
      <c r="HBG38" s="305"/>
      <c r="HBH38" s="305">
        <v>1</v>
      </c>
      <c r="HBI38" s="304">
        <f t="shared" ref="HBI38" si="3331">EDATE(HBE38,HBH38)</f>
        <v>45523</v>
      </c>
      <c r="HBJ38" s="340">
        <v>0</v>
      </c>
      <c r="HBK38" s="320">
        <f t="shared" ref="HBK38" si="3332">IF(HBL38&gt;=1,(HBJ38/HBH38),0)</f>
        <v>0</v>
      </c>
      <c r="HBL38" s="292"/>
      <c r="HBM38" s="259" t="s">
        <v>55</v>
      </c>
      <c r="HBN38" s="256" t="s">
        <v>76</v>
      </c>
      <c r="HBO38" s="256" t="s">
        <v>77</v>
      </c>
      <c r="HBP38" s="256" t="s">
        <v>78</v>
      </c>
      <c r="HBQ38" s="256" t="s">
        <v>79</v>
      </c>
      <c r="HBR38" s="256" t="s">
        <v>80</v>
      </c>
      <c r="HBS38" s="256" t="s">
        <v>81</v>
      </c>
      <c r="HBT38" s="331"/>
      <c r="HBU38" s="290">
        <v>45492</v>
      </c>
      <c r="HBV38" s="339" t="s">
        <v>141</v>
      </c>
      <c r="HBW38" s="305"/>
      <c r="HBX38" s="305">
        <v>1</v>
      </c>
      <c r="HBY38" s="304">
        <f t="shared" ref="HBY38" si="3333">EDATE(HBU38,HBX38)</f>
        <v>45523</v>
      </c>
      <c r="HBZ38" s="340">
        <v>0</v>
      </c>
      <c r="HCA38" s="320">
        <f t="shared" ref="HCA38" si="3334">IF(HCB38&gt;=1,(HBZ38/HBX38),0)</f>
        <v>0</v>
      </c>
      <c r="HCB38" s="292"/>
      <c r="HCC38" s="259" t="s">
        <v>55</v>
      </c>
      <c r="HCD38" s="256" t="s">
        <v>76</v>
      </c>
      <c r="HCE38" s="256" t="s">
        <v>77</v>
      </c>
      <c r="HCF38" s="256" t="s">
        <v>78</v>
      </c>
      <c r="HCG38" s="256" t="s">
        <v>79</v>
      </c>
      <c r="HCH38" s="256" t="s">
        <v>80</v>
      </c>
      <c r="HCI38" s="256" t="s">
        <v>81</v>
      </c>
      <c r="HCJ38" s="331"/>
      <c r="HCK38" s="290">
        <v>45492</v>
      </c>
      <c r="HCL38" s="339" t="s">
        <v>141</v>
      </c>
      <c r="HCM38" s="305"/>
      <c r="HCN38" s="305">
        <v>1</v>
      </c>
      <c r="HCO38" s="304">
        <f t="shared" ref="HCO38" si="3335">EDATE(HCK38,HCN38)</f>
        <v>45523</v>
      </c>
      <c r="HCP38" s="340">
        <v>0</v>
      </c>
      <c r="HCQ38" s="320">
        <f t="shared" ref="HCQ38" si="3336">IF(HCR38&gt;=1,(HCP38/HCN38),0)</f>
        <v>0</v>
      </c>
      <c r="HCR38" s="292"/>
      <c r="HCS38" s="259" t="s">
        <v>55</v>
      </c>
      <c r="HCT38" s="256" t="s">
        <v>76</v>
      </c>
      <c r="HCU38" s="256" t="s">
        <v>77</v>
      </c>
      <c r="HCV38" s="256" t="s">
        <v>78</v>
      </c>
      <c r="HCW38" s="256" t="s">
        <v>79</v>
      </c>
      <c r="HCX38" s="256" t="s">
        <v>80</v>
      </c>
      <c r="HCY38" s="256" t="s">
        <v>81</v>
      </c>
      <c r="HCZ38" s="331"/>
      <c r="HDA38" s="290">
        <v>45492</v>
      </c>
      <c r="HDB38" s="339" t="s">
        <v>141</v>
      </c>
      <c r="HDC38" s="305"/>
      <c r="HDD38" s="305">
        <v>1</v>
      </c>
      <c r="HDE38" s="304">
        <f t="shared" ref="HDE38" si="3337">EDATE(HDA38,HDD38)</f>
        <v>45523</v>
      </c>
      <c r="HDF38" s="340">
        <v>0</v>
      </c>
      <c r="HDG38" s="320">
        <f t="shared" ref="HDG38" si="3338">IF(HDH38&gt;=1,(HDF38/HDD38),0)</f>
        <v>0</v>
      </c>
      <c r="HDH38" s="292"/>
      <c r="HDI38" s="259" t="s">
        <v>55</v>
      </c>
      <c r="HDJ38" s="256" t="s">
        <v>76</v>
      </c>
      <c r="HDK38" s="256" t="s">
        <v>77</v>
      </c>
      <c r="HDL38" s="256" t="s">
        <v>78</v>
      </c>
      <c r="HDM38" s="256" t="s">
        <v>79</v>
      </c>
      <c r="HDN38" s="256" t="s">
        <v>80</v>
      </c>
      <c r="HDO38" s="256" t="s">
        <v>81</v>
      </c>
      <c r="HDP38" s="331"/>
      <c r="HDQ38" s="290">
        <v>45492</v>
      </c>
      <c r="HDR38" s="339" t="s">
        <v>141</v>
      </c>
      <c r="HDS38" s="305"/>
      <c r="HDT38" s="305">
        <v>1</v>
      </c>
      <c r="HDU38" s="304">
        <f t="shared" ref="HDU38" si="3339">EDATE(HDQ38,HDT38)</f>
        <v>45523</v>
      </c>
      <c r="HDV38" s="340">
        <v>0</v>
      </c>
      <c r="HDW38" s="320">
        <f t="shared" ref="HDW38" si="3340">IF(HDX38&gt;=1,(HDV38/HDT38),0)</f>
        <v>0</v>
      </c>
      <c r="HDX38" s="292"/>
      <c r="HDY38" s="259" t="s">
        <v>55</v>
      </c>
      <c r="HDZ38" s="256" t="s">
        <v>76</v>
      </c>
      <c r="HEA38" s="256" t="s">
        <v>77</v>
      </c>
      <c r="HEB38" s="256" t="s">
        <v>78</v>
      </c>
      <c r="HEC38" s="256" t="s">
        <v>79</v>
      </c>
      <c r="HED38" s="256" t="s">
        <v>80</v>
      </c>
      <c r="HEE38" s="256" t="s">
        <v>81</v>
      </c>
      <c r="HEF38" s="331"/>
      <c r="HEG38" s="290">
        <v>45492</v>
      </c>
      <c r="HEH38" s="339" t="s">
        <v>141</v>
      </c>
      <c r="HEI38" s="305"/>
      <c r="HEJ38" s="305">
        <v>1</v>
      </c>
      <c r="HEK38" s="304">
        <f t="shared" ref="HEK38" si="3341">EDATE(HEG38,HEJ38)</f>
        <v>45523</v>
      </c>
      <c r="HEL38" s="340">
        <v>0</v>
      </c>
      <c r="HEM38" s="320">
        <f t="shared" ref="HEM38" si="3342">IF(HEN38&gt;=1,(HEL38/HEJ38),0)</f>
        <v>0</v>
      </c>
      <c r="HEN38" s="292"/>
      <c r="HEO38" s="259" t="s">
        <v>55</v>
      </c>
      <c r="HEP38" s="256" t="s">
        <v>76</v>
      </c>
      <c r="HEQ38" s="256" t="s">
        <v>77</v>
      </c>
      <c r="HER38" s="256" t="s">
        <v>78</v>
      </c>
      <c r="HES38" s="256" t="s">
        <v>79</v>
      </c>
      <c r="HET38" s="256" t="s">
        <v>80</v>
      </c>
      <c r="HEU38" s="256" t="s">
        <v>81</v>
      </c>
      <c r="HEV38" s="331"/>
      <c r="HEW38" s="290">
        <v>45492</v>
      </c>
      <c r="HEX38" s="339" t="s">
        <v>141</v>
      </c>
      <c r="HEY38" s="305"/>
      <c r="HEZ38" s="305">
        <v>1</v>
      </c>
      <c r="HFA38" s="304">
        <f t="shared" ref="HFA38" si="3343">EDATE(HEW38,HEZ38)</f>
        <v>45523</v>
      </c>
      <c r="HFB38" s="340">
        <v>0</v>
      </c>
      <c r="HFC38" s="320">
        <f t="shared" ref="HFC38" si="3344">IF(HFD38&gt;=1,(HFB38/HEZ38),0)</f>
        <v>0</v>
      </c>
      <c r="HFD38" s="292"/>
      <c r="HFE38" s="259" t="s">
        <v>55</v>
      </c>
      <c r="HFF38" s="256" t="s">
        <v>76</v>
      </c>
      <c r="HFG38" s="256" t="s">
        <v>77</v>
      </c>
      <c r="HFH38" s="256" t="s">
        <v>78</v>
      </c>
      <c r="HFI38" s="256" t="s">
        <v>79</v>
      </c>
      <c r="HFJ38" s="256" t="s">
        <v>80</v>
      </c>
      <c r="HFK38" s="256" t="s">
        <v>81</v>
      </c>
      <c r="HFL38" s="331"/>
      <c r="HFM38" s="290">
        <v>45492</v>
      </c>
      <c r="HFN38" s="339" t="s">
        <v>141</v>
      </c>
      <c r="HFO38" s="305"/>
      <c r="HFP38" s="305">
        <v>1</v>
      </c>
      <c r="HFQ38" s="304">
        <f t="shared" ref="HFQ38" si="3345">EDATE(HFM38,HFP38)</f>
        <v>45523</v>
      </c>
      <c r="HFR38" s="340">
        <v>0</v>
      </c>
      <c r="HFS38" s="320">
        <f t="shared" ref="HFS38" si="3346">IF(HFT38&gt;=1,(HFR38/HFP38),0)</f>
        <v>0</v>
      </c>
      <c r="HFT38" s="292"/>
      <c r="HFU38" s="259" t="s">
        <v>55</v>
      </c>
      <c r="HFV38" s="256" t="s">
        <v>76</v>
      </c>
      <c r="HFW38" s="256" t="s">
        <v>77</v>
      </c>
      <c r="HFX38" s="256" t="s">
        <v>78</v>
      </c>
      <c r="HFY38" s="256" t="s">
        <v>79</v>
      </c>
      <c r="HFZ38" s="256" t="s">
        <v>80</v>
      </c>
      <c r="HGA38" s="256" t="s">
        <v>81</v>
      </c>
      <c r="HGB38" s="331"/>
      <c r="HGC38" s="290">
        <v>45492</v>
      </c>
      <c r="HGD38" s="339" t="s">
        <v>141</v>
      </c>
      <c r="HGE38" s="305"/>
      <c r="HGF38" s="305">
        <v>1</v>
      </c>
      <c r="HGG38" s="304">
        <f t="shared" ref="HGG38" si="3347">EDATE(HGC38,HGF38)</f>
        <v>45523</v>
      </c>
      <c r="HGH38" s="340">
        <v>0</v>
      </c>
      <c r="HGI38" s="320">
        <f t="shared" ref="HGI38" si="3348">IF(HGJ38&gt;=1,(HGH38/HGF38),0)</f>
        <v>0</v>
      </c>
      <c r="HGJ38" s="292"/>
      <c r="HGK38" s="259" t="s">
        <v>55</v>
      </c>
      <c r="HGL38" s="256" t="s">
        <v>76</v>
      </c>
      <c r="HGM38" s="256" t="s">
        <v>77</v>
      </c>
      <c r="HGN38" s="256" t="s">
        <v>78</v>
      </c>
      <c r="HGO38" s="256" t="s">
        <v>79</v>
      </c>
      <c r="HGP38" s="256" t="s">
        <v>80</v>
      </c>
      <c r="HGQ38" s="256" t="s">
        <v>81</v>
      </c>
      <c r="HGR38" s="331"/>
      <c r="HGS38" s="290">
        <v>45492</v>
      </c>
      <c r="HGT38" s="339" t="s">
        <v>141</v>
      </c>
      <c r="HGU38" s="305"/>
      <c r="HGV38" s="305">
        <v>1</v>
      </c>
      <c r="HGW38" s="304">
        <f t="shared" ref="HGW38" si="3349">EDATE(HGS38,HGV38)</f>
        <v>45523</v>
      </c>
      <c r="HGX38" s="340">
        <v>0</v>
      </c>
      <c r="HGY38" s="320">
        <f t="shared" ref="HGY38" si="3350">IF(HGZ38&gt;=1,(HGX38/HGV38),0)</f>
        <v>0</v>
      </c>
      <c r="HGZ38" s="292"/>
      <c r="HHA38" s="259" t="s">
        <v>55</v>
      </c>
      <c r="HHB38" s="256" t="s">
        <v>76</v>
      </c>
      <c r="HHC38" s="256" t="s">
        <v>77</v>
      </c>
      <c r="HHD38" s="256" t="s">
        <v>78</v>
      </c>
      <c r="HHE38" s="256" t="s">
        <v>79</v>
      </c>
      <c r="HHF38" s="256" t="s">
        <v>80</v>
      </c>
      <c r="HHG38" s="256" t="s">
        <v>81</v>
      </c>
      <c r="HHH38" s="331"/>
      <c r="HHI38" s="290">
        <v>45492</v>
      </c>
      <c r="HHJ38" s="339" t="s">
        <v>141</v>
      </c>
      <c r="HHK38" s="305"/>
      <c r="HHL38" s="305">
        <v>1</v>
      </c>
      <c r="HHM38" s="304">
        <f t="shared" ref="HHM38" si="3351">EDATE(HHI38,HHL38)</f>
        <v>45523</v>
      </c>
      <c r="HHN38" s="340">
        <v>0</v>
      </c>
      <c r="HHO38" s="320">
        <f t="shared" ref="HHO38" si="3352">IF(HHP38&gt;=1,(HHN38/HHL38),0)</f>
        <v>0</v>
      </c>
      <c r="HHP38" s="292"/>
      <c r="HHQ38" s="259" t="s">
        <v>55</v>
      </c>
      <c r="HHR38" s="256" t="s">
        <v>76</v>
      </c>
      <c r="HHS38" s="256" t="s">
        <v>77</v>
      </c>
      <c r="HHT38" s="256" t="s">
        <v>78</v>
      </c>
      <c r="HHU38" s="256" t="s">
        <v>79</v>
      </c>
      <c r="HHV38" s="256" t="s">
        <v>80</v>
      </c>
      <c r="HHW38" s="256" t="s">
        <v>81</v>
      </c>
      <c r="HHX38" s="331"/>
      <c r="HHY38" s="290">
        <v>45492</v>
      </c>
      <c r="HHZ38" s="339" t="s">
        <v>141</v>
      </c>
      <c r="HIA38" s="305"/>
      <c r="HIB38" s="305">
        <v>1</v>
      </c>
      <c r="HIC38" s="304">
        <f t="shared" ref="HIC38" si="3353">EDATE(HHY38,HIB38)</f>
        <v>45523</v>
      </c>
      <c r="HID38" s="340">
        <v>0</v>
      </c>
      <c r="HIE38" s="320">
        <f t="shared" ref="HIE38" si="3354">IF(HIF38&gt;=1,(HID38/HIB38),0)</f>
        <v>0</v>
      </c>
      <c r="HIF38" s="292"/>
      <c r="HIG38" s="259" t="s">
        <v>55</v>
      </c>
      <c r="HIH38" s="256" t="s">
        <v>76</v>
      </c>
      <c r="HII38" s="256" t="s">
        <v>77</v>
      </c>
      <c r="HIJ38" s="256" t="s">
        <v>78</v>
      </c>
      <c r="HIK38" s="256" t="s">
        <v>79</v>
      </c>
      <c r="HIL38" s="256" t="s">
        <v>80</v>
      </c>
      <c r="HIM38" s="256" t="s">
        <v>81</v>
      </c>
      <c r="HIN38" s="331"/>
      <c r="HIO38" s="290">
        <v>45492</v>
      </c>
      <c r="HIP38" s="339" t="s">
        <v>141</v>
      </c>
      <c r="HIQ38" s="305"/>
      <c r="HIR38" s="305">
        <v>1</v>
      </c>
      <c r="HIS38" s="304">
        <f t="shared" ref="HIS38" si="3355">EDATE(HIO38,HIR38)</f>
        <v>45523</v>
      </c>
      <c r="HIT38" s="340">
        <v>0</v>
      </c>
      <c r="HIU38" s="320">
        <f t="shared" ref="HIU38" si="3356">IF(HIV38&gt;=1,(HIT38/HIR38),0)</f>
        <v>0</v>
      </c>
      <c r="HIV38" s="292"/>
      <c r="HIW38" s="259" t="s">
        <v>55</v>
      </c>
      <c r="HIX38" s="256" t="s">
        <v>76</v>
      </c>
      <c r="HIY38" s="256" t="s">
        <v>77</v>
      </c>
      <c r="HIZ38" s="256" t="s">
        <v>78</v>
      </c>
      <c r="HJA38" s="256" t="s">
        <v>79</v>
      </c>
      <c r="HJB38" s="256" t="s">
        <v>80</v>
      </c>
      <c r="HJC38" s="256" t="s">
        <v>81</v>
      </c>
      <c r="HJD38" s="331"/>
      <c r="HJE38" s="290">
        <v>45492</v>
      </c>
      <c r="HJF38" s="339" t="s">
        <v>141</v>
      </c>
      <c r="HJG38" s="305"/>
      <c r="HJH38" s="305">
        <v>1</v>
      </c>
      <c r="HJI38" s="304">
        <f t="shared" ref="HJI38" si="3357">EDATE(HJE38,HJH38)</f>
        <v>45523</v>
      </c>
      <c r="HJJ38" s="340">
        <v>0</v>
      </c>
      <c r="HJK38" s="320">
        <f t="shared" ref="HJK38" si="3358">IF(HJL38&gt;=1,(HJJ38/HJH38),0)</f>
        <v>0</v>
      </c>
      <c r="HJL38" s="292"/>
      <c r="HJM38" s="259" t="s">
        <v>55</v>
      </c>
      <c r="HJN38" s="256" t="s">
        <v>76</v>
      </c>
      <c r="HJO38" s="256" t="s">
        <v>77</v>
      </c>
      <c r="HJP38" s="256" t="s">
        <v>78</v>
      </c>
      <c r="HJQ38" s="256" t="s">
        <v>79</v>
      </c>
      <c r="HJR38" s="256" t="s">
        <v>80</v>
      </c>
      <c r="HJS38" s="256" t="s">
        <v>81</v>
      </c>
      <c r="HJT38" s="331"/>
      <c r="HJU38" s="290">
        <v>45492</v>
      </c>
      <c r="HJV38" s="339" t="s">
        <v>141</v>
      </c>
      <c r="HJW38" s="305"/>
      <c r="HJX38" s="305">
        <v>1</v>
      </c>
      <c r="HJY38" s="304">
        <f t="shared" ref="HJY38" si="3359">EDATE(HJU38,HJX38)</f>
        <v>45523</v>
      </c>
      <c r="HJZ38" s="340">
        <v>0</v>
      </c>
      <c r="HKA38" s="320">
        <f t="shared" ref="HKA38" si="3360">IF(HKB38&gt;=1,(HJZ38/HJX38),0)</f>
        <v>0</v>
      </c>
      <c r="HKB38" s="292"/>
      <c r="HKC38" s="259" t="s">
        <v>55</v>
      </c>
      <c r="HKD38" s="256" t="s">
        <v>76</v>
      </c>
      <c r="HKE38" s="256" t="s">
        <v>77</v>
      </c>
      <c r="HKF38" s="256" t="s">
        <v>78</v>
      </c>
      <c r="HKG38" s="256" t="s">
        <v>79</v>
      </c>
      <c r="HKH38" s="256" t="s">
        <v>80</v>
      </c>
      <c r="HKI38" s="256" t="s">
        <v>81</v>
      </c>
      <c r="HKJ38" s="331"/>
      <c r="HKK38" s="290">
        <v>45492</v>
      </c>
      <c r="HKL38" s="339" t="s">
        <v>141</v>
      </c>
      <c r="HKM38" s="305"/>
      <c r="HKN38" s="305">
        <v>1</v>
      </c>
      <c r="HKO38" s="304">
        <f t="shared" ref="HKO38" si="3361">EDATE(HKK38,HKN38)</f>
        <v>45523</v>
      </c>
      <c r="HKP38" s="340">
        <v>0</v>
      </c>
      <c r="HKQ38" s="320">
        <f t="shared" ref="HKQ38" si="3362">IF(HKR38&gt;=1,(HKP38/HKN38),0)</f>
        <v>0</v>
      </c>
      <c r="HKR38" s="292"/>
      <c r="HKS38" s="259" t="s">
        <v>55</v>
      </c>
      <c r="HKT38" s="256" t="s">
        <v>76</v>
      </c>
      <c r="HKU38" s="256" t="s">
        <v>77</v>
      </c>
      <c r="HKV38" s="256" t="s">
        <v>78</v>
      </c>
      <c r="HKW38" s="256" t="s">
        <v>79</v>
      </c>
      <c r="HKX38" s="256" t="s">
        <v>80</v>
      </c>
      <c r="HKY38" s="256" t="s">
        <v>81</v>
      </c>
      <c r="HKZ38" s="331"/>
      <c r="HLA38" s="290">
        <v>45492</v>
      </c>
      <c r="HLB38" s="339" t="s">
        <v>141</v>
      </c>
      <c r="HLC38" s="305"/>
      <c r="HLD38" s="305">
        <v>1</v>
      </c>
      <c r="HLE38" s="304">
        <f t="shared" ref="HLE38" si="3363">EDATE(HLA38,HLD38)</f>
        <v>45523</v>
      </c>
      <c r="HLF38" s="340">
        <v>0</v>
      </c>
      <c r="HLG38" s="320">
        <f t="shared" ref="HLG38" si="3364">IF(HLH38&gt;=1,(HLF38/HLD38),0)</f>
        <v>0</v>
      </c>
      <c r="HLH38" s="292"/>
      <c r="HLI38" s="259" t="s">
        <v>55</v>
      </c>
      <c r="HLJ38" s="256" t="s">
        <v>76</v>
      </c>
      <c r="HLK38" s="256" t="s">
        <v>77</v>
      </c>
      <c r="HLL38" s="256" t="s">
        <v>78</v>
      </c>
      <c r="HLM38" s="256" t="s">
        <v>79</v>
      </c>
      <c r="HLN38" s="256" t="s">
        <v>80</v>
      </c>
      <c r="HLO38" s="256" t="s">
        <v>81</v>
      </c>
      <c r="HLP38" s="331"/>
      <c r="HLQ38" s="290">
        <v>45492</v>
      </c>
      <c r="HLR38" s="339" t="s">
        <v>141</v>
      </c>
      <c r="HLS38" s="305"/>
      <c r="HLT38" s="305">
        <v>1</v>
      </c>
      <c r="HLU38" s="304">
        <f t="shared" ref="HLU38" si="3365">EDATE(HLQ38,HLT38)</f>
        <v>45523</v>
      </c>
      <c r="HLV38" s="340">
        <v>0</v>
      </c>
      <c r="HLW38" s="320">
        <f t="shared" ref="HLW38" si="3366">IF(HLX38&gt;=1,(HLV38/HLT38),0)</f>
        <v>0</v>
      </c>
      <c r="HLX38" s="292"/>
      <c r="HLY38" s="259" t="s">
        <v>55</v>
      </c>
      <c r="HLZ38" s="256" t="s">
        <v>76</v>
      </c>
      <c r="HMA38" s="256" t="s">
        <v>77</v>
      </c>
      <c r="HMB38" s="256" t="s">
        <v>78</v>
      </c>
      <c r="HMC38" s="256" t="s">
        <v>79</v>
      </c>
      <c r="HMD38" s="256" t="s">
        <v>80</v>
      </c>
      <c r="HME38" s="256" t="s">
        <v>81</v>
      </c>
      <c r="HMF38" s="331"/>
      <c r="HMG38" s="290">
        <v>45492</v>
      </c>
      <c r="HMH38" s="339" t="s">
        <v>141</v>
      </c>
      <c r="HMI38" s="305"/>
      <c r="HMJ38" s="305">
        <v>1</v>
      </c>
      <c r="HMK38" s="304">
        <f t="shared" ref="HMK38" si="3367">EDATE(HMG38,HMJ38)</f>
        <v>45523</v>
      </c>
      <c r="HML38" s="340">
        <v>0</v>
      </c>
      <c r="HMM38" s="320">
        <f t="shared" ref="HMM38" si="3368">IF(HMN38&gt;=1,(HML38/HMJ38),0)</f>
        <v>0</v>
      </c>
      <c r="HMN38" s="292"/>
      <c r="HMO38" s="259" t="s">
        <v>55</v>
      </c>
      <c r="HMP38" s="256" t="s">
        <v>76</v>
      </c>
      <c r="HMQ38" s="256" t="s">
        <v>77</v>
      </c>
      <c r="HMR38" s="256" t="s">
        <v>78</v>
      </c>
      <c r="HMS38" s="256" t="s">
        <v>79</v>
      </c>
      <c r="HMT38" s="256" t="s">
        <v>80</v>
      </c>
      <c r="HMU38" s="256" t="s">
        <v>81</v>
      </c>
      <c r="HMV38" s="331"/>
      <c r="HMW38" s="290">
        <v>45492</v>
      </c>
      <c r="HMX38" s="339" t="s">
        <v>141</v>
      </c>
      <c r="HMY38" s="305"/>
      <c r="HMZ38" s="305">
        <v>1</v>
      </c>
      <c r="HNA38" s="304">
        <f t="shared" ref="HNA38" si="3369">EDATE(HMW38,HMZ38)</f>
        <v>45523</v>
      </c>
      <c r="HNB38" s="340">
        <v>0</v>
      </c>
      <c r="HNC38" s="320">
        <f t="shared" ref="HNC38" si="3370">IF(HND38&gt;=1,(HNB38/HMZ38),0)</f>
        <v>0</v>
      </c>
      <c r="HND38" s="292"/>
      <c r="HNE38" s="259" t="s">
        <v>55</v>
      </c>
      <c r="HNF38" s="256" t="s">
        <v>76</v>
      </c>
      <c r="HNG38" s="256" t="s">
        <v>77</v>
      </c>
      <c r="HNH38" s="256" t="s">
        <v>78</v>
      </c>
      <c r="HNI38" s="256" t="s">
        <v>79</v>
      </c>
      <c r="HNJ38" s="256" t="s">
        <v>80</v>
      </c>
      <c r="HNK38" s="256" t="s">
        <v>81</v>
      </c>
      <c r="HNL38" s="331"/>
      <c r="HNM38" s="290">
        <v>45492</v>
      </c>
      <c r="HNN38" s="339" t="s">
        <v>141</v>
      </c>
      <c r="HNO38" s="305"/>
      <c r="HNP38" s="305">
        <v>1</v>
      </c>
      <c r="HNQ38" s="304">
        <f t="shared" ref="HNQ38" si="3371">EDATE(HNM38,HNP38)</f>
        <v>45523</v>
      </c>
      <c r="HNR38" s="340">
        <v>0</v>
      </c>
      <c r="HNS38" s="320">
        <f t="shared" ref="HNS38" si="3372">IF(HNT38&gt;=1,(HNR38/HNP38),0)</f>
        <v>0</v>
      </c>
      <c r="HNT38" s="292"/>
      <c r="HNU38" s="259" t="s">
        <v>55</v>
      </c>
      <c r="HNV38" s="256" t="s">
        <v>76</v>
      </c>
      <c r="HNW38" s="256" t="s">
        <v>77</v>
      </c>
      <c r="HNX38" s="256" t="s">
        <v>78</v>
      </c>
      <c r="HNY38" s="256" t="s">
        <v>79</v>
      </c>
      <c r="HNZ38" s="256" t="s">
        <v>80</v>
      </c>
      <c r="HOA38" s="256" t="s">
        <v>81</v>
      </c>
      <c r="HOB38" s="331"/>
      <c r="HOC38" s="290">
        <v>45492</v>
      </c>
      <c r="HOD38" s="339" t="s">
        <v>141</v>
      </c>
      <c r="HOE38" s="305"/>
      <c r="HOF38" s="305">
        <v>1</v>
      </c>
      <c r="HOG38" s="304">
        <f t="shared" ref="HOG38" si="3373">EDATE(HOC38,HOF38)</f>
        <v>45523</v>
      </c>
      <c r="HOH38" s="340">
        <v>0</v>
      </c>
      <c r="HOI38" s="320">
        <f t="shared" ref="HOI38" si="3374">IF(HOJ38&gt;=1,(HOH38/HOF38),0)</f>
        <v>0</v>
      </c>
      <c r="HOJ38" s="292"/>
      <c r="HOK38" s="259" t="s">
        <v>55</v>
      </c>
      <c r="HOL38" s="256" t="s">
        <v>76</v>
      </c>
      <c r="HOM38" s="256" t="s">
        <v>77</v>
      </c>
      <c r="HON38" s="256" t="s">
        <v>78</v>
      </c>
      <c r="HOO38" s="256" t="s">
        <v>79</v>
      </c>
      <c r="HOP38" s="256" t="s">
        <v>80</v>
      </c>
      <c r="HOQ38" s="256" t="s">
        <v>81</v>
      </c>
      <c r="HOR38" s="331"/>
      <c r="HOS38" s="290">
        <v>45492</v>
      </c>
      <c r="HOT38" s="339" t="s">
        <v>141</v>
      </c>
      <c r="HOU38" s="305"/>
      <c r="HOV38" s="305">
        <v>1</v>
      </c>
      <c r="HOW38" s="304">
        <f t="shared" ref="HOW38" si="3375">EDATE(HOS38,HOV38)</f>
        <v>45523</v>
      </c>
      <c r="HOX38" s="340">
        <v>0</v>
      </c>
      <c r="HOY38" s="320">
        <f t="shared" ref="HOY38" si="3376">IF(HOZ38&gt;=1,(HOX38/HOV38),0)</f>
        <v>0</v>
      </c>
      <c r="HOZ38" s="292"/>
      <c r="HPA38" s="259" t="s">
        <v>55</v>
      </c>
      <c r="HPB38" s="256" t="s">
        <v>76</v>
      </c>
      <c r="HPC38" s="256" t="s">
        <v>77</v>
      </c>
      <c r="HPD38" s="256" t="s">
        <v>78</v>
      </c>
      <c r="HPE38" s="256" t="s">
        <v>79</v>
      </c>
      <c r="HPF38" s="256" t="s">
        <v>80</v>
      </c>
      <c r="HPG38" s="256" t="s">
        <v>81</v>
      </c>
      <c r="HPH38" s="331"/>
      <c r="HPI38" s="290">
        <v>45492</v>
      </c>
      <c r="HPJ38" s="339" t="s">
        <v>141</v>
      </c>
      <c r="HPK38" s="305"/>
      <c r="HPL38" s="305">
        <v>1</v>
      </c>
      <c r="HPM38" s="304">
        <f t="shared" ref="HPM38" si="3377">EDATE(HPI38,HPL38)</f>
        <v>45523</v>
      </c>
      <c r="HPN38" s="340">
        <v>0</v>
      </c>
      <c r="HPO38" s="320">
        <f t="shared" ref="HPO38" si="3378">IF(HPP38&gt;=1,(HPN38/HPL38),0)</f>
        <v>0</v>
      </c>
      <c r="HPP38" s="292"/>
      <c r="HPQ38" s="259" t="s">
        <v>55</v>
      </c>
      <c r="HPR38" s="256" t="s">
        <v>76</v>
      </c>
      <c r="HPS38" s="256" t="s">
        <v>77</v>
      </c>
      <c r="HPT38" s="256" t="s">
        <v>78</v>
      </c>
      <c r="HPU38" s="256" t="s">
        <v>79</v>
      </c>
      <c r="HPV38" s="256" t="s">
        <v>80</v>
      </c>
      <c r="HPW38" s="256" t="s">
        <v>81</v>
      </c>
      <c r="HPX38" s="331"/>
      <c r="HPY38" s="290">
        <v>45492</v>
      </c>
      <c r="HPZ38" s="339" t="s">
        <v>141</v>
      </c>
      <c r="HQA38" s="305"/>
      <c r="HQB38" s="305">
        <v>1</v>
      </c>
      <c r="HQC38" s="304">
        <f t="shared" ref="HQC38" si="3379">EDATE(HPY38,HQB38)</f>
        <v>45523</v>
      </c>
      <c r="HQD38" s="340">
        <v>0</v>
      </c>
      <c r="HQE38" s="320">
        <f t="shared" ref="HQE38" si="3380">IF(HQF38&gt;=1,(HQD38/HQB38),0)</f>
        <v>0</v>
      </c>
      <c r="HQF38" s="292"/>
      <c r="HQG38" s="259" t="s">
        <v>55</v>
      </c>
      <c r="HQH38" s="256" t="s">
        <v>76</v>
      </c>
      <c r="HQI38" s="256" t="s">
        <v>77</v>
      </c>
      <c r="HQJ38" s="256" t="s">
        <v>78</v>
      </c>
      <c r="HQK38" s="256" t="s">
        <v>79</v>
      </c>
      <c r="HQL38" s="256" t="s">
        <v>80</v>
      </c>
      <c r="HQM38" s="256" t="s">
        <v>81</v>
      </c>
      <c r="HQN38" s="331"/>
      <c r="HQO38" s="290">
        <v>45492</v>
      </c>
      <c r="HQP38" s="339" t="s">
        <v>141</v>
      </c>
      <c r="HQQ38" s="305"/>
      <c r="HQR38" s="305">
        <v>1</v>
      </c>
      <c r="HQS38" s="304">
        <f t="shared" ref="HQS38" si="3381">EDATE(HQO38,HQR38)</f>
        <v>45523</v>
      </c>
      <c r="HQT38" s="340">
        <v>0</v>
      </c>
      <c r="HQU38" s="320">
        <f t="shared" ref="HQU38" si="3382">IF(HQV38&gt;=1,(HQT38/HQR38),0)</f>
        <v>0</v>
      </c>
      <c r="HQV38" s="292"/>
      <c r="HQW38" s="259" t="s">
        <v>55</v>
      </c>
      <c r="HQX38" s="256" t="s">
        <v>76</v>
      </c>
      <c r="HQY38" s="256" t="s">
        <v>77</v>
      </c>
      <c r="HQZ38" s="256" t="s">
        <v>78</v>
      </c>
      <c r="HRA38" s="256" t="s">
        <v>79</v>
      </c>
      <c r="HRB38" s="256" t="s">
        <v>80</v>
      </c>
      <c r="HRC38" s="256" t="s">
        <v>81</v>
      </c>
      <c r="HRD38" s="331"/>
      <c r="HRE38" s="290">
        <v>45492</v>
      </c>
      <c r="HRF38" s="339" t="s">
        <v>141</v>
      </c>
      <c r="HRG38" s="305"/>
      <c r="HRH38" s="305">
        <v>1</v>
      </c>
      <c r="HRI38" s="304">
        <f t="shared" ref="HRI38" si="3383">EDATE(HRE38,HRH38)</f>
        <v>45523</v>
      </c>
      <c r="HRJ38" s="340">
        <v>0</v>
      </c>
      <c r="HRK38" s="320">
        <f t="shared" ref="HRK38" si="3384">IF(HRL38&gt;=1,(HRJ38/HRH38),0)</f>
        <v>0</v>
      </c>
      <c r="HRL38" s="292"/>
      <c r="HRM38" s="259" t="s">
        <v>55</v>
      </c>
      <c r="HRN38" s="256" t="s">
        <v>76</v>
      </c>
      <c r="HRO38" s="256" t="s">
        <v>77</v>
      </c>
      <c r="HRP38" s="256" t="s">
        <v>78</v>
      </c>
      <c r="HRQ38" s="256" t="s">
        <v>79</v>
      </c>
      <c r="HRR38" s="256" t="s">
        <v>80</v>
      </c>
      <c r="HRS38" s="256" t="s">
        <v>81</v>
      </c>
      <c r="HRT38" s="331"/>
      <c r="HRU38" s="290">
        <v>45492</v>
      </c>
      <c r="HRV38" s="339" t="s">
        <v>141</v>
      </c>
      <c r="HRW38" s="305"/>
      <c r="HRX38" s="305">
        <v>1</v>
      </c>
      <c r="HRY38" s="304">
        <f t="shared" ref="HRY38" si="3385">EDATE(HRU38,HRX38)</f>
        <v>45523</v>
      </c>
      <c r="HRZ38" s="340">
        <v>0</v>
      </c>
      <c r="HSA38" s="320">
        <f t="shared" ref="HSA38" si="3386">IF(HSB38&gt;=1,(HRZ38/HRX38),0)</f>
        <v>0</v>
      </c>
      <c r="HSB38" s="292"/>
      <c r="HSC38" s="259" t="s">
        <v>55</v>
      </c>
      <c r="HSD38" s="256" t="s">
        <v>76</v>
      </c>
      <c r="HSE38" s="256" t="s">
        <v>77</v>
      </c>
      <c r="HSF38" s="256" t="s">
        <v>78</v>
      </c>
      <c r="HSG38" s="256" t="s">
        <v>79</v>
      </c>
      <c r="HSH38" s="256" t="s">
        <v>80</v>
      </c>
      <c r="HSI38" s="256" t="s">
        <v>81</v>
      </c>
      <c r="HSJ38" s="331"/>
      <c r="HSK38" s="290">
        <v>45492</v>
      </c>
      <c r="HSL38" s="339" t="s">
        <v>141</v>
      </c>
      <c r="HSM38" s="305"/>
      <c r="HSN38" s="305">
        <v>1</v>
      </c>
      <c r="HSO38" s="304">
        <f t="shared" ref="HSO38" si="3387">EDATE(HSK38,HSN38)</f>
        <v>45523</v>
      </c>
      <c r="HSP38" s="340">
        <v>0</v>
      </c>
      <c r="HSQ38" s="320">
        <f t="shared" ref="HSQ38" si="3388">IF(HSR38&gt;=1,(HSP38/HSN38),0)</f>
        <v>0</v>
      </c>
      <c r="HSR38" s="292"/>
      <c r="HSS38" s="259" t="s">
        <v>55</v>
      </c>
      <c r="HST38" s="256" t="s">
        <v>76</v>
      </c>
      <c r="HSU38" s="256" t="s">
        <v>77</v>
      </c>
      <c r="HSV38" s="256" t="s">
        <v>78</v>
      </c>
      <c r="HSW38" s="256" t="s">
        <v>79</v>
      </c>
      <c r="HSX38" s="256" t="s">
        <v>80</v>
      </c>
      <c r="HSY38" s="256" t="s">
        <v>81</v>
      </c>
      <c r="HSZ38" s="331"/>
      <c r="HTA38" s="290">
        <v>45492</v>
      </c>
      <c r="HTB38" s="339" t="s">
        <v>141</v>
      </c>
      <c r="HTC38" s="305"/>
      <c r="HTD38" s="305">
        <v>1</v>
      </c>
      <c r="HTE38" s="304">
        <f t="shared" ref="HTE38" si="3389">EDATE(HTA38,HTD38)</f>
        <v>45523</v>
      </c>
      <c r="HTF38" s="340">
        <v>0</v>
      </c>
      <c r="HTG38" s="320">
        <f t="shared" ref="HTG38" si="3390">IF(HTH38&gt;=1,(HTF38/HTD38),0)</f>
        <v>0</v>
      </c>
      <c r="HTH38" s="292"/>
      <c r="HTI38" s="259" t="s">
        <v>55</v>
      </c>
      <c r="HTJ38" s="256" t="s">
        <v>76</v>
      </c>
      <c r="HTK38" s="256" t="s">
        <v>77</v>
      </c>
      <c r="HTL38" s="256" t="s">
        <v>78</v>
      </c>
      <c r="HTM38" s="256" t="s">
        <v>79</v>
      </c>
      <c r="HTN38" s="256" t="s">
        <v>80</v>
      </c>
      <c r="HTO38" s="256" t="s">
        <v>81</v>
      </c>
      <c r="HTP38" s="331"/>
      <c r="HTQ38" s="290">
        <v>45492</v>
      </c>
      <c r="HTR38" s="339" t="s">
        <v>141</v>
      </c>
      <c r="HTS38" s="305"/>
      <c r="HTT38" s="305">
        <v>1</v>
      </c>
      <c r="HTU38" s="304">
        <f t="shared" ref="HTU38" si="3391">EDATE(HTQ38,HTT38)</f>
        <v>45523</v>
      </c>
      <c r="HTV38" s="340">
        <v>0</v>
      </c>
      <c r="HTW38" s="320">
        <f t="shared" ref="HTW38" si="3392">IF(HTX38&gt;=1,(HTV38/HTT38),0)</f>
        <v>0</v>
      </c>
      <c r="HTX38" s="292"/>
      <c r="HTY38" s="259" t="s">
        <v>55</v>
      </c>
      <c r="HTZ38" s="256" t="s">
        <v>76</v>
      </c>
      <c r="HUA38" s="256" t="s">
        <v>77</v>
      </c>
      <c r="HUB38" s="256" t="s">
        <v>78</v>
      </c>
      <c r="HUC38" s="256" t="s">
        <v>79</v>
      </c>
      <c r="HUD38" s="256" t="s">
        <v>80</v>
      </c>
      <c r="HUE38" s="256" t="s">
        <v>81</v>
      </c>
      <c r="HUF38" s="331"/>
      <c r="HUG38" s="290">
        <v>45492</v>
      </c>
      <c r="HUH38" s="339" t="s">
        <v>141</v>
      </c>
      <c r="HUI38" s="305"/>
      <c r="HUJ38" s="305">
        <v>1</v>
      </c>
      <c r="HUK38" s="304">
        <f t="shared" ref="HUK38" si="3393">EDATE(HUG38,HUJ38)</f>
        <v>45523</v>
      </c>
      <c r="HUL38" s="340">
        <v>0</v>
      </c>
      <c r="HUM38" s="320">
        <f t="shared" ref="HUM38" si="3394">IF(HUN38&gt;=1,(HUL38/HUJ38),0)</f>
        <v>0</v>
      </c>
      <c r="HUN38" s="292"/>
      <c r="HUO38" s="259" t="s">
        <v>55</v>
      </c>
      <c r="HUP38" s="256" t="s">
        <v>76</v>
      </c>
      <c r="HUQ38" s="256" t="s">
        <v>77</v>
      </c>
      <c r="HUR38" s="256" t="s">
        <v>78</v>
      </c>
      <c r="HUS38" s="256" t="s">
        <v>79</v>
      </c>
      <c r="HUT38" s="256" t="s">
        <v>80</v>
      </c>
      <c r="HUU38" s="256" t="s">
        <v>81</v>
      </c>
      <c r="HUV38" s="331"/>
      <c r="HUW38" s="290">
        <v>45492</v>
      </c>
      <c r="HUX38" s="339" t="s">
        <v>141</v>
      </c>
      <c r="HUY38" s="305"/>
      <c r="HUZ38" s="305">
        <v>1</v>
      </c>
      <c r="HVA38" s="304">
        <f t="shared" ref="HVA38" si="3395">EDATE(HUW38,HUZ38)</f>
        <v>45523</v>
      </c>
      <c r="HVB38" s="340">
        <v>0</v>
      </c>
      <c r="HVC38" s="320">
        <f t="shared" ref="HVC38" si="3396">IF(HVD38&gt;=1,(HVB38/HUZ38),0)</f>
        <v>0</v>
      </c>
      <c r="HVD38" s="292"/>
      <c r="HVE38" s="259" t="s">
        <v>55</v>
      </c>
      <c r="HVF38" s="256" t="s">
        <v>76</v>
      </c>
      <c r="HVG38" s="256" t="s">
        <v>77</v>
      </c>
      <c r="HVH38" s="256" t="s">
        <v>78</v>
      </c>
      <c r="HVI38" s="256" t="s">
        <v>79</v>
      </c>
      <c r="HVJ38" s="256" t="s">
        <v>80</v>
      </c>
      <c r="HVK38" s="256" t="s">
        <v>81</v>
      </c>
      <c r="HVL38" s="331"/>
      <c r="HVM38" s="290">
        <v>45492</v>
      </c>
      <c r="HVN38" s="339" t="s">
        <v>141</v>
      </c>
      <c r="HVO38" s="305"/>
      <c r="HVP38" s="305">
        <v>1</v>
      </c>
      <c r="HVQ38" s="304">
        <f t="shared" ref="HVQ38" si="3397">EDATE(HVM38,HVP38)</f>
        <v>45523</v>
      </c>
      <c r="HVR38" s="340">
        <v>0</v>
      </c>
      <c r="HVS38" s="320">
        <f t="shared" ref="HVS38" si="3398">IF(HVT38&gt;=1,(HVR38/HVP38),0)</f>
        <v>0</v>
      </c>
      <c r="HVT38" s="292"/>
      <c r="HVU38" s="259" t="s">
        <v>55</v>
      </c>
      <c r="HVV38" s="256" t="s">
        <v>76</v>
      </c>
      <c r="HVW38" s="256" t="s">
        <v>77</v>
      </c>
      <c r="HVX38" s="256" t="s">
        <v>78</v>
      </c>
      <c r="HVY38" s="256" t="s">
        <v>79</v>
      </c>
      <c r="HVZ38" s="256" t="s">
        <v>80</v>
      </c>
      <c r="HWA38" s="256" t="s">
        <v>81</v>
      </c>
      <c r="HWB38" s="331"/>
      <c r="HWC38" s="290">
        <v>45492</v>
      </c>
      <c r="HWD38" s="339" t="s">
        <v>141</v>
      </c>
      <c r="HWE38" s="305"/>
      <c r="HWF38" s="305">
        <v>1</v>
      </c>
      <c r="HWG38" s="304">
        <f t="shared" ref="HWG38" si="3399">EDATE(HWC38,HWF38)</f>
        <v>45523</v>
      </c>
      <c r="HWH38" s="340">
        <v>0</v>
      </c>
      <c r="HWI38" s="320">
        <f t="shared" ref="HWI38" si="3400">IF(HWJ38&gt;=1,(HWH38/HWF38),0)</f>
        <v>0</v>
      </c>
      <c r="HWJ38" s="292"/>
      <c r="HWK38" s="259" t="s">
        <v>55</v>
      </c>
      <c r="HWL38" s="256" t="s">
        <v>76</v>
      </c>
      <c r="HWM38" s="256" t="s">
        <v>77</v>
      </c>
      <c r="HWN38" s="256" t="s">
        <v>78</v>
      </c>
      <c r="HWO38" s="256" t="s">
        <v>79</v>
      </c>
      <c r="HWP38" s="256" t="s">
        <v>80</v>
      </c>
      <c r="HWQ38" s="256" t="s">
        <v>81</v>
      </c>
      <c r="HWR38" s="331"/>
      <c r="HWS38" s="290">
        <v>45492</v>
      </c>
      <c r="HWT38" s="339" t="s">
        <v>141</v>
      </c>
      <c r="HWU38" s="305"/>
      <c r="HWV38" s="305">
        <v>1</v>
      </c>
      <c r="HWW38" s="304">
        <f t="shared" ref="HWW38" si="3401">EDATE(HWS38,HWV38)</f>
        <v>45523</v>
      </c>
      <c r="HWX38" s="340">
        <v>0</v>
      </c>
      <c r="HWY38" s="320">
        <f t="shared" ref="HWY38" si="3402">IF(HWZ38&gt;=1,(HWX38/HWV38),0)</f>
        <v>0</v>
      </c>
      <c r="HWZ38" s="292"/>
      <c r="HXA38" s="259" t="s">
        <v>55</v>
      </c>
      <c r="HXB38" s="256" t="s">
        <v>76</v>
      </c>
      <c r="HXC38" s="256" t="s">
        <v>77</v>
      </c>
      <c r="HXD38" s="256" t="s">
        <v>78</v>
      </c>
      <c r="HXE38" s="256" t="s">
        <v>79</v>
      </c>
      <c r="HXF38" s="256" t="s">
        <v>80</v>
      </c>
      <c r="HXG38" s="256" t="s">
        <v>81</v>
      </c>
      <c r="HXH38" s="331"/>
      <c r="HXI38" s="290">
        <v>45492</v>
      </c>
      <c r="HXJ38" s="339" t="s">
        <v>141</v>
      </c>
      <c r="HXK38" s="305"/>
      <c r="HXL38" s="305">
        <v>1</v>
      </c>
      <c r="HXM38" s="304">
        <f t="shared" ref="HXM38" si="3403">EDATE(HXI38,HXL38)</f>
        <v>45523</v>
      </c>
      <c r="HXN38" s="340">
        <v>0</v>
      </c>
      <c r="HXO38" s="320">
        <f t="shared" ref="HXO38" si="3404">IF(HXP38&gt;=1,(HXN38/HXL38),0)</f>
        <v>0</v>
      </c>
      <c r="HXP38" s="292"/>
      <c r="HXQ38" s="259" t="s">
        <v>55</v>
      </c>
      <c r="HXR38" s="256" t="s">
        <v>76</v>
      </c>
      <c r="HXS38" s="256" t="s">
        <v>77</v>
      </c>
      <c r="HXT38" s="256" t="s">
        <v>78</v>
      </c>
      <c r="HXU38" s="256" t="s">
        <v>79</v>
      </c>
      <c r="HXV38" s="256" t="s">
        <v>80</v>
      </c>
      <c r="HXW38" s="256" t="s">
        <v>81</v>
      </c>
      <c r="HXX38" s="331"/>
      <c r="HXY38" s="290">
        <v>45492</v>
      </c>
      <c r="HXZ38" s="339" t="s">
        <v>141</v>
      </c>
      <c r="HYA38" s="305"/>
      <c r="HYB38" s="305">
        <v>1</v>
      </c>
      <c r="HYC38" s="304">
        <f t="shared" ref="HYC38" si="3405">EDATE(HXY38,HYB38)</f>
        <v>45523</v>
      </c>
      <c r="HYD38" s="340">
        <v>0</v>
      </c>
      <c r="HYE38" s="320">
        <f t="shared" ref="HYE38" si="3406">IF(HYF38&gt;=1,(HYD38/HYB38),0)</f>
        <v>0</v>
      </c>
      <c r="HYF38" s="292"/>
      <c r="HYG38" s="259" t="s">
        <v>55</v>
      </c>
      <c r="HYH38" s="256" t="s">
        <v>76</v>
      </c>
      <c r="HYI38" s="256" t="s">
        <v>77</v>
      </c>
      <c r="HYJ38" s="256" t="s">
        <v>78</v>
      </c>
      <c r="HYK38" s="256" t="s">
        <v>79</v>
      </c>
      <c r="HYL38" s="256" t="s">
        <v>80</v>
      </c>
      <c r="HYM38" s="256" t="s">
        <v>81</v>
      </c>
      <c r="HYN38" s="331"/>
      <c r="HYO38" s="290">
        <v>45492</v>
      </c>
      <c r="HYP38" s="339" t="s">
        <v>141</v>
      </c>
      <c r="HYQ38" s="305"/>
      <c r="HYR38" s="305">
        <v>1</v>
      </c>
      <c r="HYS38" s="304">
        <f t="shared" ref="HYS38" si="3407">EDATE(HYO38,HYR38)</f>
        <v>45523</v>
      </c>
      <c r="HYT38" s="340">
        <v>0</v>
      </c>
      <c r="HYU38" s="320">
        <f t="shared" ref="HYU38" si="3408">IF(HYV38&gt;=1,(HYT38/HYR38),0)</f>
        <v>0</v>
      </c>
      <c r="HYV38" s="292"/>
      <c r="HYW38" s="259" t="s">
        <v>55</v>
      </c>
      <c r="HYX38" s="256" t="s">
        <v>76</v>
      </c>
      <c r="HYY38" s="256" t="s">
        <v>77</v>
      </c>
      <c r="HYZ38" s="256" t="s">
        <v>78</v>
      </c>
      <c r="HZA38" s="256" t="s">
        <v>79</v>
      </c>
      <c r="HZB38" s="256" t="s">
        <v>80</v>
      </c>
      <c r="HZC38" s="256" t="s">
        <v>81</v>
      </c>
      <c r="HZD38" s="331"/>
      <c r="HZE38" s="290">
        <v>45492</v>
      </c>
      <c r="HZF38" s="339" t="s">
        <v>141</v>
      </c>
      <c r="HZG38" s="305"/>
      <c r="HZH38" s="305">
        <v>1</v>
      </c>
      <c r="HZI38" s="304">
        <f t="shared" ref="HZI38" si="3409">EDATE(HZE38,HZH38)</f>
        <v>45523</v>
      </c>
      <c r="HZJ38" s="340">
        <v>0</v>
      </c>
      <c r="HZK38" s="320">
        <f t="shared" ref="HZK38" si="3410">IF(HZL38&gt;=1,(HZJ38/HZH38),0)</f>
        <v>0</v>
      </c>
      <c r="HZL38" s="292"/>
      <c r="HZM38" s="259" t="s">
        <v>55</v>
      </c>
      <c r="HZN38" s="256" t="s">
        <v>76</v>
      </c>
      <c r="HZO38" s="256" t="s">
        <v>77</v>
      </c>
      <c r="HZP38" s="256" t="s">
        <v>78</v>
      </c>
      <c r="HZQ38" s="256" t="s">
        <v>79</v>
      </c>
      <c r="HZR38" s="256" t="s">
        <v>80</v>
      </c>
      <c r="HZS38" s="256" t="s">
        <v>81</v>
      </c>
      <c r="HZT38" s="331"/>
      <c r="HZU38" s="290">
        <v>45492</v>
      </c>
      <c r="HZV38" s="339" t="s">
        <v>141</v>
      </c>
      <c r="HZW38" s="305"/>
      <c r="HZX38" s="305">
        <v>1</v>
      </c>
      <c r="HZY38" s="304">
        <f t="shared" ref="HZY38" si="3411">EDATE(HZU38,HZX38)</f>
        <v>45523</v>
      </c>
      <c r="HZZ38" s="340">
        <v>0</v>
      </c>
      <c r="IAA38" s="320">
        <f t="shared" ref="IAA38" si="3412">IF(IAB38&gt;=1,(HZZ38/HZX38),0)</f>
        <v>0</v>
      </c>
      <c r="IAB38" s="292"/>
      <c r="IAC38" s="259" t="s">
        <v>55</v>
      </c>
      <c r="IAD38" s="256" t="s">
        <v>76</v>
      </c>
      <c r="IAE38" s="256" t="s">
        <v>77</v>
      </c>
      <c r="IAF38" s="256" t="s">
        <v>78</v>
      </c>
      <c r="IAG38" s="256" t="s">
        <v>79</v>
      </c>
      <c r="IAH38" s="256" t="s">
        <v>80</v>
      </c>
      <c r="IAI38" s="256" t="s">
        <v>81</v>
      </c>
      <c r="IAJ38" s="331"/>
      <c r="IAK38" s="290">
        <v>45492</v>
      </c>
      <c r="IAL38" s="339" t="s">
        <v>141</v>
      </c>
      <c r="IAM38" s="305"/>
      <c r="IAN38" s="305">
        <v>1</v>
      </c>
      <c r="IAO38" s="304">
        <f t="shared" ref="IAO38" si="3413">EDATE(IAK38,IAN38)</f>
        <v>45523</v>
      </c>
      <c r="IAP38" s="340">
        <v>0</v>
      </c>
      <c r="IAQ38" s="320">
        <f t="shared" ref="IAQ38" si="3414">IF(IAR38&gt;=1,(IAP38/IAN38),0)</f>
        <v>0</v>
      </c>
      <c r="IAR38" s="292"/>
      <c r="IAS38" s="259" t="s">
        <v>55</v>
      </c>
      <c r="IAT38" s="256" t="s">
        <v>76</v>
      </c>
      <c r="IAU38" s="256" t="s">
        <v>77</v>
      </c>
      <c r="IAV38" s="256" t="s">
        <v>78</v>
      </c>
      <c r="IAW38" s="256" t="s">
        <v>79</v>
      </c>
      <c r="IAX38" s="256" t="s">
        <v>80</v>
      </c>
      <c r="IAY38" s="256" t="s">
        <v>81</v>
      </c>
      <c r="IAZ38" s="331"/>
      <c r="IBA38" s="290">
        <v>45492</v>
      </c>
      <c r="IBB38" s="339" t="s">
        <v>141</v>
      </c>
      <c r="IBC38" s="305"/>
      <c r="IBD38" s="305">
        <v>1</v>
      </c>
      <c r="IBE38" s="304">
        <f t="shared" ref="IBE38" si="3415">EDATE(IBA38,IBD38)</f>
        <v>45523</v>
      </c>
      <c r="IBF38" s="340">
        <v>0</v>
      </c>
      <c r="IBG38" s="320">
        <f t="shared" ref="IBG38" si="3416">IF(IBH38&gt;=1,(IBF38/IBD38),0)</f>
        <v>0</v>
      </c>
      <c r="IBH38" s="292"/>
      <c r="IBI38" s="259" t="s">
        <v>55</v>
      </c>
      <c r="IBJ38" s="256" t="s">
        <v>76</v>
      </c>
      <c r="IBK38" s="256" t="s">
        <v>77</v>
      </c>
      <c r="IBL38" s="256" t="s">
        <v>78</v>
      </c>
      <c r="IBM38" s="256" t="s">
        <v>79</v>
      </c>
      <c r="IBN38" s="256" t="s">
        <v>80</v>
      </c>
      <c r="IBO38" s="256" t="s">
        <v>81</v>
      </c>
      <c r="IBP38" s="331"/>
      <c r="IBQ38" s="290">
        <v>45492</v>
      </c>
      <c r="IBR38" s="339" t="s">
        <v>141</v>
      </c>
      <c r="IBS38" s="305"/>
      <c r="IBT38" s="305">
        <v>1</v>
      </c>
      <c r="IBU38" s="304">
        <f t="shared" ref="IBU38" si="3417">EDATE(IBQ38,IBT38)</f>
        <v>45523</v>
      </c>
      <c r="IBV38" s="340">
        <v>0</v>
      </c>
      <c r="IBW38" s="320">
        <f t="shared" ref="IBW38" si="3418">IF(IBX38&gt;=1,(IBV38/IBT38),0)</f>
        <v>0</v>
      </c>
      <c r="IBX38" s="292"/>
      <c r="IBY38" s="259" t="s">
        <v>55</v>
      </c>
      <c r="IBZ38" s="256" t="s">
        <v>76</v>
      </c>
      <c r="ICA38" s="256" t="s">
        <v>77</v>
      </c>
      <c r="ICB38" s="256" t="s">
        <v>78</v>
      </c>
      <c r="ICC38" s="256" t="s">
        <v>79</v>
      </c>
      <c r="ICD38" s="256" t="s">
        <v>80</v>
      </c>
      <c r="ICE38" s="256" t="s">
        <v>81</v>
      </c>
      <c r="ICF38" s="331"/>
      <c r="ICG38" s="290">
        <v>45492</v>
      </c>
      <c r="ICH38" s="339" t="s">
        <v>141</v>
      </c>
      <c r="ICI38" s="305"/>
      <c r="ICJ38" s="305">
        <v>1</v>
      </c>
      <c r="ICK38" s="304">
        <f t="shared" ref="ICK38" si="3419">EDATE(ICG38,ICJ38)</f>
        <v>45523</v>
      </c>
      <c r="ICL38" s="340">
        <v>0</v>
      </c>
      <c r="ICM38" s="320">
        <f t="shared" ref="ICM38" si="3420">IF(ICN38&gt;=1,(ICL38/ICJ38),0)</f>
        <v>0</v>
      </c>
      <c r="ICN38" s="292"/>
      <c r="ICO38" s="259" t="s">
        <v>55</v>
      </c>
      <c r="ICP38" s="256" t="s">
        <v>76</v>
      </c>
      <c r="ICQ38" s="256" t="s">
        <v>77</v>
      </c>
      <c r="ICR38" s="256" t="s">
        <v>78</v>
      </c>
      <c r="ICS38" s="256" t="s">
        <v>79</v>
      </c>
      <c r="ICT38" s="256" t="s">
        <v>80</v>
      </c>
      <c r="ICU38" s="256" t="s">
        <v>81</v>
      </c>
      <c r="ICV38" s="331"/>
      <c r="ICW38" s="290">
        <v>45492</v>
      </c>
      <c r="ICX38" s="339" t="s">
        <v>141</v>
      </c>
      <c r="ICY38" s="305"/>
      <c r="ICZ38" s="305">
        <v>1</v>
      </c>
      <c r="IDA38" s="304">
        <f t="shared" ref="IDA38" si="3421">EDATE(ICW38,ICZ38)</f>
        <v>45523</v>
      </c>
      <c r="IDB38" s="340">
        <v>0</v>
      </c>
      <c r="IDC38" s="320">
        <f t="shared" ref="IDC38" si="3422">IF(IDD38&gt;=1,(IDB38/ICZ38),0)</f>
        <v>0</v>
      </c>
      <c r="IDD38" s="292"/>
      <c r="IDE38" s="259" t="s">
        <v>55</v>
      </c>
      <c r="IDF38" s="256" t="s">
        <v>76</v>
      </c>
      <c r="IDG38" s="256" t="s">
        <v>77</v>
      </c>
      <c r="IDH38" s="256" t="s">
        <v>78</v>
      </c>
      <c r="IDI38" s="256" t="s">
        <v>79</v>
      </c>
      <c r="IDJ38" s="256" t="s">
        <v>80</v>
      </c>
      <c r="IDK38" s="256" t="s">
        <v>81</v>
      </c>
      <c r="IDL38" s="331"/>
      <c r="IDM38" s="290">
        <v>45492</v>
      </c>
      <c r="IDN38" s="339" t="s">
        <v>141</v>
      </c>
      <c r="IDO38" s="305"/>
      <c r="IDP38" s="305">
        <v>1</v>
      </c>
      <c r="IDQ38" s="304">
        <f t="shared" ref="IDQ38" si="3423">EDATE(IDM38,IDP38)</f>
        <v>45523</v>
      </c>
      <c r="IDR38" s="340">
        <v>0</v>
      </c>
      <c r="IDS38" s="320">
        <f t="shared" ref="IDS38" si="3424">IF(IDT38&gt;=1,(IDR38/IDP38),0)</f>
        <v>0</v>
      </c>
      <c r="IDT38" s="292"/>
      <c r="IDU38" s="259" t="s">
        <v>55</v>
      </c>
      <c r="IDV38" s="256" t="s">
        <v>76</v>
      </c>
      <c r="IDW38" s="256" t="s">
        <v>77</v>
      </c>
      <c r="IDX38" s="256" t="s">
        <v>78</v>
      </c>
      <c r="IDY38" s="256" t="s">
        <v>79</v>
      </c>
      <c r="IDZ38" s="256" t="s">
        <v>80</v>
      </c>
      <c r="IEA38" s="256" t="s">
        <v>81</v>
      </c>
      <c r="IEB38" s="331"/>
      <c r="IEC38" s="290">
        <v>45492</v>
      </c>
      <c r="IED38" s="339" t="s">
        <v>141</v>
      </c>
      <c r="IEE38" s="305"/>
      <c r="IEF38" s="305">
        <v>1</v>
      </c>
      <c r="IEG38" s="304">
        <f t="shared" ref="IEG38" si="3425">EDATE(IEC38,IEF38)</f>
        <v>45523</v>
      </c>
      <c r="IEH38" s="340">
        <v>0</v>
      </c>
      <c r="IEI38" s="320">
        <f t="shared" ref="IEI38" si="3426">IF(IEJ38&gt;=1,(IEH38/IEF38),0)</f>
        <v>0</v>
      </c>
      <c r="IEJ38" s="292"/>
      <c r="IEK38" s="259" t="s">
        <v>55</v>
      </c>
      <c r="IEL38" s="256" t="s">
        <v>76</v>
      </c>
      <c r="IEM38" s="256" t="s">
        <v>77</v>
      </c>
      <c r="IEN38" s="256" t="s">
        <v>78</v>
      </c>
      <c r="IEO38" s="256" t="s">
        <v>79</v>
      </c>
      <c r="IEP38" s="256" t="s">
        <v>80</v>
      </c>
      <c r="IEQ38" s="256" t="s">
        <v>81</v>
      </c>
      <c r="IER38" s="331"/>
      <c r="IES38" s="290">
        <v>45492</v>
      </c>
      <c r="IET38" s="339" t="s">
        <v>141</v>
      </c>
      <c r="IEU38" s="305"/>
      <c r="IEV38" s="305">
        <v>1</v>
      </c>
      <c r="IEW38" s="304">
        <f t="shared" ref="IEW38" si="3427">EDATE(IES38,IEV38)</f>
        <v>45523</v>
      </c>
      <c r="IEX38" s="340">
        <v>0</v>
      </c>
      <c r="IEY38" s="320">
        <f t="shared" ref="IEY38" si="3428">IF(IEZ38&gt;=1,(IEX38/IEV38),0)</f>
        <v>0</v>
      </c>
      <c r="IEZ38" s="292"/>
      <c r="IFA38" s="259" t="s">
        <v>55</v>
      </c>
      <c r="IFB38" s="256" t="s">
        <v>76</v>
      </c>
      <c r="IFC38" s="256" t="s">
        <v>77</v>
      </c>
      <c r="IFD38" s="256" t="s">
        <v>78</v>
      </c>
      <c r="IFE38" s="256" t="s">
        <v>79</v>
      </c>
      <c r="IFF38" s="256" t="s">
        <v>80</v>
      </c>
      <c r="IFG38" s="256" t="s">
        <v>81</v>
      </c>
      <c r="IFH38" s="331"/>
      <c r="IFI38" s="290">
        <v>45492</v>
      </c>
      <c r="IFJ38" s="339" t="s">
        <v>141</v>
      </c>
      <c r="IFK38" s="305"/>
      <c r="IFL38" s="305">
        <v>1</v>
      </c>
      <c r="IFM38" s="304">
        <f t="shared" ref="IFM38" si="3429">EDATE(IFI38,IFL38)</f>
        <v>45523</v>
      </c>
      <c r="IFN38" s="340">
        <v>0</v>
      </c>
      <c r="IFO38" s="320">
        <f t="shared" ref="IFO38" si="3430">IF(IFP38&gt;=1,(IFN38/IFL38),0)</f>
        <v>0</v>
      </c>
      <c r="IFP38" s="292"/>
      <c r="IFQ38" s="259" t="s">
        <v>55</v>
      </c>
      <c r="IFR38" s="256" t="s">
        <v>76</v>
      </c>
      <c r="IFS38" s="256" t="s">
        <v>77</v>
      </c>
      <c r="IFT38" s="256" t="s">
        <v>78</v>
      </c>
      <c r="IFU38" s="256" t="s">
        <v>79</v>
      </c>
      <c r="IFV38" s="256" t="s">
        <v>80</v>
      </c>
      <c r="IFW38" s="256" t="s">
        <v>81</v>
      </c>
      <c r="IFX38" s="331"/>
      <c r="IFY38" s="290">
        <v>45492</v>
      </c>
      <c r="IFZ38" s="339" t="s">
        <v>141</v>
      </c>
      <c r="IGA38" s="305"/>
      <c r="IGB38" s="305">
        <v>1</v>
      </c>
      <c r="IGC38" s="304">
        <f t="shared" ref="IGC38" si="3431">EDATE(IFY38,IGB38)</f>
        <v>45523</v>
      </c>
      <c r="IGD38" s="340">
        <v>0</v>
      </c>
      <c r="IGE38" s="320">
        <f t="shared" ref="IGE38" si="3432">IF(IGF38&gt;=1,(IGD38/IGB38),0)</f>
        <v>0</v>
      </c>
      <c r="IGF38" s="292"/>
      <c r="IGG38" s="259" t="s">
        <v>55</v>
      </c>
      <c r="IGH38" s="256" t="s">
        <v>76</v>
      </c>
      <c r="IGI38" s="256" t="s">
        <v>77</v>
      </c>
      <c r="IGJ38" s="256" t="s">
        <v>78</v>
      </c>
      <c r="IGK38" s="256" t="s">
        <v>79</v>
      </c>
      <c r="IGL38" s="256" t="s">
        <v>80</v>
      </c>
      <c r="IGM38" s="256" t="s">
        <v>81</v>
      </c>
      <c r="IGN38" s="331"/>
      <c r="IGO38" s="290">
        <v>45492</v>
      </c>
      <c r="IGP38" s="339" t="s">
        <v>141</v>
      </c>
      <c r="IGQ38" s="305"/>
      <c r="IGR38" s="305">
        <v>1</v>
      </c>
      <c r="IGS38" s="304">
        <f t="shared" ref="IGS38" si="3433">EDATE(IGO38,IGR38)</f>
        <v>45523</v>
      </c>
      <c r="IGT38" s="340">
        <v>0</v>
      </c>
      <c r="IGU38" s="320">
        <f t="shared" ref="IGU38" si="3434">IF(IGV38&gt;=1,(IGT38/IGR38),0)</f>
        <v>0</v>
      </c>
      <c r="IGV38" s="292"/>
      <c r="IGW38" s="259" t="s">
        <v>55</v>
      </c>
      <c r="IGX38" s="256" t="s">
        <v>76</v>
      </c>
      <c r="IGY38" s="256" t="s">
        <v>77</v>
      </c>
      <c r="IGZ38" s="256" t="s">
        <v>78</v>
      </c>
      <c r="IHA38" s="256" t="s">
        <v>79</v>
      </c>
      <c r="IHB38" s="256" t="s">
        <v>80</v>
      </c>
      <c r="IHC38" s="256" t="s">
        <v>81</v>
      </c>
      <c r="IHD38" s="331"/>
      <c r="IHE38" s="290">
        <v>45492</v>
      </c>
      <c r="IHF38" s="339" t="s">
        <v>141</v>
      </c>
      <c r="IHG38" s="305"/>
      <c r="IHH38" s="305">
        <v>1</v>
      </c>
      <c r="IHI38" s="304">
        <f t="shared" ref="IHI38" si="3435">EDATE(IHE38,IHH38)</f>
        <v>45523</v>
      </c>
      <c r="IHJ38" s="340">
        <v>0</v>
      </c>
      <c r="IHK38" s="320">
        <f t="shared" ref="IHK38" si="3436">IF(IHL38&gt;=1,(IHJ38/IHH38),0)</f>
        <v>0</v>
      </c>
      <c r="IHL38" s="292"/>
      <c r="IHM38" s="259" t="s">
        <v>55</v>
      </c>
      <c r="IHN38" s="256" t="s">
        <v>76</v>
      </c>
      <c r="IHO38" s="256" t="s">
        <v>77</v>
      </c>
      <c r="IHP38" s="256" t="s">
        <v>78</v>
      </c>
      <c r="IHQ38" s="256" t="s">
        <v>79</v>
      </c>
      <c r="IHR38" s="256" t="s">
        <v>80</v>
      </c>
      <c r="IHS38" s="256" t="s">
        <v>81</v>
      </c>
      <c r="IHT38" s="331"/>
      <c r="IHU38" s="290">
        <v>45492</v>
      </c>
      <c r="IHV38" s="339" t="s">
        <v>141</v>
      </c>
      <c r="IHW38" s="305"/>
      <c r="IHX38" s="305">
        <v>1</v>
      </c>
      <c r="IHY38" s="304">
        <f t="shared" ref="IHY38" si="3437">EDATE(IHU38,IHX38)</f>
        <v>45523</v>
      </c>
      <c r="IHZ38" s="340">
        <v>0</v>
      </c>
      <c r="IIA38" s="320">
        <f t="shared" ref="IIA38" si="3438">IF(IIB38&gt;=1,(IHZ38/IHX38),0)</f>
        <v>0</v>
      </c>
      <c r="IIB38" s="292"/>
      <c r="IIC38" s="259" t="s">
        <v>55</v>
      </c>
      <c r="IID38" s="256" t="s">
        <v>76</v>
      </c>
      <c r="IIE38" s="256" t="s">
        <v>77</v>
      </c>
      <c r="IIF38" s="256" t="s">
        <v>78</v>
      </c>
      <c r="IIG38" s="256" t="s">
        <v>79</v>
      </c>
      <c r="IIH38" s="256" t="s">
        <v>80</v>
      </c>
      <c r="III38" s="256" t="s">
        <v>81</v>
      </c>
      <c r="IIJ38" s="331"/>
      <c r="IIK38" s="290">
        <v>45492</v>
      </c>
      <c r="IIL38" s="339" t="s">
        <v>141</v>
      </c>
      <c r="IIM38" s="305"/>
      <c r="IIN38" s="305">
        <v>1</v>
      </c>
      <c r="IIO38" s="304">
        <f t="shared" ref="IIO38" si="3439">EDATE(IIK38,IIN38)</f>
        <v>45523</v>
      </c>
      <c r="IIP38" s="340">
        <v>0</v>
      </c>
      <c r="IIQ38" s="320">
        <f t="shared" ref="IIQ38" si="3440">IF(IIR38&gt;=1,(IIP38/IIN38),0)</f>
        <v>0</v>
      </c>
      <c r="IIR38" s="292"/>
      <c r="IIS38" s="259" t="s">
        <v>55</v>
      </c>
      <c r="IIT38" s="256" t="s">
        <v>76</v>
      </c>
      <c r="IIU38" s="256" t="s">
        <v>77</v>
      </c>
      <c r="IIV38" s="256" t="s">
        <v>78</v>
      </c>
      <c r="IIW38" s="256" t="s">
        <v>79</v>
      </c>
      <c r="IIX38" s="256" t="s">
        <v>80</v>
      </c>
      <c r="IIY38" s="256" t="s">
        <v>81</v>
      </c>
      <c r="IIZ38" s="331"/>
      <c r="IJA38" s="290">
        <v>45492</v>
      </c>
      <c r="IJB38" s="339" t="s">
        <v>141</v>
      </c>
      <c r="IJC38" s="305"/>
      <c r="IJD38" s="305">
        <v>1</v>
      </c>
      <c r="IJE38" s="304">
        <f t="shared" ref="IJE38" si="3441">EDATE(IJA38,IJD38)</f>
        <v>45523</v>
      </c>
      <c r="IJF38" s="340">
        <v>0</v>
      </c>
      <c r="IJG38" s="320">
        <f t="shared" ref="IJG38" si="3442">IF(IJH38&gt;=1,(IJF38/IJD38),0)</f>
        <v>0</v>
      </c>
      <c r="IJH38" s="292"/>
      <c r="IJI38" s="259" t="s">
        <v>55</v>
      </c>
      <c r="IJJ38" s="256" t="s">
        <v>76</v>
      </c>
      <c r="IJK38" s="256" t="s">
        <v>77</v>
      </c>
      <c r="IJL38" s="256" t="s">
        <v>78</v>
      </c>
      <c r="IJM38" s="256" t="s">
        <v>79</v>
      </c>
      <c r="IJN38" s="256" t="s">
        <v>80</v>
      </c>
      <c r="IJO38" s="256" t="s">
        <v>81</v>
      </c>
      <c r="IJP38" s="331"/>
      <c r="IJQ38" s="290">
        <v>45492</v>
      </c>
      <c r="IJR38" s="339" t="s">
        <v>141</v>
      </c>
      <c r="IJS38" s="305"/>
      <c r="IJT38" s="305">
        <v>1</v>
      </c>
      <c r="IJU38" s="304">
        <f t="shared" ref="IJU38" si="3443">EDATE(IJQ38,IJT38)</f>
        <v>45523</v>
      </c>
      <c r="IJV38" s="340">
        <v>0</v>
      </c>
      <c r="IJW38" s="320">
        <f t="shared" ref="IJW38" si="3444">IF(IJX38&gt;=1,(IJV38/IJT38),0)</f>
        <v>0</v>
      </c>
      <c r="IJX38" s="292"/>
      <c r="IJY38" s="259" t="s">
        <v>55</v>
      </c>
      <c r="IJZ38" s="256" t="s">
        <v>76</v>
      </c>
      <c r="IKA38" s="256" t="s">
        <v>77</v>
      </c>
      <c r="IKB38" s="256" t="s">
        <v>78</v>
      </c>
      <c r="IKC38" s="256" t="s">
        <v>79</v>
      </c>
      <c r="IKD38" s="256" t="s">
        <v>80</v>
      </c>
      <c r="IKE38" s="256" t="s">
        <v>81</v>
      </c>
      <c r="IKF38" s="331"/>
      <c r="IKG38" s="290">
        <v>45492</v>
      </c>
      <c r="IKH38" s="339" t="s">
        <v>141</v>
      </c>
      <c r="IKI38" s="305"/>
      <c r="IKJ38" s="305">
        <v>1</v>
      </c>
      <c r="IKK38" s="304">
        <f t="shared" ref="IKK38" si="3445">EDATE(IKG38,IKJ38)</f>
        <v>45523</v>
      </c>
      <c r="IKL38" s="340">
        <v>0</v>
      </c>
      <c r="IKM38" s="320">
        <f t="shared" ref="IKM38" si="3446">IF(IKN38&gt;=1,(IKL38/IKJ38),0)</f>
        <v>0</v>
      </c>
      <c r="IKN38" s="292"/>
      <c r="IKO38" s="259" t="s">
        <v>55</v>
      </c>
      <c r="IKP38" s="256" t="s">
        <v>76</v>
      </c>
      <c r="IKQ38" s="256" t="s">
        <v>77</v>
      </c>
      <c r="IKR38" s="256" t="s">
        <v>78</v>
      </c>
      <c r="IKS38" s="256" t="s">
        <v>79</v>
      </c>
      <c r="IKT38" s="256" t="s">
        <v>80</v>
      </c>
      <c r="IKU38" s="256" t="s">
        <v>81</v>
      </c>
      <c r="IKV38" s="331"/>
      <c r="IKW38" s="290">
        <v>45492</v>
      </c>
      <c r="IKX38" s="339" t="s">
        <v>141</v>
      </c>
      <c r="IKY38" s="305"/>
      <c r="IKZ38" s="305">
        <v>1</v>
      </c>
      <c r="ILA38" s="304">
        <f t="shared" ref="ILA38" si="3447">EDATE(IKW38,IKZ38)</f>
        <v>45523</v>
      </c>
      <c r="ILB38" s="340">
        <v>0</v>
      </c>
      <c r="ILC38" s="320">
        <f t="shared" ref="ILC38" si="3448">IF(ILD38&gt;=1,(ILB38/IKZ38),0)</f>
        <v>0</v>
      </c>
      <c r="ILD38" s="292"/>
      <c r="ILE38" s="259" t="s">
        <v>55</v>
      </c>
      <c r="ILF38" s="256" t="s">
        <v>76</v>
      </c>
      <c r="ILG38" s="256" t="s">
        <v>77</v>
      </c>
      <c r="ILH38" s="256" t="s">
        <v>78</v>
      </c>
      <c r="ILI38" s="256" t="s">
        <v>79</v>
      </c>
      <c r="ILJ38" s="256" t="s">
        <v>80</v>
      </c>
      <c r="ILK38" s="256" t="s">
        <v>81</v>
      </c>
      <c r="ILL38" s="331"/>
      <c r="ILM38" s="290">
        <v>45492</v>
      </c>
      <c r="ILN38" s="339" t="s">
        <v>141</v>
      </c>
      <c r="ILO38" s="305"/>
      <c r="ILP38" s="305">
        <v>1</v>
      </c>
      <c r="ILQ38" s="304">
        <f t="shared" ref="ILQ38" si="3449">EDATE(ILM38,ILP38)</f>
        <v>45523</v>
      </c>
      <c r="ILR38" s="340">
        <v>0</v>
      </c>
      <c r="ILS38" s="320">
        <f t="shared" ref="ILS38" si="3450">IF(ILT38&gt;=1,(ILR38/ILP38),0)</f>
        <v>0</v>
      </c>
      <c r="ILT38" s="292"/>
      <c r="ILU38" s="259" t="s">
        <v>55</v>
      </c>
      <c r="ILV38" s="256" t="s">
        <v>76</v>
      </c>
      <c r="ILW38" s="256" t="s">
        <v>77</v>
      </c>
      <c r="ILX38" s="256" t="s">
        <v>78</v>
      </c>
      <c r="ILY38" s="256" t="s">
        <v>79</v>
      </c>
      <c r="ILZ38" s="256" t="s">
        <v>80</v>
      </c>
      <c r="IMA38" s="256" t="s">
        <v>81</v>
      </c>
      <c r="IMB38" s="331"/>
      <c r="IMC38" s="290">
        <v>45492</v>
      </c>
      <c r="IMD38" s="339" t="s">
        <v>141</v>
      </c>
      <c r="IME38" s="305"/>
      <c r="IMF38" s="305">
        <v>1</v>
      </c>
      <c r="IMG38" s="304">
        <f t="shared" ref="IMG38" si="3451">EDATE(IMC38,IMF38)</f>
        <v>45523</v>
      </c>
      <c r="IMH38" s="340">
        <v>0</v>
      </c>
      <c r="IMI38" s="320">
        <f t="shared" ref="IMI38" si="3452">IF(IMJ38&gt;=1,(IMH38/IMF38),0)</f>
        <v>0</v>
      </c>
      <c r="IMJ38" s="292"/>
      <c r="IMK38" s="259" t="s">
        <v>55</v>
      </c>
      <c r="IML38" s="256" t="s">
        <v>76</v>
      </c>
      <c r="IMM38" s="256" t="s">
        <v>77</v>
      </c>
      <c r="IMN38" s="256" t="s">
        <v>78</v>
      </c>
      <c r="IMO38" s="256" t="s">
        <v>79</v>
      </c>
      <c r="IMP38" s="256" t="s">
        <v>80</v>
      </c>
      <c r="IMQ38" s="256" t="s">
        <v>81</v>
      </c>
      <c r="IMR38" s="331"/>
      <c r="IMS38" s="290">
        <v>45492</v>
      </c>
      <c r="IMT38" s="339" t="s">
        <v>141</v>
      </c>
      <c r="IMU38" s="305"/>
      <c r="IMV38" s="305">
        <v>1</v>
      </c>
      <c r="IMW38" s="304">
        <f t="shared" ref="IMW38" si="3453">EDATE(IMS38,IMV38)</f>
        <v>45523</v>
      </c>
      <c r="IMX38" s="340">
        <v>0</v>
      </c>
      <c r="IMY38" s="320">
        <f t="shared" ref="IMY38" si="3454">IF(IMZ38&gt;=1,(IMX38/IMV38),0)</f>
        <v>0</v>
      </c>
      <c r="IMZ38" s="292"/>
      <c r="INA38" s="259" t="s">
        <v>55</v>
      </c>
      <c r="INB38" s="256" t="s">
        <v>76</v>
      </c>
      <c r="INC38" s="256" t="s">
        <v>77</v>
      </c>
      <c r="IND38" s="256" t="s">
        <v>78</v>
      </c>
      <c r="INE38" s="256" t="s">
        <v>79</v>
      </c>
      <c r="INF38" s="256" t="s">
        <v>80</v>
      </c>
      <c r="ING38" s="256" t="s">
        <v>81</v>
      </c>
      <c r="INH38" s="331"/>
      <c r="INI38" s="290">
        <v>45492</v>
      </c>
      <c r="INJ38" s="339" t="s">
        <v>141</v>
      </c>
      <c r="INK38" s="305"/>
      <c r="INL38" s="305">
        <v>1</v>
      </c>
      <c r="INM38" s="304">
        <f t="shared" ref="INM38" si="3455">EDATE(INI38,INL38)</f>
        <v>45523</v>
      </c>
      <c r="INN38" s="340">
        <v>0</v>
      </c>
      <c r="INO38" s="320">
        <f t="shared" ref="INO38" si="3456">IF(INP38&gt;=1,(INN38/INL38),0)</f>
        <v>0</v>
      </c>
      <c r="INP38" s="292"/>
      <c r="INQ38" s="259" t="s">
        <v>55</v>
      </c>
      <c r="INR38" s="256" t="s">
        <v>76</v>
      </c>
      <c r="INS38" s="256" t="s">
        <v>77</v>
      </c>
      <c r="INT38" s="256" t="s">
        <v>78</v>
      </c>
      <c r="INU38" s="256" t="s">
        <v>79</v>
      </c>
      <c r="INV38" s="256" t="s">
        <v>80</v>
      </c>
      <c r="INW38" s="256" t="s">
        <v>81</v>
      </c>
      <c r="INX38" s="331"/>
      <c r="INY38" s="290">
        <v>45492</v>
      </c>
      <c r="INZ38" s="339" t="s">
        <v>141</v>
      </c>
      <c r="IOA38" s="305"/>
      <c r="IOB38" s="305">
        <v>1</v>
      </c>
      <c r="IOC38" s="304">
        <f t="shared" ref="IOC38" si="3457">EDATE(INY38,IOB38)</f>
        <v>45523</v>
      </c>
      <c r="IOD38" s="340">
        <v>0</v>
      </c>
      <c r="IOE38" s="320">
        <f t="shared" ref="IOE38" si="3458">IF(IOF38&gt;=1,(IOD38/IOB38),0)</f>
        <v>0</v>
      </c>
      <c r="IOF38" s="292"/>
      <c r="IOG38" s="259" t="s">
        <v>55</v>
      </c>
      <c r="IOH38" s="256" t="s">
        <v>76</v>
      </c>
      <c r="IOI38" s="256" t="s">
        <v>77</v>
      </c>
      <c r="IOJ38" s="256" t="s">
        <v>78</v>
      </c>
      <c r="IOK38" s="256" t="s">
        <v>79</v>
      </c>
      <c r="IOL38" s="256" t="s">
        <v>80</v>
      </c>
      <c r="IOM38" s="256" t="s">
        <v>81</v>
      </c>
      <c r="ION38" s="331"/>
      <c r="IOO38" s="290">
        <v>45492</v>
      </c>
      <c r="IOP38" s="339" t="s">
        <v>141</v>
      </c>
      <c r="IOQ38" s="305"/>
      <c r="IOR38" s="305">
        <v>1</v>
      </c>
      <c r="IOS38" s="304">
        <f t="shared" ref="IOS38" si="3459">EDATE(IOO38,IOR38)</f>
        <v>45523</v>
      </c>
      <c r="IOT38" s="340">
        <v>0</v>
      </c>
      <c r="IOU38" s="320">
        <f t="shared" ref="IOU38" si="3460">IF(IOV38&gt;=1,(IOT38/IOR38),0)</f>
        <v>0</v>
      </c>
      <c r="IOV38" s="292"/>
      <c r="IOW38" s="259" t="s">
        <v>55</v>
      </c>
      <c r="IOX38" s="256" t="s">
        <v>76</v>
      </c>
      <c r="IOY38" s="256" t="s">
        <v>77</v>
      </c>
      <c r="IOZ38" s="256" t="s">
        <v>78</v>
      </c>
      <c r="IPA38" s="256" t="s">
        <v>79</v>
      </c>
      <c r="IPB38" s="256" t="s">
        <v>80</v>
      </c>
      <c r="IPC38" s="256" t="s">
        <v>81</v>
      </c>
      <c r="IPD38" s="331"/>
      <c r="IPE38" s="290">
        <v>45492</v>
      </c>
      <c r="IPF38" s="339" t="s">
        <v>141</v>
      </c>
      <c r="IPG38" s="305"/>
      <c r="IPH38" s="305">
        <v>1</v>
      </c>
      <c r="IPI38" s="304">
        <f t="shared" ref="IPI38" si="3461">EDATE(IPE38,IPH38)</f>
        <v>45523</v>
      </c>
      <c r="IPJ38" s="340">
        <v>0</v>
      </c>
      <c r="IPK38" s="320">
        <f t="shared" ref="IPK38" si="3462">IF(IPL38&gt;=1,(IPJ38/IPH38),0)</f>
        <v>0</v>
      </c>
      <c r="IPL38" s="292"/>
      <c r="IPM38" s="259" t="s">
        <v>55</v>
      </c>
      <c r="IPN38" s="256" t="s">
        <v>76</v>
      </c>
      <c r="IPO38" s="256" t="s">
        <v>77</v>
      </c>
      <c r="IPP38" s="256" t="s">
        <v>78</v>
      </c>
      <c r="IPQ38" s="256" t="s">
        <v>79</v>
      </c>
      <c r="IPR38" s="256" t="s">
        <v>80</v>
      </c>
      <c r="IPS38" s="256" t="s">
        <v>81</v>
      </c>
      <c r="IPT38" s="331"/>
      <c r="IPU38" s="290">
        <v>45492</v>
      </c>
      <c r="IPV38" s="339" t="s">
        <v>141</v>
      </c>
      <c r="IPW38" s="305"/>
      <c r="IPX38" s="305">
        <v>1</v>
      </c>
      <c r="IPY38" s="304">
        <f t="shared" ref="IPY38" si="3463">EDATE(IPU38,IPX38)</f>
        <v>45523</v>
      </c>
      <c r="IPZ38" s="340">
        <v>0</v>
      </c>
      <c r="IQA38" s="320">
        <f t="shared" ref="IQA38" si="3464">IF(IQB38&gt;=1,(IPZ38/IPX38),0)</f>
        <v>0</v>
      </c>
      <c r="IQB38" s="292"/>
      <c r="IQC38" s="259" t="s">
        <v>55</v>
      </c>
      <c r="IQD38" s="256" t="s">
        <v>76</v>
      </c>
      <c r="IQE38" s="256" t="s">
        <v>77</v>
      </c>
      <c r="IQF38" s="256" t="s">
        <v>78</v>
      </c>
      <c r="IQG38" s="256" t="s">
        <v>79</v>
      </c>
      <c r="IQH38" s="256" t="s">
        <v>80</v>
      </c>
      <c r="IQI38" s="256" t="s">
        <v>81</v>
      </c>
      <c r="IQJ38" s="331"/>
      <c r="IQK38" s="290">
        <v>45492</v>
      </c>
      <c r="IQL38" s="339" t="s">
        <v>141</v>
      </c>
      <c r="IQM38" s="305"/>
      <c r="IQN38" s="305">
        <v>1</v>
      </c>
      <c r="IQO38" s="304">
        <f t="shared" ref="IQO38" si="3465">EDATE(IQK38,IQN38)</f>
        <v>45523</v>
      </c>
      <c r="IQP38" s="340">
        <v>0</v>
      </c>
      <c r="IQQ38" s="320">
        <f t="shared" ref="IQQ38" si="3466">IF(IQR38&gt;=1,(IQP38/IQN38),0)</f>
        <v>0</v>
      </c>
      <c r="IQR38" s="292"/>
      <c r="IQS38" s="259" t="s">
        <v>55</v>
      </c>
      <c r="IQT38" s="256" t="s">
        <v>76</v>
      </c>
      <c r="IQU38" s="256" t="s">
        <v>77</v>
      </c>
      <c r="IQV38" s="256" t="s">
        <v>78</v>
      </c>
      <c r="IQW38" s="256" t="s">
        <v>79</v>
      </c>
      <c r="IQX38" s="256" t="s">
        <v>80</v>
      </c>
      <c r="IQY38" s="256" t="s">
        <v>81</v>
      </c>
      <c r="IQZ38" s="331"/>
      <c r="IRA38" s="290">
        <v>45492</v>
      </c>
      <c r="IRB38" s="339" t="s">
        <v>141</v>
      </c>
      <c r="IRC38" s="305"/>
      <c r="IRD38" s="305">
        <v>1</v>
      </c>
      <c r="IRE38" s="304">
        <f t="shared" ref="IRE38" si="3467">EDATE(IRA38,IRD38)</f>
        <v>45523</v>
      </c>
      <c r="IRF38" s="340">
        <v>0</v>
      </c>
      <c r="IRG38" s="320">
        <f t="shared" ref="IRG38" si="3468">IF(IRH38&gt;=1,(IRF38/IRD38),0)</f>
        <v>0</v>
      </c>
      <c r="IRH38" s="292"/>
      <c r="IRI38" s="259" t="s">
        <v>55</v>
      </c>
      <c r="IRJ38" s="256" t="s">
        <v>76</v>
      </c>
      <c r="IRK38" s="256" t="s">
        <v>77</v>
      </c>
      <c r="IRL38" s="256" t="s">
        <v>78</v>
      </c>
      <c r="IRM38" s="256" t="s">
        <v>79</v>
      </c>
      <c r="IRN38" s="256" t="s">
        <v>80</v>
      </c>
      <c r="IRO38" s="256" t="s">
        <v>81</v>
      </c>
      <c r="IRP38" s="331"/>
      <c r="IRQ38" s="290">
        <v>45492</v>
      </c>
      <c r="IRR38" s="339" t="s">
        <v>141</v>
      </c>
      <c r="IRS38" s="305"/>
      <c r="IRT38" s="305">
        <v>1</v>
      </c>
      <c r="IRU38" s="304">
        <f t="shared" ref="IRU38" si="3469">EDATE(IRQ38,IRT38)</f>
        <v>45523</v>
      </c>
      <c r="IRV38" s="340">
        <v>0</v>
      </c>
      <c r="IRW38" s="320">
        <f t="shared" ref="IRW38" si="3470">IF(IRX38&gt;=1,(IRV38/IRT38),0)</f>
        <v>0</v>
      </c>
      <c r="IRX38" s="292"/>
      <c r="IRY38" s="259" t="s">
        <v>55</v>
      </c>
      <c r="IRZ38" s="256" t="s">
        <v>76</v>
      </c>
      <c r="ISA38" s="256" t="s">
        <v>77</v>
      </c>
      <c r="ISB38" s="256" t="s">
        <v>78</v>
      </c>
      <c r="ISC38" s="256" t="s">
        <v>79</v>
      </c>
      <c r="ISD38" s="256" t="s">
        <v>80</v>
      </c>
      <c r="ISE38" s="256" t="s">
        <v>81</v>
      </c>
      <c r="ISF38" s="331"/>
      <c r="ISG38" s="290">
        <v>45492</v>
      </c>
      <c r="ISH38" s="339" t="s">
        <v>141</v>
      </c>
      <c r="ISI38" s="305"/>
      <c r="ISJ38" s="305">
        <v>1</v>
      </c>
      <c r="ISK38" s="304">
        <f t="shared" ref="ISK38" si="3471">EDATE(ISG38,ISJ38)</f>
        <v>45523</v>
      </c>
      <c r="ISL38" s="340">
        <v>0</v>
      </c>
      <c r="ISM38" s="320">
        <f t="shared" ref="ISM38" si="3472">IF(ISN38&gt;=1,(ISL38/ISJ38),0)</f>
        <v>0</v>
      </c>
      <c r="ISN38" s="292"/>
      <c r="ISO38" s="259" t="s">
        <v>55</v>
      </c>
      <c r="ISP38" s="256" t="s">
        <v>76</v>
      </c>
      <c r="ISQ38" s="256" t="s">
        <v>77</v>
      </c>
      <c r="ISR38" s="256" t="s">
        <v>78</v>
      </c>
      <c r="ISS38" s="256" t="s">
        <v>79</v>
      </c>
      <c r="IST38" s="256" t="s">
        <v>80</v>
      </c>
      <c r="ISU38" s="256" t="s">
        <v>81</v>
      </c>
      <c r="ISV38" s="331"/>
      <c r="ISW38" s="290">
        <v>45492</v>
      </c>
      <c r="ISX38" s="339" t="s">
        <v>141</v>
      </c>
      <c r="ISY38" s="305"/>
      <c r="ISZ38" s="305">
        <v>1</v>
      </c>
      <c r="ITA38" s="304">
        <f t="shared" ref="ITA38" si="3473">EDATE(ISW38,ISZ38)</f>
        <v>45523</v>
      </c>
      <c r="ITB38" s="340">
        <v>0</v>
      </c>
      <c r="ITC38" s="320">
        <f t="shared" ref="ITC38" si="3474">IF(ITD38&gt;=1,(ITB38/ISZ38),0)</f>
        <v>0</v>
      </c>
      <c r="ITD38" s="292"/>
      <c r="ITE38" s="259" t="s">
        <v>55</v>
      </c>
      <c r="ITF38" s="256" t="s">
        <v>76</v>
      </c>
      <c r="ITG38" s="256" t="s">
        <v>77</v>
      </c>
      <c r="ITH38" s="256" t="s">
        <v>78</v>
      </c>
      <c r="ITI38" s="256" t="s">
        <v>79</v>
      </c>
      <c r="ITJ38" s="256" t="s">
        <v>80</v>
      </c>
      <c r="ITK38" s="256" t="s">
        <v>81</v>
      </c>
      <c r="ITL38" s="331"/>
      <c r="ITM38" s="290">
        <v>45492</v>
      </c>
      <c r="ITN38" s="339" t="s">
        <v>141</v>
      </c>
      <c r="ITO38" s="305"/>
      <c r="ITP38" s="305">
        <v>1</v>
      </c>
      <c r="ITQ38" s="304">
        <f t="shared" ref="ITQ38" si="3475">EDATE(ITM38,ITP38)</f>
        <v>45523</v>
      </c>
      <c r="ITR38" s="340">
        <v>0</v>
      </c>
      <c r="ITS38" s="320">
        <f t="shared" ref="ITS38" si="3476">IF(ITT38&gt;=1,(ITR38/ITP38),0)</f>
        <v>0</v>
      </c>
      <c r="ITT38" s="292"/>
      <c r="ITU38" s="259" t="s">
        <v>55</v>
      </c>
      <c r="ITV38" s="256" t="s">
        <v>76</v>
      </c>
      <c r="ITW38" s="256" t="s">
        <v>77</v>
      </c>
      <c r="ITX38" s="256" t="s">
        <v>78</v>
      </c>
      <c r="ITY38" s="256" t="s">
        <v>79</v>
      </c>
      <c r="ITZ38" s="256" t="s">
        <v>80</v>
      </c>
      <c r="IUA38" s="256" t="s">
        <v>81</v>
      </c>
      <c r="IUB38" s="331"/>
      <c r="IUC38" s="290">
        <v>45492</v>
      </c>
      <c r="IUD38" s="339" t="s">
        <v>141</v>
      </c>
      <c r="IUE38" s="305"/>
      <c r="IUF38" s="305">
        <v>1</v>
      </c>
      <c r="IUG38" s="304">
        <f t="shared" ref="IUG38" si="3477">EDATE(IUC38,IUF38)</f>
        <v>45523</v>
      </c>
      <c r="IUH38" s="340">
        <v>0</v>
      </c>
      <c r="IUI38" s="320">
        <f t="shared" ref="IUI38" si="3478">IF(IUJ38&gt;=1,(IUH38/IUF38),0)</f>
        <v>0</v>
      </c>
      <c r="IUJ38" s="292"/>
      <c r="IUK38" s="259" t="s">
        <v>55</v>
      </c>
      <c r="IUL38" s="256" t="s">
        <v>76</v>
      </c>
      <c r="IUM38" s="256" t="s">
        <v>77</v>
      </c>
      <c r="IUN38" s="256" t="s">
        <v>78</v>
      </c>
      <c r="IUO38" s="256" t="s">
        <v>79</v>
      </c>
      <c r="IUP38" s="256" t="s">
        <v>80</v>
      </c>
      <c r="IUQ38" s="256" t="s">
        <v>81</v>
      </c>
      <c r="IUR38" s="331"/>
      <c r="IUS38" s="290">
        <v>45492</v>
      </c>
      <c r="IUT38" s="339" t="s">
        <v>141</v>
      </c>
      <c r="IUU38" s="305"/>
      <c r="IUV38" s="305">
        <v>1</v>
      </c>
      <c r="IUW38" s="304">
        <f t="shared" ref="IUW38" si="3479">EDATE(IUS38,IUV38)</f>
        <v>45523</v>
      </c>
      <c r="IUX38" s="340">
        <v>0</v>
      </c>
      <c r="IUY38" s="320">
        <f t="shared" ref="IUY38" si="3480">IF(IUZ38&gt;=1,(IUX38/IUV38),0)</f>
        <v>0</v>
      </c>
      <c r="IUZ38" s="292"/>
      <c r="IVA38" s="259" t="s">
        <v>55</v>
      </c>
      <c r="IVB38" s="256" t="s">
        <v>76</v>
      </c>
      <c r="IVC38" s="256" t="s">
        <v>77</v>
      </c>
      <c r="IVD38" s="256" t="s">
        <v>78</v>
      </c>
      <c r="IVE38" s="256" t="s">
        <v>79</v>
      </c>
      <c r="IVF38" s="256" t="s">
        <v>80</v>
      </c>
      <c r="IVG38" s="256" t="s">
        <v>81</v>
      </c>
      <c r="IVH38" s="331"/>
      <c r="IVI38" s="290">
        <v>45492</v>
      </c>
      <c r="IVJ38" s="339" t="s">
        <v>141</v>
      </c>
      <c r="IVK38" s="305"/>
      <c r="IVL38" s="305">
        <v>1</v>
      </c>
      <c r="IVM38" s="304">
        <f t="shared" ref="IVM38" si="3481">EDATE(IVI38,IVL38)</f>
        <v>45523</v>
      </c>
      <c r="IVN38" s="340">
        <v>0</v>
      </c>
      <c r="IVO38" s="320">
        <f t="shared" ref="IVO38" si="3482">IF(IVP38&gt;=1,(IVN38/IVL38),0)</f>
        <v>0</v>
      </c>
      <c r="IVP38" s="292"/>
      <c r="IVQ38" s="259" t="s">
        <v>55</v>
      </c>
      <c r="IVR38" s="256" t="s">
        <v>76</v>
      </c>
      <c r="IVS38" s="256" t="s">
        <v>77</v>
      </c>
      <c r="IVT38" s="256" t="s">
        <v>78</v>
      </c>
      <c r="IVU38" s="256" t="s">
        <v>79</v>
      </c>
      <c r="IVV38" s="256" t="s">
        <v>80</v>
      </c>
      <c r="IVW38" s="256" t="s">
        <v>81</v>
      </c>
      <c r="IVX38" s="331"/>
      <c r="IVY38" s="290">
        <v>45492</v>
      </c>
      <c r="IVZ38" s="339" t="s">
        <v>141</v>
      </c>
      <c r="IWA38" s="305"/>
      <c r="IWB38" s="305">
        <v>1</v>
      </c>
      <c r="IWC38" s="304">
        <f t="shared" ref="IWC38" si="3483">EDATE(IVY38,IWB38)</f>
        <v>45523</v>
      </c>
      <c r="IWD38" s="340">
        <v>0</v>
      </c>
      <c r="IWE38" s="320">
        <f t="shared" ref="IWE38" si="3484">IF(IWF38&gt;=1,(IWD38/IWB38),0)</f>
        <v>0</v>
      </c>
      <c r="IWF38" s="292"/>
      <c r="IWG38" s="259" t="s">
        <v>55</v>
      </c>
      <c r="IWH38" s="256" t="s">
        <v>76</v>
      </c>
      <c r="IWI38" s="256" t="s">
        <v>77</v>
      </c>
      <c r="IWJ38" s="256" t="s">
        <v>78</v>
      </c>
      <c r="IWK38" s="256" t="s">
        <v>79</v>
      </c>
      <c r="IWL38" s="256" t="s">
        <v>80</v>
      </c>
      <c r="IWM38" s="256" t="s">
        <v>81</v>
      </c>
      <c r="IWN38" s="331"/>
      <c r="IWO38" s="290">
        <v>45492</v>
      </c>
      <c r="IWP38" s="339" t="s">
        <v>141</v>
      </c>
      <c r="IWQ38" s="305"/>
      <c r="IWR38" s="305">
        <v>1</v>
      </c>
      <c r="IWS38" s="304">
        <f t="shared" ref="IWS38" si="3485">EDATE(IWO38,IWR38)</f>
        <v>45523</v>
      </c>
      <c r="IWT38" s="340">
        <v>0</v>
      </c>
      <c r="IWU38" s="320">
        <f t="shared" ref="IWU38" si="3486">IF(IWV38&gt;=1,(IWT38/IWR38),0)</f>
        <v>0</v>
      </c>
      <c r="IWV38" s="292"/>
      <c r="IWW38" s="259" t="s">
        <v>55</v>
      </c>
      <c r="IWX38" s="256" t="s">
        <v>76</v>
      </c>
      <c r="IWY38" s="256" t="s">
        <v>77</v>
      </c>
      <c r="IWZ38" s="256" t="s">
        <v>78</v>
      </c>
      <c r="IXA38" s="256" t="s">
        <v>79</v>
      </c>
      <c r="IXB38" s="256" t="s">
        <v>80</v>
      </c>
      <c r="IXC38" s="256" t="s">
        <v>81</v>
      </c>
      <c r="IXD38" s="331"/>
      <c r="IXE38" s="290">
        <v>45492</v>
      </c>
      <c r="IXF38" s="339" t="s">
        <v>141</v>
      </c>
      <c r="IXG38" s="305"/>
      <c r="IXH38" s="305">
        <v>1</v>
      </c>
      <c r="IXI38" s="304">
        <f t="shared" ref="IXI38" si="3487">EDATE(IXE38,IXH38)</f>
        <v>45523</v>
      </c>
      <c r="IXJ38" s="340">
        <v>0</v>
      </c>
      <c r="IXK38" s="320">
        <f t="shared" ref="IXK38" si="3488">IF(IXL38&gt;=1,(IXJ38/IXH38),0)</f>
        <v>0</v>
      </c>
      <c r="IXL38" s="292"/>
      <c r="IXM38" s="259" t="s">
        <v>55</v>
      </c>
      <c r="IXN38" s="256" t="s">
        <v>76</v>
      </c>
      <c r="IXO38" s="256" t="s">
        <v>77</v>
      </c>
      <c r="IXP38" s="256" t="s">
        <v>78</v>
      </c>
      <c r="IXQ38" s="256" t="s">
        <v>79</v>
      </c>
      <c r="IXR38" s="256" t="s">
        <v>80</v>
      </c>
      <c r="IXS38" s="256" t="s">
        <v>81</v>
      </c>
      <c r="IXT38" s="331"/>
      <c r="IXU38" s="290">
        <v>45492</v>
      </c>
      <c r="IXV38" s="339" t="s">
        <v>141</v>
      </c>
      <c r="IXW38" s="305"/>
      <c r="IXX38" s="305">
        <v>1</v>
      </c>
      <c r="IXY38" s="304">
        <f t="shared" ref="IXY38" si="3489">EDATE(IXU38,IXX38)</f>
        <v>45523</v>
      </c>
      <c r="IXZ38" s="340">
        <v>0</v>
      </c>
      <c r="IYA38" s="320">
        <f t="shared" ref="IYA38" si="3490">IF(IYB38&gt;=1,(IXZ38/IXX38),0)</f>
        <v>0</v>
      </c>
      <c r="IYB38" s="292"/>
      <c r="IYC38" s="259" t="s">
        <v>55</v>
      </c>
      <c r="IYD38" s="256" t="s">
        <v>76</v>
      </c>
      <c r="IYE38" s="256" t="s">
        <v>77</v>
      </c>
      <c r="IYF38" s="256" t="s">
        <v>78</v>
      </c>
      <c r="IYG38" s="256" t="s">
        <v>79</v>
      </c>
      <c r="IYH38" s="256" t="s">
        <v>80</v>
      </c>
      <c r="IYI38" s="256" t="s">
        <v>81</v>
      </c>
      <c r="IYJ38" s="331"/>
      <c r="IYK38" s="290">
        <v>45492</v>
      </c>
      <c r="IYL38" s="339" t="s">
        <v>141</v>
      </c>
      <c r="IYM38" s="305"/>
      <c r="IYN38" s="305">
        <v>1</v>
      </c>
      <c r="IYO38" s="304">
        <f t="shared" ref="IYO38" si="3491">EDATE(IYK38,IYN38)</f>
        <v>45523</v>
      </c>
      <c r="IYP38" s="340">
        <v>0</v>
      </c>
      <c r="IYQ38" s="320">
        <f t="shared" ref="IYQ38" si="3492">IF(IYR38&gt;=1,(IYP38/IYN38),0)</f>
        <v>0</v>
      </c>
      <c r="IYR38" s="292"/>
      <c r="IYS38" s="259" t="s">
        <v>55</v>
      </c>
      <c r="IYT38" s="256" t="s">
        <v>76</v>
      </c>
      <c r="IYU38" s="256" t="s">
        <v>77</v>
      </c>
      <c r="IYV38" s="256" t="s">
        <v>78</v>
      </c>
      <c r="IYW38" s="256" t="s">
        <v>79</v>
      </c>
      <c r="IYX38" s="256" t="s">
        <v>80</v>
      </c>
      <c r="IYY38" s="256" t="s">
        <v>81</v>
      </c>
      <c r="IYZ38" s="331"/>
      <c r="IZA38" s="290">
        <v>45492</v>
      </c>
      <c r="IZB38" s="339" t="s">
        <v>141</v>
      </c>
      <c r="IZC38" s="305"/>
      <c r="IZD38" s="305">
        <v>1</v>
      </c>
      <c r="IZE38" s="304">
        <f t="shared" ref="IZE38" si="3493">EDATE(IZA38,IZD38)</f>
        <v>45523</v>
      </c>
      <c r="IZF38" s="340">
        <v>0</v>
      </c>
      <c r="IZG38" s="320">
        <f t="shared" ref="IZG38" si="3494">IF(IZH38&gt;=1,(IZF38/IZD38),0)</f>
        <v>0</v>
      </c>
      <c r="IZH38" s="292"/>
      <c r="IZI38" s="259" t="s">
        <v>55</v>
      </c>
      <c r="IZJ38" s="256" t="s">
        <v>76</v>
      </c>
      <c r="IZK38" s="256" t="s">
        <v>77</v>
      </c>
      <c r="IZL38" s="256" t="s">
        <v>78</v>
      </c>
      <c r="IZM38" s="256" t="s">
        <v>79</v>
      </c>
      <c r="IZN38" s="256" t="s">
        <v>80</v>
      </c>
      <c r="IZO38" s="256" t="s">
        <v>81</v>
      </c>
      <c r="IZP38" s="331"/>
      <c r="IZQ38" s="290">
        <v>45492</v>
      </c>
      <c r="IZR38" s="339" t="s">
        <v>141</v>
      </c>
      <c r="IZS38" s="305"/>
      <c r="IZT38" s="305">
        <v>1</v>
      </c>
      <c r="IZU38" s="304">
        <f t="shared" ref="IZU38" si="3495">EDATE(IZQ38,IZT38)</f>
        <v>45523</v>
      </c>
      <c r="IZV38" s="340">
        <v>0</v>
      </c>
      <c r="IZW38" s="320">
        <f t="shared" ref="IZW38" si="3496">IF(IZX38&gt;=1,(IZV38/IZT38),0)</f>
        <v>0</v>
      </c>
      <c r="IZX38" s="292"/>
      <c r="IZY38" s="259" t="s">
        <v>55</v>
      </c>
      <c r="IZZ38" s="256" t="s">
        <v>76</v>
      </c>
      <c r="JAA38" s="256" t="s">
        <v>77</v>
      </c>
      <c r="JAB38" s="256" t="s">
        <v>78</v>
      </c>
      <c r="JAC38" s="256" t="s">
        <v>79</v>
      </c>
      <c r="JAD38" s="256" t="s">
        <v>80</v>
      </c>
      <c r="JAE38" s="256" t="s">
        <v>81</v>
      </c>
      <c r="JAF38" s="331"/>
      <c r="JAG38" s="290">
        <v>45492</v>
      </c>
      <c r="JAH38" s="339" t="s">
        <v>141</v>
      </c>
      <c r="JAI38" s="305"/>
      <c r="JAJ38" s="305">
        <v>1</v>
      </c>
      <c r="JAK38" s="304">
        <f t="shared" ref="JAK38" si="3497">EDATE(JAG38,JAJ38)</f>
        <v>45523</v>
      </c>
      <c r="JAL38" s="340">
        <v>0</v>
      </c>
      <c r="JAM38" s="320">
        <f t="shared" ref="JAM38" si="3498">IF(JAN38&gt;=1,(JAL38/JAJ38),0)</f>
        <v>0</v>
      </c>
      <c r="JAN38" s="292"/>
      <c r="JAO38" s="259" t="s">
        <v>55</v>
      </c>
      <c r="JAP38" s="256" t="s">
        <v>76</v>
      </c>
      <c r="JAQ38" s="256" t="s">
        <v>77</v>
      </c>
      <c r="JAR38" s="256" t="s">
        <v>78</v>
      </c>
      <c r="JAS38" s="256" t="s">
        <v>79</v>
      </c>
      <c r="JAT38" s="256" t="s">
        <v>80</v>
      </c>
      <c r="JAU38" s="256" t="s">
        <v>81</v>
      </c>
      <c r="JAV38" s="331"/>
      <c r="JAW38" s="290">
        <v>45492</v>
      </c>
      <c r="JAX38" s="339" t="s">
        <v>141</v>
      </c>
      <c r="JAY38" s="305"/>
      <c r="JAZ38" s="305">
        <v>1</v>
      </c>
      <c r="JBA38" s="304">
        <f t="shared" ref="JBA38" si="3499">EDATE(JAW38,JAZ38)</f>
        <v>45523</v>
      </c>
      <c r="JBB38" s="340">
        <v>0</v>
      </c>
      <c r="JBC38" s="320">
        <f t="shared" ref="JBC38" si="3500">IF(JBD38&gt;=1,(JBB38/JAZ38),0)</f>
        <v>0</v>
      </c>
      <c r="JBD38" s="292"/>
      <c r="JBE38" s="259" t="s">
        <v>55</v>
      </c>
      <c r="JBF38" s="256" t="s">
        <v>76</v>
      </c>
      <c r="JBG38" s="256" t="s">
        <v>77</v>
      </c>
      <c r="JBH38" s="256" t="s">
        <v>78</v>
      </c>
      <c r="JBI38" s="256" t="s">
        <v>79</v>
      </c>
      <c r="JBJ38" s="256" t="s">
        <v>80</v>
      </c>
      <c r="JBK38" s="256" t="s">
        <v>81</v>
      </c>
      <c r="JBL38" s="331"/>
      <c r="JBM38" s="290">
        <v>45492</v>
      </c>
      <c r="JBN38" s="339" t="s">
        <v>141</v>
      </c>
      <c r="JBO38" s="305"/>
      <c r="JBP38" s="305">
        <v>1</v>
      </c>
      <c r="JBQ38" s="304">
        <f t="shared" ref="JBQ38" si="3501">EDATE(JBM38,JBP38)</f>
        <v>45523</v>
      </c>
      <c r="JBR38" s="340">
        <v>0</v>
      </c>
      <c r="JBS38" s="320">
        <f t="shared" ref="JBS38" si="3502">IF(JBT38&gt;=1,(JBR38/JBP38),0)</f>
        <v>0</v>
      </c>
      <c r="JBT38" s="292"/>
      <c r="JBU38" s="259" t="s">
        <v>55</v>
      </c>
      <c r="JBV38" s="256" t="s">
        <v>76</v>
      </c>
      <c r="JBW38" s="256" t="s">
        <v>77</v>
      </c>
      <c r="JBX38" s="256" t="s">
        <v>78</v>
      </c>
      <c r="JBY38" s="256" t="s">
        <v>79</v>
      </c>
      <c r="JBZ38" s="256" t="s">
        <v>80</v>
      </c>
      <c r="JCA38" s="256" t="s">
        <v>81</v>
      </c>
      <c r="JCB38" s="331"/>
      <c r="JCC38" s="290">
        <v>45492</v>
      </c>
      <c r="JCD38" s="339" t="s">
        <v>141</v>
      </c>
      <c r="JCE38" s="305"/>
      <c r="JCF38" s="305">
        <v>1</v>
      </c>
      <c r="JCG38" s="304">
        <f t="shared" ref="JCG38" si="3503">EDATE(JCC38,JCF38)</f>
        <v>45523</v>
      </c>
      <c r="JCH38" s="340">
        <v>0</v>
      </c>
      <c r="JCI38" s="320">
        <f t="shared" ref="JCI38" si="3504">IF(JCJ38&gt;=1,(JCH38/JCF38),0)</f>
        <v>0</v>
      </c>
      <c r="JCJ38" s="292"/>
      <c r="JCK38" s="259" t="s">
        <v>55</v>
      </c>
      <c r="JCL38" s="256" t="s">
        <v>76</v>
      </c>
      <c r="JCM38" s="256" t="s">
        <v>77</v>
      </c>
      <c r="JCN38" s="256" t="s">
        <v>78</v>
      </c>
      <c r="JCO38" s="256" t="s">
        <v>79</v>
      </c>
      <c r="JCP38" s="256" t="s">
        <v>80</v>
      </c>
      <c r="JCQ38" s="256" t="s">
        <v>81</v>
      </c>
      <c r="JCR38" s="331"/>
      <c r="JCS38" s="290">
        <v>45492</v>
      </c>
      <c r="JCT38" s="339" t="s">
        <v>141</v>
      </c>
      <c r="JCU38" s="305"/>
      <c r="JCV38" s="305">
        <v>1</v>
      </c>
      <c r="JCW38" s="304">
        <f t="shared" ref="JCW38" si="3505">EDATE(JCS38,JCV38)</f>
        <v>45523</v>
      </c>
      <c r="JCX38" s="340">
        <v>0</v>
      </c>
      <c r="JCY38" s="320">
        <f t="shared" ref="JCY38" si="3506">IF(JCZ38&gt;=1,(JCX38/JCV38),0)</f>
        <v>0</v>
      </c>
      <c r="JCZ38" s="292"/>
      <c r="JDA38" s="259" t="s">
        <v>55</v>
      </c>
      <c r="JDB38" s="256" t="s">
        <v>76</v>
      </c>
      <c r="JDC38" s="256" t="s">
        <v>77</v>
      </c>
      <c r="JDD38" s="256" t="s">
        <v>78</v>
      </c>
      <c r="JDE38" s="256" t="s">
        <v>79</v>
      </c>
      <c r="JDF38" s="256" t="s">
        <v>80</v>
      </c>
      <c r="JDG38" s="256" t="s">
        <v>81</v>
      </c>
      <c r="JDH38" s="331"/>
      <c r="JDI38" s="290">
        <v>45492</v>
      </c>
      <c r="JDJ38" s="339" t="s">
        <v>141</v>
      </c>
      <c r="JDK38" s="305"/>
      <c r="JDL38" s="305">
        <v>1</v>
      </c>
      <c r="JDM38" s="304">
        <f t="shared" ref="JDM38" si="3507">EDATE(JDI38,JDL38)</f>
        <v>45523</v>
      </c>
      <c r="JDN38" s="340">
        <v>0</v>
      </c>
      <c r="JDO38" s="320">
        <f t="shared" ref="JDO38" si="3508">IF(JDP38&gt;=1,(JDN38/JDL38),0)</f>
        <v>0</v>
      </c>
      <c r="JDP38" s="292"/>
      <c r="JDQ38" s="259" t="s">
        <v>55</v>
      </c>
      <c r="JDR38" s="256" t="s">
        <v>76</v>
      </c>
      <c r="JDS38" s="256" t="s">
        <v>77</v>
      </c>
      <c r="JDT38" s="256" t="s">
        <v>78</v>
      </c>
      <c r="JDU38" s="256" t="s">
        <v>79</v>
      </c>
      <c r="JDV38" s="256" t="s">
        <v>80</v>
      </c>
      <c r="JDW38" s="256" t="s">
        <v>81</v>
      </c>
      <c r="JDX38" s="331"/>
      <c r="JDY38" s="290">
        <v>45492</v>
      </c>
      <c r="JDZ38" s="339" t="s">
        <v>141</v>
      </c>
      <c r="JEA38" s="305"/>
      <c r="JEB38" s="305">
        <v>1</v>
      </c>
      <c r="JEC38" s="304">
        <f t="shared" ref="JEC38" si="3509">EDATE(JDY38,JEB38)</f>
        <v>45523</v>
      </c>
      <c r="JED38" s="340">
        <v>0</v>
      </c>
      <c r="JEE38" s="320">
        <f t="shared" ref="JEE38" si="3510">IF(JEF38&gt;=1,(JED38/JEB38),0)</f>
        <v>0</v>
      </c>
      <c r="JEF38" s="292"/>
      <c r="JEG38" s="259" t="s">
        <v>55</v>
      </c>
      <c r="JEH38" s="256" t="s">
        <v>76</v>
      </c>
      <c r="JEI38" s="256" t="s">
        <v>77</v>
      </c>
      <c r="JEJ38" s="256" t="s">
        <v>78</v>
      </c>
      <c r="JEK38" s="256" t="s">
        <v>79</v>
      </c>
      <c r="JEL38" s="256" t="s">
        <v>80</v>
      </c>
      <c r="JEM38" s="256" t="s">
        <v>81</v>
      </c>
      <c r="JEN38" s="331"/>
      <c r="JEO38" s="290">
        <v>45492</v>
      </c>
      <c r="JEP38" s="339" t="s">
        <v>141</v>
      </c>
      <c r="JEQ38" s="305"/>
      <c r="JER38" s="305">
        <v>1</v>
      </c>
      <c r="JES38" s="304">
        <f t="shared" ref="JES38" si="3511">EDATE(JEO38,JER38)</f>
        <v>45523</v>
      </c>
      <c r="JET38" s="340">
        <v>0</v>
      </c>
      <c r="JEU38" s="320">
        <f t="shared" ref="JEU38" si="3512">IF(JEV38&gt;=1,(JET38/JER38),0)</f>
        <v>0</v>
      </c>
      <c r="JEV38" s="292"/>
      <c r="JEW38" s="259" t="s">
        <v>55</v>
      </c>
      <c r="JEX38" s="256" t="s">
        <v>76</v>
      </c>
      <c r="JEY38" s="256" t="s">
        <v>77</v>
      </c>
      <c r="JEZ38" s="256" t="s">
        <v>78</v>
      </c>
      <c r="JFA38" s="256" t="s">
        <v>79</v>
      </c>
      <c r="JFB38" s="256" t="s">
        <v>80</v>
      </c>
      <c r="JFC38" s="256" t="s">
        <v>81</v>
      </c>
      <c r="JFD38" s="331"/>
      <c r="JFE38" s="290">
        <v>45492</v>
      </c>
      <c r="JFF38" s="339" t="s">
        <v>141</v>
      </c>
      <c r="JFG38" s="305"/>
      <c r="JFH38" s="305">
        <v>1</v>
      </c>
      <c r="JFI38" s="304">
        <f t="shared" ref="JFI38" si="3513">EDATE(JFE38,JFH38)</f>
        <v>45523</v>
      </c>
      <c r="JFJ38" s="340">
        <v>0</v>
      </c>
      <c r="JFK38" s="320">
        <f t="shared" ref="JFK38" si="3514">IF(JFL38&gt;=1,(JFJ38/JFH38),0)</f>
        <v>0</v>
      </c>
      <c r="JFL38" s="292"/>
      <c r="JFM38" s="259" t="s">
        <v>55</v>
      </c>
      <c r="JFN38" s="256" t="s">
        <v>76</v>
      </c>
      <c r="JFO38" s="256" t="s">
        <v>77</v>
      </c>
      <c r="JFP38" s="256" t="s">
        <v>78</v>
      </c>
      <c r="JFQ38" s="256" t="s">
        <v>79</v>
      </c>
      <c r="JFR38" s="256" t="s">
        <v>80</v>
      </c>
      <c r="JFS38" s="256" t="s">
        <v>81</v>
      </c>
      <c r="JFT38" s="331"/>
      <c r="JFU38" s="290">
        <v>45492</v>
      </c>
      <c r="JFV38" s="339" t="s">
        <v>141</v>
      </c>
      <c r="JFW38" s="305"/>
      <c r="JFX38" s="305">
        <v>1</v>
      </c>
      <c r="JFY38" s="304">
        <f t="shared" ref="JFY38" si="3515">EDATE(JFU38,JFX38)</f>
        <v>45523</v>
      </c>
      <c r="JFZ38" s="340">
        <v>0</v>
      </c>
      <c r="JGA38" s="320">
        <f t="shared" ref="JGA38" si="3516">IF(JGB38&gt;=1,(JFZ38/JFX38),0)</f>
        <v>0</v>
      </c>
      <c r="JGB38" s="292"/>
      <c r="JGC38" s="259" t="s">
        <v>55</v>
      </c>
      <c r="JGD38" s="256" t="s">
        <v>76</v>
      </c>
      <c r="JGE38" s="256" t="s">
        <v>77</v>
      </c>
      <c r="JGF38" s="256" t="s">
        <v>78</v>
      </c>
      <c r="JGG38" s="256" t="s">
        <v>79</v>
      </c>
      <c r="JGH38" s="256" t="s">
        <v>80</v>
      </c>
      <c r="JGI38" s="256" t="s">
        <v>81</v>
      </c>
      <c r="JGJ38" s="331"/>
      <c r="JGK38" s="290">
        <v>45492</v>
      </c>
      <c r="JGL38" s="339" t="s">
        <v>141</v>
      </c>
      <c r="JGM38" s="305"/>
      <c r="JGN38" s="305">
        <v>1</v>
      </c>
      <c r="JGO38" s="304">
        <f t="shared" ref="JGO38" si="3517">EDATE(JGK38,JGN38)</f>
        <v>45523</v>
      </c>
      <c r="JGP38" s="340">
        <v>0</v>
      </c>
      <c r="JGQ38" s="320">
        <f t="shared" ref="JGQ38" si="3518">IF(JGR38&gt;=1,(JGP38/JGN38),0)</f>
        <v>0</v>
      </c>
      <c r="JGR38" s="292"/>
      <c r="JGS38" s="259" t="s">
        <v>55</v>
      </c>
      <c r="JGT38" s="256" t="s">
        <v>76</v>
      </c>
      <c r="JGU38" s="256" t="s">
        <v>77</v>
      </c>
      <c r="JGV38" s="256" t="s">
        <v>78</v>
      </c>
      <c r="JGW38" s="256" t="s">
        <v>79</v>
      </c>
      <c r="JGX38" s="256" t="s">
        <v>80</v>
      </c>
      <c r="JGY38" s="256" t="s">
        <v>81</v>
      </c>
      <c r="JGZ38" s="331"/>
      <c r="JHA38" s="290">
        <v>45492</v>
      </c>
      <c r="JHB38" s="339" t="s">
        <v>141</v>
      </c>
      <c r="JHC38" s="305"/>
      <c r="JHD38" s="305">
        <v>1</v>
      </c>
      <c r="JHE38" s="304">
        <f t="shared" ref="JHE38" si="3519">EDATE(JHA38,JHD38)</f>
        <v>45523</v>
      </c>
      <c r="JHF38" s="340">
        <v>0</v>
      </c>
      <c r="JHG38" s="320">
        <f t="shared" ref="JHG38" si="3520">IF(JHH38&gt;=1,(JHF38/JHD38),0)</f>
        <v>0</v>
      </c>
      <c r="JHH38" s="292"/>
      <c r="JHI38" s="259" t="s">
        <v>55</v>
      </c>
      <c r="JHJ38" s="256" t="s">
        <v>76</v>
      </c>
      <c r="JHK38" s="256" t="s">
        <v>77</v>
      </c>
      <c r="JHL38" s="256" t="s">
        <v>78</v>
      </c>
      <c r="JHM38" s="256" t="s">
        <v>79</v>
      </c>
      <c r="JHN38" s="256" t="s">
        <v>80</v>
      </c>
      <c r="JHO38" s="256" t="s">
        <v>81</v>
      </c>
      <c r="JHP38" s="331"/>
      <c r="JHQ38" s="290">
        <v>45492</v>
      </c>
      <c r="JHR38" s="339" t="s">
        <v>141</v>
      </c>
      <c r="JHS38" s="305"/>
      <c r="JHT38" s="305">
        <v>1</v>
      </c>
      <c r="JHU38" s="304">
        <f t="shared" ref="JHU38" si="3521">EDATE(JHQ38,JHT38)</f>
        <v>45523</v>
      </c>
      <c r="JHV38" s="340">
        <v>0</v>
      </c>
      <c r="JHW38" s="320">
        <f t="shared" ref="JHW38" si="3522">IF(JHX38&gt;=1,(JHV38/JHT38),0)</f>
        <v>0</v>
      </c>
      <c r="JHX38" s="292"/>
      <c r="JHY38" s="259" t="s">
        <v>55</v>
      </c>
      <c r="JHZ38" s="256" t="s">
        <v>76</v>
      </c>
      <c r="JIA38" s="256" t="s">
        <v>77</v>
      </c>
      <c r="JIB38" s="256" t="s">
        <v>78</v>
      </c>
      <c r="JIC38" s="256" t="s">
        <v>79</v>
      </c>
      <c r="JID38" s="256" t="s">
        <v>80</v>
      </c>
      <c r="JIE38" s="256" t="s">
        <v>81</v>
      </c>
      <c r="JIF38" s="331"/>
      <c r="JIG38" s="290">
        <v>45492</v>
      </c>
      <c r="JIH38" s="339" t="s">
        <v>141</v>
      </c>
      <c r="JII38" s="305"/>
      <c r="JIJ38" s="305">
        <v>1</v>
      </c>
      <c r="JIK38" s="304">
        <f t="shared" ref="JIK38" si="3523">EDATE(JIG38,JIJ38)</f>
        <v>45523</v>
      </c>
      <c r="JIL38" s="340">
        <v>0</v>
      </c>
      <c r="JIM38" s="320">
        <f t="shared" ref="JIM38" si="3524">IF(JIN38&gt;=1,(JIL38/JIJ38),0)</f>
        <v>0</v>
      </c>
      <c r="JIN38" s="292"/>
      <c r="JIO38" s="259" t="s">
        <v>55</v>
      </c>
      <c r="JIP38" s="256" t="s">
        <v>76</v>
      </c>
      <c r="JIQ38" s="256" t="s">
        <v>77</v>
      </c>
      <c r="JIR38" s="256" t="s">
        <v>78</v>
      </c>
      <c r="JIS38" s="256" t="s">
        <v>79</v>
      </c>
      <c r="JIT38" s="256" t="s">
        <v>80</v>
      </c>
      <c r="JIU38" s="256" t="s">
        <v>81</v>
      </c>
      <c r="JIV38" s="331"/>
      <c r="JIW38" s="290">
        <v>45492</v>
      </c>
      <c r="JIX38" s="339" t="s">
        <v>141</v>
      </c>
      <c r="JIY38" s="305"/>
      <c r="JIZ38" s="305">
        <v>1</v>
      </c>
      <c r="JJA38" s="304">
        <f t="shared" ref="JJA38" si="3525">EDATE(JIW38,JIZ38)</f>
        <v>45523</v>
      </c>
      <c r="JJB38" s="340">
        <v>0</v>
      </c>
      <c r="JJC38" s="320">
        <f t="shared" ref="JJC38" si="3526">IF(JJD38&gt;=1,(JJB38/JIZ38),0)</f>
        <v>0</v>
      </c>
      <c r="JJD38" s="292"/>
      <c r="JJE38" s="259" t="s">
        <v>55</v>
      </c>
      <c r="JJF38" s="256" t="s">
        <v>76</v>
      </c>
      <c r="JJG38" s="256" t="s">
        <v>77</v>
      </c>
      <c r="JJH38" s="256" t="s">
        <v>78</v>
      </c>
      <c r="JJI38" s="256" t="s">
        <v>79</v>
      </c>
      <c r="JJJ38" s="256" t="s">
        <v>80</v>
      </c>
      <c r="JJK38" s="256" t="s">
        <v>81</v>
      </c>
      <c r="JJL38" s="331"/>
      <c r="JJM38" s="290">
        <v>45492</v>
      </c>
      <c r="JJN38" s="339" t="s">
        <v>141</v>
      </c>
      <c r="JJO38" s="305"/>
      <c r="JJP38" s="305">
        <v>1</v>
      </c>
      <c r="JJQ38" s="304">
        <f t="shared" ref="JJQ38" si="3527">EDATE(JJM38,JJP38)</f>
        <v>45523</v>
      </c>
      <c r="JJR38" s="340">
        <v>0</v>
      </c>
      <c r="JJS38" s="320">
        <f t="shared" ref="JJS38" si="3528">IF(JJT38&gt;=1,(JJR38/JJP38),0)</f>
        <v>0</v>
      </c>
      <c r="JJT38" s="292"/>
      <c r="JJU38" s="259" t="s">
        <v>55</v>
      </c>
      <c r="JJV38" s="256" t="s">
        <v>76</v>
      </c>
      <c r="JJW38" s="256" t="s">
        <v>77</v>
      </c>
      <c r="JJX38" s="256" t="s">
        <v>78</v>
      </c>
      <c r="JJY38" s="256" t="s">
        <v>79</v>
      </c>
      <c r="JJZ38" s="256" t="s">
        <v>80</v>
      </c>
      <c r="JKA38" s="256" t="s">
        <v>81</v>
      </c>
      <c r="JKB38" s="331"/>
      <c r="JKC38" s="290">
        <v>45492</v>
      </c>
      <c r="JKD38" s="339" t="s">
        <v>141</v>
      </c>
      <c r="JKE38" s="305"/>
      <c r="JKF38" s="305">
        <v>1</v>
      </c>
      <c r="JKG38" s="304">
        <f t="shared" ref="JKG38" si="3529">EDATE(JKC38,JKF38)</f>
        <v>45523</v>
      </c>
      <c r="JKH38" s="340">
        <v>0</v>
      </c>
      <c r="JKI38" s="320">
        <f t="shared" ref="JKI38" si="3530">IF(JKJ38&gt;=1,(JKH38/JKF38),0)</f>
        <v>0</v>
      </c>
      <c r="JKJ38" s="292"/>
      <c r="JKK38" s="259" t="s">
        <v>55</v>
      </c>
      <c r="JKL38" s="256" t="s">
        <v>76</v>
      </c>
      <c r="JKM38" s="256" t="s">
        <v>77</v>
      </c>
      <c r="JKN38" s="256" t="s">
        <v>78</v>
      </c>
      <c r="JKO38" s="256" t="s">
        <v>79</v>
      </c>
      <c r="JKP38" s="256" t="s">
        <v>80</v>
      </c>
      <c r="JKQ38" s="256" t="s">
        <v>81</v>
      </c>
      <c r="JKR38" s="331"/>
      <c r="JKS38" s="290">
        <v>45492</v>
      </c>
      <c r="JKT38" s="339" t="s">
        <v>141</v>
      </c>
      <c r="JKU38" s="305"/>
      <c r="JKV38" s="305">
        <v>1</v>
      </c>
      <c r="JKW38" s="304">
        <f t="shared" ref="JKW38" si="3531">EDATE(JKS38,JKV38)</f>
        <v>45523</v>
      </c>
      <c r="JKX38" s="340">
        <v>0</v>
      </c>
      <c r="JKY38" s="320">
        <f t="shared" ref="JKY38" si="3532">IF(JKZ38&gt;=1,(JKX38/JKV38),0)</f>
        <v>0</v>
      </c>
      <c r="JKZ38" s="292"/>
      <c r="JLA38" s="259" t="s">
        <v>55</v>
      </c>
      <c r="JLB38" s="256" t="s">
        <v>76</v>
      </c>
      <c r="JLC38" s="256" t="s">
        <v>77</v>
      </c>
      <c r="JLD38" s="256" t="s">
        <v>78</v>
      </c>
      <c r="JLE38" s="256" t="s">
        <v>79</v>
      </c>
      <c r="JLF38" s="256" t="s">
        <v>80</v>
      </c>
      <c r="JLG38" s="256" t="s">
        <v>81</v>
      </c>
      <c r="JLH38" s="331"/>
      <c r="JLI38" s="290">
        <v>45492</v>
      </c>
      <c r="JLJ38" s="339" t="s">
        <v>141</v>
      </c>
      <c r="JLK38" s="305"/>
      <c r="JLL38" s="305">
        <v>1</v>
      </c>
      <c r="JLM38" s="304">
        <f t="shared" ref="JLM38" si="3533">EDATE(JLI38,JLL38)</f>
        <v>45523</v>
      </c>
      <c r="JLN38" s="340">
        <v>0</v>
      </c>
      <c r="JLO38" s="320">
        <f t="shared" ref="JLO38" si="3534">IF(JLP38&gt;=1,(JLN38/JLL38),0)</f>
        <v>0</v>
      </c>
      <c r="JLP38" s="292"/>
      <c r="JLQ38" s="259" t="s">
        <v>55</v>
      </c>
      <c r="JLR38" s="256" t="s">
        <v>76</v>
      </c>
      <c r="JLS38" s="256" t="s">
        <v>77</v>
      </c>
      <c r="JLT38" s="256" t="s">
        <v>78</v>
      </c>
      <c r="JLU38" s="256" t="s">
        <v>79</v>
      </c>
      <c r="JLV38" s="256" t="s">
        <v>80</v>
      </c>
      <c r="JLW38" s="256" t="s">
        <v>81</v>
      </c>
      <c r="JLX38" s="331"/>
      <c r="JLY38" s="290">
        <v>45492</v>
      </c>
      <c r="JLZ38" s="339" t="s">
        <v>141</v>
      </c>
      <c r="JMA38" s="305"/>
      <c r="JMB38" s="305">
        <v>1</v>
      </c>
      <c r="JMC38" s="304">
        <f t="shared" ref="JMC38" si="3535">EDATE(JLY38,JMB38)</f>
        <v>45523</v>
      </c>
      <c r="JMD38" s="340">
        <v>0</v>
      </c>
      <c r="JME38" s="320">
        <f t="shared" ref="JME38" si="3536">IF(JMF38&gt;=1,(JMD38/JMB38),0)</f>
        <v>0</v>
      </c>
      <c r="JMF38" s="292"/>
      <c r="JMG38" s="259" t="s">
        <v>55</v>
      </c>
      <c r="JMH38" s="256" t="s">
        <v>76</v>
      </c>
      <c r="JMI38" s="256" t="s">
        <v>77</v>
      </c>
      <c r="JMJ38" s="256" t="s">
        <v>78</v>
      </c>
      <c r="JMK38" s="256" t="s">
        <v>79</v>
      </c>
      <c r="JML38" s="256" t="s">
        <v>80</v>
      </c>
      <c r="JMM38" s="256" t="s">
        <v>81</v>
      </c>
      <c r="JMN38" s="331"/>
      <c r="JMO38" s="290">
        <v>45492</v>
      </c>
      <c r="JMP38" s="339" t="s">
        <v>141</v>
      </c>
      <c r="JMQ38" s="305"/>
      <c r="JMR38" s="305">
        <v>1</v>
      </c>
      <c r="JMS38" s="304">
        <f t="shared" ref="JMS38" si="3537">EDATE(JMO38,JMR38)</f>
        <v>45523</v>
      </c>
      <c r="JMT38" s="340">
        <v>0</v>
      </c>
      <c r="JMU38" s="320">
        <f t="shared" ref="JMU38" si="3538">IF(JMV38&gt;=1,(JMT38/JMR38),0)</f>
        <v>0</v>
      </c>
      <c r="JMV38" s="292"/>
      <c r="JMW38" s="259" t="s">
        <v>55</v>
      </c>
      <c r="JMX38" s="256" t="s">
        <v>76</v>
      </c>
      <c r="JMY38" s="256" t="s">
        <v>77</v>
      </c>
      <c r="JMZ38" s="256" t="s">
        <v>78</v>
      </c>
      <c r="JNA38" s="256" t="s">
        <v>79</v>
      </c>
      <c r="JNB38" s="256" t="s">
        <v>80</v>
      </c>
      <c r="JNC38" s="256" t="s">
        <v>81</v>
      </c>
      <c r="JND38" s="331"/>
      <c r="JNE38" s="290">
        <v>45492</v>
      </c>
      <c r="JNF38" s="339" t="s">
        <v>141</v>
      </c>
      <c r="JNG38" s="305"/>
      <c r="JNH38" s="305">
        <v>1</v>
      </c>
      <c r="JNI38" s="304">
        <f t="shared" ref="JNI38" si="3539">EDATE(JNE38,JNH38)</f>
        <v>45523</v>
      </c>
      <c r="JNJ38" s="340">
        <v>0</v>
      </c>
      <c r="JNK38" s="320">
        <f t="shared" ref="JNK38" si="3540">IF(JNL38&gt;=1,(JNJ38/JNH38),0)</f>
        <v>0</v>
      </c>
      <c r="JNL38" s="292"/>
      <c r="JNM38" s="259" t="s">
        <v>55</v>
      </c>
      <c r="JNN38" s="256" t="s">
        <v>76</v>
      </c>
      <c r="JNO38" s="256" t="s">
        <v>77</v>
      </c>
      <c r="JNP38" s="256" t="s">
        <v>78</v>
      </c>
      <c r="JNQ38" s="256" t="s">
        <v>79</v>
      </c>
      <c r="JNR38" s="256" t="s">
        <v>80</v>
      </c>
      <c r="JNS38" s="256" t="s">
        <v>81</v>
      </c>
      <c r="JNT38" s="331"/>
      <c r="JNU38" s="290">
        <v>45492</v>
      </c>
      <c r="JNV38" s="339" t="s">
        <v>141</v>
      </c>
      <c r="JNW38" s="305"/>
      <c r="JNX38" s="305">
        <v>1</v>
      </c>
      <c r="JNY38" s="304">
        <f t="shared" ref="JNY38" si="3541">EDATE(JNU38,JNX38)</f>
        <v>45523</v>
      </c>
      <c r="JNZ38" s="340">
        <v>0</v>
      </c>
      <c r="JOA38" s="320">
        <f t="shared" ref="JOA38" si="3542">IF(JOB38&gt;=1,(JNZ38/JNX38),0)</f>
        <v>0</v>
      </c>
      <c r="JOB38" s="292"/>
      <c r="JOC38" s="259" t="s">
        <v>55</v>
      </c>
      <c r="JOD38" s="256" t="s">
        <v>76</v>
      </c>
      <c r="JOE38" s="256" t="s">
        <v>77</v>
      </c>
      <c r="JOF38" s="256" t="s">
        <v>78</v>
      </c>
      <c r="JOG38" s="256" t="s">
        <v>79</v>
      </c>
      <c r="JOH38" s="256" t="s">
        <v>80</v>
      </c>
      <c r="JOI38" s="256" t="s">
        <v>81</v>
      </c>
      <c r="JOJ38" s="331"/>
      <c r="JOK38" s="290">
        <v>45492</v>
      </c>
      <c r="JOL38" s="339" t="s">
        <v>141</v>
      </c>
      <c r="JOM38" s="305"/>
      <c r="JON38" s="305">
        <v>1</v>
      </c>
      <c r="JOO38" s="304">
        <f t="shared" ref="JOO38" si="3543">EDATE(JOK38,JON38)</f>
        <v>45523</v>
      </c>
      <c r="JOP38" s="340">
        <v>0</v>
      </c>
      <c r="JOQ38" s="320">
        <f t="shared" ref="JOQ38" si="3544">IF(JOR38&gt;=1,(JOP38/JON38),0)</f>
        <v>0</v>
      </c>
      <c r="JOR38" s="292"/>
      <c r="JOS38" s="259" t="s">
        <v>55</v>
      </c>
      <c r="JOT38" s="256" t="s">
        <v>76</v>
      </c>
      <c r="JOU38" s="256" t="s">
        <v>77</v>
      </c>
      <c r="JOV38" s="256" t="s">
        <v>78</v>
      </c>
      <c r="JOW38" s="256" t="s">
        <v>79</v>
      </c>
      <c r="JOX38" s="256" t="s">
        <v>80</v>
      </c>
      <c r="JOY38" s="256" t="s">
        <v>81</v>
      </c>
      <c r="JOZ38" s="331"/>
      <c r="JPA38" s="290">
        <v>45492</v>
      </c>
      <c r="JPB38" s="339" t="s">
        <v>141</v>
      </c>
      <c r="JPC38" s="305"/>
      <c r="JPD38" s="305">
        <v>1</v>
      </c>
      <c r="JPE38" s="304">
        <f t="shared" ref="JPE38" si="3545">EDATE(JPA38,JPD38)</f>
        <v>45523</v>
      </c>
      <c r="JPF38" s="340">
        <v>0</v>
      </c>
      <c r="JPG38" s="320">
        <f t="shared" ref="JPG38" si="3546">IF(JPH38&gt;=1,(JPF38/JPD38),0)</f>
        <v>0</v>
      </c>
      <c r="JPH38" s="292"/>
      <c r="JPI38" s="259" t="s">
        <v>55</v>
      </c>
      <c r="JPJ38" s="256" t="s">
        <v>76</v>
      </c>
      <c r="JPK38" s="256" t="s">
        <v>77</v>
      </c>
      <c r="JPL38" s="256" t="s">
        <v>78</v>
      </c>
      <c r="JPM38" s="256" t="s">
        <v>79</v>
      </c>
      <c r="JPN38" s="256" t="s">
        <v>80</v>
      </c>
      <c r="JPO38" s="256" t="s">
        <v>81</v>
      </c>
      <c r="JPP38" s="331"/>
      <c r="JPQ38" s="290">
        <v>45492</v>
      </c>
      <c r="JPR38" s="339" t="s">
        <v>141</v>
      </c>
      <c r="JPS38" s="305"/>
      <c r="JPT38" s="305">
        <v>1</v>
      </c>
      <c r="JPU38" s="304">
        <f t="shared" ref="JPU38" si="3547">EDATE(JPQ38,JPT38)</f>
        <v>45523</v>
      </c>
      <c r="JPV38" s="340">
        <v>0</v>
      </c>
      <c r="JPW38" s="320">
        <f t="shared" ref="JPW38" si="3548">IF(JPX38&gt;=1,(JPV38/JPT38),0)</f>
        <v>0</v>
      </c>
      <c r="JPX38" s="292"/>
      <c r="JPY38" s="259" t="s">
        <v>55</v>
      </c>
      <c r="JPZ38" s="256" t="s">
        <v>76</v>
      </c>
      <c r="JQA38" s="256" t="s">
        <v>77</v>
      </c>
      <c r="JQB38" s="256" t="s">
        <v>78</v>
      </c>
      <c r="JQC38" s="256" t="s">
        <v>79</v>
      </c>
      <c r="JQD38" s="256" t="s">
        <v>80</v>
      </c>
      <c r="JQE38" s="256" t="s">
        <v>81</v>
      </c>
      <c r="JQF38" s="331"/>
      <c r="JQG38" s="290">
        <v>45492</v>
      </c>
      <c r="JQH38" s="339" t="s">
        <v>141</v>
      </c>
      <c r="JQI38" s="305"/>
      <c r="JQJ38" s="305">
        <v>1</v>
      </c>
      <c r="JQK38" s="304">
        <f t="shared" ref="JQK38" si="3549">EDATE(JQG38,JQJ38)</f>
        <v>45523</v>
      </c>
      <c r="JQL38" s="340">
        <v>0</v>
      </c>
      <c r="JQM38" s="320">
        <f t="shared" ref="JQM38" si="3550">IF(JQN38&gt;=1,(JQL38/JQJ38),0)</f>
        <v>0</v>
      </c>
      <c r="JQN38" s="292"/>
      <c r="JQO38" s="259" t="s">
        <v>55</v>
      </c>
      <c r="JQP38" s="256" t="s">
        <v>76</v>
      </c>
      <c r="JQQ38" s="256" t="s">
        <v>77</v>
      </c>
      <c r="JQR38" s="256" t="s">
        <v>78</v>
      </c>
      <c r="JQS38" s="256" t="s">
        <v>79</v>
      </c>
      <c r="JQT38" s="256" t="s">
        <v>80</v>
      </c>
      <c r="JQU38" s="256" t="s">
        <v>81</v>
      </c>
      <c r="JQV38" s="331"/>
      <c r="JQW38" s="290">
        <v>45492</v>
      </c>
      <c r="JQX38" s="339" t="s">
        <v>141</v>
      </c>
      <c r="JQY38" s="305"/>
      <c r="JQZ38" s="305">
        <v>1</v>
      </c>
      <c r="JRA38" s="304">
        <f t="shared" ref="JRA38" si="3551">EDATE(JQW38,JQZ38)</f>
        <v>45523</v>
      </c>
      <c r="JRB38" s="340">
        <v>0</v>
      </c>
      <c r="JRC38" s="320">
        <f t="shared" ref="JRC38" si="3552">IF(JRD38&gt;=1,(JRB38/JQZ38),0)</f>
        <v>0</v>
      </c>
      <c r="JRD38" s="292"/>
      <c r="JRE38" s="259" t="s">
        <v>55</v>
      </c>
      <c r="JRF38" s="256" t="s">
        <v>76</v>
      </c>
      <c r="JRG38" s="256" t="s">
        <v>77</v>
      </c>
      <c r="JRH38" s="256" t="s">
        <v>78</v>
      </c>
      <c r="JRI38" s="256" t="s">
        <v>79</v>
      </c>
      <c r="JRJ38" s="256" t="s">
        <v>80</v>
      </c>
      <c r="JRK38" s="256" t="s">
        <v>81</v>
      </c>
      <c r="JRL38" s="331"/>
      <c r="JRM38" s="290">
        <v>45492</v>
      </c>
      <c r="JRN38" s="339" t="s">
        <v>141</v>
      </c>
      <c r="JRO38" s="305"/>
      <c r="JRP38" s="305">
        <v>1</v>
      </c>
      <c r="JRQ38" s="304">
        <f t="shared" ref="JRQ38" si="3553">EDATE(JRM38,JRP38)</f>
        <v>45523</v>
      </c>
      <c r="JRR38" s="340">
        <v>0</v>
      </c>
      <c r="JRS38" s="320">
        <f t="shared" ref="JRS38" si="3554">IF(JRT38&gt;=1,(JRR38/JRP38),0)</f>
        <v>0</v>
      </c>
      <c r="JRT38" s="292"/>
      <c r="JRU38" s="259" t="s">
        <v>55</v>
      </c>
      <c r="JRV38" s="256" t="s">
        <v>76</v>
      </c>
      <c r="JRW38" s="256" t="s">
        <v>77</v>
      </c>
      <c r="JRX38" s="256" t="s">
        <v>78</v>
      </c>
      <c r="JRY38" s="256" t="s">
        <v>79</v>
      </c>
      <c r="JRZ38" s="256" t="s">
        <v>80</v>
      </c>
      <c r="JSA38" s="256" t="s">
        <v>81</v>
      </c>
      <c r="JSB38" s="331"/>
      <c r="JSC38" s="290">
        <v>45492</v>
      </c>
      <c r="JSD38" s="339" t="s">
        <v>141</v>
      </c>
      <c r="JSE38" s="305"/>
      <c r="JSF38" s="305">
        <v>1</v>
      </c>
      <c r="JSG38" s="304">
        <f t="shared" ref="JSG38" si="3555">EDATE(JSC38,JSF38)</f>
        <v>45523</v>
      </c>
      <c r="JSH38" s="340">
        <v>0</v>
      </c>
      <c r="JSI38" s="320">
        <f t="shared" ref="JSI38" si="3556">IF(JSJ38&gt;=1,(JSH38/JSF38),0)</f>
        <v>0</v>
      </c>
      <c r="JSJ38" s="292"/>
      <c r="JSK38" s="259" t="s">
        <v>55</v>
      </c>
      <c r="JSL38" s="256" t="s">
        <v>76</v>
      </c>
      <c r="JSM38" s="256" t="s">
        <v>77</v>
      </c>
      <c r="JSN38" s="256" t="s">
        <v>78</v>
      </c>
      <c r="JSO38" s="256" t="s">
        <v>79</v>
      </c>
      <c r="JSP38" s="256" t="s">
        <v>80</v>
      </c>
      <c r="JSQ38" s="256" t="s">
        <v>81</v>
      </c>
      <c r="JSR38" s="331"/>
      <c r="JSS38" s="290">
        <v>45492</v>
      </c>
      <c r="JST38" s="339" t="s">
        <v>141</v>
      </c>
      <c r="JSU38" s="305"/>
      <c r="JSV38" s="305">
        <v>1</v>
      </c>
      <c r="JSW38" s="304">
        <f t="shared" ref="JSW38" si="3557">EDATE(JSS38,JSV38)</f>
        <v>45523</v>
      </c>
      <c r="JSX38" s="340">
        <v>0</v>
      </c>
      <c r="JSY38" s="320">
        <f t="shared" ref="JSY38" si="3558">IF(JSZ38&gt;=1,(JSX38/JSV38),0)</f>
        <v>0</v>
      </c>
      <c r="JSZ38" s="292"/>
      <c r="JTA38" s="259" t="s">
        <v>55</v>
      </c>
      <c r="JTB38" s="256" t="s">
        <v>76</v>
      </c>
      <c r="JTC38" s="256" t="s">
        <v>77</v>
      </c>
      <c r="JTD38" s="256" t="s">
        <v>78</v>
      </c>
      <c r="JTE38" s="256" t="s">
        <v>79</v>
      </c>
      <c r="JTF38" s="256" t="s">
        <v>80</v>
      </c>
      <c r="JTG38" s="256" t="s">
        <v>81</v>
      </c>
      <c r="JTH38" s="331"/>
      <c r="JTI38" s="290">
        <v>45492</v>
      </c>
      <c r="JTJ38" s="339" t="s">
        <v>141</v>
      </c>
      <c r="JTK38" s="305"/>
      <c r="JTL38" s="305">
        <v>1</v>
      </c>
      <c r="JTM38" s="304">
        <f t="shared" ref="JTM38" si="3559">EDATE(JTI38,JTL38)</f>
        <v>45523</v>
      </c>
      <c r="JTN38" s="340">
        <v>0</v>
      </c>
      <c r="JTO38" s="320">
        <f t="shared" ref="JTO38" si="3560">IF(JTP38&gt;=1,(JTN38/JTL38),0)</f>
        <v>0</v>
      </c>
      <c r="JTP38" s="292"/>
      <c r="JTQ38" s="259" t="s">
        <v>55</v>
      </c>
      <c r="JTR38" s="256" t="s">
        <v>76</v>
      </c>
      <c r="JTS38" s="256" t="s">
        <v>77</v>
      </c>
      <c r="JTT38" s="256" t="s">
        <v>78</v>
      </c>
      <c r="JTU38" s="256" t="s">
        <v>79</v>
      </c>
      <c r="JTV38" s="256" t="s">
        <v>80</v>
      </c>
      <c r="JTW38" s="256" t="s">
        <v>81</v>
      </c>
      <c r="JTX38" s="331"/>
      <c r="JTY38" s="290">
        <v>45492</v>
      </c>
      <c r="JTZ38" s="339" t="s">
        <v>141</v>
      </c>
      <c r="JUA38" s="305"/>
      <c r="JUB38" s="305">
        <v>1</v>
      </c>
      <c r="JUC38" s="304">
        <f t="shared" ref="JUC38" si="3561">EDATE(JTY38,JUB38)</f>
        <v>45523</v>
      </c>
      <c r="JUD38" s="340">
        <v>0</v>
      </c>
      <c r="JUE38" s="320">
        <f t="shared" ref="JUE38" si="3562">IF(JUF38&gt;=1,(JUD38/JUB38),0)</f>
        <v>0</v>
      </c>
      <c r="JUF38" s="292"/>
      <c r="JUG38" s="259" t="s">
        <v>55</v>
      </c>
      <c r="JUH38" s="256" t="s">
        <v>76</v>
      </c>
      <c r="JUI38" s="256" t="s">
        <v>77</v>
      </c>
      <c r="JUJ38" s="256" t="s">
        <v>78</v>
      </c>
      <c r="JUK38" s="256" t="s">
        <v>79</v>
      </c>
      <c r="JUL38" s="256" t="s">
        <v>80</v>
      </c>
      <c r="JUM38" s="256" t="s">
        <v>81</v>
      </c>
      <c r="JUN38" s="331"/>
      <c r="JUO38" s="290">
        <v>45492</v>
      </c>
      <c r="JUP38" s="339" t="s">
        <v>141</v>
      </c>
      <c r="JUQ38" s="305"/>
      <c r="JUR38" s="305">
        <v>1</v>
      </c>
      <c r="JUS38" s="304">
        <f t="shared" ref="JUS38" si="3563">EDATE(JUO38,JUR38)</f>
        <v>45523</v>
      </c>
      <c r="JUT38" s="340">
        <v>0</v>
      </c>
      <c r="JUU38" s="320">
        <f t="shared" ref="JUU38" si="3564">IF(JUV38&gt;=1,(JUT38/JUR38),0)</f>
        <v>0</v>
      </c>
      <c r="JUV38" s="292"/>
      <c r="JUW38" s="259" t="s">
        <v>55</v>
      </c>
      <c r="JUX38" s="256" t="s">
        <v>76</v>
      </c>
      <c r="JUY38" s="256" t="s">
        <v>77</v>
      </c>
      <c r="JUZ38" s="256" t="s">
        <v>78</v>
      </c>
      <c r="JVA38" s="256" t="s">
        <v>79</v>
      </c>
      <c r="JVB38" s="256" t="s">
        <v>80</v>
      </c>
      <c r="JVC38" s="256" t="s">
        <v>81</v>
      </c>
      <c r="JVD38" s="331"/>
      <c r="JVE38" s="290">
        <v>45492</v>
      </c>
      <c r="JVF38" s="339" t="s">
        <v>141</v>
      </c>
      <c r="JVG38" s="305"/>
      <c r="JVH38" s="305">
        <v>1</v>
      </c>
      <c r="JVI38" s="304">
        <f t="shared" ref="JVI38" si="3565">EDATE(JVE38,JVH38)</f>
        <v>45523</v>
      </c>
      <c r="JVJ38" s="340">
        <v>0</v>
      </c>
      <c r="JVK38" s="320">
        <f t="shared" ref="JVK38" si="3566">IF(JVL38&gt;=1,(JVJ38/JVH38),0)</f>
        <v>0</v>
      </c>
      <c r="JVL38" s="292"/>
      <c r="JVM38" s="259" t="s">
        <v>55</v>
      </c>
      <c r="JVN38" s="256" t="s">
        <v>76</v>
      </c>
      <c r="JVO38" s="256" t="s">
        <v>77</v>
      </c>
      <c r="JVP38" s="256" t="s">
        <v>78</v>
      </c>
      <c r="JVQ38" s="256" t="s">
        <v>79</v>
      </c>
      <c r="JVR38" s="256" t="s">
        <v>80</v>
      </c>
      <c r="JVS38" s="256" t="s">
        <v>81</v>
      </c>
      <c r="JVT38" s="331"/>
      <c r="JVU38" s="290">
        <v>45492</v>
      </c>
      <c r="JVV38" s="339" t="s">
        <v>141</v>
      </c>
      <c r="JVW38" s="305"/>
      <c r="JVX38" s="305">
        <v>1</v>
      </c>
      <c r="JVY38" s="304">
        <f t="shared" ref="JVY38" si="3567">EDATE(JVU38,JVX38)</f>
        <v>45523</v>
      </c>
      <c r="JVZ38" s="340">
        <v>0</v>
      </c>
      <c r="JWA38" s="320">
        <f t="shared" ref="JWA38" si="3568">IF(JWB38&gt;=1,(JVZ38/JVX38),0)</f>
        <v>0</v>
      </c>
      <c r="JWB38" s="292"/>
      <c r="JWC38" s="259" t="s">
        <v>55</v>
      </c>
      <c r="JWD38" s="256" t="s">
        <v>76</v>
      </c>
      <c r="JWE38" s="256" t="s">
        <v>77</v>
      </c>
      <c r="JWF38" s="256" t="s">
        <v>78</v>
      </c>
      <c r="JWG38" s="256" t="s">
        <v>79</v>
      </c>
      <c r="JWH38" s="256" t="s">
        <v>80</v>
      </c>
      <c r="JWI38" s="256" t="s">
        <v>81</v>
      </c>
      <c r="JWJ38" s="331"/>
      <c r="JWK38" s="290">
        <v>45492</v>
      </c>
      <c r="JWL38" s="339" t="s">
        <v>141</v>
      </c>
      <c r="JWM38" s="305"/>
      <c r="JWN38" s="305">
        <v>1</v>
      </c>
      <c r="JWO38" s="304">
        <f t="shared" ref="JWO38" si="3569">EDATE(JWK38,JWN38)</f>
        <v>45523</v>
      </c>
      <c r="JWP38" s="340">
        <v>0</v>
      </c>
      <c r="JWQ38" s="320">
        <f t="shared" ref="JWQ38" si="3570">IF(JWR38&gt;=1,(JWP38/JWN38),0)</f>
        <v>0</v>
      </c>
      <c r="JWR38" s="292"/>
      <c r="JWS38" s="259" t="s">
        <v>55</v>
      </c>
      <c r="JWT38" s="256" t="s">
        <v>76</v>
      </c>
      <c r="JWU38" s="256" t="s">
        <v>77</v>
      </c>
      <c r="JWV38" s="256" t="s">
        <v>78</v>
      </c>
      <c r="JWW38" s="256" t="s">
        <v>79</v>
      </c>
      <c r="JWX38" s="256" t="s">
        <v>80</v>
      </c>
      <c r="JWY38" s="256" t="s">
        <v>81</v>
      </c>
      <c r="JWZ38" s="331"/>
      <c r="JXA38" s="290">
        <v>45492</v>
      </c>
      <c r="JXB38" s="339" t="s">
        <v>141</v>
      </c>
      <c r="JXC38" s="305"/>
      <c r="JXD38" s="305">
        <v>1</v>
      </c>
      <c r="JXE38" s="304">
        <f t="shared" ref="JXE38" si="3571">EDATE(JXA38,JXD38)</f>
        <v>45523</v>
      </c>
      <c r="JXF38" s="340">
        <v>0</v>
      </c>
      <c r="JXG38" s="320">
        <f t="shared" ref="JXG38" si="3572">IF(JXH38&gt;=1,(JXF38/JXD38),0)</f>
        <v>0</v>
      </c>
      <c r="JXH38" s="292"/>
      <c r="JXI38" s="259" t="s">
        <v>55</v>
      </c>
      <c r="JXJ38" s="256" t="s">
        <v>76</v>
      </c>
      <c r="JXK38" s="256" t="s">
        <v>77</v>
      </c>
      <c r="JXL38" s="256" t="s">
        <v>78</v>
      </c>
      <c r="JXM38" s="256" t="s">
        <v>79</v>
      </c>
      <c r="JXN38" s="256" t="s">
        <v>80</v>
      </c>
      <c r="JXO38" s="256" t="s">
        <v>81</v>
      </c>
      <c r="JXP38" s="331"/>
      <c r="JXQ38" s="290">
        <v>45492</v>
      </c>
      <c r="JXR38" s="339" t="s">
        <v>141</v>
      </c>
      <c r="JXS38" s="305"/>
      <c r="JXT38" s="305">
        <v>1</v>
      </c>
      <c r="JXU38" s="304">
        <f t="shared" ref="JXU38" si="3573">EDATE(JXQ38,JXT38)</f>
        <v>45523</v>
      </c>
      <c r="JXV38" s="340">
        <v>0</v>
      </c>
      <c r="JXW38" s="320">
        <f t="shared" ref="JXW38" si="3574">IF(JXX38&gt;=1,(JXV38/JXT38),0)</f>
        <v>0</v>
      </c>
      <c r="JXX38" s="292"/>
      <c r="JXY38" s="259" t="s">
        <v>55</v>
      </c>
      <c r="JXZ38" s="256" t="s">
        <v>76</v>
      </c>
      <c r="JYA38" s="256" t="s">
        <v>77</v>
      </c>
      <c r="JYB38" s="256" t="s">
        <v>78</v>
      </c>
      <c r="JYC38" s="256" t="s">
        <v>79</v>
      </c>
      <c r="JYD38" s="256" t="s">
        <v>80</v>
      </c>
      <c r="JYE38" s="256" t="s">
        <v>81</v>
      </c>
      <c r="JYF38" s="331"/>
      <c r="JYG38" s="290">
        <v>45492</v>
      </c>
      <c r="JYH38" s="339" t="s">
        <v>141</v>
      </c>
      <c r="JYI38" s="305"/>
      <c r="JYJ38" s="305">
        <v>1</v>
      </c>
      <c r="JYK38" s="304">
        <f t="shared" ref="JYK38" si="3575">EDATE(JYG38,JYJ38)</f>
        <v>45523</v>
      </c>
      <c r="JYL38" s="340">
        <v>0</v>
      </c>
      <c r="JYM38" s="320">
        <f t="shared" ref="JYM38" si="3576">IF(JYN38&gt;=1,(JYL38/JYJ38),0)</f>
        <v>0</v>
      </c>
      <c r="JYN38" s="292"/>
      <c r="JYO38" s="259" t="s">
        <v>55</v>
      </c>
      <c r="JYP38" s="256" t="s">
        <v>76</v>
      </c>
      <c r="JYQ38" s="256" t="s">
        <v>77</v>
      </c>
      <c r="JYR38" s="256" t="s">
        <v>78</v>
      </c>
      <c r="JYS38" s="256" t="s">
        <v>79</v>
      </c>
      <c r="JYT38" s="256" t="s">
        <v>80</v>
      </c>
      <c r="JYU38" s="256" t="s">
        <v>81</v>
      </c>
      <c r="JYV38" s="331"/>
      <c r="JYW38" s="290">
        <v>45492</v>
      </c>
      <c r="JYX38" s="339" t="s">
        <v>141</v>
      </c>
      <c r="JYY38" s="305"/>
      <c r="JYZ38" s="305">
        <v>1</v>
      </c>
      <c r="JZA38" s="304">
        <f t="shared" ref="JZA38" si="3577">EDATE(JYW38,JYZ38)</f>
        <v>45523</v>
      </c>
      <c r="JZB38" s="340">
        <v>0</v>
      </c>
      <c r="JZC38" s="320">
        <f t="shared" ref="JZC38" si="3578">IF(JZD38&gt;=1,(JZB38/JYZ38),0)</f>
        <v>0</v>
      </c>
      <c r="JZD38" s="292"/>
      <c r="JZE38" s="259" t="s">
        <v>55</v>
      </c>
      <c r="JZF38" s="256" t="s">
        <v>76</v>
      </c>
      <c r="JZG38" s="256" t="s">
        <v>77</v>
      </c>
      <c r="JZH38" s="256" t="s">
        <v>78</v>
      </c>
      <c r="JZI38" s="256" t="s">
        <v>79</v>
      </c>
      <c r="JZJ38" s="256" t="s">
        <v>80</v>
      </c>
      <c r="JZK38" s="256" t="s">
        <v>81</v>
      </c>
      <c r="JZL38" s="331"/>
      <c r="JZM38" s="290">
        <v>45492</v>
      </c>
      <c r="JZN38" s="339" t="s">
        <v>141</v>
      </c>
      <c r="JZO38" s="305"/>
      <c r="JZP38" s="305">
        <v>1</v>
      </c>
      <c r="JZQ38" s="304">
        <f t="shared" ref="JZQ38" si="3579">EDATE(JZM38,JZP38)</f>
        <v>45523</v>
      </c>
      <c r="JZR38" s="340">
        <v>0</v>
      </c>
      <c r="JZS38" s="320">
        <f t="shared" ref="JZS38" si="3580">IF(JZT38&gt;=1,(JZR38/JZP38),0)</f>
        <v>0</v>
      </c>
      <c r="JZT38" s="292"/>
      <c r="JZU38" s="259" t="s">
        <v>55</v>
      </c>
      <c r="JZV38" s="256" t="s">
        <v>76</v>
      </c>
      <c r="JZW38" s="256" t="s">
        <v>77</v>
      </c>
      <c r="JZX38" s="256" t="s">
        <v>78</v>
      </c>
      <c r="JZY38" s="256" t="s">
        <v>79</v>
      </c>
      <c r="JZZ38" s="256" t="s">
        <v>80</v>
      </c>
      <c r="KAA38" s="256" t="s">
        <v>81</v>
      </c>
      <c r="KAB38" s="331"/>
      <c r="KAC38" s="290">
        <v>45492</v>
      </c>
      <c r="KAD38" s="339" t="s">
        <v>141</v>
      </c>
      <c r="KAE38" s="305"/>
      <c r="KAF38" s="305">
        <v>1</v>
      </c>
      <c r="KAG38" s="304">
        <f t="shared" ref="KAG38" si="3581">EDATE(KAC38,KAF38)</f>
        <v>45523</v>
      </c>
      <c r="KAH38" s="340">
        <v>0</v>
      </c>
      <c r="KAI38" s="320">
        <f t="shared" ref="KAI38" si="3582">IF(KAJ38&gt;=1,(KAH38/KAF38),0)</f>
        <v>0</v>
      </c>
      <c r="KAJ38" s="292"/>
      <c r="KAK38" s="259" t="s">
        <v>55</v>
      </c>
      <c r="KAL38" s="256" t="s">
        <v>76</v>
      </c>
      <c r="KAM38" s="256" t="s">
        <v>77</v>
      </c>
      <c r="KAN38" s="256" t="s">
        <v>78</v>
      </c>
      <c r="KAO38" s="256" t="s">
        <v>79</v>
      </c>
      <c r="KAP38" s="256" t="s">
        <v>80</v>
      </c>
      <c r="KAQ38" s="256" t="s">
        <v>81</v>
      </c>
      <c r="KAR38" s="331"/>
      <c r="KAS38" s="290">
        <v>45492</v>
      </c>
      <c r="KAT38" s="339" t="s">
        <v>141</v>
      </c>
      <c r="KAU38" s="305"/>
      <c r="KAV38" s="305">
        <v>1</v>
      </c>
      <c r="KAW38" s="304">
        <f t="shared" ref="KAW38" si="3583">EDATE(KAS38,KAV38)</f>
        <v>45523</v>
      </c>
      <c r="KAX38" s="340">
        <v>0</v>
      </c>
      <c r="KAY38" s="320">
        <f t="shared" ref="KAY38" si="3584">IF(KAZ38&gt;=1,(KAX38/KAV38),0)</f>
        <v>0</v>
      </c>
      <c r="KAZ38" s="292"/>
      <c r="KBA38" s="259" t="s">
        <v>55</v>
      </c>
      <c r="KBB38" s="256" t="s">
        <v>76</v>
      </c>
      <c r="KBC38" s="256" t="s">
        <v>77</v>
      </c>
      <c r="KBD38" s="256" t="s">
        <v>78</v>
      </c>
      <c r="KBE38" s="256" t="s">
        <v>79</v>
      </c>
      <c r="KBF38" s="256" t="s">
        <v>80</v>
      </c>
      <c r="KBG38" s="256" t="s">
        <v>81</v>
      </c>
      <c r="KBH38" s="331"/>
      <c r="KBI38" s="290">
        <v>45492</v>
      </c>
      <c r="KBJ38" s="339" t="s">
        <v>141</v>
      </c>
      <c r="KBK38" s="305"/>
      <c r="KBL38" s="305">
        <v>1</v>
      </c>
      <c r="KBM38" s="304">
        <f t="shared" ref="KBM38" si="3585">EDATE(KBI38,KBL38)</f>
        <v>45523</v>
      </c>
      <c r="KBN38" s="340">
        <v>0</v>
      </c>
      <c r="KBO38" s="320">
        <f t="shared" ref="KBO38" si="3586">IF(KBP38&gt;=1,(KBN38/KBL38),0)</f>
        <v>0</v>
      </c>
      <c r="KBP38" s="292"/>
      <c r="KBQ38" s="259" t="s">
        <v>55</v>
      </c>
      <c r="KBR38" s="256" t="s">
        <v>76</v>
      </c>
      <c r="KBS38" s="256" t="s">
        <v>77</v>
      </c>
      <c r="KBT38" s="256" t="s">
        <v>78</v>
      </c>
      <c r="KBU38" s="256" t="s">
        <v>79</v>
      </c>
      <c r="KBV38" s="256" t="s">
        <v>80</v>
      </c>
      <c r="KBW38" s="256" t="s">
        <v>81</v>
      </c>
      <c r="KBX38" s="331"/>
      <c r="KBY38" s="290">
        <v>45492</v>
      </c>
      <c r="KBZ38" s="339" t="s">
        <v>141</v>
      </c>
      <c r="KCA38" s="305"/>
      <c r="KCB38" s="305">
        <v>1</v>
      </c>
      <c r="KCC38" s="304">
        <f t="shared" ref="KCC38" si="3587">EDATE(KBY38,KCB38)</f>
        <v>45523</v>
      </c>
      <c r="KCD38" s="340">
        <v>0</v>
      </c>
      <c r="KCE38" s="320">
        <f t="shared" ref="KCE38" si="3588">IF(KCF38&gt;=1,(KCD38/KCB38),0)</f>
        <v>0</v>
      </c>
      <c r="KCF38" s="292"/>
      <c r="KCG38" s="259" t="s">
        <v>55</v>
      </c>
      <c r="KCH38" s="256" t="s">
        <v>76</v>
      </c>
      <c r="KCI38" s="256" t="s">
        <v>77</v>
      </c>
      <c r="KCJ38" s="256" t="s">
        <v>78</v>
      </c>
      <c r="KCK38" s="256" t="s">
        <v>79</v>
      </c>
      <c r="KCL38" s="256" t="s">
        <v>80</v>
      </c>
      <c r="KCM38" s="256" t="s">
        <v>81</v>
      </c>
      <c r="KCN38" s="331"/>
      <c r="KCO38" s="290">
        <v>45492</v>
      </c>
      <c r="KCP38" s="339" t="s">
        <v>141</v>
      </c>
      <c r="KCQ38" s="305"/>
      <c r="KCR38" s="305">
        <v>1</v>
      </c>
      <c r="KCS38" s="304">
        <f t="shared" ref="KCS38" si="3589">EDATE(KCO38,KCR38)</f>
        <v>45523</v>
      </c>
      <c r="KCT38" s="340">
        <v>0</v>
      </c>
      <c r="KCU38" s="320">
        <f t="shared" ref="KCU38" si="3590">IF(KCV38&gt;=1,(KCT38/KCR38),0)</f>
        <v>0</v>
      </c>
      <c r="KCV38" s="292"/>
      <c r="KCW38" s="259" t="s">
        <v>55</v>
      </c>
      <c r="KCX38" s="256" t="s">
        <v>76</v>
      </c>
      <c r="KCY38" s="256" t="s">
        <v>77</v>
      </c>
      <c r="KCZ38" s="256" t="s">
        <v>78</v>
      </c>
      <c r="KDA38" s="256" t="s">
        <v>79</v>
      </c>
      <c r="KDB38" s="256" t="s">
        <v>80</v>
      </c>
      <c r="KDC38" s="256" t="s">
        <v>81</v>
      </c>
      <c r="KDD38" s="331"/>
      <c r="KDE38" s="290">
        <v>45492</v>
      </c>
      <c r="KDF38" s="339" t="s">
        <v>141</v>
      </c>
      <c r="KDG38" s="305"/>
      <c r="KDH38" s="305">
        <v>1</v>
      </c>
      <c r="KDI38" s="304">
        <f t="shared" ref="KDI38" si="3591">EDATE(KDE38,KDH38)</f>
        <v>45523</v>
      </c>
      <c r="KDJ38" s="340">
        <v>0</v>
      </c>
      <c r="KDK38" s="320">
        <f t="shared" ref="KDK38" si="3592">IF(KDL38&gt;=1,(KDJ38/KDH38),0)</f>
        <v>0</v>
      </c>
      <c r="KDL38" s="292"/>
      <c r="KDM38" s="259" t="s">
        <v>55</v>
      </c>
      <c r="KDN38" s="256" t="s">
        <v>76</v>
      </c>
      <c r="KDO38" s="256" t="s">
        <v>77</v>
      </c>
      <c r="KDP38" s="256" t="s">
        <v>78</v>
      </c>
      <c r="KDQ38" s="256" t="s">
        <v>79</v>
      </c>
      <c r="KDR38" s="256" t="s">
        <v>80</v>
      </c>
      <c r="KDS38" s="256" t="s">
        <v>81</v>
      </c>
      <c r="KDT38" s="331"/>
      <c r="KDU38" s="290">
        <v>45492</v>
      </c>
      <c r="KDV38" s="339" t="s">
        <v>141</v>
      </c>
      <c r="KDW38" s="305"/>
      <c r="KDX38" s="305">
        <v>1</v>
      </c>
      <c r="KDY38" s="304">
        <f t="shared" ref="KDY38" si="3593">EDATE(KDU38,KDX38)</f>
        <v>45523</v>
      </c>
      <c r="KDZ38" s="340">
        <v>0</v>
      </c>
      <c r="KEA38" s="320">
        <f t="shared" ref="KEA38" si="3594">IF(KEB38&gt;=1,(KDZ38/KDX38),0)</f>
        <v>0</v>
      </c>
      <c r="KEB38" s="292"/>
      <c r="KEC38" s="259" t="s">
        <v>55</v>
      </c>
      <c r="KED38" s="256" t="s">
        <v>76</v>
      </c>
      <c r="KEE38" s="256" t="s">
        <v>77</v>
      </c>
      <c r="KEF38" s="256" t="s">
        <v>78</v>
      </c>
      <c r="KEG38" s="256" t="s">
        <v>79</v>
      </c>
      <c r="KEH38" s="256" t="s">
        <v>80</v>
      </c>
      <c r="KEI38" s="256" t="s">
        <v>81</v>
      </c>
      <c r="KEJ38" s="331"/>
      <c r="KEK38" s="290">
        <v>45492</v>
      </c>
      <c r="KEL38" s="339" t="s">
        <v>141</v>
      </c>
      <c r="KEM38" s="305"/>
      <c r="KEN38" s="305">
        <v>1</v>
      </c>
      <c r="KEO38" s="304">
        <f t="shared" ref="KEO38" si="3595">EDATE(KEK38,KEN38)</f>
        <v>45523</v>
      </c>
      <c r="KEP38" s="340">
        <v>0</v>
      </c>
      <c r="KEQ38" s="320">
        <f t="shared" ref="KEQ38" si="3596">IF(KER38&gt;=1,(KEP38/KEN38),0)</f>
        <v>0</v>
      </c>
      <c r="KER38" s="292"/>
      <c r="KES38" s="259" t="s">
        <v>55</v>
      </c>
      <c r="KET38" s="256" t="s">
        <v>76</v>
      </c>
      <c r="KEU38" s="256" t="s">
        <v>77</v>
      </c>
      <c r="KEV38" s="256" t="s">
        <v>78</v>
      </c>
      <c r="KEW38" s="256" t="s">
        <v>79</v>
      </c>
      <c r="KEX38" s="256" t="s">
        <v>80</v>
      </c>
      <c r="KEY38" s="256" t="s">
        <v>81</v>
      </c>
      <c r="KEZ38" s="331"/>
      <c r="KFA38" s="290">
        <v>45492</v>
      </c>
      <c r="KFB38" s="339" t="s">
        <v>141</v>
      </c>
      <c r="KFC38" s="305"/>
      <c r="KFD38" s="305">
        <v>1</v>
      </c>
      <c r="KFE38" s="304">
        <f t="shared" ref="KFE38" si="3597">EDATE(KFA38,KFD38)</f>
        <v>45523</v>
      </c>
      <c r="KFF38" s="340">
        <v>0</v>
      </c>
      <c r="KFG38" s="320">
        <f t="shared" ref="KFG38" si="3598">IF(KFH38&gt;=1,(KFF38/KFD38),0)</f>
        <v>0</v>
      </c>
      <c r="KFH38" s="292"/>
      <c r="KFI38" s="259" t="s">
        <v>55</v>
      </c>
      <c r="KFJ38" s="256" t="s">
        <v>76</v>
      </c>
      <c r="KFK38" s="256" t="s">
        <v>77</v>
      </c>
      <c r="KFL38" s="256" t="s">
        <v>78</v>
      </c>
      <c r="KFM38" s="256" t="s">
        <v>79</v>
      </c>
      <c r="KFN38" s="256" t="s">
        <v>80</v>
      </c>
      <c r="KFO38" s="256" t="s">
        <v>81</v>
      </c>
      <c r="KFP38" s="331"/>
      <c r="KFQ38" s="290">
        <v>45492</v>
      </c>
      <c r="KFR38" s="339" t="s">
        <v>141</v>
      </c>
      <c r="KFS38" s="305"/>
      <c r="KFT38" s="305">
        <v>1</v>
      </c>
      <c r="KFU38" s="304">
        <f t="shared" ref="KFU38" si="3599">EDATE(KFQ38,KFT38)</f>
        <v>45523</v>
      </c>
      <c r="KFV38" s="340">
        <v>0</v>
      </c>
      <c r="KFW38" s="320">
        <f t="shared" ref="KFW38" si="3600">IF(KFX38&gt;=1,(KFV38/KFT38),0)</f>
        <v>0</v>
      </c>
      <c r="KFX38" s="292"/>
      <c r="KFY38" s="259" t="s">
        <v>55</v>
      </c>
      <c r="KFZ38" s="256" t="s">
        <v>76</v>
      </c>
      <c r="KGA38" s="256" t="s">
        <v>77</v>
      </c>
      <c r="KGB38" s="256" t="s">
        <v>78</v>
      </c>
      <c r="KGC38" s="256" t="s">
        <v>79</v>
      </c>
      <c r="KGD38" s="256" t="s">
        <v>80</v>
      </c>
      <c r="KGE38" s="256" t="s">
        <v>81</v>
      </c>
      <c r="KGF38" s="331"/>
      <c r="KGG38" s="290">
        <v>45492</v>
      </c>
      <c r="KGH38" s="339" t="s">
        <v>141</v>
      </c>
      <c r="KGI38" s="305"/>
      <c r="KGJ38" s="305">
        <v>1</v>
      </c>
      <c r="KGK38" s="304">
        <f t="shared" ref="KGK38" si="3601">EDATE(KGG38,KGJ38)</f>
        <v>45523</v>
      </c>
      <c r="KGL38" s="340">
        <v>0</v>
      </c>
      <c r="KGM38" s="320">
        <f t="shared" ref="KGM38" si="3602">IF(KGN38&gt;=1,(KGL38/KGJ38),0)</f>
        <v>0</v>
      </c>
      <c r="KGN38" s="292"/>
      <c r="KGO38" s="259" t="s">
        <v>55</v>
      </c>
      <c r="KGP38" s="256" t="s">
        <v>76</v>
      </c>
      <c r="KGQ38" s="256" t="s">
        <v>77</v>
      </c>
      <c r="KGR38" s="256" t="s">
        <v>78</v>
      </c>
      <c r="KGS38" s="256" t="s">
        <v>79</v>
      </c>
      <c r="KGT38" s="256" t="s">
        <v>80</v>
      </c>
      <c r="KGU38" s="256" t="s">
        <v>81</v>
      </c>
      <c r="KGV38" s="331"/>
      <c r="KGW38" s="290">
        <v>45492</v>
      </c>
      <c r="KGX38" s="339" t="s">
        <v>141</v>
      </c>
      <c r="KGY38" s="305"/>
      <c r="KGZ38" s="305">
        <v>1</v>
      </c>
      <c r="KHA38" s="304">
        <f t="shared" ref="KHA38" si="3603">EDATE(KGW38,KGZ38)</f>
        <v>45523</v>
      </c>
      <c r="KHB38" s="340">
        <v>0</v>
      </c>
      <c r="KHC38" s="320">
        <f t="shared" ref="KHC38" si="3604">IF(KHD38&gt;=1,(KHB38/KGZ38),0)</f>
        <v>0</v>
      </c>
      <c r="KHD38" s="292"/>
      <c r="KHE38" s="259" t="s">
        <v>55</v>
      </c>
      <c r="KHF38" s="256" t="s">
        <v>76</v>
      </c>
      <c r="KHG38" s="256" t="s">
        <v>77</v>
      </c>
      <c r="KHH38" s="256" t="s">
        <v>78</v>
      </c>
      <c r="KHI38" s="256" t="s">
        <v>79</v>
      </c>
      <c r="KHJ38" s="256" t="s">
        <v>80</v>
      </c>
      <c r="KHK38" s="256" t="s">
        <v>81</v>
      </c>
      <c r="KHL38" s="331"/>
      <c r="KHM38" s="290">
        <v>45492</v>
      </c>
      <c r="KHN38" s="339" t="s">
        <v>141</v>
      </c>
      <c r="KHO38" s="305"/>
      <c r="KHP38" s="305">
        <v>1</v>
      </c>
      <c r="KHQ38" s="304">
        <f t="shared" ref="KHQ38" si="3605">EDATE(KHM38,KHP38)</f>
        <v>45523</v>
      </c>
      <c r="KHR38" s="340">
        <v>0</v>
      </c>
      <c r="KHS38" s="320">
        <f t="shared" ref="KHS38" si="3606">IF(KHT38&gt;=1,(KHR38/KHP38),0)</f>
        <v>0</v>
      </c>
      <c r="KHT38" s="292"/>
      <c r="KHU38" s="259" t="s">
        <v>55</v>
      </c>
      <c r="KHV38" s="256" t="s">
        <v>76</v>
      </c>
      <c r="KHW38" s="256" t="s">
        <v>77</v>
      </c>
      <c r="KHX38" s="256" t="s">
        <v>78</v>
      </c>
      <c r="KHY38" s="256" t="s">
        <v>79</v>
      </c>
      <c r="KHZ38" s="256" t="s">
        <v>80</v>
      </c>
      <c r="KIA38" s="256" t="s">
        <v>81</v>
      </c>
      <c r="KIB38" s="331"/>
      <c r="KIC38" s="290">
        <v>45492</v>
      </c>
      <c r="KID38" s="339" t="s">
        <v>141</v>
      </c>
      <c r="KIE38" s="305"/>
      <c r="KIF38" s="305">
        <v>1</v>
      </c>
      <c r="KIG38" s="304">
        <f t="shared" ref="KIG38" si="3607">EDATE(KIC38,KIF38)</f>
        <v>45523</v>
      </c>
      <c r="KIH38" s="340">
        <v>0</v>
      </c>
      <c r="KII38" s="320">
        <f t="shared" ref="KII38" si="3608">IF(KIJ38&gt;=1,(KIH38/KIF38),0)</f>
        <v>0</v>
      </c>
      <c r="KIJ38" s="292"/>
      <c r="KIK38" s="259" t="s">
        <v>55</v>
      </c>
      <c r="KIL38" s="256" t="s">
        <v>76</v>
      </c>
      <c r="KIM38" s="256" t="s">
        <v>77</v>
      </c>
      <c r="KIN38" s="256" t="s">
        <v>78</v>
      </c>
      <c r="KIO38" s="256" t="s">
        <v>79</v>
      </c>
      <c r="KIP38" s="256" t="s">
        <v>80</v>
      </c>
      <c r="KIQ38" s="256" t="s">
        <v>81</v>
      </c>
      <c r="KIR38" s="331"/>
      <c r="KIS38" s="290">
        <v>45492</v>
      </c>
      <c r="KIT38" s="339" t="s">
        <v>141</v>
      </c>
      <c r="KIU38" s="305"/>
      <c r="KIV38" s="305">
        <v>1</v>
      </c>
      <c r="KIW38" s="304">
        <f t="shared" ref="KIW38" si="3609">EDATE(KIS38,KIV38)</f>
        <v>45523</v>
      </c>
      <c r="KIX38" s="340">
        <v>0</v>
      </c>
      <c r="KIY38" s="320">
        <f t="shared" ref="KIY38" si="3610">IF(KIZ38&gt;=1,(KIX38/KIV38),0)</f>
        <v>0</v>
      </c>
      <c r="KIZ38" s="292"/>
      <c r="KJA38" s="259" t="s">
        <v>55</v>
      </c>
      <c r="KJB38" s="256" t="s">
        <v>76</v>
      </c>
      <c r="KJC38" s="256" t="s">
        <v>77</v>
      </c>
      <c r="KJD38" s="256" t="s">
        <v>78</v>
      </c>
      <c r="KJE38" s="256" t="s">
        <v>79</v>
      </c>
      <c r="KJF38" s="256" t="s">
        <v>80</v>
      </c>
      <c r="KJG38" s="256" t="s">
        <v>81</v>
      </c>
      <c r="KJH38" s="331"/>
      <c r="KJI38" s="290">
        <v>45492</v>
      </c>
      <c r="KJJ38" s="339" t="s">
        <v>141</v>
      </c>
      <c r="KJK38" s="305"/>
      <c r="KJL38" s="305">
        <v>1</v>
      </c>
      <c r="KJM38" s="304">
        <f t="shared" ref="KJM38" si="3611">EDATE(KJI38,KJL38)</f>
        <v>45523</v>
      </c>
      <c r="KJN38" s="340">
        <v>0</v>
      </c>
      <c r="KJO38" s="320">
        <f t="shared" ref="KJO38" si="3612">IF(KJP38&gt;=1,(KJN38/KJL38),0)</f>
        <v>0</v>
      </c>
      <c r="KJP38" s="292"/>
      <c r="KJQ38" s="259" t="s">
        <v>55</v>
      </c>
      <c r="KJR38" s="256" t="s">
        <v>76</v>
      </c>
      <c r="KJS38" s="256" t="s">
        <v>77</v>
      </c>
      <c r="KJT38" s="256" t="s">
        <v>78</v>
      </c>
      <c r="KJU38" s="256" t="s">
        <v>79</v>
      </c>
      <c r="KJV38" s="256" t="s">
        <v>80</v>
      </c>
      <c r="KJW38" s="256" t="s">
        <v>81</v>
      </c>
      <c r="KJX38" s="331"/>
      <c r="KJY38" s="290">
        <v>45492</v>
      </c>
      <c r="KJZ38" s="339" t="s">
        <v>141</v>
      </c>
      <c r="KKA38" s="305"/>
      <c r="KKB38" s="305">
        <v>1</v>
      </c>
      <c r="KKC38" s="304">
        <f t="shared" ref="KKC38" si="3613">EDATE(KJY38,KKB38)</f>
        <v>45523</v>
      </c>
      <c r="KKD38" s="340">
        <v>0</v>
      </c>
      <c r="KKE38" s="320">
        <f t="shared" ref="KKE38" si="3614">IF(KKF38&gt;=1,(KKD38/KKB38),0)</f>
        <v>0</v>
      </c>
      <c r="KKF38" s="292"/>
      <c r="KKG38" s="259" t="s">
        <v>55</v>
      </c>
      <c r="KKH38" s="256" t="s">
        <v>76</v>
      </c>
      <c r="KKI38" s="256" t="s">
        <v>77</v>
      </c>
      <c r="KKJ38" s="256" t="s">
        <v>78</v>
      </c>
      <c r="KKK38" s="256" t="s">
        <v>79</v>
      </c>
      <c r="KKL38" s="256" t="s">
        <v>80</v>
      </c>
      <c r="KKM38" s="256" t="s">
        <v>81</v>
      </c>
      <c r="KKN38" s="331"/>
      <c r="KKO38" s="290">
        <v>45492</v>
      </c>
      <c r="KKP38" s="339" t="s">
        <v>141</v>
      </c>
      <c r="KKQ38" s="305"/>
      <c r="KKR38" s="305">
        <v>1</v>
      </c>
      <c r="KKS38" s="304">
        <f t="shared" ref="KKS38" si="3615">EDATE(KKO38,KKR38)</f>
        <v>45523</v>
      </c>
      <c r="KKT38" s="340">
        <v>0</v>
      </c>
      <c r="KKU38" s="320">
        <f t="shared" ref="KKU38" si="3616">IF(KKV38&gt;=1,(KKT38/KKR38),0)</f>
        <v>0</v>
      </c>
      <c r="KKV38" s="292"/>
      <c r="KKW38" s="259" t="s">
        <v>55</v>
      </c>
      <c r="KKX38" s="256" t="s">
        <v>76</v>
      </c>
      <c r="KKY38" s="256" t="s">
        <v>77</v>
      </c>
      <c r="KKZ38" s="256" t="s">
        <v>78</v>
      </c>
      <c r="KLA38" s="256" t="s">
        <v>79</v>
      </c>
      <c r="KLB38" s="256" t="s">
        <v>80</v>
      </c>
      <c r="KLC38" s="256" t="s">
        <v>81</v>
      </c>
      <c r="KLD38" s="331"/>
      <c r="KLE38" s="290">
        <v>45492</v>
      </c>
      <c r="KLF38" s="339" t="s">
        <v>141</v>
      </c>
      <c r="KLG38" s="305"/>
      <c r="KLH38" s="305">
        <v>1</v>
      </c>
      <c r="KLI38" s="304">
        <f t="shared" ref="KLI38" si="3617">EDATE(KLE38,KLH38)</f>
        <v>45523</v>
      </c>
      <c r="KLJ38" s="340">
        <v>0</v>
      </c>
      <c r="KLK38" s="320">
        <f t="shared" ref="KLK38" si="3618">IF(KLL38&gt;=1,(KLJ38/KLH38),0)</f>
        <v>0</v>
      </c>
      <c r="KLL38" s="292"/>
      <c r="KLM38" s="259" t="s">
        <v>55</v>
      </c>
      <c r="KLN38" s="256" t="s">
        <v>76</v>
      </c>
      <c r="KLO38" s="256" t="s">
        <v>77</v>
      </c>
      <c r="KLP38" s="256" t="s">
        <v>78</v>
      </c>
      <c r="KLQ38" s="256" t="s">
        <v>79</v>
      </c>
      <c r="KLR38" s="256" t="s">
        <v>80</v>
      </c>
      <c r="KLS38" s="256" t="s">
        <v>81</v>
      </c>
      <c r="KLT38" s="331"/>
      <c r="KLU38" s="290">
        <v>45492</v>
      </c>
      <c r="KLV38" s="339" t="s">
        <v>141</v>
      </c>
      <c r="KLW38" s="305"/>
      <c r="KLX38" s="305">
        <v>1</v>
      </c>
      <c r="KLY38" s="304">
        <f t="shared" ref="KLY38" si="3619">EDATE(KLU38,KLX38)</f>
        <v>45523</v>
      </c>
      <c r="KLZ38" s="340">
        <v>0</v>
      </c>
      <c r="KMA38" s="320">
        <f t="shared" ref="KMA38" si="3620">IF(KMB38&gt;=1,(KLZ38/KLX38),0)</f>
        <v>0</v>
      </c>
      <c r="KMB38" s="292"/>
      <c r="KMC38" s="259" t="s">
        <v>55</v>
      </c>
      <c r="KMD38" s="256" t="s">
        <v>76</v>
      </c>
      <c r="KME38" s="256" t="s">
        <v>77</v>
      </c>
      <c r="KMF38" s="256" t="s">
        <v>78</v>
      </c>
      <c r="KMG38" s="256" t="s">
        <v>79</v>
      </c>
      <c r="KMH38" s="256" t="s">
        <v>80</v>
      </c>
      <c r="KMI38" s="256" t="s">
        <v>81</v>
      </c>
      <c r="KMJ38" s="331"/>
      <c r="KMK38" s="290">
        <v>45492</v>
      </c>
      <c r="KML38" s="339" t="s">
        <v>141</v>
      </c>
      <c r="KMM38" s="305"/>
      <c r="KMN38" s="305">
        <v>1</v>
      </c>
      <c r="KMO38" s="304">
        <f t="shared" ref="KMO38" si="3621">EDATE(KMK38,KMN38)</f>
        <v>45523</v>
      </c>
      <c r="KMP38" s="340">
        <v>0</v>
      </c>
      <c r="KMQ38" s="320">
        <f t="shared" ref="KMQ38" si="3622">IF(KMR38&gt;=1,(KMP38/KMN38),0)</f>
        <v>0</v>
      </c>
      <c r="KMR38" s="292"/>
      <c r="KMS38" s="259" t="s">
        <v>55</v>
      </c>
      <c r="KMT38" s="256" t="s">
        <v>76</v>
      </c>
      <c r="KMU38" s="256" t="s">
        <v>77</v>
      </c>
      <c r="KMV38" s="256" t="s">
        <v>78</v>
      </c>
      <c r="KMW38" s="256" t="s">
        <v>79</v>
      </c>
      <c r="KMX38" s="256" t="s">
        <v>80</v>
      </c>
      <c r="KMY38" s="256" t="s">
        <v>81</v>
      </c>
      <c r="KMZ38" s="331"/>
      <c r="KNA38" s="290">
        <v>45492</v>
      </c>
      <c r="KNB38" s="339" t="s">
        <v>141</v>
      </c>
      <c r="KNC38" s="305"/>
      <c r="KND38" s="305">
        <v>1</v>
      </c>
      <c r="KNE38" s="304">
        <f t="shared" ref="KNE38" si="3623">EDATE(KNA38,KND38)</f>
        <v>45523</v>
      </c>
      <c r="KNF38" s="340">
        <v>0</v>
      </c>
      <c r="KNG38" s="320">
        <f t="shared" ref="KNG38" si="3624">IF(KNH38&gt;=1,(KNF38/KND38),0)</f>
        <v>0</v>
      </c>
      <c r="KNH38" s="292"/>
      <c r="KNI38" s="259" t="s">
        <v>55</v>
      </c>
      <c r="KNJ38" s="256" t="s">
        <v>76</v>
      </c>
      <c r="KNK38" s="256" t="s">
        <v>77</v>
      </c>
      <c r="KNL38" s="256" t="s">
        <v>78</v>
      </c>
      <c r="KNM38" s="256" t="s">
        <v>79</v>
      </c>
      <c r="KNN38" s="256" t="s">
        <v>80</v>
      </c>
      <c r="KNO38" s="256" t="s">
        <v>81</v>
      </c>
      <c r="KNP38" s="331"/>
      <c r="KNQ38" s="290">
        <v>45492</v>
      </c>
      <c r="KNR38" s="339" t="s">
        <v>141</v>
      </c>
      <c r="KNS38" s="305"/>
      <c r="KNT38" s="305">
        <v>1</v>
      </c>
      <c r="KNU38" s="304">
        <f t="shared" ref="KNU38" si="3625">EDATE(KNQ38,KNT38)</f>
        <v>45523</v>
      </c>
      <c r="KNV38" s="340">
        <v>0</v>
      </c>
      <c r="KNW38" s="320">
        <f t="shared" ref="KNW38" si="3626">IF(KNX38&gt;=1,(KNV38/KNT38),0)</f>
        <v>0</v>
      </c>
      <c r="KNX38" s="292"/>
      <c r="KNY38" s="259" t="s">
        <v>55</v>
      </c>
      <c r="KNZ38" s="256" t="s">
        <v>76</v>
      </c>
      <c r="KOA38" s="256" t="s">
        <v>77</v>
      </c>
      <c r="KOB38" s="256" t="s">
        <v>78</v>
      </c>
      <c r="KOC38" s="256" t="s">
        <v>79</v>
      </c>
      <c r="KOD38" s="256" t="s">
        <v>80</v>
      </c>
      <c r="KOE38" s="256" t="s">
        <v>81</v>
      </c>
      <c r="KOF38" s="331"/>
      <c r="KOG38" s="290">
        <v>45492</v>
      </c>
      <c r="KOH38" s="339" t="s">
        <v>141</v>
      </c>
      <c r="KOI38" s="305"/>
      <c r="KOJ38" s="305">
        <v>1</v>
      </c>
      <c r="KOK38" s="304">
        <f t="shared" ref="KOK38" si="3627">EDATE(KOG38,KOJ38)</f>
        <v>45523</v>
      </c>
      <c r="KOL38" s="340">
        <v>0</v>
      </c>
      <c r="KOM38" s="320">
        <f t="shared" ref="KOM38" si="3628">IF(KON38&gt;=1,(KOL38/KOJ38),0)</f>
        <v>0</v>
      </c>
      <c r="KON38" s="292"/>
      <c r="KOO38" s="259" t="s">
        <v>55</v>
      </c>
      <c r="KOP38" s="256" t="s">
        <v>76</v>
      </c>
      <c r="KOQ38" s="256" t="s">
        <v>77</v>
      </c>
      <c r="KOR38" s="256" t="s">
        <v>78</v>
      </c>
      <c r="KOS38" s="256" t="s">
        <v>79</v>
      </c>
      <c r="KOT38" s="256" t="s">
        <v>80</v>
      </c>
      <c r="KOU38" s="256" t="s">
        <v>81</v>
      </c>
      <c r="KOV38" s="331"/>
      <c r="KOW38" s="290">
        <v>45492</v>
      </c>
      <c r="KOX38" s="339" t="s">
        <v>141</v>
      </c>
      <c r="KOY38" s="305"/>
      <c r="KOZ38" s="305">
        <v>1</v>
      </c>
      <c r="KPA38" s="304">
        <f t="shared" ref="KPA38" si="3629">EDATE(KOW38,KOZ38)</f>
        <v>45523</v>
      </c>
      <c r="KPB38" s="340">
        <v>0</v>
      </c>
      <c r="KPC38" s="320">
        <f t="shared" ref="KPC38" si="3630">IF(KPD38&gt;=1,(KPB38/KOZ38),0)</f>
        <v>0</v>
      </c>
      <c r="KPD38" s="292"/>
      <c r="KPE38" s="259" t="s">
        <v>55</v>
      </c>
      <c r="KPF38" s="256" t="s">
        <v>76</v>
      </c>
      <c r="KPG38" s="256" t="s">
        <v>77</v>
      </c>
      <c r="KPH38" s="256" t="s">
        <v>78</v>
      </c>
      <c r="KPI38" s="256" t="s">
        <v>79</v>
      </c>
      <c r="KPJ38" s="256" t="s">
        <v>80</v>
      </c>
      <c r="KPK38" s="256" t="s">
        <v>81</v>
      </c>
      <c r="KPL38" s="331"/>
      <c r="KPM38" s="290">
        <v>45492</v>
      </c>
      <c r="KPN38" s="339" t="s">
        <v>141</v>
      </c>
      <c r="KPO38" s="305"/>
      <c r="KPP38" s="305">
        <v>1</v>
      </c>
      <c r="KPQ38" s="304">
        <f t="shared" ref="KPQ38" si="3631">EDATE(KPM38,KPP38)</f>
        <v>45523</v>
      </c>
      <c r="KPR38" s="340">
        <v>0</v>
      </c>
      <c r="KPS38" s="320">
        <f t="shared" ref="KPS38" si="3632">IF(KPT38&gt;=1,(KPR38/KPP38),0)</f>
        <v>0</v>
      </c>
      <c r="KPT38" s="292"/>
      <c r="KPU38" s="259" t="s">
        <v>55</v>
      </c>
      <c r="KPV38" s="256" t="s">
        <v>76</v>
      </c>
      <c r="KPW38" s="256" t="s">
        <v>77</v>
      </c>
      <c r="KPX38" s="256" t="s">
        <v>78</v>
      </c>
      <c r="KPY38" s="256" t="s">
        <v>79</v>
      </c>
      <c r="KPZ38" s="256" t="s">
        <v>80</v>
      </c>
      <c r="KQA38" s="256" t="s">
        <v>81</v>
      </c>
      <c r="KQB38" s="331"/>
      <c r="KQC38" s="290">
        <v>45492</v>
      </c>
      <c r="KQD38" s="339" t="s">
        <v>141</v>
      </c>
      <c r="KQE38" s="305"/>
      <c r="KQF38" s="305">
        <v>1</v>
      </c>
      <c r="KQG38" s="304">
        <f t="shared" ref="KQG38" si="3633">EDATE(KQC38,KQF38)</f>
        <v>45523</v>
      </c>
      <c r="KQH38" s="340">
        <v>0</v>
      </c>
      <c r="KQI38" s="320">
        <f t="shared" ref="KQI38" si="3634">IF(KQJ38&gt;=1,(KQH38/KQF38),0)</f>
        <v>0</v>
      </c>
      <c r="KQJ38" s="292"/>
      <c r="KQK38" s="259" t="s">
        <v>55</v>
      </c>
      <c r="KQL38" s="256" t="s">
        <v>76</v>
      </c>
      <c r="KQM38" s="256" t="s">
        <v>77</v>
      </c>
      <c r="KQN38" s="256" t="s">
        <v>78</v>
      </c>
      <c r="KQO38" s="256" t="s">
        <v>79</v>
      </c>
      <c r="KQP38" s="256" t="s">
        <v>80</v>
      </c>
      <c r="KQQ38" s="256" t="s">
        <v>81</v>
      </c>
      <c r="KQR38" s="331"/>
      <c r="KQS38" s="290">
        <v>45492</v>
      </c>
      <c r="KQT38" s="339" t="s">
        <v>141</v>
      </c>
      <c r="KQU38" s="305"/>
      <c r="KQV38" s="305">
        <v>1</v>
      </c>
      <c r="KQW38" s="304">
        <f t="shared" ref="KQW38" si="3635">EDATE(KQS38,KQV38)</f>
        <v>45523</v>
      </c>
      <c r="KQX38" s="340">
        <v>0</v>
      </c>
      <c r="KQY38" s="320">
        <f t="shared" ref="KQY38" si="3636">IF(KQZ38&gt;=1,(KQX38/KQV38),0)</f>
        <v>0</v>
      </c>
      <c r="KQZ38" s="292"/>
      <c r="KRA38" s="259" t="s">
        <v>55</v>
      </c>
      <c r="KRB38" s="256" t="s">
        <v>76</v>
      </c>
      <c r="KRC38" s="256" t="s">
        <v>77</v>
      </c>
      <c r="KRD38" s="256" t="s">
        <v>78</v>
      </c>
      <c r="KRE38" s="256" t="s">
        <v>79</v>
      </c>
      <c r="KRF38" s="256" t="s">
        <v>80</v>
      </c>
      <c r="KRG38" s="256" t="s">
        <v>81</v>
      </c>
      <c r="KRH38" s="331"/>
      <c r="KRI38" s="290">
        <v>45492</v>
      </c>
      <c r="KRJ38" s="339" t="s">
        <v>141</v>
      </c>
      <c r="KRK38" s="305"/>
      <c r="KRL38" s="305">
        <v>1</v>
      </c>
      <c r="KRM38" s="304">
        <f t="shared" ref="KRM38" si="3637">EDATE(KRI38,KRL38)</f>
        <v>45523</v>
      </c>
      <c r="KRN38" s="340">
        <v>0</v>
      </c>
      <c r="KRO38" s="320">
        <f t="shared" ref="KRO38" si="3638">IF(KRP38&gt;=1,(KRN38/KRL38),0)</f>
        <v>0</v>
      </c>
      <c r="KRP38" s="292"/>
      <c r="KRQ38" s="259" t="s">
        <v>55</v>
      </c>
      <c r="KRR38" s="256" t="s">
        <v>76</v>
      </c>
      <c r="KRS38" s="256" t="s">
        <v>77</v>
      </c>
      <c r="KRT38" s="256" t="s">
        <v>78</v>
      </c>
      <c r="KRU38" s="256" t="s">
        <v>79</v>
      </c>
      <c r="KRV38" s="256" t="s">
        <v>80</v>
      </c>
      <c r="KRW38" s="256" t="s">
        <v>81</v>
      </c>
      <c r="KRX38" s="331"/>
      <c r="KRY38" s="290">
        <v>45492</v>
      </c>
      <c r="KRZ38" s="339" t="s">
        <v>141</v>
      </c>
      <c r="KSA38" s="305"/>
      <c r="KSB38" s="305">
        <v>1</v>
      </c>
      <c r="KSC38" s="304">
        <f t="shared" ref="KSC38" si="3639">EDATE(KRY38,KSB38)</f>
        <v>45523</v>
      </c>
      <c r="KSD38" s="340">
        <v>0</v>
      </c>
      <c r="KSE38" s="320">
        <f t="shared" ref="KSE38" si="3640">IF(KSF38&gt;=1,(KSD38/KSB38),0)</f>
        <v>0</v>
      </c>
      <c r="KSF38" s="292"/>
      <c r="KSG38" s="259" t="s">
        <v>55</v>
      </c>
      <c r="KSH38" s="256" t="s">
        <v>76</v>
      </c>
      <c r="KSI38" s="256" t="s">
        <v>77</v>
      </c>
      <c r="KSJ38" s="256" t="s">
        <v>78</v>
      </c>
      <c r="KSK38" s="256" t="s">
        <v>79</v>
      </c>
      <c r="KSL38" s="256" t="s">
        <v>80</v>
      </c>
      <c r="KSM38" s="256" t="s">
        <v>81</v>
      </c>
      <c r="KSN38" s="331"/>
      <c r="KSO38" s="290">
        <v>45492</v>
      </c>
      <c r="KSP38" s="339" t="s">
        <v>141</v>
      </c>
      <c r="KSQ38" s="305"/>
      <c r="KSR38" s="305">
        <v>1</v>
      </c>
      <c r="KSS38" s="304">
        <f t="shared" ref="KSS38" si="3641">EDATE(KSO38,KSR38)</f>
        <v>45523</v>
      </c>
      <c r="KST38" s="340">
        <v>0</v>
      </c>
      <c r="KSU38" s="320">
        <f t="shared" ref="KSU38" si="3642">IF(KSV38&gt;=1,(KST38/KSR38),0)</f>
        <v>0</v>
      </c>
      <c r="KSV38" s="292"/>
      <c r="KSW38" s="259" t="s">
        <v>55</v>
      </c>
      <c r="KSX38" s="256" t="s">
        <v>76</v>
      </c>
      <c r="KSY38" s="256" t="s">
        <v>77</v>
      </c>
      <c r="KSZ38" s="256" t="s">
        <v>78</v>
      </c>
      <c r="KTA38" s="256" t="s">
        <v>79</v>
      </c>
      <c r="KTB38" s="256" t="s">
        <v>80</v>
      </c>
      <c r="KTC38" s="256" t="s">
        <v>81</v>
      </c>
      <c r="KTD38" s="331"/>
      <c r="KTE38" s="290">
        <v>45492</v>
      </c>
      <c r="KTF38" s="339" t="s">
        <v>141</v>
      </c>
      <c r="KTG38" s="305"/>
      <c r="KTH38" s="305">
        <v>1</v>
      </c>
      <c r="KTI38" s="304">
        <f t="shared" ref="KTI38" si="3643">EDATE(KTE38,KTH38)</f>
        <v>45523</v>
      </c>
      <c r="KTJ38" s="340">
        <v>0</v>
      </c>
      <c r="KTK38" s="320">
        <f t="shared" ref="KTK38" si="3644">IF(KTL38&gt;=1,(KTJ38/KTH38),0)</f>
        <v>0</v>
      </c>
      <c r="KTL38" s="292"/>
      <c r="KTM38" s="259" t="s">
        <v>55</v>
      </c>
      <c r="KTN38" s="256" t="s">
        <v>76</v>
      </c>
      <c r="KTO38" s="256" t="s">
        <v>77</v>
      </c>
      <c r="KTP38" s="256" t="s">
        <v>78</v>
      </c>
      <c r="KTQ38" s="256" t="s">
        <v>79</v>
      </c>
      <c r="KTR38" s="256" t="s">
        <v>80</v>
      </c>
      <c r="KTS38" s="256" t="s">
        <v>81</v>
      </c>
      <c r="KTT38" s="331"/>
      <c r="KTU38" s="290">
        <v>45492</v>
      </c>
      <c r="KTV38" s="339" t="s">
        <v>141</v>
      </c>
      <c r="KTW38" s="305"/>
      <c r="KTX38" s="305">
        <v>1</v>
      </c>
      <c r="KTY38" s="304">
        <f t="shared" ref="KTY38" si="3645">EDATE(KTU38,KTX38)</f>
        <v>45523</v>
      </c>
      <c r="KTZ38" s="340">
        <v>0</v>
      </c>
      <c r="KUA38" s="320">
        <f t="shared" ref="KUA38" si="3646">IF(KUB38&gt;=1,(KTZ38/KTX38),0)</f>
        <v>0</v>
      </c>
      <c r="KUB38" s="292"/>
      <c r="KUC38" s="259" t="s">
        <v>55</v>
      </c>
      <c r="KUD38" s="256" t="s">
        <v>76</v>
      </c>
      <c r="KUE38" s="256" t="s">
        <v>77</v>
      </c>
      <c r="KUF38" s="256" t="s">
        <v>78</v>
      </c>
      <c r="KUG38" s="256" t="s">
        <v>79</v>
      </c>
      <c r="KUH38" s="256" t="s">
        <v>80</v>
      </c>
      <c r="KUI38" s="256" t="s">
        <v>81</v>
      </c>
      <c r="KUJ38" s="331"/>
      <c r="KUK38" s="290">
        <v>45492</v>
      </c>
      <c r="KUL38" s="339" t="s">
        <v>141</v>
      </c>
      <c r="KUM38" s="305"/>
      <c r="KUN38" s="305">
        <v>1</v>
      </c>
      <c r="KUO38" s="304">
        <f t="shared" ref="KUO38" si="3647">EDATE(KUK38,KUN38)</f>
        <v>45523</v>
      </c>
      <c r="KUP38" s="340">
        <v>0</v>
      </c>
      <c r="KUQ38" s="320">
        <f t="shared" ref="KUQ38" si="3648">IF(KUR38&gt;=1,(KUP38/KUN38),0)</f>
        <v>0</v>
      </c>
      <c r="KUR38" s="292"/>
      <c r="KUS38" s="259" t="s">
        <v>55</v>
      </c>
      <c r="KUT38" s="256" t="s">
        <v>76</v>
      </c>
      <c r="KUU38" s="256" t="s">
        <v>77</v>
      </c>
      <c r="KUV38" s="256" t="s">
        <v>78</v>
      </c>
      <c r="KUW38" s="256" t="s">
        <v>79</v>
      </c>
      <c r="KUX38" s="256" t="s">
        <v>80</v>
      </c>
      <c r="KUY38" s="256" t="s">
        <v>81</v>
      </c>
      <c r="KUZ38" s="331"/>
      <c r="KVA38" s="290">
        <v>45492</v>
      </c>
      <c r="KVB38" s="339" t="s">
        <v>141</v>
      </c>
      <c r="KVC38" s="305"/>
      <c r="KVD38" s="305">
        <v>1</v>
      </c>
      <c r="KVE38" s="304">
        <f t="shared" ref="KVE38" si="3649">EDATE(KVA38,KVD38)</f>
        <v>45523</v>
      </c>
      <c r="KVF38" s="340">
        <v>0</v>
      </c>
      <c r="KVG38" s="320">
        <f t="shared" ref="KVG38" si="3650">IF(KVH38&gt;=1,(KVF38/KVD38),0)</f>
        <v>0</v>
      </c>
      <c r="KVH38" s="292"/>
      <c r="KVI38" s="259" t="s">
        <v>55</v>
      </c>
      <c r="KVJ38" s="256" t="s">
        <v>76</v>
      </c>
      <c r="KVK38" s="256" t="s">
        <v>77</v>
      </c>
      <c r="KVL38" s="256" t="s">
        <v>78</v>
      </c>
      <c r="KVM38" s="256" t="s">
        <v>79</v>
      </c>
      <c r="KVN38" s="256" t="s">
        <v>80</v>
      </c>
      <c r="KVO38" s="256" t="s">
        <v>81</v>
      </c>
      <c r="KVP38" s="331"/>
      <c r="KVQ38" s="290">
        <v>45492</v>
      </c>
      <c r="KVR38" s="339" t="s">
        <v>141</v>
      </c>
      <c r="KVS38" s="305"/>
      <c r="KVT38" s="305">
        <v>1</v>
      </c>
      <c r="KVU38" s="304">
        <f t="shared" ref="KVU38" si="3651">EDATE(KVQ38,KVT38)</f>
        <v>45523</v>
      </c>
      <c r="KVV38" s="340">
        <v>0</v>
      </c>
      <c r="KVW38" s="320">
        <f t="shared" ref="KVW38" si="3652">IF(KVX38&gt;=1,(KVV38/KVT38),0)</f>
        <v>0</v>
      </c>
      <c r="KVX38" s="292"/>
      <c r="KVY38" s="259" t="s">
        <v>55</v>
      </c>
      <c r="KVZ38" s="256" t="s">
        <v>76</v>
      </c>
      <c r="KWA38" s="256" t="s">
        <v>77</v>
      </c>
      <c r="KWB38" s="256" t="s">
        <v>78</v>
      </c>
      <c r="KWC38" s="256" t="s">
        <v>79</v>
      </c>
      <c r="KWD38" s="256" t="s">
        <v>80</v>
      </c>
      <c r="KWE38" s="256" t="s">
        <v>81</v>
      </c>
      <c r="KWF38" s="331"/>
      <c r="KWG38" s="290">
        <v>45492</v>
      </c>
      <c r="KWH38" s="339" t="s">
        <v>141</v>
      </c>
      <c r="KWI38" s="305"/>
      <c r="KWJ38" s="305">
        <v>1</v>
      </c>
      <c r="KWK38" s="304">
        <f t="shared" ref="KWK38" si="3653">EDATE(KWG38,KWJ38)</f>
        <v>45523</v>
      </c>
      <c r="KWL38" s="340">
        <v>0</v>
      </c>
      <c r="KWM38" s="320">
        <f t="shared" ref="KWM38" si="3654">IF(KWN38&gt;=1,(KWL38/KWJ38),0)</f>
        <v>0</v>
      </c>
      <c r="KWN38" s="292"/>
      <c r="KWO38" s="259" t="s">
        <v>55</v>
      </c>
      <c r="KWP38" s="256" t="s">
        <v>76</v>
      </c>
      <c r="KWQ38" s="256" t="s">
        <v>77</v>
      </c>
      <c r="KWR38" s="256" t="s">
        <v>78</v>
      </c>
      <c r="KWS38" s="256" t="s">
        <v>79</v>
      </c>
      <c r="KWT38" s="256" t="s">
        <v>80</v>
      </c>
      <c r="KWU38" s="256" t="s">
        <v>81</v>
      </c>
      <c r="KWV38" s="331"/>
      <c r="KWW38" s="290">
        <v>45492</v>
      </c>
      <c r="KWX38" s="339" t="s">
        <v>141</v>
      </c>
      <c r="KWY38" s="305"/>
      <c r="KWZ38" s="305">
        <v>1</v>
      </c>
      <c r="KXA38" s="304">
        <f t="shared" ref="KXA38" si="3655">EDATE(KWW38,KWZ38)</f>
        <v>45523</v>
      </c>
      <c r="KXB38" s="340">
        <v>0</v>
      </c>
      <c r="KXC38" s="320">
        <f t="shared" ref="KXC38" si="3656">IF(KXD38&gt;=1,(KXB38/KWZ38),0)</f>
        <v>0</v>
      </c>
      <c r="KXD38" s="292"/>
      <c r="KXE38" s="259" t="s">
        <v>55</v>
      </c>
      <c r="KXF38" s="256" t="s">
        <v>76</v>
      </c>
      <c r="KXG38" s="256" t="s">
        <v>77</v>
      </c>
      <c r="KXH38" s="256" t="s">
        <v>78</v>
      </c>
      <c r="KXI38" s="256" t="s">
        <v>79</v>
      </c>
      <c r="KXJ38" s="256" t="s">
        <v>80</v>
      </c>
      <c r="KXK38" s="256" t="s">
        <v>81</v>
      </c>
      <c r="KXL38" s="331"/>
      <c r="KXM38" s="290">
        <v>45492</v>
      </c>
      <c r="KXN38" s="339" t="s">
        <v>141</v>
      </c>
      <c r="KXO38" s="305"/>
      <c r="KXP38" s="305">
        <v>1</v>
      </c>
      <c r="KXQ38" s="304">
        <f t="shared" ref="KXQ38" si="3657">EDATE(KXM38,KXP38)</f>
        <v>45523</v>
      </c>
      <c r="KXR38" s="340">
        <v>0</v>
      </c>
      <c r="KXS38" s="320">
        <f t="shared" ref="KXS38" si="3658">IF(KXT38&gt;=1,(KXR38/KXP38),0)</f>
        <v>0</v>
      </c>
      <c r="KXT38" s="292"/>
      <c r="KXU38" s="259" t="s">
        <v>55</v>
      </c>
      <c r="KXV38" s="256" t="s">
        <v>76</v>
      </c>
      <c r="KXW38" s="256" t="s">
        <v>77</v>
      </c>
      <c r="KXX38" s="256" t="s">
        <v>78</v>
      </c>
      <c r="KXY38" s="256" t="s">
        <v>79</v>
      </c>
      <c r="KXZ38" s="256" t="s">
        <v>80</v>
      </c>
      <c r="KYA38" s="256" t="s">
        <v>81</v>
      </c>
      <c r="KYB38" s="331"/>
      <c r="KYC38" s="290">
        <v>45492</v>
      </c>
      <c r="KYD38" s="339" t="s">
        <v>141</v>
      </c>
      <c r="KYE38" s="305"/>
      <c r="KYF38" s="305">
        <v>1</v>
      </c>
      <c r="KYG38" s="304">
        <f t="shared" ref="KYG38" si="3659">EDATE(KYC38,KYF38)</f>
        <v>45523</v>
      </c>
      <c r="KYH38" s="340">
        <v>0</v>
      </c>
      <c r="KYI38" s="320">
        <f t="shared" ref="KYI38" si="3660">IF(KYJ38&gt;=1,(KYH38/KYF38),0)</f>
        <v>0</v>
      </c>
      <c r="KYJ38" s="292"/>
      <c r="KYK38" s="259" t="s">
        <v>55</v>
      </c>
      <c r="KYL38" s="256" t="s">
        <v>76</v>
      </c>
      <c r="KYM38" s="256" t="s">
        <v>77</v>
      </c>
      <c r="KYN38" s="256" t="s">
        <v>78</v>
      </c>
      <c r="KYO38" s="256" t="s">
        <v>79</v>
      </c>
      <c r="KYP38" s="256" t="s">
        <v>80</v>
      </c>
      <c r="KYQ38" s="256" t="s">
        <v>81</v>
      </c>
      <c r="KYR38" s="331"/>
      <c r="KYS38" s="290">
        <v>45492</v>
      </c>
      <c r="KYT38" s="339" t="s">
        <v>141</v>
      </c>
      <c r="KYU38" s="305"/>
      <c r="KYV38" s="305">
        <v>1</v>
      </c>
      <c r="KYW38" s="304">
        <f t="shared" ref="KYW38" si="3661">EDATE(KYS38,KYV38)</f>
        <v>45523</v>
      </c>
      <c r="KYX38" s="340">
        <v>0</v>
      </c>
      <c r="KYY38" s="320">
        <f t="shared" ref="KYY38" si="3662">IF(KYZ38&gt;=1,(KYX38/KYV38),0)</f>
        <v>0</v>
      </c>
      <c r="KYZ38" s="292"/>
      <c r="KZA38" s="259" t="s">
        <v>55</v>
      </c>
      <c r="KZB38" s="256" t="s">
        <v>76</v>
      </c>
      <c r="KZC38" s="256" t="s">
        <v>77</v>
      </c>
      <c r="KZD38" s="256" t="s">
        <v>78</v>
      </c>
      <c r="KZE38" s="256" t="s">
        <v>79</v>
      </c>
      <c r="KZF38" s="256" t="s">
        <v>80</v>
      </c>
      <c r="KZG38" s="256" t="s">
        <v>81</v>
      </c>
      <c r="KZH38" s="331"/>
      <c r="KZI38" s="290">
        <v>45492</v>
      </c>
      <c r="KZJ38" s="339" t="s">
        <v>141</v>
      </c>
      <c r="KZK38" s="305"/>
      <c r="KZL38" s="305">
        <v>1</v>
      </c>
      <c r="KZM38" s="304">
        <f t="shared" ref="KZM38" si="3663">EDATE(KZI38,KZL38)</f>
        <v>45523</v>
      </c>
      <c r="KZN38" s="340">
        <v>0</v>
      </c>
      <c r="KZO38" s="320">
        <f t="shared" ref="KZO38" si="3664">IF(KZP38&gt;=1,(KZN38/KZL38),0)</f>
        <v>0</v>
      </c>
      <c r="KZP38" s="292"/>
      <c r="KZQ38" s="259" t="s">
        <v>55</v>
      </c>
      <c r="KZR38" s="256" t="s">
        <v>76</v>
      </c>
      <c r="KZS38" s="256" t="s">
        <v>77</v>
      </c>
      <c r="KZT38" s="256" t="s">
        <v>78</v>
      </c>
      <c r="KZU38" s="256" t="s">
        <v>79</v>
      </c>
      <c r="KZV38" s="256" t="s">
        <v>80</v>
      </c>
      <c r="KZW38" s="256" t="s">
        <v>81</v>
      </c>
      <c r="KZX38" s="331"/>
      <c r="KZY38" s="290">
        <v>45492</v>
      </c>
      <c r="KZZ38" s="339" t="s">
        <v>141</v>
      </c>
      <c r="LAA38" s="305"/>
      <c r="LAB38" s="305">
        <v>1</v>
      </c>
      <c r="LAC38" s="304">
        <f t="shared" ref="LAC38" si="3665">EDATE(KZY38,LAB38)</f>
        <v>45523</v>
      </c>
      <c r="LAD38" s="340">
        <v>0</v>
      </c>
      <c r="LAE38" s="320">
        <f t="shared" ref="LAE38" si="3666">IF(LAF38&gt;=1,(LAD38/LAB38),0)</f>
        <v>0</v>
      </c>
      <c r="LAF38" s="292"/>
      <c r="LAG38" s="259" t="s">
        <v>55</v>
      </c>
      <c r="LAH38" s="256" t="s">
        <v>76</v>
      </c>
      <c r="LAI38" s="256" t="s">
        <v>77</v>
      </c>
      <c r="LAJ38" s="256" t="s">
        <v>78</v>
      </c>
      <c r="LAK38" s="256" t="s">
        <v>79</v>
      </c>
      <c r="LAL38" s="256" t="s">
        <v>80</v>
      </c>
      <c r="LAM38" s="256" t="s">
        <v>81</v>
      </c>
      <c r="LAN38" s="331"/>
      <c r="LAO38" s="290">
        <v>45492</v>
      </c>
      <c r="LAP38" s="339" t="s">
        <v>141</v>
      </c>
      <c r="LAQ38" s="305"/>
      <c r="LAR38" s="305">
        <v>1</v>
      </c>
      <c r="LAS38" s="304">
        <f t="shared" ref="LAS38" si="3667">EDATE(LAO38,LAR38)</f>
        <v>45523</v>
      </c>
      <c r="LAT38" s="340">
        <v>0</v>
      </c>
      <c r="LAU38" s="320">
        <f t="shared" ref="LAU38" si="3668">IF(LAV38&gt;=1,(LAT38/LAR38),0)</f>
        <v>0</v>
      </c>
      <c r="LAV38" s="292"/>
      <c r="LAW38" s="259" t="s">
        <v>55</v>
      </c>
      <c r="LAX38" s="256" t="s">
        <v>76</v>
      </c>
      <c r="LAY38" s="256" t="s">
        <v>77</v>
      </c>
      <c r="LAZ38" s="256" t="s">
        <v>78</v>
      </c>
      <c r="LBA38" s="256" t="s">
        <v>79</v>
      </c>
      <c r="LBB38" s="256" t="s">
        <v>80</v>
      </c>
      <c r="LBC38" s="256" t="s">
        <v>81</v>
      </c>
      <c r="LBD38" s="331"/>
      <c r="LBE38" s="290">
        <v>45492</v>
      </c>
      <c r="LBF38" s="339" t="s">
        <v>141</v>
      </c>
      <c r="LBG38" s="305"/>
      <c r="LBH38" s="305">
        <v>1</v>
      </c>
      <c r="LBI38" s="304">
        <f t="shared" ref="LBI38" si="3669">EDATE(LBE38,LBH38)</f>
        <v>45523</v>
      </c>
      <c r="LBJ38" s="340">
        <v>0</v>
      </c>
      <c r="LBK38" s="320">
        <f t="shared" ref="LBK38" si="3670">IF(LBL38&gt;=1,(LBJ38/LBH38),0)</f>
        <v>0</v>
      </c>
      <c r="LBL38" s="292"/>
      <c r="LBM38" s="259" t="s">
        <v>55</v>
      </c>
      <c r="LBN38" s="256" t="s">
        <v>76</v>
      </c>
      <c r="LBO38" s="256" t="s">
        <v>77</v>
      </c>
      <c r="LBP38" s="256" t="s">
        <v>78</v>
      </c>
      <c r="LBQ38" s="256" t="s">
        <v>79</v>
      </c>
      <c r="LBR38" s="256" t="s">
        <v>80</v>
      </c>
      <c r="LBS38" s="256" t="s">
        <v>81</v>
      </c>
      <c r="LBT38" s="331"/>
      <c r="LBU38" s="290">
        <v>45492</v>
      </c>
      <c r="LBV38" s="339" t="s">
        <v>141</v>
      </c>
      <c r="LBW38" s="305"/>
      <c r="LBX38" s="305">
        <v>1</v>
      </c>
      <c r="LBY38" s="304">
        <f t="shared" ref="LBY38" si="3671">EDATE(LBU38,LBX38)</f>
        <v>45523</v>
      </c>
      <c r="LBZ38" s="340">
        <v>0</v>
      </c>
      <c r="LCA38" s="320">
        <f t="shared" ref="LCA38" si="3672">IF(LCB38&gt;=1,(LBZ38/LBX38),0)</f>
        <v>0</v>
      </c>
      <c r="LCB38" s="292"/>
      <c r="LCC38" s="259" t="s">
        <v>55</v>
      </c>
      <c r="LCD38" s="256" t="s">
        <v>76</v>
      </c>
      <c r="LCE38" s="256" t="s">
        <v>77</v>
      </c>
      <c r="LCF38" s="256" t="s">
        <v>78</v>
      </c>
      <c r="LCG38" s="256" t="s">
        <v>79</v>
      </c>
      <c r="LCH38" s="256" t="s">
        <v>80</v>
      </c>
      <c r="LCI38" s="256" t="s">
        <v>81</v>
      </c>
      <c r="LCJ38" s="331"/>
      <c r="LCK38" s="290">
        <v>45492</v>
      </c>
      <c r="LCL38" s="339" t="s">
        <v>141</v>
      </c>
      <c r="LCM38" s="305"/>
      <c r="LCN38" s="305">
        <v>1</v>
      </c>
      <c r="LCO38" s="304">
        <f t="shared" ref="LCO38" si="3673">EDATE(LCK38,LCN38)</f>
        <v>45523</v>
      </c>
      <c r="LCP38" s="340">
        <v>0</v>
      </c>
      <c r="LCQ38" s="320">
        <f t="shared" ref="LCQ38" si="3674">IF(LCR38&gt;=1,(LCP38/LCN38),0)</f>
        <v>0</v>
      </c>
      <c r="LCR38" s="292"/>
      <c r="LCS38" s="259" t="s">
        <v>55</v>
      </c>
      <c r="LCT38" s="256" t="s">
        <v>76</v>
      </c>
      <c r="LCU38" s="256" t="s">
        <v>77</v>
      </c>
      <c r="LCV38" s="256" t="s">
        <v>78</v>
      </c>
      <c r="LCW38" s="256" t="s">
        <v>79</v>
      </c>
      <c r="LCX38" s="256" t="s">
        <v>80</v>
      </c>
      <c r="LCY38" s="256" t="s">
        <v>81</v>
      </c>
      <c r="LCZ38" s="331"/>
      <c r="LDA38" s="290">
        <v>45492</v>
      </c>
      <c r="LDB38" s="339" t="s">
        <v>141</v>
      </c>
      <c r="LDC38" s="305"/>
      <c r="LDD38" s="305">
        <v>1</v>
      </c>
      <c r="LDE38" s="304">
        <f t="shared" ref="LDE38" si="3675">EDATE(LDA38,LDD38)</f>
        <v>45523</v>
      </c>
      <c r="LDF38" s="340">
        <v>0</v>
      </c>
      <c r="LDG38" s="320">
        <f t="shared" ref="LDG38" si="3676">IF(LDH38&gt;=1,(LDF38/LDD38),0)</f>
        <v>0</v>
      </c>
      <c r="LDH38" s="292"/>
      <c r="LDI38" s="259" t="s">
        <v>55</v>
      </c>
      <c r="LDJ38" s="256" t="s">
        <v>76</v>
      </c>
      <c r="LDK38" s="256" t="s">
        <v>77</v>
      </c>
      <c r="LDL38" s="256" t="s">
        <v>78</v>
      </c>
      <c r="LDM38" s="256" t="s">
        <v>79</v>
      </c>
      <c r="LDN38" s="256" t="s">
        <v>80</v>
      </c>
      <c r="LDO38" s="256" t="s">
        <v>81</v>
      </c>
      <c r="LDP38" s="331"/>
      <c r="LDQ38" s="290">
        <v>45492</v>
      </c>
      <c r="LDR38" s="339" t="s">
        <v>141</v>
      </c>
      <c r="LDS38" s="305"/>
      <c r="LDT38" s="305">
        <v>1</v>
      </c>
      <c r="LDU38" s="304">
        <f t="shared" ref="LDU38" si="3677">EDATE(LDQ38,LDT38)</f>
        <v>45523</v>
      </c>
      <c r="LDV38" s="340">
        <v>0</v>
      </c>
      <c r="LDW38" s="320">
        <f t="shared" ref="LDW38" si="3678">IF(LDX38&gt;=1,(LDV38/LDT38),0)</f>
        <v>0</v>
      </c>
      <c r="LDX38" s="292"/>
      <c r="LDY38" s="259" t="s">
        <v>55</v>
      </c>
      <c r="LDZ38" s="256" t="s">
        <v>76</v>
      </c>
      <c r="LEA38" s="256" t="s">
        <v>77</v>
      </c>
      <c r="LEB38" s="256" t="s">
        <v>78</v>
      </c>
      <c r="LEC38" s="256" t="s">
        <v>79</v>
      </c>
      <c r="LED38" s="256" t="s">
        <v>80</v>
      </c>
      <c r="LEE38" s="256" t="s">
        <v>81</v>
      </c>
      <c r="LEF38" s="331"/>
      <c r="LEG38" s="290">
        <v>45492</v>
      </c>
      <c r="LEH38" s="339" t="s">
        <v>141</v>
      </c>
      <c r="LEI38" s="305"/>
      <c r="LEJ38" s="305">
        <v>1</v>
      </c>
      <c r="LEK38" s="304">
        <f t="shared" ref="LEK38" si="3679">EDATE(LEG38,LEJ38)</f>
        <v>45523</v>
      </c>
      <c r="LEL38" s="340">
        <v>0</v>
      </c>
      <c r="LEM38" s="320">
        <f t="shared" ref="LEM38" si="3680">IF(LEN38&gt;=1,(LEL38/LEJ38),0)</f>
        <v>0</v>
      </c>
      <c r="LEN38" s="292"/>
      <c r="LEO38" s="259" t="s">
        <v>55</v>
      </c>
      <c r="LEP38" s="256" t="s">
        <v>76</v>
      </c>
      <c r="LEQ38" s="256" t="s">
        <v>77</v>
      </c>
      <c r="LER38" s="256" t="s">
        <v>78</v>
      </c>
      <c r="LES38" s="256" t="s">
        <v>79</v>
      </c>
      <c r="LET38" s="256" t="s">
        <v>80</v>
      </c>
      <c r="LEU38" s="256" t="s">
        <v>81</v>
      </c>
      <c r="LEV38" s="331"/>
      <c r="LEW38" s="290">
        <v>45492</v>
      </c>
      <c r="LEX38" s="339" t="s">
        <v>141</v>
      </c>
      <c r="LEY38" s="305"/>
      <c r="LEZ38" s="305">
        <v>1</v>
      </c>
      <c r="LFA38" s="304">
        <f t="shared" ref="LFA38" si="3681">EDATE(LEW38,LEZ38)</f>
        <v>45523</v>
      </c>
      <c r="LFB38" s="340">
        <v>0</v>
      </c>
      <c r="LFC38" s="320">
        <f t="shared" ref="LFC38" si="3682">IF(LFD38&gt;=1,(LFB38/LEZ38),0)</f>
        <v>0</v>
      </c>
      <c r="LFD38" s="292"/>
      <c r="LFE38" s="259" t="s">
        <v>55</v>
      </c>
      <c r="LFF38" s="256" t="s">
        <v>76</v>
      </c>
      <c r="LFG38" s="256" t="s">
        <v>77</v>
      </c>
      <c r="LFH38" s="256" t="s">
        <v>78</v>
      </c>
      <c r="LFI38" s="256" t="s">
        <v>79</v>
      </c>
      <c r="LFJ38" s="256" t="s">
        <v>80</v>
      </c>
      <c r="LFK38" s="256" t="s">
        <v>81</v>
      </c>
      <c r="LFL38" s="331"/>
      <c r="LFM38" s="290">
        <v>45492</v>
      </c>
      <c r="LFN38" s="339" t="s">
        <v>141</v>
      </c>
      <c r="LFO38" s="305"/>
      <c r="LFP38" s="305">
        <v>1</v>
      </c>
      <c r="LFQ38" s="304">
        <f t="shared" ref="LFQ38" si="3683">EDATE(LFM38,LFP38)</f>
        <v>45523</v>
      </c>
      <c r="LFR38" s="340">
        <v>0</v>
      </c>
      <c r="LFS38" s="320">
        <f t="shared" ref="LFS38" si="3684">IF(LFT38&gt;=1,(LFR38/LFP38),0)</f>
        <v>0</v>
      </c>
      <c r="LFT38" s="292"/>
      <c r="LFU38" s="259" t="s">
        <v>55</v>
      </c>
      <c r="LFV38" s="256" t="s">
        <v>76</v>
      </c>
      <c r="LFW38" s="256" t="s">
        <v>77</v>
      </c>
      <c r="LFX38" s="256" t="s">
        <v>78</v>
      </c>
      <c r="LFY38" s="256" t="s">
        <v>79</v>
      </c>
      <c r="LFZ38" s="256" t="s">
        <v>80</v>
      </c>
      <c r="LGA38" s="256" t="s">
        <v>81</v>
      </c>
      <c r="LGB38" s="331"/>
      <c r="LGC38" s="290">
        <v>45492</v>
      </c>
      <c r="LGD38" s="339" t="s">
        <v>141</v>
      </c>
      <c r="LGE38" s="305"/>
      <c r="LGF38" s="305">
        <v>1</v>
      </c>
      <c r="LGG38" s="304">
        <f t="shared" ref="LGG38" si="3685">EDATE(LGC38,LGF38)</f>
        <v>45523</v>
      </c>
      <c r="LGH38" s="340">
        <v>0</v>
      </c>
      <c r="LGI38" s="320">
        <f t="shared" ref="LGI38" si="3686">IF(LGJ38&gt;=1,(LGH38/LGF38),0)</f>
        <v>0</v>
      </c>
      <c r="LGJ38" s="292"/>
      <c r="LGK38" s="259" t="s">
        <v>55</v>
      </c>
      <c r="LGL38" s="256" t="s">
        <v>76</v>
      </c>
      <c r="LGM38" s="256" t="s">
        <v>77</v>
      </c>
      <c r="LGN38" s="256" t="s">
        <v>78</v>
      </c>
      <c r="LGO38" s="256" t="s">
        <v>79</v>
      </c>
      <c r="LGP38" s="256" t="s">
        <v>80</v>
      </c>
      <c r="LGQ38" s="256" t="s">
        <v>81</v>
      </c>
      <c r="LGR38" s="331"/>
      <c r="LGS38" s="290">
        <v>45492</v>
      </c>
      <c r="LGT38" s="339" t="s">
        <v>141</v>
      </c>
      <c r="LGU38" s="305"/>
      <c r="LGV38" s="305">
        <v>1</v>
      </c>
      <c r="LGW38" s="304">
        <f t="shared" ref="LGW38" si="3687">EDATE(LGS38,LGV38)</f>
        <v>45523</v>
      </c>
      <c r="LGX38" s="340">
        <v>0</v>
      </c>
      <c r="LGY38" s="320">
        <f t="shared" ref="LGY38" si="3688">IF(LGZ38&gt;=1,(LGX38/LGV38),0)</f>
        <v>0</v>
      </c>
      <c r="LGZ38" s="292"/>
      <c r="LHA38" s="259" t="s">
        <v>55</v>
      </c>
      <c r="LHB38" s="256" t="s">
        <v>76</v>
      </c>
      <c r="LHC38" s="256" t="s">
        <v>77</v>
      </c>
      <c r="LHD38" s="256" t="s">
        <v>78</v>
      </c>
      <c r="LHE38" s="256" t="s">
        <v>79</v>
      </c>
      <c r="LHF38" s="256" t="s">
        <v>80</v>
      </c>
      <c r="LHG38" s="256" t="s">
        <v>81</v>
      </c>
      <c r="LHH38" s="331"/>
      <c r="LHI38" s="290">
        <v>45492</v>
      </c>
      <c r="LHJ38" s="339" t="s">
        <v>141</v>
      </c>
      <c r="LHK38" s="305"/>
      <c r="LHL38" s="305">
        <v>1</v>
      </c>
      <c r="LHM38" s="304">
        <f t="shared" ref="LHM38" si="3689">EDATE(LHI38,LHL38)</f>
        <v>45523</v>
      </c>
      <c r="LHN38" s="340">
        <v>0</v>
      </c>
      <c r="LHO38" s="320">
        <f t="shared" ref="LHO38" si="3690">IF(LHP38&gt;=1,(LHN38/LHL38),0)</f>
        <v>0</v>
      </c>
      <c r="LHP38" s="292"/>
      <c r="LHQ38" s="259" t="s">
        <v>55</v>
      </c>
      <c r="LHR38" s="256" t="s">
        <v>76</v>
      </c>
      <c r="LHS38" s="256" t="s">
        <v>77</v>
      </c>
      <c r="LHT38" s="256" t="s">
        <v>78</v>
      </c>
      <c r="LHU38" s="256" t="s">
        <v>79</v>
      </c>
      <c r="LHV38" s="256" t="s">
        <v>80</v>
      </c>
      <c r="LHW38" s="256" t="s">
        <v>81</v>
      </c>
      <c r="LHX38" s="331"/>
      <c r="LHY38" s="290">
        <v>45492</v>
      </c>
      <c r="LHZ38" s="339" t="s">
        <v>141</v>
      </c>
      <c r="LIA38" s="305"/>
      <c r="LIB38" s="305">
        <v>1</v>
      </c>
      <c r="LIC38" s="304">
        <f t="shared" ref="LIC38" si="3691">EDATE(LHY38,LIB38)</f>
        <v>45523</v>
      </c>
      <c r="LID38" s="340">
        <v>0</v>
      </c>
      <c r="LIE38" s="320">
        <f t="shared" ref="LIE38" si="3692">IF(LIF38&gt;=1,(LID38/LIB38),0)</f>
        <v>0</v>
      </c>
      <c r="LIF38" s="292"/>
      <c r="LIG38" s="259" t="s">
        <v>55</v>
      </c>
      <c r="LIH38" s="256" t="s">
        <v>76</v>
      </c>
      <c r="LII38" s="256" t="s">
        <v>77</v>
      </c>
      <c r="LIJ38" s="256" t="s">
        <v>78</v>
      </c>
      <c r="LIK38" s="256" t="s">
        <v>79</v>
      </c>
      <c r="LIL38" s="256" t="s">
        <v>80</v>
      </c>
      <c r="LIM38" s="256" t="s">
        <v>81</v>
      </c>
      <c r="LIN38" s="331"/>
      <c r="LIO38" s="290">
        <v>45492</v>
      </c>
      <c r="LIP38" s="339" t="s">
        <v>141</v>
      </c>
      <c r="LIQ38" s="305"/>
      <c r="LIR38" s="305">
        <v>1</v>
      </c>
      <c r="LIS38" s="304">
        <f t="shared" ref="LIS38" si="3693">EDATE(LIO38,LIR38)</f>
        <v>45523</v>
      </c>
      <c r="LIT38" s="340">
        <v>0</v>
      </c>
      <c r="LIU38" s="320">
        <f t="shared" ref="LIU38" si="3694">IF(LIV38&gt;=1,(LIT38/LIR38),0)</f>
        <v>0</v>
      </c>
      <c r="LIV38" s="292"/>
      <c r="LIW38" s="259" t="s">
        <v>55</v>
      </c>
      <c r="LIX38" s="256" t="s">
        <v>76</v>
      </c>
      <c r="LIY38" s="256" t="s">
        <v>77</v>
      </c>
      <c r="LIZ38" s="256" t="s">
        <v>78</v>
      </c>
      <c r="LJA38" s="256" t="s">
        <v>79</v>
      </c>
      <c r="LJB38" s="256" t="s">
        <v>80</v>
      </c>
      <c r="LJC38" s="256" t="s">
        <v>81</v>
      </c>
      <c r="LJD38" s="331"/>
      <c r="LJE38" s="290">
        <v>45492</v>
      </c>
      <c r="LJF38" s="339" t="s">
        <v>141</v>
      </c>
      <c r="LJG38" s="305"/>
      <c r="LJH38" s="305">
        <v>1</v>
      </c>
      <c r="LJI38" s="304">
        <f t="shared" ref="LJI38" si="3695">EDATE(LJE38,LJH38)</f>
        <v>45523</v>
      </c>
      <c r="LJJ38" s="340">
        <v>0</v>
      </c>
      <c r="LJK38" s="320">
        <f t="shared" ref="LJK38" si="3696">IF(LJL38&gt;=1,(LJJ38/LJH38),0)</f>
        <v>0</v>
      </c>
      <c r="LJL38" s="292"/>
      <c r="LJM38" s="259" t="s">
        <v>55</v>
      </c>
      <c r="LJN38" s="256" t="s">
        <v>76</v>
      </c>
      <c r="LJO38" s="256" t="s">
        <v>77</v>
      </c>
      <c r="LJP38" s="256" t="s">
        <v>78</v>
      </c>
      <c r="LJQ38" s="256" t="s">
        <v>79</v>
      </c>
      <c r="LJR38" s="256" t="s">
        <v>80</v>
      </c>
      <c r="LJS38" s="256" t="s">
        <v>81</v>
      </c>
      <c r="LJT38" s="331"/>
      <c r="LJU38" s="290">
        <v>45492</v>
      </c>
      <c r="LJV38" s="339" t="s">
        <v>141</v>
      </c>
      <c r="LJW38" s="305"/>
      <c r="LJX38" s="305">
        <v>1</v>
      </c>
      <c r="LJY38" s="304">
        <f t="shared" ref="LJY38" si="3697">EDATE(LJU38,LJX38)</f>
        <v>45523</v>
      </c>
      <c r="LJZ38" s="340">
        <v>0</v>
      </c>
      <c r="LKA38" s="320">
        <f t="shared" ref="LKA38" si="3698">IF(LKB38&gt;=1,(LJZ38/LJX38),0)</f>
        <v>0</v>
      </c>
      <c r="LKB38" s="292"/>
      <c r="LKC38" s="259" t="s">
        <v>55</v>
      </c>
      <c r="LKD38" s="256" t="s">
        <v>76</v>
      </c>
      <c r="LKE38" s="256" t="s">
        <v>77</v>
      </c>
      <c r="LKF38" s="256" t="s">
        <v>78</v>
      </c>
      <c r="LKG38" s="256" t="s">
        <v>79</v>
      </c>
      <c r="LKH38" s="256" t="s">
        <v>80</v>
      </c>
      <c r="LKI38" s="256" t="s">
        <v>81</v>
      </c>
      <c r="LKJ38" s="331"/>
      <c r="LKK38" s="290">
        <v>45492</v>
      </c>
      <c r="LKL38" s="339" t="s">
        <v>141</v>
      </c>
      <c r="LKM38" s="305"/>
      <c r="LKN38" s="305">
        <v>1</v>
      </c>
      <c r="LKO38" s="304">
        <f t="shared" ref="LKO38" si="3699">EDATE(LKK38,LKN38)</f>
        <v>45523</v>
      </c>
      <c r="LKP38" s="340">
        <v>0</v>
      </c>
      <c r="LKQ38" s="320">
        <f t="shared" ref="LKQ38" si="3700">IF(LKR38&gt;=1,(LKP38/LKN38),0)</f>
        <v>0</v>
      </c>
      <c r="LKR38" s="292"/>
      <c r="LKS38" s="259" t="s">
        <v>55</v>
      </c>
      <c r="LKT38" s="256" t="s">
        <v>76</v>
      </c>
      <c r="LKU38" s="256" t="s">
        <v>77</v>
      </c>
      <c r="LKV38" s="256" t="s">
        <v>78</v>
      </c>
      <c r="LKW38" s="256" t="s">
        <v>79</v>
      </c>
      <c r="LKX38" s="256" t="s">
        <v>80</v>
      </c>
      <c r="LKY38" s="256" t="s">
        <v>81</v>
      </c>
      <c r="LKZ38" s="331"/>
      <c r="LLA38" s="290">
        <v>45492</v>
      </c>
      <c r="LLB38" s="339" t="s">
        <v>141</v>
      </c>
      <c r="LLC38" s="305"/>
      <c r="LLD38" s="305">
        <v>1</v>
      </c>
      <c r="LLE38" s="304">
        <f t="shared" ref="LLE38" si="3701">EDATE(LLA38,LLD38)</f>
        <v>45523</v>
      </c>
      <c r="LLF38" s="340">
        <v>0</v>
      </c>
      <c r="LLG38" s="320">
        <f t="shared" ref="LLG38" si="3702">IF(LLH38&gt;=1,(LLF38/LLD38),0)</f>
        <v>0</v>
      </c>
      <c r="LLH38" s="292"/>
      <c r="LLI38" s="259" t="s">
        <v>55</v>
      </c>
      <c r="LLJ38" s="256" t="s">
        <v>76</v>
      </c>
      <c r="LLK38" s="256" t="s">
        <v>77</v>
      </c>
      <c r="LLL38" s="256" t="s">
        <v>78</v>
      </c>
      <c r="LLM38" s="256" t="s">
        <v>79</v>
      </c>
      <c r="LLN38" s="256" t="s">
        <v>80</v>
      </c>
      <c r="LLO38" s="256" t="s">
        <v>81</v>
      </c>
      <c r="LLP38" s="331"/>
      <c r="LLQ38" s="290">
        <v>45492</v>
      </c>
      <c r="LLR38" s="339" t="s">
        <v>141</v>
      </c>
      <c r="LLS38" s="305"/>
      <c r="LLT38" s="305">
        <v>1</v>
      </c>
      <c r="LLU38" s="304">
        <f t="shared" ref="LLU38" si="3703">EDATE(LLQ38,LLT38)</f>
        <v>45523</v>
      </c>
      <c r="LLV38" s="340">
        <v>0</v>
      </c>
      <c r="LLW38" s="320">
        <f t="shared" ref="LLW38" si="3704">IF(LLX38&gt;=1,(LLV38/LLT38),0)</f>
        <v>0</v>
      </c>
      <c r="LLX38" s="292"/>
      <c r="LLY38" s="259" t="s">
        <v>55</v>
      </c>
      <c r="LLZ38" s="256" t="s">
        <v>76</v>
      </c>
      <c r="LMA38" s="256" t="s">
        <v>77</v>
      </c>
      <c r="LMB38" s="256" t="s">
        <v>78</v>
      </c>
      <c r="LMC38" s="256" t="s">
        <v>79</v>
      </c>
      <c r="LMD38" s="256" t="s">
        <v>80</v>
      </c>
      <c r="LME38" s="256" t="s">
        <v>81</v>
      </c>
      <c r="LMF38" s="331"/>
      <c r="LMG38" s="290">
        <v>45492</v>
      </c>
      <c r="LMH38" s="339" t="s">
        <v>141</v>
      </c>
      <c r="LMI38" s="305"/>
      <c r="LMJ38" s="305">
        <v>1</v>
      </c>
      <c r="LMK38" s="304">
        <f t="shared" ref="LMK38" si="3705">EDATE(LMG38,LMJ38)</f>
        <v>45523</v>
      </c>
      <c r="LML38" s="340">
        <v>0</v>
      </c>
      <c r="LMM38" s="320">
        <f t="shared" ref="LMM38" si="3706">IF(LMN38&gt;=1,(LML38/LMJ38),0)</f>
        <v>0</v>
      </c>
      <c r="LMN38" s="292"/>
      <c r="LMO38" s="259" t="s">
        <v>55</v>
      </c>
      <c r="LMP38" s="256" t="s">
        <v>76</v>
      </c>
      <c r="LMQ38" s="256" t="s">
        <v>77</v>
      </c>
      <c r="LMR38" s="256" t="s">
        <v>78</v>
      </c>
      <c r="LMS38" s="256" t="s">
        <v>79</v>
      </c>
      <c r="LMT38" s="256" t="s">
        <v>80</v>
      </c>
      <c r="LMU38" s="256" t="s">
        <v>81</v>
      </c>
      <c r="LMV38" s="331"/>
      <c r="LMW38" s="290">
        <v>45492</v>
      </c>
      <c r="LMX38" s="339" t="s">
        <v>141</v>
      </c>
      <c r="LMY38" s="305"/>
      <c r="LMZ38" s="305">
        <v>1</v>
      </c>
      <c r="LNA38" s="304">
        <f t="shared" ref="LNA38" si="3707">EDATE(LMW38,LMZ38)</f>
        <v>45523</v>
      </c>
      <c r="LNB38" s="340">
        <v>0</v>
      </c>
      <c r="LNC38" s="320">
        <f t="shared" ref="LNC38" si="3708">IF(LND38&gt;=1,(LNB38/LMZ38),0)</f>
        <v>0</v>
      </c>
      <c r="LND38" s="292"/>
      <c r="LNE38" s="259" t="s">
        <v>55</v>
      </c>
      <c r="LNF38" s="256" t="s">
        <v>76</v>
      </c>
      <c r="LNG38" s="256" t="s">
        <v>77</v>
      </c>
      <c r="LNH38" s="256" t="s">
        <v>78</v>
      </c>
      <c r="LNI38" s="256" t="s">
        <v>79</v>
      </c>
      <c r="LNJ38" s="256" t="s">
        <v>80</v>
      </c>
      <c r="LNK38" s="256" t="s">
        <v>81</v>
      </c>
      <c r="LNL38" s="331"/>
      <c r="LNM38" s="290">
        <v>45492</v>
      </c>
      <c r="LNN38" s="339" t="s">
        <v>141</v>
      </c>
      <c r="LNO38" s="305"/>
      <c r="LNP38" s="305">
        <v>1</v>
      </c>
      <c r="LNQ38" s="304">
        <f t="shared" ref="LNQ38" si="3709">EDATE(LNM38,LNP38)</f>
        <v>45523</v>
      </c>
      <c r="LNR38" s="340">
        <v>0</v>
      </c>
      <c r="LNS38" s="320">
        <f t="shared" ref="LNS38" si="3710">IF(LNT38&gt;=1,(LNR38/LNP38),0)</f>
        <v>0</v>
      </c>
      <c r="LNT38" s="292"/>
      <c r="LNU38" s="259" t="s">
        <v>55</v>
      </c>
      <c r="LNV38" s="256" t="s">
        <v>76</v>
      </c>
      <c r="LNW38" s="256" t="s">
        <v>77</v>
      </c>
      <c r="LNX38" s="256" t="s">
        <v>78</v>
      </c>
      <c r="LNY38" s="256" t="s">
        <v>79</v>
      </c>
      <c r="LNZ38" s="256" t="s">
        <v>80</v>
      </c>
      <c r="LOA38" s="256" t="s">
        <v>81</v>
      </c>
      <c r="LOB38" s="331"/>
      <c r="LOC38" s="290">
        <v>45492</v>
      </c>
      <c r="LOD38" s="339" t="s">
        <v>141</v>
      </c>
      <c r="LOE38" s="305"/>
      <c r="LOF38" s="305">
        <v>1</v>
      </c>
      <c r="LOG38" s="304">
        <f t="shared" ref="LOG38" si="3711">EDATE(LOC38,LOF38)</f>
        <v>45523</v>
      </c>
      <c r="LOH38" s="340">
        <v>0</v>
      </c>
      <c r="LOI38" s="320">
        <f t="shared" ref="LOI38" si="3712">IF(LOJ38&gt;=1,(LOH38/LOF38),0)</f>
        <v>0</v>
      </c>
      <c r="LOJ38" s="292"/>
      <c r="LOK38" s="259" t="s">
        <v>55</v>
      </c>
      <c r="LOL38" s="256" t="s">
        <v>76</v>
      </c>
      <c r="LOM38" s="256" t="s">
        <v>77</v>
      </c>
      <c r="LON38" s="256" t="s">
        <v>78</v>
      </c>
      <c r="LOO38" s="256" t="s">
        <v>79</v>
      </c>
      <c r="LOP38" s="256" t="s">
        <v>80</v>
      </c>
      <c r="LOQ38" s="256" t="s">
        <v>81</v>
      </c>
      <c r="LOR38" s="331"/>
      <c r="LOS38" s="290">
        <v>45492</v>
      </c>
      <c r="LOT38" s="339" t="s">
        <v>141</v>
      </c>
      <c r="LOU38" s="305"/>
      <c r="LOV38" s="305">
        <v>1</v>
      </c>
      <c r="LOW38" s="304">
        <f t="shared" ref="LOW38" si="3713">EDATE(LOS38,LOV38)</f>
        <v>45523</v>
      </c>
      <c r="LOX38" s="340">
        <v>0</v>
      </c>
      <c r="LOY38" s="320">
        <f t="shared" ref="LOY38" si="3714">IF(LOZ38&gt;=1,(LOX38/LOV38),0)</f>
        <v>0</v>
      </c>
      <c r="LOZ38" s="292"/>
      <c r="LPA38" s="259" t="s">
        <v>55</v>
      </c>
      <c r="LPB38" s="256" t="s">
        <v>76</v>
      </c>
      <c r="LPC38" s="256" t="s">
        <v>77</v>
      </c>
      <c r="LPD38" s="256" t="s">
        <v>78</v>
      </c>
      <c r="LPE38" s="256" t="s">
        <v>79</v>
      </c>
      <c r="LPF38" s="256" t="s">
        <v>80</v>
      </c>
      <c r="LPG38" s="256" t="s">
        <v>81</v>
      </c>
      <c r="LPH38" s="331"/>
      <c r="LPI38" s="290">
        <v>45492</v>
      </c>
      <c r="LPJ38" s="339" t="s">
        <v>141</v>
      </c>
      <c r="LPK38" s="305"/>
      <c r="LPL38" s="305">
        <v>1</v>
      </c>
      <c r="LPM38" s="304">
        <f t="shared" ref="LPM38" si="3715">EDATE(LPI38,LPL38)</f>
        <v>45523</v>
      </c>
      <c r="LPN38" s="340">
        <v>0</v>
      </c>
      <c r="LPO38" s="320">
        <f t="shared" ref="LPO38" si="3716">IF(LPP38&gt;=1,(LPN38/LPL38),0)</f>
        <v>0</v>
      </c>
      <c r="LPP38" s="292"/>
      <c r="LPQ38" s="259" t="s">
        <v>55</v>
      </c>
      <c r="LPR38" s="256" t="s">
        <v>76</v>
      </c>
      <c r="LPS38" s="256" t="s">
        <v>77</v>
      </c>
      <c r="LPT38" s="256" t="s">
        <v>78</v>
      </c>
      <c r="LPU38" s="256" t="s">
        <v>79</v>
      </c>
      <c r="LPV38" s="256" t="s">
        <v>80</v>
      </c>
      <c r="LPW38" s="256" t="s">
        <v>81</v>
      </c>
      <c r="LPX38" s="331"/>
      <c r="LPY38" s="290">
        <v>45492</v>
      </c>
      <c r="LPZ38" s="339" t="s">
        <v>141</v>
      </c>
      <c r="LQA38" s="305"/>
      <c r="LQB38" s="305">
        <v>1</v>
      </c>
      <c r="LQC38" s="304">
        <f t="shared" ref="LQC38" si="3717">EDATE(LPY38,LQB38)</f>
        <v>45523</v>
      </c>
      <c r="LQD38" s="340">
        <v>0</v>
      </c>
      <c r="LQE38" s="320">
        <f t="shared" ref="LQE38" si="3718">IF(LQF38&gt;=1,(LQD38/LQB38),0)</f>
        <v>0</v>
      </c>
      <c r="LQF38" s="292"/>
      <c r="LQG38" s="259" t="s">
        <v>55</v>
      </c>
      <c r="LQH38" s="256" t="s">
        <v>76</v>
      </c>
      <c r="LQI38" s="256" t="s">
        <v>77</v>
      </c>
      <c r="LQJ38" s="256" t="s">
        <v>78</v>
      </c>
      <c r="LQK38" s="256" t="s">
        <v>79</v>
      </c>
      <c r="LQL38" s="256" t="s">
        <v>80</v>
      </c>
      <c r="LQM38" s="256" t="s">
        <v>81</v>
      </c>
      <c r="LQN38" s="331"/>
      <c r="LQO38" s="290">
        <v>45492</v>
      </c>
      <c r="LQP38" s="339" t="s">
        <v>141</v>
      </c>
      <c r="LQQ38" s="305"/>
      <c r="LQR38" s="305">
        <v>1</v>
      </c>
      <c r="LQS38" s="304">
        <f t="shared" ref="LQS38" si="3719">EDATE(LQO38,LQR38)</f>
        <v>45523</v>
      </c>
      <c r="LQT38" s="340">
        <v>0</v>
      </c>
      <c r="LQU38" s="320">
        <f t="shared" ref="LQU38" si="3720">IF(LQV38&gt;=1,(LQT38/LQR38),0)</f>
        <v>0</v>
      </c>
      <c r="LQV38" s="292"/>
      <c r="LQW38" s="259" t="s">
        <v>55</v>
      </c>
      <c r="LQX38" s="256" t="s">
        <v>76</v>
      </c>
      <c r="LQY38" s="256" t="s">
        <v>77</v>
      </c>
      <c r="LQZ38" s="256" t="s">
        <v>78</v>
      </c>
      <c r="LRA38" s="256" t="s">
        <v>79</v>
      </c>
      <c r="LRB38" s="256" t="s">
        <v>80</v>
      </c>
      <c r="LRC38" s="256" t="s">
        <v>81</v>
      </c>
      <c r="LRD38" s="331"/>
      <c r="LRE38" s="290">
        <v>45492</v>
      </c>
      <c r="LRF38" s="339" t="s">
        <v>141</v>
      </c>
      <c r="LRG38" s="305"/>
      <c r="LRH38" s="305">
        <v>1</v>
      </c>
      <c r="LRI38" s="304">
        <f t="shared" ref="LRI38" si="3721">EDATE(LRE38,LRH38)</f>
        <v>45523</v>
      </c>
      <c r="LRJ38" s="340">
        <v>0</v>
      </c>
      <c r="LRK38" s="320">
        <f t="shared" ref="LRK38" si="3722">IF(LRL38&gt;=1,(LRJ38/LRH38),0)</f>
        <v>0</v>
      </c>
      <c r="LRL38" s="292"/>
      <c r="LRM38" s="259" t="s">
        <v>55</v>
      </c>
      <c r="LRN38" s="256" t="s">
        <v>76</v>
      </c>
      <c r="LRO38" s="256" t="s">
        <v>77</v>
      </c>
      <c r="LRP38" s="256" t="s">
        <v>78</v>
      </c>
      <c r="LRQ38" s="256" t="s">
        <v>79</v>
      </c>
      <c r="LRR38" s="256" t="s">
        <v>80</v>
      </c>
      <c r="LRS38" s="256" t="s">
        <v>81</v>
      </c>
      <c r="LRT38" s="331"/>
      <c r="LRU38" s="290">
        <v>45492</v>
      </c>
      <c r="LRV38" s="339" t="s">
        <v>141</v>
      </c>
      <c r="LRW38" s="305"/>
      <c r="LRX38" s="305">
        <v>1</v>
      </c>
      <c r="LRY38" s="304">
        <f t="shared" ref="LRY38" si="3723">EDATE(LRU38,LRX38)</f>
        <v>45523</v>
      </c>
      <c r="LRZ38" s="340">
        <v>0</v>
      </c>
      <c r="LSA38" s="320">
        <f t="shared" ref="LSA38" si="3724">IF(LSB38&gt;=1,(LRZ38/LRX38),0)</f>
        <v>0</v>
      </c>
      <c r="LSB38" s="292"/>
      <c r="LSC38" s="259" t="s">
        <v>55</v>
      </c>
      <c r="LSD38" s="256" t="s">
        <v>76</v>
      </c>
      <c r="LSE38" s="256" t="s">
        <v>77</v>
      </c>
      <c r="LSF38" s="256" t="s">
        <v>78</v>
      </c>
      <c r="LSG38" s="256" t="s">
        <v>79</v>
      </c>
      <c r="LSH38" s="256" t="s">
        <v>80</v>
      </c>
      <c r="LSI38" s="256" t="s">
        <v>81</v>
      </c>
      <c r="LSJ38" s="331"/>
      <c r="LSK38" s="290">
        <v>45492</v>
      </c>
      <c r="LSL38" s="339" t="s">
        <v>141</v>
      </c>
      <c r="LSM38" s="305"/>
      <c r="LSN38" s="305">
        <v>1</v>
      </c>
      <c r="LSO38" s="304">
        <f t="shared" ref="LSO38" si="3725">EDATE(LSK38,LSN38)</f>
        <v>45523</v>
      </c>
      <c r="LSP38" s="340">
        <v>0</v>
      </c>
      <c r="LSQ38" s="320">
        <f t="shared" ref="LSQ38" si="3726">IF(LSR38&gt;=1,(LSP38/LSN38),0)</f>
        <v>0</v>
      </c>
      <c r="LSR38" s="292"/>
      <c r="LSS38" s="259" t="s">
        <v>55</v>
      </c>
      <c r="LST38" s="256" t="s">
        <v>76</v>
      </c>
      <c r="LSU38" s="256" t="s">
        <v>77</v>
      </c>
      <c r="LSV38" s="256" t="s">
        <v>78</v>
      </c>
      <c r="LSW38" s="256" t="s">
        <v>79</v>
      </c>
      <c r="LSX38" s="256" t="s">
        <v>80</v>
      </c>
      <c r="LSY38" s="256" t="s">
        <v>81</v>
      </c>
      <c r="LSZ38" s="331"/>
      <c r="LTA38" s="290">
        <v>45492</v>
      </c>
      <c r="LTB38" s="339" t="s">
        <v>141</v>
      </c>
      <c r="LTC38" s="305"/>
      <c r="LTD38" s="305">
        <v>1</v>
      </c>
      <c r="LTE38" s="304">
        <f t="shared" ref="LTE38" si="3727">EDATE(LTA38,LTD38)</f>
        <v>45523</v>
      </c>
      <c r="LTF38" s="340">
        <v>0</v>
      </c>
      <c r="LTG38" s="320">
        <f t="shared" ref="LTG38" si="3728">IF(LTH38&gt;=1,(LTF38/LTD38),0)</f>
        <v>0</v>
      </c>
      <c r="LTH38" s="292"/>
      <c r="LTI38" s="259" t="s">
        <v>55</v>
      </c>
      <c r="LTJ38" s="256" t="s">
        <v>76</v>
      </c>
      <c r="LTK38" s="256" t="s">
        <v>77</v>
      </c>
      <c r="LTL38" s="256" t="s">
        <v>78</v>
      </c>
      <c r="LTM38" s="256" t="s">
        <v>79</v>
      </c>
      <c r="LTN38" s="256" t="s">
        <v>80</v>
      </c>
      <c r="LTO38" s="256" t="s">
        <v>81</v>
      </c>
      <c r="LTP38" s="331"/>
      <c r="LTQ38" s="290">
        <v>45492</v>
      </c>
      <c r="LTR38" s="339" t="s">
        <v>141</v>
      </c>
      <c r="LTS38" s="305"/>
      <c r="LTT38" s="305">
        <v>1</v>
      </c>
      <c r="LTU38" s="304">
        <f t="shared" ref="LTU38" si="3729">EDATE(LTQ38,LTT38)</f>
        <v>45523</v>
      </c>
      <c r="LTV38" s="340">
        <v>0</v>
      </c>
      <c r="LTW38" s="320">
        <f t="shared" ref="LTW38" si="3730">IF(LTX38&gt;=1,(LTV38/LTT38),0)</f>
        <v>0</v>
      </c>
      <c r="LTX38" s="292"/>
      <c r="LTY38" s="259" t="s">
        <v>55</v>
      </c>
      <c r="LTZ38" s="256" t="s">
        <v>76</v>
      </c>
      <c r="LUA38" s="256" t="s">
        <v>77</v>
      </c>
      <c r="LUB38" s="256" t="s">
        <v>78</v>
      </c>
      <c r="LUC38" s="256" t="s">
        <v>79</v>
      </c>
      <c r="LUD38" s="256" t="s">
        <v>80</v>
      </c>
      <c r="LUE38" s="256" t="s">
        <v>81</v>
      </c>
      <c r="LUF38" s="331"/>
      <c r="LUG38" s="290">
        <v>45492</v>
      </c>
      <c r="LUH38" s="339" t="s">
        <v>141</v>
      </c>
      <c r="LUI38" s="305"/>
      <c r="LUJ38" s="305">
        <v>1</v>
      </c>
      <c r="LUK38" s="304">
        <f t="shared" ref="LUK38" si="3731">EDATE(LUG38,LUJ38)</f>
        <v>45523</v>
      </c>
      <c r="LUL38" s="340">
        <v>0</v>
      </c>
      <c r="LUM38" s="320">
        <f t="shared" ref="LUM38" si="3732">IF(LUN38&gt;=1,(LUL38/LUJ38),0)</f>
        <v>0</v>
      </c>
      <c r="LUN38" s="292"/>
      <c r="LUO38" s="259" t="s">
        <v>55</v>
      </c>
      <c r="LUP38" s="256" t="s">
        <v>76</v>
      </c>
      <c r="LUQ38" s="256" t="s">
        <v>77</v>
      </c>
      <c r="LUR38" s="256" t="s">
        <v>78</v>
      </c>
      <c r="LUS38" s="256" t="s">
        <v>79</v>
      </c>
      <c r="LUT38" s="256" t="s">
        <v>80</v>
      </c>
      <c r="LUU38" s="256" t="s">
        <v>81</v>
      </c>
      <c r="LUV38" s="331"/>
      <c r="LUW38" s="290">
        <v>45492</v>
      </c>
      <c r="LUX38" s="339" t="s">
        <v>141</v>
      </c>
      <c r="LUY38" s="305"/>
      <c r="LUZ38" s="305">
        <v>1</v>
      </c>
      <c r="LVA38" s="304">
        <f t="shared" ref="LVA38" si="3733">EDATE(LUW38,LUZ38)</f>
        <v>45523</v>
      </c>
      <c r="LVB38" s="340">
        <v>0</v>
      </c>
      <c r="LVC38" s="320">
        <f t="shared" ref="LVC38" si="3734">IF(LVD38&gt;=1,(LVB38/LUZ38),0)</f>
        <v>0</v>
      </c>
      <c r="LVD38" s="292"/>
      <c r="LVE38" s="259" t="s">
        <v>55</v>
      </c>
      <c r="LVF38" s="256" t="s">
        <v>76</v>
      </c>
      <c r="LVG38" s="256" t="s">
        <v>77</v>
      </c>
      <c r="LVH38" s="256" t="s">
        <v>78</v>
      </c>
      <c r="LVI38" s="256" t="s">
        <v>79</v>
      </c>
      <c r="LVJ38" s="256" t="s">
        <v>80</v>
      </c>
      <c r="LVK38" s="256" t="s">
        <v>81</v>
      </c>
      <c r="LVL38" s="331"/>
      <c r="LVM38" s="290">
        <v>45492</v>
      </c>
      <c r="LVN38" s="339" t="s">
        <v>141</v>
      </c>
      <c r="LVO38" s="305"/>
      <c r="LVP38" s="305">
        <v>1</v>
      </c>
      <c r="LVQ38" s="304">
        <f t="shared" ref="LVQ38" si="3735">EDATE(LVM38,LVP38)</f>
        <v>45523</v>
      </c>
      <c r="LVR38" s="340">
        <v>0</v>
      </c>
      <c r="LVS38" s="320">
        <f t="shared" ref="LVS38" si="3736">IF(LVT38&gt;=1,(LVR38/LVP38),0)</f>
        <v>0</v>
      </c>
      <c r="LVT38" s="292"/>
      <c r="LVU38" s="259" t="s">
        <v>55</v>
      </c>
      <c r="LVV38" s="256" t="s">
        <v>76</v>
      </c>
      <c r="LVW38" s="256" t="s">
        <v>77</v>
      </c>
      <c r="LVX38" s="256" t="s">
        <v>78</v>
      </c>
      <c r="LVY38" s="256" t="s">
        <v>79</v>
      </c>
      <c r="LVZ38" s="256" t="s">
        <v>80</v>
      </c>
      <c r="LWA38" s="256" t="s">
        <v>81</v>
      </c>
      <c r="LWB38" s="331"/>
      <c r="LWC38" s="290">
        <v>45492</v>
      </c>
      <c r="LWD38" s="339" t="s">
        <v>141</v>
      </c>
      <c r="LWE38" s="305"/>
      <c r="LWF38" s="305">
        <v>1</v>
      </c>
      <c r="LWG38" s="304">
        <f t="shared" ref="LWG38" si="3737">EDATE(LWC38,LWF38)</f>
        <v>45523</v>
      </c>
      <c r="LWH38" s="340">
        <v>0</v>
      </c>
      <c r="LWI38" s="320">
        <f t="shared" ref="LWI38" si="3738">IF(LWJ38&gt;=1,(LWH38/LWF38),0)</f>
        <v>0</v>
      </c>
      <c r="LWJ38" s="292"/>
      <c r="LWK38" s="259" t="s">
        <v>55</v>
      </c>
      <c r="LWL38" s="256" t="s">
        <v>76</v>
      </c>
      <c r="LWM38" s="256" t="s">
        <v>77</v>
      </c>
      <c r="LWN38" s="256" t="s">
        <v>78</v>
      </c>
      <c r="LWO38" s="256" t="s">
        <v>79</v>
      </c>
      <c r="LWP38" s="256" t="s">
        <v>80</v>
      </c>
      <c r="LWQ38" s="256" t="s">
        <v>81</v>
      </c>
      <c r="LWR38" s="331"/>
      <c r="LWS38" s="290">
        <v>45492</v>
      </c>
      <c r="LWT38" s="339" t="s">
        <v>141</v>
      </c>
      <c r="LWU38" s="305"/>
      <c r="LWV38" s="305">
        <v>1</v>
      </c>
      <c r="LWW38" s="304">
        <f t="shared" ref="LWW38" si="3739">EDATE(LWS38,LWV38)</f>
        <v>45523</v>
      </c>
      <c r="LWX38" s="340">
        <v>0</v>
      </c>
      <c r="LWY38" s="320">
        <f t="shared" ref="LWY38" si="3740">IF(LWZ38&gt;=1,(LWX38/LWV38),0)</f>
        <v>0</v>
      </c>
      <c r="LWZ38" s="292"/>
      <c r="LXA38" s="259" t="s">
        <v>55</v>
      </c>
      <c r="LXB38" s="256" t="s">
        <v>76</v>
      </c>
      <c r="LXC38" s="256" t="s">
        <v>77</v>
      </c>
      <c r="LXD38" s="256" t="s">
        <v>78</v>
      </c>
      <c r="LXE38" s="256" t="s">
        <v>79</v>
      </c>
      <c r="LXF38" s="256" t="s">
        <v>80</v>
      </c>
      <c r="LXG38" s="256" t="s">
        <v>81</v>
      </c>
      <c r="LXH38" s="331"/>
      <c r="LXI38" s="290">
        <v>45492</v>
      </c>
      <c r="LXJ38" s="339" t="s">
        <v>141</v>
      </c>
      <c r="LXK38" s="305"/>
      <c r="LXL38" s="305">
        <v>1</v>
      </c>
      <c r="LXM38" s="304">
        <f t="shared" ref="LXM38" si="3741">EDATE(LXI38,LXL38)</f>
        <v>45523</v>
      </c>
      <c r="LXN38" s="340">
        <v>0</v>
      </c>
      <c r="LXO38" s="320">
        <f t="shared" ref="LXO38" si="3742">IF(LXP38&gt;=1,(LXN38/LXL38),0)</f>
        <v>0</v>
      </c>
      <c r="LXP38" s="292"/>
      <c r="LXQ38" s="259" t="s">
        <v>55</v>
      </c>
      <c r="LXR38" s="256" t="s">
        <v>76</v>
      </c>
      <c r="LXS38" s="256" t="s">
        <v>77</v>
      </c>
      <c r="LXT38" s="256" t="s">
        <v>78</v>
      </c>
      <c r="LXU38" s="256" t="s">
        <v>79</v>
      </c>
      <c r="LXV38" s="256" t="s">
        <v>80</v>
      </c>
      <c r="LXW38" s="256" t="s">
        <v>81</v>
      </c>
      <c r="LXX38" s="331"/>
      <c r="LXY38" s="290">
        <v>45492</v>
      </c>
      <c r="LXZ38" s="339" t="s">
        <v>141</v>
      </c>
      <c r="LYA38" s="305"/>
      <c r="LYB38" s="305">
        <v>1</v>
      </c>
      <c r="LYC38" s="304">
        <f t="shared" ref="LYC38" si="3743">EDATE(LXY38,LYB38)</f>
        <v>45523</v>
      </c>
      <c r="LYD38" s="340">
        <v>0</v>
      </c>
      <c r="LYE38" s="320">
        <f t="shared" ref="LYE38" si="3744">IF(LYF38&gt;=1,(LYD38/LYB38),0)</f>
        <v>0</v>
      </c>
      <c r="LYF38" s="292"/>
      <c r="LYG38" s="259" t="s">
        <v>55</v>
      </c>
      <c r="LYH38" s="256" t="s">
        <v>76</v>
      </c>
      <c r="LYI38" s="256" t="s">
        <v>77</v>
      </c>
      <c r="LYJ38" s="256" t="s">
        <v>78</v>
      </c>
      <c r="LYK38" s="256" t="s">
        <v>79</v>
      </c>
      <c r="LYL38" s="256" t="s">
        <v>80</v>
      </c>
      <c r="LYM38" s="256" t="s">
        <v>81</v>
      </c>
      <c r="LYN38" s="331"/>
      <c r="LYO38" s="290">
        <v>45492</v>
      </c>
      <c r="LYP38" s="339" t="s">
        <v>141</v>
      </c>
      <c r="LYQ38" s="305"/>
      <c r="LYR38" s="305">
        <v>1</v>
      </c>
      <c r="LYS38" s="304">
        <f t="shared" ref="LYS38" si="3745">EDATE(LYO38,LYR38)</f>
        <v>45523</v>
      </c>
      <c r="LYT38" s="340">
        <v>0</v>
      </c>
      <c r="LYU38" s="320">
        <f t="shared" ref="LYU38" si="3746">IF(LYV38&gt;=1,(LYT38/LYR38),0)</f>
        <v>0</v>
      </c>
      <c r="LYV38" s="292"/>
      <c r="LYW38" s="259" t="s">
        <v>55</v>
      </c>
      <c r="LYX38" s="256" t="s">
        <v>76</v>
      </c>
      <c r="LYY38" s="256" t="s">
        <v>77</v>
      </c>
      <c r="LYZ38" s="256" t="s">
        <v>78</v>
      </c>
      <c r="LZA38" s="256" t="s">
        <v>79</v>
      </c>
      <c r="LZB38" s="256" t="s">
        <v>80</v>
      </c>
      <c r="LZC38" s="256" t="s">
        <v>81</v>
      </c>
      <c r="LZD38" s="331"/>
      <c r="LZE38" s="290">
        <v>45492</v>
      </c>
      <c r="LZF38" s="339" t="s">
        <v>141</v>
      </c>
      <c r="LZG38" s="305"/>
      <c r="LZH38" s="305">
        <v>1</v>
      </c>
      <c r="LZI38" s="304">
        <f t="shared" ref="LZI38" si="3747">EDATE(LZE38,LZH38)</f>
        <v>45523</v>
      </c>
      <c r="LZJ38" s="340">
        <v>0</v>
      </c>
      <c r="LZK38" s="320">
        <f t="shared" ref="LZK38" si="3748">IF(LZL38&gt;=1,(LZJ38/LZH38),0)</f>
        <v>0</v>
      </c>
      <c r="LZL38" s="292"/>
      <c r="LZM38" s="259" t="s">
        <v>55</v>
      </c>
      <c r="LZN38" s="256" t="s">
        <v>76</v>
      </c>
      <c r="LZO38" s="256" t="s">
        <v>77</v>
      </c>
      <c r="LZP38" s="256" t="s">
        <v>78</v>
      </c>
      <c r="LZQ38" s="256" t="s">
        <v>79</v>
      </c>
      <c r="LZR38" s="256" t="s">
        <v>80</v>
      </c>
      <c r="LZS38" s="256" t="s">
        <v>81</v>
      </c>
      <c r="LZT38" s="331"/>
      <c r="LZU38" s="290">
        <v>45492</v>
      </c>
      <c r="LZV38" s="339" t="s">
        <v>141</v>
      </c>
      <c r="LZW38" s="305"/>
      <c r="LZX38" s="305">
        <v>1</v>
      </c>
      <c r="LZY38" s="304">
        <f t="shared" ref="LZY38" si="3749">EDATE(LZU38,LZX38)</f>
        <v>45523</v>
      </c>
      <c r="LZZ38" s="340">
        <v>0</v>
      </c>
      <c r="MAA38" s="320">
        <f t="shared" ref="MAA38" si="3750">IF(MAB38&gt;=1,(LZZ38/LZX38),0)</f>
        <v>0</v>
      </c>
      <c r="MAB38" s="292"/>
      <c r="MAC38" s="259" t="s">
        <v>55</v>
      </c>
      <c r="MAD38" s="256" t="s">
        <v>76</v>
      </c>
      <c r="MAE38" s="256" t="s">
        <v>77</v>
      </c>
      <c r="MAF38" s="256" t="s">
        <v>78</v>
      </c>
      <c r="MAG38" s="256" t="s">
        <v>79</v>
      </c>
      <c r="MAH38" s="256" t="s">
        <v>80</v>
      </c>
      <c r="MAI38" s="256" t="s">
        <v>81</v>
      </c>
      <c r="MAJ38" s="331"/>
      <c r="MAK38" s="290">
        <v>45492</v>
      </c>
      <c r="MAL38" s="339" t="s">
        <v>141</v>
      </c>
      <c r="MAM38" s="305"/>
      <c r="MAN38" s="305">
        <v>1</v>
      </c>
      <c r="MAO38" s="304">
        <f t="shared" ref="MAO38" si="3751">EDATE(MAK38,MAN38)</f>
        <v>45523</v>
      </c>
      <c r="MAP38" s="340">
        <v>0</v>
      </c>
      <c r="MAQ38" s="320">
        <f t="shared" ref="MAQ38" si="3752">IF(MAR38&gt;=1,(MAP38/MAN38),0)</f>
        <v>0</v>
      </c>
      <c r="MAR38" s="292"/>
      <c r="MAS38" s="259" t="s">
        <v>55</v>
      </c>
      <c r="MAT38" s="256" t="s">
        <v>76</v>
      </c>
      <c r="MAU38" s="256" t="s">
        <v>77</v>
      </c>
      <c r="MAV38" s="256" t="s">
        <v>78</v>
      </c>
      <c r="MAW38" s="256" t="s">
        <v>79</v>
      </c>
      <c r="MAX38" s="256" t="s">
        <v>80</v>
      </c>
      <c r="MAY38" s="256" t="s">
        <v>81</v>
      </c>
      <c r="MAZ38" s="331"/>
      <c r="MBA38" s="290">
        <v>45492</v>
      </c>
      <c r="MBB38" s="339" t="s">
        <v>141</v>
      </c>
      <c r="MBC38" s="305"/>
      <c r="MBD38" s="305">
        <v>1</v>
      </c>
      <c r="MBE38" s="304">
        <f t="shared" ref="MBE38" si="3753">EDATE(MBA38,MBD38)</f>
        <v>45523</v>
      </c>
      <c r="MBF38" s="340">
        <v>0</v>
      </c>
      <c r="MBG38" s="320">
        <f t="shared" ref="MBG38" si="3754">IF(MBH38&gt;=1,(MBF38/MBD38),0)</f>
        <v>0</v>
      </c>
      <c r="MBH38" s="292"/>
      <c r="MBI38" s="259" t="s">
        <v>55</v>
      </c>
      <c r="MBJ38" s="256" t="s">
        <v>76</v>
      </c>
      <c r="MBK38" s="256" t="s">
        <v>77</v>
      </c>
      <c r="MBL38" s="256" t="s">
        <v>78</v>
      </c>
      <c r="MBM38" s="256" t="s">
        <v>79</v>
      </c>
      <c r="MBN38" s="256" t="s">
        <v>80</v>
      </c>
      <c r="MBO38" s="256" t="s">
        <v>81</v>
      </c>
      <c r="MBP38" s="331"/>
      <c r="MBQ38" s="290">
        <v>45492</v>
      </c>
      <c r="MBR38" s="339" t="s">
        <v>141</v>
      </c>
      <c r="MBS38" s="305"/>
      <c r="MBT38" s="305">
        <v>1</v>
      </c>
      <c r="MBU38" s="304">
        <f t="shared" ref="MBU38" si="3755">EDATE(MBQ38,MBT38)</f>
        <v>45523</v>
      </c>
      <c r="MBV38" s="340">
        <v>0</v>
      </c>
      <c r="MBW38" s="320">
        <f t="shared" ref="MBW38" si="3756">IF(MBX38&gt;=1,(MBV38/MBT38),0)</f>
        <v>0</v>
      </c>
      <c r="MBX38" s="292"/>
      <c r="MBY38" s="259" t="s">
        <v>55</v>
      </c>
      <c r="MBZ38" s="256" t="s">
        <v>76</v>
      </c>
      <c r="MCA38" s="256" t="s">
        <v>77</v>
      </c>
      <c r="MCB38" s="256" t="s">
        <v>78</v>
      </c>
      <c r="MCC38" s="256" t="s">
        <v>79</v>
      </c>
      <c r="MCD38" s="256" t="s">
        <v>80</v>
      </c>
      <c r="MCE38" s="256" t="s">
        <v>81</v>
      </c>
      <c r="MCF38" s="331"/>
      <c r="MCG38" s="290">
        <v>45492</v>
      </c>
      <c r="MCH38" s="339" t="s">
        <v>141</v>
      </c>
      <c r="MCI38" s="305"/>
      <c r="MCJ38" s="305">
        <v>1</v>
      </c>
      <c r="MCK38" s="304">
        <f t="shared" ref="MCK38" si="3757">EDATE(MCG38,MCJ38)</f>
        <v>45523</v>
      </c>
      <c r="MCL38" s="340">
        <v>0</v>
      </c>
      <c r="MCM38" s="320">
        <f t="shared" ref="MCM38" si="3758">IF(MCN38&gt;=1,(MCL38/MCJ38),0)</f>
        <v>0</v>
      </c>
      <c r="MCN38" s="292"/>
      <c r="MCO38" s="259" t="s">
        <v>55</v>
      </c>
      <c r="MCP38" s="256" t="s">
        <v>76</v>
      </c>
      <c r="MCQ38" s="256" t="s">
        <v>77</v>
      </c>
      <c r="MCR38" s="256" t="s">
        <v>78</v>
      </c>
      <c r="MCS38" s="256" t="s">
        <v>79</v>
      </c>
      <c r="MCT38" s="256" t="s">
        <v>80</v>
      </c>
      <c r="MCU38" s="256" t="s">
        <v>81</v>
      </c>
      <c r="MCV38" s="331"/>
      <c r="MCW38" s="290">
        <v>45492</v>
      </c>
      <c r="MCX38" s="339" t="s">
        <v>141</v>
      </c>
      <c r="MCY38" s="305"/>
      <c r="MCZ38" s="305">
        <v>1</v>
      </c>
      <c r="MDA38" s="304">
        <f t="shared" ref="MDA38" si="3759">EDATE(MCW38,MCZ38)</f>
        <v>45523</v>
      </c>
      <c r="MDB38" s="340">
        <v>0</v>
      </c>
      <c r="MDC38" s="320">
        <f t="shared" ref="MDC38" si="3760">IF(MDD38&gt;=1,(MDB38/MCZ38),0)</f>
        <v>0</v>
      </c>
      <c r="MDD38" s="292"/>
      <c r="MDE38" s="259" t="s">
        <v>55</v>
      </c>
      <c r="MDF38" s="256" t="s">
        <v>76</v>
      </c>
      <c r="MDG38" s="256" t="s">
        <v>77</v>
      </c>
      <c r="MDH38" s="256" t="s">
        <v>78</v>
      </c>
      <c r="MDI38" s="256" t="s">
        <v>79</v>
      </c>
      <c r="MDJ38" s="256" t="s">
        <v>80</v>
      </c>
      <c r="MDK38" s="256" t="s">
        <v>81</v>
      </c>
      <c r="MDL38" s="331"/>
      <c r="MDM38" s="290">
        <v>45492</v>
      </c>
      <c r="MDN38" s="339" t="s">
        <v>141</v>
      </c>
      <c r="MDO38" s="305"/>
      <c r="MDP38" s="305">
        <v>1</v>
      </c>
      <c r="MDQ38" s="304">
        <f t="shared" ref="MDQ38" si="3761">EDATE(MDM38,MDP38)</f>
        <v>45523</v>
      </c>
      <c r="MDR38" s="340">
        <v>0</v>
      </c>
      <c r="MDS38" s="320">
        <f t="shared" ref="MDS38" si="3762">IF(MDT38&gt;=1,(MDR38/MDP38),0)</f>
        <v>0</v>
      </c>
      <c r="MDT38" s="292"/>
      <c r="MDU38" s="259" t="s">
        <v>55</v>
      </c>
      <c r="MDV38" s="256" t="s">
        <v>76</v>
      </c>
      <c r="MDW38" s="256" t="s">
        <v>77</v>
      </c>
      <c r="MDX38" s="256" t="s">
        <v>78</v>
      </c>
      <c r="MDY38" s="256" t="s">
        <v>79</v>
      </c>
      <c r="MDZ38" s="256" t="s">
        <v>80</v>
      </c>
      <c r="MEA38" s="256" t="s">
        <v>81</v>
      </c>
      <c r="MEB38" s="331"/>
      <c r="MEC38" s="290">
        <v>45492</v>
      </c>
      <c r="MED38" s="339" t="s">
        <v>141</v>
      </c>
      <c r="MEE38" s="305"/>
      <c r="MEF38" s="305">
        <v>1</v>
      </c>
      <c r="MEG38" s="304">
        <f t="shared" ref="MEG38" si="3763">EDATE(MEC38,MEF38)</f>
        <v>45523</v>
      </c>
      <c r="MEH38" s="340">
        <v>0</v>
      </c>
      <c r="MEI38" s="320">
        <f t="shared" ref="MEI38" si="3764">IF(MEJ38&gt;=1,(MEH38/MEF38),0)</f>
        <v>0</v>
      </c>
      <c r="MEJ38" s="292"/>
      <c r="MEK38" s="259" t="s">
        <v>55</v>
      </c>
      <c r="MEL38" s="256" t="s">
        <v>76</v>
      </c>
      <c r="MEM38" s="256" t="s">
        <v>77</v>
      </c>
      <c r="MEN38" s="256" t="s">
        <v>78</v>
      </c>
      <c r="MEO38" s="256" t="s">
        <v>79</v>
      </c>
      <c r="MEP38" s="256" t="s">
        <v>80</v>
      </c>
      <c r="MEQ38" s="256" t="s">
        <v>81</v>
      </c>
      <c r="MER38" s="331"/>
      <c r="MES38" s="290">
        <v>45492</v>
      </c>
      <c r="MET38" s="339" t="s">
        <v>141</v>
      </c>
      <c r="MEU38" s="305"/>
      <c r="MEV38" s="305">
        <v>1</v>
      </c>
      <c r="MEW38" s="304">
        <f t="shared" ref="MEW38" si="3765">EDATE(MES38,MEV38)</f>
        <v>45523</v>
      </c>
      <c r="MEX38" s="340">
        <v>0</v>
      </c>
      <c r="MEY38" s="320">
        <f t="shared" ref="MEY38" si="3766">IF(MEZ38&gt;=1,(MEX38/MEV38),0)</f>
        <v>0</v>
      </c>
      <c r="MEZ38" s="292"/>
      <c r="MFA38" s="259" t="s">
        <v>55</v>
      </c>
      <c r="MFB38" s="256" t="s">
        <v>76</v>
      </c>
      <c r="MFC38" s="256" t="s">
        <v>77</v>
      </c>
      <c r="MFD38" s="256" t="s">
        <v>78</v>
      </c>
      <c r="MFE38" s="256" t="s">
        <v>79</v>
      </c>
      <c r="MFF38" s="256" t="s">
        <v>80</v>
      </c>
      <c r="MFG38" s="256" t="s">
        <v>81</v>
      </c>
      <c r="MFH38" s="331"/>
      <c r="MFI38" s="290">
        <v>45492</v>
      </c>
      <c r="MFJ38" s="339" t="s">
        <v>141</v>
      </c>
      <c r="MFK38" s="305"/>
      <c r="MFL38" s="305">
        <v>1</v>
      </c>
      <c r="MFM38" s="304">
        <f t="shared" ref="MFM38" si="3767">EDATE(MFI38,MFL38)</f>
        <v>45523</v>
      </c>
      <c r="MFN38" s="340">
        <v>0</v>
      </c>
      <c r="MFO38" s="320">
        <f t="shared" ref="MFO38" si="3768">IF(MFP38&gt;=1,(MFN38/MFL38),0)</f>
        <v>0</v>
      </c>
      <c r="MFP38" s="292"/>
      <c r="MFQ38" s="259" t="s">
        <v>55</v>
      </c>
      <c r="MFR38" s="256" t="s">
        <v>76</v>
      </c>
      <c r="MFS38" s="256" t="s">
        <v>77</v>
      </c>
      <c r="MFT38" s="256" t="s">
        <v>78</v>
      </c>
      <c r="MFU38" s="256" t="s">
        <v>79</v>
      </c>
      <c r="MFV38" s="256" t="s">
        <v>80</v>
      </c>
      <c r="MFW38" s="256" t="s">
        <v>81</v>
      </c>
      <c r="MFX38" s="331"/>
      <c r="MFY38" s="290">
        <v>45492</v>
      </c>
      <c r="MFZ38" s="339" t="s">
        <v>141</v>
      </c>
      <c r="MGA38" s="305"/>
      <c r="MGB38" s="305">
        <v>1</v>
      </c>
      <c r="MGC38" s="304">
        <f t="shared" ref="MGC38" si="3769">EDATE(MFY38,MGB38)</f>
        <v>45523</v>
      </c>
      <c r="MGD38" s="340">
        <v>0</v>
      </c>
      <c r="MGE38" s="320">
        <f t="shared" ref="MGE38" si="3770">IF(MGF38&gt;=1,(MGD38/MGB38),0)</f>
        <v>0</v>
      </c>
      <c r="MGF38" s="292"/>
      <c r="MGG38" s="259" t="s">
        <v>55</v>
      </c>
      <c r="MGH38" s="256" t="s">
        <v>76</v>
      </c>
      <c r="MGI38" s="256" t="s">
        <v>77</v>
      </c>
      <c r="MGJ38" s="256" t="s">
        <v>78</v>
      </c>
      <c r="MGK38" s="256" t="s">
        <v>79</v>
      </c>
      <c r="MGL38" s="256" t="s">
        <v>80</v>
      </c>
      <c r="MGM38" s="256" t="s">
        <v>81</v>
      </c>
      <c r="MGN38" s="331"/>
      <c r="MGO38" s="290">
        <v>45492</v>
      </c>
      <c r="MGP38" s="339" t="s">
        <v>141</v>
      </c>
      <c r="MGQ38" s="305"/>
      <c r="MGR38" s="305">
        <v>1</v>
      </c>
      <c r="MGS38" s="304">
        <f t="shared" ref="MGS38" si="3771">EDATE(MGO38,MGR38)</f>
        <v>45523</v>
      </c>
      <c r="MGT38" s="340">
        <v>0</v>
      </c>
      <c r="MGU38" s="320">
        <f t="shared" ref="MGU38" si="3772">IF(MGV38&gt;=1,(MGT38/MGR38),0)</f>
        <v>0</v>
      </c>
      <c r="MGV38" s="292"/>
      <c r="MGW38" s="259" t="s">
        <v>55</v>
      </c>
      <c r="MGX38" s="256" t="s">
        <v>76</v>
      </c>
      <c r="MGY38" s="256" t="s">
        <v>77</v>
      </c>
      <c r="MGZ38" s="256" t="s">
        <v>78</v>
      </c>
      <c r="MHA38" s="256" t="s">
        <v>79</v>
      </c>
      <c r="MHB38" s="256" t="s">
        <v>80</v>
      </c>
      <c r="MHC38" s="256" t="s">
        <v>81</v>
      </c>
      <c r="MHD38" s="331"/>
      <c r="MHE38" s="290">
        <v>45492</v>
      </c>
      <c r="MHF38" s="339" t="s">
        <v>141</v>
      </c>
      <c r="MHG38" s="305"/>
      <c r="MHH38" s="305">
        <v>1</v>
      </c>
      <c r="MHI38" s="304">
        <f t="shared" ref="MHI38" si="3773">EDATE(MHE38,MHH38)</f>
        <v>45523</v>
      </c>
      <c r="MHJ38" s="340">
        <v>0</v>
      </c>
      <c r="MHK38" s="320">
        <f t="shared" ref="MHK38" si="3774">IF(MHL38&gt;=1,(MHJ38/MHH38),0)</f>
        <v>0</v>
      </c>
      <c r="MHL38" s="292"/>
      <c r="MHM38" s="259" t="s">
        <v>55</v>
      </c>
      <c r="MHN38" s="256" t="s">
        <v>76</v>
      </c>
      <c r="MHO38" s="256" t="s">
        <v>77</v>
      </c>
      <c r="MHP38" s="256" t="s">
        <v>78</v>
      </c>
      <c r="MHQ38" s="256" t="s">
        <v>79</v>
      </c>
      <c r="MHR38" s="256" t="s">
        <v>80</v>
      </c>
      <c r="MHS38" s="256" t="s">
        <v>81</v>
      </c>
      <c r="MHT38" s="331"/>
      <c r="MHU38" s="290">
        <v>45492</v>
      </c>
      <c r="MHV38" s="339" t="s">
        <v>141</v>
      </c>
      <c r="MHW38" s="305"/>
      <c r="MHX38" s="305">
        <v>1</v>
      </c>
      <c r="MHY38" s="304">
        <f t="shared" ref="MHY38" si="3775">EDATE(MHU38,MHX38)</f>
        <v>45523</v>
      </c>
      <c r="MHZ38" s="340">
        <v>0</v>
      </c>
      <c r="MIA38" s="320">
        <f t="shared" ref="MIA38" si="3776">IF(MIB38&gt;=1,(MHZ38/MHX38),0)</f>
        <v>0</v>
      </c>
      <c r="MIB38" s="292"/>
      <c r="MIC38" s="259" t="s">
        <v>55</v>
      </c>
      <c r="MID38" s="256" t="s">
        <v>76</v>
      </c>
      <c r="MIE38" s="256" t="s">
        <v>77</v>
      </c>
      <c r="MIF38" s="256" t="s">
        <v>78</v>
      </c>
      <c r="MIG38" s="256" t="s">
        <v>79</v>
      </c>
      <c r="MIH38" s="256" t="s">
        <v>80</v>
      </c>
      <c r="MII38" s="256" t="s">
        <v>81</v>
      </c>
      <c r="MIJ38" s="331"/>
      <c r="MIK38" s="290">
        <v>45492</v>
      </c>
      <c r="MIL38" s="339" t="s">
        <v>141</v>
      </c>
      <c r="MIM38" s="305"/>
      <c r="MIN38" s="305">
        <v>1</v>
      </c>
      <c r="MIO38" s="304">
        <f t="shared" ref="MIO38" si="3777">EDATE(MIK38,MIN38)</f>
        <v>45523</v>
      </c>
      <c r="MIP38" s="340">
        <v>0</v>
      </c>
      <c r="MIQ38" s="320">
        <f t="shared" ref="MIQ38" si="3778">IF(MIR38&gt;=1,(MIP38/MIN38),0)</f>
        <v>0</v>
      </c>
      <c r="MIR38" s="292"/>
      <c r="MIS38" s="259" t="s">
        <v>55</v>
      </c>
      <c r="MIT38" s="256" t="s">
        <v>76</v>
      </c>
      <c r="MIU38" s="256" t="s">
        <v>77</v>
      </c>
      <c r="MIV38" s="256" t="s">
        <v>78</v>
      </c>
      <c r="MIW38" s="256" t="s">
        <v>79</v>
      </c>
      <c r="MIX38" s="256" t="s">
        <v>80</v>
      </c>
      <c r="MIY38" s="256" t="s">
        <v>81</v>
      </c>
      <c r="MIZ38" s="331"/>
      <c r="MJA38" s="290">
        <v>45492</v>
      </c>
      <c r="MJB38" s="339" t="s">
        <v>141</v>
      </c>
      <c r="MJC38" s="305"/>
      <c r="MJD38" s="305">
        <v>1</v>
      </c>
      <c r="MJE38" s="304">
        <f t="shared" ref="MJE38" si="3779">EDATE(MJA38,MJD38)</f>
        <v>45523</v>
      </c>
      <c r="MJF38" s="340">
        <v>0</v>
      </c>
      <c r="MJG38" s="320">
        <f t="shared" ref="MJG38" si="3780">IF(MJH38&gt;=1,(MJF38/MJD38),0)</f>
        <v>0</v>
      </c>
      <c r="MJH38" s="292"/>
      <c r="MJI38" s="259" t="s">
        <v>55</v>
      </c>
      <c r="MJJ38" s="256" t="s">
        <v>76</v>
      </c>
      <c r="MJK38" s="256" t="s">
        <v>77</v>
      </c>
      <c r="MJL38" s="256" t="s">
        <v>78</v>
      </c>
      <c r="MJM38" s="256" t="s">
        <v>79</v>
      </c>
      <c r="MJN38" s="256" t="s">
        <v>80</v>
      </c>
      <c r="MJO38" s="256" t="s">
        <v>81</v>
      </c>
      <c r="MJP38" s="331"/>
      <c r="MJQ38" s="290">
        <v>45492</v>
      </c>
      <c r="MJR38" s="339" t="s">
        <v>141</v>
      </c>
      <c r="MJS38" s="305"/>
      <c r="MJT38" s="305">
        <v>1</v>
      </c>
      <c r="MJU38" s="304">
        <f t="shared" ref="MJU38" si="3781">EDATE(MJQ38,MJT38)</f>
        <v>45523</v>
      </c>
      <c r="MJV38" s="340">
        <v>0</v>
      </c>
      <c r="MJW38" s="320">
        <f t="shared" ref="MJW38" si="3782">IF(MJX38&gt;=1,(MJV38/MJT38),0)</f>
        <v>0</v>
      </c>
      <c r="MJX38" s="292"/>
      <c r="MJY38" s="259" t="s">
        <v>55</v>
      </c>
      <c r="MJZ38" s="256" t="s">
        <v>76</v>
      </c>
      <c r="MKA38" s="256" t="s">
        <v>77</v>
      </c>
      <c r="MKB38" s="256" t="s">
        <v>78</v>
      </c>
      <c r="MKC38" s="256" t="s">
        <v>79</v>
      </c>
      <c r="MKD38" s="256" t="s">
        <v>80</v>
      </c>
      <c r="MKE38" s="256" t="s">
        <v>81</v>
      </c>
      <c r="MKF38" s="331"/>
      <c r="MKG38" s="290">
        <v>45492</v>
      </c>
      <c r="MKH38" s="339" t="s">
        <v>141</v>
      </c>
      <c r="MKI38" s="305"/>
      <c r="MKJ38" s="305">
        <v>1</v>
      </c>
      <c r="MKK38" s="304">
        <f t="shared" ref="MKK38" si="3783">EDATE(MKG38,MKJ38)</f>
        <v>45523</v>
      </c>
      <c r="MKL38" s="340">
        <v>0</v>
      </c>
      <c r="MKM38" s="320">
        <f t="shared" ref="MKM38" si="3784">IF(MKN38&gt;=1,(MKL38/MKJ38),0)</f>
        <v>0</v>
      </c>
      <c r="MKN38" s="292"/>
      <c r="MKO38" s="259" t="s">
        <v>55</v>
      </c>
      <c r="MKP38" s="256" t="s">
        <v>76</v>
      </c>
      <c r="MKQ38" s="256" t="s">
        <v>77</v>
      </c>
      <c r="MKR38" s="256" t="s">
        <v>78</v>
      </c>
      <c r="MKS38" s="256" t="s">
        <v>79</v>
      </c>
      <c r="MKT38" s="256" t="s">
        <v>80</v>
      </c>
      <c r="MKU38" s="256" t="s">
        <v>81</v>
      </c>
      <c r="MKV38" s="331"/>
      <c r="MKW38" s="290">
        <v>45492</v>
      </c>
      <c r="MKX38" s="339" t="s">
        <v>141</v>
      </c>
      <c r="MKY38" s="305"/>
      <c r="MKZ38" s="305">
        <v>1</v>
      </c>
      <c r="MLA38" s="304">
        <f t="shared" ref="MLA38" si="3785">EDATE(MKW38,MKZ38)</f>
        <v>45523</v>
      </c>
      <c r="MLB38" s="340">
        <v>0</v>
      </c>
      <c r="MLC38" s="320">
        <f t="shared" ref="MLC38" si="3786">IF(MLD38&gt;=1,(MLB38/MKZ38),0)</f>
        <v>0</v>
      </c>
      <c r="MLD38" s="292"/>
      <c r="MLE38" s="259" t="s">
        <v>55</v>
      </c>
      <c r="MLF38" s="256" t="s">
        <v>76</v>
      </c>
      <c r="MLG38" s="256" t="s">
        <v>77</v>
      </c>
      <c r="MLH38" s="256" t="s">
        <v>78</v>
      </c>
      <c r="MLI38" s="256" t="s">
        <v>79</v>
      </c>
      <c r="MLJ38" s="256" t="s">
        <v>80</v>
      </c>
      <c r="MLK38" s="256" t="s">
        <v>81</v>
      </c>
      <c r="MLL38" s="331"/>
      <c r="MLM38" s="290">
        <v>45492</v>
      </c>
      <c r="MLN38" s="339" t="s">
        <v>141</v>
      </c>
      <c r="MLO38" s="305"/>
      <c r="MLP38" s="305">
        <v>1</v>
      </c>
      <c r="MLQ38" s="304">
        <f t="shared" ref="MLQ38" si="3787">EDATE(MLM38,MLP38)</f>
        <v>45523</v>
      </c>
      <c r="MLR38" s="340">
        <v>0</v>
      </c>
      <c r="MLS38" s="320">
        <f t="shared" ref="MLS38" si="3788">IF(MLT38&gt;=1,(MLR38/MLP38),0)</f>
        <v>0</v>
      </c>
      <c r="MLT38" s="292"/>
      <c r="MLU38" s="259" t="s">
        <v>55</v>
      </c>
      <c r="MLV38" s="256" t="s">
        <v>76</v>
      </c>
      <c r="MLW38" s="256" t="s">
        <v>77</v>
      </c>
      <c r="MLX38" s="256" t="s">
        <v>78</v>
      </c>
      <c r="MLY38" s="256" t="s">
        <v>79</v>
      </c>
      <c r="MLZ38" s="256" t="s">
        <v>80</v>
      </c>
      <c r="MMA38" s="256" t="s">
        <v>81</v>
      </c>
      <c r="MMB38" s="331"/>
      <c r="MMC38" s="290">
        <v>45492</v>
      </c>
      <c r="MMD38" s="339" t="s">
        <v>141</v>
      </c>
      <c r="MME38" s="305"/>
      <c r="MMF38" s="305">
        <v>1</v>
      </c>
      <c r="MMG38" s="304">
        <f t="shared" ref="MMG38" si="3789">EDATE(MMC38,MMF38)</f>
        <v>45523</v>
      </c>
      <c r="MMH38" s="340">
        <v>0</v>
      </c>
      <c r="MMI38" s="320">
        <f t="shared" ref="MMI38" si="3790">IF(MMJ38&gt;=1,(MMH38/MMF38),0)</f>
        <v>0</v>
      </c>
      <c r="MMJ38" s="292"/>
      <c r="MMK38" s="259" t="s">
        <v>55</v>
      </c>
      <c r="MML38" s="256" t="s">
        <v>76</v>
      </c>
      <c r="MMM38" s="256" t="s">
        <v>77</v>
      </c>
      <c r="MMN38" s="256" t="s">
        <v>78</v>
      </c>
      <c r="MMO38" s="256" t="s">
        <v>79</v>
      </c>
      <c r="MMP38" s="256" t="s">
        <v>80</v>
      </c>
      <c r="MMQ38" s="256" t="s">
        <v>81</v>
      </c>
      <c r="MMR38" s="331"/>
      <c r="MMS38" s="290">
        <v>45492</v>
      </c>
      <c r="MMT38" s="339" t="s">
        <v>141</v>
      </c>
      <c r="MMU38" s="305"/>
      <c r="MMV38" s="305">
        <v>1</v>
      </c>
      <c r="MMW38" s="304">
        <f t="shared" ref="MMW38" si="3791">EDATE(MMS38,MMV38)</f>
        <v>45523</v>
      </c>
      <c r="MMX38" s="340">
        <v>0</v>
      </c>
      <c r="MMY38" s="320">
        <f t="shared" ref="MMY38" si="3792">IF(MMZ38&gt;=1,(MMX38/MMV38),0)</f>
        <v>0</v>
      </c>
      <c r="MMZ38" s="292"/>
      <c r="MNA38" s="259" t="s">
        <v>55</v>
      </c>
      <c r="MNB38" s="256" t="s">
        <v>76</v>
      </c>
      <c r="MNC38" s="256" t="s">
        <v>77</v>
      </c>
      <c r="MND38" s="256" t="s">
        <v>78</v>
      </c>
      <c r="MNE38" s="256" t="s">
        <v>79</v>
      </c>
      <c r="MNF38" s="256" t="s">
        <v>80</v>
      </c>
      <c r="MNG38" s="256" t="s">
        <v>81</v>
      </c>
      <c r="MNH38" s="331"/>
      <c r="MNI38" s="290">
        <v>45492</v>
      </c>
      <c r="MNJ38" s="339" t="s">
        <v>141</v>
      </c>
      <c r="MNK38" s="305"/>
      <c r="MNL38" s="305">
        <v>1</v>
      </c>
      <c r="MNM38" s="304">
        <f t="shared" ref="MNM38" si="3793">EDATE(MNI38,MNL38)</f>
        <v>45523</v>
      </c>
      <c r="MNN38" s="340">
        <v>0</v>
      </c>
      <c r="MNO38" s="320">
        <f t="shared" ref="MNO38" si="3794">IF(MNP38&gt;=1,(MNN38/MNL38),0)</f>
        <v>0</v>
      </c>
      <c r="MNP38" s="292"/>
      <c r="MNQ38" s="259" t="s">
        <v>55</v>
      </c>
      <c r="MNR38" s="256" t="s">
        <v>76</v>
      </c>
      <c r="MNS38" s="256" t="s">
        <v>77</v>
      </c>
      <c r="MNT38" s="256" t="s">
        <v>78</v>
      </c>
      <c r="MNU38" s="256" t="s">
        <v>79</v>
      </c>
      <c r="MNV38" s="256" t="s">
        <v>80</v>
      </c>
      <c r="MNW38" s="256" t="s">
        <v>81</v>
      </c>
      <c r="MNX38" s="331"/>
      <c r="MNY38" s="290">
        <v>45492</v>
      </c>
      <c r="MNZ38" s="339" t="s">
        <v>141</v>
      </c>
      <c r="MOA38" s="305"/>
      <c r="MOB38" s="305">
        <v>1</v>
      </c>
      <c r="MOC38" s="304">
        <f t="shared" ref="MOC38" si="3795">EDATE(MNY38,MOB38)</f>
        <v>45523</v>
      </c>
      <c r="MOD38" s="340">
        <v>0</v>
      </c>
      <c r="MOE38" s="320">
        <f t="shared" ref="MOE38" si="3796">IF(MOF38&gt;=1,(MOD38/MOB38),0)</f>
        <v>0</v>
      </c>
      <c r="MOF38" s="292"/>
      <c r="MOG38" s="259" t="s">
        <v>55</v>
      </c>
      <c r="MOH38" s="256" t="s">
        <v>76</v>
      </c>
      <c r="MOI38" s="256" t="s">
        <v>77</v>
      </c>
      <c r="MOJ38" s="256" t="s">
        <v>78</v>
      </c>
      <c r="MOK38" s="256" t="s">
        <v>79</v>
      </c>
      <c r="MOL38" s="256" t="s">
        <v>80</v>
      </c>
      <c r="MOM38" s="256" t="s">
        <v>81</v>
      </c>
      <c r="MON38" s="331"/>
      <c r="MOO38" s="290">
        <v>45492</v>
      </c>
      <c r="MOP38" s="339" t="s">
        <v>141</v>
      </c>
      <c r="MOQ38" s="305"/>
      <c r="MOR38" s="305">
        <v>1</v>
      </c>
      <c r="MOS38" s="304">
        <f t="shared" ref="MOS38" si="3797">EDATE(MOO38,MOR38)</f>
        <v>45523</v>
      </c>
      <c r="MOT38" s="340">
        <v>0</v>
      </c>
      <c r="MOU38" s="320">
        <f t="shared" ref="MOU38" si="3798">IF(MOV38&gt;=1,(MOT38/MOR38),0)</f>
        <v>0</v>
      </c>
      <c r="MOV38" s="292"/>
      <c r="MOW38" s="259" t="s">
        <v>55</v>
      </c>
      <c r="MOX38" s="256" t="s">
        <v>76</v>
      </c>
      <c r="MOY38" s="256" t="s">
        <v>77</v>
      </c>
      <c r="MOZ38" s="256" t="s">
        <v>78</v>
      </c>
      <c r="MPA38" s="256" t="s">
        <v>79</v>
      </c>
      <c r="MPB38" s="256" t="s">
        <v>80</v>
      </c>
      <c r="MPC38" s="256" t="s">
        <v>81</v>
      </c>
      <c r="MPD38" s="331"/>
      <c r="MPE38" s="290">
        <v>45492</v>
      </c>
      <c r="MPF38" s="339" t="s">
        <v>141</v>
      </c>
      <c r="MPG38" s="305"/>
      <c r="MPH38" s="305">
        <v>1</v>
      </c>
      <c r="MPI38" s="304">
        <f t="shared" ref="MPI38" si="3799">EDATE(MPE38,MPH38)</f>
        <v>45523</v>
      </c>
      <c r="MPJ38" s="340">
        <v>0</v>
      </c>
      <c r="MPK38" s="320">
        <f t="shared" ref="MPK38" si="3800">IF(MPL38&gt;=1,(MPJ38/MPH38),0)</f>
        <v>0</v>
      </c>
      <c r="MPL38" s="292"/>
      <c r="MPM38" s="259" t="s">
        <v>55</v>
      </c>
      <c r="MPN38" s="256" t="s">
        <v>76</v>
      </c>
      <c r="MPO38" s="256" t="s">
        <v>77</v>
      </c>
      <c r="MPP38" s="256" t="s">
        <v>78</v>
      </c>
      <c r="MPQ38" s="256" t="s">
        <v>79</v>
      </c>
      <c r="MPR38" s="256" t="s">
        <v>80</v>
      </c>
      <c r="MPS38" s="256" t="s">
        <v>81</v>
      </c>
      <c r="MPT38" s="331"/>
      <c r="MPU38" s="290">
        <v>45492</v>
      </c>
      <c r="MPV38" s="339" t="s">
        <v>141</v>
      </c>
      <c r="MPW38" s="305"/>
      <c r="MPX38" s="305">
        <v>1</v>
      </c>
      <c r="MPY38" s="304">
        <f t="shared" ref="MPY38" si="3801">EDATE(MPU38,MPX38)</f>
        <v>45523</v>
      </c>
      <c r="MPZ38" s="340">
        <v>0</v>
      </c>
      <c r="MQA38" s="320">
        <f t="shared" ref="MQA38" si="3802">IF(MQB38&gt;=1,(MPZ38/MPX38),0)</f>
        <v>0</v>
      </c>
      <c r="MQB38" s="292"/>
      <c r="MQC38" s="259" t="s">
        <v>55</v>
      </c>
      <c r="MQD38" s="256" t="s">
        <v>76</v>
      </c>
      <c r="MQE38" s="256" t="s">
        <v>77</v>
      </c>
      <c r="MQF38" s="256" t="s">
        <v>78</v>
      </c>
      <c r="MQG38" s="256" t="s">
        <v>79</v>
      </c>
      <c r="MQH38" s="256" t="s">
        <v>80</v>
      </c>
      <c r="MQI38" s="256" t="s">
        <v>81</v>
      </c>
      <c r="MQJ38" s="331"/>
      <c r="MQK38" s="290">
        <v>45492</v>
      </c>
      <c r="MQL38" s="339" t="s">
        <v>141</v>
      </c>
      <c r="MQM38" s="305"/>
      <c r="MQN38" s="305">
        <v>1</v>
      </c>
      <c r="MQO38" s="304">
        <f t="shared" ref="MQO38" si="3803">EDATE(MQK38,MQN38)</f>
        <v>45523</v>
      </c>
      <c r="MQP38" s="340">
        <v>0</v>
      </c>
      <c r="MQQ38" s="320">
        <f t="shared" ref="MQQ38" si="3804">IF(MQR38&gt;=1,(MQP38/MQN38),0)</f>
        <v>0</v>
      </c>
      <c r="MQR38" s="292"/>
      <c r="MQS38" s="259" t="s">
        <v>55</v>
      </c>
      <c r="MQT38" s="256" t="s">
        <v>76</v>
      </c>
      <c r="MQU38" s="256" t="s">
        <v>77</v>
      </c>
      <c r="MQV38" s="256" t="s">
        <v>78</v>
      </c>
      <c r="MQW38" s="256" t="s">
        <v>79</v>
      </c>
      <c r="MQX38" s="256" t="s">
        <v>80</v>
      </c>
      <c r="MQY38" s="256" t="s">
        <v>81</v>
      </c>
      <c r="MQZ38" s="331"/>
      <c r="MRA38" s="290">
        <v>45492</v>
      </c>
      <c r="MRB38" s="339" t="s">
        <v>141</v>
      </c>
      <c r="MRC38" s="305"/>
      <c r="MRD38" s="305">
        <v>1</v>
      </c>
      <c r="MRE38" s="304">
        <f t="shared" ref="MRE38" si="3805">EDATE(MRA38,MRD38)</f>
        <v>45523</v>
      </c>
      <c r="MRF38" s="340">
        <v>0</v>
      </c>
      <c r="MRG38" s="320">
        <f t="shared" ref="MRG38" si="3806">IF(MRH38&gt;=1,(MRF38/MRD38),0)</f>
        <v>0</v>
      </c>
      <c r="MRH38" s="292"/>
      <c r="MRI38" s="259" t="s">
        <v>55</v>
      </c>
      <c r="MRJ38" s="256" t="s">
        <v>76</v>
      </c>
      <c r="MRK38" s="256" t="s">
        <v>77</v>
      </c>
      <c r="MRL38" s="256" t="s">
        <v>78</v>
      </c>
      <c r="MRM38" s="256" t="s">
        <v>79</v>
      </c>
      <c r="MRN38" s="256" t="s">
        <v>80</v>
      </c>
      <c r="MRO38" s="256" t="s">
        <v>81</v>
      </c>
      <c r="MRP38" s="331"/>
      <c r="MRQ38" s="290">
        <v>45492</v>
      </c>
      <c r="MRR38" s="339" t="s">
        <v>141</v>
      </c>
      <c r="MRS38" s="305"/>
      <c r="MRT38" s="305">
        <v>1</v>
      </c>
      <c r="MRU38" s="304">
        <f t="shared" ref="MRU38" si="3807">EDATE(MRQ38,MRT38)</f>
        <v>45523</v>
      </c>
      <c r="MRV38" s="340">
        <v>0</v>
      </c>
      <c r="MRW38" s="320">
        <f t="shared" ref="MRW38" si="3808">IF(MRX38&gt;=1,(MRV38/MRT38),0)</f>
        <v>0</v>
      </c>
      <c r="MRX38" s="292"/>
      <c r="MRY38" s="259" t="s">
        <v>55</v>
      </c>
      <c r="MRZ38" s="256" t="s">
        <v>76</v>
      </c>
      <c r="MSA38" s="256" t="s">
        <v>77</v>
      </c>
      <c r="MSB38" s="256" t="s">
        <v>78</v>
      </c>
      <c r="MSC38" s="256" t="s">
        <v>79</v>
      </c>
      <c r="MSD38" s="256" t="s">
        <v>80</v>
      </c>
      <c r="MSE38" s="256" t="s">
        <v>81</v>
      </c>
      <c r="MSF38" s="331"/>
      <c r="MSG38" s="290">
        <v>45492</v>
      </c>
      <c r="MSH38" s="339" t="s">
        <v>141</v>
      </c>
      <c r="MSI38" s="305"/>
      <c r="MSJ38" s="305">
        <v>1</v>
      </c>
      <c r="MSK38" s="304">
        <f t="shared" ref="MSK38" si="3809">EDATE(MSG38,MSJ38)</f>
        <v>45523</v>
      </c>
      <c r="MSL38" s="340">
        <v>0</v>
      </c>
      <c r="MSM38" s="320">
        <f t="shared" ref="MSM38" si="3810">IF(MSN38&gt;=1,(MSL38/MSJ38),0)</f>
        <v>0</v>
      </c>
      <c r="MSN38" s="292"/>
      <c r="MSO38" s="259" t="s">
        <v>55</v>
      </c>
      <c r="MSP38" s="256" t="s">
        <v>76</v>
      </c>
      <c r="MSQ38" s="256" t="s">
        <v>77</v>
      </c>
      <c r="MSR38" s="256" t="s">
        <v>78</v>
      </c>
      <c r="MSS38" s="256" t="s">
        <v>79</v>
      </c>
      <c r="MST38" s="256" t="s">
        <v>80</v>
      </c>
      <c r="MSU38" s="256" t="s">
        <v>81</v>
      </c>
      <c r="MSV38" s="331"/>
      <c r="MSW38" s="290">
        <v>45492</v>
      </c>
      <c r="MSX38" s="339" t="s">
        <v>141</v>
      </c>
      <c r="MSY38" s="305"/>
      <c r="MSZ38" s="305">
        <v>1</v>
      </c>
      <c r="MTA38" s="304">
        <f t="shared" ref="MTA38" si="3811">EDATE(MSW38,MSZ38)</f>
        <v>45523</v>
      </c>
      <c r="MTB38" s="340">
        <v>0</v>
      </c>
      <c r="MTC38" s="320">
        <f t="shared" ref="MTC38" si="3812">IF(MTD38&gt;=1,(MTB38/MSZ38),0)</f>
        <v>0</v>
      </c>
      <c r="MTD38" s="292"/>
      <c r="MTE38" s="259" t="s">
        <v>55</v>
      </c>
      <c r="MTF38" s="256" t="s">
        <v>76</v>
      </c>
      <c r="MTG38" s="256" t="s">
        <v>77</v>
      </c>
      <c r="MTH38" s="256" t="s">
        <v>78</v>
      </c>
      <c r="MTI38" s="256" t="s">
        <v>79</v>
      </c>
      <c r="MTJ38" s="256" t="s">
        <v>80</v>
      </c>
      <c r="MTK38" s="256" t="s">
        <v>81</v>
      </c>
      <c r="MTL38" s="331"/>
      <c r="MTM38" s="290">
        <v>45492</v>
      </c>
      <c r="MTN38" s="339" t="s">
        <v>141</v>
      </c>
      <c r="MTO38" s="305"/>
      <c r="MTP38" s="305">
        <v>1</v>
      </c>
      <c r="MTQ38" s="304">
        <f t="shared" ref="MTQ38" si="3813">EDATE(MTM38,MTP38)</f>
        <v>45523</v>
      </c>
      <c r="MTR38" s="340">
        <v>0</v>
      </c>
      <c r="MTS38" s="320">
        <f t="shared" ref="MTS38" si="3814">IF(MTT38&gt;=1,(MTR38/MTP38),0)</f>
        <v>0</v>
      </c>
      <c r="MTT38" s="292"/>
      <c r="MTU38" s="259" t="s">
        <v>55</v>
      </c>
      <c r="MTV38" s="256" t="s">
        <v>76</v>
      </c>
      <c r="MTW38" s="256" t="s">
        <v>77</v>
      </c>
      <c r="MTX38" s="256" t="s">
        <v>78</v>
      </c>
      <c r="MTY38" s="256" t="s">
        <v>79</v>
      </c>
      <c r="MTZ38" s="256" t="s">
        <v>80</v>
      </c>
      <c r="MUA38" s="256" t="s">
        <v>81</v>
      </c>
      <c r="MUB38" s="331"/>
      <c r="MUC38" s="290">
        <v>45492</v>
      </c>
      <c r="MUD38" s="339" t="s">
        <v>141</v>
      </c>
      <c r="MUE38" s="305"/>
      <c r="MUF38" s="305">
        <v>1</v>
      </c>
      <c r="MUG38" s="304">
        <f t="shared" ref="MUG38" si="3815">EDATE(MUC38,MUF38)</f>
        <v>45523</v>
      </c>
      <c r="MUH38" s="340">
        <v>0</v>
      </c>
      <c r="MUI38" s="320">
        <f t="shared" ref="MUI38" si="3816">IF(MUJ38&gt;=1,(MUH38/MUF38),0)</f>
        <v>0</v>
      </c>
      <c r="MUJ38" s="292"/>
      <c r="MUK38" s="259" t="s">
        <v>55</v>
      </c>
      <c r="MUL38" s="256" t="s">
        <v>76</v>
      </c>
      <c r="MUM38" s="256" t="s">
        <v>77</v>
      </c>
      <c r="MUN38" s="256" t="s">
        <v>78</v>
      </c>
      <c r="MUO38" s="256" t="s">
        <v>79</v>
      </c>
      <c r="MUP38" s="256" t="s">
        <v>80</v>
      </c>
      <c r="MUQ38" s="256" t="s">
        <v>81</v>
      </c>
      <c r="MUR38" s="331"/>
      <c r="MUS38" s="290">
        <v>45492</v>
      </c>
      <c r="MUT38" s="339" t="s">
        <v>141</v>
      </c>
      <c r="MUU38" s="305"/>
      <c r="MUV38" s="305">
        <v>1</v>
      </c>
      <c r="MUW38" s="304">
        <f t="shared" ref="MUW38" si="3817">EDATE(MUS38,MUV38)</f>
        <v>45523</v>
      </c>
      <c r="MUX38" s="340">
        <v>0</v>
      </c>
      <c r="MUY38" s="320">
        <f t="shared" ref="MUY38" si="3818">IF(MUZ38&gt;=1,(MUX38/MUV38),0)</f>
        <v>0</v>
      </c>
      <c r="MUZ38" s="292"/>
      <c r="MVA38" s="259" t="s">
        <v>55</v>
      </c>
      <c r="MVB38" s="256" t="s">
        <v>76</v>
      </c>
      <c r="MVC38" s="256" t="s">
        <v>77</v>
      </c>
      <c r="MVD38" s="256" t="s">
        <v>78</v>
      </c>
      <c r="MVE38" s="256" t="s">
        <v>79</v>
      </c>
      <c r="MVF38" s="256" t="s">
        <v>80</v>
      </c>
      <c r="MVG38" s="256" t="s">
        <v>81</v>
      </c>
      <c r="MVH38" s="331"/>
      <c r="MVI38" s="290">
        <v>45492</v>
      </c>
      <c r="MVJ38" s="339" t="s">
        <v>141</v>
      </c>
      <c r="MVK38" s="305"/>
      <c r="MVL38" s="305">
        <v>1</v>
      </c>
      <c r="MVM38" s="304">
        <f t="shared" ref="MVM38" si="3819">EDATE(MVI38,MVL38)</f>
        <v>45523</v>
      </c>
      <c r="MVN38" s="340">
        <v>0</v>
      </c>
      <c r="MVO38" s="320">
        <f t="shared" ref="MVO38" si="3820">IF(MVP38&gt;=1,(MVN38/MVL38),0)</f>
        <v>0</v>
      </c>
      <c r="MVP38" s="292"/>
      <c r="MVQ38" s="259" t="s">
        <v>55</v>
      </c>
      <c r="MVR38" s="256" t="s">
        <v>76</v>
      </c>
      <c r="MVS38" s="256" t="s">
        <v>77</v>
      </c>
      <c r="MVT38" s="256" t="s">
        <v>78</v>
      </c>
      <c r="MVU38" s="256" t="s">
        <v>79</v>
      </c>
      <c r="MVV38" s="256" t="s">
        <v>80</v>
      </c>
      <c r="MVW38" s="256" t="s">
        <v>81</v>
      </c>
      <c r="MVX38" s="331"/>
      <c r="MVY38" s="290">
        <v>45492</v>
      </c>
      <c r="MVZ38" s="339" t="s">
        <v>141</v>
      </c>
      <c r="MWA38" s="305"/>
      <c r="MWB38" s="305">
        <v>1</v>
      </c>
      <c r="MWC38" s="304">
        <f t="shared" ref="MWC38" si="3821">EDATE(MVY38,MWB38)</f>
        <v>45523</v>
      </c>
      <c r="MWD38" s="340">
        <v>0</v>
      </c>
      <c r="MWE38" s="320">
        <f t="shared" ref="MWE38" si="3822">IF(MWF38&gt;=1,(MWD38/MWB38),0)</f>
        <v>0</v>
      </c>
      <c r="MWF38" s="292"/>
      <c r="MWG38" s="259" t="s">
        <v>55</v>
      </c>
      <c r="MWH38" s="256" t="s">
        <v>76</v>
      </c>
      <c r="MWI38" s="256" t="s">
        <v>77</v>
      </c>
      <c r="MWJ38" s="256" t="s">
        <v>78</v>
      </c>
      <c r="MWK38" s="256" t="s">
        <v>79</v>
      </c>
      <c r="MWL38" s="256" t="s">
        <v>80</v>
      </c>
      <c r="MWM38" s="256" t="s">
        <v>81</v>
      </c>
      <c r="MWN38" s="331"/>
      <c r="MWO38" s="290">
        <v>45492</v>
      </c>
      <c r="MWP38" s="339" t="s">
        <v>141</v>
      </c>
      <c r="MWQ38" s="305"/>
      <c r="MWR38" s="305">
        <v>1</v>
      </c>
      <c r="MWS38" s="304">
        <f t="shared" ref="MWS38" si="3823">EDATE(MWO38,MWR38)</f>
        <v>45523</v>
      </c>
      <c r="MWT38" s="340">
        <v>0</v>
      </c>
      <c r="MWU38" s="320">
        <f t="shared" ref="MWU38" si="3824">IF(MWV38&gt;=1,(MWT38/MWR38),0)</f>
        <v>0</v>
      </c>
      <c r="MWV38" s="292"/>
      <c r="MWW38" s="259" t="s">
        <v>55</v>
      </c>
      <c r="MWX38" s="256" t="s">
        <v>76</v>
      </c>
      <c r="MWY38" s="256" t="s">
        <v>77</v>
      </c>
      <c r="MWZ38" s="256" t="s">
        <v>78</v>
      </c>
      <c r="MXA38" s="256" t="s">
        <v>79</v>
      </c>
      <c r="MXB38" s="256" t="s">
        <v>80</v>
      </c>
      <c r="MXC38" s="256" t="s">
        <v>81</v>
      </c>
      <c r="MXD38" s="331"/>
      <c r="MXE38" s="290">
        <v>45492</v>
      </c>
      <c r="MXF38" s="339" t="s">
        <v>141</v>
      </c>
      <c r="MXG38" s="305"/>
      <c r="MXH38" s="305">
        <v>1</v>
      </c>
      <c r="MXI38" s="304">
        <f t="shared" ref="MXI38" si="3825">EDATE(MXE38,MXH38)</f>
        <v>45523</v>
      </c>
      <c r="MXJ38" s="340">
        <v>0</v>
      </c>
      <c r="MXK38" s="320">
        <f t="shared" ref="MXK38" si="3826">IF(MXL38&gt;=1,(MXJ38/MXH38),0)</f>
        <v>0</v>
      </c>
      <c r="MXL38" s="292"/>
      <c r="MXM38" s="259" t="s">
        <v>55</v>
      </c>
      <c r="MXN38" s="256" t="s">
        <v>76</v>
      </c>
      <c r="MXO38" s="256" t="s">
        <v>77</v>
      </c>
      <c r="MXP38" s="256" t="s">
        <v>78</v>
      </c>
      <c r="MXQ38" s="256" t="s">
        <v>79</v>
      </c>
      <c r="MXR38" s="256" t="s">
        <v>80</v>
      </c>
      <c r="MXS38" s="256" t="s">
        <v>81</v>
      </c>
      <c r="MXT38" s="331"/>
      <c r="MXU38" s="290">
        <v>45492</v>
      </c>
      <c r="MXV38" s="339" t="s">
        <v>141</v>
      </c>
      <c r="MXW38" s="305"/>
      <c r="MXX38" s="305">
        <v>1</v>
      </c>
      <c r="MXY38" s="304">
        <f t="shared" ref="MXY38" si="3827">EDATE(MXU38,MXX38)</f>
        <v>45523</v>
      </c>
      <c r="MXZ38" s="340">
        <v>0</v>
      </c>
      <c r="MYA38" s="320">
        <f t="shared" ref="MYA38" si="3828">IF(MYB38&gt;=1,(MXZ38/MXX38),0)</f>
        <v>0</v>
      </c>
      <c r="MYB38" s="292"/>
      <c r="MYC38" s="259" t="s">
        <v>55</v>
      </c>
      <c r="MYD38" s="256" t="s">
        <v>76</v>
      </c>
      <c r="MYE38" s="256" t="s">
        <v>77</v>
      </c>
      <c r="MYF38" s="256" t="s">
        <v>78</v>
      </c>
      <c r="MYG38" s="256" t="s">
        <v>79</v>
      </c>
      <c r="MYH38" s="256" t="s">
        <v>80</v>
      </c>
      <c r="MYI38" s="256" t="s">
        <v>81</v>
      </c>
      <c r="MYJ38" s="331"/>
      <c r="MYK38" s="290">
        <v>45492</v>
      </c>
      <c r="MYL38" s="339" t="s">
        <v>141</v>
      </c>
      <c r="MYM38" s="305"/>
      <c r="MYN38" s="305">
        <v>1</v>
      </c>
      <c r="MYO38" s="304">
        <f t="shared" ref="MYO38" si="3829">EDATE(MYK38,MYN38)</f>
        <v>45523</v>
      </c>
      <c r="MYP38" s="340">
        <v>0</v>
      </c>
      <c r="MYQ38" s="320">
        <f t="shared" ref="MYQ38" si="3830">IF(MYR38&gt;=1,(MYP38/MYN38),0)</f>
        <v>0</v>
      </c>
      <c r="MYR38" s="292"/>
      <c r="MYS38" s="259" t="s">
        <v>55</v>
      </c>
      <c r="MYT38" s="256" t="s">
        <v>76</v>
      </c>
      <c r="MYU38" s="256" t="s">
        <v>77</v>
      </c>
      <c r="MYV38" s="256" t="s">
        <v>78</v>
      </c>
      <c r="MYW38" s="256" t="s">
        <v>79</v>
      </c>
      <c r="MYX38" s="256" t="s">
        <v>80</v>
      </c>
      <c r="MYY38" s="256" t="s">
        <v>81</v>
      </c>
      <c r="MYZ38" s="331"/>
      <c r="MZA38" s="290">
        <v>45492</v>
      </c>
      <c r="MZB38" s="339" t="s">
        <v>141</v>
      </c>
      <c r="MZC38" s="305"/>
      <c r="MZD38" s="305">
        <v>1</v>
      </c>
      <c r="MZE38" s="304">
        <f t="shared" ref="MZE38" si="3831">EDATE(MZA38,MZD38)</f>
        <v>45523</v>
      </c>
      <c r="MZF38" s="340">
        <v>0</v>
      </c>
      <c r="MZG38" s="320">
        <f t="shared" ref="MZG38" si="3832">IF(MZH38&gt;=1,(MZF38/MZD38),0)</f>
        <v>0</v>
      </c>
      <c r="MZH38" s="292"/>
      <c r="MZI38" s="259" t="s">
        <v>55</v>
      </c>
      <c r="MZJ38" s="256" t="s">
        <v>76</v>
      </c>
      <c r="MZK38" s="256" t="s">
        <v>77</v>
      </c>
      <c r="MZL38" s="256" t="s">
        <v>78</v>
      </c>
      <c r="MZM38" s="256" t="s">
        <v>79</v>
      </c>
      <c r="MZN38" s="256" t="s">
        <v>80</v>
      </c>
      <c r="MZO38" s="256" t="s">
        <v>81</v>
      </c>
      <c r="MZP38" s="331"/>
      <c r="MZQ38" s="290">
        <v>45492</v>
      </c>
      <c r="MZR38" s="339" t="s">
        <v>141</v>
      </c>
      <c r="MZS38" s="305"/>
      <c r="MZT38" s="305">
        <v>1</v>
      </c>
      <c r="MZU38" s="304">
        <f t="shared" ref="MZU38" si="3833">EDATE(MZQ38,MZT38)</f>
        <v>45523</v>
      </c>
      <c r="MZV38" s="340">
        <v>0</v>
      </c>
      <c r="MZW38" s="320">
        <f t="shared" ref="MZW38" si="3834">IF(MZX38&gt;=1,(MZV38/MZT38),0)</f>
        <v>0</v>
      </c>
      <c r="MZX38" s="292"/>
      <c r="MZY38" s="259" t="s">
        <v>55</v>
      </c>
      <c r="MZZ38" s="256" t="s">
        <v>76</v>
      </c>
      <c r="NAA38" s="256" t="s">
        <v>77</v>
      </c>
      <c r="NAB38" s="256" t="s">
        <v>78</v>
      </c>
      <c r="NAC38" s="256" t="s">
        <v>79</v>
      </c>
      <c r="NAD38" s="256" t="s">
        <v>80</v>
      </c>
      <c r="NAE38" s="256" t="s">
        <v>81</v>
      </c>
      <c r="NAF38" s="331"/>
      <c r="NAG38" s="290">
        <v>45492</v>
      </c>
      <c r="NAH38" s="339" t="s">
        <v>141</v>
      </c>
      <c r="NAI38" s="305"/>
      <c r="NAJ38" s="305">
        <v>1</v>
      </c>
      <c r="NAK38" s="304">
        <f t="shared" ref="NAK38" si="3835">EDATE(NAG38,NAJ38)</f>
        <v>45523</v>
      </c>
      <c r="NAL38" s="340">
        <v>0</v>
      </c>
      <c r="NAM38" s="320">
        <f t="shared" ref="NAM38" si="3836">IF(NAN38&gt;=1,(NAL38/NAJ38),0)</f>
        <v>0</v>
      </c>
      <c r="NAN38" s="292"/>
      <c r="NAO38" s="259" t="s">
        <v>55</v>
      </c>
      <c r="NAP38" s="256" t="s">
        <v>76</v>
      </c>
      <c r="NAQ38" s="256" t="s">
        <v>77</v>
      </c>
      <c r="NAR38" s="256" t="s">
        <v>78</v>
      </c>
      <c r="NAS38" s="256" t="s">
        <v>79</v>
      </c>
      <c r="NAT38" s="256" t="s">
        <v>80</v>
      </c>
      <c r="NAU38" s="256" t="s">
        <v>81</v>
      </c>
      <c r="NAV38" s="331"/>
      <c r="NAW38" s="290">
        <v>45492</v>
      </c>
      <c r="NAX38" s="339" t="s">
        <v>141</v>
      </c>
      <c r="NAY38" s="305"/>
      <c r="NAZ38" s="305">
        <v>1</v>
      </c>
      <c r="NBA38" s="304">
        <f t="shared" ref="NBA38" si="3837">EDATE(NAW38,NAZ38)</f>
        <v>45523</v>
      </c>
      <c r="NBB38" s="340">
        <v>0</v>
      </c>
      <c r="NBC38" s="320">
        <f t="shared" ref="NBC38" si="3838">IF(NBD38&gt;=1,(NBB38/NAZ38),0)</f>
        <v>0</v>
      </c>
      <c r="NBD38" s="292"/>
      <c r="NBE38" s="259" t="s">
        <v>55</v>
      </c>
      <c r="NBF38" s="256" t="s">
        <v>76</v>
      </c>
      <c r="NBG38" s="256" t="s">
        <v>77</v>
      </c>
      <c r="NBH38" s="256" t="s">
        <v>78</v>
      </c>
      <c r="NBI38" s="256" t="s">
        <v>79</v>
      </c>
      <c r="NBJ38" s="256" t="s">
        <v>80</v>
      </c>
      <c r="NBK38" s="256" t="s">
        <v>81</v>
      </c>
      <c r="NBL38" s="331"/>
      <c r="NBM38" s="290">
        <v>45492</v>
      </c>
      <c r="NBN38" s="339" t="s">
        <v>141</v>
      </c>
      <c r="NBO38" s="305"/>
      <c r="NBP38" s="305">
        <v>1</v>
      </c>
      <c r="NBQ38" s="304">
        <f t="shared" ref="NBQ38" si="3839">EDATE(NBM38,NBP38)</f>
        <v>45523</v>
      </c>
      <c r="NBR38" s="340">
        <v>0</v>
      </c>
      <c r="NBS38" s="320">
        <f t="shared" ref="NBS38" si="3840">IF(NBT38&gt;=1,(NBR38/NBP38),0)</f>
        <v>0</v>
      </c>
      <c r="NBT38" s="292"/>
      <c r="NBU38" s="259" t="s">
        <v>55</v>
      </c>
      <c r="NBV38" s="256" t="s">
        <v>76</v>
      </c>
      <c r="NBW38" s="256" t="s">
        <v>77</v>
      </c>
      <c r="NBX38" s="256" t="s">
        <v>78</v>
      </c>
      <c r="NBY38" s="256" t="s">
        <v>79</v>
      </c>
      <c r="NBZ38" s="256" t="s">
        <v>80</v>
      </c>
      <c r="NCA38" s="256" t="s">
        <v>81</v>
      </c>
      <c r="NCB38" s="331"/>
      <c r="NCC38" s="290">
        <v>45492</v>
      </c>
      <c r="NCD38" s="339" t="s">
        <v>141</v>
      </c>
      <c r="NCE38" s="305"/>
      <c r="NCF38" s="305">
        <v>1</v>
      </c>
      <c r="NCG38" s="304">
        <f t="shared" ref="NCG38" si="3841">EDATE(NCC38,NCF38)</f>
        <v>45523</v>
      </c>
      <c r="NCH38" s="340">
        <v>0</v>
      </c>
      <c r="NCI38" s="320">
        <f t="shared" ref="NCI38" si="3842">IF(NCJ38&gt;=1,(NCH38/NCF38),0)</f>
        <v>0</v>
      </c>
      <c r="NCJ38" s="292"/>
      <c r="NCK38" s="259" t="s">
        <v>55</v>
      </c>
      <c r="NCL38" s="256" t="s">
        <v>76</v>
      </c>
      <c r="NCM38" s="256" t="s">
        <v>77</v>
      </c>
      <c r="NCN38" s="256" t="s">
        <v>78</v>
      </c>
      <c r="NCO38" s="256" t="s">
        <v>79</v>
      </c>
      <c r="NCP38" s="256" t="s">
        <v>80</v>
      </c>
      <c r="NCQ38" s="256" t="s">
        <v>81</v>
      </c>
      <c r="NCR38" s="331"/>
      <c r="NCS38" s="290">
        <v>45492</v>
      </c>
      <c r="NCT38" s="339" t="s">
        <v>141</v>
      </c>
      <c r="NCU38" s="305"/>
      <c r="NCV38" s="305">
        <v>1</v>
      </c>
      <c r="NCW38" s="304">
        <f t="shared" ref="NCW38" si="3843">EDATE(NCS38,NCV38)</f>
        <v>45523</v>
      </c>
      <c r="NCX38" s="340">
        <v>0</v>
      </c>
      <c r="NCY38" s="320">
        <f t="shared" ref="NCY38" si="3844">IF(NCZ38&gt;=1,(NCX38/NCV38),0)</f>
        <v>0</v>
      </c>
      <c r="NCZ38" s="292"/>
      <c r="NDA38" s="259" t="s">
        <v>55</v>
      </c>
      <c r="NDB38" s="256" t="s">
        <v>76</v>
      </c>
      <c r="NDC38" s="256" t="s">
        <v>77</v>
      </c>
      <c r="NDD38" s="256" t="s">
        <v>78</v>
      </c>
      <c r="NDE38" s="256" t="s">
        <v>79</v>
      </c>
      <c r="NDF38" s="256" t="s">
        <v>80</v>
      </c>
      <c r="NDG38" s="256" t="s">
        <v>81</v>
      </c>
      <c r="NDH38" s="331"/>
      <c r="NDI38" s="290">
        <v>45492</v>
      </c>
      <c r="NDJ38" s="339" t="s">
        <v>141</v>
      </c>
      <c r="NDK38" s="305"/>
      <c r="NDL38" s="305">
        <v>1</v>
      </c>
      <c r="NDM38" s="304">
        <f t="shared" ref="NDM38" si="3845">EDATE(NDI38,NDL38)</f>
        <v>45523</v>
      </c>
      <c r="NDN38" s="340">
        <v>0</v>
      </c>
      <c r="NDO38" s="320">
        <f t="shared" ref="NDO38" si="3846">IF(NDP38&gt;=1,(NDN38/NDL38),0)</f>
        <v>0</v>
      </c>
      <c r="NDP38" s="292"/>
      <c r="NDQ38" s="259" t="s">
        <v>55</v>
      </c>
      <c r="NDR38" s="256" t="s">
        <v>76</v>
      </c>
      <c r="NDS38" s="256" t="s">
        <v>77</v>
      </c>
      <c r="NDT38" s="256" t="s">
        <v>78</v>
      </c>
      <c r="NDU38" s="256" t="s">
        <v>79</v>
      </c>
      <c r="NDV38" s="256" t="s">
        <v>80</v>
      </c>
      <c r="NDW38" s="256" t="s">
        <v>81</v>
      </c>
      <c r="NDX38" s="331"/>
      <c r="NDY38" s="290">
        <v>45492</v>
      </c>
      <c r="NDZ38" s="339" t="s">
        <v>141</v>
      </c>
      <c r="NEA38" s="305"/>
      <c r="NEB38" s="305">
        <v>1</v>
      </c>
      <c r="NEC38" s="304">
        <f t="shared" ref="NEC38" si="3847">EDATE(NDY38,NEB38)</f>
        <v>45523</v>
      </c>
      <c r="NED38" s="340">
        <v>0</v>
      </c>
      <c r="NEE38" s="320">
        <f t="shared" ref="NEE38" si="3848">IF(NEF38&gt;=1,(NED38/NEB38),0)</f>
        <v>0</v>
      </c>
      <c r="NEF38" s="292"/>
      <c r="NEG38" s="259" t="s">
        <v>55</v>
      </c>
      <c r="NEH38" s="256" t="s">
        <v>76</v>
      </c>
      <c r="NEI38" s="256" t="s">
        <v>77</v>
      </c>
      <c r="NEJ38" s="256" t="s">
        <v>78</v>
      </c>
      <c r="NEK38" s="256" t="s">
        <v>79</v>
      </c>
      <c r="NEL38" s="256" t="s">
        <v>80</v>
      </c>
      <c r="NEM38" s="256" t="s">
        <v>81</v>
      </c>
      <c r="NEN38" s="331"/>
      <c r="NEO38" s="290">
        <v>45492</v>
      </c>
      <c r="NEP38" s="339" t="s">
        <v>141</v>
      </c>
      <c r="NEQ38" s="305"/>
      <c r="NER38" s="305">
        <v>1</v>
      </c>
      <c r="NES38" s="304">
        <f t="shared" ref="NES38" si="3849">EDATE(NEO38,NER38)</f>
        <v>45523</v>
      </c>
      <c r="NET38" s="340">
        <v>0</v>
      </c>
      <c r="NEU38" s="320">
        <f t="shared" ref="NEU38" si="3850">IF(NEV38&gt;=1,(NET38/NER38),0)</f>
        <v>0</v>
      </c>
      <c r="NEV38" s="292"/>
      <c r="NEW38" s="259" t="s">
        <v>55</v>
      </c>
      <c r="NEX38" s="256" t="s">
        <v>76</v>
      </c>
      <c r="NEY38" s="256" t="s">
        <v>77</v>
      </c>
      <c r="NEZ38" s="256" t="s">
        <v>78</v>
      </c>
      <c r="NFA38" s="256" t="s">
        <v>79</v>
      </c>
      <c r="NFB38" s="256" t="s">
        <v>80</v>
      </c>
      <c r="NFC38" s="256" t="s">
        <v>81</v>
      </c>
      <c r="NFD38" s="331"/>
      <c r="NFE38" s="290">
        <v>45492</v>
      </c>
      <c r="NFF38" s="339" t="s">
        <v>141</v>
      </c>
      <c r="NFG38" s="305"/>
      <c r="NFH38" s="305">
        <v>1</v>
      </c>
      <c r="NFI38" s="304">
        <f t="shared" ref="NFI38" si="3851">EDATE(NFE38,NFH38)</f>
        <v>45523</v>
      </c>
      <c r="NFJ38" s="340">
        <v>0</v>
      </c>
      <c r="NFK38" s="320">
        <f t="shared" ref="NFK38" si="3852">IF(NFL38&gt;=1,(NFJ38/NFH38),0)</f>
        <v>0</v>
      </c>
      <c r="NFL38" s="292"/>
      <c r="NFM38" s="259" t="s">
        <v>55</v>
      </c>
      <c r="NFN38" s="256" t="s">
        <v>76</v>
      </c>
      <c r="NFO38" s="256" t="s">
        <v>77</v>
      </c>
      <c r="NFP38" s="256" t="s">
        <v>78</v>
      </c>
      <c r="NFQ38" s="256" t="s">
        <v>79</v>
      </c>
      <c r="NFR38" s="256" t="s">
        <v>80</v>
      </c>
      <c r="NFS38" s="256" t="s">
        <v>81</v>
      </c>
      <c r="NFT38" s="331"/>
      <c r="NFU38" s="290">
        <v>45492</v>
      </c>
      <c r="NFV38" s="339" t="s">
        <v>141</v>
      </c>
      <c r="NFW38" s="305"/>
      <c r="NFX38" s="305">
        <v>1</v>
      </c>
      <c r="NFY38" s="304">
        <f t="shared" ref="NFY38" si="3853">EDATE(NFU38,NFX38)</f>
        <v>45523</v>
      </c>
      <c r="NFZ38" s="340">
        <v>0</v>
      </c>
      <c r="NGA38" s="320">
        <f t="shared" ref="NGA38" si="3854">IF(NGB38&gt;=1,(NFZ38/NFX38),0)</f>
        <v>0</v>
      </c>
      <c r="NGB38" s="292"/>
      <c r="NGC38" s="259" t="s">
        <v>55</v>
      </c>
      <c r="NGD38" s="256" t="s">
        <v>76</v>
      </c>
      <c r="NGE38" s="256" t="s">
        <v>77</v>
      </c>
      <c r="NGF38" s="256" t="s">
        <v>78</v>
      </c>
      <c r="NGG38" s="256" t="s">
        <v>79</v>
      </c>
      <c r="NGH38" s="256" t="s">
        <v>80</v>
      </c>
      <c r="NGI38" s="256" t="s">
        <v>81</v>
      </c>
      <c r="NGJ38" s="331"/>
      <c r="NGK38" s="290">
        <v>45492</v>
      </c>
      <c r="NGL38" s="339" t="s">
        <v>141</v>
      </c>
      <c r="NGM38" s="305"/>
      <c r="NGN38" s="305">
        <v>1</v>
      </c>
      <c r="NGO38" s="304">
        <f t="shared" ref="NGO38" si="3855">EDATE(NGK38,NGN38)</f>
        <v>45523</v>
      </c>
      <c r="NGP38" s="340">
        <v>0</v>
      </c>
      <c r="NGQ38" s="320">
        <f t="shared" ref="NGQ38" si="3856">IF(NGR38&gt;=1,(NGP38/NGN38),0)</f>
        <v>0</v>
      </c>
      <c r="NGR38" s="292"/>
      <c r="NGS38" s="259" t="s">
        <v>55</v>
      </c>
      <c r="NGT38" s="256" t="s">
        <v>76</v>
      </c>
      <c r="NGU38" s="256" t="s">
        <v>77</v>
      </c>
      <c r="NGV38" s="256" t="s">
        <v>78</v>
      </c>
      <c r="NGW38" s="256" t="s">
        <v>79</v>
      </c>
      <c r="NGX38" s="256" t="s">
        <v>80</v>
      </c>
      <c r="NGY38" s="256" t="s">
        <v>81</v>
      </c>
      <c r="NGZ38" s="331"/>
      <c r="NHA38" s="290">
        <v>45492</v>
      </c>
      <c r="NHB38" s="339" t="s">
        <v>141</v>
      </c>
      <c r="NHC38" s="305"/>
      <c r="NHD38" s="305">
        <v>1</v>
      </c>
      <c r="NHE38" s="304">
        <f t="shared" ref="NHE38" si="3857">EDATE(NHA38,NHD38)</f>
        <v>45523</v>
      </c>
      <c r="NHF38" s="340">
        <v>0</v>
      </c>
      <c r="NHG38" s="320">
        <f t="shared" ref="NHG38" si="3858">IF(NHH38&gt;=1,(NHF38/NHD38),0)</f>
        <v>0</v>
      </c>
      <c r="NHH38" s="292"/>
      <c r="NHI38" s="259" t="s">
        <v>55</v>
      </c>
      <c r="NHJ38" s="256" t="s">
        <v>76</v>
      </c>
      <c r="NHK38" s="256" t="s">
        <v>77</v>
      </c>
      <c r="NHL38" s="256" t="s">
        <v>78</v>
      </c>
      <c r="NHM38" s="256" t="s">
        <v>79</v>
      </c>
      <c r="NHN38" s="256" t="s">
        <v>80</v>
      </c>
      <c r="NHO38" s="256" t="s">
        <v>81</v>
      </c>
      <c r="NHP38" s="331"/>
      <c r="NHQ38" s="290">
        <v>45492</v>
      </c>
      <c r="NHR38" s="339" t="s">
        <v>141</v>
      </c>
      <c r="NHS38" s="305"/>
      <c r="NHT38" s="305">
        <v>1</v>
      </c>
      <c r="NHU38" s="304">
        <f t="shared" ref="NHU38" si="3859">EDATE(NHQ38,NHT38)</f>
        <v>45523</v>
      </c>
      <c r="NHV38" s="340">
        <v>0</v>
      </c>
      <c r="NHW38" s="320">
        <f t="shared" ref="NHW38" si="3860">IF(NHX38&gt;=1,(NHV38/NHT38),0)</f>
        <v>0</v>
      </c>
      <c r="NHX38" s="292"/>
      <c r="NHY38" s="259" t="s">
        <v>55</v>
      </c>
      <c r="NHZ38" s="256" t="s">
        <v>76</v>
      </c>
      <c r="NIA38" s="256" t="s">
        <v>77</v>
      </c>
      <c r="NIB38" s="256" t="s">
        <v>78</v>
      </c>
      <c r="NIC38" s="256" t="s">
        <v>79</v>
      </c>
      <c r="NID38" s="256" t="s">
        <v>80</v>
      </c>
      <c r="NIE38" s="256" t="s">
        <v>81</v>
      </c>
      <c r="NIF38" s="331"/>
      <c r="NIG38" s="290">
        <v>45492</v>
      </c>
      <c r="NIH38" s="339" t="s">
        <v>141</v>
      </c>
      <c r="NII38" s="305"/>
      <c r="NIJ38" s="305">
        <v>1</v>
      </c>
      <c r="NIK38" s="304">
        <f t="shared" ref="NIK38" si="3861">EDATE(NIG38,NIJ38)</f>
        <v>45523</v>
      </c>
      <c r="NIL38" s="340">
        <v>0</v>
      </c>
      <c r="NIM38" s="320">
        <f t="shared" ref="NIM38" si="3862">IF(NIN38&gt;=1,(NIL38/NIJ38),0)</f>
        <v>0</v>
      </c>
      <c r="NIN38" s="292"/>
      <c r="NIO38" s="259" t="s">
        <v>55</v>
      </c>
      <c r="NIP38" s="256" t="s">
        <v>76</v>
      </c>
      <c r="NIQ38" s="256" t="s">
        <v>77</v>
      </c>
      <c r="NIR38" s="256" t="s">
        <v>78</v>
      </c>
      <c r="NIS38" s="256" t="s">
        <v>79</v>
      </c>
      <c r="NIT38" s="256" t="s">
        <v>80</v>
      </c>
      <c r="NIU38" s="256" t="s">
        <v>81</v>
      </c>
      <c r="NIV38" s="331"/>
      <c r="NIW38" s="290">
        <v>45492</v>
      </c>
      <c r="NIX38" s="339" t="s">
        <v>141</v>
      </c>
      <c r="NIY38" s="305"/>
      <c r="NIZ38" s="305">
        <v>1</v>
      </c>
      <c r="NJA38" s="304">
        <f t="shared" ref="NJA38" si="3863">EDATE(NIW38,NIZ38)</f>
        <v>45523</v>
      </c>
      <c r="NJB38" s="340">
        <v>0</v>
      </c>
      <c r="NJC38" s="320">
        <f t="shared" ref="NJC38" si="3864">IF(NJD38&gt;=1,(NJB38/NIZ38),0)</f>
        <v>0</v>
      </c>
      <c r="NJD38" s="292"/>
      <c r="NJE38" s="259" t="s">
        <v>55</v>
      </c>
      <c r="NJF38" s="256" t="s">
        <v>76</v>
      </c>
      <c r="NJG38" s="256" t="s">
        <v>77</v>
      </c>
      <c r="NJH38" s="256" t="s">
        <v>78</v>
      </c>
      <c r="NJI38" s="256" t="s">
        <v>79</v>
      </c>
      <c r="NJJ38" s="256" t="s">
        <v>80</v>
      </c>
      <c r="NJK38" s="256" t="s">
        <v>81</v>
      </c>
      <c r="NJL38" s="331"/>
      <c r="NJM38" s="290">
        <v>45492</v>
      </c>
      <c r="NJN38" s="339" t="s">
        <v>141</v>
      </c>
      <c r="NJO38" s="305"/>
      <c r="NJP38" s="305">
        <v>1</v>
      </c>
      <c r="NJQ38" s="304">
        <f t="shared" ref="NJQ38" si="3865">EDATE(NJM38,NJP38)</f>
        <v>45523</v>
      </c>
      <c r="NJR38" s="340">
        <v>0</v>
      </c>
      <c r="NJS38" s="320">
        <f t="shared" ref="NJS38" si="3866">IF(NJT38&gt;=1,(NJR38/NJP38),0)</f>
        <v>0</v>
      </c>
      <c r="NJT38" s="292"/>
      <c r="NJU38" s="259" t="s">
        <v>55</v>
      </c>
      <c r="NJV38" s="256" t="s">
        <v>76</v>
      </c>
      <c r="NJW38" s="256" t="s">
        <v>77</v>
      </c>
      <c r="NJX38" s="256" t="s">
        <v>78</v>
      </c>
      <c r="NJY38" s="256" t="s">
        <v>79</v>
      </c>
      <c r="NJZ38" s="256" t="s">
        <v>80</v>
      </c>
      <c r="NKA38" s="256" t="s">
        <v>81</v>
      </c>
      <c r="NKB38" s="331"/>
      <c r="NKC38" s="290">
        <v>45492</v>
      </c>
      <c r="NKD38" s="339" t="s">
        <v>141</v>
      </c>
      <c r="NKE38" s="305"/>
      <c r="NKF38" s="305">
        <v>1</v>
      </c>
      <c r="NKG38" s="304">
        <f t="shared" ref="NKG38" si="3867">EDATE(NKC38,NKF38)</f>
        <v>45523</v>
      </c>
      <c r="NKH38" s="340">
        <v>0</v>
      </c>
      <c r="NKI38" s="320">
        <f t="shared" ref="NKI38" si="3868">IF(NKJ38&gt;=1,(NKH38/NKF38),0)</f>
        <v>0</v>
      </c>
      <c r="NKJ38" s="292"/>
      <c r="NKK38" s="259" t="s">
        <v>55</v>
      </c>
      <c r="NKL38" s="256" t="s">
        <v>76</v>
      </c>
      <c r="NKM38" s="256" t="s">
        <v>77</v>
      </c>
      <c r="NKN38" s="256" t="s">
        <v>78</v>
      </c>
      <c r="NKO38" s="256" t="s">
        <v>79</v>
      </c>
      <c r="NKP38" s="256" t="s">
        <v>80</v>
      </c>
      <c r="NKQ38" s="256" t="s">
        <v>81</v>
      </c>
      <c r="NKR38" s="331"/>
      <c r="NKS38" s="290">
        <v>45492</v>
      </c>
      <c r="NKT38" s="339" t="s">
        <v>141</v>
      </c>
      <c r="NKU38" s="305"/>
      <c r="NKV38" s="305">
        <v>1</v>
      </c>
      <c r="NKW38" s="304">
        <f t="shared" ref="NKW38" si="3869">EDATE(NKS38,NKV38)</f>
        <v>45523</v>
      </c>
      <c r="NKX38" s="340">
        <v>0</v>
      </c>
      <c r="NKY38" s="320">
        <f t="shared" ref="NKY38" si="3870">IF(NKZ38&gt;=1,(NKX38/NKV38),0)</f>
        <v>0</v>
      </c>
      <c r="NKZ38" s="292"/>
      <c r="NLA38" s="259" t="s">
        <v>55</v>
      </c>
      <c r="NLB38" s="256" t="s">
        <v>76</v>
      </c>
      <c r="NLC38" s="256" t="s">
        <v>77</v>
      </c>
      <c r="NLD38" s="256" t="s">
        <v>78</v>
      </c>
      <c r="NLE38" s="256" t="s">
        <v>79</v>
      </c>
      <c r="NLF38" s="256" t="s">
        <v>80</v>
      </c>
      <c r="NLG38" s="256" t="s">
        <v>81</v>
      </c>
      <c r="NLH38" s="331"/>
      <c r="NLI38" s="290">
        <v>45492</v>
      </c>
      <c r="NLJ38" s="339" t="s">
        <v>141</v>
      </c>
      <c r="NLK38" s="305"/>
      <c r="NLL38" s="305">
        <v>1</v>
      </c>
      <c r="NLM38" s="304">
        <f t="shared" ref="NLM38" si="3871">EDATE(NLI38,NLL38)</f>
        <v>45523</v>
      </c>
      <c r="NLN38" s="340">
        <v>0</v>
      </c>
      <c r="NLO38" s="320">
        <f t="shared" ref="NLO38" si="3872">IF(NLP38&gt;=1,(NLN38/NLL38),0)</f>
        <v>0</v>
      </c>
      <c r="NLP38" s="292"/>
      <c r="NLQ38" s="259" t="s">
        <v>55</v>
      </c>
      <c r="NLR38" s="256" t="s">
        <v>76</v>
      </c>
      <c r="NLS38" s="256" t="s">
        <v>77</v>
      </c>
      <c r="NLT38" s="256" t="s">
        <v>78</v>
      </c>
      <c r="NLU38" s="256" t="s">
        <v>79</v>
      </c>
      <c r="NLV38" s="256" t="s">
        <v>80</v>
      </c>
      <c r="NLW38" s="256" t="s">
        <v>81</v>
      </c>
      <c r="NLX38" s="331"/>
      <c r="NLY38" s="290">
        <v>45492</v>
      </c>
      <c r="NLZ38" s="339" t="s">
        <v>141</v>
      </c>
      <c r="NMA38" s="305"/>
      <c r="NMB38" s="305">
        <v>1</v>
      </c>
      <c r="NMC38" s="304">
        <f t="shared" ref="NMC38" si="3873">EDATE(NLY38,NMB38)</f>
        <v>45523</v>
      </c>
      <c r="NMD38" s="340">
        <v>0</v>
      </c>
      <c r="NME38" s="320">
        <f t="shared" ref="NME38" si="3874">IF(NMF38&gt;=1,(NMD38/NMB38),0)</f>
        <v>0</v>
      </c>
      <c r="NMF38" s="292"/>
      <c r="NMG38" s="259" t="s">
        <v>55</v>
      </c>
      <c r="NMH38" s="256" t="s">
        <v>76</v>
      </c>
      <c r="NMI38" s="256" t="s">
        <v>77</v>
      </c>
      <c r="NMJ38" s="256" t="s">
        <v>78</v>
      </c>
      <c r="NMK38" s="256" t="s">
        <v>79</v>
      </c>
      <c r="NML38" s="256" t="s">
        <v>80</v>
      </c>
      <c r="NMM38" s="256" t="s">
        <v>81</v>
      </c>
      <c r="NMN38" s="331"/>
      <c r="NMO38" s="290">
        <v>45492</v>
      </c>
      <c r="NMP38" s="339" t="s">
        <v>141</v>
      </c>
      <c r="NMQ38" s="305"/>
      <c r="NMR38" s="305">
        <v>1</v>
      </c>
      <c r="NMS38" s="304">
        <f t="shared" ref="NMS38" si="3875">EDATE(NMO38,NMR38)</f>
        <v>45523</v>
      </c>
      <c r="NMT38" s="340">
        <v>0</v>
      </c>
      <c r="NMU38" s="320">
        <f t="shared" ref="NMU38" si="3876">IF(NMV38&gt;=1,(NMT38/NMR38),0)</f>
        <v>0</v>
      </c>
      <c r="NMV38" s="292"/>
      <c r="NMW38" s="259" t="s">
        <v>55</v>
      </c>
      <c r="NMX38" s="256" t="s">
        <v>76</v>
      </c>
      <c r="NMY38" s="256" t="s">
        <v>77</v>
      </c>
      <c r="NMZ38" s="256" t="s">
        <v>78</v>
      </c>
      <c r="NNA38" s="256" t="s">
        <v>79</v>
      </c>
      <c r="NNB38" s="256" t="s">
        <v>80</v>
      </c>
      <c r="NNC38" s="256" t="s">
        <v>81</v>
      </c>
      <c r="NND38" s="331"/>
      <c r="NNE38" s="290">
        <v>45492</v>
      </c>
      <c r="NNF38" s="339" t="s">
        <v>141</v>
      </c>
      <c r="NNG38" s="305"/>
      <c r="NNH38" s="305">
        <v>1</v>
      </c>
      <c r="NNI38" s="304">
        <f t="shared" ref="NNI38" si="3877">EDATE(NNE38,NNH38)</f>
        <v>45523</v>
      </c>
      <c r="NNJ38" s="340">
        <v>0</v>
      </c>
      <c r="NNK38" s="320">
        <f t="shared" ref="NNK38" si="3878">IF(NNL38&gt;=1,(NNJ38/NNH38),0)</f>
        <v>0</v>
      </c>
      <c r="NNL38" s="292"/>
      <c r="NNM38" s="259" t="s">
        <v>55</v>
      </c>
      <c r="NNN38" s="256" t="s">
        <v>76</v>
      </c>
      <c r="NNO38" s="256" t="s">
        <v>77</v>
      </c>
      <c r="NNP38" s="256" t="s">
        <v>78</v>
      </c>
      <c r="NNQ38" s="256" t="s">
        <v>79</v>
      </c>
      <c r="NNR38" s="256" t="s">
        <v>80</v>
      </c>
      <c r="NNS38" s="256" t="s">
        <v>81</v>
      </c>
      <c r="NNT38" s="331"/>
      <c r="NNU38" s="290">
        <v>45492</v>
      </c>
      <c r="NNV38" s="339" t="s">
        <v>141</v>
      </c>
      <c r="NNW38" s="305"/>
      <c r="NNX38" s="305">
        <v>1</v>
      </c>
      <c r="NNY38" s="304">
        <f t="shared" ref="NNY38" si="3879">EDATE(NNU38,NNX38)</f>
        <v>45523</v>
      </c>
      <c r="NNZ38" s="340">
        <v>0</v>
      </c>
      <c r="NOA38" s="320">
        <f t="shared" ref="NOA38" si="3880">IF(NOB38&gt;=1,(NNZ38/NNX38),0)</f>
        <v>0</v>
      </c>
      <c r="NOB38" s="292"/>
      <c r="NOC38" s="259" t="s">
        <v>55</v>
      </c>
      <c r="NOD38" s="256" t="s">
        <v>76</v>
      </c>
      <c r="NOE38" s="256" t="s">
        <v>77</v>
      </c>
      <c r="NOF38" s="256" t="s">
        <v>78</v>
      </c>
      <c r="NOG38" s="256" t="s">
        <v>79</v>
      </c>
      <c r="NOH38" s="256" t="s">
        <v>80</v>
      </c>
      <c r="NOI38" s="256" t="s">
        <v>81</v>
      </c>
      <c r="NOJ38" s="331"/>
      <c r="NOK38" s="290">
        <v>45492</v>
      </c>
      <c r="NOL38" s="339" t="s">
        <v>141</v>
      </c>
      <c r="NOM38" s="305"/>
      <c r="NON38" s="305">
        <v>1</v>
      </c>
      <c r="NOO38" s="304">
        <f t="shared" ref="NOO38" si="3881">EDATE(NOK38,NON38)</f>
        <v>45523</v>
      </c>
      <c r="NOP38" s="340">
        <v>0</v>
      </c>
      <c r="NOQ38" s="320">
        <f t="shared" ref="NOQ38" si="3882">IF(NOR38&gt;=1,(NOP38/NON38),0)</f>
        <v>0</v>
      </c>
      <c r="NOR38" s="292"/>
      <c r="NOS38" s="259" t="s">
        <v>55</v>
      </c>
      <c r="NOT38" s="256" t="s">
        <v>76</v>
      </c>
      <c r="NOU38" s="256" t="s">
        <v>77</v>
      </c>
      <c r="NOV38" s="256" t="s">
        <v>78</v>
      </c>
      <c r="NOW38" s="256" t="s">
        <v>79</v>
      </c>
      <c r="NOX38" s="256" t="s">
        <v>80</v>
      </c>
      <c r="NOY38" s="256" t="s">
        <v>81</v>
      </c>
      <c r="NOZ38" s="331"/>
      <c r="NPA38" s="290">
        <v>45492</v>
      </c>
      <c r="NPB38" s="339" t="s">
        <v>141</v>
      </c>
      <c r="NPC38" s="305"/>
      <c r="NPD38" s="305">
        <v>1</v>
      </c>
      <c r="NPE38" s="304">
        <f t="shared" ref="NPE38" si="3883">EDATE(NPA38,NPD38)</f>
        <v>45523</v>
      </c>
      <c r="NPF38" s="340">
        <v>0</v>
      </c>
      <c r="NPG38" s="320">
        <f t="shared" ref="NPG38" si="3884">IF(NPH38&gt;=1,(NPF38/NPD38),0)</f>
        <v>0</v>
      </c>
      <c r="NPH38" s="292"/>
      <c r="NPI38" s="259" t="s">
        <v>55</v>
      </c>
      <c r="NPJ38" s="256" t="s">
        <v>76</v>
      </c>
      <c r="NPK38" s="256" t="s">
        <v>77</v>
      </c>
      <c r="NPL38" s="256" t="s">
        <v>78</v>
      </c>
      <c r="NPM38" s="256" t="s">
        <v>79</v>
      </c>
      <c r="NPN38" s="256" t="s">
        <v>80</v>
      </c>
      <c r="NPO38" s="256" t="s">
        <v>81</v>
      </c>
      <c r="NPP38" s="331"/>
      <c r="NPQ38" s="290">
        <v>45492</v>
      </c>
      <c r="NPR38" s="339" t="s">
        <v>141</v>
      </c>
      <c r="NPS38" s="305"/>
      <c r="NPT38" s="305">
        <v>1</v>
      </c>
      <c r="NPU38" s="304">
        <f t="shared" ref="NPU38" si="3885">EDATE(NPQ38,NPT38)</f>
        <v>45523</v>
      </c>
      <c r="NPV38" s="340">
        <v>0</v>
      </c>
      <c r="NPW38" s="320">
        <f t="shared" ref="NPW38" si="3886">IF(NPX38&gt;=1,(NPV38/NPT38),0)</f>
        <v>0</v>
      </c>
      <c r="NPX38" s="292"/>
      <c r="NPY38" s="259" t="s">
        <v>55</v>
      </c>
      <c r="NPZ38" s="256" t="s">
        <v>76</v>
      </c>
      <c r="NQA38" s="256" t="s">
        <v>77</v>
      </c>
      <c r="NQB38" s="256" t="s">
        <v>78</v>
      </c>
      <c r="NQC38" s="256" t="s">
        <v>79</v>
      </c>
      <c r="NQD38" s="256" t="s">
        <v>80</v>
      </c>
      <c r="NQE38" s="256" t="s">
        <v>81</v>
      </c>
      <c r="NQF38" s="331"/>
      <c r="NQG38" s="290">
        <v>45492</v>
      </c>
      <c r="NQH38" s="339" t="s">
        <v>141</v>
      </c>
      <c r="NQI38" s="305"/>
      <c r="NQJ38" s="305">
        <v>1</v>
      </c>
      <c r="NQK38" s="304">
        <f t="shared" ref="NQK38" si="3887">EDATE(NQG38,NQJ38)</f>
        <v>45523</v>
      </c>
      <c r="NQL38" s="340">
        <v>0</v>
      </c>
      <c r="NQM38" s="320">
        <f t="shared" ref="NQM38" si="3888">IF(NQN38&gt;=1,(NQL38/NQJ38),0)</f>
        <v>0</v>
      </c>
      <c r="NQN38" s="292"/>
      <c r="NQO38" s="259" t="s">
        <v>55</v>
      </c>
      <c r="NQP38" s="256" t="s">
        <v>76</v>
      </c>
      <c r="NQQ38" s="256" t="s">
        <v>77</v>
      </c>
      <c r="NQR38" s="256" t="s">
        <v>78</v>
      </c>
      <c r="NQS38" s="256" t="s">
        <v>79</v>
      </c>
      <c r="NQT38" s="256" t="s">
        <v>80</v>
      </c>
      <c r="NQU38" s="256" t="s">
        <v>81</v>
      </c>
      <c r="NQV38" s="331"/>
      <c r="NQW38" s="290">
        <v>45492</v>
      </c>
      <c r="NQX38" s="339" t="s">
        <v>141</v>
      </c>
      <c r="NQY38" s="305"/>
      <c r="NQZ38" s="305">
        <v>1</v>
      </c>
      <c r="NRA38" s="304">
        <f t="shared" ref="NRA38" si="3889">EDATE(NQW38,NQZ38)</f>
        <v>45523</v>
      </c>
      <c r="NRB38" s="340">
        <v>0</v>
      </c>
      <c r="NRC38" s="320">
        <f t="shared" ref="NRC38" si="3890">IF(NRD38&gt;=1,(NRB38/NQZ38),0)</f>
        <v>0</v>
      </c>
      <c r="NRD38" s="292"/>
      <c r="NRE38" s="259" t="s">
        <v>55</v>
      </c>
      <c r="NRF38" s="256" t="s">
        <v>76</v>
      </c>
      <c r="NRG38" s="256" t="s">
        <v>77</v>
      </c>
      <c r="NRH38" s="256" t="s">
        <v>78</v>
      </c>
      <c r="NRI38" s="256" t="s">
        <v>79</v>
      </c>
      <c r="NRJ38" s="256" t="s">
        <v>80</v>
      </c>
      <c r="NRK38" s="256" t="s">
        <v>81</v>
      </c>
      <c r="NRL38" s="331"/>
      <c r="NRM38" s="290">
        <v>45492</v>
      </c>
      <c r="NRN38" s="339" t="s">
        <v>141</v>
      </c>
      <c r="NRO38" s="305"/>
      <c r="NRP38" s="305">
        <v>1</v>
      </c>
      <c r="NRQ38" s="304">
        <f t="shared" ref="NRQ38" si="3891">EDATE(NRM38,NRP38)</f>
        <v>45523</v>
      </c>
      <c r="NRR38" s="340">
        <v>0</v>
      </c>
      <c r="NRS38" s="320">
        <f t="shared" ref="NRS38" si="3892">IF(NRT38&gt;=1,(NRR38/NRP38),0)</f>
        <v>0</v>
      </c>
      <c r="NRT38" s="292"/>
      <c r="NRU38" s="259" t="s">
        <v>55</v>
      </c>
      <c r="NRV38" s="256" t="s">
        <v>76</v>
      </c>
      <c r="NRW38" s="256" t="s">
        <v>77</v>
      </c>
      <c r="NRX38" s="256" t="s">
        <v>78</v>
      </c>
      <c r="NRY38" s="256" t="s">
        <v>79</v>
      </c>
      <c r="NRZ38" s="256" t="s">
        <v>80</v>
      </c>
      <c r="NSA38" s="256" t="s">
        <v>81</v>
      </c>
      <c r="NSB38" s="331"/>
      <c r="NSC38" s="290">
        <v>45492</v>
      </c>
      <c r="NSD38" s="339" t="s">
        <v>141</v>
      </c>
      <c r="NSE38" s="305"/>
      <c r="NSF38" s="305">
        <v>1</v>
      </c>
      <c r="NSG38" s="304">
        <f t="shared" ref="NSG38" si="3893">EDATE(NSC38,NSF38)</f>
        <v>45523</v>
      </c>
      <c r="NSH38" s="340">
        <v>0</v>
      </c>
      <c r="NSI38" s="320">
        <f t="shared" ref="NSI38" si="3894">IF(NSJ38&gt;=1,(NSH38/NSF38),0)</f>
        <v>0</v>
      </c>
      <c r="NSJ38" s="292"/>
      <c r="NSK38" s="259" t="s">
        <v>55</v>
      </c>
      <c r="NSL38" s="256" t="s">
        <v>76</v>
      </c>
      <c r="NSM38" s="256" t="s">
        <v>77</v>
      </c>
      <c r="NSN38" s="256" t="s">
        <v>78</v>
      </c>
      <c r="NSO38" s="256" t="s">
        <v>79</v>
      </c>
      <c r="NSP38" s="256" t="s">
        <v>80</v>
      </c>
      <c r="NSQ38" s="256" t="s">
        <v>81</v>
      </c>
      <c r="NSR38" s="331"/>
      <c r="NSS38" s="290">
        <v>45492</v>
      </c>
      <c r="NST38" s="339" t="s">
        <v>141</v>
      </c>
      <c r="NSU38" s="305"/>
      <c r="NSV38" s="305">
        <v>1</v>
      </c>
      <c r="NSW38" s="304">
        <f t="shared" ref="NSW38" si="3895">EDATE(NSS38,NSV38)</f>
        <v>45523</v>
      </c>
      <c r="NSX38" s="340">
        <v>0</v>
      </c>
      <c r="NSY38" s="320">
        <f t="shared" ref="NSY38" si="3896">IF(NSZ38&gt;=1,(NSX38/NSV38),0)</f>
        <v>0</v>
      </c>
      <c r="NSZ38" s="292"/>
      <c r="NTA38" s="259" t="s">
        <v>55</v>
      </c>
      <c r="NTB38" s="256" t="s">
        <v>76</v>
      </c>
      <c r="NTC38" s="256" t="s">
        <v>77</v>
      </c>
      <c r="NTD38" s="256" t="s">
        <v>78</v>
      </c>
      <c r="NTE38" s="256" t="s">
        <v>79</v>
      </c>
      <c r="NTF38" s="256" t="s">
        <v>80</v>
      </c>
      <c r="NTG38" s="256" t="s">
        <v>81</v>
      </c>
      <c r="NTH38" s="331"/>
      <c r="NTI38" s="290">
        <v>45492</v>
      </c>
      <c r="NTJ38" s="339" t="s">
        <v>141</v>
      </c>
      <c r="NTK38" s="305"/>
      <c r="NTL38" s="305">
        <v>1</v>
      </c>
      <c r="NTM38" s="304">
        <f t="shared" ref="NTM38" si="3897">EDATE(NTI38,NTL38)</f>
        <v>45523</v>
      </c>
      <c r="NTN38" s="340">
        <v>0</v>
      </c>
      <c r="NTO38" s="320">
        <f t="shared" ref="NTO38" si="3898">IF(NTP38&gt;=1,(NTN38/NTL38),0)</f>
        <v>0</v>
      </c>
      <c r="NTP38" s="292"/>
      <c r="NTQ38" s="259" t="s">
        <v>55</v>
      </c>
      <c r="NTR38" s="256" t="s">
        <v>76</v>
      </c>
      <c r="NTS38" s="256" t="s">
        <v>77</v>
      </c>
      <c r="NTT38" s="256" t="s">
        <v>78</v>
      </c>
      <c r="NTU38" s="256" t="s">
        <v>79</v>
      </c>
      <c r="NTV38" s="256" t="s">
        <v>80</v>
      </c>
      <c r="NTW38" s="256" t="s">
        <v>81</v>
      </c>
      <c r="NTX38" s="331"/>
      <c r="NTY38" s="290">
        <v>45492</v>
      </c>
      <c r="NTZ38" s="339" t="s">
        <v>141</v>
      </c>
      <c r="NUA38" s="305"/>
      <c r="NUB38" s="305">
        <v>1</v>
      </c>
      <c r="NUC38" s="304">
        <f t="shared" ref="NUC38" si="3899">EDATE(NTY38,NUB38)</f>
        <v>45523</v>
      </c>
      <c r="NUD38" s="340">
        <v>0</v>
      </c>
      <c r="NUE38" s="320">
        <f t="shared" ref="NUE38" si="3900">IF(NUF38&gt;=1,(NUD38/NUB38),0)</f>
        <v>0</v>
      </c>
      <c r="NUF38" s="292"/>
      <c r="NUG38" s="259" t="s">
        <v>55</v>
      </c>
      <c r="NUH38" s="256" t="s">
        <v>76</v>
      </c>
      <c r="NUI38" s="256" t="s">
        <v>77</v>
      </c>
      <c r="NUJ38" s="256" t="s">
        <v>78</v>
      </c>
      <c r="NUK38" s="256" t="s">
        <v>79</v>
      </c>
      <c r="NUL38" s="256" t="s">
        <v>80</v>
      </c>
      <c r="NUM38" s="256" t="s">
        <v>81</v>
      </c>
      <c r="NUN38" s="331"/>
      <c r="NUO38" s="290">
        <v>45492</v>
      </c>
      <c r="NUP38" s="339" t="s">
        <v>141</v>
      </c>
      <c r="NUQ38" s="305"/>
      <c r="NUR38" s="305">
        <v>1</v>
      </c>
      <c r="NUS38" s="304">
        <f t="shared" ref="NUS38" si="3901">EDATE(NUO38,NUR38)</f>
        <v>45523</v>
      </c>
      <c r="NUT38" s="340">
        <v>0</v>
      </c>
      <c r="NUU38" s="320">
        <f t="shared" ref="NUU38" si="3902">IF(NUV38&gt;=1,(NUT38/NUR38),0)</f>
        <v>0</v>
      </c>
      <c r="NUV38" s="292"/>
      <c r="NUW38" s="259" t="s">
        <v>55</v>
      </c>
      <c r="NUX38" s="256" t="s">
        <v>76</v>
      </c>
      <c r="NUY38" s="256" t="s">
        <v>77</v>
      </c>
      <c r="NUZ38" s="256" t="s">
        <v>78</v>
      </c>
      <c r="NVA38" s="256" t="s">
        <v>79</v>
      </c>
      <c r="NVB38" s="256" t="s">
        <v>80</v>
      </c>
      <c r="NVC38" s="256" t="s">
        <v>81</v>
      </c>
      <c r="NVD38" s="331"/>
      <c r="NVE38" s="290">
        <v>45492</v>
      </c>
      <c r="NVF38" s="339" t="s">
        <v>141</v>
      </c>
      <c r="NVG38" s="305"/>
      <c r="NVH38" s="305">
        <v>1</v>
      </c>
      <c r="NVI38" s="304">
        <f t="shared" ref="NVI38" si="3903">EDATE(NVE38,NVH38)</f>
        <v>45523</v>
      </c>
      <c r="NVJ38" s="340">
        <v>0</v>
      </c>
      <c r="NVK38" s="320">
        <f t="shared" ref="NVK38" si="3904">IF(NVL38&gt;=1,(NVJ38/NVH38),0)</f>
        <v>0</v>
      </c>
      <c r="NVL38" s="292"/>
      <c r="NVM38" s="259" t="s">
        <v>55</v>
      </c>
      <c r="NVN38" s="256" t="s">
        <v>76</v>
      </c>
      <c r="NVO38" s="256" t="s">
        <v>77</v>
      </c>
      <c r="NVP38" s="256" t="s">
        <v>78</v>
      </c>
      <c r="NVQ38" s="256" t="s">
        <v>79</v>
      </c>
      <c r="NVR38" s="256" t="s">
        <v>80</v>
      </c>
      <c r="NVS38" s="256" t="s">
        <v>81</v>
      </c>
      <c r="NVT38" s="331"/>
      <c r="NVU38" s="290">
        <v>45492</v>
      </c>
      <c r="NVV38" s="339" t="s">
        <v>141</v>
      </c>
      <c r="NVW38" s="305"/>
      <c r="NVX38" s="305">
        <v>1</v>
      </c>
      <c r="NVY38" s="304">
        <f t="shared" ref="NVY38" si="3905">EDATE(NVU38,NVX38)</f>
        <v>45523</v>
      </c>
      <c r="NVZ38" s="340">
        <v>0</v>
      </c>
      <c r="NWA38" s="320">
        <f t="shared" ref="NWA38" si="3906">IF(NWB38&gt;=1,(NVZ38/NVX38),0)</f>
        <v>0</v>
      </c>
      <c r="NWB38" s="292"/>
      <c r="NWC38" s="259" t="s">
        <v>55</v>
      </c>
      <c r="NWD38" s="256" t="s">
        <v>76</v>
      </c>
      <c r="NWE38" s="256" t="s">
        <v>77</v>
      </c>
      <c r="NWF38" s="256" t="s">
        <v>78</v>
      </c>
      <c r="NWG38" s="256" t="s">
        <v>79</v>
      </c>
      <c r="NWH38" s="256" t="s">
        <v>80</v>
      </c>
      <c r="NWI38" s="256" t="s">
        <v>81</v>
      </c>
      <c r="NWJ38" s="331"/>
      <c r="NWK38" s="290">
        <v>45492</v>
      </c>
      <c r="NWL38" s="339" t="s">
        <v>141</v>
      </c>
      <c r="NWM38" s="305"/>
      <c r="NWN38" s="305">
        <v>1</v>
      </c>
      <c r="NWO38" s="304">
        <f t="shared" ref="NWO38" si="3907">EDATE(NWK38,NWN38)</f>
        <v>45523</v>
      </c>
      <c r="NWP38" s="340">
        <v>0</v>
      </c>
      <c r="NWQ38" s="320">
        <f t="shared" ref="NWQ38" si="3908">IF(NWR38&gt;=1,(NWP38/NWN38),0)</f>
        <v>0</v>
      </c>
      <c r="NWR38" s="292"/>
      <c r="NWS38" s="259" t="s">
        <v>55</v>
      </c>
      <c r="NWT38" s="256" t="s">
        <v>76</v>
      </c>
      <c r="NWU38" s="256" t="s">
        <v>77</v>
      </c>
      <c r="NWV38" s="256" t="s">
        <v>78</v>
      </c>
      <c r="NWW38" s="256" t="s">
        <v>79</v>
      </c>
      <c r="NWX38" s="256" t="s">
        <v>80</v>
      </c>
      <c r="NWY38" s="256" t="s">
        <v>81</v>
      </c>
      <c r="NWZ38" s="331"/>
      <c r="NXA38" s="290">
        <v>45492</v>
      </c>
      <c r="NXB38" s="339" t="s">
        <v>141</v>
      </c>
      <c r="NXC38" s="305"/>
      <c r="NXD38" s="305">
        <v>1</v>
      </c>
      <c r="NXE38" s="304">
        <f t="shared" ref="NXE38" si="3909">EDATE(NXA38,NXD38)</f>
        <v>45523</v>
      </c>
      <c r="NXF38" s="340">
        <v>0</v>
      </c>
      <c r="NXG38" s="320">
        <f t="shared" ref="NXG38" si="3910">IF(NXH38&gt;=1,(NXF38/NXD38),0)</f>
        <v>0</v>
      </c>
      <c r="NXH38" s="292"/>
      <c r="NXI38" s="259" t="s">
        <v>55</v>
      </c>
      <c r="NXJ38" s="256" t="s">
        <v>76</v>
      </c>
      <c r="NXK38" s="256" t="s">
        <v>77</v>
      </c>
      <c r="NXL38" s="256" t="s">
        <v>78</v>
      </c>
      <c r="NXM38" s="256" t="s">
        <v>79</v>
      </c>
      <c r="NXN38" s="256" t="s">
        <v>80</v>
      </c>
      <c r="NXO38" s="256" t="s">
        <v>81</v>
      </c>
      <c r="NXP38" s="331"/>
      <c r="NXQ38" s="290">
        <v>45492</v>
      </c>
      <c r="NXR38" s="339" t="s">
        <v>141</v>
      </c>
      <c r="NXS38" s="305"/>
      <c r="NXT38" s="305">
        <v>1</v>
      </c>
      <c r="NXU38" s="304">
        <f t="shared" ref="NXU38" si="3911">EDATE(NXQ38,NXT38)</f>
        <v>45523</v>
      </c>
      <c r="NXV38" s="340">
        <v>0</v>
      </c>
      <c r="NXW38" s="320">
        <f t="shared" ref="NXW38" si="3912">IF(NXX38&gt;=1,(NXV38/NXT38),0)</f>
        <v>0</v>
      </c>
      <c r="NXX38" s="292"/>
      <c r="NXY38" s="259" t="s">
        <v>55</v>
      </c>
      <c r="NXZ38" s="256" t="s">
        <v>76</v>
      </c>
      <c r="NYA38" s="256" t="s">
        <v>77</v>
      </c>
      <c r="NYB38" s="256" t="s">
        <v>78</v>
      </c>
      <c r="NYC38" s="256" t="s">
        <v>79</v>
      </c>
      <c r="NYD38" s="256" t="s">
        <v>80</v>
      </c>
      <c r="NYE38" s="256" t="s">
        <v>81</v>
      </c>
      <c r="NYF38" s="331"/>
      <c r="NYG38" s="290">
        <v>45492</v>
      </c>
      <c r="NYH38" s="339" t="s">
        <v>141</v>
      </c>
      <c r="NYI38" s="305"/>
      <c r="NYJ38" s="305">
        <v>1</v>
      </c>
      <c r="NYK38" s="304">
        <f t="shared" ref="NYK38" si="3913">EDATE(NYG38,NYJ38)</f>
        <v>45523</v>
      </c>
      <c r="NYL38" s="340">
        <v>0</v>
      </c>
      <c r="NYM38" s="320">
        <f t="shared" ref="NYM38" si="3914">IF(NYN38&gt;=1,(NYL38/NYJ38),0)</f>
        <v>0</v>
      </c>
      <c r="NYN38" s="292"/>
      <c r="NYO38" s="259" t="s">
        <v>55</v>
      </c>
      <c r="NYP38" s="256" t="s">
        <v>76</v>
      </c>
      <c r="NYQ38" s="256" t="s">
        <v>77</v>
      </c>
      <c r="NYR38" s="256" t="s">
        <v>78</v>
      </c>
      <c r="NYS38" s="256" t="s">
        <v>79</v>
      </c>
      <c r="NYT38" s="256" t="s">
        <v>80</v>
      </c>
      <c r="NYU38" s="256" t="s">
        <v>81</v>
      </c>
      <c r="NYV38" s="331"/>
      <c r="NYW38" s="290">
        <v>45492</v>
      </c>
      <c r="NYX38" s="339" t="s">
        <v>141</v>
      </c>
      <c r="NYY38" s="305"/>
      <c r="NYZ38" s="305">
        <v>1</v>
      </c>
      <c r="NZA38" s="304">
        <f t="shared" ref="NZA38" si="3915">EDATE(NYW38,NYZ38)</f>
        <v>45523</v>
      </c>
      <c r="NZB38" s="340">
        <v>0</v>
      </c>
      <c r="NZC38" s="320">
        <f t="shared" ref="NZC38" si="3916">IF(NZD38&gt;=1,(NZB38/NYZ38),0)</f>
        <v>0</v>
      </c>
      <c r="NZD38" s="292"/>
      <c r="NZE38" s="259" t="s">
        <v>55</v>
      </c>
      <c r="NZF38" s="256" t="s">
        <v>76</v>
      </c>
      <c r="NZG38" s="256" t="s">
        <v>77</v>
      </c>
      <c r="NZH38" s="256" t="s">
        <v>78</v>
      </c>
      <c r="NZI38" s="256" t="s">
        <v>79</v>
      </c>
      <c r="NZJ38" s="256" t="s">
        <v>80</v>
      </c>
      <c r="NZK38" s="256" t="s">
        <v>81</v>
      </c>
      <c r="NZL38" s="331"/>
      <c r="NZM38" s="290">
        <v>45492</v>
      </c>
      <c r="NZN38" s="339" t="s">
        <v>141</v>
      </c>
      <c r="NZO38" s="305"/>
      <c r="NZP38" s="305">
        <v>1</v>
      </c>
      <c r="NZQ38" s="304">
        <f t="shared" ref="NZQ38" si="3917">EDATE(NZM38,NZP38)</f>
        <v>45523</v>
      </c>
      <c r="NZR38" s="340">
        <v>0</v>
      </c>
      <c r="NZS38" s="320">
        <f t="shared" ref="NZS38" si="3918">IF(NZT38&gt;=1,(NZR38/NZP38),0)</f>
        <v>0</v>
      </c>
      <c r="NZT38" s="292"/>
      <c r="NZU38" s="259" t="s">
        <v>55</v>
      </c>
      <c r="NZV38" s="256" t="s">
        <v>76</v>
      </c>
      <c r="NZW38" s="256" t="s">
        <v>77</v>
      </c>
      <c r="NZX38" s="256" t="s">
        <v>78</v>
      </c>
      <c r="NZY38" s="256" t="s">
        <v>79</v>
      </c>
      <c r="NZZ38" s="256" t="s">
        <v>80</v>
      </c>
      <c r="OAA38" s="256" t="s">
        <v>81</v>
      </c>
      <c r="OAB38" s="331"/>
      <c r="OAC38" s="290">
        <v>45492</v>
      </c>
      <c r="OAD38" s="339" t="s">
        <v>141</v>
      </c>
      <c r="OAE38" s="305"/>
      <c r="OAF38" s="305">
        <v>1</v>
      </c>
      <c r="OAG38" s="304">
        <f t="shared" ref="OAG38" si="3919">EDATE(OAC38,OAF38)</f>
        <v>45523</v>
      </c>
      <c r="OAH38" s="340">
        <v>0</v>
      </c>
      <c r="OAI38" s="320">
        <f t="shared" ref="OAI38" si="3920">IF(OAJ38&gt;=1,(OAH38/OAF38),0)</f>
        <v>0</v>
      </c>
      <c r="OAJ38" s="292"/>
      <c r="OAK38" s="259" t="s">
        <v>55</v>
      </c>
      <c r="OAL38" s="256" t="s">
        <v>76</v>
      </c>
      <c r="OAM38" s="256" t="s">
        <v>77</v>
      </c>
      <c r="OAN38" s="256" t="s">
        <v>78</v>
      </c>
      <c r="OAO38" s="256" t="s">
        <v>79</v>
      </c>
      <c r="OAP38" s="256" t="s">
        <v>80</v>
      </c>
      <c r="OAQ38" s="256" t="s">
        <v>81</v>
      </c>
      <c r="OAR38" s="331"/>
      <c r="OAS38" s="290">
        <v>45492</v>
      </c>
      <c r="OAT38" s="339" t="s">
        <v>141</v>
      </c>
      <c r="OAU38" s="305"/>
      <c r="OAV38" s="305">
        <v>1</v>
      </c>
      <c r="OAW38" s="304">
        <f t="shared" ref="OAW38" si="3921">EDATE(OAS38,OAV38)</f>
        <v>45523</v>
      </c>
      <c r="OAX38" s="340">
        <v>0</v>
      </c>
      <c r="OAY38" s="320">
        <f t="shared" ref="OAY38" si="3922">IF(OAZ38&gt;=1,(OAX38/OAV38),0)</f>
        <v>0</v>
      </c>
      <c r="OAZ38" s="292"/>
      <c r="OBA38" s="259" t="s">
        <v>55</v>
      </c>
      <c r="OBB38" s="256" t="s">
        <v>76</v>
      </c>
      <c r="OBC38" s="256" t="s">
        <v>77</v>
      </c>
      <c r="OBD38" s="256" t="s">
        <v>78</v>
      </c>
      <c r="OBE38" s="256" t="s">
        <v>79</v>
      </c>
      <c r="OBF38" s="256" t="s">
        <v>80</v>
      </c>
      <c r="OBG38" s="256" t="s">
        <v>81</v>
      </c>
      <c r="OBH38" s="331"/>
      <c r="OBI38" s="290">
        <v>45492</v>
      </c>
      <c r="OBJ38" s="339" t="s">
        <v>141</v>
      </c>
      <c r="OBK38" s="305"/>
      <c r="OBL38" s="305">
        <v>1</v>
      </c>
      <c r="OBM38" s="304">
        <f t="shared" ref="OBM38" si="3923">EDATE(OBI38,OBL38)</f>
        <v>45523</v>
      </c>
      <c r="OBN38" s="340">
        <v>0</v>
      </c>
      <c r="OBO38" s="320">
        <f t="shared" ref="OBO38" si="3924">IF(OBP38&gt;=1,(OBN38/OBL38),0)</f>
        <v>0</v>
      </c>
      <c r="OBP38" s="292"/>
      <c r="OBQ38" s="259" t="s">
        <v>55</v>
      </c>
      <c r="OBR38" s="256" t="s">
        <v>76</v>
      </c>
      <c r="OBS38" s="256" t="s">
        <v>77</v>
      </c>
      <c r="OBT38" s="256" t="s">
        <v>78</v>
      </c>
      <c r="OBU38" s="256" t="s">
        <v>79</v>
      </c>
      <c r="OBV38" s="256" t="s">
        <v>80</v>
      </c>
      <c r="OBW38" s="256" t="s">
        <v>81</v>
      </c>
      <c r="OBX38" s="331"/>
      <c r="OBY38" s="290">
        <v>45492</v>
      </c>
      <c r="OBZ38" s="339" t="s">
        <v>141</v>
      </c>
      <c r="OCA38" s="305"/>
      <c r="OCB38" s="305">
        <v>1</v>
      </c>
      <c r="OCC38" s="304">
        <f t="shared" ref="OCC38" si="3925">EDATE(OBY38,OCB38)</f>
        <v>45523</v>
      </c>
      <c r="OCD38" s="340">
        <v>0</v>
      </c>
      <c r="OCE38" s="320">
        <f t="shared" ref="OCE38" si="3926">IF(OCF38&gt;=1,(OCD38/OCB38),0)</f>
        <v>0</v>
      </c>
      <c r="OCF38" s="292"/>
      <c r="OCG38" s="259" t="s">
        <v>55</v>
      </c>
      <c r="OCH38" s="256" t="s">
        <v>76</v>
      </c>
      <c r="OCI38" s="256" t="s">
        <v>77</v>
      </c>
      <c r="OCJ38" s="256" t="s">
        <v>78</v>
      </c>
      <c r="OCK38" s="256" t="s">
        <v>79</v>
      </c>
      <c r="OCL38" s="256" t="s">
        <v>80</v>
      </c>
      <c r="OCM38" s="256" t="s">
        <v>81</v>
      </c>
      <c r="OCN38" s="331"/>
      <c r="OCO38" s="290">
        <v>45492</v>
      </c>
      <c r="OCP38" s="339" t="s">
        <v>141</v>
      </c>
      <c r="OCQ38" s="305"/>
      <c r="OCR38" s="305">
        <v>1</v>
      </c>
      <c r="OCS38" s="304">
        <f t="shared" ref="OCS38" si="3927">EDATE(OCO38,OCR38)</f>
        <v>45523</v>
      </c>
      <c r="OCT38" s="340">
        <v>0</v>
      </c>
      <c r="OCU38" s="320">
        <f t="shared" ref="OCU38" si="3928">IF(OCV38&gt;=1,(OCT38/OCR38),0)</f>
        <v>0</v>
      </c>
      <c r="OCV38" s="292"/>
      <c r="OCW38" s="259" t="s">
        <v>55</v>
      </c>
      <c r="OCX38" s="256" t="s">
        <v>76</v>
      </c>
      <c r="OCY38" s="256" t="s">
        <v>77</v>
      </c>
      <c r="OCZ38" s="256" t="s">
        <v>78</v>
      </c>
      <c r="ODA38" s="256" t="s">
        <v>79</v>
      </c>
      <c r="ODB38" s="256" t="s">
        <v>80</v>
      </c>
      <c r="ODC38" s="256" t="s">
        <v>81</v>
      </c>
      <c r="ODD38" s="331"/>
      <c r="ODE38" s="290">
        <v>45492</v>
      </c>
      <c r="ODF38" s="339" t="s">
        <v>141</v>
      </c>
      <c r="ODG38" s="305"/>
      <c r="ODH38" s="305">
        <v>1</v>
      </c>
      <c r="ODI38" s="304">
        <f t="shared" ref="ODI38" si="3929">EDATE(ODE38,ODH38)</f>
        <v>45523</v>
      </c>
      <c r="ODJ38" s="340">
        <v>0</v>
      </c>
      <c r="ODK38" s="320">
        <f t="shared" ref="ODK38" si="3930">IF(ODL38&gt;=1,(ODJ38/ODH38),0)</f>
        <v>0</v>
      </c>
      <c r="ODL38" s="292"/>
      <c r="ODM38" s="259" t="s">
        <v>55</v>
      </c>
      <c r="ODN38" s="256" t="s">
        <v>76</v>
      </c>
      <c r="ODO38" s="256" t="s">
        <v>77</v>
      </c>
      <c r="ODP38" s="256" t="s">
        <v>78</v>
      </c>
      <c r="ODQ38" s="256" t="s">
        <v>79</v>
      </c>
      <c r="ODR38" s="256" t="s">
        <v>80</v>
      </c>
      <c r="ODS38" s="256" t="s">
        <v>81</v>
      </c>
      <c r="ODT38" s="331"/>
      <c r="ODU38" s="290">
        <v>45492</v>
      </c>
      <c r="ODV38" s="339" t="s">
        <v>141</v>
      </c>
      <c r="ODW38" s="305"/>
      <c r="ODX38" s="305">
        <v>1</v>
      </c>
      <c r="ODY38" s="304">
        <f t="shared" ref="ODY38" si="3931">EDATE(ODU38,ODX38)</f>
        <v>45523</v>
      </c>
      <c r="ODZ38" s="340">
        <v>0</v>
      </c>
      <c r="OEA38" s="320">
        <f t="shared" ref="OEA38" si="3932">IF(OEB38&gt;=1,(ODZ38/ODX38),0)</f>
        <v>0</v>
      </c>
      <c r="OEB38" s="292"/>
      <c r="OEC38" s="259" t="s">
        <v>55</v>
      </c>
      <c r="OED38" s="256" t="s">
        <v>76</v>
      </c>
      <c r="OEE38" s="256" t="s">
        <v>77</v>
      </c>
      <c r="OEF38" s="256" t="s">
        <v>78</v>
      </c>
      <c r="OEG38" s="256" t="s">
        <v>79</v>
      </c>
      <c r="OEH38" s="256" t="s">
        <v>80</v>
      </c>
      <c r="OEI38" s="256" t="s">
        <v>81</v>
      </c>
      <c r="OEJ38" s="331"/>
      <c r="OEK38" s="290">
        <v>45492</v>
      </c>
      <c r="OEL38" s="339" t="s">
        <v>141</v>
      </c>
      <c r="OEM38" s="305"/>
      <c r="OEN38" s="305">
        <v>1</v>
      </c>
      <c r="OEO38" s="304">
        <f t="shared" ref="OEO38" si="3933">EDATE(OEK38,OEN38)</f>
        <v>45523</v>
      </c>
      <c r="OEP38" s="340">
        <v>0</v>
      </c>
      <c r="OEQ38" s="320">
        <f t="shared" ref="OEQ38" si="3934">IF(OER38&gt;=1,(OEP38/OEN38),0)</f>
        <v>0</v>
      </c>
      <c r="OER38" s="292"/>
      <c r="OES38" s="259" t="s">
        <v>55</v>
      </c>
      <c r="OET38" s="256" t="s">
        <v>76</v>
      </c>
      <c r="OEU38" s="256" t="s">
        <v>77</v>
      </c>
      <c r="OEV38" s="256" t="s">
        <v>78</v>
      </c>
      <c r="OEW38" s="256" t="s">
        <v>79</v>
      </c>
      <c r="OEX38" s="256" t="s">
        <v>80</v>
      </c>
      <c r="OEY38" s="256" t="s">
        <v>81</v>
      </c>
      <c r="OEZ38" s="331"/>
      <c r="OFA38" s="290">
        <v>45492</v>
      </c>
      <c r="OFB38" s="339" t="s">
        <v>141</v>
      </c>
      <c r="OFC38" s="305"/>
      <c r="OFD38" s="305">
        <v>1</v>
      </c>
      <c r="OFE38" s="304">
        <f t="shared" ref="OFE38" si="3935">EDATE(OFA38,OFD38)</f>
        <v>45523</v>
      </c>
      <c r="OFF38" s="340">
        <v>0</v>
      </c>
      <c r="OFG38" s="320">
        <f t="shared" ref="OFG38" si="3936">IF(OFH38&gt;=1,(OFF38/OFD38),0)</f>
        <v>0</v>
      </c>
      <c r="OFH38" s="292"/>
      <c r="OFI38" s="259" t="s">
        <v>55</v>
      </c>
      <c r="OFJ38" s="256" t="s">
        <v>76</v>
      </c>
      <c r="OFK38" s="256" t="s">
        <v>77</v>
      </c>
      <c r="OFL38" s="256" t="s">
        <v>78</v>
      </c>
      <c r="OFM38" s="256" t="s">
        <v>79</v>
      </c>
      <c r="OFN38" s="256" t="s">
        <v>80</v>
      </c>
      <c r="OFO38" s="256" t="s">
        <v>81</v>
      </c>
      <c r="OFP38" s="331"/>
      <c r="OFQ38" s="290">
        <v>45492</v>
      </c>
      <c r="OFR38" s="339" t="s">
        <v>141</v>
      </c>
      <c r="OFS38" s="305"/>
      <c r="OFT38" s="305">
        <v>1</v>
      </c>
      <c r="OFU38" s="304">
        <f t="shared" ref="OFU38" si="3937">EDATE(OFQ38,OFT38)</f>
        <v>45523</v>
      </c>
      <c r="OFV38" s="340">
        <v>0</v>
      </c>
      <c r="OFW38" s="320">
        <f t="shared" ref="OFW38" si="3938">IF(OFX38&gt;=1,(OFV38/OFT38),0)</f>
        <v>0</v>
      </c>
      <c r="OFX38" s="292"/>
      <c r="OFY38" s="259" t="s">
        <v>55</v>
      </c>
      <c r="OFZ38" s="256" t="s">
        <v>76</v>
      </c>
      <c r="OGA38" s="256" t="s">
        <v>77</v>
      </c>
      <c r="OGB38" s="256" t="s">
        <v>78</v>
      </c>
      <c r="OGC38" s="256" t="s">
        <v>79</v>
      </c>
      <c r="OGD38" s="256" t="s">
        <v>80</v>
      </c>
      <c r="OGE38" s="256" t="s">
        <v>81</v>
      </c>
      <c r="OGF38" s="331"/>
      <c r="OGG38" s="290">
        <v>45492</v>
      </c>
      <c r="OGH38" s="339" t="s">
        <v>141</v>
      </c>
      <c r="OGI38" s="305"/>
      <c r="OGJ38" s="305">
        <v>1</v>
      </c>
      <c r="OGK38" s="304">
        <f t="shared" ref="OGK38" si="3939">EDATE(OGG38,OGJ38)</f>
        <v>45523</v>
      </c>
      <c r="OGL38" s="340">
        <v>0</v>
      </c>
      <c r="OGM38" s="320">
        <f t="shared" ref="OGM38" si="3940">IF(OGN38&gt;=1,(OGL38/OGJ38),0)</f>
        <v>0</v>
      </c>
      <c r="OGN38" s="292"/>
      <c r="OGO38" s="259" t="s">
        <v>55</v>
      </c>
      <c r="OGP38" s="256" t="s">
        <v>76</v>
      </c>
      <c r="OGQ38" s="256" t="s">
        <v>77</v>
      </c>
      <c r="OGR38" s="256" t="s">
        <v>78</v>
      </c>
      <c r="OGS38" s="256" t="s">
        <v>79</v>
      </c>
      <c r="OGT38" s="256" t="s">
        <v>80</v>
      </c>
      <c r="OGU38" s="256" t="s">
        <v>81</v>
      </c>
      <c r="OGV38" s="331"/>
      <c r="OGW38" s="290">
        <v>45492</v>
      </c>
      <c r="OGX38" s="339" t="s">
        <v>141</v>
      </c>
      <c r="OGY38" s="305"/>
      <c r="OGZ38" s="305">
        <v>1</v>
      </c>
      <c r="OHA38" s="304">
        <f t="shared" ref="OHA38" si="3941">EDATE(OGW38,OGZ38)</f>
        <v>45523</v>
      </c>
      <c r="OHB38" s="340">
        <v>0</v>
      </c>
      <c r="OHC38" s="320">
        <f t="shared" ref="OHC38" si="3942">IF(OHD38&gt;=1,(OHB38/OGZ38),0)</f>
        <v>0</v>
      </c>
      <c r="OHD38" s="292"/>
      <c r="OHE38" s="259" t="s">
        <v>55</v>
      </c>
      <c r="OHF38" s="256" t="s">
        <v>76</v>
      </c>
      <c r="OHG38" s="256" t="s">
        <v>77</v>
      </c>
      <c r="OHH38" s="256" t="s">
        <v>78</v>
      </c>
      <c r="OHI38" s="256" t="s">
        <v>79</v>
      </c>
      <c r="OHJ38" s="256" t="s">
        <v>80</v>
      </c>
      <c r="OHK38" s="256" t="s">
        <v>81</v>
      </c>
      <c r="OHL38" s="331"/>
      <c r="OHM38" s="290">
        <v>45492</v>
      </c>
      <c r="OHN38" s="339" t="s">
        <v>141</v>
      </c>
      <c r="OHO38" s="305"/>
      <c r="OHP38" s="305">
        <v>1</v>
      </c>
      <c r="OHQ38" s="304">
        <f t="shared" ref="OHQ38" si="3943">EDATE(OHM38,OHP38)</f>
        <v>45523</v>
      </c>
      <c r="OHR38" s="340">
        <v>0</v>
      </c>
      <c r="OHS38" s="320">
        <f t="shared" ref="OHS38" si="3944">IF(OHT38&gt;=1,(OHR38/OHP38),0)</f>
        <v>0</v>
      </c>
      <c r="OHT38" s="292"/>
      <c r="OHU38" s="259" t="s">
        <v>55</v>
      </c>
      <c r="OHV38" s="256" t="s">
        <v>76</v>
      </c>
      <c r="OHW38" s="256" t="s">
        <v>77</v>
      </c>
      <c r="OHX38" s="256" t="s">
        <v>78</v>
      </c>
      <c r="OHY38" s="256" t="s">
        <v>79</v>
      </c>
      <c r="OHZ38" s="256" t="s">
        <v>80</v>
      </c>
      <c r="OIA38" s="256" t="s">
        <v>81</v>
      </c>
      <c r="OIB38" s="331"/>
      <c r="OIC38" s="290">
        <v>45492</v>
      </c>
      <c r="OID38" s="339" t="s">
        <v>141</v>
      </c>
      <c r="OIE38" s="305"/>
      <c r="OIF38" s="305">
        <v>1</v>
      </c>
      <c r="OIG38" s="304">
        <f t="shared" ref="OIG38" si="3945">EDATE(OIC38,OIF38)</f>
        <v>45523</v>
      </c>
      <c r="OIH38" s="340">
        <v>0</v>
      </c>
      <c r="OII38" s="320">
        <f t="shared" ref="OII38" si="3946">IF(OIJ38&gt;=1,(OIH38/OIF38),0)</f>
        <v>0</v>
      </c>
      <c r="OIJ38" s="292"/>
      <c r="OIK38" s="259" t="s">
        <v>55</v>
      </c>
      <c r="OIL38" s="256" t="s">
        <v>76</v>
      </c>
      <c r="OIM38" s="256" t="s">
        <v>77</v>
      </c>
      <c r="OIN38" s="256" t="s">
        <v>78</v>
      </c>
      <c r="OIO38" s="256" t="s">
        <v>79</v>
      </c>
      <c r="OIP38" s="256" t="s">
        <v>80</v>
      </c>
      <c r="OIQ38" s="256" t="s">
        <v>81</v>
      </c>
      <c r="OIR38" s="331"/>
      <c r="OIS38" s="290">
        <v>45492</v>
      </c>
      <c r="OIT38" s="339" t="s">
        <v>141</v>
      </c>
      <c r="OIU38" s="305"/>
      <c r="OIV38" s="305">
        <v>1</v>
      </c>
      <c r="OIW38" s="304">
        <f t="shared" ref="OIW38" si="3947">EDATE(OIS38,OIV38)</f>
        <v>45523</v>
      </c>
      <c r="OIX38" s="340">
        <v>0</v>
      </c>
      <c r="OIY38" s="320">
        <f t="shared" ref="OIY38" si="3948">IF(OIZ38&gt;=1,(OIX38/OIV38),0)</f>
        <v>0</v>
      </c>
      <c r="OIZ38" s="292"/>
      <c r="OJA38" s="259" t="s">
        <v>55</v>
      </c>
      <c r="OJB38" s="256" t="s">
        <v>76</v>
      </c>
      <c r="OJC38" s="256" t="s">
        <v>77</v>
      </c>
      <c r="OJD38" s="256" t="s">
        <v>78</v>
      </c>
      <c r="OJE38" s="256" t="s">
        <v>79</v>
      </c>
      <c r="OJF38" s="256" t="s">
        <v>80</v>
      </c>
      <c r="OJG38" s="256" t="s">
        <v>81</v>
      </c>
      <c r="OJH38" s="331"/>
      <c r="OJI38" s="290">
        <v>45492</v>
      </c>
      <c r="OJJ38" s="339" t="s">
        <v>141</v>
      </c>
      <c r="OJK38" s="305"/>
      <c r="OJL38" s="305">
        <v>1</v>
      </c>
      <c r="OJM38" s="304">
        <f t="shared" ref="OJM38" si="3949">EDATE(OJI38,OJL38)</f>
        <v>45523</v>
      </c>
      <c r="OJN38" s="340">
        <v>0</v>
      </c>
      <c r="OJO38" s="320">
        <f t="shared" ref="OJO38" si="3950">IF(OJP38&gt;=1,(OJN38/OJL38),0)</f>
        <v>0</v>
      </c>
      <c r="OJP38" s="292"/>
      <c r="OJQ38" s="259" t="s">
        <v>55</v>
      </c>
      <c r="OJR38" s="256" t="s">
        <v>76</v>
      </c>
      <c r="OJS38" s="256" t="s">
        <v>77</v>
      </c>
      <c r="OJT38" s="256" t="s">
        <v>78</v>
      </c>
      <c r="OJU38" s="256" t="s">
        <v>79</v>
      </c>
      <c r="OJV38" s="256" t="s">
        <v>80</v>
      </c>
      <c r="OJW38" s="256" t="s">
        <v>81</v>
      </c>
      <c r="OJX38" s="331"/>
      <c r="OJY38" s="290">
        <v>45492</v>
      </c>
      <c r="OJZ38" s="339" t="s">
        <v>141</v>
      </c>
      <c r="OKA38" s="305"/>
      <c r="OKB38" s="305">
        <v>1</v>
      </c>
      <c r="OKC38" s="304">
        <f t="shared" ref="OKC38" si="3951">EDATE(OJY38,OKB38)</f>
        <v>45523</v>
      </c>
      <c r="OKD38" s="340">
        <v>0</v>
      </c>
      <c r="OKE38" s="320">
        <f t="shared" ref="OKE38" si="3952">IF(OKF38&gt;=1,(OKD38/OKB38),0)</f>
        <v>0</v>
      </c>
      <c r="OKF38" s="292"/>
      <c r="OKG38" s="259" t="s">
        <v>55</v>
      </c>
      <c r="OKH38" s="256" t="s">
        <v>76</v>
      </c>
      <c r="OKI38" s="256" t="s">
        <v>77</v>
      </c>
      <c r="OKJ38" s="256" t="s">
        <v>78</v>
      </c>
      <c r="OKK38" s="256" t="s">
        <v>79</v>
      </c>
      <c r="OKL38" s="256" t="s">
        <v>80</v>
      </c>
      <c r="OKM38" s="256" t="s">
        <v>81</v>
      </c>
      <c r="OKN38" s="331"/>
      <c r="OKO38" s="290">
        <v>45492</v>
      </c>
      <c r="OKP38" s="339" t="s">
        <v>141</v>
      </c>
      <c r="OKQ38" s="305"/>
      <c r="OKR38" s="305">
        <v>1</v>
      </c>
      <c r="OKS38" s="304">
        <f t="shared" ref="OKS38" si="3953">EDATE(OKO38,OKR38)</f>
        <v>45523</v>
      </c>
      <c r="OKT38" s="340">
        <v>0</v>
      </c>
      <c r="OKU38" s="320">
        <f t="shared" ref="OKU38" si="3954">IF(OKV38&gt;=1,(OKT38/OKR38),0)</f>
        <v>0</v>
      </c>
      <c r="OKV38" s="292"/>
      <c r="OKW38" s="259" t="s">
        <v>55</v>
      </c>
      <c r="OKX38" s="256" t="s">
        <v>76</v>
      </c>
      <c r="OKY38" s="256" t="s">
        <v>77</v>
      </c>
      <c r="OKZ38" s="256" t="s">
        <v>78</v>
      </c>
      <c r="OLA38" s="256" t="s">
        <v>79</v>
      </c>
      <c r="OLB38" s="256" t="s">
        <v>80</v>
      </c>
      <c r="OLC38" s="256" t="s">
        <v>81</v>
      </c>
      <c r="OLD38" s="331"/>
      <c r="OLE38" s="290">
        <v>45492</v>
      </c>
      <c r="OLF38" s="339" t="s">
        <v>141</v>
      </c>
      <c r="OLG38" s="305"/>
      <c r="OLH38" s="305">
        <v>1</v>
      </c>
      <c r="OLI38" s="304">
        <f t="shared" ref="OLI38" si="3955">EDATE(OLE38,OLH38)</f>
        <v>45523</v>
      </c>
      <c r="OLJ38" s="340">
        <v>0</v>
      </c>
      <c r="OLK38" s="320">
        <f t="shared" ref="OLK38" si="3956">IF(OLL38&gt;=1,(OLJ38/OLH38),0)</f>
        <v>0</v>
      </c>
      <c r="OLL38" s="292"/>
      <c r="OLM38" s="259" t="s">
        <v>55</v>
      </c>
      <c r="OLN38" s="256" t="s">
        <v>76</v>
      </c>
      <c r="OLO38" s="256" t="s">
        <v>77</v>
      </c>
      <c r="OLP38" s="256" t="s">
        <v>78</v>
      </c>
      <c r="OLQ38" s="256" t="s">
        <v>79</v>
      </c>
      <c r="OLR38" s="256" t="s">
        <v>80</v>
      </c>
      <c r="OLS38" s="256" t="s">
        <v>81</v>
      </c>
      <c r="OLT38" s="331"/>
      <c r="OLU38" s="290">
        <v>45492</v>
      </c>
      <c r="OLV38" s="339" t="s">
        <v>141</v>
      </c>
      <c r="OLW38" s="305"/>
      <c r="OLX38" s="305">
        <v>1</v>
      </c>
      <c r="OLY38" s="304">
        <f t="shared" ref="OLY38" si="3957">EDATE(OLU38,OLX38)</f>
        <v>45523</v>
      </c>
      <c r="OLZ38" s="340">
        <v>0</v>
      </c>
      <c r="OMA38" s="320">
        <f t="shared" ref="OMA38" si="3958">IF(OMB38&gt;=1,(OLZ38/OLX38),0)</f>
        <v>0</v>
      </c>
      <c r="OMB38" s="292"/>
      <c r="OMC38" s="259" t="s">
        <v>55</v>
      </c>
      <c r="OMD38" s="256" t="s">
        <v>76</v>
      </c>
      <c r="OME38" s="256" t="s">
        <v>77</v>
      </c>
      <c r="OMF38" s="256" t="s">
        <v>78</v>
      </c>
      <c r="OMG38" s="256" t="s">
        <v>79</v>
      </c>
      <c r="OMH38" s="256" t="s">
        <v>80</v>
      </c>
      <c r="OMI38" s="256" t="s">
        <v>81</v>
      </c>
      <c r="OMJ38" s="331"/>
      <c r="OMK38" s="290">
        <v>45492</v>
      </c>
      <c r="OML38" s="339" t="s">
        <v>141</v>
      </c>
      <c r="OMM38" s="305"/>
      <c r="OMN38" s="305">
        <v>1</v>
      </c>
      <c r="OMO38" s="304">
        <f t="shared" ref="OMO38" si="3959">EDATE(OMK38,OMN38)</f>
        <v>45523</v>
      </c>
      <c r="OMP38" s="340">
        <v>0</v>
      </c>
      <c r="OMQ38" s="320">
        <f t="shared" ref="OMQ38" si="3960">IF(OMR38&gt;=1,(OMP38/OMN38),0)</f>
        <v>0</v>
      </c>
      <c r="OMR38" s="292"/>
      <c r="OMS38" s="259" t="s">
        <v>55</v>
      </c>
      <c r="OMT38" s="256" t="s">
        <v>76</v>
      </c>
      <c r="OMU38" s="256" t="s">
        <v>77</v>
      </c>
      <c r="OMV38" s="256" t="s">
        <v>78</v>
      </c>
      <c r="OMW38" s="256" t="s">
        <v>79</v>
      </c>
      <c r="OMX38" s="256" t="s">
        <v>80</v>
      </c>
      <c r="OMY38" s="256" t="s">
        <v>81</v>
      </c>
      <c r="OMZ38" s="331"/>
      <c r="ONA38" s="290">
        <v>45492</v>
      </c>
      <c r="ONB38" s="339" t="s">
        <v>141</v>
      </c>
      <c r="ONC38" s="305"/>
      <c r="OND38" s="305">
        <v>1</v>
      </c>
      <c r="ONE38" s="304">
        <f t="shared" ref="ONE38" si="3961">EDATE(ONA38,OND38)</f>
        <v>45523</v>
      </c>
      <c r="ONF38" s="340">
        <v>0</v>
      </c>
      <c r="ONG38" s="320">
        <f t="shared" ref="ONG38" si="3962">IF(ONH38&gt;=1,(ONF38/OND38),0)</f>
        <v>0</v>
      </c>
      <c r="ONH38" s="292"/>
      <c r="ONI38" s="259" t="s">
        <v>55</v>
      </c>
      <c r="ONJ38" s="256" t="s">
        <v>76</v>
      </c>
      <c r="ONK38" s="256" t="s">
        <v>77</v>
      </c>
      <c r="ONL38" s="256" t="s">
        <v>78</v>
      </c>
      <c r="ONM38" s="256" t="s">
        <v>79</v>
      </c>
      <c r="ONN38" s="256" t="s">
        <v>80</v>
      </c>
      <c r="ONO38" s="256" t="s">
        <v>81</v>
      </c>
      <c r="ONP38" s="331"/>
      <c r="ONQ38" s="290">
        <v>45492</v>
      </c>
      <c r="ONR38" s="339" t="s">
        <v>141</v>
      </c>
      <c r="ONS38" s="305"/>
      <c r="ONT38" s="305">
        <v>1</v>
      </c>
      <c r="ONU38" s="304">
        <f t="shared" ref="ONU38" si="3963">EDATE(ONQ38,ONT38)</f>
        <v>45523</v>
      </c>
      <c r="ONV38" s="340">
        <v>0</v>
      </c>
      <c r="ONW38" s="320">
        <f t="shared" ref="ONW38" si="3964">IF(ONX38&gt;=1,(ONV38/ONT38),0)</f>
        <v>0</v>
      </c>
      <c r="ONX38" s="292"/>
      <c r="ONY38" s="259" t="s">
        <v>55</v>
      </c>
      <c r="ONZ38" s="256" t="s">
        <v>76</v>
      </c>
      <c r="OOA38" s="256" t="s">
        <v>77</v>
      </c>
      <c r="OOB38" s="256" t="s">
        <v>78</v>
      </c>
      <c r="OOC38" s="256" t="s">
        <v>79</v>
      </c>
      <c r="OOD38" s="256" t="s">
        <v>80</v>
      </c>
      <c r="OOE38" s="256" t="s">
        <v>81</v>
      </c>
      <c r="OOF38" s="331"/>
      <c r="OOG38" s="290">
        <v>45492</v>
      </c>
      <c r="OOH38" s="339" t="s">
        <v>141</v>
      </c>
      <c r="OOI38" s="305"/>
      <c r="OOJ38" s="305">
        <v>1</v>
      </c>
      <c r="OOK38" s="304">
        <f t="shared" ref="OOK38" si="3965">EDATE(OOG38,OOJ38)</f>
        <v>45523</v>
      </c>
      <c r="OOL38" s="340">
        <v>0</v>
      </c>
      <c r="OOM38" s="320">
        <f t="shared" ref="OOM38" si="3966">IF(OON38&gt;=1,(OOL38/OOJ38),0)</f>
        <v>0</v>
      </c>
      <c r="OON38" s="292"/>
      <c r="OOO38" s="259" t="s">
        <v>55</v>
      </c>
      <c r="OOP38" s="256" t="s">
        <v>76</v>
      </c>
      <c r="OOQ38" s="256" t="s">
        <v>77</v>
      </c>
      <c r="OOR38" s="256" t="s">
        <v>78</v>
      </c>
      <c r="OOS38" s="256" t="s">
        <v>79</v>
      </c>
      <c r="OOT38" s="256" t="s">
        <v>80</v>
      </c>
      <c r="OOU38" s="256" t="s">
        <v>81</v>
      </c>
      <c r="OOV38" s="331"/>
      <c r="OOW38" s="290">
        <v>45492</v>
      </c>
      <c r="OOX38" s="339" t="s">
        <v>141</v>
      </c>
      <c r="OOY38" s="305"/>
      <c r="OOZ38" s="305">
        <v>1</v>
      </c>
      <c r="OPA38" s="304">
        <f t="shared" ref="OPA38" si="3967">EDATE(OOW38,OOZ38)</f>
        <v>45523</v>
      </c>
      <c r="OPB38" s="340">
        <v>0</v>
      </c>
      <c r="OPC38" s="320">
        <f t="shared" ref="OPC38" si="3968">IF(OPD38&gt;=1,(OPB38/OOZ38),0)</f>
        <v>0</v>
      </c>
      <c r="OPD38" s="292"/>
      <c r="OPE38" s="259" t="s">
        <v>55</v>
      </c>
      <c r="OPF38" s="256" t="s">
        <v>76</v>
      </c>
      <c r="OPG38" s="256" t="s">
        <v>77</v>
      </c>
      <c r="OPH38" s="256" t="s">
        <v>78</v>
      </c>
      <c r="OPI38" s="256" t="s">
        <v>79</v>
      </c>
      <c r="OPJ38" s="256" t="s">
        <v>80</v>
      </c>
      <c r="OPK38" s="256" t="s">
        <v>81</v>
      </c>
      <c r="OPL38" s="331"/>
      <c r="OPM38" s="290">
        <v>45492</v>
      </c>
      <c r="OPN38" s="339" t="s">
        <v>141</v>
      </c>
      <c r="OPO38" s="305"/>
      <c r="OPP38" s="305">
        <v>1</v>
      </c>
      <c r="OPQ38" s="304">
        <f t="shared" ref="OPQ38" si="3969">EDATE(OPM38,OPP38)</f>
        <v>45523</v>
      </c>
      <c r="OPR38" s="340">
        <v>0</v>
      </c>
      <c r="OPS38" s="320">
        <f t="shared" ref="OPS38" si="3970">IF(OPT38&gt;=1,(OPR38/OPP38),0)</f>
        <v>0</v>
      </c>
      <c r="OPT38" s="292"/>
      <c r="OPU38" s="259" t="s">
        <v>55</v>
      </c>
      <c r="OPV38" s="256" t="s">
        <v>76</v>
      </c>
      <c r="OPW38" s="256" t="s">
        <v>77</v>
      </c>
      <c r="OPX38" s="256" t="s">
        <v>78</v>
      </c>
      <c r="OPY38" s="256" t="s">
        <v>79</v>
      </c>
      <c r="OPZ38" s="256" t="s">
        <v>80</v>
      </c>
      <c r="OQA38" s="256" t="s">
        <v>81</v>
      </c>
      <c r="OQB38" s="331"/>
      <c r="OQC38" s="290">
        <v>45492</v>
      </c>
      <c r="OQD38" s="339" t="s">
        <v>141</v>
      </c>
      <c r="OQE38" s="305"/>
      <c r="OQF38" s="305">
        <v>1</v>
      </c>
      <c r="OQG38" s="304">
        <f t="shared" ref="OQG38" si="3971">EDATE(OQC38,OQF38)</f>
        <v>45523</v>
      </c>
      <c r="OQH38" s="340">
        <v>0</v>
      </c>
      <c r="OQI38" s="320">
        <f t="shared" ref="OQI38" si="3972">IF(OQJ38&gt;=1,(OQH38/OQF38),0)</f>
        <v>0</v>
      </c>
      <c r="OQJ38" s="292"/>
      <c r="OQK38" s="259" t="s">
        <v>55</v>
      </c>
      <c r="OQL38" s="256" t="s">
        <v>76</v>
      </c>
      <c r="OQM38" s="256" t="s">
        <v>77</v>
      </c>
      <c r="OQN38" s="256" t="s">
        <v>78</v>
      </c>
      <c r="OQO38" s="256" t="s">
        <v>79</v>
      </c>
      <c r="OQP38" s="256" t="s">
        <v>80</v>
      </c>
      <c r="OQQ38" s="256" t="s">
        <v>81</v>
      </c>
      <c r="OQR38" s="331"/>
      <c r="OQS38" s="290">
        <v>45492</v>
      </c>
      <c r="OQT38" s="339" t="s">
        <v>141</v>
      </c>
      <c r="OQU38" s="305"/>
      <c r="OQV38" s="305">
        <v>1</v>
      </c>
      <c r="OQW38" s="304">
        <f t="shared" ref="OQW38" si="3973">EDATE(OQS38,OQV38)</f>
        <v>45523</v>
      </c>
      <c r="OQX38" s="340">
        <v>0</v>
      </c>
      <c r="OQY38" s="320">
        <f t="shared" ref="OQY38" si="3974">IF(OQZ38&gt;=1,(OQX38/OQV38),0)</f>
        <v>0</v>
      </c>
      <c r="OQZ38" s="292"/>
      <c r="ORA38" s="259" t="s">
        <v>55</v>
      </c>
      <c r="ORB38" s="256" t="s">
        <v>76</v>
      </c>
      <c r="ORC38" s="256" t="s">
        <v>77</v>
      </c>
      <c r="ORD38" s="256" t="s">
        <v>78</v>
      </c>
      <c r="ORE38" s="256" t="s">
        <v>79</v>
      </c>
      <c r="ORF38" s="256" t="s">
        <v>80</v>
      </c>
      <c r="ORG38" s="256" t="s">
        <v>81</v>
      </c>
      <c r="ORH38" s="331"/>
      <c r="ORI38" s="290">
        <v>45492</v>
      </c>
      <c r="ORJ38" s="339" t="s">
        <v>141</v>
      </c>
      <c r="ORK38" s="305"/>
      <c r="ORL38" s="305">
        <v>1</v>
      </c>
      <c r="ORM38" s="304">
        <f t="shared" ref="ORM38" si="3975">EDATE(ORI38,ORL38)</f>
        <v>45523</v>
      </c>
      <c r="ORN38" s="340">
        <v>0</v>
      </c>
      <c r="ORO38" s="320">
        <f t="shared" ref="ORO38" si="3976">IF(ORP38&gt;=1,(ORN38/ORL38),0)</f>
        <v>0</v>
      </c>
      <c r="ORP38" s="292"/>
      <c r="ORQ38" s="259" t="s">
        <v>55</v>
      </c>
      <c r="ORR38" s="256" t="s">
        <v>76</v>
      </c>
      <c r="ORS38" s="256" t="s">
        <v>77</v>
      </c>
      <c r="ORT38" s="256" t="s">
        <v>78</v>
      </c>
      <c r="ORU38" s="256" t="s">
        <v>79</v>
      </c>
      <c r="ORV38" s="256" t="s">
        <v>80</v>
      </c>
      <c r="ORW38" s="256" t="s">
        <v>81</v>
      </c>
      <c r="ORX38" s="331"/>
      <c r="ORY38" s="290">
        <v>45492</v>
      </c>
      <c r="ORZ38" s="339" t="s">
        <v>141</v>
      </c>
      <c r="OSA38" s="305"/>
      <c r="OSB38" s="305">
        <v>1</v>
      </c>
      <c r="OSC38" s="304">
        <f t="shared" ref="OSC38" si="3977">EDATE(ORY38,OSB38)</f>
        <v>45523</v>
      </c>
      <c r="OSD38" s="340">
        <v>0</v>
      </c>
      <c r="OSE38" s="320">
        <f t="shared" ref="OSE38" si="3978">IF(OSF38&gt;=1,(OSD38/OSB38),0)</f>
        <v>0</v>
      </c>
      <c r="OSF38" s="292"/>
      <c r="OSG38" s="259" t="s">
        <v>55</v>
      </c>
      <c r="OSH38" s="256" t="s">
        <v>76</v>
      </c>
      <c r="OSI38" s="256" t="s">
        <v>77</v>
      </c>
      <c r="OSJ38" s="256" t="s">
        <v>78</v>
      </c>
      <c r="OSK38" s="256" t="s">
        <v>79</v>
      </c>
      <c r="OSL38" s="256" t="s">
        <v>80</v>
      </c>
      <c r="OSM38" s="256" t="s">
        <v>81</v>
      </c>
      <c r="OSN38" s="331"/>
      <c r="OSO38" s="290">
        <v>45492</v>
      </c>
      <c r="OSP38" s="339" t="s">
        <v>141</v>
      </c>
      <c r="OSQ38" s="305"/>
      <c r="OSR38" s="305">
        <v>1</v>
      </c>
      <c r="OSS38" s="304">
        <f t="shared" ref="OSS38" si="3979">EDATE(OSO38,OSR38)</f>
        <v>45523</v>
      </c>
      <c r="OST38" s="340">
        <v>0</v>
      </c>
      <c r="OSU38" s="320">
        <f t="shared" ref="OSU38" si="3980">IF(OSV38&gt;=1,(OST38/OSR38),0)</f>
        <v>0</v>
      </c>
      <c r="OSV38" s="292"/>
      <c r="OSW38" s="259" t="s">
        <v>55</v>
      </c>
      <c r="OSX38" s="256" t="s">
        <v>76</v>
      </c>
      <c r="OSY38" s="256" t="s">
        <v>77</v>
      </c>
      <c r="OSZ38" s="256" t="s">
        <v>78</v>
      </c>
      <c r="OTA38" s="256" t="s">
        <v>79</v>
      </c>
      <c r="OTB38" s="256" t="s">
        <v>80</v>
      </c>
      <c r="OTC38" s="256" t="s">
        <v>81</v>
      </c>
      <c r="OTD38" s="331"/>
      <c r="OTE38" s="290">
        <v>45492</v>
      </c>
      <c r="OTF38" s="339" t="s">
        <v>141</v>
      </c>
      <c r="OTG38" s="305"/>
      <c r="OTH38" s="305">
        <v>1</v>
      </c>
      <c r="OTI38" s="304">
        <f t="shared" ref="OTI38" si="3981">EDATE(OTE38,OTH38)</f>
        <v>45523</v>
      </c>
      <c r="OTJ38" s="340">
        <v>0</v>
      </c>
      <c r="OTK38" s="320">
        <f t="shared" ref="OTK38" si="3982">IF(OTL38&gt;=1,(OTJ38/OTH38),0)</f>
        <v>0</v>
      </c>
      <c r="OTL38" s="292"/>
      <c r="OTM38" s="259" t="s">
        <v>55</v>
      </c>
      <c r="OTN38" s="256" t="s">
        <v>76</v>
      </c>
      <c r="OTO38" s="256" t="s">
        <v>77</v>
      </c>
      <c r="OTP38" s="256" t="s">
        <v>78</v>
      </c>
      <c r="OTQ38" s="256" t="s">
        <v>79</v>
      </c>
      <c r="OTR38" s="256" t="s">
        <v>80</v>
      </c>
      <c r="OTS38" s="256" t="s">
        <v>81</v>
      </c>
      <c r="OTT38" s="331"/>
      <c r="OTU38" s="290">
        <v>45492</v>
      </c>
      <c r="OTV38" s="339" t="s">
        <v>141</v>
      </c>
      <c r="OTW38" s="305"/>
      <c r="OTX38" s="305">
        <v>1</v>
      </c>
      <c r="OTY38" s="304">
        <f t="shared" ref="OTY38" si="3983">EDATE(OTU38,OTX38)</f>
        <v>45523</v>
      </c>
      <c r="OTZ38" s="340">
        <v>0</v>
      </c>
      <c r="OUA38" s="320">
        <f t="shared" ref="OUA38" si="3984">IF(OUB38&gt;=1,(OTZ38/OTX38),0)</f>
        <v>0</v>
      </c>
      <c r="OUB38" s="292"/>
      <c r="OUC38" s="259" t="s">
        <v>55</v>
      </c>
      <c r="OUD38" s="256" t="s">
        <v>76</v>
      </c>
      <c r="OUE38" s="256" t="s">
        <v>77</v>
      </c>
      <c r="OUF38" s="256" t="s">
        <v>78</v>
      </c>
      <c r="OUG38" s="256" t="s">
        <v>79</v>
      </c>
      <c r="OUH38" s="256" t="s">
        <v>80</v>
      </c>
      <c r="OUI38" s="256" t="s">
        <v>81</v>
      </c>
      <c r="OUJ38" s="331"/>
      <c r="OUK38" s="290">
        <v>45492</v>
      </c>
      <c r="OUL38" s="339" t="s">
        <v>141</v>
      </c>
      <c r="OUM38" s="305"/>
      <c r="OUN38" s="305">
        <v>1</v>
      </c>
      <c r="OUO38" s="304">
        <f t="shared" ref="OUO38" si="3985">EDATE(OUK38,OUN38)</f>
        <v>45523</v>
      </c>
      <c r="OUP38" s="340">
        <v>0</v>
      </c>
      <c r="OUQ38" s="320">
        <f t="shared" ref="OUQ38" si="3986">IF(OUR38&gt;=1,(OUP38/OUN38),0)</f>
        <v>0</v>
      </c>
      <c r="OUR38" s="292"/>
      <c r="OUS38" s="259" t="s">
        <v>55</v>
      </c>
      <c r="OUT38" s="256" t="s">
        <v>76</v>
      </c>
      <c r="OUU38" s="256" t="s">
        <v>77</v>
      </c>
      <c r="OUV38" s="256" t="s">
        <v>78</v>
      </c>
      <c r="OUW38" s="256" t="s">
        <v>79</v>
      </c>
      <c r="OUX38" s="256" t="s">
        <v>80</v>
      </c>
      <c r="OUY38" s="256" t="s">
        <v>81</v>
      </c>
      <c r="OUZ38" s="331"/>
      <c r="OVA38" s="290">
        <v>45492</v>
      </c>
      <c r="OVB38" s="339" t="s">
        <v>141</v>
      </c>
      <c r="OVC38" s="305"/>
      <c r="OVD38" s="305">
        <v>1</v>
      </c>
      <c r="OVE38" s="304">
        <f t="shared" ref="OVE38" si="3987">EDATE(OVA38,OVD38)</f>
        <v>45523</v>
      </c>
      <c r="OVF38" s="340">
        <v>0</v>
      </c>
      <c r="OVG38" s="320">
        <f t="shared" ref="OVG38" si="3988">IF(OVH38&gt;=1,(OVF38/OVD38),0)</f>
        <v>0</v>
      </c>
      <c r="OVH38" s="292"/>
      <c r="OVI38" s="259" t="s">
        <v>55</v>
      </c>
      <c r="OVJ38" s="256" t="s">
        <v>76</v>
      </c>
      <c r="OVK38" s="256" t="s">
        <v>77</v>
      </c>
      <c r="OVL38" s="256" t="s">
        <v>78</v>
      </c>
      <c r="OVM38" s="256" t="s">
        <v>79</v>
      </c>
      <c r="OVN38" s="256" t="s">
        <v>80</v>
      </c>
      <c r="OVO38" s="256" t="s">
        <v>81</v>
      </c>
      <c r="OVP38" s="331"/>
      <c r="OVQ38" s="290">
        <v>45492</v>
      </c>
      <c r="OVR38" s="339" t="s">
        <v>141</v>
      </c>
      <c r="OVS38" s="305"/>
      <c r="OVT38" s="305">
        <v>1</v>
      </c>
      <c r="OVU38" s="304">
        <f t="shared" ref="OVU38" si="3989">EDATE(OVQ38,OVT38)</f>
        <v>45523</v>
      </c>
      <c r="OVV38" s="340">
        <v>0</v>
      </c>
      <c r="OVW38" s="320">
        <f t="shared" ref="OVW38" si="3990">IF(OVX38&gt;=1,(OVV38/OVT38),0)</f>
        <v>0</v>
      </c>
      <c r="OVX38" s="292"/>
      <c r="OVY38" s="259" t="s">
        <v>55</v>
      </c>
      <c r="OVZ38" s="256" t="s">
        <v>76</v>
      </c>
      <c r="OWA38" s="256" t="s">
        <v>77</v>
      </c>
      <c r="OWB38" s="256" t="s">
        <v>78</v>
      </c>
      <c r="OWC38" s="256" t="s">
        <v>79</v>
      </c>
      <c r="OWD38" s="256" t="s">
        <v>80</v>
      </c>
      <c r="OWE38" s="256" t="s">
        <v>81</v>
      </c>
      <c r="OWF38" s="331"/>
      <c r="OWG38" s="290">
        <v>45492</v>
      </c>
      <c r="OWH38" s="339" t="s">
        <v>141</v>
      </c>
      <c r="OWI38" s="305"/>
      <c r="OWJ38" s="305">
        <v>1</v>
      </c>
      <c r="OWK38" s="304">
        <f t="shared" ref="OWK38" si="3991">EDATE(OWG38,OWJ38)</f>
        <v>45523</v>
      </c>
      <c r="OWL38" s="340">
        <v>0</v>
      </c>
      <c r="OWM38" s="320">
        <f t="shared" ref="OWM38" si="3992">IF(OWN38&gt;=1,(OWL38/OWJ38),0)</f>
        <v>0</v>
      </c>
      <c r="OWN38" s="292"/>
      <c r="OWO38" s="259" t="s">
        <v>55</v>
      </c>
      <c r="OWP38" s="256" t="s">
        <v>76</v>
      </c>
      <c r="OWQ38" s="256" t="s">
        <v>77</v>
      </c>
      <c r="OWR38" s="256" t="s">
        <v>78</v>
      </c>
      <c r="OWS38" s="256" t="s">
        <v>79</v>
      </c>
      <c r="OWT38" s="256" t="s">
        <v>80</v>
      </c>
      <c r="OWU38" s="256" t="s">
        <v>81</v>
      </c>
      <c r="OWV38" s="331"/>
      <c r="OWW38" s="290">
        <v>45492</v>
      </c>
      <c r="OWX38" s="339" t="s">
        <v>141</v>
      </c>
      <c r="OWY38" s="305"/>
      <c r="OWZ38" s="305">
        <v>1</v>
      </c>
      <c r="OXA38" s="304">
        <f t="shared" ref="OXA38" si="3993">EDATE(OWW38,OWZ38)</f>
        <v>45523</v>
      </c>
      <c r="OXB38" s="340">
        <v>0</v>
      </c>
      <c r="OXC38" s="320">
        <f t="shared" ref="OXC38" si="3994">IF(OXD38&gt;=1,(OXB38/OWZ38),0)</f>
        <v>0</v>
      </c>
      <c r="OXD38" s="292"/>
      <c r="OXE38" s="259" t="s">
        <v>55</v>
      </c>
      <c r="OXF38" s="256" t="s">
        <v>76</v>
      </c>
      <c r="OXG38" s="256" t="s">
        <v>77</v>
      </c>
      <c r="OXH38" s="256" t="s">
        <v>78</v>
      </c>
      <c r="OXI38" s="256" t="s">
        <v>79</v>
      </c>
      <c r="OXJ38" s="256" t="s">
        <v>80</v>
      </c>
      <c r="OXK38" s="256" t="s">
        <v>81</v>
      </c>
      <c r="OXL38" s="331"/>
      <c r="OXM38" s="290">
        <v>45492</v>
      </c>
      <c r="OXN38" s="339" t="s">
        <v>141</v>
      </c>
      <c r="OXO38" s="305"/>
      <c r="OXP38" s="305">
        <v>1</v>
      </c>
      <c r="OXQ38" s="304">
        <f t="shared" ref="OXQ38" si="3995">EDATE(OXM38,OXP38)</f>
        <v>45523</v>
      </c>
      <c r="OXR38" s="340">
        <v>0</v>
      </c>
      <c r="OXS38" s="320">
        <f t="shared" ref="OXS38" si="3996">IF(OXT38&gt;=1,(OXR38/OXP38),0)</f>
        <v>0</v>
      </c>
      <c r="OXT38" s="292"/>
      <c r="OXU38" s="259" t="s">
        <v>55</v>
      </c>
      <c r="OXV38" s="256" t="s">
        <v>76</v>
      </c>
      <c r="OXW38" s="256" t="s">
        <v>77</v>
      </c>
      <c r="OXX38" s="256" t="s">
        <v>78</v>
      </c>
      <c r="OXY38" s="256" t="s">
        <v>79</v>
      </c>
      <c r="OXZ38" s="256" t="s">
        <v>80</v>
      </c>
      <c r="OYA38" s="256" t="s">
        <v>81</v>
      </c>
      <c r="OYB38" s="331"/>
      <c r="OYC38" s="290">
        <v>45492</v>
      </c>
      <c r="OYD38" s="339" t="s">
        <v>141</v>
      </c>
      <c r="OYE38" s="305"/>
      <c r="OYF38" s="305">
        <v>1</v>
      </c>
      <c r="OYG38" s="304">
        <f t="shared" ref="OYG38" si="3997">EDATE(OYC38,OYF38)</f>
        <v>45523</v>
      </c>
      <c r="OYH38" s="340">
        <v>0</v>
      </c>
      <c r="OYI38" s="320">
        <f t="shared" ref="OYI38" si="3998">IF(OYJ38&gt;=1,(OYH38/OYF38),0)</f>
        <v>0</v>
      </c>
      <c r="OYJ38" s="292"/>
      <c r="OYK38" s="259" t="s">
        <v>55</v>
      </c>
      <c r="OYL38" s="256" t="s">
        <v>76</v>
      </c>
      <c r="OYM38" s="256" t="s">
        <v>77</v>
      </c>
      <c r="OYN38" s="256" t="s">
        <v>78</v>
      </c>
      <c r="OYO38" s="256" t="s">
        <v>79</v>
      </c>
      <c r="OYP38" s="256" t="s">
        <v>80</v>
      </c>
      <c r="OYQ38" s="256" t="s">
        <v>81</v>
      </c>
      <c r="OYR38" s="331"/>
      <c r="OYS38" s="290">
        <v>45492</v>
      </c>
      <c r="OYT38" s="339" t="s">
        <v>141</v>
      </c>
      <c r="OYU38" s="305"/>
      <c r="OYV38" s="305">
        <v>1</v>
      </c>
      <c r="OYW38" s="304">
        <f t="shared" ref="OYW38" si="3999">EDATE(OYS38,OYV38)</f>
        <v>45523</v>
      </c>
      <c r="OYX38" s="340">
        <v>0</v>
      </c>
      <c r="OYY38" s="320">
        <f t="shared" ref="OYY38" si="4000">IF(OYZ38&gt;=1,(OYX38/OYV38),0)</f>
        <v>0</v>
      </c>
      <c r="OYZ38" s="292"/>
      <c r="OZA38" s="259" t="s">
        <v>55</v>
      </c>
      <c r="OZB38" s="256" t="s">
        <v>76</v>
      </c>
      <c r="OZC38" s="256" t="s">
        <v>77</v>
      </c>
      <c r="OZD38" s="256" t="s">
        <v>78</v>
      </c>
      <c r="OZE38" s="256" t="s">
        <v>79</v>
      </c>
      <c r="OZF38" s="256" t="s">
        <v>80</v>
      </c>
      <c r="OZG38" s="256" t="s">
        <v>81</v>
      </c>
      <c r="OZH38" s="331"/>
      <c r="OZI38" s="290">
        <v>45492</v>
      </c>
      <c r="OZJ38" s="339" t="s">
        <v>141</v>
      </c>
      <c r="OZK38" s="305"/>
      <c r="OZL38" s="305">
        <v>1</v>
      </c>
      <c r="OZM38" s="304">
        <f t="shared" ref="OZM38" si="4001">EDATE(OZI38,OZL38)</f>
        <v>45523</v>
      </c>
      <c r="OZN38" s="340">
        <v>0</v>
      </c>
      <c r="OZO38" s="320">
        <f t="shared" ref="OZO38" si="4002">IF(OZP38&gt;=1,(OZN38/OZL38),0)</f>
        <v>0</v>
      </c>
      <c r="OZP38" s="292"/>
      <c r="OZQ38" s="259" t="s">
        <v>55</v>
      </c>
      <c r="OZR38" s="256" t="s">
        <v>76</v>
      </c>
      <c r="OZS38" s="256" t="s">
        <v>77</v>
      </c>
      <c r="OZT38" s="256" t="s">
        <v>78</v>
      </c>
      <c r="OZU38" s="256" t="s">
        <v>79</v>
      </c>
      <c r="OZV38" s="256" t="s">
        <v>80</v>
      </c>
      <c r="OZW38" s="256" t="s">
        <v>81</v>
      </c>
      <c r="OZX38" s="331"/>
      <c r="OZY38" s="290">
        <v>45492</v>
      </c>
      <c r="OZZ38" s="339" t="s">
        <v>141</v>
      </c>
      <c r="PAA38" s="305"/>
      <c r="PAB38" s="305">
        <v>1</v>
      </c>
      <c r="PAC38" s="304">
        <f t="shared" ref="PAC38" si="4003">EDATE(OZY38,PAB38)</f>
        <v>45523</v>
      </c>
      <c r="PAD38" s="340">
        <v>0</v>
      </c>
      <c r="PAE38" s="320">
        <f t="shared" ref="PAE38" si="4004">IF(PAF38&gt;=1,(PAD38/PAB38),0)</f>
        <v>0</v>
      </c>
      <c r="PAF38" s="292"/>
      <c r="PAG38" s="259" t="s">
        <v>55</v>
      </c>
      <c r="PAH38" s="256" t="s">
        <v>76</v>
      </c>
      <c r="PAI38" s="256" t="s">
        <v>77</v>
      </c>
      <c r="PAJ38" s="256" t="s">
        <v>78</v>
      </c>
      <c r="PAK38" s="256" t="s">
        <v>79</v>
      </c>
      <c r="PAL38" s="256" t="s">
        <v>80</v>
      </c>
      <c r="PAM38" s="256" t="s">
        <v>81</v>
      </c>
      <c r="PAN38" s="331"/>
      <c r="PAO38" s="290">
        <v>45492</v>
      </c>
      <c r="PAP38" s="339" t="s">
        <v>141</v>
      </c>
      <c r="PAQ38" s="305"/>
      <c r="PAR38" s="305">
        <v>1</v>
      </c>
      <c r="PAS38" s="304">
        <f t="shared" ref="PAS38" si="4005">EDATE(PAO38,PAR38)</f>
        <v>45523</v>
      </c>
      <c r="PAT38" s="340">
        <v>0</v>
      </c>
      <c r="PAU38" s="320">
        <f t="shared" ref="PAU38" si="4006">IF(PAV38&gt;=1,(PAT38/PAR38),0)</f>
        <v>0</v>
      </c>
      <c r="PAV38" s="292"/>
      <c r="PAW38" s="259" t="s">
        <v>55</v>
      </c>
      <c r="PAX38" s="256" t="s">
        <v>76</v>
      </c>
      <c r="PAY38" s="256" t="s">
        <v>77</v>
      </c>
      <c r="PAZ38" s="256" t="s">
        <v>78</v>
      </c>
      <c r="PBA38" s="256" t="s">
        <v>79</v>
      </c>
      <c r="PBB38" s="256" t="s">
        <v>80</v>
      </c>
      <c r="PBC38" s="256" t="s">
        <v>81</v>
      </c>
      <c r="PBD38" s="331"/>
      <c r="PBE38" s="290">
        <v>45492</v>
      </c>
      <c r="PBF38" s="339" t="s">
        <v>141</v>
      </c>
      <c r="PBG38" s="305"/>
      <c r="PBH38" s="305">
        <v>1</v>
      </c>
      <c r="PBI38" s="304">
        <f t="shared" ref="PBI38" si="4007">EDATE(PBE38,PBH38)</f>
        <v>45523</v>
      </c>
      <c r="PBJ38" s="340">
        <v>0</v>
      </c>
      <c r="PBK38" s="320">
        <f t="shared" ref="PBK38" si="4008">IF(PBL38&gt;=1,(PBJ38/PBH38),0)</f>
        <v>0</v>
      </c>
      <c r="PBL38" s="292"/>
      <c r="PBM38" s="259" t="s">
        <v>55</v>
      </c>
      <c r="PBN38" s="256" t="s">
        <v>76</v>
      </c>
      <c r="PBO38" s="256" t="s">
        <v>77</v>
      </c>
      <c r="PBP38" s="256" t="s">
        <v>78</v>
      </c>
      <c r="PBQ38" s="256" t="s">
        <v>79</v>
      </c>
      <c r="PBR38" s="256" t="s">
        <v>80</v>
      </c>
      <c r="PBS38" s="256" t="s">
        <v>81</v>
      </c>
      <c r="PBT38" s="331"/>
      <c r="PBU38" s="290">
        <v>45492</v>
      </c>
      <c r="PBV38" s="339" t="s">
        <v>141</v>
      </c>
      <c r="PBW38" s="305"/>
      <c r="PBX38" s="305">
        <v>1</v>
      </c>
      <c r="PBY38" s="304">
        <f t="shared" ref="PBY38" si="4009">EDATE(PBU38,PBX38)</f>
        <v>45523</v>
      </c>
      <c r="PBZ38" s="340">
        <v>0</v>
      </c>
      <c r="PCA38" s="320">
        <f t="shared" ref="PCA38" si="4010">IF(PCB38&gt;=1,(PBZ38/PBX38),0)</f>
        <v>0</v>
      </c>
      <c r="PCB38" s="292"/>
      <c r="PCC38" s="259" t="s">
        <v>55</v>
      </c>
      <c r="PCD38" s="256" t="s">
        <v>76</v>
      </c>
      <c r="PCE38" s="256" t="s">
        <v>77</v>
      </c>
      <c r="PCF38" s="256" t="s">
        <v>78</v>
      </c>
      <c r="PCG38" s="256" t="s">
        <v>79</v>
      </c>
      <c r="PCH38" s="256" t="s">
        <v>80</v>
      </c>
      <c r="PCI38" s="256" t="s">
        <v>81</v>
      </c>
      <c r="PCJ38" s="331"/>
      <c r="PCK38" s="290">
        <v>45492</v>
      </c>
      <c r="PCL38" s="339" t="s">
        <v>141</v>
      </c>
      <c r="PCM38" s="305"/>
      <c r="PCN38" s="305">
        <v>1</v>
      </c>
      <c r="PCO38" s="304">
        <f t="shared" ref="PCO38" si="4011">EDATE(PCK38,PCN38)</f>
        <v>45523</v>
      </c>
      <c r="PCP38" s="340">
        <v>0</v>
      </c>
      <c r="PCQ38" s="320">
        <f t="shared" ref="PCQ38" si="4012">IF(PCR38&gt;=1,(PCP38/PCN38),0)</f>
        <v>0</v>
      </c>
      <c r="PCR38" s="292"/>
      <c r="PCS38" s="259" t="s">
        <v>55</v>
      </c>
      <c r="PCT38" s="256" t="s">
        <v>76</v>
      </c>
      <c r="PCU38" s="256" t="s">
        <v>77</v>
      </c>
      <c r="PCV38" s="256" t="s">
        <v>78</v>
      </c>
      <c r="PCW38" s="256" t="s">
        <v>79</v>
      </c>
      <c r="PCX38" s="256" t="s">
        <v>80</v>
      </c>
      <c r="PCY38" s="256" t="s">
        <v>81</v>
      </c>
      <c r="PCZ38" s="331"/>
      <c r="PDA38" s="290">
        <v>45492</v>
      </c>
      <c r="PDB38" s="339" t="s">
        <v>141</v>
      </c>
      <c r="PDC38" s="305"/>
      <c r="PDD38" s="305">
        <v>1</v>
      </c>
      <c r="PDE38" s="304">
        <f t="shared" ref="PDE38" si="4013">EDATE(PDA38,PDD38)</f>
        <v>45523</v>
      </c>
      <c r="PDF38" s="340">
        <v>0</v>
      </c>
      <c r="PDG38" s="320">
        <f t="shared" ref="PDG38" si="4014">IF(PDH38&gt;=1,(PDF38/PDD38),0)</f>
        <v>0</v>
      </c>
      <c r="PDH38" s="292"/>
      <c r="PDI38" s="259" t="s">
        <v>55</v>
      </c>
      <c r="PDJ38" s="256" t="s">
        <v>76</v>
      </c>
      <c r="PDK38" s="256" t="s">
        <v>77</v>
      </c>
      <c r="PDL38" s="256" t="s">
        <v>78</v>
      </c>
      <c r="PDM38" s="256" t="s">
        <v>79</v>
      </c>
      <c r="PDN38" s="256" t="s">
        <v>80</v>
      </c>
      <c r="PDO38" s="256" t="s">
        <v>81</v>
      </c>
      <c r="PDP38" s="331"/>
      <c r="PDQ38" s="290">
        <v>45492</v>
      </c>
      <c r="PDR38" s="339" t="s">
        <v>141</v>
      </c>
      <c r="PDS38" s="305"/>
      <c r="PDT38" s="305">
        <v>1</v>
      </c>
      <c r="PDU38" s="304">
        <f t="shared" ref="PDU38" si="4015">EDATE(PDQ38,PDT38)</f>
        <v>45523</v>
      </c>
      <c r="PDV38" s="340">
        <v>0</v>
      </c>
      <c r="PDW38" s="320">
        <f t="shared" ref="PDW38" si="4016">IF(PDX38&gt;=1,(PDV38/PDT38),0)</f>
        <v>0</v>
      </c>
      <c r="PDX38" s="292"/>
      <c r="PDY38" s="259" t="s">
        <v>55</v>
      </c>
      <c r="PDZ38" s="256" t="s">
        <v>76</v>
      </c>
      <c r="PEA38" s="256" t="s">
        <v>77</v>
      </c>
      <c r="PEB38" s="256" t="s">
        <v>78</v>
      </c>
      <c r="PEC38" s="256" t="s">
        <v>79</v>
      </c>
      <c r="PED38" s="256" t="s">
        <v>80</v>
      </c>
      <c r="PEE38" s="256" t="s">
        <v>81</v>
      </c>
      <c r="PEF38" s="331"/>
      <c r="PEG38" s="290">
        <v>45492</v>
      </c>
      <c r="PEH38" s="339" t="s">
        <v>141</v>
      </c>
      <c r="PEI38" s="305"/>
      <c r="PEJ38" s="305">
        <v>1</v>
      </c>
      <c r="PEK38" s="304">
        <f t="shared" ref="PEK38" si="4017">EDATE(PEG38,PEJ38)</f>
        <v>45523</v>
      </c>
      <c r="PEL38" s="340">
        <v>0</v>
      </c>
      <c r="PEM38" s="320">
        <f t="shared" ref="PEM38" si="4018">IF(PEN38&gt;=1,(PEL38/PEJ38),0)</f>
        <v>0</v>
      </c>
      <c r="PEN38" s="292"/>
      <c r="PEO38" s="259" t="s">
        <v>55</v>
      </c>
      <c r="PEP38" s="256" t="s">
        <v>76</v>
      </c>
      <c r="PEQ38" s="256" t="s">
        <v>77</v>
      </c>
      <c r="PER38" s="256" t="s">
        <v>78</v>
      </c>
      <c r="PES38" s="256" t="s">
        <v>79</v>
      </c>
      <c r="PET38" s="256" t="s">
        <v>80</v>
      </c>
      <c r="PEU38" s="256" t="s">
        <v>81</v>
      </c>
      <c r="PEV38" s="331"/>
      <c r="PEW38" s="290">
        <v>45492</v>
      </c>
      <c r="PEX38" s="339" t="s">
        <v>141</v>
      </c>
      <c r="PEY38" s="305"/>
      <c r="PEZ38" s="305">
        <v>1</v>
      </c>
      <c r="PFA38" s="304">
        <f t="shared" ref="PFA38" si="4019">EDATE(PEW38,PEZ38)</f>
        <v>45523</v>
      </c>
      <c r="PFB38" s="340">
        <v>0</v>
      </c>
      <c r="PFC38" s="320">
        <f t="shared" ref="PFC38" si="4020">IF(PFD38&gt;=1,(PFB38/PEZ38),0)</f>
        <v>0</v>
      </c>
      <c r="PFD38" s="292"/>
      <c r="PFE38" s="259" t="s">
        <v>55</v>
      </c>
      <c r="PFF38" s="256" t="s">
        <v>76</v>
      </c>
      <c r="PFG38" s="256" t="s">
        <v>77</v>
      </c>
      <c r="PFH38" s="256" t="s">
        <v>78</v>
      </c>
      <c r="PFI38" s="256" t="s">
        <v>79</v>
      </c>
      <c r="PFJ38" s="256" t="s">
        <v>80</v>
      </c>
      <c r="PFK38" s="256" t="s">
        <v>81</v>
      </c>
      <c r="PFL38" s="331"/>
      <c r="PFM38" s="290">
        <v>45492</v>
      </c>
      <c r="PFN38" s="339" t="s">
        <v>141</v>
      </c>
      <c r="PFO38" s="305"/>
      <c r="PFP38" s="305">
        <v>1</v>
      </c>
      <c r="PFQ38" s="304">
        <f t="shared" ref="PFQ38" si="4021">EDATE(PFM38,PFP38)</f>
        <v>45523</v>
      </c>
      <c r="PFR38" s="340">
        <v>0</v>
      </c>
      <c r="PFS38" s="320">
        <f t="shared" ref="PFS38" si="4022">IF(PFT38&gt;=1,(PFR38/PFP38),0)</f>
        <v>0</v>
      </c>
      <c r="PFT38" s="292"/>
      <c r="PFU38" s="259" t="s">
        <v>55</v>
      </c>
      <c r="PFV38" s="256" t="s">
        <v>76</v>
      </c>
      <c r="PFW38" s="256" t="s">
        <v>77</v>
      </c>
      <c r="PFX38" s="256" t="s">
        <v>78</v>
      </c>
      <c r="PFY38" s="256" t="s">
        <v>79</v>
      </c>
      <c r="PFZ38" s="256" t="s">
        <v>80</v>
      </c>
      <c r="PGA38" s="256" t="s">
        <v>81</v>
      </c>
      <c r="PGB38" s="331"/>
      <c r="PGC38" s="290">
        <v>45492</v>
      </c>
      <c r="PGD38" s="339" t="s">
        <v>141</v>
      </c>
      <c r="PGE38" s="305"/>
      <c r="PGF38" s="305">
        <v>1</v>
      </c>
      <c r="PGG38" s="304">
        <f t="shared" ref="PGG38" si="4023">EDATE(PGC38,PGF38)</f>
        <v>45523</v>
      </c>
      <c r="PGH38" s="340">
        <v>0</v>
      </c>
      <c r="PGI38" s="320">
        <f t="shared" ref="PGI38" si="4024">IF(PGJ38&gt;=1,(PGH38/PGF38),0)</f>
        <v>0</v>
      </c>
      <c r="PGJ38" s="292"/>
      <c r="PGK38" s="259" t="s">
        <v>55</v>
      </c>
      <c r="PGL38" s="256" t="s">
        <v>76</v>
      </c>
      <c r="PGM38" s="256" t="s">
        <v>77</v>
      </c>
      <c r="PGN38" s="256" t="s">
        <v>78</v>
      </c>
      <c r="PGO38" s="256" t="s">
        <v>79</v>
      </c>
      <c r="PGP38" s="256" t="s">
        <v>80</v>
      </c>
      <c r="PGQ38" s="256" t="s">
        <v>81</v>
      </c>
      <c r="PGR38" s="331"/>
      <c r="PGS38" s="290">
        <v>45492</v>
      </c>
      <c r="PGT38" s="339" t="s">
        <v>141</v>
      </c>
      <c r="PGU38" s="305"/>
      <c r="PGV38" s="305">
        <v>1</v>
      </c>
      <c r="PGW38" s="304">
        <f t="shared" ref="PGW38" si="4025">EDATE(PGS38,PGV38)</f>
        <v>45523</v>
      </c>
      <c r="PGX38" s="340">
        <v>0</v>
      </c>
      <c r="PGY38" s="320">
        <f t="shared" ref="PGY38" si="4026">IF(PGZ38&gt;=1,(PGX38/PGV38),0)</f>
        <v>0</v>
      </c>
      <c r="PGZ38" s="292"/>
      <c r="PHA38" s="259" t="s">
        <v>55</v>
      </c>
      <c r="PHB38" s="256" t="s">
        <v>76</v>
      </c>
      <c r="PHC38" s="256" t="s">
        <v>77</v>
      </c>
      <c r="PHD38" s="256" t="s">
        <v>78</v>
      </c>
      <c r="PHE38" s="256" t="s">
        <v>79</v>
      </c>
      <c r="PHF38" s="256" t="s">
        <v>80</v>
      </c>
      <c r="PHG38" s="256" t="s">
        <v>81</v>
      </c>
      <c r="PHH38" s="331"/>
      <c r="PHI38" s="290">
        <v>45492</v>
      </c>
      <c r="PHJ38" s="339" t="s">
        <v>141</v>
      </c>
      <c r="PHK38" s="305"/>
      <c r="PHL38" s="305">
        <v>1</v>
      </c>
      <c r="PHM38" s="304">
        <f t="shared" ref="PHM38" si="4027">EDATE(PHI38,PHL38)</f>
        <v>45523</v>
      </c>
      <c r="PHN38" s="340">
        <v>0</v>
      </c>
      <c r="PHO38" s="320">
        <f t="shared" ref="PHO38" si="4028">IF(PHP38&gt;=1,(PHN38/PHL38),0)</f>
        <v>0</v>
      </c>
      <c r="PHP38" s="292"/>
      <c r="PHQ38" s="259" t="s">
        <v>55</v>
      </c>
      <c r="PHR38" s="256" t="s">
        <v>76</v>
      </c>
      <c r="PHS38" s="256" t="s">
        <v>77</v>
      </c>
      <c r="PHT38" s="256" t="s">
        <v>78</v>
      </c>
      <c r="PHU38" s="256" t="s">
        <v>79</v>
      </c>
      <c r="PHV38" s="256" t="s">
        <v>80</v>
      </c>
      <c r="PHW38" s="256" t="s">
        <v>81</v>
      </c>
      <c r="PHX38" s="331"/>
      <c r="PHY38" s="290">
        <v>45492</v>
      </c>
      <c r="PHZ38" s="339" t="s">
        <v>141</v>
      </c>
      <c r="PIA38" s="305"/>
      <c r="PIB38" s="305">
        <v>1</v>
      </c>
      <c r="PIC38" s="304">
        <f t="shared" ref="PIC38" si="4029">EDATE(PHY38,PIB38)</f>
        <v>45523</v>
      </c>
      <c r="PID38" s="340">
        <v>0</v>
      </c>
      <c r="PIE38" s="320">
        <f t="shared" ref="PIE38" si="4030">IF(PIF38&gt;=1,(PID38/PIB38),0)</f>
        <v>0</v>
      </c>
      <c r="PIF38" s="292"/>
      <c r="PIG38" s="259" t="s">
        <v>55</v>
      </c>
      <c r="PIH38" s="256" t="s">
        <v>76</v>
      </c>
      <c r="PII38" s="256" t="s">
        <v>77</v>
      </c>
      <c r="PIJ38" s="256" t="s">
        <v>78</v>
      </c>
      <c r="PIK38" s="256" t="s">
        <v>79</v>
      </c>
      <c r="PIL38" s="256" t="s">
        <v>80</v>
      </c>
      <c r="PIM38" s="256" t="s">
        <v>81</v>
      </c>
      <c r="PIN38" s="331"/>
      <c r="PIO38" s="290">
        <v>45492</v>
      </c>
      <c r="PIP38" s="339" t="s">
        <v>141</v>
      </c>
      <c r="PIQ38" s="305"/>
      <c r="PIR38" s="305">
        <v>1</v>
      </c>
      <c r="PIS38" s="304">
        <f t="shared" ref="PIS38" si="4031">EDATE(PIO38,PIR38)</f>
        <v>45523</v>
      </c>
      <c r="PIT38" s="340">
        <v>0</v>
      </c>
      <c r="PIU38" s="320">
        <f t="shared" ref="PIU38" si="4032">IF(PIV38&gt;=1,(PIT38/PIR38),0)</f>
        <v>0</v>
      </c>
      <c r="PIV38" s="292"/>
      <c r="PIW38" s="259" t="s">
        <v>55</v>
      </c>
      <c r="PIX38" s="256" t="s">
        <v>76</v>
      </c>
      <c r="PIY38" s="256" t="s">
        <v>77</v>
      </c>
      <c r="PIZ38" s="256" t="s">
        <v>78</v>
      </c>
      <c r="PJA38" s="256" t="s">
        <v>79</v>
      </c>
      <c r="PJB38" s="256" t="s">
        <v>80</v>
      </c>
      <c r="PJC38" s="256" t="s">
        <v>81</v>
      </c>
      <c r="PJD38" s="331"/>
      <c r="PJE38" s="290">
        <v>45492</v>
      </c>
      <c r="PJF38" s="339" t="s">
        <v>141</v>
      </c>
      <c r="PJG38" s="305"/>
      <c r="PJH38" s="305">
        <v>1</v>
      </c>
      <c r="PJI38" s="304">
        <f t="shared" ref="PJI38" si="4033">EDATE(PJE38,PJH38)</f>
        <v>45523</v>
      </c>
      <c r="PJJ38" s="340">
        <v>0</v>
      </c>
      <c r="PJK38" s="320">
        <f t="shared" ref="PJK38" si="4034">IF(PJL38&gt;=1,(PJJ38/PJH38),0)</f>
        <v>0</v>
      </c>
      <c r="PJL38" s="292"/>
      <c r="PJM38" s="259" t="s">
        <v>55</v>
      </c>
      <c r="PJN38" s="256" t="s">
        <v>76</v>
      </c>
      <c r="PJO38" s="256" t="s">
        <v>77</v>
      </c>
      <c r="PJP38" s="256" t="s">
        <v>78</v>
      </c>
      <c r="PJQ38" s="256" t="s">
        <v>79</v>
      </c>
      <c r="PJR38" s="256" t="s">
        <v>80</v>
      </c>
      <c r="PJS38" s="256" t="s">
        <v>81</v>
      </c>
      <c r="PJT38" s="331"/>
      <c r="PJU38" s="290">
        <v>45492</v>
      </c>
      <c r="PJV38" s="339" t="s">
        <v>141</v>
      </c>
      <c r="PJW38" s="305"/>
      <c r="PJX38" s="305">
        <v>1</v>
      </c>
      <c r="PJY38" s="304">
        <f t="shared" ref="PJY38" si="4035">EDATE(PJU38,PJX38)</f>
        <v>45523</v>
      </c>
      <c r="PJZ38" s="340">
        <v>0</v>
      </c>
      <c r="PKA38" s="320">
        <f t="shared" ref="PKA38" si="4036">IF(PKB38&gt;=1,(PJZ38/PJX38),0)</f>
        <v>0</v>
      </c>
      <c r="PKB38" s="292"/>
      <c r="PKC38" s="259" t="s">
        <v>55</v>
      </c>
      <c r="PKD38" s="256" t="s">
        <v>76</v>
      </c>
      <c r="PKE38" s="256" t="s">
        <v>77</v>
      </c>
      <c r="PKF38" s="256" t="s">
        <v>78</v>
      </c>
      <c r="PKG38" s="256" t="s">
        <v>79</v>
      </c>
      <c r="PKH38" s="256" t="s">
        <v>80</v>
      </c>
      <c r="PKI38" s="256" t="s">
        <v>81</v>
      </c>
      <c r="PKJ38" s="331"/>
      <c r="PKK38" s="290">
        <v>45492</v>
      </c>
      <c r="PKL38" s="339" t="s">
        <v>141</v>
      </c>
      <c r="PKM38" s="305"/>
      <c r="PKN38" s="305">
        <v>1</v>
      </c>
      <c r="PKO38" s="304">
        <f t="shared" ref="PKO38" si="4037">EDATE(PKK38,PKN38)</f>
        <v>45523</v>
      </c>
      <c r="PKP38" s="340">
        <v>0</v>
      </c>
      <c r="PKQ38" s="320">
        <f t="shared" ref="PKQ38" si="4038">IF(PKR38&gt;=1,(PKP38/PKN38),0)</f>
        <v>0</v>
      </c>
      <c r="PKR38" s="292"/>
      <c r="PKS38" s="259" t="s">
        <v>55</v>
      </c>
      <c r="PKT38" s="256" t="s">
        <v>76</v>
      </c>
      <c r="PKU38" s="256" t="s">
        <v>77</v>
      </c>
      <c r="PKV38" s="256" t="s">
        <v>78</v>
      </c>
      <c r="PKW38" s="256" t="s">
        <v>79</v>
      </c>
      <c r="PKX38" s="256" t="s">
        <v>80</v>
      </c>
      <c r="PKY38" s="256" t="s">
        <v>81</v>
      </c>
      <c r="PKZ38" s="331"/>
      <c r="PLA38" s="290">
        <v>45492</v>
      </c>
      <c r="PLB38" s="339" t="s">
        <v>141</v>
      </c>
      <c r="PLC38" s="305"/>
      <c r="PLD38" s="305">
        <v>1</v>
      </c>
      <c r="PLE38" s="304">
        <f t="shared" ref="PLE38" si="4039">EDATE(PLA38,PLD38)</f>
        <v>45523</v>
      </c>
      <c r="PLF38" s="340">
        <v>0</v>
      </c>
      <c r="PLG38" s="320">
        <f t="shared" ref="PLG38" si="4040">IF(PLH38&gt;=1,(PLF38/PLD38),0)</f>
        <v>0</v>
      </c>
      <c r="PLH38" s="292"/>
      <c r="PLI38" s="259" t="s">
        <v>55</v>
      </c>
      <c r="PLJ38" s="256" t="s">
        <v>76</v>
      </c>
      <c r="PLK38" s="256" t="s">
        <v>77</v>
      </c>
      <c r="PLL38" s="256" t="s">
        <v>78</v>
      </c>
      <c r="PLM38" s="256" t="s">
        <v>79</v>
      </c>
      <c r="PLN38" s="256" t="s">
        <v>80</v>
      </c>
      <c r="PLO38" s="256" t="s">
        <v>81</v>
      </c>
      <c r="PLP38" s="331"/>
      <c r="PLQ38" s="290">
        <v>45492</v>
      </c>
      <c r="PLR38" s="339" t="s">
        <v>141</v>
      </c>
      <c r="PLS38" s="305"/>
      <c r="PLT38" s="305">
        <v>1</v>
      </c>
      <c r="PLU38" s="304">
        <f t="shared" ref="PLU38" si="4041">EDATE(PLQ38,PLT38)</f>
        <v>45523</v>
      </c>
      <c r="PLV38" s="340">
        <v>0</v>
      </c>
      <c r="PLW38" s="320">
        <f t="shared" ref="PLW38" si="4042">IF(PLX38&gt;=1,(PLV38/PLT38),0)</f>
        <v>0</v>
      </c>
      <c r="PLX38" s="292"/>
      <c r="PLY38" s="259" t="s">
        <v>55</v>
      </c>
      <c r="PLZ38" s="256" t="s">
        <v>76</v>
      </c>
      <c r="PMA38" s="256" t="s">
        <v>77</v>
      </c>
      <c r="PMB38" s="256" t="s">
        <v>78</v>
      </c>
      <c r="PMC38" s="256" t="s">
        <v>79</v>
      </c>
      <c r="PMD38" s="256" t="s">
        <v>80</v>
      </c>
      <c r="PME38" s="256" t="s">
        <v>81</v>
      </c>
      <c r="PMF38" s="331"/>
      <c r="PMG38" s="290">
        <v>45492</v>
      </c>
      <c r="PMH38" s="339" t="s">
        <v>141</v>
      </c>
      <c r="PMI38" s="305"/>
      <c r="PMJ38" s="305">
        <v>1</v>
      </c>
      <c r="PMK38" s="304">
        <f t="shared" ref="PMK38" si="4043">EDATE(PMG38,PMJ38)</f>
        <v>45523</v>
      </c>
      <c r="PML38" s="340">
        <v>0</v>
      </c>
      <c r="PMM38" s="320">
        <f t="shared" ref="PMM38" si="4044">IF(PMN38&gt;=1,(PML38/PMJ38),0)</f>
        <v>0</v>
      </c>
      <c r="PMN38" s="292"/>
      <c r="PMO38" s="259" t="s">
        <v>55</v>
      </c>
      <c r="PMP38" s="256" t="s">
        <v>76</v>
      </c>
      <c r="PMQ38" s="256" t="s">
        <v>77</v>
      </c>
      <c r="PMR38" s="256" t="s">
        <v>78</v>
      </c>
      <c r="PMS38" s="256" t="s">
        <v>79</v>
      </c>
      <c r="PMT38" s="256" t="s">
        <v>80</v>
      </c>
      <c r="PMU38" s="256" t="s">
        <v>81</v>
      </c>
      <c r="PMV38" s="331"/>
      <c r="PMW38" s="290">
        <v>45492</v>
      </c>
      <c r="PMX38" s="339" t="s">
        <v>141</v>
      </c>
      <c r="PMY38" s="305"/>
      <c r="PMZ38" s="305">
        <v>1</v>
      </c>
      <c r="PNA38" s="304">
        <f t="shared" ref="PNA38" si="4045">EDATE(PMW38,PMZ38)</f>
        <v>45523</v>
      </c>
      <c r="PNB38" s="340">
        <v>0</v>
      </c>
      <c r="PNC38" s="320">
        <f t="shared" ref="PNC38" si="4046">IF(PND38&gt;=1,(PNB38/PMZ38),0)</f>
        <v>0</v>
      </c>
      <c r="PND38" s="292"/>
      <c r="PNE38" s="259" t="s">
        <v>55</v>
      </c>
      <c r="PNF38" s="256" t="s">
        <v>76</v>
      </c>
      <c r="PNG38" s="256" t="s">
        <v>77</v>
      </c>
      <c r="PNH38" s="256" t="s">
        <v>78</v>
      </c>
      <c r="PNI38" s="256" t="s">
        <v>79</v>
      </c>
      <c r="PNJ38" s="256" t="s">
        <v>80</v>
      </c>
      <c r="PNK38" s="256" t="s">
        <v>81</v>
      </c>
      <c r="PNL38" s="331"/>
      <c r="PNM38" s="290">
        <v>45492</v>
      </c>
      <c r="PNN38" s="339" t="s">
        <v>141</v>
      </c>
      <c r="PNO38" s="305"/>
      <c r="PNP38" s="305">
        <v>1</v>
      </c>
      <c r="PNQ38" s="304">
        <f t="shared" ref="PNQ38" si="4047">EDATE(PNM38,PNP38)</f>
        <v>45523</v>
      </c>
      <c r="PNR38" s="340">
        <v>0</v>
      </c>
      <c r="PNS38" s="320">
        <f t="shared" ref="PNS38" si="4048">IF(PNT38&gt;=1,(PNR38/PNP38),0)</f>
        <v>0</v>
      </c>
      <c r="PNT38" s="292"/>
      <c r="PNU38" s="259" t="s">
        <v>55</v>
      </c>
      <c r="PNV38" s="256" t="s">
        <v>76</v>
      </c>
      <c r="PNW38" s="256" t="s">
        <v>77</v>
      </c>
      <c r="PNX38" s="256" t="s">
        <v>78</v>
      </c>
      <c r="PNY38" s="256" t="s">
        <v>79</v>
      </c>
      <c r="PNZ38" s="256" t="s">
        <v>80</v>
      </c>
      <c r="POA38" s="256" t="s">
        <v>81</v>
      </c>
      <c r="POB38" s="331"/>
      <c r="POC38" s="290">
        <v>45492</v>
      </c>
      <c r="POD38" s="339" t="s">
        <v>141</v>
      </c>
      <c r="POE38" s="305"/>
      <c r="POF38" s="305">
        <v>1</v>
      </c>
      <c r="POG38" s="304">
        <f t="shared" ref="POG38" si="4049">EDATE(POC38,POF38)</f>
        <v>45523</v>
      </c>
      <c r="POH38" s="340">
        <v>0</v>
      </c>
      <c r="POI38" s="320">
        <f t="shared" ref="POI38" si="4050">IF(POJ38&gt;=1,(POH38/POF38),0)</f>
        <v>0</v>
      </c>
      <c r="POJ38" s="292"/>
      <c r="POK38" s="259" t="s">
        <v>55</v>
      </c>
      <c r="POL38" s="256" t="s">
        <v>76</v>
      </c>
      <c r="POM38" s="256" t="s">
        <v>77</v>
      </c>
      <c r="PON38" s="256" t="s">
        <v>78</v>
      </c>
      <c r="POO38" s="256" t="s">
        <v>79</v>
      </c>
      <c r="POP38" s="256" t="s">
        <v>80</v>
      </c>
      <c r="POQ38" s="256" t="s">
        <v>81</v>
      </c>
      <c r="POR38" s="331"/>
      <c r="POS38" s="290">
        <v>45492</v>
      </c>
      <c r="POT38" s="339" t="s">
        <v>141</v>
      </c>
      <c r="POU38" s="305"/>
      <c r="POV38" s="305">
        <v>1</v>
      </c>
      <c r="POW38" s="304">
        <f t="shared" ref="POW38" si="4051">EDATE(POS38,POV38)</f>
        <v>45523</v>
      </c>
      <c r="POX38" s="340">
        <v>0</v>
      </c>
      <c r="POY38" s="320">
        <f t="shared" ref="POY38" si="4052">IF(POZ38&gt;=1,(POX38/POV38),0)</f>
        <v>0</v>
      </c>
      <c r="POZ38" s="292"/>
      <c r="PPA38" s="259" t="s">
        <v>55</v>
      </c>
      <c r="PPB38" s="256" t="s">
        <v>76</v>
      </c>
      <c r="PPC38" s="256" t="s">
        <v>77</v>
      </c>
      <c r="PPD38" s="256" t="s">
        <v>78</v>
      </c>
      <c r="PPE38" s="256" t="s">
        <v>79</v>
      </c>
      <c r="PPF38" s="256" t="s">
        <v>80</v>
      </c>
      <c r="PPG38" s="256" t="s">
        <v>81</v>
      </c>
      <c r="PPH38" s="331"/>
      <c r="PPI38" s="290">
        <v>45492</v>
      </c>
      <c r="PPJ38" s="339" t="s">
        <v>141</v>
      </c>
      <c r="PPK38" s="305"/>
      <c r="PPL38" s="305">
        <v>1</v>
      </c>
      <c r="PPM38" s="304">
        <f t="shared" ref="PPM38" si="4053">EDATE(PPI38,PPL38)</f>
        <v>45523</v>
      </c>
      <c r="PPN38" s="340">
        <v>0</v>
      </c>
      <c r="PPO38" s="320">
        <f t="shared" ref="PPO38" si="4054">IF(PPP38&gt;=1,(PPN38/PPL38),0)</f>
        <v>0</v>
      </c>
      <c r="PPP38" s="292"/>
      <c r="PPQ38" s="259" t="s">
        <v>55</v>
      </c>
      <c r="PPR38" s="256" t="s">
        <v>76</v>
      </c>
      <c r="PPS38" s="256" t="s">
        <v>77</v>
      </c>
      <c r="PPT38" s="256" t="s">
        <v>78</v>
      </c>
      <c r="PPU38" s="256" t="s">
        <v>79</v>
      </c>
      <c r="PPV38" s="256" t="s">
        <v>80</v>
      </c>
      <c r="PPW38" s="256" t="s">
        <v>81</v>
      </c>
      <c r="PPX38" s="331"/>
      <c r="PPY38" s="290">
        <v>45492</v>
      </c>
      <c r="PPZ38" s="339" t="s">
        <v>141</v>
      </c>
      <c r="PQA38" s="305"/>
      <c r="PQB38" s="305">
        <v>1</v>
      </c>
      <c r="PQC38" s="304">
        <f t="shared" ref="PQC38" si="4055">EDATE(PPY38,PQB38)</f>
        <v>45523</v>
      </c>
      <c r="PQD38" s="340">
        <v>0</v>
      </c>
      <c r="PQE38" s="320">
        <f t="shared" ref="PQE38" si="4056">IF(PQF38&gt;=1,(PQD38/PQB38),0)</f>
        <v>0</v>
      </c>
      <c r="PQF38" s="292"/>
      <c r="PQG38" s="259" t="s">
        <v>55</v>
      </c>
      <c r="PQH38" s="256" t="s">
        <v>76</v>
      </c>
      <c r="PQI38" s="256" t="s">
        <v>77</v>
      </c>
      <c r="PQJ38" s="256" t="s">
        <v>78</v>
      </c>
      <c r="PQK38" s="256" t="s">
        <v>79</v>
      </c>
      <c r="PQL38" s="256" t="s">
        <v>80</v>
      </c>
      <c r="PQM38" s="256" t="s">
        <v>81</v>
      </c>
      <c r="PQN38" s="331"/>
      <c r="PQO38" s="290">
        <v>45492</v>
      </c>
      <c r="PQP38" s="339" t="s">
        <v>141</v>
      </c>
      <c r="PQQ38" s="305"/>
      <c r="PQR38" s="305">
        <v>1</v>
      </c>
      <c r="PQS38" s="304">
        <f t="shared" ref="PQS38" si="4057">EDATE(PQO38,PQR38)</f>
        <v>45523</v>
      </c>
      <c r="PQT38" s="340">
        <v>0</v>
      </c>
      <c r="PQU38" s="320">
        <f t="shared" ref="PQU38" si="4058">IF(PQV38&gt;=1,(PQT38/PQR38),0)</f>
        <v>0</v>
      </c>
      <c r="PQV38" s="292"/>
      <c r="PQW38" s="259" t="s">
        <v>55</v>
      </c>
      <c r="PQX38" s="256" t="s">
        <v>76</v>
      </c>
      <c r="PQY38" s="256" t="s">
        <v>77</v>
      </c>
      <c r="PQZ38" s="256" t="s">
        <v>78</v>
      </c>
      <c r="PRA38" s="256" t="s">
        <v>79</v>
      </c>
      <c r="PRB38" s="256" t="s">
        <v>80</v>
      </c>
      <c r="PRC38" s="256" t="s">
        <v>81</v>
      </c>
      <c r="PRD38" s="331"/>
      <c r="PRE38" s="290">
        <v>45492</v>
      </c>
      <c r="PRF38" s="339" t="s">
        <v>141</v>
      </c>
      <c r="PRG38" s="305"/>
      <c r="PRH38" s="305">
        <v>1</v>
      </c>
      <c r="PRI38" s="304">
        <f t="shared" ref="PRI38" si="4059">EDATE(PRE38,PRH38)</f>
        <v>45523</v>
      </c>
      <c r="PRJ38" s="340">
        <v>0</v>
      </c>
      <c r="PRK38" s="320">
        <f t="shared" ref="PRK38" si="4060">IF(PRL38&gt;=1,(PRJ38/PRH38),0)</f>
        <v>0</v>
      </c>
      <c r="PRL38" s="292"/>
      <c r="PRM38" s="259" t="s">
        <v>55</v>
      </c>
      <c r="PRN38" s="256" t="s">
        <v>76</v>
      </c>
      <c r="PRO38" s="256" t="s">
        <v>77</v>
      </c>
      <c r="PRP38" s="256" t="s">
        <v>78</v>
      </c>
      <c r="PRQ38" s="256" t="s">
        <v>79</v>
      </c>
      <c r="PRR38" s="256" t="s">
        <v>80</v>
      </c>
      <c r="PRS38" s="256" t="s">
        <v>81</v>
      </c>
      <c r="PRT38" s="331"/>
      <c r="PRU38" s="290">
        <v>45492</v>
      </c>
      <c r="PRV38" s="339" t="s">
        <v>141</v>
      </c>
      <c r="PRW38" s="305"/>
      <c r="PRX38" s="305">
        <v>1</v>
      </c>
      <c r="PRY38" s="304">
        <f t="shared" ref="PRY38" si="4061">EDATE(PRU38,PRX38)</f>
        <v>45523</v>
      </c>
      <c r="PRZ38" s="340">
        <v>0</v>
      </c>
      <c r="PSA38" s="320">
        <f t="shared" ref="PSA38" si="4062">IF(PSB38&gt;=1,(PRZ38/PRX38),0)</f>
        <v>0</v>
      </c>
      <c r="PSB38" s="292"/>
      <c r="PSC38" s="259" t="s">
        <v>55</v>
      </c>
      <c r="PSD38" s="256" t="s">
        <v>76</v>
      </c>
      <c r="PSE38" s="256" t="s">
        <v>77</v>
      </c>
      <c r="PSF38" s="256" t="s">
        <v>78</v>
      </c>
      <c r="PSG38" s="256" t="s">
        <v>79</v>
      </c>
      <c r="PSH38" s="256" t="s">
        <v>80</v>
      </c>
      <c r="PSI38" s="256" t="s">
        <v>81</v>
      </c>
      <c r="PSJ38" s="331"/>
      <c r="PSK38" s="290">
        <v>45492</v>
      </c>
      <c r="PSL38" s="339" t="s">
        <v>141</v>
      </c>
      <c r="PSM38" s="305"/>
      <c r="PSN38" s="305">
        <v>1</v>
      </c>
      <c r="PSO38" s="304">
        <f t="shared" ref="PSO38" si="4063">EDATE(PSK38,PSN38)</f>
        <v>45523</v>
      </c>
      <c r="PSP38" s="340">
        <v>0</v>
      </c>
      <c r="PSQ38" s="320">
        <f t="shared" ref="PSQ38" si="4064">IF(PSR38&gt;=1,(PSP38/PSN38),0)</f>
        <v>0</v>
      </c>
      <c r="PSR38" s="292"/>
      <c r="PSS38" s="259" t="s">
        <v>55</v>
      </c>
      <c r="PST38" s="256" t="s">
        <v>76</v>
      </c>
      <c r="PSU38" s="256" t="s">
        <v>77</v>
      </c>
      <c r="PSV38" s="256" t="s">
        <v>78</v>
      </c>
      <c r="PSW38" s="256" t="s">
        <v>79</v>
      </c>
      <c r="PSX38" s="256" t="s">
        <v>80</v>
      </c>
      <c r="PSY38" s="256" t="s">
        <v>81</v>
      </c>
      <c r="PSZ38" s="331"/>
      <c r="PTA38" s="290">
        <v>45492</v>
      </c>
      <c r="PTB38" s="339" t="s">
        <v>141</v>
      </c>
      <c r="PTC38" s="305"/>
      <c r="PTD38" s="305">
        <v>1</v>
      </c>
      <c r="PTE38" s="304">
        <f t="shared" ref="PTE38" si="4065">EDATE(PTA38,PTD38)</f>
        <v>45523</v>
      </c>
      <c r="PTF38" s="340">
        <v>0</v>
      </c>
      <c r="PTG38" s="320">
        <f t="shared" ref="PTG38" si="4066">IF(PTH38&gt;=1,(PTF38/PTD38),0)</f>
        <v>0</v>
      </c>
      <c r="PTH38" s="292"/>
      <c r="PTI38" s="259" t="s">
        <v>55</v>
      </c>
      <c r="PTJ38" s="256" t="s">
        <v>76</v>
      </c>
      <c r="PTK38" s="256" t="s">
        <v>77</v>
      </c>
      <c r="PTL38" s="256" t="s">
        <v>78</v>
      </c>
      <c r="PTM38" s="256" t="s">
        <v>79</v>
      </c>
      <c r="PTN38" s="256" t="s">
        <v>80</v>
      </c>
      <c r="PTO38" s="256" t="s">
        <v>81</v>
      </c>
      <c r="PTP38" s="331"/>
      <c r="PTQ38" s="290">
        <v>45492</v>
      </c>
      <c r="PTR38" s="339" t="s">
        <v>141</v>
      </c>
      <c r="PTS38" s="305"/>
      <c r="PTT38" s="305">
        <v>1</v>
      </c>
      <c r="PTU38" s="304">
        <f t="shared" ref="PTU38" si="4067">EDATE(PTQ38,PTT38)</f>
        <v>45523</v>
      </c>
      <c r="PTV38" s="340">
        <v>0</v>
      </c>
      <c r="PTW38" s="320">
        <f t="shared" ref="PTW38" si="4068">IF(PTX38&gt;=1,(PTV38/PTT38),0)</f>
        <v>0</v>
      </c>
      <c r="PTX38" s="292"/>
      <c r="PTY38" s="259" t="s">
        <v>55</v>
      </c>
      <c r="PTZ38" s="256" t="s">
        <v>76</v>
      </c>
      <c r="PUA38" s="256" t="s">
        <v>77</v>
      </c>
      <c r="PUB38" s="256" t="s">
        <v>78</v>
      </c>
      <c r="PUC38" s="256" t="s">
        <v>79</v>
      </c>
      <c r="PUD38" s="256" t="s">
        <v>80</v>
      </c>
      <c r="PUE38" s="256" t="s">
        <v>81</v>
      </c>
      <c r="PUF38" s="331"/>
      <c r="PUG38" s="290">
        <v>45492</v>
      </c>
      <c r="PUH38" s="339" t="s">
        <v>141</v>
      </c>
      <c r="PUI38" s="305"/>
      <c r="PUJ38" s="305">
        <v>1</v>
      </c>
      <c r="PUK38" s="304">
        <f t="shared" ref="PUK38" si="4069">EDATE(PUG38,PUJ38)</f>
        <v>45523</v>
      </c>
      <c r="PUL38" s="340">
        <v>0</v>
      </c>
      <c r="PUM38" s="320">
        <f t="shared" ref="PUM38" si="4070">IF(PUN38&gt;=1,(PUL38/PUJ38),0)</f>
        <v>0</v>
      </c>
      <c r="PUN38" s="292"/>
      <c r="PUO38" s="259" t="s">
        <v>55</v>
      </c>
      <c r="PUP38" s="256" t="s">
        <v>76</v>
      </c>
      <c r="PUQ38" s="256" t="s">
        <v>77</v>
      </c>
      <c r="PUR38" s="256" t="s">
        <v>78</v>
      </c>
      <c r="PUS38" s="256" t="s">
        <v>79</v>
      </c>
      <c r="PUT38" s="256" t="s">
        <v>80</v>
      </c>
      <c r="PUU38" s="256" t="s">
        <v>81</v>
      </c>
      <c r="PUV38" s="331"/>
      <c r="PUW38" s="290">
        <v>45492</v>
      </c>
      <c r="PUX38" s="339" t="s">
        <v>141</v>
      </c>
      <c r="PUY38" s="305"/>
      <c r="PUZ38" s="305">
        <v>1</v>
      </c>
      <c r="PVA38" s="304">
        <f t="shared" ref="PVA38" si="4071">EDATE(PUW38,PUZ38)</f>
        <v>45523</v>
      </c>
      <c r="PVB38" s="340">
        <v>0</v>
      </c>
      <c r="PVC38" s="320">
        <f t="shared" ref="PVC38" si="4072">IF(PVD38&gt;=1,(PVB38/PUZ38),0)</f>
        <v>0</v>
      </c>
      <c r="PVD38" s="292"/>
      <c r="PVE38" s="259" t="s">
        <v>55</v>
      </c>
      <c r="PVF38" s="256" t="s">
        <v>76</v>
      </c>
      <c r="PVG38" s="256" t="s">
        <v>77</v>
      </c>
      <c r="PVH38" s="256" t="s">
        <v>78</v>
      </c>
      <c r="PVI38" s="256" t="s">
        <v>79</v>
      </c>
      <c r="PVJ38" s="256" t="s">
        <v>80</v>
      </c>
      <c r="PVK38" s="256" t="s">
        <v>81</v>
      </c>
      <c r="PVL38" s="331"/>
      <c r="PVM38" s="290">
        <v>45492</v>
      </c>
      <c r="PVN38" s="339" t="s">
        <v>141</v>
      </c>
      <c r="PVO38" s="305"/>
      <c r="PVP38" s="305">
        <v>1</v>
      </c>
      <c r="PVQ38" s="304">
        <f t="shared" ref="PVQ38" si="4073">EDATE(PVM38,PVP38)</f>
        <v>45523</v>
      </c>
      <c r="PVR38" s="340">
        <v>0</v>
      </c>
      <c r="PVS38" s="320">
        <f t="shared" ref="PVS38" si="4074">IF(PVT38&gt;=1,(PVR38/PVP38),0)</f>
        <v>0</v>
      </c>
      <c r="PVT38" s="292"/>
      <c r="PVU38" s="259" t="s">
        <v>55</v>
      </c>
      <c r="PVV38" s="256" t="s">
        <v>76</v>
      </c>
      <c r="PVW38" s="256" t="s">
        <v>77</v>
      </c>
      <c r="PVX38" s="256" t="s">
        <v>78</v>
      </c>
      <c r="PVY38" s="256" t="s">
        <v>79</v>
      </c>
      <c r="PVZ38" s="256" t="s">
        <v>80</v>
      </c>
      <c r="PWA38" s="256" t="s">
        <v>81</v>
      </c>
      <c r="PWB38" s="331"/>
      <c r="PWC38" s="290">
        <v>45492</v>
      </c>
      <c r="PWD38" s="339" t="s">
        <v>141</v>
      </c>
      <c r="PWE38" s="305"/>
      <c r="PWF38" s="305">
        <v>1</v>
      </c>
      <c r="PWG38" s="304">
        <f t="shared" ref="PWG38" si="4075">EDATE(PWC38,PWF38)</f>
        <v>45523</v>
      </c>
      <c r="PWH38" s="340">
        <v>0</v>
      </c>
      <c r="PWI38" s="320">
        <f t="shared" ref="PWI38" si="4076">IF(PWJ38&gt;=1,(PWH38/PWF38),0)</f>
        <v>0</v>
      </c>
      <c r="PWJ38" s="292"/>
      <c r="PWK38" s="259" t="s">
        <v>55</v>
      </c>
      <c r="PWL38" s="256" t="s">
        <v>76</v>
      </c>
      <c r="PWM38" s="256" t="s">
        <v>77</v>
      </c>
      <c r="PWN38" s="256" t="s">
        <v>78</v>
      </c>
      <c r="PWO38" s="256" t="s">
        <v>79</v>
      </c>
      <c r="PWP38" s="256" t="s">
        <v>80</v>
      </c>
      <c r="PWQ38" s="256" t="s">
        <v>81</v>
      </c>
      <c r="PWR38" s="331"/>
      <c r="PWS38" s="290">
        <v>45492</v>
      </c>
      <c r="PWT38" s="339" t="s">
        <v>141</v>
      </c>
      <c r="PWU38" s="305"/>
      <c r="PWV38" s="305">
        <v>1</v>
      </c>
      <c r="PWW38" s="304">
        <f t="shared" ref="PWW38" si="4077">EDATE(PWS38,PWV38)</f>
        <v>45523</v>
      </c>
      <c r="PWX38" s="340">
        <v>0</v>
      </c>
      <c r="PWY38" s="320">
        <f t="shared" ref="PWY38" si="4078">IF(PWZ38&gt;=1,(PWX38/PWV38),0)</f>
        <v>0</v>
      </c>
      <c r="PWZ38" s="292"/>
      <c r="PXA38" s="259" t="s">
        <v>55</v>
      </c>
      <c r="PXB38" s="256" t="s">
        <v>76</v>
      </c>
      <c r="PXC38" s="256" t="s">
        <v>77</v>
      </c>
      <c r="PXD38" s="256" t="s">
        <v>78</v>
      </c>
      <c r="PXE38" s="256" t="s">
        <v>79</v>
      </c>
      <c r="PXF38" s="256" t="s">
        <v>80</v>
      </c>
      <c r="PXG38" s="256" t="s">
        <v>81</v>
      </c>
      <c r="PXH38" s="331"/>
      <c r="PXI38" s="290">
        <v>45492</v>
      </c>
      <c r="PXJ38" s="339" t="s">
        <v>141</v>
      </c>
      <c r="PXK38" s="305"/>
      <c r="PXL38" s="305">
        <v>1</v>
      </c>
      <c r="PXM38" s="304">
        <f t="shared" ref="PXM38" si="4079">EDATE(PXI38,PXL38)</f>
        <v>45523</v>
      </c>
      <c r="PXN38" s="340">
        <v>0</v>
      </c>
      <c r="PXO38" s="320">
        <f t="shared" ref="PXO38" si="4080">IF(PXP38&gt;=1,(PXN38/PXL38),0)</f>
        <v>0</v>
      </c>
      <c r="PXP38" s="292"/>
      <c r="PXQ38" s="259" t="s">
        <v>55</v>
      </c>
      <c r="PXR38" s="256" t="s">
        <v>76</v>
      </c>
      <c r="PXS38" s="256" t="s">
        <v>77</v>
      </c>
      <c r="PXT38" s="256" t="s">
        <v>78</v>
      </c>
      <c r="PXU38" s="256" t="s">
        <v>79</v>
      </c>
      <c r="PXV38" s="256" t="s">
        <v>80</v>
      </c>
      <c r="PXW38" s="256" t="s">
        <v>81</v>
      </c>
      <c r="PXX38" s="331"/>
      <c r="PXY38" s="290">
        <v>45492</v>
      </c>
      <c r="PXZ38" s="339" t="s">
        <v>141</v>
      </c>
      <c r="PYA38" s="305"/>
      <c r="PYB38" s="305">
        <v>1</v>
      </c>
      <c r="PYC38" s="304">
        <f t="shared" ref="PYC38" si="4081">EDATE(PXY38,PYB38)</f>
        <v>45523</v>
      </c>
      <c r="PYD38" s="340">
        <v>0</v>
      </c>
      <c r="PYE38" s="320">
        <f t="shared" ref="PYE38" si="4082">IF(PYF38&gt;=1,(PYD38/PYB38),0)</f>
        <v>0</v>
      </c>
      <c r="PYF38" s="292"/>
      <c r="PYG38" s="259" t="s">
        <v>55</v>
      </c>
      <c r="PYH38" s="256" t="s">
        <v>76</v>
      </c>
      <c r="PYI38" s="256" t="s">
        <v>77</v>
      </c>
      <c r="PYJ38" s="256" t="s">
        <v>78</v>
      </c>
      <c r="PYK38" s="256" t="s">
        <v>79</v>
      </c>
      <c r="PYL38" s="256" t="s">
        <v>80</v>
      </c>
      <c r="PYM38" s="256" t="s">
        <v>81</v>
      </c>
      <c r="PYN38" s="331"/>
      <c r="PYO38" s="290">
        <v>45492</v>
      </c>
      <c r="PYP38" s="339" t="s">
        <v>141</v>
      </c>
      <c r="PYQ38" s="305"/>
      <c r="PYR38" s="305">
        <v>1</v>
      </c>
      <c r="PYS38" s="304">
        <f t="shared" ref="PYS38" si="4083">EDATE(PYO38,PYR38)</f>
        <v>45523</v>
      </c>
      <c r="PYT38" s="340">
        <v>0</v>
      </c>
      <c r="PYU38" s="320">
        <f t="shared" ref="PYU38" si="4084">IF(PYV38&gt;=1,(PYT38/PYR38),0)</f>
        <v>0</v>
      </c>
      <c r="PYV38" s="292"/>
      <c r="PYW38" s="259" t="s">
        <v>55</v>
      </c>
      <c r="PYX38" s="256" t="s">
        <v>76</v>
      </c>
      <c r="PYY38" s="256" t="s">
        <v>77</v>
      </c>
      <c r="PYZ38" s="256" t="s">
        <v>78</v>
      </c>
      <c r="PZA38" s="256" t="s">
        <v>79</v>
      </c>
      <c r="PZB38" s="256" t="s">
        <v>80</v>
      </c>
      <c r="PZC38" s="256" t="s">
        <v>81</v>
      </c>
      <c r="PZD38" s="331"/>
      <c r="PZE38" s="290">
        <v>45492</v>
      </c>
      <c r="PZF38" s="339" t="s">
        <v>141</v>
      </c>
      <c r="PZG38" s="305"/>
      <c r="PZH38" s="305">
        <v>1</v>
      </c>
      <c r="PZI38" s="304">
        <f t="shared" ref="PZI38" si="4085">EDATE(PZE38,PZH38)</f>
        <v>45523</v>
      </c>
      <c r="PZJ38" s="340">
        <v>0</v>
      </c>
      <c r="PZK38" s="320">
        <f t="shared" ref="PZK38" si="4086">IF(PZL38&gt;=1,(PZJ38/PZH38),0)</f>
        <v>0</v>
      </c>
      <c r="PZL38" s="292"/>
      <c r="PZM38" s="259" t="s">
        <v>55</v>
      </c>
      <c r="PZN38" s="256" t="s">
        <v>76</v>
      </c>
      <c r="PZO38" s="256" t="s">
        <v>77</v>
      </c>
      <c r="PZP38" s="256" t="s">
        <v>78</v>
      </c>
      <c r="PZQ38" s="256" t="s">
        <v>79</v>
      </c>
      <c r="PZR38" s="256" t="s">
        <v>80</v>
      </c>
      <c r="PZS38" s="256" t="s">
        <v>81</v>
      </c>
      <c r="PZT38" s="331"/>
      <c r="PZU38" s="290">
        <v>45492</v>
      </c>
      <c r="PZV38" s="339" t="s">
        <v>141</v>
      </c>
      <c r="PZW38" s="305"/>
      <c r="PZX38" s="305">
        <v>1</v>
      </c>
      <c r="PZY38" s="304">
        <f t="shared" ref="PZY38" si="4087">EDATE(PZU38,PZX38)</f>
        <v>45523</v>
      </c>
      <c r="PZZ38" s="340">
        <v>0</v>
      </c>
      <c r="QAA38" s="320">
        <f t="shared" ref="QAA38" si="4088">IF(QAB38&gt;=1,(PZZ38/PZX38),0)</f>
        <v>0</v>
      </c>
      <c r="QAB38" s="292"/>
      <c r="QAC38" s="259" t="s">
        <v>55</v>
      </c>
      <c r="QAD38" s="256" t="s">
        <v>76</v>
      </c>
      <c r="QAE38" s="256" t="s">
        <v>77</v>
      </c>
      <c r="QAF38" s="256" t="s">
        <v>78</v>
      </c>
      <c r="QAG38" s="256" t="s">
        <v>79</v>
      </c>
      <c r="QAH38" s="256" t="s">
        <v>80</v>
      </c>
      <c r="QAI38" s="256" t="s">
        <v>81</v>
      </c>
      <c r="QAJ38" s="331"/>
      <c r="QAK38" s="290">
        <v>45492</v>
      </c>
      <c r="QAL38" s="339" t="s">
        <v>141</v>
      </c>
      <c r="QAM38" s="305"/>
      <c r="QAN38" s="305">
        <v>1</v>
      </c>
      <c r="QAO38" s="304">
        <f t="shared" ref="QAO38" si="4089">EDATE(QAK38,QAN38)</f>
        <v>45523</v>
      </c>
      <c r="QAP38" s="340">
        <v>0</v>
      </c>
      <c r="QAQ38" s="320">
        <f t="shared" ref="QAQ38" si="4090">IF(QAR38&gt;=1,(QAP38/QAN38),0)</f>
        <v>0</v>
      </c>
      <c r="QAR38" s="292"/>
      <c r="QAS38" s="259" t="s">
        <v>55</v>
      </c>
      <c r="QAT38" s="256" t="s">
        <v>76</v>
      </c>
      <c r="QAU38" s="256" t="s">
        <v>77</v>
      </c>
      <c r="QAV38" s="256" t="s">
        <v>78</v>
      </c>
      <c r="QAW38" s="256" t="s">
        <v>79</v>
      </c>
      <c r="QAX38" s="256" t="s">
        <v>80</v>
      </c>
      <c r="QAY38" s="256" t="s">
        <v>81</v>
      </c>
      <c r="QAZ38" s="331"/>
      <c r="QBA38" s="290">
        <v>45492</v>
      </c>
      <c r="QBB38" s="339" t="s">
        <v>141</v>
      </c>
      <c r="QBC38" s="305"/>
      <c r="QBD38" s="305">
        <v>1</v>
      </c>
      <c r="QBE38" s="304">
        <f t="shared" ref="QBE38" si="4091">EDATE(QBA38,QBD38)</f>
        <v>45523</v>
      </c>
      <c r="QBF38" s="340">
        <v>0</v>
      </c>
      <c r="QBG38" s="320">
        <f t="shared" ref="QBG38" si="4092">IF(QBH38&gt;=1,(QBF38/QBD38),0)</f>
        <v>0</v>
      </c>
      <c r="QBH38" s="292"/>
      <c r="QBI38" s="259" t="s">
        <v>55</v>
      </c>
      <c r="QBJ38" s="256" t="s">
        <v>76</v>
      </c>
      <c r="QBK38" s="256" t="s">
        <v>77</v>
      </c>
      <c r="QBL38" s="256" t="s">
        <v>78</v>
      </c>
      <c r="QBM38" s="256" t="s">
        <v>79</v>
      </c>
      <c r="QBN38" s="256" t="s">
        <v>80</v>
      </c>
      <c r="QBO38" s="256" t="s">
        <v>81</v>
      </c>
      <c r="QBP38" s="331"/>
      <c r="QBQ38" s="290">
        <v>45492</v>
      </c>
      <c r="QBR38" s="339" t="s">
        <v>141</v>
      </c>
      <c r="QBS38" s="305"/>
      <c r="QBT38" s="305">
        <v>1</v>
      </c>
      <c r="QBU38" s="304">
        <f t="shared" ref="QBU38" si="4093">EDATE(QBQ38,QBT38)</f>
        <v>45523</v>
      </c>
      <c r="QBV38" s="340">
        <v>0</v>
      </c>
      <c r="QBW38" s="320">
        <f t="shared" ref="QBW38" si="4094">IF(QBX38&gt;=1,(QBV38/QBT38),0)</f>
        <v>0</v>
      </c>
      <c r="QBX38" s="292"/>
      <c r="QBY38" s="259" t="s">
        <v>55</v>
      </c>
      <c r="QBZ38" s="256" t="s">
        <v>76</v>
      </c>
      <c r="QCA38" s="256" t="s">
        <v>77</v>
      </c>
      <c r="QCB38" s="256" t="s">
        <v>78</v>
      </c>
      <c r="QCC38" s="256" t="s">
        <v>79</v>
      </c>
      <c r="QCD38" s="256" t="s">
        <v>80</v>
      </c>
      <c r="QCE38" s="256" t="s">
        <v>81</v>
      </c>
      <c r="QCF38" s="331"/>
      <c r="QCG38" s="290">
        <v>45492</v>
      </c>
      <c r="QCH38" s="339" t="s">
        <v>141</v>
      </c>
      <c r="QCI38" s="305"/>
      <c r="QCJ38" s="305">
        <v>1</v>
      </c>
      <c r="QCK38" s="304">
        <f t="shared" ref="QCK38" si="4095">EDATE(QCG38,QCJ38)</f>
        <v>45523</v>
      </c>
      <c r="QCL38" s="340">
        <v>0</v>
      </c>
      <c r="QCM38" s="320">
        <f t="shared" ref="QCM38" si="4096">IF(QCN38&gt;=1,(QCL38/QCJ38),0)</f>
        <v>0</v>
      </c>
      <c r="QCN38" s="292"/>
      <c r="QCO38" s="259" t="s">
        <v>55</v>
      </c>
      <c r="QCP38" s="256" t="s">
        <v>76</v>
      </c>
      <c r="QCQ38" s="256" t="s">
        <v>77</v>
      </c>
      <c r="QCR38" s="256" t="s">
        <v>78</v>
      </c>
      <c r="QCS38" s="256" t="s">
        <v>79</v>
      </c>
      <c r="QCT38" s="256" t="s">
        <v>80</v>
      </c>
      <c r="QCU38" s="256" t="s">
        <v>81</v>
      </c>
      <c r="QCV38" s="331"/>
      <c r="QCW38" s="290">
        <v>45492</v>
      </c>
      <c r="QCX38" s="339" t="s">
        <v>141</v>
      </c>
      <c r="QCY38" s="305"/>
      <c r="QCZ38" s="305">
        <v>1</v>
      </c>
      <c r="QDA38" s="304">
        <f t="shared" ref="QDA38" si="4097">EDATE(QCW38,QCZ38)</f>
        <v>45523</v>
      </c>
      <c r="QDB38" s="340">
        <v>0</v>
      </c>
      <c r="QDC38" s="320">
        <f t="shared" ref="QDC38" si="4098">IF(QDD38&gt;=1,(QDB38/QCZ38),0)</f>
        <v>0</v>
      </c>
      <c r="QDD38" s="292"/>
      <c r="QDE38" s="259" t="s">
        <v>55</v>
      </c>
      <c r="QDF38" s="256" t="s">
        <v>76</v>
      </c>
      <c r="QDG38" s="256" t="s">
        <v>77</v>
      </c>
      <c r="QDH38" s="256" t="s">
        <v>78</v>
      </c>
      <c r="QDI38" s="256" t="s">
        <v>79</v>
      </c>
      <c r="QDJ38" s="256" t="s">
        <v>80</v>
      </c>
      <c r="QDK38" s="256" t="s">
        <v>81</v>
      </c>
      <c r="QDL38" s="331"/>
      <c r="QDM38" s="290">
        <v>45492</v>
      </c>
      <c r="QDN38" s="339" t="s">
        <v>141</v>
      </c>
      <c r="QDO38" s="305"/>
      <c r="QDP38" s="305">
        <v>1</v>
      </c>
      <c r="QDQ38" s="304">
        <f t="shared" ref="QDQ38" si="4099">EDATE(QDM38,QDP38)</f>
        <v>45523</v>
      </c>
      <c r="QDR38" s="340">
        <v>0</v>
      </c>
      <c r="QDS38" s="320">
        <f t="shared" ref="QDS38" si="4100">IF(QDT38&gt;=1,(QDR38/QDP38),0)</f>
        <v>0</v>
      </c>
      <c r="QDT38" s="292"/>
      <c r="QDU38" s="259" t="s">
        <v>55</v>
      </c>
      <c r="QDV38" s="256" t="s">
        <v>76</v>
      </c>
      <c r="QDW38" s="256" t="s">
        <v>77</v>
      </c>
      <c r="QDX38" s="256" t="s">
        <v>78</v>
      </c>
      <c r="QDY38" s="256" t="s">
        <v>79</v>
      </c>
      <c r="QDZ38" s="256" t="s">
        <v>80</v>
      </c>
      <c r="QEA38" s="256" t="s">
        <v>81</v>
      </c>
      <c r="QEB38" s="331"/>
      <c r="QEC38" s="290">
        <v>45492</v>
      </c>
      <c r="QED38" s="339" t="s">
        <v>141</v>
      </c>
      <c r="QEE38" s="305"/>
      <c r="QEF38" s="305">
        <v>1</v>
      </c>
      <c r="QEG38" s="304">
        <f t="shared" ref="QEG38" si="4101">EDATE(QEC38,QEF38)</f>
        <v>45523</v>
      </c>
      <c r="QEH38" s="340">
        <v>0</v>
      </c>
      <c r="QEI38" s="320">
        <f t="shared" ref="QEI38" si="4102">IF(QEJ38&gt;=1,(QEH38/QEF38),0)</f>
        <v>0</v>
      </c>
      <c r="QEJ38" s="292"/>
      <c r="QEK38" s="259" t="s">
        <v>55</v>
      </c>
      <c r="QEL38" s="256" t="s">
        <v>76</v>
      </c>
      <c r="QEM38" s="256" t="s">
        <v>77</v>
      </c>
      <c r="QEN38" s="256" t="s">
        <v>78</v>
      </c>
      <c r="QEO38" s="256" t="s">
        <v>79</v>
      </c>
      <c r="QEP38" s="256" t="s">
        <v>80</v>
      </c>
      <c r="QEQ38" s="256" t="s">
        <v>81</v>
      </c>
      <c r="QER38" s="331"/>
      <c r="QES38" s="290">
        <v>45492</v>
      </c>
      <c r="QET38" s="339" t="s">
        <v>141</v>
      </c>
      <c r="QEU38" s="305"/>
      <c r="QEV38" s="305">
        <v>1</v>
      </c>
      <c r="QEW38" s="304">
        <f t="shared" ref="QEW38" si="4103">EDATE(QES38,QEV38)</f>
        <v>45523</v>
      </c>
      <c r="QEX38" s="340">
        <v>0</v>
      </c>
      <c r="QEY38" s="320">
        <f t="shared" ref="QEY38" si="4104">IF(QEZ38&gt;=1,(QEX38/QEV38),0)</f>
        <v>0</v>
      </c>
      <c r="QEZ38" s="292"/>
      <c r="QFA38" s="259" t="s">
        <v>55</v>
      </c>
      <c r="QFB38" s="256" t="s">
        <v>76</v>
      </c>
      <c r="QFC38" s="256" t="s">
        <v>77</v>
      </c>
      <c r="QFD38" s="256" t="s">
        <v>78</v>
      </c>
      <c r="QFE38" s="256" t="s">
        <v>79</v>
      </c>
      <c r="QFF38" s="256" t="s">
        <v>80</v>
      </c>
      <c r="QFG38" s="256" t="s">
        <v>81</v>
      </c>
      <c r="QFH38" s="331"/>
      <c r="QFI38" s="290">
        <v>45492</v>
      </c>
      <c r="QFJ38" s="339" t="s">
        <v>141</v>
      </c>
      <c r="QFK38" s="305"/>
      <c r="QFL38" s="305">
        <v>1</v>
      </c>
      <c r="QFM38" s="304">
        <f t="shared" ref="QFM38" si="4105">EDATE(QFI38,QFL38)</f>
        <v>45523</v>
      </c>
      <c r="QFN38" s="340">
        <v>0</v>
      </c>
      <c r="QFO38" s="320">
        <f t="shared" ref="QFO38" si="4106">IF(QFP38&gt;=1,(QFN38/QFL38),0)</f>
        <v>0</v>
      </c>
      <c r="QFP38" s="292"/>
      <c r="QFQ38" s="259" t="s">
        <v>55</v>
      </c>
      <c r="QFR38" s="256" t="s">
        <v>76</v>
      </c>
      <c r="QFS38" s="256" t="s">
        <v>77</v>
      </c>
      <c r="QFT38" s="256" t="s">
        <v>78</v>
      </c>
      <c r="QFU38" s="256" t="s">
        <v>79</v>
      </c>
      <c r="QFV38" s="256" t="s">
        <v>80</v>
      </c>
      <c r="QFW38" s="256" t="s">
        <v>81</v>
      </c>
      <c r="QFX38" s="331"/>
      <c r="QFY38" s="290">
        <v>45492</v>
      </c>
      <c r="QFZ38" s="339" t="s">
        <v>141</v>
      </c>
      <c r="QGA38" s="305"/>
      <c r="QGB38" s="305">
        <v>1</v>
      </c>
      <c r="QGC38" s="304">
        <f t="shared" ref="QGC38" si="4107">EDATE(QFY38,QGB38)</f>
        <v>45523</v>
      </c>
      <c r="QGD38" s="340">
        <v>0</v>
      </c>
      <c r="QGE38" s="320">
        <f t="shared" ref="QGE38" si="4108">IF(QGF38&gt;=1,(QGD38/QGB38),0)</f>
        <v>0</v>
      </c>
      <c r="QGF38" s="292"/>
      <c r="QGG38" s="259" t="s">
        <v>55</v>
      </c>
      <c r="QGH38" s="256" t="s">
        <v>76</v>
      </c>
      <c r="QGI38" s="256" t="s">
        <v>77</v>
      </c>
      <c r="QGJ38" s="256" t="s">
        <v>78</v>
      </c>
      <c r="QGK38" s="256" t="s">
        <v>79</v>
      </c>
      <c r="QGL38" s="256" t="s">
        <v>80</v>
      </c>
      <c r="QGM38" s="256" t="s">
        <v>81</v>
      </c>
      <c r="QGN38" s="331"/>
      <c r="QGO38" s="290">
        <v>45492</v>
      </c>
      <c r="QGP38" s="339" t="s">
        <v>141</v>
      </c>
      <c r="QGQ38" s="305"/>
      <c r="QGR38" s="305">
        <v>1</v>
      </c>
      <c r="QGS38" s="304">
        <f t="shared" ref="QGS38" si="4109">EDATE(QGO38,QGR38)</f>
        <v>45523</v>
      </c>
      <c r="QGT38" s="340">
        <v>0</v>
      </c>
      <c r="QGU38" s="320">
        <f t="shared" ref="QGU38" si="4110">IF(QGV38&gt;=1,(QGT38/QGR38),0)</f>
        <v>0</v>
      </c>
      <c r="QGV38" s="292"/>
      <c r="QGW38" s="259" t="s">
        <v>55</v>
      </c>
      <c r="QGX38" s="256" t="s">
        <v>76</v>
      </c>
      <c r="QGY38" s="256" t="s">
        <v>77</v>
      </c>
      <c r="QGZ38" s="256" t="s">
        <v>78</v>
      </c>
      <c r="QHA38" s="256" t="s">
        <v>79</v>
      </c>
      <c r="QHB38" s="256" t="s">
        <v>80</v>
      </c>
      <c r="QHC38" s="256" t="s">
        <v>81</v>
      </c>
      <c r="QHD38" s="331"/>
      <c r="QHE38" s="290">
        <v>45492</v>
      </c>
      <c r="QHF38" s="339" t="s">
        <v>141</v>
      </c>
      <c r="QHG38" s="305"/>
      <c r="QHH38" s="305">
        <v>1</v>
      </c>
      <c r="QHI38" s="304">
        <f t="shared" ref="QHI38" si="4111">EDATE(QHE38,QHH38)</f>
        <v>45523</v>
      </c>
      <c r="QHJ38" s="340">
        <v>0</v>
      </c>
      <c r="QHK38" s="320">
        <f t="shared" ref="QHK38" si="4112">IF(QHL38&gt;=1,(QHJ38/QHH38),0)</f>
        <v>0</v>
      </c>
      <c r="QHL38" s="292"/>
      <c r="QHM38" s="259" t="s">
        <v>55</v>
      </c>
      <c r="QHN38" s="256" t="s">
        <v>76</v>
      </c>
      <c r="QHO38" s="256" t="s">
        <v>77</v>
      </c>
      <c r="QHP38" s="256" t="s">
        <v>78</v>
      </c>
      <c r="QHQ38" s="256" t="s">
        <v>79</v>
      </c>
      <c r="QHR38" s="256" t="s">
        <v>80</v>
      </c>
      <c r="QHS38" s="256" t="s">
        <v>81</v>
      </c>
      <c r="QHT38" s="331"/>
      <c r="QHU38" s="290">
        <v>45492</v>
      </c>
      <c r="QHV38" s="339" t="s">
        <v>141</v>
      </c>
      <c r="QHW38" s="305"/>
      <c r="QHX38" s="305">
        <v>1</v>
      </c>
      <c r="QHY38" s="304">
        <f t="shared" ref="QHY38" si="4113">EDATE(QHU38,QHX38)</f>
        <v>45523</v>
      </c>
      <c r="QHZ38" s="340">
        <v>0</v>
      </c>
      <c r="QIA38" s="320">
        <f t="shared" ref="QIA38" si="4114">IF(QIB38&gt;=1,(QHZ38/QHX38),0)</f>
        <v>0</v>
      </c>
      <c r="QIB38" s="292"/>
      <c r="QIC38" s="259" t="s">
        <v>55</v>
      </c>
      <c r="QID38" s="256" t="s">
        <v>76</v>
      </c>
      <c r="QIE38" s="256" t="s">
        <v>77</v>
      </c>
      <c r="QIF38" s="256" t="s">
        <v>78</v>
      </c>
      <c r="QIG38" s="256" t="s">
        <v>79</v>
      </c>
      <c r="QIH38" s="256" t="s">
        <v>80</v>
      </c>
      <c r="QII38" s="256" t="s">
        <v>81</v>
      </c>
      <c r="QIJ38" s="331"/>
      <c r="QIK38" s="290">
        <v>45492</v>
      </c>
      <c r="QIL38" s="339" t="s">
        <v>141</v>
      </c>
      <c r="QIM38" s="305"/>
      <c r="QIN38" s="305">
        <v>1</v>
      </c>
      <c r="QIO38" s="304">
        <f t="shared" ref="QIO38" si="4115">EDATE(QIK38,QIN38)</f>
        <v>45523</v>
      </c>
      <c r="QIP38" s="340">
        <v>0</v>
      </c>
      <c r="QIQ38" s="320">
        <f t="shared" ref="QIQ38" si="4116">IF(QIR38&gt;=1,(QIP38/QIN38),0)</f>
        <v>0</v>
      </c>
      <c r="QIR38" s="292"/>
      <c r="QIS38" s="259" t="s">
        <v>55</v>
      </c>
      <c r="QIT38" s="256" t="s">
        <v>76</v>
      </c>
      <c r="QIU38" s="256" t="s">
        <v>77</v>
      </c>
      <c r="QIV38" s="256" t="s">
        <v>78</v>
      </c>
      <c r="QIW38" s="256" t="s">
        <v>79</v>
      </c>
      <c r="QIX38" s="256" t="s">
        <v>80</v>
      </c>
      <c r="QIY38" s="256" t="s">
        <v>81</v>
      </c>
      <c r="QIZ38" s="331"/>
      <c r="QJA38" s="290">
        <v>45492</v>
      </c>
      <c r="QJB38" s="339" t="s">
        <v>141</v>
      </c>
      <c r="QJC38" s="305"/>
      <c r="QJD38" s="305">
        <v>1</v>
      </c>
      <c r="QJE38" s="304">
        <f t="shared" ref="QJE38" si="4117">EDATE(QJA38,QJD38)</f>
        <v>45523</v>
      </c>
      <c r="QJF38" s="340">
        <v>0</v>
      </c>
      <c r="QJG38" s="320">
        <f t="shared" ref="QJG38" si="4118">IF(QJH38&gt;=1,(QJF38/QJD38),0)</f>
        <v>0</v>
      </c>
      <c r="QJH38" s="292"/>
      <c r="QJI38" s="259" t="s">
        <v>55</v>
      </c>
      <c r="QJJ38" s="256" t="s">
        <v>76</v>
      </c>
      <c r="QJK38" s="256" t="s">
        <v>77</v>
      </c>
      <c r="QJL38" s="256" t="s">
        <v>78</v>
      </c>
      <c r="QJM38" s="256" t="s">
        <v>79</v>
      </c>
      <c r="QJN38" s="256" t="s">
        <v>80</v>
      </c>
      <c r="QJO38" s="256" t="s">
        <v>81</v>
      </c>
      <c r="QJP38" s="331"/>
      <c r="QJQ38" s="290">
        <v>45492</v>
      </c>
      <c r="QJR38" s="339" t="s">
        <v>141</v>
      </c>
      <c r="QJS38" s="305"/>
      <c r="QJT38" s="305">
        <v>1</v>
      </c>
      <c r="QJU38" s="304">
        <f t="shared" ref="QJU38" si="4119">EDATE(QJQ38,QJT38)</f>
        <v>45523</v>
      </c>
      <c r="QJV38" s="340">
        <v>0</v>
      </c>
      <c r="QJW38" s="320">
        <f t="shared" ref="QJW38" si="4120">IF(QJX38&gt;=1,(QJV38/QJT38),0)</f>
        <v>0</v>
      </c>
      <c r="QJX38" s="292"/>
      <c r="QJY38" s="259" t="s">
        <v>55</v>
      </c>
      <c r="QJZ38" s="256" t="s">
        <v>76</v>
      </c>
      <c r="QKA38" s="256" t="s">
        <v>77</v>
      </c>
      <c r="QKB38" s="256" t="s">
        <v>78</v>
      </c>
      <c r="QKC38" s="256" t="s">
        <v>79</v>
      </c>
      <c r="QKD38" s="256" t="s">
        <v>80</v>
      </c>
      <c r="QKE38" s="256" t="s">
        <v>81</v>
      </c>
      <c r="QKF38" s="331"/>
      <c r="QKG38" s="290">
        <v>45492</v>
      </c>
      <c r="QKH38" s="339" t="s">
        <v>141</v>
      </c>
      <c r="QKI38" s="305"/>
      <c r="QKJ38" s="305">
        <v>1</v>
      </c>
      <c r="QKK38" s="304">
        <f t="shared" ref="QKK38" si="4121">EDATE(QKG38,QKJ38)</f>
        <v>45523</v>
      </c>
      <c r="QKL38" s="340">
        <v>0</v>
      </c>
      <c r="QKM38" s="320">
        <f t="shared" ref="QKM38" si="4122">IF(QKN38&gt;=1,(QKL38/QKJ38),0)</f>
        <v>0</v>
      </c>
      <c r="QKN38" s="292"/>
      <c r="QKO38" s="259" t="s">
        <v>55</v>
      </c>
      <c r="QKP38" s="256" t="s">
        <v>76</v>
      </c>
      <c r="QKQ38" s="256" t="s">
        <v>77</v>
      </c>
      <c r="QKR38" s="256" t="s">
        <v>78</v>
      </c>
      <c r="QKS38" s="256" t="s">
        <v>79</v>
      </c>
      <c r="QKT38" s="256" t="s">
        <v>80</v>
      </c>
      <c r="QKU38" s="256" t="s">
        <v>81</v>
      </c>
      <c r="QKV38" s="331"/>
      <c r="QKW38" s="290">
        <v>45492</v>
      </c>
      <c r="QKX38" s="339" t="s">
        <v>141</v>
      </c>
      <c r="QKY38" s="305"/>
      <c r="QKZ38" s="305">
        <v>1</v>
      </c>
      <c r="QLA38" s="304">
        <f t="shared" ref="QLA38" si="4123">EDATE(QKW38,QKZ38)</f>
        <v>45523</v>
      </c>
      <c r="QLB38" s="340">
        <v>0</v>
      </c>
      <c r="QLC38" s="320">
        <f t="shared" ref="QLC38" si="4124">IF(QLD38&gt;=1,(QLB38/QKZ38),0)</f>
        <v>0</v>
      </c>
      <c r="QLD38" s="292"/>
      <c r="QLE38" s="259" t="s">
        <v>55</v>
      </c>
      <c r="QLF38" s="256" t="s">
        <v>76</v>
      </c>
      <c r="QLG38" s="256" t="s">
        <v>77</v>
      </c>
      <c r="QLH38" s="256" t="s">
        <v>78</v>
      </c>
      <c r="QLI38" s="256" t="s">
        <v>79</v>
      </c>
      <c r="QLJ38" s="256" t="s">
        <v>80</v>
      </c>
      <c r="QLK38" s="256" t="s">
        <v>81</v>
      </c>
      <c r="QLL38" s="331"/>
      <c r="QLM38" s="290">
        <v>45492</v>
      </c>
      <c r="QLN38" s="339" t="s">
        <v>141</v>
      </c>
      <c r="QLO38" s="305"/>
      <c r="QLP38" s="305">
        <v>1</v>
      </c>
      <c r="QLQ38" s="304">
        <f t="shared" ref="QLQ38" si="4125">EDATE(QLM38,QLP38)</f>
        <v>45523</v>
      </c>
      <c r="QLR38" s="340">
        <v>0</v>
      </c>
      <c r="QLS38" s="320">
        <f t="shared" ref="QLS38" si="4126">IF(QLT38&gt;=1,(QLR38/QLP38),0)</f>
        <v>0</v>
      </c>
      <c r="QLT38" s="292"/>
      <c r="QLU38" s="259" t="s">
        <v>55</v>
      </c>
      <c r="QLV38" s="256" t="s">
        <v>76</v>
      </c>
      <c r="QLW38" s="256" t="s">
        <v>77</v>
      </c>
      <c r="QLX38" s="256" t="s">
        <v>78</v>
      </c>
      <c r="QLY38" s="256" t="s">
        <v>79</v>
      </c>
      <c r="QLZ38" s="256" t="s">
        <v>80</v>
      </c>
      <c r="QMA38" s="256" t="s">
        <v>81</v>
      </c>
      <c r="QMB38" s="331"/>
      <c r="QMC38" s="290">
        <v>45492</v>
      </c>
      <c r="QMD38" s="339" t="s">
        <v>141</v>
      </c>
      <c r="QME38" s="305"/>
      <c r="QMF38" s="305">
        <v>1</v>
      </c>
      <c r="QMG38" s="304">
        <f t="shared" ref="QMG38" si="4127">EDATE(QMC38,QMF38)</f>
        <v>45523</v>
      </c>
      <c r="QMH38" s="340">
        <v>0</v>
      </c>
      <c r="QMI38" s="320">
        <f t="shared" ref="QMI38" si="4128">IF(QMJ38&gt;=1,(QMH38/QMF38),0)</f>
        <v>0</v>
      </c>
      <c r="QMJ38" s="292"/>
      <c r="QMK38" s="259" t="s">
        <v>55</v>
      </c>
      <c r="QML38" s="256" t="s">
        <v>76</v>
      </c>
      <c r="QMM38" s="256" t="s">
        <v>77</v>
      </c>
      <c r="QMN38" s="256" t="s">
        <v>78</v>
      </c>
      <c r="QMO38" s="256" t="s">
        <v>79</v>
      </c>
      <c r="QMP38" s="256" t="s">
        <v>80</v>
      </c>
      <c r="QMQ38" s="256" t="s">
        <v>81</v>
      </c>
      <c r="QMR38" s="331"/>
      <c r="QMS38" s="290">
        <v>45492</v>
      </c>
      <c r="QMT38" s="339" t="s">
        <v>141</v>
      </c>
      <c r="QMU38" s="305"/>
      <c r="QMV38" s="305">
        <v>1</v>
      </c>
      <c r="QMW38" s="304">
        <f t="shared" ref="QMW38" si="4129">EDATE(QMS38,QMV38)</f>
        <v>45523</v>
      </c>
      <c r="QMX38" s="340">
        <v>0</v>
      </c>
      <c r="QMY38" s="320">
        <f t="shared" ref="QMY38" si="4130">IF(QMZ38&gt;=1,(QMX38/QMV38),0)</f>
        <v>0</v>
      </c>
      <c r="QMZ38" s="292"/>
      <c r="QNA38" s="259" t="s">
        <v>55</v>
      </c>
      <c r="QNB38" s="256" t="s">
        <v>76</v>
      </c>
      <c r="QNC38" s="256" t="s">
        <v>77</v>
      </c>
      <c r="QND38" s="256" t="s">
        <v>78</v>
      </c>
      <c r="QNE38" s="256" t="s">
        <v>79</v>
      </c>
      <c r="QNF38" s="256" t="s">
        <v>80</v>
      </c>
      <c r="QNG38" s="256" t="s">
        <v>81</v>
      </c>
      <c r="QNH38" s="331"/>
      <c r="QNI38" s="290">
        <v>45492</v>
      </c>
      <c r="QNJ38" s="339" t="s">
        <v>141</v>
      </c>
      <c r="QNK38" s="305"/>
      <c r="QNL38" s="305">
        <v>1</v>
      </c>
      <c r="QNM38" s="304">
        <f t="shared" ref="QNM38" si="4131">EDATE(QNI38,QNL38)</f>
        <v>45523</v>
      </c>
      <c r="QNN38" s="340">
        <v>0</v>
      </c>
      <c r="QNO38" s="320">
        <f t="shared" ref="QNO38" si="4132">IF(QNP38&gt;=1,(QNN38/QNL38),0)</f>
        <v>0</v>
      </c>
      <c r="QNP38" s="292"/>
      <c r="QNQ38" s="259" t="s">
        <v>55</v>
      </c>
      <c r="QNR38" s="256" t="s">
        <v>76</v>
      </c>
      <c r="QNS38" s="256" t="s">
        <v>77</v>
      </c>
      <c r="QNT38" s="256" t="s">
        <v>78</v>
      </c>
      <c r="QNU38" s="256" t="s">
        <v>79</v>
      </c>
      <c r="QNV38" s="256" t="s">
        <v>80</v>
      </c>
      <c r="QNW38" s="256" t="s">
        <v>81</v>
      </c>
      <c r="QNX38" s="331"/>
      <c r="QNY38" s="290">
        <v>45492</v>
      </c>
      <c r="QNZ38" s="339" t="s">
        <v>141</v>
      </c>
      <c r="QOA38" s="305"/>
      <c r="QOB38" s="305">
        <v>1</v>
      </c>
      <c r="QOC38" s="304">
        <f t="shared" ref="QOC38" si="4133">EDATE(QNY38,QOB38)</f>
        <v>45523</v>
      </c>
      <c r="QOD38" s="340">
        <v>0</v>
      </c>
      <c r="QOE38" s="320">
        <f t="shared" ref="QOE38" si="4134">IF(QOF38&gt;=1,(QOD38/QOB38),0)</f>
        <v>0</v>
      </c>
      <c r="QOF38" s="292"/>
      <c r="QOG38" s="259" t="s">
        <v>55</v>
      </c>
      <c r="QOH38" s="256" t="s">
        <v>76</v>
      </c>
      <c r="QOI38" s="256" t="s">
        <v>77</v>
      </c>
      <c r="QOJ38" s="256" t="s">
        <v>78</v>
      </c>
      <c r="QOK38" s="256" t="s">
        <v>79</v>
      </c>
      <c r="QOL38" s="256" t="s">
        <v>80</v>
      </c>
      <c r="QOM38" s="256" t="s">
        <v>81</v>
      </c>
      <c r="QON38" s="331"/>
      <c r="QOO38" s="290">
        <v>45492</v>
      </c>
      <c r="QOP38" s="339" t="s">
        <v>141</v>
      </c>
      <c r="QOQ38" s="305"/>
      <c r="QOR38" s="305">
        <v>1</v>
      </c>
      <c r="QOS38" s="304">
        <f t="shared" ref="QOS38" si="4135">EDATE(QOO38,QOR38)</f>
        <v>45523</v>
      </c>
      <c r="QOT38" s="340">
        <v>0</v>
      </c>
      <c r="QOU38" s="320">
        <f t="shared" ref="QOU38" si="4136">IF(QOV38&gt;=1,(QOT38/QOR38),0)</f>
        <v>0</v>
      </c>
      <c r="QOV38" s="292"/>
      <c r="QOW38" s="259" t="s">
        <v>55</v>
      </c>
      <c r="QOX38" s="256" t="s">
        <v>76</v>
      </c>
      <c r="QOY38" s="256" t="s">
        <v>77</v>
      </c>
      <c r="QOZ38" s="256" t="s">
        <v>78</v>
      </c>
      <c r="QPA38" s="256" t="s">
        <v>79</v>
      </c>
      <c r="QPB38" s="256" t="s">
        <v>80</v>
      </c>
      <c r="QPC38" s="256" t="s">
        <v>81</v>
      </c>
      <c r="QPD38" s="331"/>
      <c r="QPE38" s="290">
        <v>45492</v>
      </c>
      <c r="QPF38" s="339" t="s">
        <v>141</v>
      </c>
      <c r="QPG38" s="305"/>
      <c r="QPH38" s="305">
        <v>1</v>
      </c>
      <c r="QPI38" s="304">
        <f t="shared" ref="QPI38" si="4137">EDATE(QPE38,QPH38)</f>
        <v>45523</v>
      </c>
      <c r="QPJ38" s="340">
        <v>0</v>
      </c>
      <c r="QPK38" s="320">
        <f t="shared" ref="QPK38" si="4138">IF(QPL38&gt;=1,(QPJ38/QPH38),0)</f>
        <v>0</v>
      </c>
      <c r="QPL38" s="292"/>
      <c r="QPM38" s="259" t="s">
        <v>55</v>
      </c>
      <c r="QPN38" s="256" t="s">
        <v>76</v>
      </c>
      <c r="QPO38" s="256" t="s">
        <v>77</v>
      </c>
      <c r="QPP38" s="256" t="s">
        <v>78</v>
      </c>
      <c r="QPQ38" s="256" t="s">
        <v>79</v>
      </c>
      <c r="QPR38" s="256" t="s">
        <v>80</v>
      </c>
      <c r="QPS38" s="256" t="s">
        <v>81</v>
      </c>
      <c r="QPT38" s="331"/>
      <c r="QPU38" s="290">
        <v>45492</v>
      </c>
      <c r="QPV38" s="339" t="s">
        <v>141</v>
      </c>
      <c r="QPW38" s="305"/>
      <c r="QPX38" s="305">
        <v>1</v>
      </c>
      <c r="QPY38" s="304">
        <f t="shared" ref="QPY38" si="4139">EDATE(QPU38,QPX38)</f>
        <v>45523</v>
      </c>
      <c r="QPZ38" s="340">
        <v>0</v>
      </c>
      <c r="QQA38" s="320">
        <f t="shared" ref="QQA38" si="4140">IF(QQB38&gt;=1,(QPZ38/QPX38),0)</f>
        <v>0</v>
      </c>
      <c r="QQB38" s="292"/>
      <c r="QQC38" s="259" t="s">
        <v>55</v>
      </c>
      <c r="QQD38" s="256" t="s">
        <v>76</v>
      </c>
      <c r="QQE38" s="256" t="s">
        <v>77</v>
      </c>
      <c r="QQF38" s="256" t="s">
        <v>78</v>
      </c>
      <c r="QQG38" s="256" t="s">
        <v>79</v>
      </c>
      <c r="QQH38" s="256" t="s">
        <v>80</v>
      </c>
      <c r="QQI38" s="256" t="s">
        <v>81</v>
      </c>
      <c r="QQJ38" s="331"/>
      <c r="QQK38" s="290">
        <v>45492</v>
      </c>
      <c r="QQL38" s="339" t="s">
        <v>141</v>
      </c>
      <c r="QQM38" s="305"/>
      <c r="QQN38" s="305">
        <v>1</v>
      </c>
      <c r="QQO38" s="304">
        <f t="shared" ref="QQO38" si="4141">EDATE(QQK38,QQN38)</f>
        <v>45523</v>
      </c>
      <c r="QQP38" s="340">
        <v>0</v>
      </c>
      <c r="QQQ38" s="320">
        <f t="shared" ref="QQQ38" si="4142">IF(QQR38&gt;=1,(QQP38/QQN38),0)</f>
        <v>0</v>
      </c>
      <c r="QQR38" s="292"/>
      <c r="QQS38" s="259" t="s">
        <v>55</v>
      </c>
      <c r="QQT38" s="256" t="s">
        <v>76</v>
      </c>
      <c r="QQU38" s="256" t="s">
        <v>77</v>
      </c>
      <c r="QQV38" s="256" t="s">
        <v>78</v>
      </c>
      <c r="QQW38" s="256" t="s">
        <v>79</v>
      </c>
      <c r="QQX38" s="256" t="s">
        <v>80</v>
      </c>
      <c r="QQY38" s="256" t="s">
        <v>81</v>
      </c>
      <c r="QQZ38" s="331"/>
      <c r="QRA38" s="290">
        <v>45492</v>
      </c>
      <c r="QRB38" s="339" t="s">
        <v>141</v>
      </c>
      <c r="QRC38" s="305"/>
      <c r="QRD38" s="305">
        <v>1</v>
      </c>
      <c r="QRE38" s="304">
        <f t="shared" ref="QRE38" si="4143">EDATE(QRA38,QRD38)</f>
        <v>45523</v>
      </c>
      <c r="QRF38" s="340">
        <v>0</v>
      </c>
      <c r="QRG38" s="320">
        <f t="shared" ref="QRG38" si="4144">IF(QRH38&gt;=1,(QRF38/QRD38),0)</f>
        <v>0</v>
      </c>
      <c r="QRH38" s="292"/>
      <c r="QRI38" s="259" t="s">
        <v>55</v>
      </c>
      <c r="QRJ38" s="256" t="s">
        <v>76</v>
      </c>
      <c r="QRK38" s="256" t="s">
        <v>77</v>
      </c>
      <c r="QRL38" s="256" t="s">
        <v>78</v>
      </c>
      <c r="QRM38" s="256" t="s">
        <v>79</v>
      </c>
      <c r="QRN38" s="256" t="s">
        <v>80</v>
      </c>
      <c r="QRO38" s="256" t="s">
        <v>81</v>
      </c>
      <c r="QRP38" s="331"/>
      <c r="QRQ38" s="290">
        <v>45492</v>
      </c>
      <c r="QRR38" s="339" t="s">
        <v>141</v>
      </c>
      <c r="QRS38" s="305"/>
      <c r="QRT38" s="305">
        <v>1</v>
      </c>
      <c r="QRU38" s="304">
        <f t="shared" ref="QRU38" si="4145">EDATE(QRQ38,QRT38)</f>
        <v>45523</v>
      </c>
      <c r="QRV38" s="340">
        <v>0</v>
      </c>
      <c r="QRW38" s="320">
        <f t="shared" ref="QRW38" si="4146">IF(QRX38&gt;=1,(QRV38/QRT38),0)</f>
        <v>0</v>
      </c>
      <c r="QRX38" s="292"/>
      <c r="QRY38" s="259" t="s">
        <v>55</v>
      </c>
      <c r="QRZ38" s="256" t="s">
        <v>76</v>
      </c>
      <c r="QSA38" s="256" t="s">
        <v>77</v>
      </c>
      <c r="QSB38" s="256" t="s">
        <v>78</v>
      </c>
      <c r="QSC38" s="256" t="s">
        <v>79</v>
      </c>
      <c r="QSD38" s="256" t="s">
        <v>80</v>
      </c>
      <c r="QSE38" s="256" t="s">
        <v>81</v>
      </c>
      <c r="QSF38" s="331"/>
      <c r="QSG38" s="290">
        <v>45492</v>
      </c>
      <c r="QSH38" s="339" t="s">
        <v>141</v>
      </c>
      <c r="QSI38" s="305"/>
      <c r="QSJ38" s="305">
        <v>1</v>
      </c>
      <c r="QSK38" s="304">
        <f t="shared" ref="QSK38" si="4147">EDATE(QSG38,QSJ38)</f>
        <v>45523</v>
      </c>
      <c r="QSL38" s="340">
        <v>0</v>
      </c>
      <c r="QSM38" s="320">
        <f t="shared" ref="QSM38" si="4148">IF(QSN38&gt;=1,(QSL38/QSJ38),0)</f>
        <v>0</v>
      </c>
      <c r="QSN38" s="292"/>
      <c r="QSO38" s="259" t="s">
        <v>55</v>
      </c>
      <c r="QSP38" s="256" t="s">
        <v>76</v>
      </c>
      <c r="QSQ38" s="256" t="s">
        <v>77</v>
      </c>
      <c r="QSR38" s="256" t="s">
        <v>78</v>
      </c>
      <c r="QSS38" s="256" t="s">
        <v>79</v>
      </c>
      <c r="QST38" s="256" t="s">
        <v>80</v>
      </c>
      <c r="QSU38" s="256" t="s">
        <v>81</v>
      </c>
      <c r="QSV38" s="331"/>
      <c r="QSW38" s="290">
        <v>45492</v>
      </c>
      <c r="QSX38" s="339" t="s">
        <v>141</v>
      </c>
      <c r="QSY38" s="305"/>
      <c r="QSZ38" s="305">
        <v>1</v>
      </c>
      <c r="QTA38" s="304">
        <f t="shared" ref="QTA38" si="4149">EDATE(QSW38,QSZ38)</f>
        <v>45523</v>
      </c>
      <c r="QTB38" s="340">
        <v>0</v>
      </c>
      <c r="QTC38" s="320">
        <f t="shared" ref="QTC38" si="4150">IF(QTD38&gt;=1,(QTB38/QSZ38),0)</f>
        <v>0</v>
      </c>
      <c r="QTD38" s="292"/>
      <c r="QTE38" s="259" t="s">
        <v>55</v>
      </c>
      <c r="QTF38" s="256" t="s">
        <v>76</v>
      </c>
      <c r="QTG38" s="256" t="s">
        <v>77</v>
      </c>
      <c r="QTH38" s="256" t="s">
        <v>78</v>
      </c>
      <c r="QTI38" s="256" t="s">
        <v>79</v>
      </c>
      <c r="QTJ38" s="256" t="s">
        <v>80</v>
      </c>
      <c r="QTK38" s="256" t="s">
        <v>81</v>
      </c>
      <c r="QTL38" s="331"/>
      <c r="QTM38" s="290">
        <v>45492</v>
      </c>
      <c r="QTN38" s="339" t="s">
        <v>141</v>
      </c>
      <c r="QTO38" s="305"/>
      <c r="QTP38" s="305">
        <v>1</v>
      </c>
      <c r="QTQ38" s="304">
        <f t="shared" ref="QTQ38" si="4151">EDATE(QTM38,QTP38)</f>
        <v>45523</v>
      </c>
      <c r="QTR38" s="340">
        <v>0</v>
      </c>
      <c r="QTS38" s="320">
        <f t="shared" ref="QTS38" si="4152">IF(QTT38&gt;=1,(QTR38/QTP38),0)</f>
        <v>0</v>
      </c>
      <c r="QTT38" s="292"/>
      <c r="QTU38" s="259" t="s">
        <v>55</v>
      </c>
      <c r="QTV38" s="256" t="s">
        <v>76</v>
      </c>
      <c r="QTW38" s="256" t="s">
        <v>77</v>
      </c>
      <c r="QTX38" s="256" t="s">
        <v>78</v>
      </c>
      <c r="QTY38" s="256" t="s">
        <v>79</v>
      </c>
      <c r="QTZ38" s="256" t="s">
        <v>80</v>
      </c>
      <c r="QUA38" s="256" t="s">
        <v>81</v>
      </c>
      <c r="QUB38" s="331"/>
      <c r="QUC38" s="290">
        <v>45492</v>
      </c>
      <c r="QUD38" s="339" t="s">
        <v>141</v>
      </c>
      <c r="QUE38" s="305"/>
      <c r="QUF38" s="305">
        <v>1</v>
      </c>
      <c r="QUG38" s="304">
        <f t="shared" ref="QUG38" si="4153">EDATE(QUC38,QUF38)</f>
        <v>45523</v>
      </c>
      <c r="QUH38" s="340">
        <v>0</v>
      </c>
      <c r="QUI38" s="320">
        <f t="shared" ref="QUI38" si="4154">IF(QUJ38&gt;=1,(QUH38/QUF38),0)</f>
        <v>0</v>
      </c>
      <c r="QUJ38" s="292"/>
      <c r="QUK38" s="259" t="s">
        <v>55</v>
      </c>
      <c r="QUL38" s="256" t="s">
        <v>76</v>
      </c>
      <c r="QUM38" s="256" t="s">
        <v>77</v>
      </c>
      <c r="QUN38" s="256" t="s">
        <v>78</v>
      </c>
      <c r="QUO38" s="256" t="s">
        <v>79</v>
      </c>
      <c r="QUP38" s="256" t="s">
        <v>80</v>
      </c>
      <c r="QUQ38" s="256" t="s">
        <v>81</v>
      </c>
      <c r="QUR38" s="331"/>
      <c r="QUS38" s="290">
        <v>45492</v>
      </c>
      <c r="QUT38" s="339" t="s">
        <v>141</v>
      </c>
      <c r="QUU38" s="305"/>
      <c r="QUV38" s="305">
        <v>1</v>
      </c>
      <c r="QUW38" s="304">
        <f t="shared" ref="QUW38" si="4155">EDATE(QUS38,QUV38)</f>
        <v>45523</v>
      </c>
      <c r="QUX38" s="340">
        <v>0</v>
      </c>
      <c r="QUY38" s="320">
        <f t="shared" ref="QUY38" si="4156">IF(QUZ38&gt;=1,(QUX38/QUV38),0)</f>
        <v>0</v>
      </c>
      <c r="QUZ38" s="292"/>
      <c r="QVA38" s="259" t="s">
        <v>55</v>
      </c>
      <c r="QVB38" s="256" t="s">
        <v>76</v>
      </c>
      <c r="QVC38" s="256" t="s">
        <v>77</v>
      </c>
      <c r="QVD38" s="256" t="s">
        <v>78</v>
      </c>
      <c r="QVE38" s="256" t="s">
        <v>79</v>
      </c>
      <c r="QVF38" s="256" t="s">
        <v>80</v>
      </c>
      <c r="QVG38" s="256" t="s">
        <v>81</v>
      </c>
      <c r="QVH38" s="331"/>
      <c r="QVI38" s="290">
        <v>45492</v>
      </c>
      <c r="QVJ38" s="339" t="s">
        <v>141</v>
      </c>
      <c r="QVK38" s="305"/>
      <c r="QVL38" s="305">
        <v>1</v>
      </c>
      <c r="QVM38" s="304">
        <f t="shared" ref="QVM38" si="4157">EDATE(QVI38,QVL38)</f>
        <v>45523</v>
      </c>
      <c r="QVN38" s="340">
        <v>0</v>
      </c>
      <c r="QVO38" s="320">
        <f t="shared" ref="QVO38" si="4158">IF(QVP38&gt;=1,(QVN38/QVL38),0)</f>
        <v>0</v>
      </c>
      <c r="QVP38" s="292"/>
      <c r="QVQ38" s="259" t="s">
        <v>55</v>
      </c>
      <c r="QVR38" s="256" t="s">
        <v>76</v>
      </c>
      <c r="QVS38" s="256" t="s">
        <v>77</v>
      </c>
      <c r="QVT38" s="256" t="s">
        <v>78</v>
      </c>
      <c r="QVU38" s="256" t="s">
        <v>79</v>
      </c>
      <c r="QVV38" s="256" t="s">
        <v>80</v>
      </c>
      <c r="QVW38" s="256" t="s">
        <v>81</v>
      </c>
      <c r="QVX38" s="331"/>
      <c r="QVY38" s="290">
        <v>45492</v>
      </c>
      <c r="QVZ38" s="339" t="s">
        <v>141</v>
      </c>
      <c r="QWA38" s="305"/>
      <c r="QWB38" s="305">
        <v>1</v>
      </c>
      <c r="QWC38" s="304">
        <f t="shared" ref="QWC38" si="4159">EDATE(QVY38,QWB38)</f>
        <v>45523</v>
      </c>
      <c r="QWD38" s="340">
        <v>0</v>
      </c>
      <c r="QWE38" s="320">
        <f t="shared" ref="QWE38" si="4160">IF(QWF38&gt;=1,(QWD38/QWB38),0)</f>
        <v>0</v>
      </c>
      <c r="QWF38" s="292"/>
      <c r="QWG38" s="259" t="s">
        <v>55</v>
      </c>
      <c r="QWH38" s="256" t="s">
        <v>76</v>
      </c>
      <c r="QWI38" s="256" t="s">
        <v>77</v>
      </c>
      <c r="QWJ38" s="256" t="s">
        <v>78</v>
      </c>
      <c r="QWK38" s="256" t="s">
        <v>79</v>
      </c>
      <c r="QWL38" s="256" t="s">
        <v>80</v>
      </c>
      <c r="QWM38" s="256" t="s">
        <v>81</v>
      </c>
      <c r="QWN38" s="331"/>
      <c r="QWO38" s="290">
        <v>45492</v>
      </c>
      <c r="QWP38" s="339" t="s">
        <v>141</v>
      </c>
      <c r="QWQ38" s="305"/>
      <c r="QWR38" s="305">
        <v>1</v>
      </c>
      <c r="QWS38" s="304">
        <f t="shared" ref="QWS38" si="4161">EDATE(QWO38,QWR38)</f>
        <v>45523</v>
      </c>
      <c r="QWT38" s="340">
        <v>0</v>
      </c>
      <c r="QWU38" s="320">
        <f t="shared" ref="QWU38" si="4162">IF(QWV38&gt;=1,(QWT38/QWR38),0)</f>
        <v>0</v>
      </c>
      <c r="QWV38" s="292"/>
      <c r="QWW38" s="259" t="s">
        <v>55</v>
      </c>
      <c r="QWX38" s="256" t="s">
        <v>76</v>
      </c>
      <c r="QWY38" s="256" t="s">
        <v>77</v>
      </c>
      <c r="QWZ38" s="256" t="s">
        <v>78</v>
      </c>
      <c r="QXA38" s="256" t="s">
        <v>79</v>
      </c>
      <c r="QXB38" s="256" t="s">
        <v>80</v>
      </c>
      <c r="QXC38" s="256" t="s">
        <v>81</v>
      </c>
      <c r="QXD38" s="331"/>
      <c r="QXE38" s="290">
        <v>45492</v>
      </c>
      <c r="QXF38" s="339" t="s">
        <v>141</v>
      </c>
      <c r="QXG38" s="305"/>
      <c r="QXH38" s="305">
        <v>1</v>
      </c>
      <c r="QXI38" s="304">
        <f t="shared" ref="QXI38" si="4163">EDATE(QXE38,QXH38)</f>
        <v>45523</v>
      </c>
      <c r="QXJ38" s="340">
        <v>0</v>
      </c>
      <c r="QXK38" s="320">
        <f t="shared" ref="QXK38" si="4164">IF(QXL38&gt;=1,(QXJ38/QXH38),0)</f>
        <v>0</v>
      </c>
      <c r="QXL38" s="292"/>
      <c r="QXM38" s="259" t="s">
        <v>55</v>
      </c>
      <c r="QXN38" s="256" t="s">
        <v>76</v>
      </c>
      <c r="QXO38" s="256" t="s">
        <v>77</v>
      </c>
      <c r="QXP38" s="256" t="s">
        <v>78</v>
      </c>
      <c r="QXQ38" s="256" t="s">
        <v>79</v>
      </c>
      <c r="QXR38" s="256" t="s">
        <v>80</v>
      </c>
      <c r="QXS38" s="256" t="s">
        <v>81</v>
      </c>
      <c r="QXT38" s="331"/>
      <c r="QXU38" s="290">
        <v>45492</v>
      </c>
      <c r="QXV38" s="339" t="s">
        <v>141</v>
      </c>
      <c r="QXW38" s="305"/>
      <c r="QXX38" s="305">
        <v>1</v>
      </c>
      <c r="QXY38" s="304">
        <f t="shared" ref="QXY38" si="4165">EDATE(QXU38,QXX38)</f>
        <v>45523</v>
      </c>
      <c r="QXZ38" s="340">
        <v>0</v>
      </c>
      <c r="QYA38" s="320">
        <f t="shared" ref="QYA38" si="4166">IF(QYB38&gt;=1,(QXZ38/QXX38),0)</f>
        <v>0</v>
      </c>
      <c r="QYB38" s="292"/>
      <c r="QYC38" s="259" t="s">
        <v>55</v>
      </c>
      <c r="QYD38" s="256" t="s">
        <v>76</v>
      </c>
      <c r="QYE38" s="256" t="s">
        <v>77</v>
      </c>
      <c r="QYF38" s="256" t="s">
        <v>78</v>
      </c>
      <c r="QYG38" s="256" t="s">
        <v>79</v>
      </c>
      <c r="QYH38" s="256" t="s">
        <v>80</v>
      </c>
      <c r="QYI38" s="256" t="s">
        <v>81</v>
      </c>
      <c r="QYJ38" s="331"/>
      <c r="QYK38" s="290">
        <v>45492</v>
      </c>
      <c r="QYL38" s="339" t="s">
        <v>141</v>
      </c>
      <c r="QYM38" s="305"/>
      <c r="QYN38" s="305">
        <v>1</v>
      </c>
      <c r="QYO38" s="304">
        <f t="shared" ref="QYO38" si="4167">EDATE(QYK38,QYN38)</f>
        <v>45523</v>
      </c>
      <c r="QYP38" s="340">
        <v>0</v>
      </c>
      <c r="QYQ38" s="320">
        <f t="shared" ref="QYQ38" si="4168">IF(QYR38&gt;=1,(QYP38/QYN38),0)</f>
        <v>0</v>
      </c>
      <c r="QYR38" s="292"/>
      <c r="QYS38" s="259" t="s">
        <v>55</v>
      </c>
      <c r="QYT38" s="256" t="s">
        <v>76</v>
      </c>
      <c r="QYU38" s="256" t="s">
        <v>77</v>
      </c>
      <c r="QYV38" s="256" t="s">
        <v>78</v>
      </c>
      <c r="QYW38" s="256" t="s">
        <v>79</v>
      </c>
      <c r="QYX38" s="256" t="s">
        <v>80</v>
      </c>
      <c r="QYY38" s="256" t="s">
        <v>81</v>
      </c>
      <c r="QYZ38" s="331"/>
      <c r="QZA38" s="290">
        <v>45492</v>
      </c>
      <c r="QZB38" s="339" t="s">
        <v>141</v>
      </c>
      <c r="QZC38" s="305"/>
      <c r="QZD38" s="305">
        <v>1</v>
      </c>
      <c r="QZE38" s="304">
        <f t="shared" ref="QZE38" si="4169">EDATE(QZA38,QZD38)</f>
        <v>45523</v>
      </c>
      <c r="QZF38" s="340">
        <v>0</v>
      </c>
      <c r="QZG38" s="320">
        <f t="shared" ref="QZG38" si="4170">IF(QZH38&gt;=1,(QZF38/QZD38),0)</f>
        <v>0</v>
      </c>
      <c r="QZH38" s="292"/>
      <c r="QZI38" s="259" t="s">
        <v>55</v>
      </c>
      <c r="QZJ38" s="256" t="s">
        <v>76</v>
      </c>
      <c r="QZK38" s="256" t="s">
        <v>77</v>
      </c>
      <c r="QZL38" s="256" t="s">
        <v>78</v>
      </c>
      <c r="QZM38" s="256" t="s">
        <v>79</v>
      </c>
      <c r="QZN38" s="256" t="s">
        <v>80</v>
      </c>
      <c r="QZO38" s="256" t="s">
        <v>81</v>
      </c>
      <c r="QZP38" s="331"/>
      <c r="QZQ38" s="290">
        <v>45492</v>
      </c>
      <c r="QZR38" s="339" t="s">
        <v>141</v>
      </c>
      <c r="QZS38" s="305"/>
      <c r="QZT38" s="305">
        <v>1</v>
      </c>
      <c r="QZU38" s="304">
        <f t="shared" ref="QZU38" si="4171">EDATE(QZQ38,QZT38)</f>
        <v>45523</v>
      </c>
      <c r="QZV38" s="340">
        <v>0</v>
      </c>
      <c r="QZW38" s="320">
        <f t="shared" ref="QZW38" si="4172">IF(QZX38&gt;=1,(QZV38/QZT38),0)</f>
        <v>0</v>
      </c>
      <c r="QZX38" s="292"/>
      <c r="QZY38" s="259" t="s">
        <v>55</v>
      </c>
      <c r="QZZ38" s="256" t="s">
        <v>76</v>
      </c>
      <c r="RAA38" s="256" t="s">
        <v>77</v>
      </c>
      <c r="RAB38" s="256" t="s">
        <v>78</v>
      </c>
      <c r="RAC38" s="256" t="s">
        <v>79</v>
      </c>
      <c r="RAD38" s="256" t="s">
        <v>80</v>
      </c>
      <c r="RAE38" s="256" t="s">
        <v>81</v>
      </c>
      <c r="RAF38" s="331"/>
      <c r="RAG38" s="290">
        <v>45492</v>
      </c>
      <c r="RAH38" s="339" t="s">
        <v>141</v>
      </c>
      <c r="RAI38" s="305"/>
      <c r="RAJ38" s="305">
        <v>1</v>
      </c>
      <c r="RAK38" s="304">
        <f t="shared" ref="RAK38" si="4173">EDATE(RAG38,RAJ38)</f>
        <v>45523</v>
      </c>
      <c r="RAL38" s="340">
        <v>0</v>
      </c>
      <c r="RAM38" s="320">
        <f t="shared" ref="RAM38" si="4174">IF(RAN38&gt;=1,(RAL38/RAJ38),0)</f>
        <v>0</v>
      </c>
      <c r="RAN38" s="292"/>
      <c r="RAO38" s="259" t="s">
        <v>55</v>
      </c>
      <c r="RAP38" s="256" t="s">
        <v>76</v>
      </c>
      <c r="RAQ38" s="256" t="s">
        <v>77</v>
      </c>
      <c r="RAR38" s="256" t="s">
        <v>78</v>
      </c>
      <c r="RAS38" s="256" t="s">
        <v>79</v>
      </c>
      <c r="RAT38" s="256" t="s">
        <v>80</v>
      </c>
      <c r="RAU38" s="256" t="s">
        <v>81</v>
      </c>
      <c r="RAV38" s="331"/>
      <c r="RAW38" s="290">
        <v>45492</v>
      </c>
      <c r="RAX38" s="339" t="s">
        <v>141</v>
      </c>
      <c r="RAY38" s="305"/>
      <c r="RAZ38" s="305">
        <v>1</v>
      </c>
      <c r="RBA38" s="304">
        <f t="shared" ref="RBA38" si="4175">EDATE(RAW38,RAZ38)</f>
        <v>45523</v>
      </c>
      <c r="RBB38" s="340">
        <v>0</v>
      </c>
      <c r="RBC38" s="320">
        <f t="shared" ref="RBC38" si="4176">IF(RBD38&gt;=1,(RBB38/RAZ38),0)</f>
        <v>0</v>
      </c>
      <c r="RBD38" s="292"/>
      <c r="RBE38" s="259" t="s">
        <v>55</v>
      </c>
      <c r="RBF38" s="256" t="s">
        <v>76</v>
      </c>
      <c r="RBG38" s="256" t="s">
        <v>77</v>
      </c>
      <c r="RBH38" s="256" t="s">
        <v>78</v>
      </c>
      <c r="RBI38" s="256" t="s">
        <v>79</v>
      </c>
      <c r="RBJ38" s="256" t="s">
        <v>80</v>
      </c>
      <c r="RBK38" s="256" t="s">
        <v>81</v>
      </c>
      <c r="RBL38" s="331"/>
      <c r="RBM38" s="290">
        <v>45492</v>
      </c>
      <c r="RBN38" s="339" t="s">
        <v>141</v>
      </c>
      <c r="RBO38" s="305"/>
      <c r="RBP38" s="305">
        <v>1</v>
      </c>
      <c r="RBQ38" s="304">
        <f t="shared" ref="RBQ38" si="4177">EDATE(RBM38,RBP38)</f>
        <v>45523</v>
      </c>
      <c r="RBR38" s="340">
        <v>0</v>
      </c>
      <c r="RBS38" s="320">
        <f t="shared" ref="RBS38" si="4178">IF(RBT38&gt;=1,(RBR38/RBP38),0)</f>
        <v>0</v>
      </c>
      <c r="RBT38" s="292"/>
      <c r="RBU38" s="259" t="s">
        <v>55</v>
      </c>
      <c r="RBV38" s="256" t="s">
        <v>76</v>
      </c>
      <c r="RBW38" s="256" t="s">
        <v>77</v>
      </c>
      <c r="RBX38" s="256" t="s">
        <v>78</v>
      </c>
      <c r="RBY38" s="256" t="s">
        <v>79</v>
      </c>
      <c r="RBZ38" s="256" t="s">
        <v>80</v>
      </c>
      <c r="RCA38" s="256" t="s">
        <v>81</v>
      </c>
      <c r="RCB38" s="331"/>
      <c r="RCC38" s="290">
        <v>45492</v>
      </c>
      <c r="RCD38" s="339" t="s">
        <v>141</v>
      </c>
      <c r="RCE38" s="305"/>
      <c r="RCF38" s="305">
        <v>1</v>
      </c>
      <c r="RCG38" s="304">
        <f t="shared" ref="RCG38" si="4179">EDATE(RCC38,RCF38)</f>
        <v>45523</v>
      </c>
      <c r="RCH38" s="340">
        <v>0</v>
      </c>
      <c r="RCI38" s="320">
        <f t="shared" ref="RCI38" si="4180">IF(RCJ38&gt;=1,(RCH38/RCF38),0)</f>
        <v>0</v>
      </c>
      <c r="RCJ38" s="292"/>
      <c r="RCK38" s="259" t="s">
        <v>55</v>
      </c>
      <c r="RCL38" s="256" t="s">
        <v>76</v>
      </c>
      <c r="RCM38" s="256" t="s">
        <v>77</v>
      </c>
      <c r="RCN38" s="256" t="s">
        <v>78</v>
      </c>
      <c r="RCO38" s="256" t="s">
        <v>79</v>
      </c>
      <c r="RCP38" s="256" t="s">
        <v>80</v>
      </c>
      <c r="RCQ38" s="256" t="s">
        <v>81</v>
      </c>
      <c r="RCR38" s="331"/>
      <c r="RCS38" s="290">
        <v>45492</v>
      </c>
      <c r="RCT38" s="339" t="s">
        <v>141</v>
      </c>
      <c r="RCU38" s="305"/>
      <c r="RCV38" s="305">
        <v>1</v>
      </c>
      <c r="RCW38" s="304">
        <f t="shared" ref="RCW38" si="4181">EDATE(RCS38,RCV38)</f>
        <v>45523</v>
      </c>
      <c r="RCX38" s="340">
        <v>0</v>
      </c>
      <c r="RCY38" s="320">
        <f t="shared" ref="RCY38" si="4182">IF(RCZ38&gt;=1,(RCX38/RCV38),0)</f>
        <v>0</v>
      </c>
      <c r="RCZ38" s="292"/>
      <c r="RDA38" s="259" t="s">
        <v>55</v>
      </c>
      <c r="RDB38" s="256" t="s">
        <v>76</v>
      </c>
      <c r="RDC38" s="256" t="s">
        <v>77</v>
      </c>
      <c r="RDD38" s="256" t="s">
        <v>78</v>
      </c>
      <c r="RDE38" s="256" t="s">
        <v>79</v>
      </c>
      <c r="RDF38" s="256" t="s">
        <v>80</v>
      </c>
      <c r="RDG38" s="256" t="s">
        <v>81</v>
      </c>
      <c r="RDH38" s="331"/>
      <c r="RDI38" s="290">
        <v>45492</v>
      </c>
      <c r="RDJ38" s="339" t="s">
        <v>141</v>
      </c>
      <c r="RDK38" s="305"/>
      <c r="RDL38" s="305">
        <v>1</v>
      </c>
      <c r="RDM38" s="304">
        <f t="shared" ref="RDM38" si="4183">EDATE(RDI38,RDL38)</f>
        <v>45523</v>
      </c>
      <c r="RDN38" s="340">
        <v>0</v>
      </c>
      <c r="RDO38" s="320">
        <f t="shared" ref="RDO38" si="4184">IF(RDP38&gt;=1,(RDN38/RDL38),0)</f>
        <v>0</v>
      </c>
      <c r="RDP38" s="292"/>
      <c r="RDQ38" s="259" t="s">
        <v>55</v>
      </c>
      <c r="RDR38" s="256" t="s">
        <v>76</v>
      </c>
      <c r="RDS38" s="256" t="s">
        <v>77</v>
      </c>
      <c r="RDT38" s="256" t="s">
        <v>78</v>
      </c>
      <c r="RDU38" s="256" t="s">
        <v>79</v>
      </c>
      <c r="RDV38" s="256" t="s">
        <v>80</v>
      </c>
      <c r="RDW38" s="256" t="s">
        <v>81</v>
      </c>
      <c r="RDX38" s="331"/>
      <c r="RDY38" s="290">
        <v>45492</v>
      </c>
      <c r="RDZ38" s="339" t="s">
        <v>141</v>
      </c>
      <c r="REA38" s="305"/>
      <c r="REB38" s="305">
        <v>1</v>
      </c>
      <c r="REC38" s="304">
        <f t="shared" ref="REC38" si="4185">EDATE(RDY38,REB38)</f>
        <v>45523</v>
      </c>
      <c r="RED38" s="340">
        <v>0</v>
      </c>
      <c r="REE38" s="320">
        <f t="shared" ref="REE38" si="4186">IF(REF38&gt;=1,(RED38/REB38),0)</f>
        <v>0</v>
      </c>
      <c r="REF38" s="292"/>
      <c r="REG38" s="259" t="s">
        <v>55</v>
      </c>
      <c r="REH38" s="256" t="s">
        <v>76</v>
      </c>
      <c r="REI38" s="256" t="s">
        <v>77</v>
      </c>
      <c r="REJ38" s="256" t="s">
        <v>78</v>
      </c>
      <c r="REK38" s="256" t="s">
        <v>79</v>
      </c>
      <c r="REL38" s="256" t="s">
        <v>80</v>
      </c>
      <c r="REM38" s="256" t="s">
        <v>81</v>
      </c>
      <c r="REN38" s="331"/>
      <c r="REO38" s="290">
        <v>45492</v>
      </c>
      <c r="REP38" s="339" t="s">
        <v>141</v>
      </c>
      <c r="REQ38" s="305"/>
      <c r="RER38" s="305">
        <v>1</v>
      </c>
      <c r="RES38" s="304">
        <f t="shared" ref="RES38" si="4187">EDATE(REO38,RER38)</f>
        <v>45523</v>
      </c>
      <c r="RET38" s="340">
        <v>0</v>
      </c>
      <c r="REU38" s="320">
        <f t="shared" ref="REU38" si="4188">IF(REV38&gt;=1,(RET38/RER38),0)</f>
        <v>0</v>
      </c>
      <c r="REV38" s="292"/>
      <c r="REW38" s="259" t="s">
        <v>55</v>
      </c>
      <c r="REX38" s="256" t="s">
        <v>76</v>
      </c>
      <c r="REY38" s="256" t="s">
        <v>77</v>
      </c>
      <c r="REZ38" s="256" t="s">
        <v>78</v>
      </c>
      <c r="RFA38" s="256" t="s">
        <v>79</v>
      </c>
      <c r="RFB38" s="256" t="s">
        <v>80</v>
      </c>
      <c r="RFC38" s="256" t="s">
        <v>81</v>
      </c>
      <c r="RFD38" s="331"/>
      <c r="RFE38" s="290">
        <v>45492</v>
      </c>
      <c r="RFF38" s="339" t="s">
        <v>141</v>
      </c>
      <c r="RFG38" s="305"/>
      <c r="RFH38" s="305">
        <v>1</v>
      </c>
      <c r="RFI38" s="304">
        <f t="shared" ref="RFI38" si="4189">EDATE(RFE38,RFH38)</f>
        <v>45523</v>
      </c>
      <c r="RFJ38" s="340">
        <v>0</v>
      </c>
      <c r="RFK38" s="320">
        <f t="shared" ref="RFK38" si="4190">IF(RFL38&gt;=1,(RFJ38/RFH38),0)</f>
        <v>0</v>
      </c>
      <c r="RFL38" s="292"/>
      <c r="RFM38" s="259" t="s">
        <v>55</v>
      </c>
      <c r="RFN38" s="256" t="s">
        <v>76</v>
      </c>
      <c r="RFO38" s="256" t="s">
        <v>77</v>
      </c>
      <c r="RFP38" s="256" t="s">
        <v>78</v>
      </c>
      <c r="RFQ38" s="256" t="s">
        <v>79</v>
      </c>
      <c r="RFR38" s="256" t="s">
        <v>80</v>
      </c>
      <c r="RFS38" s="256" t="s">
        <v>81</v>
      </c>
      <c r="RFT38" s="331"/>
      <c r="RFU38" s="290">
        <v>45492</v>
      </c>
      <c r="RFV38" s="339" t="s">
        <v>141</v>
      </c>
      <c r="RFW38" s="305"/>
      <c r="RFX38" s="305">
        <v>1</v>
      </c>
      <c r="RFY38" s="304">
        <f t="shared" ref="RFY38" si="4191">EDATE(RFU38,RFX38)</f>
        <v>45523</v>
      </c>
      <c r="RFZ38" s="340">
        <v>0</v>
      </c>
      <c r="RGA38" s="320">
        <f t="shared" ref="RGA38" si="4192">IF(RGB38&gt;=1,(RFZ38/RFX38),0)</f>
        <v>0</v>
      </c>
      <c r="RGB38" s="292"/>
      <c r="RGC38" s="259" t="s">
        <v>55</v>
      </c>
      <c r="RGD38" s="256" t="s">
        <v>76</v>
      </c>
      <c r="RGE38" s="256" t="s">
        <v>77</v>
      </c>
      <c r="RGF38" s="256" t="s">
        <v>78</v>
      </c>
      <c r="RGG38" s="256" t="s">
        <v>79</v>
      </c>
      <c r="RGH38" s="256" t="s">
        <v>80</v>
      </c>
      <c r="RGI38" s="256" t="s">
        <v>81</v>
      </c>
      <c r="RGJ38" s="331"/>
      <c r="RGK38" s="290">
        <v>45492</v>
      </c>
      <c r="RGL38" s="339" t="s">
        <v>141</v>
      </c>
      <c r="RGM38" s="305"/>
      <c r="RGN38" s="305">
        <v>1</v>
      </c>
      <c r="RGO38" s="304">
        <f t="shared" ref="RGO38" si="4193">EDATE(RGK38,RGN38)</f>
        <v>45523</v>
      </c>
      <c r="RGP38" s="340">
        <v>0</v>
      </c>
      <c r="RGQ38" s="320">
        <f t="shared" ref="RGQ38" si="4194">IF(RGR38&gt;=1,(RGP38/RGN38),0)</f>
        <v>0</v>
      </c>
      <c r="RGR38" s="292"/>
      <c r="RGS38" s="259" t="s">
        <v>55</v>
      </c>
      <c r="RGT38" s="256" t="s">
        <v>76</v>
      </c>
      <c r="RGU38" s="256" t="s">
        <v>77</v>
      </c>
      <c r="RGV38" s="256" t="s">
        <v>78</v>
      </c>
      <c r="RGW38" s="256" t="s">
        <v>79</v>
      </c>
      <c r="RGX38" s="256" t="s">
        <v>80</v>
      </c>
      <c r="RGY38" s="256" t="s">
        <v>81</v>
      </c>
      <c r="RGZ38" s="331"/>
      <c r="RHA38" s="290">
        <v>45492</v>
      </c>
      <c r="RHB38" s="339" t="s">
        <v>141</v>
      </c>
      <c r="RHC38" s="305"/>
      <c r="RHD38" s="305">
        <v>1</v>
      </c>
      <c r="RHE38" s="304">
        <f t="shared" ref="RHE38" si="4195">EDATE(RHA38,RHD38)</f>
        <v>45523</v>
      </c>
      <c r="RHF38" s="340">
        <v>0</v>
      </c>
      <c r="RHG38" s="320">
        <f t="shared" ref="RHG38" si="4196">IF(RHH38&gt;=1,(RHF38/RHD38),0)</f>
        <v>0</v>
      </c>
      <c r="RHH38" s="292"/>
      <c r="RHI38" s="259" t="s">
        <v>55</v>
      </c>
      <c r="RHJ38" s="256" t="s">
        <v>76</v>
      </c>
      <c r="RHK38" s="256" t="s">
        <v>77</v>
      </c>
      <c r="RHL38" s="256" t="s">
        <v>78</v>
      </c>
      <c r="RHM38" s="256" t="s">
        <v>79</v>
      </c>
      <c r="RHN38" s="256" t="s">
        <v>80</v>
      </c>
      <c r="RHO38" s="256" t="s">
        <v>81</v>
      </c>
      <c r="RHP38" s="331"/>
      <c r="RHQ38" s="290">
        <v>45492</v>
      </c>
      <c r="RHR38" s="339" t="s">
        <v>141</v>
      </c>
      <c r="RHS38" s="305"/>
      <c r="RHT38" s="305">
        <v>1</v>
      </c>
      <c r="RHU38" s="304">
        <f t="shared" ref="RHU38" si="4197">EDATE(RHQ38,RHT38)</f>
        <v>45523</v>
      </c>
      <c r="RHV38" s="340">
        <v>0</v>
      </c>
      <c r="RHW38" s="320">
        <f t="shared" ref="RHW38" si="4198">IF(RHX38&gt;=1,(RHV38/RHT38),0)</f>
        <v>0</v>
      </c>
      <c r="RHX38" s="292"/>
      <c r="RHY38" s="259" t="s">
        <v>55</v>
      </c>
      <c r="RHZ38" s="256" t="s">
        <v>76</v>
      </c>
      <c r="RIA38" s="256" t="s">
        <v>77</v>
      </c>
      <c r="RIB38" s="256" t="s">
        <v>78</v>
      </c>
      <c r="RIC38" s="256" t="s">
        <v>79</v>
      </c>
      <c r="RID38" s="256" t="s">
        <v>80</v>
      </c>
      <c r="RIE38" s="256" t="s">
        <v>81</v>
      </c>
      <c r="RIF38" s="331"/>
      <c r="RIG38" s="290">
        <v>45492</v>
      </c>
      <c r="RIH38" s="339" t="s">
        <v>141</v>
      </c>
      <c r="RII38" s="305"/>
      <c r="RIJ38" s="305">
        <v>1</v>
      </c>
      <c r="RIK38" s="304">
        <f t="shared" ref="RIK38" si="4199">EDATE(RIG38,RIJ38)</f>
        <v>45523</v>
      </c>
      <c r="RIL38" s="340">
        <v>0</v>
      </c>
      <c r="RIM38" s="320">
        <f t="shared" ref="RIM38" si="4200">IF(RIN38&gt;=1,(RIL38/RIJ38),0)</f>
        <v>0</v>
      </c>
      <c r="RIN38" s="292"/>
      <c r="RIO38" s="259" t="s">
        <v>55</v>
      </c>
      <c r="RIP38" s="256" t="s">
        <v>76</v>
      </c>
      <c r="RIQ38" s="256" t="s">
        <v>77</v>
      </c>
      <c r="RIR38" s="256" t="s">
        <v>78</v>
      </c>
      <c r="RIS38" s="256" t="s">
        <v>79</v>
      </c>
      <c r="RIT38" s="256" t="s">
        <v>80</v>
      </c>
      <c r="RIU38" s="256" t="s">
        <v>81</v>
      </c>
      <c r="RIV38" s="331"/>
      <c r="RIW38" s="290">
        <v>45492</v>
      </c>
      <c r="RIX38" s="339" t="s">
        <v>141</v>
      </c>
      <c r="RIY38" s="305"/>
      <c r="RIZ38" s="305">
        <v>1</v>
      </c>
      <c r="RJA38" s="304">
        <f t="shared" ref="RJA38" si="4201">EDATE(RIW38,RIZ38)</f>
        <v>45523</v>
      </c>
      <c r="RJB38" s="340">
        <v>0</v>
      </c>
      <c r="RJC38" s="320">
        <f t="shared" ref="RJC38" si="4202">IF(RJD38&gt;=1,(RJB38/RIZ38),0)</f>
        <v>0</v>
      </c>
      <c r="RJD38" s="292"/>
      <c r="RJE38" s="259" t="s">
        <v>55</v>
      </c>
      <c r="RJF38" s="256" t="s">
        <v>76</v>
      </c>
      <c r="RJG38" s="256" t="s">
        <v>77</v>
      </c>
      <c r="RJH38" s="256" t="s">
        <v>78</v>
      </c>
      <c r="RJI38" s="256" t="s">
        <v>79</v>
      </c>
      <c r="RJJ38" s="256" t="s">
        <v>80</v>
      </c>
      <c r="RJK38" s="256" t="s">
        <v>81</v>
      </c>
      <c r="RJL38" s="331"/>
      <c r="RJM38" s="290">
        <v>45492</v>
      </c>
      <c r="RJN38" s="339" t="s">
        <v>141</v>
      </c>
      <c r="RJO38" s="305"/>
      <c r="RJP38" s="305">
        <v>1</v>
      </c>
      <c r="RJQ38" s="304">
        <f t="shared" ref="RJQ38" si="4203">EDATE(RJM38,RJP38)</f>
        <v>45523</v>
      </c>
      <c r="RJR38" s="340">
        <v>0</v>
      </c>
      <c r="RJS38" s="320">
        <f t="shared" ref="RJS38" si="4204">IF(RJT38&gt;=1,(RJR38/RJP38),0)</f>
        <v>0</v>
      </c>
      <c r="RJT38" s="292"/>
      <c r="RJU38" s="259" t="s">
        <v>55</v>
      </c>
      <c r="RJV38" s="256" t="s">
        <v>76</v>
      </c>
      <c r="RJW38" s="256" t="s">
        <v>77</v>
      </c>
      <c r="RJX38" s="256" t="s">
        <v>78</v>
      </c>
      <c r="RJY38" s="256" t="s">
        <v>79</v>
      </c>
      <c r="RJZ38" s="256" t="s">
        <v>80</v>
      </c>
      <c r="RKA38" s="256" t="s">
        <v>81</v>
      </c>
      <c r="RKB38" s="331"/>
      <c r="RKC38" s="290">
        <v>45492</v>
      </c>
      <c r="RKD38" s="339" t="s">
        <v>141</v>
      </c>
      <c r="RKE38" s="305"/>
      <c r="RKF38" s="305">
        <v>1</v>
      </c>
      <c r="RKG38" s="304">
        <f t="shared" ref="RKG38" si="4205">EDATE(RKC38,RKF38)</f>
        <v>45523</v>
      </c>
      <c r="RKH38" s="340">
        <v>0</v>
      </c>
      <c r="RKI38" s="320">
        <f t="shared" ref="RKI38" si="4206">IF(RKJ38&gt;=1,(RKH38/RKF38),0)</f>
        <v>0</v>
      </c>
      <c r="RKJ38" s="292"/>
      <c r="RKK38" s="259" t="s">
        <v>55</v>
      </c>
      <c r="RKL38" s="256" t="s">
        <v>76</v>
      </c>
      <c r="RKM38" s="256" t="s">
        <v>77</v>
      </c>
      <c r="RKN38" s="256" t="s">
        <v>78</v>
      </c>
      <c r="RKO38" s="256" t="s">
        <v>79</v>
      </c>
      <c r="RKP38" s="256" t="s">
        <v>80</v>
      </c>
      <c r="RKQ38" s="256" t="s">
        <v>81</v>
      </c>
      <c r="RKR38" s="331"/>
      <c r="RKS38" s="290">
        <v>45492</v>
      </c>
      <c r="RKT38" s="339" t="s">
        <v>141</v>
      </c>
      <c r="RKU38" s="305"/>
      <c r="RKV38" s="305">
        <v>1</v>
      </c>
      <c r="RKW38" s="304">
        <f t="shared" ref="RKW38" si="4207">EDATE(RKS38,RKV38)</f>
        <v>45523</v>
      </c>
      <c r="RKX38" s="340">
        <v>0</v>
      </c>
      <c r="RKY38" s="320">
        <f t="shared" ref="RKY38" si="4208">IF(RKZ38&gt;=1,(RKX38/RKV38),0)</f>
        <v>0</v>
      </c>
      <c r="RKZ38" s="292"/>
      <c r="RLA38" s="259" t="s">
        <v>55</v>
      </c>
      <c r="RLB38" s="256" t="s">
        <v>76</v>
      </c>
      <c r="RLC38" s="256" t="s">
        <v>77</v>
      </c>
      <c r="RLD38" s="256" t="s">
        <v>78</v>
      </c>
      <c r="RLE38" s="256" t="s">
        <v>79</v>
      </c>
      <c r="RLF38" s="256" t="s">
        <v>80</v>
      </c>
      <c r="RLG38" s="256" t="s">
        <v>81</v>
      </c>
      <c r="RLH38" s="331"/>
      <c r="RLI38" s="290">
        <v>45492</v>
      </c>
      <c r="RLJ38" s="339" t="s">
        <v>141</v>
      </c>
      <c r="RLK38" s="305"/>
      <c r="RLL38" s="305">
        <v>1</v>
      </c>
      <c r="RLM38" s="304">
        <f t="shared" ref="RLM38" si="4209">EDATE(RLI38,RLL38)</f>
        <v>45523</v>
      </c>
      <c r="RLN38" s="340">
        <v>0</v>
      </c>
      <c r="RLO38" s="320">
        <f t="shared" ref="RLO38" si="4210">IF(RLP38&gt;=1,(RLN38/RLL38),0)</f>
        <v>0</v>
      </c>
      <c r="RLP38" s="292"/>
      <c r="RLQ38" s="259" t="s">
        <v>55</v>
      </c>
      <c r="RLR38" s="256" t="s">
        <v>76</v>
      </c>
      <c r="RLS38" s="256" t="s">
        <v>77</v>
      </c>
      <c r="RLT38" s="256" t="s">
        <v>78</v>
      </c>
      <c r="RLU38" s="256" t="s">
        <v>79</v>
      </c>
      <c r="RLV38" s="256" t="s">
        <v>80</v>
      </c>
      <c r="RLW38" s="256" t="s">
        <v>81</v>
      </c>
      <c r="RLX38" s="331"/>
      <c r="RLY38" s="290">
        <v>45492</v>
      </c>
      <c r="RLZ38" s="339" t="s">
        <v>141</v>
      </c>
      <c r="RMA38" s="305"/>
      <c r="RMB38" s="305">
        <v>1</v>
      </c>
      <c r="RMC38" s="304">
        <f t="shared" ref="RMC38" si="4211">EDATE(RLY38,RMB38)</f>
        <v>45523</v>
      </c>
      <c r="RMD38" s="340">
        <v>0</v>
      </c>
      <c r="RME38" s="320">
        <f t="shared" ref="RME38" si="4212">IF(RMF38&gt;=1,(RMD38/RMB38),0)</f>
        <v>0</v>
      </c>
      <c r="RMF38" s="292"/>
      <c r="RMG38" s="259" t="s">
        <v>55</v>
      </c>
      <c r="RMH38" s="256" t="s">
        <v>76</v>
      </c>
      <c r="RMI38" s="256" t="s">
        <v>77</v>
      </c>
      <c r="RMJ38" s="256" t="s">
        <v>78</v>
      </c>
      <c r="RMK38" s="256" t="s">
        <v>79</v>
      </c>
      <c r="RML38" s="256" t="s">
        <v>80</v>
      </c>
      <c r="RMM38" s="256" t="s">
        <v>81</v>
      </c>
      <c r="RMN38" s="331"/>
      <c r="RMO38" s="290">
        <v>45492</v>
      </c>
      <c r="RMP38" s="339" t="s">
        <v>141</v>
      </c>
      <c r="RMQ38" s="305"/>
      <c r="RMR38" s="305">
        <v>1</v>
      </c>
      <c r="RMS38" s="304">
        <f t="shared" ref="RMS38" si="4213">EDATE(RMO38,RMR38)</f>
        <v>45523</v>
      </c>
      <c r="RMT38" s="340">
        <v>0</v>
      </c>
      <c r="RMU38" s="320">
        <f t="shared" ref="RMU38" si="4214">IF(RMV38&gt;=1,(RMT38/RMR38),0)</f>
        <v>0</v>
      </c>
      <c r="RMV38" s="292"/>
      <c r="RMW38" s="259" t="s">
        <v>55</v>
      </c>
      <c r="RMX38" s="256" t="s">
        <v>76</v>
      </c>
      <c r="RMY38" s="256" t="s">
        <v>77</v>
      </c>
      <c r="RMZ38" s="256" t="s">
        <v>78</v>
      </c>
      <c r="RNA38" s="256" t="s">
        <v>79</v>
      </c>
      <c r="RNB38" s="256" t="s">
        <v>80</v>
      </c>
      <c r="RNC38" s="256" t="s">
        <v>81</v>
      </c>
      <c r="RND38" s="331"/>
      <c r="RNE38" s="290">
        <v>45492</v>
      </c>
      <c r="RNF38" s="339" t="s">
        <v>141</v>
      </c>
      <c r="RNG38" s="305"/>
      <c r="RNH38" s="305">
        <v>1</v>
      </c>
      <c r="RNI38" s="304">
        <f t="shared" ref="RNI38" si="4215">EDATE(RNE38,RNH38)</f>
        <v>45523</v>
      </c>
      <c r="RNJ38" s="340">
        <v>0</v>
      </c>
      <c r="RNK38" s="320">
        <f t="shared" ref="RNK38" si="4216">IF(RNL38&gt;=1,(RNJ38/RNH38),0)</f>
        <v>0</v>
      </c>
      <c r="RNL38" s="292"/>
      <c r="RNM38" s="259" t="s">
        <v>55</v>
      </c>
      <c r="RNN38" s="256" t="s">
        <v>76</v>
      </c>
      <c r="RNO38" s="256" t="s">
        <v>77</v>
      </c>
      <c r="RNP38" s="256" t="s">
        <v>78</v>
      </c>
      <c r="RNQ38" s="256" t="s">
        <v>79</v>
      </c>
      <c r="RNR38" s="256" t="s">
        <v>80</v>
      </c>
      <c r="RNS38" s="256" t="s">
        <v>81</v>
      </c>
      <c r="RNT38" s="331"/>
      <c r="RNU38" s="290">
        <v>45492</v>
      </c>
      <c r="RNV38" s="339" t="s">
        <v>141</v>
      </c>
      <c r="RNW38" s="305"/>
      <c r="RNX38" s="305">
        <v>1</v>
      </c>
      <c r="RNY38" s="304">
        <f t="shared" ref="RNY38" si="4217">EDATE(RNU38,RNX38)</f>
        <v>45523</v>
      </c>
      <c r="RNZ38" s="340">
        <v>0</v>
      </c>
      <c r="ROA38" s="320">
        <f t="shared" ref="ROA38" si="4218">IF(ROB38&gt;=1,(RNZ38/RNX38),0)</f>
        <v>0</v>
      </c>
      <c r="ROB38" s="292"/>
      <c r="ROC38" s="259" t="s">
        <v>55</v>
      </c>
      <c r="ROD38" s="256" t="s">
        <v>76</v>
      </c>
      <c r="ROE38" s="256" t="s">
        <v>77</v>
      </c>
      <c r="ROF38" s="256" t="s">
        <v>78</v>
      </c>
      <c r="ROG38" s="256" t="s">
        <v>79</v>
      </c>
      <c r="ROH38" s="256" t="s">
        <v>80</v>
      </c>
      <c r="ROI38" s="256" t="s">
        <v>81</v>
      </c>
      <c r="ROJ38" s="331"/>
      <c r="ROK38" s="290">
        <v>45492</v>
      </c>
      <c r="ROL38" s="339" t="s">
        <v>141</v>
      </c>
      <c r="ROM38" s="305"/>
      <c r="RON38" s="305">
        <v>1</v>
      </c>
      <c r="ROO38" s="304">
        <f t="shared" ref="ROO38" si="4219">EDATE(ROK38,RON38)</f>
        <v>45523</v>
      </c>
      <c r="ROP38" s="340">
        <v>0</v>
      </c>
      <c r="ROQ38" s="320">
        <f t="shared" ref="ROQ38" si="4220">IF(ROR38&gt;=1,(ROP38/RON38),0)</f>
        <v>0</v>
      </c>
      <c r="ROR38" s="292"/>
      <c r="ROS38" s="259" t="s">
        <v>55</v>
      </c>
      <c r="ROT38" s="256" t="s">
        <v>76</v>
      </c>
      <c r="ROU38" s="256" t="s">
        <v>77</v>
      </c>
      <c r="ROV38" s="256" t="s">
        <v>78</v>
      </c>
      <c r="ROW38" s="256" t="s">
        <v>79</v>
      </c>
      <c r="ROX38" s="256" t="s">
        <v>80</v>
      </c>
      <c r="ROY38" s="256" t="s">
        <v>81</v>
      </c>
      <c r="ROZ38" s="331"/>
      <c r="RPA38" s="290">
        <v>45492</v>
      </c>
      <c r="RPB38" s="339" t="s">
        <v>141</v>
      </c>
      <c r="RPC38" s="305"/>
      <c r="RPD38" s="305">
        <v>1</v>
      </c>
      <c r="RPE38" s="304">
        <f t="shared" ref="RPE38" si="4221">EDATE(RPA38,RPD38)</f>
        <v>45523</v>
      </c>
      <c r="RPF38" s="340">
        <v>0</v>
      </c>
      <c r="RPG38" s="320">
        <f t="shared" ref="RPG38" si="4222">IF(RPH38&gt;=1,(RPF38/RPD38),0)</f>
        <v>0</v>
      </c>
      <c r="RPH38" s="292"/>
      <c r="RPI38" s="259" t="s">
        <v>55</v>
      </c>
      <c r="RPJ38" s="256" t="s">
        <v>76</v>
      </c>
      <c r="RPK38" s="256" t="s">
        <v>77</v>
      </c>
      <c r="RPL38" s="256" t="s">
        <v>78</v>
      </c>
      <c r="RPM38" s="256" t="s">
        <v>79</v>
      </c>
      <c r="RPN38" s="256" t="s">
        <v>80</v>
      </c>
      <c r="RPO38" s="256" t="s">
        <v>81</v>
      </c>
      <c r="RPP38" s="331"/>
      <c r="RPQ38" s="290">
        <v>45492</v>
      </c>
      <c r="RPR38" s="339" t="s">
        <v>141</v>
      </c>
      <c r="RPS38" s="305"/>
      <c r="RPT38" s="305">
        <v>1</v>
      </c>
      <c r="RPU38" s="304">
        <f t="shared" ref="RPU38" si="4223">EDATE(RPQ38,RPT38)</f>
        <v>45523</v>
      </c>
      <c r="RPV38" s="340">
        <v>0</v>
      </c>
      <c r="RPW38" s="320">
        <f t="shared" ref="RPW38" si="4224">IF(RPX38&gt;=1,(RPV38/RPT38),0)</f>
        <v>0</v>
      </c>
      <c r="RPX38" s="292"/>
      <c r="RPY38" s="259" t="s">
        <v>55</v>
      </c>
      <c r="RPZ38" s="256" t="s">
        <v>76</v>
      </c>
      <c r="RQA38" s="256" t="s">
        <v>77</v>
      </c>
      <c r="RQB38" s="256" t="s">
        <v>78</v>
      </c>
      <c r="RQC38" s="256" t="s">
        <v>79</v>
      </c>
      <c r="RQD38" s="256" t="s">
        <v>80</v>
      </c>
      <c r="RQE38" s="256" t="s">
        <v>81</v>
      </c>
      <c r="RQF38" s="331"/>
      <c r="RQG38" s="290">
        <v>45492</v>
      </c>
      <c r="RQH38" s="339" t="s">
        <v>141</v>
      </c>
      <c r="RQI38" s="305"/>
      <c r="RQJ38" s="305">
        <v>1</v>
      </c>
      <c r="RQK38" s="304">
        <f t="shared" ref="RQK38" si="4225">EDATE(RQG38,RQJ38)</f>
        <v>45523</v>
      </c>
      <c r="RQL38" s="340">
        <v>0</v>
      </c>
      <c r="RQM38" s="320">
        <f t="shared" ref="RQM38" si="4226">IF(RQN38&gt;=1,(RQL38/RQJ38),0)</f>
        <v>0</v>
      </c>
      <c r="RQN38" s="292"/>
      <c r="RQO38" s="259" t="s">
        <v>55</v>
      </c>
      <c r="RQP38" s="256" t="s">
        <v>76</v>
      </c>
      <c r="RQQ38" s="256" t="s">
        <v>77</v>
      </c>
      <c r="RQR38" s="256" t="s">
        <v>78</v>
      </c>
      <c r="RQS38" s="256" t="s">
        <v>79</v>
      </c>
      <c r="RQT38" s="256" t="s">
        <v>80</v>
      </c>
      <c r="RQU38" s="256" t="s">
        <v>81</v>
      </c>
      <c r="RQV38" s="331"/>
      <c r="RQW38" s="290">
        <v>45492</v>
      </c>
      <c r="RQX38" s="339" t="s">
        <v>141</v>
      </c>
      <c r="RQY38" s="305"/>
      <c r="RQZ38" s="305">
        <v>1</v>
      </c>
      <c r="RRA38" s="304">
        <f t="shared" ref="RRA38" si="4227">EDATE(RQW38,RQZ38)</f>
        <v>45523</v>
      </c>
      <c r="RRB38" s="340">
        <v>0</v>
      </c>
      <c r="RRC38" s="320">
        <f t="shared" ref="RRC38" si="4228">IF(RRD38&gt;=1,(RRB38/RQZ38),0)</f>
        <v>0</v>
      </c>
      <c r="RRD38" s="292"/>
      <c r="RRE38" s="259" t="s">
        <v>55</v>
      </c>
      <c r="RRF38" s="256" t="s">
        <v>76</v>
      </c>
      <c r="RRG38" s="256" t="s">
        <v>77</v>
      </c>
      <c r="RRH38" s="256" t="s">
        <v>78</v>
      </c>
      <c r="RRI38" s="256" t="s">
        <v>79</v>
      </c>
      <c r="RRJ38" s="256" t="s">
        <v>80</v>
      </c>
      <c r="RRK38" s="256" t="s">
        <v>81</v>
      </c>
      <c r="RRL38" s="331"/>
      <c r="RRM38" s="290">
        <v>45492</v>
      </c>
      <c r="RRN38" s="339" t="s">
        <v>141</v>
      </c>
      <c r="RRO38" s="305"/>
      <c r="RRP38" s="305">
        <v>1</v>
      </c>
      <c r="RRQ38" s="304">
        <f t="shared" ref="RRQ38" si="4229">EDATE(RRM38,RRP38)</f>
        <v>45523</v>
      </c>
      <c r="RRR38" s="340">
        <v>0</v>
      </c>
      <c r="RRS38" s="320">
        <f t="shared" ref="RRS38" si="4230">IF(RRT38&gt;=1,(RRR38/RRP38),0)</f>
        <v>0</v>
      </c>
      <c r="RRT38" s="292"/>
      <c r="RRU38" s="259" t="s">
        <v>55</v>
      </c>
      <c r="RRV38" s="256" t="s">
        <v>76</v>
      </c>
      <c r="RRW38" s="256" t="s">
        <v>77</v>
      </c>
      <c r="RRX38" s="256" t="s">
        <v>78</v>
      </c>
      <c r="RRY38" s="256" t="s">
        <v>79</v>
      </c>
      <c r="RRZ38" s="256" t="s">
        <v>80</v>
      </c>
      <c r="RSA38" s="256" t="s">
        <v>81</v>
      </c>
      <c r="RSB38" s="331"/>
      <c r="RSC38" s="290">
        <v>45492</v>
      </c>
      <c r="RSD38" s="339" t="s">
        <v>141</v>
      </c>
      <c r="RSE38" s="305"/>
      <c r="RSF38" s="305">
        <v>1</v>
      </c>
      <c r="RSG38" s="304">
        <f t="shared" ref="RSG38" si="4231">EDATE(RSC38,RSF38)</f>
        <v>45523</v>
      </c>
      <c r="RSH38" s="340">
        <v>0</v>
      </c>
      <c r="RSI38" s="320">
        <f t="shared" ref="RSI38" si="4232">IF(RSJ38&gt;=1,(RSH38/RSF38),0)</f>
        <v>0</v>
      </c>
      <c r="RSJ38" s="292"/>
      <c r="RSK38" s="259" t="s">
        <v>55</v>
      </c>
      <c r="RSL38" s="256" t="s">
        <v>76</v>
      </c>
      <c r="RSM38" s="256" t="s">
        <v>77</v>
      </c>
      <c r="RSN38" s="256" t="s">
        <v>78</v>
      </c>
      <c r="RSO38" s="256" t="s">
        <v>79</v>
      </c>
      <c r="RSP38" s="256" t="s">
        <v>80</v>
      </c>
      <c r="RSQ38" s="256" t="s">
        <v>81</v>
      </c>
      <c r="RSR38" s="331"/>
      <c r="RSS38" s="290">
        <v>45492</v>
      </c>
      <c r="RST38" s="339" t="s">
        <v>141</v>
      </c>
      <c r="RSU38" s="305"/>
      <c r="RSV38" s="305">
        <v>1</v>
      </c>
      <c r="RSW38" s="304">
        <f t="shared" ref="RSW38" si="4233">EDATE(RSS38,RSV38)</f>
        <v>45523</v>
      </c>
      <c r="RSX38" s="340">
        <v>0</v>
      </c>
      <c r="RSY38" s="320">
        <f t="shared" ref="RSY38" si="4234">IF(RSZ38&gt;=1,(RSX38/RSV38),0)</f>
        <v>0</v>
      </c>
      <c r="RSZ38" s="292"/>
      <c r="RTA38" s="259" t="s">
        <v>55</v>
      </c>
      <c r="RTB38" s="256" t="s">
        <v>76</v>
      </c>
      <c r="RTC38" s="256" t="s">
        <v>77</v>
      </c>
      <c r="RTD38" s="256" t="s">
        <v>78</v>
      </c>
      <c r="RTE38" s="256" t="s">
        <v>79</v>
      </c>
      <c r="RTF38" s="256" t="s">
        <v>80</v>
      </c>
      <c r="RTG38" s="256" t="s">
        <v>81</v>
      </c>
      <c r="RTH38" s="331"/>
      <c r="RTI38" s="290">
        <v>45492</v>
      </c>
      <c r="RTJ38" s="339" t="s">
        <v>141</v>
      </c>
      <c r="RTK38" s="305"/>
      <c r="RTL38" s="305">
        <v>1</v>
      </c>
      <c r="RTM38" s="304">
        <f t="shared" ref="RTM38" si="4235">EDATE(RTI38,RTL38)</f>
        <v>45523</v>
      </c>
      <c r="RTN38" s="340">
        <v>0</v>
      </c>
      <c r="RTO38" s="320">
        <f t="shared" ref="RTO38" si="4236">IF(RTP38&gt;=1,(RTN38/RTL38),0)</f>
        <v>0</v>
      </c>
      <c r="RTP38" s="292"/>
      <c r="RTQ38" s="259" t="s">
        <v>55</v>
      </c>
      <c r="RTR38" s="256" t="s">
        <v>76</v>
      </c>
      <c r="RTS38" s="256" t="s">
        <v>77</v>
      </c>
      <c r="RTT38" s="256" t="s">
        <v>78</v>
      </c>
      <c r="RTU38" s="256" t="s">
        <v>79</v>
      </c>
      <c r="RTV38" s="256" t="s">
        <v>80</v>
      </c>
      <c r="RTW38" s="256" t="s">
        <v>81</v>
      </c>
      <c r="RTX38" s="331"/>
      <c r="RTY38" s="290">
        <v>45492</v>
      </c>
      <c r="RTZ38" s="339" t="s">
        <v>141</v>
      </c>
      <c r="RUA38" s="305"/>
      <c r="RUB38" s="305">
        <v>1</v>
      </c>
      <c r="RUC38" s="304">
        <f t="shared" ref="RUC38" si="4237">EDATE(RTY38,RUB38)</f>
        <v>45523</v>
      </c>
      <c r="RUD38" s="340">
        <v>0</v>
      </c>
      <c r="RUE38" s="320">
        <f t="shared" ref="RUE38" si="4238">IF(RUF38&gt;=1,(RUD38/RUB38),0)</f>
        <v>0</v>
      </c>
      <c r="RUF38" s="292"/>
      <c r="RUG38" s="259" t="s">
        <v>55</v>
      </c>
      <c r="RUH38" s="256" t="s">
        <v>76</v>
      </c>
      <c r="RUI38" s="256" t="s">
        <v>77</v>
      </c>
      <c r="RUJ38" s="256" t="s">
        <v>78</v>
      </c>
      <c r="RUK38" s="256" t="s">
        <v>79</v>
      </c>
      <c r="RUL38" s="256" t="s">
        <v>80</v>
      </c>
      <c r="RUM38" s="256" t="s">
        <v>81</v>
      </c>
      <c r="RUN38" s="331"/>
      <c r="RUO38" s="290">
        <v>45492</v>
      </c>
      <c r="RUP38" s="339" t="s">
        <v>141</v>
      </c>
      <c r="RUQ38" s="305"/>
      <c r="RUR38" s="305">
        <v>1</v>
      </c>
      <c r="RUS38" s="304">
        <f t="shared" ref="RUS38" si="4239">EDATE(RUO38,RUR38)</f>
        <v>45523</v>
      </c>
      <c r="RUT38" s="340">
        <v>0</v>
      </c>
      <c r="RUU38" s="320">
        <f t="shared" ref="RUU38" si="4240">IF(RUV38&gt;=1,(RUT38/RUR38),0)</f>
        <v>0</v>
      </c>
      <c r="RUV38" s="292"/>
      <c r="RUW38" s="259" t="s">
        <v>55</v>
      </c>
      <c r="RUX38" s="256" t="s">
        <v>76</v>
      </c>
      <c r="RUY38" s="256" t="s">
        <v>77</v>
      </c>
      <c r="RUZ38" s="256" t="s">
        <v>78</v>
      </c>
      <c r="RVA38" s="256" t="s">
        <v>79</v>
      </c>
      <c r="RVB38" s="256" t="s">
        <v>80</v>
      </c>
      <c r="RVC38" s="256" t="s">
        <v>81</v>
      </c>
      <c r="RVD38" s="331"/>
      <c r="RVE38" s="290">
        <v>45492</v>
      </c>
      <c r="RVF38" s="339" t="s">
        <v>141</v>
      </c>
      <c r="RVG38" s="305"/>
      <c r="RVH38" s="305">
        <v>1</v>
      </c>
      <c r="RVI38" s="304">
        <f t="shared" ref="RVI38" si="4241">EDATE(RVE38,RVH38)</f>
        <v>45523</v>
      </c>
      <c r="RVJ38" s="340">
        <v>0</v>
      </c>
      <c r="RVK38" s="320">
        <f t="shared" ref="RVK38" si="4242">IF(RVL38&gt;=1,(RVJ38/RVH38),0)</f>
        <v>0</v>
      </c>
      <c r="RVL38" s="292"/>
      <c r="RVM38" s="259" t="s">
        <v>55</v>
      </c>
      <c r="RVN38" s="256" t="s">
        <v>76</v>
      </c>
      <c r="RVO38" s="256" t="s">
        <v>77</v>
      </c>
      <c r="RVP38" s="256" t="s">
        <v>78</v>
      </c>
      <c r="RVQ38" s="256" t="s">
        <v>79</v>
      </c>
      <c r="RVR38" s="256" t="s">
        <v>80</v>
      </c>
      <c r="RVS38" s="256" t="s">
        <v>81</v>
      </c>
      <c r="RVT38" s="331"/>
      <c r="RVU38" s="290">
        <v>45492</v>
      </c>
      <c r="RVV38" s="339" t="s">
        <v>141</v>
      </c>
      <c r="RVW38" s="305"/>
      <c r="RVX38" s="305">
        <v>1</v>
      </c>
      <c r="RVY38" s="304">
        <f t="shared" ref="RVY38" si="4243">EDATE(RVU38,RVX38)</f>
        <v>45523</v>
      </c>
      <c r="RVZ38" s="340">
        <v>0</v>
      </c>
      <c r="RWA38" s="320">
        <f t="shared" ref="RWA38" si="4244">IF(RWB38&gt;=1,(RVZ38/RVX38),0)</f>
        <v>0</v>
      </c>
      <c r="RWB38" s="292"/>
      <c r="RWC38" s="259" t="s">
        <v>55</v>
      </c>
      <c r="RWD38" s="256" t="s">
        <v>76</v>
      </c>
      <c r="RWE38" s="256" t="s">
        <v>77</v>
      </c>
      <c r="RWF38" s="256" t="s">
        <v>78</v>
      </c>
      <c r="RWG38" s="256" t="s">
        <v>79</v>
      </c>
      <c r="RWH38" s="256" t="s">
        <v>80</v>
      </c>
      <c r="RWI38" s="256" t="s">
        <v>81</v>
      </c>
      <c r="RWJ38" s="331"/>
      <c r="RWK38" s="290">
        <v>45492</v>
      </c>
      <c r="RWL38" s="339" t="s">
        <v>141</v>
      </c>
      <c r="RWM38" s="305"/>
      <c r="RWN38" s="305">
        <v>1</v>
      </c>
      <c r="RWO38" s="304">
        <f t="shared" ref="RWO38" si="4245">EDATE(RWK38,RWN38)</f>
        <v>45523</v>
      </c>
      <c r="RWP38" s="340">
        <v>0</v>
      </c>
      <c r="RWQ38" s="320">
        <f t="shared" ref="RWQ38" si="4246">IF(RWR38&gt;=1,(RWP38/RWN38),0)</f>
        <v>0</v>
      </c>
      <c r="RWR38" s="292"/>
      <c r="RWS38" s="259" t="s">
        <v>55</v>
      </c>
      <c r="RWT38" s="256" t="s">
        <v>76</v>
      </c>
      <c r="RWU38" s="256" t="s">
        <v>77</v>
      </c>
      <c r="RWV38" s="256" t="s">
        <v>78</v>
      </c>
      <c r="RWW38" s="256" t="s">
        <v>79</v>
      </c>
      <c r="RWX38" s="256" t="s">
        <v>80</v>
      </c>
      <c r="RWY38" s="256" t="s">
        <v>81</v>
      </c>
      <c r="RWZ38" s="331"/>
      <c r="RXA38" s="290">
        <v>45492</v>
      </c>
      <c r="RXB38" s="339" t="s">
        <v>141</v>
      </c>
      <c r="RXC38" s="305"/>
      <c r="RXD38" s="305">
        <v>1</v>
      </c>
      <c r="RXE38" s="304">
        <f t="shared" ref="RXE38" si="4247">EDATE(RXA38,RXD38)</f>
        <v>45523</v>
      </c>
      <c r="RXF38" s="340">
        <v>0</v>
      </c>
      <c r="RXG38" s="320">
        <f t="shared" ref="RXG38" si="4248">IF(RXH38&gt;=1,(RXF38/RXD38),0)</f>
        <v>0</v>
      </c>
      <c r="RXH38" s="292"/>
      <c r="RXI38" s="259" t="s">
        <v>55</v>
      </c>
      <c r="RXJ38" s="256" t="s">
        <v>76</v>
      </c>
      <c r="RXK38" s="256" t="s">
        <v>77</v>
      </c>
      <c r="RXL38" s="256" t="s">
        <v>78</v>
      </c>
      <c r="RXM38" s="256" t="s">
        <v>79</v>
      </c>
      <c r="RXN38" s="256" t="s">
        <v>80</v>
      </c>
      <c r="RXO38" s="256" t="s">
        <v>81</v>
      </c>
      <c r="RXP38" s="331"/>
      <c r="RXQ38" s="290">
        <v>45492</v>
      </c>
      <c r="RXR38" s="339" t="s">
        <v>141</v>
      </c>
      <c r="RXS38" s="305"/>
      <c r="RXT38" s="305">
        <v>1</v>
      </c>
      <c r="RXU38" s="304">
        <f t="shared" ref="RXU38" si="4249">EDATE(RXQ38,RXT38)</f>
        <v>45523</v>
      </c>
      <c r="RXV38" s="340">
        <v>0</v>
      </c>
      <c r="RXW38" s="320">
        <f t="shared" ref="RXW38" si="4250">IF(RXX38&gt;=1,(RXV38/RXT38),0)</f>
        <v>0</v>
      </c>
      <c r="RXX38" s="292"/>
      <c r="RXY38" s="259" t="s">
        <v>55</v>
      </c>
      <c r="RXZ38" s="256" t="s">
        <v>76</v>
      </c>
      <c r="RYA38" s="256" t="s">
        <v>77</v>
      </c>
      <c r="RYB38" s="256" t="s">
        <v>78</v>
      </c>
      <c r="RYC38" s="256" t="s">
        <v>79</v>
      </c>
      <c r="RYD38" s="256" t="s">
        <v>80</v>
      </c>
      <c r="RYE38" s="256" t="s">
        <v>81</v>
      </c>
      <c r="RYF38" s="331"/>
      <c r="RYG38" s="290">
        <v>45492</v>
      </c>
      <c r="RYH38" s="339" t="s">
        <v>141</v>
      </c>
      <c r="RYI38" s="305"/>
      <c r="RYJ38" s="305">
        <v>1</v>
      </c>
      <c r="RYK38" s="304">
        <f t="shared" ref="RYK38" si="4251">EDATE(RYG38,RYJ38)</f>
        <v>45523</v>
      </c>
      <c r="RYL38" s="340">
        <v>0</v>
      </c>
      <c r="RYM38" s="320">
        <f t="shared" ref="RYM38" si="4252">IF(RYN38&gt;=1,(RYL38/RYJ38),0)</f>
        <v>0</v>
      </c>
      <c r="RYN38" s="292"/>
      <c r="RYO38" s="259" t="s">
        <v>55</v>
      </c>
      <c r="RYP38" s="256" t="s">
        <v>76</v>
      </c>
      <c r="RYQ38" s="256" t="s">
        <v>77</v>
      </c>
      <c r="RYR38" s="256" t="s">
        <v>78</v>
      </c>
      <c r="RYS38" s="256" t="s">
        <v>79</v>
      </c>
      <c r="RYT38" s="256" t="s">
        <v>80</v>
      </c>
      <c r="RYU38" s="256" t="s">
        <v>81</v>
      </c>
      <c r="RYV38" s="331"/>
      <c r="RYW38" s="290">
        <v>45492</v>
      </c>
      <c r="RYX38" s="339" t="s">
        <v>141</v>
      </c>
      <c r="RYY38" s="305"/>
      <c r="RYZ38" s="305">
        <v>1</v>
      </c>
      <c r="RZA38" s="304">
        <f t="shared" ref="RZA38" si="4253">EDATE(RYW38,RYZ38)</f>
        <v>45523</v>
      </c>
      <c r="RZB38" s="340">
        <v>0</v>
      </c>
      <c r="RZC38" s="320">
        <f t="shared" ref="RZC38" si="4254">IF(RZD38&gt;=1,(RZB38/RYZ38),0)</f>
        <v>0</v>
      </c>
      <c r="RZD38" s="292"/>
      <c r="RZE38" s="259" t="s">
        <v>55</v>
      </c>
      <c r="RZF38" s="256" t="s">
        <v>76</v>
      </c>
      <c r="RZG38" s="256" t="s">
        <v>77</v>
      </c>
      <c r="RZH38" s="256" t="s">
        <v>78</v>
      </c>
      <c r="RZI38" s="256" t="s">
        <v>79</v>
      </c>
      <c r="RZJ38" s="256" t="s">
        <v>80</v>
      </c>
      <c r="RZK38" s="256" t="s">
        <v>81</v>
      </c>
      <c r="RZL38" s="331"/>
      <c r="RZM38" s="290">
        <v>45492</v>
      </c>
      <c r="RZN38" s="339" t="s">
        <v>141</v>
      </c>
      <c r="RZO38" s="305"/>
      <c r="RZP38" s="305">
        <v>1</v>
      </c>
      <c r="RZQ38" s="304">
        <f t="shared" ref="RZQ38" si="4255">EDATE(RZM38,RZP38)</f>
        <v>45523</v>
      </c>
      <c r="RZR38" s="340">
        <v>0</v>
      </c>
      <c r="RZS38" s="320">
        <f t="shared" ref="RZS38" si="4256">IF(RZT38&gt;=1,(RZR38/RZP38),0)</f>
        <v>0</v>
      </c>
      <c r="RZT38" s="292"/>
      <c r="RZU38" s="259" t="s">
        <v>55</v>
      </c>
      <c r="RZV38" s="256" t="s">
        <v>76</v>
      </c>
      <c r="RZW38" s="256" t="s">
        <v>77</v>
      </c>
      <c r="RZX38" s="256" t="s">
        <v>78</v>
      </c>
      <c r="RZY38" s="256" t="s">
        <v>79</v>
      </c>
      <c r="RZZ38" s="256" t="s">
        <v>80</v>
      </c>
      <c r="SAA38" s="256" t="s">
        <v>81</v>
      </c>
      <c r="SAB38" s="331"/>
      <c r="SAC38" s="290">
        <v>45492</v>
      </c>
      <c r="SAD38" s="339" t="s">
        <v>141</v>
      </c>
      <c r="SAE38" s="305"/>
      <c r="SAF38" s="305">
        <v>1</v>
      </c>
      <c r="SAG38" s="304">
        <f t="shared" ref="SAG38" si="4257">EDATE(SAC38,SAF38)</f>
        <v>45523</v>
      </c>
      <c r="SAH38" s="340">
        <v>0</v>
      </c>
      <c r="SAI38" s="320">
        <f t="shared" ref="SAI38" si="4258">IF(SAJ38&gt;=1,(SAH38/SAF38),0)</f>
        <v>0</v>
      </c>
      <c r="SAJ38" s="292"/>
      <c r="SAK38" s="259" t="s">
        <v>55</v>
      </c>
      <c r="SAL38" s="256" t="s">
        <v>76</v>
      </c>
      <c r="SAM38" s="256" t="s">
        <v>77</v>
      </c>
      <c r="SAN38" s="256" t="s">
        <v>78</v>
      </c>
      <c r="SAO38" s="256" t="s">
        <v>79</v>
      </c>
      <c r="SAP38" s="256" t="s">
        <v>80</v>
      </c>
      <c r="SAQ38" s="256" t="s">
        <v>81</v>
      </c>
      <c r="SAR38" s="331"/>
      <c r="SAS38" s="290">
        <v>45492</v>
      </c>
      <c r="SAT38" s="339" t="s">
        <v>141</v>
      </c>
      <c r="SAU38" s="305"/>
      <c r="SAV38" s="305">
        <v>1</v>
      </c>
      <c r="SAW38" s="304">
        <f t="shared" ref="SAW38" si="4259">EDATE(SAS38,SAV38)</f>
        <v>45523</v>
      </c>
      <c r="SAX38" s="340">
        <v>0</v>
      </c>
      <c r="SAY38" s="320">
        <f t="shared" ref="SAY38" si="4260">IF(SAZ38&gt;=1,(SAX38/SAV38),0)</f>
        <v>0</v>
      </c>
      <c r="SAZ38" s="292"/>
      <c r="SBA38" s="259" t="s">
        <v>55</v>
      </c>
      <c r="SBB38" s="256" t="s">
        <v>76</v>
      </c>
      <c r="SBC38" s="256" t="s">
        <v>77</v>
      </c>
      <c r="SBD38" s="256" t="s">
        <v>78</v>
      </c>
      <c r="SBE38" s="256" t="s">
        <v>79</v>
      </c>
      <c r="SBF38" s="256" t="s">
        <v>80</v>
      </c>
      <c r="SBG38" s="256" t="s">
        <v>81</v>
      </c>
      <c r="SBH38" s="331"/>
      <c r="SBI38" s="290">
        <v>45492</v>
      </c>
      <c r="SBJ38" s="339" t="s">
        <v>141</v>
      </c>
      <c r="SBK38" s="305"/>
      <c r="SBL38" s="305">
        <v>1</v>
      </c>
      <c r="SBM38" s="304">
        <f t="shared" ref="SBM38" si="4261">EDATE(SBI38,SBL38)</f>
        <v>45523</v>
      </c>
      <c r="SBN38" s="340">
        <v>0</v>
      </c>
      <c r="SBO38" s="320">
        <f t="shared" ref="SBO38" si="4262">IF(SBP38&gt;=1,(SBN38/SBL38),0)</f>
        <v>0</v>
      </c>
      <c r="SBP38" s="292"/>
      <c r="SBQ38" s="259" t="s">
        <v>55</v>
      </c>
      <c r="SBR38" s="256" t="s">
        <v>76</v>
      </c>
      <c r="SBS38" s="256" t="s">
        <v>77</v>
      </c>
      <c r="SBT38" s="256" t="s">
        <v>78</v>
      </c>
      <c r="SBU38" s="256" t="s">
        <v>79</v>
      </c>
      <c r="SBV38" s="256" t="s">
        <v>80</v>
      </c>
      <c r="SBW38" s="256" t="s">
        <v>81</v>
      </c>
      <c r="SBX38" s="331"/>
      <c r="SBY38" s="290">
        <v>45492</v>
      </c>
      <c r="SBZ38" s="339" t="s">
        <v>141</v>
      </c>
      <c r="SCA38" s="305"/>
      <c r="SCB38" s="305">
        <v>1</v>
      </c>
      <c r="SCC38" s="304">
        <f t="shared" ref="SCC38" si="4263">EDATE(SBY38,SCB38)</f>
        <v>45523</v>
      </c>
      <c r="SCD38" s="340">
        <v>0</v>
      </c>
      <c r="SCE38" s="320">
        <f t="shared" ref="SCE38" si="4264">IF(SCF38&gt;=1,(SCD38/SCB38),0)</f>
        <v>0</v>
      </c>
      <c r="SCF38" s="292"/>
      <c r="SCG38" s="259" t="s">
        <v>55</v>
      </c>
      <c r="SCH38" s="256" t="s">
        <v>76</v>
      </c>
      <c r="SCI38" s="256" t="s">
        <v>77</v>
      </c>
      <c r="SCJ38" s="256" t="s">
        <v>78</v>
      </c>
      <c r="SCK38" s="256" t="s">
        <v>79</v>
      </c>
      <c r="SCL38" s="256" t="s">
        <v>80</v>
      </c>
      <c r="SCM38" s="256" t="s">
        <v>81</v>
      </c>
      <c r="SCN38" s="331"/>
      <c r="SCO38" s="290">
        <v>45492</v>
      </c>
      <c r="SCP38" s="339" t="s">
        <v>141</v>
      </c>
      <c r="SCQ38" s="305"/>
      <c r="SCR38" s="305">
        <v>1</v>
      </c>
      <c r="SCS38" s="304">
        <f t="shared" ref="SCS38" si="4265">EDATE(SCO38,SCR38)</f>
        <v>45523</v>
      </c>
      <c r="SCT38" s="340">
        <v>0</v>
      </c>
      <c r="SCU38" s="320">
        <f t="shared" ref="SCU38" si="4266">IF(SCV38&gt;=1,(SCT38/SCR38),0)</f>
        <v>0</v>
      </c>
      <c r="SCV38" s="292"/>
      <c r="SCW38" s="259" t="s">
        <v>55</v>
      </c>
      <c r="SCX38" s="256" t="s">
        <v>76</v>
      </c>
      <c r="SCY38" s="256" t="s">
        <v>77</v>
      </c>
      <c r="SCZ38" s="256" t="s">
        <v>78</v>
      </c>
      <c r="SDA38" s="256" t="s">
        <v>79</v>
      </c>
      <c r="SDB38" s="256" t="s">
        <v>80</v>
      </c>
      <c r="SDC38" s="256" t="s">
        <v>81</v>
      </c>
      <c r="SDD38" s="331"/>
      <c r="SDE38" s="290">
        <v>45492</v>
      </c>
      <c r="SDF38" s="339" t="s">
        <v>141</v>
      </c>
      <c r="SDG38" s="305"/>
      <c r="SDH38" s="305">
        <v>1</v>
      </c>
      <c r="SDI38" s="304">
        <f t="shared" ref="SDI38" si="4267">EDATE(SDE38,SDH38)</f>
        <v>45523</v>
      </c>
      <c r="SDJ38" s="340">
        <v>0</v>
      </c>
      <c r="SDK38" s="320">
        <f t="shared" ref="SDK38" si="4268">IF(SDL38&gt;=1,(SDJ38/SDH38),0)</f>
        <v>0</v>
      </c>
      <c r="SDL38" s="292"/>
      <c r="SDM38" s="259" t="s">
        <v>55</v>
      </c>
      <c r="SDN38" s="256" t="s">
        <v>76</v>
      </c>
      <c r="SDO38" s="256" t="s">
        <v>77</v>
      </c>
      <c r="SDP38" s="256" t="s">
        <v>78</v>
      </c>
      <c r="SDQ38" s="256" t="s">
        <v>79</v>
      </c>
      <c r="SDR38" s="256" t="s">
        <v>80</v>
      </c>
      <c r="SDS38" s="256" t="s">
        <v>81</v>
      </c>
      <c r="SDT38" s="331"/>
      <c r="SDU38" s="290">
        <v>45492</v>
      </c>
      <c r="SDV38" s="339" t="s">
        <v>141</v>
      </c>
      <c r="SDW38" s="305"/>
      <c r="SDX38" s="305">
        <v>1</v>
      </c>
      <c r="SDY38" s="304">
        <f t="shared" ref="SDY38" si="4269">EDATE(SDU38,SDX38)</f>
        <v>45523</v>
      </c>
      <c r="SDZ38" s="340">
        <v>0</v>
      </c>
      <c r="SEA38" s="320">
        <f t="shared" ref="SEA38" si="4270">IF(SEB38&gt;=1,(SDZ38/SDX38),0)</f>
        <v>0</v>
      </c>
      <c r="SEB38" s="292"/>
      <c r="SEC38" s="259" t="s">
        <v>55</v>
      </c>
      <c r="SED38" s="256" t="s">
        <v>76</v>
      </c>
      <c r="SEE38" s="256" t="s">
        <v>77</v>
      </c>
      <c r="SEF38" s="256" t="s">
        <v>78</v>
      </c>
      <c r="SEG38" s="256" t="s">
        <v>79</v>
      </c>
      <c r="SEH38" s="256" t="s">
        <v>80</v>
      </c>
      <c r="SEI38" s="256" t="s">
        <v>81</v>
      </c>
      <c r="SEJ38" s="331"/>
      <c r="SEK38" s="290">
        <v>45492</v>
      </c>
      <c r="SEL38" s="339" t="s">
        <v>141</v>
      </c>
      <c r="SEM38" s="305"/>
      <c r="SEN38" s="305">
        <v>1</v>
      </c>
      <c r="SEO38" s="304">
        <f t="shared" ref="SEO38" si="4271">EDATE(SEK38,SEN38)</f>
        <v>45523</v>
      </c>
      <c r="SEP38" s="340">
        <v>0</v>
      </c>
      <c r="SEQ38" s="320">
        <f t="shared" ref="SEQ38" si="4272">IF(SER38&gt;=1,(SEP38/SEN38),0)</f>
        <v>0</v>
      </c>
      <c r="SER38" s="292"/>
      <c r="SES38" s="259" t="s">
        <v>55</v>
      </c>
      <c r="SET38" s="256" t="s">
        <v>76</v>
      </c>
      <c r="SEU38" s="256" t="s">
        <v>77</v>
      </c>
      <c r="SEV38" s="256" t="s">
        <v>78</v>
      </c>
      <c r="SEW38" s="256" t="s">
        <v>79</v>
      </c>
      <c r="SEX38" s="256" t="s">
        <v>80</v>
      </c>
      <c r="SEY38" s="256" t="s">
        <v>81</v>
      </c>
      <c r="SEZ38" s="331"/>
      <c r="SFA38" s="290">
        <v>45492</v>
      </c>
      <c r="SFB38" s="339" t="s">
        <v>141</v>
      </c>
      <c r="SFC38" s="305"/>
      <c r="SFD38" s="305">
        <v>1</v>
      </c>
      <c r="SFE38" s="304">
        <f t="shared" ref="SFE38" si="4273">EDATE(SFA38,SFD38)</f>
        <v>45523</v>
      </c>
      <c r="SFF38" s="340">
        <v>0</v>
      </c>
      <c r="SFG38" s="320">
        <f t="shared" ref="SFG38" si="4274">IF(SFH38&gt;=1,(SFF38/SFD38),0)</f>
        <v>0</v>
      </c>
      <c r="SFH38" s="292"/>
      <c r="SFI38" s="259" t="s">
        <v>55</v>
      </c>
      <c r="SFJ38" s="256" t="s">
        <v>76</v>
      </c>
      <c r="SFK38" s="256" t="s">
        <v>77</v>
      </c>
      <c r="SFL38" s="256" t="s">
        <v>78</v>
      </c>
      <c r="SFM38" s="256" t="s">
        <v>79</v>
      </c>
      <c r="SFN38" s="256" t="s">
        <v>80</v>
      </c>
      <c r="SFO38" s="256" t="s">
        <v>81</v>
      </c>
      <c r="SFP38" s="331"/>
      <c r="SFQ38" s="290">
        <v>45492</v>
      </c>
      <c r="SFR38" s="339" t="s">
        <v>141</v>
      </c>
      <c r="SFS38" s="305"/>
      <c r="SFT38" s="305">
        <v>1</v>
      </c>
      <c r="SFU38" s="304">
        <f t="shared" ref="SFU38" si="4275">EDATE(SFQ38,SFT38)</f>
        <v>45523</v>
      </c>
      <c r="SFV38" s="340">
        <v>0</v>
      </c>
      <c r="SFW38" s="320">
        <f t="shared" ref="SFW38" si="4276">IF(SFX38&gt;=1,(SFV38/SFT38),0)</f>
        <v>0</v>
      </c>
      <c r="SFX38" s="292"/>
      <c r="SFY38" s="259" t="s">
        <v>55</v>
      </c>
      <c r="SFZ38" s="256" t="s">
        <v>76</v>
      </c>
      <c r="SGA38" s="256" t="s">
        <v>77</v>
      </c>
      <c r="SGB38" s="256" t="s">
        <v>78</v>
      </c>
      <c r="SGC38" s="256" t="s">
        <v>79</v>
      </c>
      <c r="SGD38" s="256" t="s">
        <v>80</v>
      </c>
      <c r="SGE38" s="256" t="s">
        <v>81</v>
      </c>
      <c r="SGF38" s="331"/>
      <c r="SGG38" s="290">
        <v>45492</v>
      </c>
      <c r="SGH38" s="339" t="s">
        <v>141</v>
      </c>
      <c r="SGI38" s="305"/>
      <c r="SGJ38" s="305">
        <v>1</v>
      </c>
      <c r="SGK38" s="304">
        <f t="shared" ref="SGK38" si="4277">EDATE(SGG38,SGJ38)</f>
        <v>45523</v>
      </c>
      <c r="SGL38" s="340">
        <v>0</v>
      </c>
      <c r="SGM38" s="320">
        <f t="shared" ref="SGM38" si="4278">IF(SGN38&gt;=1,(SGL38/SGJ38),0)</f>
        <v>0</v>
      </c>
      <c r="SGN38" s="292"/>
      <c r="SGO38" s="259" t="s">
        <v>55</v>
      </c>
      <c r="SGP38" s="256" t="s">
        <v>76</v>
      </c>
      <c r="SGQ38" s="256" t="s">
        <v>77</v>
      </c>
      <c r="SGR38" s="256" t="s">
        <v>78</v>
      </c>
      <c r="SGS38" s="256" t="s">
        <v>79</v>
      </c>
      <c r="SGT38" s="256" t="s">
        <v>80</v>
      </c>
      <c r="SGU38" s="256" t="s">
        <v>81</v>
      </c>
      <c r="SGV38" s="331"/>
      <c r="SGW38" s="290">
        <v>45492</v>
      </c>
      <c r="SGX38" s="339" t="s">
        <v>141</v>
      </c>
      <c r="SGY38" s="305"/>
      <c r="SGZ38" s="305">
        <v>1</v>
      </c>
      <c r="SHA38" s="304">
        <f t="shared" ref="SHA38" si="4279">EDATE(SGW38,SGZ38)</f>
        <v>45523</v>
      </c>
      <c r="SHB38" s="340">
        <v>0</v>
      </c>
      <c r="SHC38" s="320">
        <f t="shared" ref="SHC38" si="4280">IF(SHD38&gt;=1,(SHB38/SGZ38),0)</f>
        <v>0</v>
      </c>
      <c r="SHD38" s="292"/>
      <c r="SHE38" s="259" t="s">
        <v>55</v>
      </c>
      <c r="SHF38" s="256" t="s">
        <v>76</v>
      </c>
      <c r="SHG38" s="256" t="s">
        <v>77</v>
      </c>
      <c r="SHH38" s="256" t="s">
        <v>78</v>
      </c>
      <c r="SHI38" s="256" t="s">
        <v>79</v>
      </c>
      <c r="SHJ38" s="256" t="s">
        <v>80</v>
      </c>
      <c r="SHK38" s="256" t="s">
        <v>81</v>
      </c>
      <c r="SHL38" s="331"/>
      <c r="SHM38" s="290">
        <v>45492</v>
      </c>
      <c r="SHN38" s="339" t="s">
        <v>141</v>
      </c>
      <c r="SHO38" s="305"/>
      <c r="SHP38" s="305">
        <v>1</v>
      </c>
      <c r="SHQ38" s="304">
        <f t="shared" ref="SHQ38" si="4281">EDATE(SHM38,SHP38)</f>
        <v>45523</v>
      </c>
      <c r="SHR38" s="340">
        <v>0</v>
      </c>
      <c r="SHS38" s="320">
        <f t="shared" ref="SHS38" si="4282">IF(SHT38&gt;=1,(SHR38/SHP38),0)</f>
        <v>0</v>
      </c>
      <c r="SHT38" s="292"/>
      <c r="SHU38" s="259" t="s">
        <v>55</v>
      </c>
      <c r="SHV38" s="256" t="s">
        <v>76</v>
      </c>
      <c r="SHW38" s="256" t="s">
        <v>77</v>
      </c>
      <c r="SHX38" s="256" t="s">
        <v>78</v>
      </c>
      <c r="SHY38" s="256" t="s">
        <v>79</v>
      </c>
      <c r="SHZ38" s="256" t="s">
        <v>80</v>
      </c>
      <c r="SIA38" s="256" t="s">
        <v>81</v>
      </c>
      <c r="SIB38" s="331"/>
      <c r="SIC38" s="290">
        <v>45492</v>
      </c>
      <c r="SID38" s="339" t="s">
        <v>141</v>
      </c>
      <c r="SIE38" s="305"/>
      <c r="SIF38" s="305">
        <v>1</v>
      </c>
      <c r="SIG38" s="304">
        <f t="shared" ref="SIG38" si="4283">EDATE(SIC38,SIF38)</f>
        <v>45523</v>
      </c>
      <c r="SIH38" s="340">
        <v>0</v>
      </c>
      <c r="SII38" s="320">
        <f t="shared" ref="SII38" si="4284">IF(SIJ38&gt;=1,(SIH38/SIF38),0)</f>
        <v>0</v>
      </c>
      <c r="SIJ38" s="292"/>
      <c r="SIK38" s="259" t="s">
        <v>55</v>
      </c>
      <c r="SIL38" s="256" t="s">
        <v>76</v>
      </c>
      <c r="SIM38" s="256" t="s">
        <v>77</v>
      </c>
      <c r="SIN38" s="256" t="s">
        <v>78</v>
      </c>
      <c r="SIO38" s="256" t="s">
        <v>79</v>
      </c>
      <c r="SIP38" s="256" t="s">
        <v>80</v>
      </c>
      <c r="SIQ38" s="256" t="s">
        <v>81</v>
      </c>
      <c r="SIR38" s="331"/>
      <c r="SIS38" s="290">
        <v>45492</v>
      </c>
      <c r="SIT38" s="339" t="s">
        <v>141</v>
      </c>
      <c r="SIU38" s="305"/>
      <c r="SIV38" s="305">
        <v>1</v>
      </c>
      <c r="SIW38" s="304">
        <f t="shared" ref="SIW38" si="4285">EDATE(SIS38,SIV38)</f>
        <v>45523</v>
      </c>
      <c r="SIX38" s="340">
        <v>0</v>
      </c>
      <c r="SIY38" s="320">
        <f t="shared" ref="SIY38" si="4286">IF(SIZ38&gt;=1,(SIX38/SIV38),0)</f>
        <v>0</v>
      </c>
      <c r="SIZ38" s="292"/>
      <c r="SJA38" s="259" t="s">
        <v>55</v>
      </c>
      <c r="SJB38" s="256" t="s">
        <v>76</v>
      </c>
      <c r="SJC38" s="256" t="s">
        <v>77</v>
      </c>
      <c r="SJD38" s="256" t="s">
        <v>78</v>
      </c>
      <c r="SJE38" s="256" t="s">
        <v>79</v>
      </c>
      <c r="SJF38" s="256" t="s">
        <v>80</v>
      </c>
      <c r="SJG38" s="256" t="s">
        <v>81</v>
      </c>
      <c r="SJH38" s="331"/>
      <c r="SJI38" s="290">
        <v>45492</v>
      </c>
      <c r="SJJ38" s="339" t="s">
        <v>141</v>
      </c>
      <c r="SJK38" s="305"/>
      <c r="SJL38" s="305">
        <v>1</v>
      </c>
      <c r="SJM38" s="304">
        <f t="shared" ref="SJM38" si="4287">EDATE(SJI38,SJL38)</f>
        <v>45523</v>
      </c>
      <c r="SJN38" s="340">
        <v>0</v>
      </c>
      <c r="SJO38" s="320">
        <f t="shared" ref="SJO38" si="4288">IF(SJP38&gt;=1,(SJN38/SJL38),0)</f>
        <v>0</v>
      </c>
      <c r="SJP38" s="292"/>
      <c r="SJQ38" s="259" t="s">
        <v>55</v>
      </c>
      <c r="SJR38" s="256" t="s">
        <v>76</v>
      </c>
      <c r="SJS38" s="256" t="s">
        <v>77</v>
      </c>
      <c r="SJT38" s="256" t="s">
        <v>78</v>
      </c>
      <c r="SJU38" s="256" t="s">
        <v>79</v>
      </c>
      <c r="SJV38" s="256" t="s">
        <v>80</v>
      </c>
      <c r="SJW38" s="256" t="s">
        <v>81</v>
      </c>
      <c r="SJX38" s="331"/>
      <c r="SJY38" s="290">
        <v>45492</v>
      </c>
      <c r="SJZ38" s="339" t="s">
        <v>141</v>
      </c>
      <c r="SKA38" s="305"/>
      <c r="SKB38" s="305">
        <v>1</v>
      </c>
      <c r="SKC38" s="304">
        <f t="shared" ref="SKC38" si="4289">EDATE(SJY38,SKB38)</f>
        <v>45523</v>
      </c>
      <c r="SKD38" s="340">
        <v>0</v>
      </c>
      <c r="SKE38" s="320">
        <f t="shared" ref="SKE38" si="4290">IF(SKF38&gt;=1,(SKD38/SKB38),0)</f>
        <v>0</v>
      </c>
      <c r="SKF38" s="292"/>
      <c r="SKG38" s="259" t="s">
        <v>55</v>
      </c>
      <c r="SKH38" s="256" t="s">
        <v>76</v>
      </c>
      <c r="SKI38" s="256" t="s">
        <v>77</v>
      </c>
      <c r="SKJ38" s="256" t="s">
        <v>78</v>
      </c>
      <c r="SKK38" s="256" t="s">
        <v>79</v>
      </c>
      <c r="SKL38" s="256" t="s">
        <v>80</v>
      </c>
      <c r="SKM38" s="256" t="s">
        <v>81</v>
      </c>
      <c r="SKN38" s="331"/>
      <c r="SKO38" s="290">
        <v>45492</v>
      </c>
      <c r="SKP38" s="339" t="s">
        <v>141</v>
      </c>
      <c r="SKQ38" s="305"/>
      <c r="SKR38" s="305">
        <v>1</v>
      </c>
      <c r="SKS38" s="304">
        <f t="shared" ref="SKS38" si="4291">EDATE(SKO38,SKR38)</f>
        <v>45523</v>
      </c>
      <c r="SKT38" s="340">
        <v>0</v>
      </c>
      <c r="SKU38" s="320">
        <f t="shared" ref="SKU38" si="4292">IF(SKV38&gt;=1,(SKT38/SKR38),0)</f>
        <v>0</v>
      </c>
      <c r="SKV38" s="292"/>
      <c r="SKW38" s="259" t="s">
        <v>55</v>
      </c>
      <c r="SKX38" s="256" t="s">
        <v>76</v>
      </c>
      <c r="SKY38" s="256" t="s">
        <v>77</v>
      </c>
      <c r="SKZ38" s="256" t="s">
        <v>78</v>
      </c>
      <c r="SLA38" s="256" t="s">
        <v>79</v>
      </c>
      <c r="SLB38" s="256" t="s">
        <v>80</v>
      </c>
      <c r="SLC38" s="256" t="s">
        <v>81</v>
      </c>
      <c r="SLD38" s="331"/>
      <c r="SLE38" s="290">
        <v>45492</v>
      </c>
      <c r="SLF38" s="339" t="s">
        <v>141</v>
      </c>
      <c r="SLG38" s="305"/>
      <c r="SLH38" s="305">
        <v>1</v>
      </c>
      <c r="SLI38" s="304">
        <f t="shared" ref="SLI38" si="4293">EDATE(SLE38,SLH38)</f>
        <v>45523</v>
      </c>
      <c r="SLJ38" s="340">
        <v>0</v>
      </c>
      <c r="SLK38" s="320">
        <f t="shared" ref="SLK38" si="4294">IF(SLL38&gt;=1,(SLJ38/SLH38),0)</f>
        <v>0</v>
      </c>
      <c r="SLL38" s="292"/>
      <c r="SLM38" s="259" t="s">
        <v>55</v>
      </c>
      <c r="SLN38" s="256" t="s">
        <v>76</v>
      </c>
      <c r="SLO38" s="256" t="s">
        <v>77</v>
      </c>
      <c r="SLP38" s="256" t="s">
        <v>78</v>
      </c>
      <c r="SLQ38" s="256" t="s">
        <v>79</v>
      </c>
      <c r="SLR38" s="256" t="s">
        <v>80</v>
      </c>
      <c r="SLS38" s="256" t="s">
        <v>81</v>
      </c>
      <c r="SLT38" s="331"/>
      <c r="SLU38" s="290">
        <v>45492</v>
      </c>
      <c r="SLV38" s="339" t="s">
        <v>141</v>
      </c>
      <c r="SLW38" s="305"/>
      <c r="SLX38" s="305">
        <v>1</v>
      </c>
      <c r="SLY38" s="304">
        <f t="shared" ref="SLY38" si="4295">EDATE(SLU38,SLX38)</f>
        <v>45523</v>
      </c>
      <c r="SLZ38" s="340">
        <v>0</v>
      </c>
      <c r="SMA38" s="320">
        <f t="shared" ref="SMA38" si="4296">IF(SMB38&gt;=1,(SLZ38/SLX38),0)</f>
        <v>0</v>
      </c>
      <c r="SMB38" s="292"/>
      <c r="SMC38" s="259" t="s">
        <v>55</v>
      </c>
      <c r="SMD38" s="256" t="s">
        <v>76</v>
      </c>
      <c r="SME38" s="256" t="s">
        <v>77</v>
      </c>
      <c r="SMF38" s="256" t="s">
        <v>78</v>
      </c>
      <c r="SMG38" s="256" t="s">
        <v>79</v>
      </c>
      <c r="SMH38" s="256" t="s">
        <v>80</v>
      </c>
      <c r="SMI38" s="256" t="s">
        <v>81</v>
      </c>
      <c r="SMJ38" s="331"/>
      <c r="SMK38" s="290">
        <v>45492</v>
      </c>
      <c r="SML38" s="339" t="s">
        <v>141</v>
      </c>
      <c r="SMM38" s="305"/>
      <c r="SMN38" s="305">
        <v>1</v>
      </c>
      <c r="SMO38" s="304">
        <f t="shared" ref="SMO38" si="4297">EDATE(SMK38,SMN38)</f>
        <v>45523</v>
      </c>
      <c r="SMP38" s="340">
        <v>0</v>
      </c>
      <c r="SMQ38" s="320">
        <f t="shared" ref="SMQ38" si="4298">IF(SMR38&gt;=1,(SMP38/SMN38),0)</f>
        <v>0</v>
      </c>
      <c r="SMR38" s="292"/>
      <c r="SMS38" s="259" t="s">
        <v>55</v>
      </c>
      <c r="SMT38" s="256" t="s">
        <v>76</v>
      </c>
      <c r="SMU38" s="256" t="s">
        <v>77</v>
      </c>
      <c r="SMV38" s="256" t="s">
        <v>78</v>
      </c>
      <c r="SMW38" s="256" t="s">
        <v>79</v>
      </c>
      <c r="SMX38" s="256" t="s">
        <v>80</v>
      </c>
      <c r="SMY38" s="256" t="s">
        <v>81</v>
      </c>
      <c r="SMZ38" s="331"/>
      <c r="SNA38" s="290">
        <v>45492</v>
      </c>
      <c r="SNB38" s="339" t="s">
        <v>141</v>
      </c>
      <c r="SNC38" s="305"/>
      <c r="SND38" s="305">
        <v>1</v>
      </c>
      <c r="SNE38" s="304">
        <f t="shared" ref="SNE38" si="4299">EDATE(SNA38,SND38)</f>
        <v>45523</v>
      </c>
      <c r="SNF38" s="340">
        <v>0</v>
      </c>
      <c r="SNG38" s="320">
        <f t="shared" ref="SNG38" si="4300">IF(SNH38&gt;=1,(SNF38/SND38),0)</f>
        <v>0</v>
      </c>
      <c r="SNH38" s="292"/>
      <c r="SNI38" s="259" t="s">
        <v>55</v>
      </c>
      <c r="SNJ38" s="256" t="s">
        <v>76</v>
      </c>
      <c r="SNK38" s="256" t="s">
        <v>77</v>
      </c>
      <c r="SNL38" s="256" t="s">
        <v>78</v>
      </c>
      <c r="SNM38" s="256" t="s">
        <v>79</v>
      </c>
      <c r="SNN38" s="256" t="s">
        <v>80</v>
      </c>
      <c r="SNO38" s="256" t="s">
        <v>81</v>
      </c>
      <c r="SNP38" s="331"/>
      <c r="SNQ38" s="290">
        <v>45492</v>
      </c>
      <c r="SNR38" s="339" t="s">
        <v>141</v>
      </c>
      <c r="SNS38" s="305"/>
      <c r="SNT38" s="305">
        <v>1</v>
      </c>
      <c r="SNU38" s="304">
        <f t="shared" ref="SNU38" si="4301">EDATE(SNQ38,SNT38)</f>
        <v>45523</v>
      </c>
      <c r="SNV38" s="340">
        <v>0</v>
      </c>
      <c r="SNW38" s="320">
        <f t="shared" ref="SNW38" si="4302">IF(SNX38&gt;=1,(SNV38/SNT38),0)</f>
        <v>0</v>
      </c>
      <c r="SNX38" s="292"/>
      <c r="SNY38" s="259" t="s">
        <v>55</v>
      </c>
      <c r="SNZ38" s="256" t="s">
        <v>76</v>
      </c>
      <c r="SOA38" s="256" t="s">
        <v>77</v>
      </c>
      <c r="SOB38" s="256" t="s">
        <v>78</v>
      </c>
      <c r="SOC38" s="256" t="s">
        <v>79</v>
      </c>
      <c r="SOD38" s="256" t="s">
        <v>80</v>
      </c>
      <c r="SOE38" s="256" t="s">
        <v>81</v>
      </c>
      <c r="SOF38" s="331"/>
      <c r="SOG38" s="290">
        <v>45492</v>
      </c>
      <c r="SOH38" s="339" t="s">
        <v>141</v>
      </c>
      <c r="SOI38" s="305"/>
      <c r="SOJ38" s="305">
        <v>1</v>
      </c>
      <c r="SOK38" s="304">
        <f t="shared" ref="SOK38" si="4303">EDATE(SOG38,SOJ38)</f>
        <v>45523</v>
      </c>
      <c r="SOL38" s="340">
        <v>0</v>
      </c>
      <c r="SOM38" s="320">
        <f t="shared" ref="SOM38" si="4304">IF(SON38&gt;=1,(SOL38/SOJ38),0)</f>
        <v>0</v>
      </c>
      <c r="SON38" s="292"/>
      <c r="SOO38" s="259" t="s">
        <v>55</v>
      </c>
      <c r="SOP38" s="256" t="s">
        <v>76</v>
      </c>
      <c r="SOQ38" s="256" t="s">
        <v>77</v>
      </c>
      <c r="SOR38" s="256" t="s">
        <v>78</v>
      </c>
      <c r="SOS38" s="256" t="s">
        <v>79</v>
      </c>
      <c r="SOT38" s="256" t="s">
        <v>80</v>
      </c>
      <c r="SOU38" s="256" t="s">
        <v>81</v>
      </c>
      <c r="SOV38" s="331"/>
      <c r="SOW38" s="290">
        <v>45492</v>
      </c>
      <c r="SOX38" s="339" t="s">
        <v>141</v>
      </c>
      <c r="SOY38" s="305"/>
      <c r="SOZ38" s="305">
        <v>1</v>
      </c>
      <c r="SPA38" s="304">
        <f t="shared" ref="SPA38" si="4305">EDATE(SOW38,SOZ38)</f>
        <v>45523</v>
      </c>
      <c r="SPB38" s="340">
        <v>0</v>
      </c>
      <c r="SPC38" s="320">
        <f t="shared" ref="SPC38" si="4306">IF(SPD38&gt;=1,(SPB38/SOZ38),0)</f>
        <v>0</v>
      </c>
      <c r="SPD38" s="292"/>
      <c r="SPE38" s="259" t="s">
        <v>55</v>
      </c>
      <c r="SPF38" s="256" t="s">
        <v>76</v>
      </c>
      <c r="SPG38" s="256" t="s">
        <v>77</v>
      </c>
      <c r="SPH38" s="256" t="s">
        <v>78</v>
      </c>
      <c r="SPI38" s="256" t="s">
        <v>79</v>
      </c>
      <c r="SPJ38" s="256" t="s">
        <v>80</v>
      </c>
      <c r="SPK38" s="256" t="s">
        <v>81</v>
      </c>
      <c r="SPL38" s="331"/>
      <c r="SPM38" s="290">
        <v>45492</v>
      </c>
      <c r="SPN38" s="339" t="s">
        <v>141</v>
      </c>
      <c r="SPO38" s="305"/>
      <c r="SPP38" s="305">
        <v>1</v>
      </c>
      <c r="SPQ38" s="304">
        <f t="shared" ref="SPQ38" si="4307">EDATE(SPM38,SPP38)</f>
        <v>45523</v>
      </c>
      <c r="SPR38" s="340">
        <v>0</v>
      </c>
      <c r="SPS38" s="320">
        <f t="shared" ref="SPS38" si="4308">IF(SPT38&gt;=1,(SPR38/SPP38),0)</f>
        <v>0</v>
      </c>
      <c r="SPT38" s="292"/>
      <c r="SPU38" s="259" t="s">
        <v>55</v>
      </c>
      <c r="SPV38" s="256" t="s">
        <v>76</v>
      </c>
      <c r="SPW38" s="256" t="s">
        <v>77</v>
      </c>
      <c r="SPX38" s="256" t="s">
        <v>78</v>
      </c>
      <c r="SPY38" s="256" t="s">
        <v>79</v>
      </c>
      <c r="SPZ38" s="256" t="s">
        <v>80</v>
      </c>
      <c r="SQA38" s="256" t="s">
        <v>81</v>
      </c>
      <c r="SQB38" s="331"/>
      <c r="SQC38" s="290">
        <v>45492</v>
      </c>
      <c r="SQD38" s="339" t="s">
        <v>141</v>
      </c>
      <c r="SQE38" s="305"/>
      <c r="SQF38" s="305">
        <v>1</v>
      </c>
      <c r="SQG38" s="304">
        <f t="shared" ref="SQG38" si="4309">EDATE(SQC38,SQF38)</f>
        <v>45523</v>
      </c>
      <c r="SQH38" s="340">
        <v>0</v>
      </c>
      <c r="SQI38" s="320">
        <f t="shared" ref="SQI38" si="4310">IF(SQJ38&gt;=1,(SQH38/SQF38),0)</f>
        <v>0</v>
      </c>
      <c r="SQJ38" s="292"/>
      <c r="SQK38" s="259" t="s">
        <v>55</v>
      </c>
      <c r="SQL38" s="256" t="s">
        <v>76</v>
      </c>
      <c r="SQM38" s="256" t="s">
        <v>77</v>
      </c>
      <c r="SQN38" s="256" t="s">
        <v>78</v>
      </c>
      <c r="SQO38" s="256" t="s">
        <v>79</v>
      </c>
      <c r="SQP38" s="256" t="s">
        <v>80</v>
      </c>
      <c r="SQQ38" s="256" t="s">
        <v>81</v>
      </c>
      <c r="SQR38" s="331"/>
      <c r="SQS38" s="290">
        <v>45492</v>
      </c>
      <c r="SQT38" s="339" t="s">
        <v>141</v>
      </c>
      <c r="SQU38" s="305"/>
      <c r="SQV38" s="305">
        <v>1</v>
      </c>
      <c r="SQW38" s="304">
        <f t="shared" ref="SQW38" si="4311">EDATE(SQS38,SQV38)</f>
        <v>45523</v>
      </c>
      <c r="SQX38" s="340">
        <v>0</v>
      </c>
      <c r="SQY38" s="320">
        <f t="shared" ref="SQY38" si="4312">IF(SQZ38&gt;=1,(SQX38/SQV38),0)</f>
        <v>0</v>
      </c>
      <c r="SQZ38" s="292"/>
      <c r="SRA38" s="259" t="s">
        <v>55</v>
      </c>
      <c r="SRB38" s="256" t="s">
        <v>76</v>
      </c>
      <c r="SRC38" s="256" t="s">
        <v>77</v>
      </c>
      <c r="SRD38" s="256" t="s">
        <v>78</v>
      </c>
      <c r="SRE38" s="256" t="s">
        <v>79</v>
      </c>
      <c r="SRF38" s="256" t="s">
        <v>80</v>
      </c>
      <c r="SRG38" s="256" t="s">
        <v>81</v>
      </c>
      <c r="SRH38" s="331"/>
      <c r="SRI38" s="290">
        <v>45492</v>
      </c>
      <c r="SRJ38" s="339" t="s">
        <v>141</v>
      </c>
      <c r="SRK38" s="305"/>
      <c r="SRL38" s="305">
        <v>1</v>
      </c>
      <c r="SRM38" s="304">
        <f t="shared" ref="SRM38" si="4313">EDATE(SRI38,SRL38)</f>
        <v>45523</v>
      </c>
      <c r="SRN38" s="340">
        <v>0</v>
      </c>
      <c r="SRO38" s="320">
        <f t="shared" ref="SRO38" si="4314">IF(SRP38&gt;=1,(SRN38/SRL38),0)</f>
        <v>0</v>
      </c>
      <c r="SRP38" s="292"/>
      <c r="SRQ38" s="259" t="s">
        <v>55</v>
      </c>
      <c r="SRR38" s="256" t="s">
        <v>76</v>
      </c>
      <c r="SRS38" s="256" t="s">
        <v>77</v>
      </c>
      <c r="SRT38" s="256" t="s">
        <v>78</v>
      </c>
      <c r="SRU38" s="256" t="s">
        <v>79</v>
      </c>
      <c r="SRV38" s="256" t="s">
        <v>80</v>
      </c>
      <c r="SRW38" s="256" t="s">
        <v>81</v>
      </c>
      <c r="SRX38" s="331"/>
      <c r="SRY38" s="290">
        <v>45492</v>
      </c>
      <c r="SRZ38" s="339" t="s">
        <v>141</v>
      </c>
      <c r="SSA38" s="305"/>
      <c r="SSB38" s="305">
        <v>1</v>
      </c>
      <c r="SSC38" s="304">
        <f t="shared" ref="SSC38" si="4315">EDATE(SRY38,SSB38)</f>
        <v>45523</v>
      </c>
      <c r="SSD38" s="340">
        <v>0</v>
      </c>
      <c r="SSE38" s="320">
        <f t="shared" ref="SSE38" si="4316">IF(SSF38&gt;=1,(SSD38/SSB38),0)</f>
        <v>0</v>
      </c>
      <c r="SSF38" s="292"/>
      <c r="SSG38" s="259" t="s">
        <v>55</v>
      </c>
      <c r="SSH38" s="256" t="s">
        <v>76</v>
      </c>
      <c r="SSI38" s="256" t="s">
        <v>77</v>
      </c>
      <c r="SSJ38" s="256" t="s">
        <v>78</v>
      </c>
      <c r="SSK38" s="256" t="s">
        <v>79</v>
      </c>
      <c r="SSL38" s="256" t="s">
        <v>80</v>
      </c>
      <c r="SSM38" s="256" t="s">
        <v>81</v>
      </c>
      <c r="SSN38" s="331"/>
      <c r="SSO38" s="290">
        <v>45492</v>
      </c>
      <c r="SSP38" s="339" t="s">
        <v>141</v>
      </c>
      <c r="SSQ38" s="305"/>
      <c r="SSR38" s="305">
        <v>1</v>
      </c>
      <c r="SSS38" s="304">
        <f t="shared" ref="SSS38" si="4317">EDATE(SSO38,SSR38)</f>
        <v>45523</v>
      </c>
      <c r="SST38" s="340">
        <v>0</v>
      </c>
      <c r="SSU38" s="320">
        <f t="shared" ref="SSU38" si="4318">IF(SSV38&gt;=1,(SST38/SSR38),0)</f>
        <v>0</v>
      </c>
      <c r="SSV38" s="292"/>
      <c r="SSW38" s="259" t="s">
        <v>55</v>
      </c>
      <c r="SSX38" s="256" t="s">
        <v>76</v>
      </c>
      <c r="SSY38" s="256" t="s">
        <v>77</v>
      </c>
      <c r="SSZ38" s="256" t="s">
        <v>78</v>
      </c>
      <c r="STA38" s="256" t="s">
        <v>79</v>
      </c>
      <c r="STB38" s="256" t="s">
        <v>80</v>
      </c>
      <c r="STC38" s="256" t="s">
        <v>81</v>
      </c>
      <c r="STD38" s="331"/>
      <c r="STE38" s="290">
        <v>45492</v>
      </c>
      <c r="STF38" s="339" t="s">
        <v>141</v>
      </c>
      <c r="STG38" s="305"/>
      <c r="STH38" s="305">
        <v>1</v>
      </c>
      <c r="STI38" s="304">
        <f t="shared" ref="STI38" si="4319">EDATE(STE38,STH38)</f>
        <v>45523</v>
      </c>
      <c r="STJ38" s="340">
        <v>0</v>
      </c>
      <c r="STK38" s="320">
        <f t="shared" ref="STK38" si="4320">IF(STL38&gt;=1,(STJ38/STH38),0)</f>
        <v>0</v>
      </c>
      <c r="STL38" s="292"/>
      <c r="STM38" s="259" t="s">
        <v>55</v>
      </c>
      <c r="STN38" s="256" t="s">
        <v>76</v>
      </c>
      <c r="STO38" s="256" t="s">
        <v>77</v>
      </c>
      <c r="STP38" s="256" t="s">
        <v>78</v>
      </c>
      <c r="STQ38" s="256" t="s">
        <v>79</v>
      </c>
      <c r="STR38" s="256" t="s">
        <v>80</v>
      </c>
      <c r="STS38" s="256" t="s">
        <v>81</v>
      </c>
      <c r="STT38" s="331"/>
      <c r="STU38" s="290">
        <v>45492</v>
      </c>
      <c r="STV38" s="339" t="s">
        <v>141</v>
      </c>
      <c r="STW38" s="305"/>
      <c r="STX38" s="305">
        <v>1</v>
      </c>
      <c r="STY38" s="304">
        <f t="shared" ref="STY38" si="4321">EDATE(STU38,STX38)</f>
        <v>45523</v>
      </c>
      <c r="STZ38" s="340">
        <v>0</v>
      </c>
      <c r="SUA38" s="320">
        <f t="shared" ref="SUA38" si="4322">IF(SUB38&gt;=1,(STZ38/STX38),0)</f>
        <v>0</v>
      </c>
      <c r="SUB38" s="292"/>
      <c r="SUC38" s="259" t="s">
        <v>55</v>
      </c>
      <c r="SUD38" s="256" t="s">
        <v>76</v>
      </c>
      <c r="SUE38" s="256" t="s">
        <v>77</v>
      </c>
      <c r="SUF38" s="256" t="s">
        <v>78</v>
      </c>
      <c r="SUG38" s="256" t="s">
        <v>79</v>
      </c>
      <c r="SUH38" s="256" t="s">
        <v>80</v>
      </c>
      <c r="SUI38" s="256" t="s">
        <v>81</v>
      </c>
      <c r="SUJ38" s="331"/>
      <c r="SUK38" s="290">
        <v>45492</v>
      </c>
      <c r="SUL38" s="339" t="s">
        <v>141</v>
      </c>
      <c r="SUM38" s="305"/>
      <c r="SUN38" s="305">
        <v>1</v>
      </c>
      <c r="SUO38" s="304">
        <f t="shared" ref="SUO38" si="4323">EDATE(SUK38,SUN38)</f>
        <v>45523</v>
      </c>
      <c r="SUP38" s="340">
        <v>0</v>
      </c>
      <c r="SUQ38" s="320">
        <f t="shared" ref="SUQ38" si="4324">IF(SUR38&gt;=1,(SUP38/SUN38),0)</f>
        <v>0</v>
      </c>
      <c r="SUR38" s="292"/>
      <c r="SUS38" s="259" t="s">
        <v>55</v>
      </c>
      <c r="SUT38" s="256" t="s">
        <v>76</v>
      </c>
      <c r="SUU38" s="256" t="s">
        <v>77</v>
      </c>
      <c r="SUV38" s="256" t="s">
        <v>78</v>
      </c>
      <c r="SUW38" s="256" t="s">
        <v>79</v>
      </c>
      <c r="SUX38" s="256" t="s">
        <v>80</v>
      </c>
      <c r="SUY38" s="256" t="s">
        <v>81</v>
      </c>
      <c r="SUZ38" s="331"/>
      <c r="SVA38" s="290">
        <v>45492</v>
      </c>
      <c r="SVB38" s="339" t="s">
        <v>141</v>
      </c>
      <c r="SVC38" s="305"/>
      <c r="SVD38" s="305">
        <v>1</v>
      </c>
      <c r="SVE38" s="304">
        <f t="shared" ref="SVE38" si="4325">EDATE(SVA38,SVD38)</f>
        <v>45523</v>
      </c>
      <c r="SVF38" s="340">
        <v>0</v>
      </c>
      <c r="SVG38" s="320">
        <f t="shared" ref="SVG38" si="4326">IF(SVH38&gt;=1,(SVF38/SVD38),0)</f>
        <v>0</v>
      </c>
      <c r="SVH38" s="292"/>
      <c r="SVI38" s="259" t="s">
        <v>55</v>
      </c>
      <c r="SVJ38" s="256" t="s">
        <v>76</v>
      </c>
      <c r="SVK38" s="256" t="s">
        <v>77</v>
      </c>
      <c r="SVL38" s="256" t="s">
        <v>78</v>
      </c>
      <c r="SVM38" s="256" t="s">
        <v>79</v>
      </c>
      <c r="SVN38" s="256" t="s">
        <v>80</v>
      </c>
      <c r="SVO38" s="256" t="s">
        <v>81</v>
      </c>
      <c r="SVP38" s="331"/>
      <c r="SVQ38" s="290">
        <v>45492</v>
      </c>
      <c r="SVR38" s="339" t="s">
        <v>141</v>
      </c>
      <c r="SVS38" s="305"/>
      <c r="SVT38" s="305">
        <v>1</v>
      </c>
      <c r="SVU38" s="304">
        <f t="shared" ref="SVU38" si="4327">EDATE(SVQ38,SVT38)</f>
        <v>45523</v>
      </c>
      <c r="SVV38" s="340">
        <v>0</v>
      </c>
      <c r="SVW38" s="320">
        <f t="shared" ref="SVW38" si="4328">IF(SVX38&gt;=1,(SVV38/SVT38),0)</f>
        <v>0</v>
      </c>
      <c r="SVX38" s="292"/>
      <c r="SVY38" s="259" t="s">
        <v>55</v>
      </c>
      <c r="SVZ38" s="256" t="s">
        <v>76</v>
      </c>
      <c r="SWA38" s="256" t="s">
        <v>77</v>
      </c>
      <c r="SWB38" s="256" t="s">
        <v>78</v>
      </c>
      <c r="SWC38" s="256" t="s">
        <v>79</v>
      </c>
      <c r="SWD38" s="256" t="s">
        <v>80</v>
      </c>
      <c r="SWE38" s="256" t="s">
        <v>81</v>
      </c>
      <c r="SWF38" s="331"/>
      <c r="SWG38" s="290">
        <v>45492</v>
      </c>
      <c r="SWH38" s="339" t="s">
        <v>141</v>
      </c>
      <c r="SWI38" s="305"/>
      <c r="SWJ38" s="305">
        <v>1</v>
      </c>
      <c r="SWK38" s="304">
        <f t="shared" ref="SWK38" si="4329">EDATE(SWG38,SWJ38)</f>
        <v>45523</v>
      </c>
      <c r="SWL38" s="340">
        <v>0</v>
      </c>
      <c r="SWM38" s="320">
        <f t="shared" ref="SWM38" si="4330">IF(SWN38&gt;=1,(SWL38/SWJ38),0)</f>
        <v>0</v>
      </c>
      <c r="SWN38" s="292"/>
      <c r="SWO38" s="259" t="s">
        <v>55</v>
      </c>
      <c r="SWP38" s="256" t="s">
        <v>76</v>
      </c>
      <c r="SWQ38" s="256" t="s">
        <v>77</v>
      </c>
      <c r="SWR38" s="256" t="s">
        <v>78</v>
      </c>
      <c r="SWS38" s="256" t="s">
        <v>79</v>
      </c>
      <c r="SWT38" s="256" t="s">
        <v>80</v>
      </c>
      <c r="SWU38" s="256" t="s">
        <v>81</v>
      </c>
      <c r="SWV38" s="331"/>
      <c r="SWW38" s="290">
        <v>45492</v>
      </c>
      <c r="SWX38" s="339" t="s">
        <v>141</v>
      </c>
      <c r="SWY38" s="305"/>
      <c r="SWZ38" s="305">
        <v>1</v>
      </c>
      <c r="SXA38" s="304">
        <f t="shared" ref="SXA38" si="4331">EDATE(SWW38,SWZ38)</f>
        <v>45523</v>
      </c>
      <c r="SXB38" s="340">
        <v>0</v>
      </c>
      <c r="SXC38" s="320">
        <f t="shared" ref="SXC38" si="4332">IF(SXD38&gt;=1,(SXB38/SWZ38),0)</f>
        <v>0</v>
      </c>
      <c r="SXD38" s="292"/>
      <c r="SXE38" s="259" t="s">
        <v>55</v>
      </c>
      <c r="SXF38" s="256" t="s">
        <v>76</v>
      </c>
      <c r="SXG38" s="256" t="s">
        <v>77</v>
      </c>
      <c r="SXH38" s="256" t="s">
        <v>78</v>
      </c>
      <c r="SXI38" s="256" t="s">
        <v>79</v>
      </c>
      <c r="SXJ38" s="256" t="s">
        <v>80</v>
      </c>
      <c r="SXK38" s="256" t="s">
        <v>81</v>
      </c>
      <c r="SXL38" s="331"/>
      <c r="SXM38" s="290">
        <v>45492</v>
      </c>
      <c r="SXN38" s="339" t="s">
        <v>141</v>
      </c>
      <c r="SXO38" s="305"/>
      <c r="SXP38" s="305">
        <v>1</v>
      </c>
      <c r="SXQ38" s="304">
        <f t="shared" ref="SXQ38" si="4333">EDATE(SXM38,SXP38)</f>
        <v>45523</v>
      </c>
      <c r="SXR38" s="340">
        <v>0</v>
      </c>
      <c r="SXS38" s="320">
        <f t="shared" ref="SXS38" si="4334">IF(SXT38&gt;=1,(SXR38/SXP38),0)</f>
        <v>0</v>
      </c>
      <c r="SXT38" s="292"/>
      <c r="SXU38" s="259" t="s">
        <v>55</v>
      </c>
      <c r="SXV38" s="256" t="s">
        <v>76</v>
      </c>
      <c r="SXW38" s="256" t="s">
        <v>77</v>
      </c>
      <c r="SXX38" s="256" t="s">
        <v>78</v>
      </c>
      <c r="SXY38" s="256" t="s">
        <v>79</v>
      </c>
      <c r="SXZ38" s="256" t="s">
        <v>80</v>
      </c>
      <c r="SYA38" s="256" t="s">
        <v>81</v>
      </c>
      <c r="SYB38" s="331"/>
      <c r="SYC38" s="290">
        <v>45492</v>
      </c>
      <c r="SYD38" s="339" t="s">
        <v>141</v>
      </c>
      <c r="SYE38" s="305"/>
      <c r="SYF38" s="305">
        <v>1</v>
      </c>
      <c r="SYG38" s="304">
        <f t="shared" ref="SYG38" si="4335">EDATE(SYC38,SYF38)</f>
        <v>45523</v>
      </c>
      <c r="SYH38" s="340">
        <v>0</v>
      </c>
      <c r="SYI38" s="320">
        <f t="shared" ref="SYI38" si="4336">IF(SYJ38&gt;=1,(SYH38/SYF38),0)</f>
        <v>0</v>
      </c>
      <c r="SYJ38" s="292"/>
      <c r="SYK38" s="259" t="s">
        <v>55</v>
      </c>
      <c r="SYL38" s="256" t="s">
        <v>76</v>
      </c>
      <c r="SYM38" s="256" t="s">
        <v>77</v>
      </c>
      <c r="SYN38" s="256" t="s">
        <v>78</v>
      </c>
      <c r="SYO38" s="256" t="s">
        <v>79</v>
      </c>
      <c r="SYP38" s="256" t="s">
        <v>80</v>
      </c>
      <c r="SYQ38" s="256" t="s">
        <v>81</v>
      </c>
      <c r="SYR38" s="331"/>
      <c r="SYS38" s="290">
        <v>45492</v>
      </c>
      <c r="SYT38" s="339" t="s">
        <v>141</v>
      </c>
      <c r="SYU38" s="305"/>
      <c r="SYV38" s="305">
        <v>1</v>
      </c>
      <c r="SYW38" s="304">
        <f t="shared" ref="SYW38" si="4337">EDATE(SYS38,SYV38)</f>
        <v>45523</v>
      </c>
      <c r="SYX38" s="340">
        <v>0</v>
      </c>
      <c r="SYY38" s="320">
        <f t="shared" ref="SYY38" si="4338">IF(SYZ38&gt;=1,(SYX38/SYV38),0)</f>
        <v>0</v>
      </c>
      <c r="SYZ38" s="292"/>
      <c r="SZA38" s="259" t="s">
        <v>55</v>
      </c>
      <c r="SZB38" s="256" t="s">
        <v>76</v>
      </c>
      <c r="SZC38" s="256" t="s">
        <v>77</v>
      </c>
      <c r="SZD38" s="256" t="s">
        <v>78</v>
      </c>
      <c r="SZE38" s="256" t="s">
        <v>79</v>
      </c>
      <c r="SZF38" s="256" t="s">
        <v>80</v>
      </c>
      <c r="SZG38" s="256" t="s">
        <v>81</v>
      </c>
      <c r="SZH38" s="331"/>
      <c r="SZI38" s="290">
        <v>45492</v>
      </c>
      <c r="SZJ38" s="339" t="s">
        <v>141</v>
      </c>
      <c r="SZK38" s="305"/>
      <c r="SZL38" s="305">
        <v>1</v>
      </c>
      <c r="SZM38" s="304">
        <f t="shared" ref="SZM38" si="4339">EDATE(SZI38,SZL38)</f>
        <v>45523</v>
      </c>
      <c r="SZN38" s="340">
        <v>0</v>
      </c>
      <c r="SZO38" s="320">
        <f t="shared" ref="SZO38" si="4340">IF(SZP38&gt;=1,(SZN38/SZL38),0)</f>
        <v>0</v>
      </c>
      <c r="SZP38" s="292"/>
      <c r="SZQ38" s="259" t="s">
        <v>55</v>
      </c>
      <c r="SZR38" s="256" t="s">
        <v>76</v>
      </c>
      <c r="SZS38" s="256" t="s">
        <v>77</v>
      </c>
      <c r="SZT38" s="256" t="s">
        <v>78</v>
      </c>
      <c r="SZU38" s="256" t="s">
        <v>79</v>
      </c>
      <c r="SZV38" s="256" t="s">
        <v>80</v>
      </c>
      <c r="SZW38" s="256" t="s">
        <v>81</v>
      </c>
      <c r="SZX38" s="331"/>
      <c r="SZY38" s="290">
        <v>45492</v>
      </c>
      <c r="SZZ38" s="339" t="s">
        <v>141</v>
      </c>
      <c r="TAA38" s="305"/>
      <c r="TAB38" s="305">
        <v>1</v>
      </c>
      <c r="TAC38" s="304">
        <f t="shared" ref="TAC38" si="4341">EDATE(SZY38,TAB38)</f>
        <v>45523</v>
      </c>
      <c r="TAD38" s="340">
        <v>0</v>
      </c>
      <c r="TAE38" s="320">
        <f t="shared" ref="TAE38" si="4342">IF(TAF38&gt;=1,(TAD38/TAB38),0)</f>
        <v>0</v>
      </c>
      <c r="TAF38" s="292"/>
      <c r="TAG38" s="259" t="s">
        <v>55</v>
      </c>
      <c r="TAH38" s="256" t="s">
        <v>76</v>
      </c>
      <c r="TAI38" s="256" t="s">
        <v>77</v>
      </c>
      <c r="TAJ38" s="256" t="s">
        <v>78</v>
      </c>
      <c r="TAK38" s="256" t="s">
        <v>79</v>
      </c>
      <c r="TAL38" s="256" t="s">
        <v>80</v>
      </c>
      <c r="TAM38" s="256" t="s">
        <v>81</v>
      </c>
      <c r="TAN38" s="331"/>
      <c r="TAO38" s="290">
        <v>45492</v>
      </c>
      <c r="TAP38" s="339" t="s">
        <v>141</v>
      </c>
      <c r="TAQ38" s="305"/>
      <c r="TAR38" s="305">
        <v>1</v>
      </c>
      <c r="TAS38" s="304">
        <f t="shared" ref="TAS38" si="4343">EDATE(TAO38,TAR38)</f>
        <v>45523</v>
      </c>
      <c r="TAT38" s="340">
        <v>0</v>
      </c>
      <c r="TAU38" s="320">
        <f t="shared" ref="TAU38" si="4344">IF(TAV38&gt;=1,(TAT38/TAR38),0)</f>
        <v>0</v>
      </c>
      <c r="TAV38" s="292"/>
      <c r="TAW38" s="259" t="s">
        <v>55</v>
      </c>
      <c r="TAX38" s="256" t="s">
        <v>76</v>
      </c>
      <c r="TAY38" s="256" t="s">
        <v>77</v>
      </c>
      <c r="TAZ38" s="256" t="s">
        <v>78</v>
      </c>
      <c r="TBA38" s="256" t="s">
        <v>79</v>
      </c>
      <c r="TBB38" s="256" t="s">
        <v>80</v>
      </c>
      <c r="TBC38" s="256" t="s">
        <v>81</v>
      </c>
      <c r="TBD38" s="331"/>
      <c r="TBE38" s="290">
        <v>45492</v>
      </c>
      <c r="TBF38" s="339" t="s">
        <v>141</v>
      </c>
      <c r="TBG38" s="305"/>
      <c r="TBH38" s="305">
        <v>1</v>
      </c>
      <c r="TBI38" s="304">
        <f t="shared" ref="TBI38" si="4345">EDATE(TBE38,TBH38)</f>
        <v>45523</v>
      </c>
      <c r="TBJ38" s="340">
        <v>0</v>
      </c>
      <c r="TBK38" s="320">
        <f t="shared" ref="TBK38" si="4346">IF(TBL38&gt;=1,(TBJ38/TBH38),0)</f>
        <v>0</v>
      </c>
      <c r="TBL38" s="292"/>
      <c r="TBM38" s="259" t="s">
        <v>55</v>
      </c>
      <c r="TBN38" s="256" t="s">
        <v>76</v>
      </c>
      <c r="TBO38" s="256" t="s">
        <v>77</v>
      </c>
      <c r="TBP38" s="256" t="s">
        <v>78</v>
      </c>
      <c r="TBQ38" s="256" t="s">
        <v>79</v>
      </c>
      <c r="TBR38" s="256" t="s">
        <v>80</v>
      </c>
      <c r="TBS38" s="256" t="s">
        <v>81</v>
      </c>
      <c r="TBT38" s="331"/>
      <c r="TBU38" s="290">
        <v>45492</v>
      </c>
      <c r="TBV38" s="339" t="s">
        <v>141</v>
      </c>
      <c r="TBW38" s="305"/>
      <c r="TBX38" s="305">
        <v>1</v>
      </c>
      <c r="TBY38" s="304">
        <f t="shared" ref="TBY38" si="4347">EDATE(TBU38,TBX38)</f>
        <v>45523</v>
      </c>
      <c r="TBZ38" s="340">
        <v>0</v>
      </c>
      <c r="TCA38" s="320">
        <f t="shared" ref="TCA38" si="4348">IF(TCB38&gt;=1,(TBZ38/TBX38),0)</f>
        <v>0</v>
      </c>
      <c r="TCB38" s="292"/>
      <c r="TCC38" s="259" t="s">
        <v>55</v>
      </c>
      <c r="TCD38" s="256" t="s">
        <v>76</v>
      </c>
      <c r="TCE38" s="256" t="s">
        <v>77</v>
      </c>
      <c r="TCF38" s="256" t="s">
        <v>78</v>
      </c>
      <c r="TCG38" s="256" t="s">
        <v>79</v>
      </c>
      <c r="TCH38" s="256" t="s">
        <v>80</v>
      </c>
      <c r="TCI38" s="256" t="s">
        <v>81</v>
      </c>
      <c r="TCJ38" s="331"/>
      <c r="TCK38" s="290">
        <v>45492</v>
      </c>
      <c r="TCL38" s="339" t="s">
        <v>141</v>
      </c>
      <c r="TCM38" s="305"/>
      <c r="TCN38" s="305">
        <v>1</v>
      </c>
      <c r="TCO38" s="304">
        <f t="shared" ref="TCO38" si="4349">EDATE(TCK38,TCN38)</f>
        <v>45523</v>
      </c>
      <c r="TCP38" s="340">
        <v>0</v>
      </c>
      <c r="TCQ38" s="320">
        <f t="shared" ref="TCQ38" si="4350">IF(TCR38&gt;=1,(TCP38/TCN38),0)</f>
        <v>0</v>
      </c>
      <c r="TCR38" s="292"/>
      <c r="TCS38" s="259" t="s">
        <v>55</v>
      </c>
      <c r="TCT38" s="256" t="s">
        <v>76</v>
      </c>
      <c r="TCU38" s="256" t="s">
        <v>77</v>
      </c>
      <c r="TCV38" s="256" t="s">
        <v>78</v>
      </c>
      <c r="TCW38" s="256" t="s">
        <v>79</v>
      </c>
      <c r="TCX38" s="256" t="s">
        <v>80</v>
      </c>
      <c r="TCY38" s="256" t="s">
        <v>81</v>
      </c>
      <c r="TCZ38" s="331"/>
      <c r="TDA38" s="290">
        <v>45492</v>
      </c>
      <c r="TDB38" s="339" t="s">
        <v>141</v>
      </c>
      <c r="TDC38" s="305"/>
      <c r="TDD38" s="305">
        <v>1</v>
      </c>
      <c r="TDE38" s="304">
        <f t="shared" ref="TDE38" si="4351">EDATE(TDA38,TDD38)</f>
        <v>45523</v>
      </c>
      <c r="TDF38" s="340">
        <v>0</v>
      </c>
      <c r="TDG38" s="320">
        <f t="shared" ref="TDG38" si="4352">IF(TDH38&gt;=1,(TDF38/TDD38),0)</f>
        <v>0</v>
      </c>
      <c r="TDH38" s="292"/>
      <c r="TDI38" s="259" t="s">
        <v>55</v>
      </c>
      <c r="TDJ38" s="256" t="s">
        <v>76</v>
      </c>
      <c r="TDK38" s="256" t="s">
        <v>77</v>
      </c>
      <c r="TDL38" s="256" t="s">
        <v>78</v>
      </c>
      <c r="TDM38" s="256" t="s">
        <v>79</v>
      </c>
      <c r="TDN38" s="256" t="s">
        <v>80</v>
      </c>
      <c r="TDO38" s="256" t="s">
        <v>81</v>
      </c>
      <c r="TDP38" s="331"/>
      <c r="TDQ38" s="290">
        <v>45492</v>
      </c>
      <c r="TDR38" s="339" t="s">
        <v>141</v>
      </c>
      <c r="TDS38" s="305"/>
      <c r="TDT38" s="305">
        <v>1</v>
      </c>
      <c r="TDU38" s="304">
        <f t="shared" ref="TDU38" si="4353">EDATE(TDQ38,TDT38)</f>
        <v>45523</v>
      </c>
      <c r="TDV38" s="340">
        <v>0</v>
      </c>
      <c r="TDW38" s="320">
        <f t="shared" ref="TDW38" si="4354">IF(TDX38&gt;=1,(TDV38/TDT38),0)</f>
        <v>0</v>
      </c>
      <c r="TDX38" s="292"/>
      <c r="TDY38" s="259" t="s">
        <v>55</v>
      </c>
      <c r="TDZ38" s="256" t="s">
        <v>76</v>
      </c>
      <c r="TEA38" s="256" t="s">
        <v>77</v>
      </c>
      <c r="TEB38" s="256" t="s">
        <v>78</v>
      </c>
      <c r="TEC38" s="256" t="s">
        <v>79</v>
      </c>
      <c r="TED38" s="256" t="s">
        <v>80</v>
      </c>
      <c r="TEE38" s="256" t="s">
        <v>81</v>
      </c>
      <c r="TEF38" s="331"/>
      <c r="TEG38" s="290">
        <v>45492</v>
      </c>
      <c r="TEH38" s="339" t="s">
        <v>141</v>
      </c>
      <c r="TEI38" s="305"/>
      <c r="TEJ38" s="305">
        <v>1</v>
      </c>
      <c r="TEK38" s="304">
        <f t="shared" ref="TEK38" si="4355">EDATE(TEG38,TEJ38)</f>
        <v>45523</v>
      </c>
      <c r="TEL38" s="340">
        <v>0</v>
      </c>
      <c r="TEM38" s="320">
        <f t="shared" ref="TEM38" si="4356">IF(TEN38&gt;=1,(TEL38/TEJ38),0)</f>
        <v>0</v>
      </c>
      <c r="TEN38" s="292"/>
      <c r="TEO38" s="259" t="s">
        <v>55</v>
      </c>
      <c r="TEP38" s="256" t="s">
        <v>76</v>
      </c>
      <c r="TEQ38" s="256" t="s">
        <v>77</v>
      </c>
      <c r="TER38" s="256" t="s">
        <v>78</v>
      </c>
      <c r="TES38" s="256" t="s">
        <v>79</v>
      </c>
      <c r="TET38" s="256" t="s">
        <v>80</v>
      </c>
      <c r="TEU38" s="256" t="s">
        <v>81</v>
      </c>
      <c r="TEV38" s="331"/>
      <c r="TEW38" s="290">
        <v>45492</v>
      </c>
      <c r="TEX38" s="339" t="s">
        <v>141</v>
      </c>
      <c r="TEY38" s="305"/>
      <c r="TEZ38" s="305">
        <v>1</v>
      </c>
      <c r="TFA38" s="304">
        <f t="shared" ref="TFA38" si="4357">EDATE(TEW38,TEZ38)</f>
        <v>45523</v>
      </c>
      <c r="TFB38" s="340">
        <v>0</v>
      </c>
      <c r="TFC38" s="320">
        <f t="shared" ref="TFC38" si="4358">IF(TFD38&gt;=1,(TFB38/TEZ38),0)</f>
        <v>0</v>
      </c>
      <c r="TFD38" s="292"/>
      <c r="TFE38" s="259" t="s">
        <v>55</v>
      </c>
      <c r="TFF38" s="256" t="s">
        <v>76</v>
      </c>
      <c r="TFG38" s="256" t="s">
        <v>77</v>
      </c>
      <c r="TFH38" s="256" t="s">
        <v>78</v>
      </c>
      <c r="TFI38" s="256" t="s">
        <v>79</v>
      </c>
      <c r="TFJ38" s="256" t="s">
        <v>80</v>
      </c>
      <c r="TFK38" s="256" t="s">
        <v>81</v>
      </c>
      <c r="TFL38" s="331"/>
      <c r="TFM38" s="290">
        <v>45492</v>
      </c>
      <c r="TFN38" s="339" t="s">
        <v>141</v>
      </c>
      <c r="TFO38" s="305"/>
      <c r="TFP38" s="305">
        <v>1</v>
      </c>
      <c r="TFQ38" s="304">
        <f t="shared" ref="TFQ38" si="4359">EDATE(TFM38,TFP38)</f>
        <v>45523</v>
      </c>
      <c r="TFR38" s="340">
        <v>0</v>
      </c>
      <c r="TFS38" s="320">
        <f t="shared" ref="TFS38" si="4360">IF(TFT38&gt;=1,(TFR38/TFP38),0)</f>
        <v>0</v>
      </c>
      <c r="TFT38" s="292"/>
      <c r="TFU38" s="259" t="s">
        <v>55</v>
      </c>
      <c r="TFV38" s="256" t="s">
        <v>76</v>
      </c>
      <c r="TFW38" s="256" t="s">
        <v>77</v>
      </c>
      <c r="TFX38" s="256" t="s">
        <v>78</v>
      </c>
      <c r="TFY38" s="256" t="s">
        <v>79</v>
      </c>
      <c r="TFZ38" s="256" t="s">
        <v>80</v>
      </c>
      <c r="TGA38" s="256" t="s">
        <v>81</v>
      </c>
      <c r="TGB38" s="331"/>
      <c r="TGC38" s="290">
        <v>45492</v>
      </c>
      <c r="TGD38" s="339" t="s">
        <v>141</v>
      </c>
      <c r="TGE38" s="305"/>
      <c r="TGF38" s="305">
        <v>1</v>
      </c>
      <c r="TGG38" s="304">
        <f t="shared" ref="TGG38" si="4361">EDATE(TGC38,TGF38)</f>
        <v>45523</v>
      </c>
      <c r="TGH38" s="340">
        <v>0</v>
      </c>
      <c r="TGI38" s="320">
        <f t="shared" ref="TGI38" si="4362">IF(TGJ38&gt;=1,(TGH38/TGF38),0)</f>
        <v>0</v>
      </c>
      <c r="TGJ38" s="292"/>
      <c r="TGK38" s="259" t="s">
        <v>55</v>
      </c>
      <c r="TGL38" s="256" t="s">
        <v>76</v>
      </c>
      <c r="TGM38" s="256" t="s">
        <v>77</v>
      </c>
      <c r="TGN38" s="256" t="s">
        <v>78</v>
      </c>
      <c r="TGO38" s="256" t="s">
        <v>79</v>
      </c>
      <c r="TGP38" s="256" t="s">
        <v>80</v>
      </c>
      <c r="TGQ38" s="256" t="s">
        <v>81</v>
      </c>
      <c r="TGR38" s="331"/>
      <c r="TGS38" s="290">
        <v>45492</v>
      </c>
      <c r="TGT38" s="339" t="s">
        <v>141</v>
      </c>
      <c r="TGU38" s="305"/>
      <c r="TGV38" s="305">
        <v>1</v>
      </c>
      <c r="TGW38" s="304">
        <f t="shared" ref="TGW38" si="4363">EDATE(TGS38,TGV38)</f>
        <v>45523</v>
      </c>
      <c r="TGX38" s="340">
        <v>0</v>
      </c>
      <c r="TGY38" s="320">
        <f t="shared" ref="TGY38" si="4364">IF(TGZ38&gt;=1,(TGX38/TGV38),0)</f>
        <v>0</v>
      </c>
      <c r="TGZ38" s="292"/>
      <c r="THA38" s="259" t="s">
        <v>55</v>
      </c>
      <c r="THB38" s="256" t="s">
        <v>76</v>
      </c>
      <c r="THC38" s="256" t="s">
        <v>77</v>
      </c>
      <c r="THD38" s="256" t="s">
        <v>78</v>
      </c>
      <c r="THE38" s="256" t="s">
        <v>79</v>
      </c>
      <c r="THF38" s="256" t="s">
        <v>80</v>
      </c>
      <c r="THG38" s="256" t="s">
        <v>81</v>
      </c>
      <c r="THH38" s="331"/>
      <c r="THI38" s="290">
        <v>45492</v>
      </c>
      <c r="THJ38" s="339" t="s">
        <v>141</v>
      </c>
      <c r="THK38" s="305"/>
      <c r="THL38" s="305">
        <v>1</v>
      </c>
      <c r="THM38" s="304">
        <f t="shared" ref="THM38" si="4365">EDATE(THI38,THL38)</f>
        <v>45523</v>
      </c>
      <c r="THN38" s="340">
        <v>0</v>
      </c>
      <c r="THO38" s="320">
        <f t="shared" ref="THO38" si="4366">IF(THP38&gt;=1,(THN38/THL38),0)</f>
        <v>0</v>
      </c>
      <c r="THP38" s="292"/>
      <c r="THQ38" s="259" t="s">
        <v>55</v>
      </c>
      <c r="THR38" s="256" t="s">
        <v>76</v>
      </c>
      <c r="THS38" s="256" t="s">
        <v>77</v>
      </c>
      <c r="THT38" s="256" t="s">
        <v>78</v>
      </c>
      <c r="THU38" s="256" t="s">
        <v>79</v>
      </c>
      <c r="THV38" s="256" t="s">
        <v>80</v>
      </c>
      <c r="THW38" s="256" t="s">
        <v>81</v>
      </c>
      <c r="THX38" s="331"/>
      <c r="THY38" s="290">
        <v>45492</v>
      </c>
      <c r="THZ38" s="339" t="s">
        <v>141</v>
      </c>
      <c r="TIA38" s="305"/>
      <c r="TIB38" s="305">
        <v>1</v>
      </c>
      <c r="TIC38" s="304">
        <f t="shared" ref="TIC38" si="4367">EDATE(THY38,TIB38)</f>
        <v>45523</v>
      </c>
      <c r="TID38" s="340">
        <v>0</v>
      </c>
      <c r="TIE38" s="320">
        <f t="shared" ref="TIE38" si="4368">IF(TIF38&gt;=1,(TID38/TIB38),0)</f>
        <v>0</v>
      </c>
      <c r="TIF38" s="292"/>
      <c r="TIG38" s="259" t="s">
        <v>55</v>
      </c>
      <c r="TIH38" s="256" t="s">
        <v>76</v>
      </c>
      <c r="TII38" s="256" t="s">
        <v>77</v>
      </c>
      <c r="TIJ38" s="256" t="s">
        <v>78</v>
      </c>
      <c r="TIK38" s="256" t="s">
        <v>79</v>
      </c>
      <c r="TIL38" s="256" t="s">
        <v>80</v>
      </c>
      <c r="TIM38" s="256" t="s">
        <v>81</v>
      </c>
      <c r="TIN38" s="331"/>
      <c r="TIO38" s="290">
        <v>45492</v>
      </c>
      <c r="TIP38" s="339" t="s">
        <v>141</v>
      </c>
      <c r="TIQ38" s="305"/>
      <c r="TIR38" s="305">
        <v>1</v>
      </c>
      <c r="TIS38" s="304">
        <f t="shared" ref="TIS38" si="4369">EDATE(TIO38,TIR38)</f>
        <v>45523</v>
      </c>
      <c r="TIT38" s="340">
        <v>0</v>
      </c>
      <c r="TIU38" s="320">
        <f t="shared" ref="TIU38" si="4370">IF(TIV38&gt;=1,(TIT38/TIR38),0)</f>
        <v>0</v>
      </c>
      <c r="TIV38" s="292"/>
      <c r="TIW38" s="259" t="s">
        <v>55</v>
      </c>
      <c r="TIX38" s="256" t="s">
        <v>76</v>
      </c>
      <c r="TIY38" s="256" t="s">
        <v>77</v>
      </c>
      <c r="TIZ38" s="256" t="s">
        <v>78</v>
      </c>
      <c r="TJA38" s="256" t="s">
        <v>79</v>
      </c>
      <c r="TJB38" s="256" t="s">
        <v>80</v>
      </c>
      <c r="TJC38" s="256" t="s">
        <v>81</v>
      </c>
      <c r="TJD38" s="331"/>
      <c r="TJE38" s="290">
        <v>45492</v>
      </c>
      <c r="TJF38" s="339" t="s">
        <v>141</v>
      </c>
      <c r="TJG38" s="305"/>
      <c r="TJH38" s="305">
        <v>1</v>
      </c>
      <c r="TJI38" s="304">
        <f t="shared" ref="TJI38" si="4371">EDATE(TJE38,TJH38)</f>
        <v>45523</v>
      </c>
      <c r="TJJ38" s="340">
        <v>0</v>
      </c>
      <c r="TJK38" s="320">
        <f t="shared" ref="TJK38" si="4372">IF(TJL38&gt;=1,(TJJ38/TJH38),0)</f>
        <v>0</v>
      </c>
      <c r="TJL38" s="292"/>
      <c r="TJM38" s="259" t="s">
        <v>55</v>
      </c>
      <c r="TJN38" s="256" t="s">
        <v>76</v>
      </c>
      <c r="TJO38" s="256" t="s">
        <v>77</v>
      </c>
      <c r="TJP38" s="256" t="s">
        <v>78</v>
      </c>
      <c r="TJQ38" s="256" t="s">
        <v>79</v>
      </c>
      <c r="TJR38" s="256" t="s">
        <v>80</v>
      </c>
      <c r="TJS38" s="256" t="s">
        <v>81</v>
      </c>
      <c r="TJT38" s="331"/>
      <c r="TJU38" s="290">
        <v>45492</v>
      </c>
      <c r="TJV38" s="339" t="s">
        <v>141</v>
      </c>
      <c r="TJW38" s="305"/>
      <c r="TJX38" s="305">
        <v>1</v>
      </c>
      <c r="TJY38" s="304">
        <f t="shared" ref="TJY38" si="4373">EDATE(TJU38,TJX38)</f>
        <v>45523</v>
      </c>
      <c r="TJZ38" s="340">
        <v>0</v>
      </c>
      <c r="TKA38" s="320">
        <f t="shared" ref="TKA38" si="4374">IF(TKB38&gt;=1,(TJZ38/TJX38),0)</f>
        <v>0</v>
      </c>
      <c r="TKB38" s="292"/>
      <c r="TKC38" s="259" t="s">
        <v>55</v>
      </c>
      <c r="TKD38" s="256" t="s">
        <v>76</v>
      </c>
      <c r="TKE38" s="256" t="s">
        <v>77</v>
      </c>
      <c r="TKF38" s="256" t="s">
        <v>78</v>
      </c>
      <c r="TKG38" s="256" t="s">
        <v>79</v>
      </c>
      <c r="TKH38" s="256" t="s">
        <v>80</v>
      </c>
      <c r="TKI38" s="256" t="s">
        <v>81</v>
      </c>
      <c r="TKJ38" s="331"/>
      <c r="TKK38" s="290">
        <v>45492</v>
      </c>
      <c r="TKL38" s="339" t="s">
        <v>141</v>
      </c>
      <c r="TKM38" s="305"/>
      <c r="TKN38" s="305">
        <v>1</v>
      </c>
      <c r="TKO38" s="304">
        <f t="shared" ref="TKO38" si="4375">EDATE(TKK38,TKN38)</f>
        <v>45523</v>
      </c>
      <c r="TKP38" s="340">
        <v>0</v>
      </c>
      <c r="TKQ38" s="320">
        <f t="shared" ref="TKQ38" si="4376">IF(TKR38&gt;=1,(TKP38/TKN38),0)</f>
        <v>0</v>
      </c>
      <c r="TKR38" s="292"/>
      <c r="TKS38" s="259" t="s">
        <v>55</v>
      </c>
      <c r="TKT38" s="256" t="s">
        <v>76</v>
      </c>
      <c r="TKU38" s="256" t="s">
        <v>77</v>
      </c>
      <c r="TKV38" s="256" t="s">
        <v>78</v>
      </c>
      <c r="TKW38" s="256" t="s">
        <v>79</v>
      </c>
      <c r="TKX38" s="256" t="s">
        <v>80</v>
      </c>
      <c r="TKY38" s="256" t="s">
        <v>81</v>
      </c>
      <c r="TKZ38" s="331"/>
      <c r="TLA38" s="290">
        <v>45492</v>
      </c>
      <c r="TLB38" s="339" t="s">
        <v>141</v>
      </c>
      <c r="TLC38" s="305"/>
      <c r="TLD38" s="305">
        <v>1</v>
      </c>
      <c r="TLE38" s="304">
        <f t="shared" ref="TLE38" si="4377">EDATE(TLA38,TLD38)</f>
        <v>45523</v>
      </c>
      <c r="TLF38" s="340">
        <v>0</v>
      </c>
      <c r="TLG38" s="320">
        <f t="shared" ref="TLG38" si="4378">IF(TLH38&gt;=1,(TLF38/TLD38),0)</f>
        <v>0</v>
      </c>
      <c r="TLH38" s="292"/>
      <c r="TLI38" s="259" t="s">
        <v>55</v>
      </c>
      <c r="TLJ38" s="256" t="s">
        <v>76</v>
      </c>
      <c r="TLK38" s="256" t="s">
        <v>77</v>
      </c>
      <c r="TLL38" s="256" t="s">
        <v>78</v>
      </c>
      <c r="TLM38" s="256" t="s">
        <v>79</v>
      </c>
      <c r="TLN38" s="256" t="s">
        <v>80</v>
      </c>
      <c r="TLO38" s="256" t="s">
        <v>81</v>
      </c>
      <c r="TLP38" s="331"/>
      <c r="TLQ38" s="290">
        <v>45492</v>
      </c>
      <c r="TLR38" s="339" t="s">
        <v>141</v>
      </c>
      <c r="TLS38" s="305"/>
      <c r="TLT38" s="305">
        <v>1</v>
      </c>
      <c r="TLU38" s="304">
        <f t="shared" ref="TLU38" si="4379">EDATE(TLQ38,TLT38)</f>
        <v>45523</v>
      </c>
      <c r="TLV38" s="340">
        <v>0</v>
      </c>
      <c r="TLW38" s="320">
        <f t="shared" ref="TLW38" si="4380">IF(TLX38&gt;=1,(TLV38/TLT38),0)</f>
        <v>0</v>
      </c>
      <c r="TLX38" s="292"/>
      <c r="TLY38" s="259" t="s">
        <v>55</v>
      </c>
      <c r="TLZ38" s="256" t="s">
        <v>76</v>
      </c>
      <c r="TMA38" s="256" t="s">
        <v>77</v>
      </c>
      <c r="TMB38" s="256" t="s">
        <v>78</v>
      </c>
      <c r="TMC38" s="256" t="s">
        <v>79</v>
      </c>
      <c r="TMD38" s="256" t="s">
        <v>80</v>
      </c>
      <c r="TME38" s="256" t="s">
        <v>81</v>
      </c>
      <c r="TMF38" s="331"/>
      <c r="TMG38" s="290">
        <v>45492</v>
      </c>
      <c r="TMH38" s="339" t="s">
        <v>141</v>
      </c>
      <c r="TMI38" s="305"/>
      <c r="TMJ38" s="305">
        <v>1</v>
      </c>
      <c r="TMK38" s="304">
        <f t="shared" ref="TMK38" si="4381">EDATE(TMG38,TMJ38)</f>
        <v>45523</v>
      </c>
      <c r="TML38" s="340">
        <v>0</v>
      </c>
      <c r="TMM38" s="320">
        <f t="shared" ref="TMM38" si="4382">IF(TMN38&gt;=1,(TML38/TMJ38),0)</f>
        <v>0</v>
      </c>
      <c r="TMN38" s="292"/>
      <c r="TMO38" s="259" t="s">
        <v>55</v>
      </c>
      <c r="TMP38" s="256" t="s">
        <v>76</v>
      </c>
      <c r="TMQ38" s="256" t="s">
        <v>77</v>
      </c>
      <c r="TMR38" s="256" t="s">
        <v>78</v>
      </c>
      <c r="TMS38" s="256" t="s">
        <v>79</v>
      </c>
      <c r="TMT38" s="256" t="s">
        <v>80</v>
      </c>
      <c r="TMU38" s="256" t="s">
        <v>81</v>
      </c>
      <c r="TMV38" s="331"/>
      <c r="TMW38" s="290">
        <v>45492</v>
      </c>
      <c r="TMX38" s="339" t="s">
        <v>141</v>
      </c>
      <c r="TMY38" s="305"/>
      <c r="TMZ38" s="305">
        <v>1</v>
      </c>
      <c r="TNA38" s="304">
        <f t="shared" ref="TNA38" si="4383">EDATE(TMW38,TMZ38)</f>
        <v>45523</v>
      </c>
      <c r="TNB38" s="340">
        <v>0</v>
      </c>
      <c r="TNC38" s="320">
        <f t="shared" ref="TNC38" si="4384">IF(TND38&gt;=1,(TNB38/TMZ38),0)</f>
        <v>0</v>
      </c>
      <c r="TND38" s="292"/>
      <c r="TNE38" s="259" t="s">
        <v>55</v>
      </c>
      <c r="TNF38" s="256" t="s">
        <v>76</v>
      </c>
      <c r="TNG38" s="256" t="s">
        <v>77</v>
      </c>
      <c r="TNH38" s="256" t="s">
        <v>78</v>
      </c>
      <c r="TNI38" s="256" t="s">
        <v>79</v>
      </c>
      <c r="TNJ38" s="256" t="s">
        <v>80</v>
      </c>
      <c r="TNK38" s="256" t="s">
        <v>81</v>
      </c>
      <c r="TNL38" s="331"/>
      <c r="TNM38" s="290">
        <v>45492</v>
      </c>
      <c r="TNN38" s="339" t="s">
        <v>141</v>
      </c>
      <c r="TNO38" s="305"/>
      <c r="TNP38" s="305">
        <v>1</v>
      </c>
      <c r="TNQ38" s="304">
        <f t="shared" ref="TNQ38" si="4385">EDATE(TNM38,TNP38)</f>
        <v>45523</v>
      </c>
      <c r="TNR38" s="340">
        <v>0</v>
      </c>
      <c r="TNS38" s="320">
        <f t="shared" ref="TNS38" si="4386">IF(TNT38&gt;=1,(TNR38/TNP38),0)</f>
        <v>0</v>
      </c>
      <c r="TNT38" s="292"/>
      <c r="TNU38" s="259" t="s">
        <v>55</v>
      </c>
      <c r="TNV38" s="256" t="s">
        <v>76</v>
      </c>
      <c r="TNW38" s="256" t="s">
        <v>77</v>
      </c>
      <c r="TNX38" s="256" t="s">
        <v>78</v>
      </c>
      <c r="TNY38" s="256" t="s">
        <v>79</v>
      </c>
      <c r="TNZ38" s="256" t="s">
        <v>80</v>
      </c>
      <c r="TOA38" s="256" t="s">
        <v>81</v>
      </c>
      <c r="TOB38" s="331"/>
      <c r="TOC38" s="290">
        <v>45492</v>
      </c>
      <c r="TOD38" s="339" t="s">
        <v>141</v>
      </c>
      <c r="TOE38" s="305"/>
      <c r="TOF38" s="305">
        <v>1</v>
      </c>
      <c r="TOG38" s="304">
        <f t="shared" ref="TOG38" si="4387">EDATE(TOC38,TOF38)</f>
        <v>45523</v>
      </c>
      <c r="TOH38" s="340">
        <v>0</v>
      </c>
      <c r="TOI38" s="320">
        <f t="shared" ref="TOI38" si="4388">IF(TOJ38&gt;=1,(TOH38/TOF38),0)</f>
        <v>0</v>
      </c>
      <c r="TOJ38" s="292"/>
      <c r="TOK38" s="259" t="s">
        <v>55</v>
      </c>
      <c r="TOL38" s="256" t="s">
        <v>76</v>
      </c>
      <c r="TOM38" s="256" t="s">
        <v>77</v>
      </c>
      <c r="TON38" s="256" t="s">
        <v>78</v>
      </c>
      <c r="TOO38" s="256" t="s">
        <v>79</v>
      </c>
      <c r="TOP38" s="256" t="s">
        <v>80</v>
      </c>
      <c r="TOQ38" s="256" t="s">
        <v>81</v>
      </c>
      <c r="TOR38" s="331"/>
      <c r="TOS38" s="290">
        <v>45492</v>
      </c>
      <c r="TOT38" s="339" t="s">
        <v>141</v>
      </c>
      <c r="TOU38" s="305"/>
      <c r="TOV38" s="305">
        <v>1</v>
      </c>
      <c r="TOW38" s="304">
        <f t="shared" ref="TOW38" si="4389">EDATE(TOS38,TOV38)</f>
        <v>45523</v>
      </c>
      <c r="TOX38" s="340">
        <v>0</v>
      </c>
      <c r="TOY38" s="320">
        <f t="shared" ref="TOY38" si="4390">IF(TOZ38&gt;=1,(TOX38/TOV38),0)</f>
        <v>0</v>
      </c>
      <c r="TOZ38" s="292"/>
      <c r="TPA38" s="259" t="s">
        <v>55</v>
      </c>
      <c r="TPB38" s="256" t="s">
        <v>76</v>
      </c>
      <c r="TPC38" s="256" t="s">
        <v>77</v>
      </c>
      <c r="TPD38" s="256" t="s">
        <v>78</v>
      </c>
      <c r="TPE38" s="256" t="s">
        <v>79</v>
      </c>
      <c r="TPF38" s="256" t="s">
        <v>80</v>
      </c>
      <c r="TPG38" s="256" t="s">
        <v>81</v>
      </c>
      <c r="TPH38" s="331"/>
      <c r="TPI38" s="290">
        <v>45492</v>
      </c>
      <c r="TPJ38" s="339" t="s">
        <v>141</v>
      </c>
      <c r="TPK38" s="305"/>
      <c r="TPL38" s="305">
        <v>1</v>
      </c>
      <c r="TPM38" s="304">
        <f t="shared" ref="TPM38" si="4391">EDATE(TPI38,TPL38)</f>
        <v>45523</v>
      </c>
      <c r="TPN38" s="340">
        <v>0</v>
      </c>
      <c r="TPO38" s="320">
        <f t="shared" ref="TPO38" si="4392">IF(TPP38&gt;=1,(TPN38/TPL38),0)</f>
        <v>0</v>
      </c>
      <c r="TPP38" s="292"/>
      <c r="TPQ38" s="259" t="s">
        <v>55</v>
      </c>
      <c r="TPR38" s="256" t="s">
        <v>76</v>
      </c>
      <c r="TPS38" s="256" t="s">
        <v>77</v>
      </c>
      <c r="TPT38" s="256" t="s">
        <v>78</v>
      </c>
      <c r="TPU38" s="256" t="s">
        <v>79</v>
      </c>
      <c r="TPV38" s="256" t="s">
        <v>80</v>
      </c>
      <c r="TPW38" s="256" t="s">
        <v>81</v>
      </c>
      <c r="TPX38" s="331"/>
      <c r="TPY38" s="290">
        <v>45492</v>
      </c>
      <c r="TPZ38" s="339" t="s">
        <v>141</v>
      </c>
      <c r="TQA38" s="305"/>
      <c r="TQB38" s="305">
        <v>1</v>
      </c>
      <c r="TQC38" s="304">
        <f t="shared" ref="TQC38" si="4393">EDATE(TPY38,TQB38)</f>
        <v>45523</v>
      </c>
      <c r="TQD38" s="340">
        <v>0</v>
      </c>
      <c r="TQE38" s="320">
        <f t="shared" ref="TQE38" si="4394">IF(TQF38&gt;=1,(TQD38/TQB38),0)</f>
        <v>0</v>
      </c>
      <c r="TQF38" s="292"/>
      <c r="TQG38" s="259" t="s">
        <v>55</v>
      </c>
      <c r="TQH38" s="256" t="s">
        <v>76</v>
      </c>
      <c r="TQI38" s="256" t="s">
        <v>77</v>
      </c>
      <c r="TQJ38" s="256" t="s">
        <v>78</v>
      </c>
      <c r="TQK38" s="256" t="s">
        <v>79</v>
      </c>
      <c r="TQL38" s="256" t="s">
        <v>80</v>
      </c>
      <c r="TQM38" s="256" t="s">
        <v>81</v>
      </c>
      <c r="TQN38" s="331"/>
      <c r="TQO38" s="290">
        <v>45492</v>
      </c>
      <c r="TQP38" s="339" t="s">
        <v>141</v>
      </c>
      <c r="TQQ38" s="305"/>
      <c r="TQR38" s="305">
        <v>1</v>
      </c>
      <c r="TQS38" s="304">
        <f t="shared" ref="TQS38" si="4395">EDATE(TQO38,TQR38)</f>
        <v>45523</v>
      </c>
      <c r="TQT38" s="340">
        <v>0</v>
      </c>
      <c r="TQU38" s="320">
        <f t="shared" ref="TQU38" si="4396">IF(TQV38&gt;=1,(TQT38/TQR38),0)</f>
        <v>0</v>
      </c>
      <c r="TQV38" s="292"/>
      <c r="TQW38" s="259" t="s">
        <v>55</v>
      </c>
      <c r="TQX38" s="256" t="s">
        <v>76</v>
      </c>
      <c r="TQY38" s="256" t="s">
        <v>77</v>
      </c>
      <c r="TQZ38" s="256" t="s">
        <v>78</v>
      </c>
      <c r="TRA38" s="256" t="s">
        <v>79</v>
      </c>
      <c r="TRB38" s="256" t="s">
        <v>80</v>
      </c>
      <c r="TRC38" s="256" t="s">
        <v>81</v>
      </c>
      <c r="TRD38" s="331"/>
      <c r="TRE38" s="290">
        <v>45492</v>
      </c>
      <c r="TRF38" s="339" t="s">
        <v>141</v>
      </c>
      <c r="TRG38" s="305"/>
      <c r="TRH38" s="305">
        <v>1</v>
      </c>
      <c r="TRI38" s="304">
        <f t="shared" ref="TRI38" si="4397">EDATE(TRE38,TRH38)</f>
        <v>45523</v>
      </c>
      <c r="TRJ38" s="340">
        <v>0</v>
      </c>
      <c r="TRK38" s="320">
        <f t="shared" ref="TRK38" si="4398">IF(TRL38&gt;=1,(TRJ38/TRH38),0)</f>
        <v>0</v>
      </c>
      <c r="TRL38" s="292"/>
      <c r="TRM38" s="259" t="s">
        <v>55</v>
      </c>
      <c r="TRN38" s="256" t="s">
        <v>76</v>
      </c>
      <c r="TRO38" s="256" t="s">
        <v>77</v>
      </c>
      <c r="TRP38" s="256" t="s">
        <v>78</v>
      </c>
      <c r="TRQ38" s="256" t="s">
        <v>79</v>
      </c>
      <c r="TRR38" s="256" t="s">
        <v>80</v>
      </c>
      <c r="TRS38" s="256" t="s">
        <v>81</v>
      </c>
      <c r="TRT38" s="331"/>
      <c r="TRU38" s="290">
        <v>45492</v>
      </c>
      <c r="TRV38" s="339" t="s">
        <v>141</v>
      </c>
      <c r="TRW38" s="305"/>
      <c r="TRX38" s="305">
        <v>1</v>
      </c>
      <c r="TRY38" s="304">
        <f t="shared" ref="TRY38" si="4399">EDATE(TRU38,TRX38)</f>
        <v>45523</v>
      </c>
      <c r="TRZ38" s="340">
        <v>0</v>
      </c>
      <c r="TSA38" s="320">
        <f t="shared" ref="TSA38" si="4400">IF(TSB38&gt;=1,(TRZ38/TRX38),0)</f>
        <v>0</v>
      </c>
      <c r="TSB38" s="292"/>
      <c r="TSC38" s="259" t="s">
        <v>55</v>
      </c>
      <c r="TSD38" s="256" t="s">
        <v>76</v>
      </c>
      <c r="TSE38" s="256" t="s">
        <v>77</v>
      </c>
      <c r="TSF38" s="256" t="s">
        <v>78</v>
      </c>
      <c r="TSG38" s="256" t="s">
        <v>79</v>
      </c>
      <c r="TSH38" s="256" t="s">
        <v>80</v>
      </c>
      <c r="TSI38" s="256" t="s">
        <v>81</v>
      </c>
      <c r="TSJ38" s="331"/>
      <c r="TSK38" s="290">
        <v>45492</v>
      </c>
      <c r="TSL38" s="339" t="s">
        <v>141</v>
      </c>
      <c r="TSM38" s="305"/>
      <c r="TSN38" s="305">
        <v>1</v>
      </c>
      <c r="TSO38" s="304">
        <f t="shared" ref="TSO38" si="4401">EDATE(TSK38,TSN38)</f>
        <v>45523</v>
      </c>
      <c r="TSP38" s="340">
        <v>0</v>
      </c>
      <c r="TSQ38" s="320">
        <f t="shared" ref="TSQ38" si="4402">IF(TSR38&gt;=1,(TSP38/TSN38),0)</f>
        <v>0</v>
      </c>
      <c r="TSR38" s="292"/>
      <c r="TSS38" s="259" t="s">
        <v>55</v>
      </c>
      <c r="TST38" s="256" t="s">
        <v>76</v>
      </c>
      <c r="TSU38" s="256" t="s">
        <v>77</v>
      </c>
      <c r="TSV38" s="256" t="s">
        <v>78</v>
      </c>
      <c r="TSW38" s="256" t="s">
        <v>79</v>
      </c>
      <c r="TSX38" s="256" t="s">
        <v>80</v>
      </c>
      <c r="TSY38" s="256" t="s">
        <v>81</v>
      </c>
      <c r="TSZ38" s="331"/>
      <c r="TTA38" s="290">
        <v>45492</v>
      </c>
      <c r="TTB38" s="339" t="s">
        <v>141</v>
      </c>
      <c r="TTC38" s="305"/>
      <c r="TTD38" s="305">
        <v>1</v>
      </c>
      <c r="TTE38" s="304">
        <f t="shared" ref="TTE38" si="4403">EDATE(TTA38,TTD38)</f>
        <v>45523</v>
      </c>
      <c r="TTF38" s="340">
        <v>0</v>
      </c>
      <c r="TTG38" s="320">
        <f t="shared" ref="TTG38" si="4404">IF(TTH38&gt;=1,(TTF38/TTD38),0)</f>
        <v>0</v>
      </c>
      <c r="TTH38" s="292"/>
      <c r="TTI38" s="259" t="s">
        <v>55</v>
      </c>
      <c r="TTJ38" s="256" t="s">
        <v>76</v>
      </c>
      <c r="TTK38" s="256" t="s">
        <v>77</v>
      </c>
      <c r="TTL38" s="256" t="s">
        <v>78</v>
      </c>
      <c r="TTM38" s="256" t="s">
        <v>79</v>
      </c>
      <c r="TTN38" s="256" t="s">
        <v>80</v>
      </c>
      <c r="TTO38" s="256" t="s">
        <v>81</v>
      </c>
      <c r="TTP38" s="331"/>
      <c r="TTQ38" s="290">
        <v>45492</v>
      </c>
      <c r="TTR38" s="339" t="s">
        <v>141</v>
      </c>
      <c r="TTS38" s="305"/>
      <c r="TTT38" s="305">
        <v>1</v>
      </c>
      <c r="TTU38" s="304">
        <f t="shared" ref="TTU38" si="4405">EDATE(TTQ38,TTT38)</f>
        <v>45523</v>
      </c>
      <c r="TTV38" s="340">
        <v>0</v>
      </c>
      <c r="TTW38" s="320">
        <f t="shared" ref="TTW38" si="4406">IF(TTX38&gt;=1,(TTV38/TTT38),0)</f>
        <v>0</v>
      </c>
      <c r="TTX38" s="292"/>
      <c r="TTY38" s="259" t="s">
        <v>55</v>
      </c>
      <c r="TTZ38" s="256" t="s">
        <v>76</v>
      </c>
      <c r="TUA38" s="256" t="s">
        <v>77</v>
      </c>
      <c r="TUB38" s="256" t="s">
        <v>78</v>
      </c>
      <c r="TUC38" s="256" t="s">
        <v>79</v>
      </c>
      <c r="TUD38" s="256" t="s">
        <v>80</v>
      </c>
      <c r="TUE38" s="256" t="s">
        <v>81</v>
      </c>
      <c r="TUF38" s="331"/>
      <c r="TUG38" s="290">
        <v>45492</v>
      </c>
      <c r="TUH38" s="339" t="s">
        <v>141</v>
      </c>
      <c r="TUI38" s="305"/>
      <c r="TUJ38" s="305">
        <v>1</v>
      </c>
      <c r="TUK38" s="304">
        <f t="shared" ref="TUK38" si="4407">EDATE(TUG38,TUJ38)</f>
        <v>45523</v>
      </c>
      <c r="TUL38" s="340">
        <v>0</v>
      </c>
      <c r="TUM38" s="320">
        <f t="shared" ref="TUM38" si="4408">IF(TUN38&gt;=1,(TUL38/TUJ38),0)</f>
        <v>0</v>
      </c>
      <c r="TUN38" s="292"/>
      <c r="TUO38" s="259" t="s">
        <v>55</v>
      </c>
      <c r="TUP38" s="256" t="s">
        <v>76</v>
      </c>
      <c r="TUQ38" s="256" t="s">
        <v>77</v>
      </c>
      <c r="TUR38" s="256" t="s">
        <v>78</v>
      </c>
      <c r="TUS38" s="256" t="s">
        <v>79</v>
      </c>
      <c r="TUT38" s="256" t="s">
        <v>80</v>
      </c>
      <c r="TUU38" s="256" t="s">
        <v>81</v>
      </c>
      <c r="TUV38" s="331"/>
      <c r="TUW38" s="290">
        <v>45492</v>
      </c>
      <c r="TUX38" s="339" t="s">
        <v>141</v>
      </c>
      <c r="TUY38" s="305"/>
      <c r="TUZ38" s="305">
        <v>1</v>
      </c>
      <c r="TVA38" s="304">
        <f t="shared" ref="TVA38" si="4409">EDATE(TUW38,TUZ38)</f>
        <v>45523</v>
      </c>
      <c r="TVB38" s="340">
        <v>0</v>
      </c>
      <c r="TVC38" s="320">
        <f t="shared" ref="TVC38" si="4410">IF(TVD38&gt;=1,(TVB38/TUZ38),0)</f>
        <v>0</v>
      </c>
      <c r="TVD38" s="292"/>
      <c r="TVE38" s="259" t="s">
        <v>55</v>
      </c>
      <c r="TVF38" s="256" t="s">
        <v>76</v>
      </c>
      <c r="TVG38" s="256" t="s">
        <v>77</v>
      </c>
      <c r="TVH38" s="256" t="s">
        <v>78</v>
      </c>
      <c r="TVI38" s="256" t="s">
        <v>79</v>
      </c>
      <c r="TVJ38" s="256" t="s">
        <v>80</v>
      </c>
      <c r="TVK38" s="256" t="s">
        <v>81</v>
      </c>
      <c r="TVL38" s="331"/>
      <c r="TVM38" s="290">
        <v>45492</v>
      </c>
      <c r="TVN38" s="339" t="s">
        <v>141</v>
      </c>
      <c r="TVO38" s="305"/>
      <c r="TVP38" s="305">
        <v>1</v>
      </c>
      <c r="TVQ38" s="304">
        <f t="shared" ref="TVQ38" si="4411">EDATE(TVM38,TVP38)</f>
        <v>45523</v>
      </c>
      <c r="TVR38" s="340">
        <v>0</v>
      </c>
      <c r="TVS38" s="320">
        <f t="shared" ref="TVS38" si="4412">IF(TVT38&gt;=1,(TVR38/TVP38),0)</f>
        <v>0</v>
      </c>
      <c r="TVT38" s="292"/>
      <c r="TVU38" s="259" t="s">
        <v>55</v>
      </c>
      <c r="TVV38" s="256" t="s">
        <v>76</v>
      </c>
      <c r="TVW38" s="256" t="s">
        <v>77</v>
      </c>
      <c r="TVX38" s="256" t="s">
        <v>78</v>
      </c>
      <c r="TVY38" s="256" t="s">
        <v>79</v>
      </c>
      <c r="TVZ38" s="256" t="s">
        <v>80</v>
      </c>
      <c r="TWA38" s="256" t="s">
        <v>81</v>
      </c>
      <c r="TWB38" s="331"/>
      <c r="TWC38" s="290">
        <v>45492</v>
      </c>
      <c r="TWD38" s="339" t="s">
        <v>141</v>
      </c>
      <c r="TWE38" s="305"/>
      <c r="TWF38" s="305">
        <v>1</v>
      </c>
      <c r="TWG38" s="304">
        <f t="shared" ref="TWG38" si="4413">EDATE(TWC38,TWF38)</f>
        <v>45523</v>
      </c>
      <c r="TWH38" s="340">
        <v>0</v>
      </c>
      <c r="TWI38" s="320">
        <f t="shared" ref="TWI38" si="4414">IF(TWJ38&gt;=1,(TWH38/TWF38),0)</f>
        <v>0</v>
      </c>
      <c r="TWJ38" s="292"/>
      <c r="TWK38" s="259" t="s">
        <v>55</v>
      </c>
      <c r="TWL38" s="256" t="s">
        <v>76</v>
      </c>
      <c r="TWM38" s="256" t="s">
        <v>77</v>
      </c>
      <c r="TWN38" s="256" t="s">
        <v>78</v>
      </c>
      <c r="TWO38" s="256" t="s">
        <v>79</v>
      </c>
      <c r="TWP38" s="256" t="s">
        <v>80</v>
      </c>
      <c r="TWQ38" s="256" t="s">
        <v>81</v>
      </c>
      <c r="TWR38" s="331"/>
      <c r="TWS38" s="290">
        <v>45492</v>
      </c>
      <c r="TWT38" s="339" t="s">
        <v>141</v>
      </c>
      <c r="TWU38" s="305"/>
      <c r="TWV38" s="305">
        <v>1</v>
      </c>
      <c r="TWW38" s="304">
        <f t="shared" ref="TWW38" si="4415">EDATE(TWS38,TWV38)</f>
        <v>45523</v>
      </c>
      <c r="TWX38" s="340">
        <v>0</v>
      </c>
      <c r="TWY38" s="320">
        <f t="shared" ref="TWY38" si="4416">IF(TWZ38&gt;=1,(TWX38/TWV38),0)</f>
        <v>0</v>
      </c>
      <c r="TWZ38" s="292"/>
      <c r="TXA38" s="259" t="s">
        <v>55</v>
      </c>
      <c r="TXB38" s="256" t="s">
        <v>76</v>
      </c>
      <c r="TXC38" s="256" t="s">
        <v>77</v>
      </c>
      <c r="TXD38" s="256" t="s">
        <v>78</v>
      </c>
      <c r="TXE38" s="256" t="s">
        <v>79</v>
      </c>
      <c r="TXF38" s="256" t="s">
        <v>80</v>
      </c>
      <c r="TXG38" s="256" t="s">
        <v>81</v>
      </c>
      <c r="TXH38" s="331"/>
      <c r="TXI38" s="290">
        <v>45492</v>
      </c>
      <c r="TXJ38" s="339" t="s">
        <v>141</v>
      </c>
      <c r="TXK38" s="305"/>
      <c r="TXL38" s="305">
        <v>1</v>
      </c>
      <c r="TXM38" s="304">
        <f t="shared" ref="TXM38" si="4417">EDATE(TXI38,TXL38)</f>
        <v>45523</v>
      </c>
      <c r="TXN38" s="340">
        <v>0</v>
      </c>
      <c r="TXO38" s="320">
        <f t="shared" ref="TXO38" si="4418">IF(TXP38&gt;=1,(TXN38/TXL38),0)</f>
        <v>0</v>
      </c>
      <c r="TXP38" s="292"/>
      <c r="TXQ38" s="259" t="s">
        <v>55</v>
      </c>
      <c r="TXR38" s="256" t="s">
        <v>76</v>
      </c>
      <c r="TXS38" s="256" t="s">
        <v>77</v>
      </c>
      <c r="TXT38" s="256" t="s">
        <v>78</v>
      </c>
      <c r="TXU38" s="256" t="s">
        <v>79</v>
      </c>
      <c r="TXV38" s="256" t="s">
        <v>80</v>
      </c>
      <c r="TXW38" s="256" t="s">
        <v>81</v>
      </c>
      <c r="TXX38" s="331"/>
      <c r="TXY38" s="290">
        <v>45492</v>
      </c>
      <c r="TXZ38" s="339" t="s">
        <v>141</v>
      </c>
      <c r="TYA38" s="305"/>
      <c r="TYB38" s="305">
        <v>1</v>
      </c>
      <c r="TYC38" s="304">
        <f t="shared" ref="TYC38" si="4419">EDATE(TXY38,TYB38)</f>
        <v>45523</v>
      </c>
      <c r="TYD38" s="340">
        <v>0</v>
      </c>
      <c r="TYE38" s="320">
        <f t="shared" ref="TYE38" si="4420">IF(TYF38&gt;=1,(TYD38/TYB38),0)</f>
        <v>0</v>
      </c>
      <c r="TYF38" s="292"/>
      <c r="TYG38" s="259" t="s">
        <v>55</v>
      </c>
      <c r="TYH38" s="256" t="s">
        <v>76</v>
      </c>
      <c r="TYI38" s="256" t="s">
        <v>77</v>
      </c>
      <c r="TYJ38" s="256" t="s">
        <v>78</v>
      </c>
      <c r="TYK38" s="256" t="s">
        <v>79</v>
      </c>
      <c r="TYL38" s="256" t="s">
        <v>80</v>
      </c>
      <c r="TYM38" s="256" t="s">
        <v>81</v>
      </c>
      <c r="TYN38" s="331"/>
      <c r="TYO38" s="290">
        <v>45492</v>
      </c>
      <c r="TYP38" s="339" t="s">
        <v>141</v>
      </c>
      <c r="TYQ38" s="305"/>
      <c r="TYR38" s="305">
        <v>1</v>
      </c>
      <c r="TYS38" s="304">
        <f t="shared" ref="TYS38" si="4421">EDATE(TYO38,TYR38)</f>
        <v>45523</v>
      </c>
      <c r="TYT38" s="340">
        <v>0</v>
      </c>
      <c r="TYU38" s="320">
        <f t="shared" ref="TYU38" si="4422">IF(TYV38&gt;=1,(TYT38/TYR38),0)</f>
        <v>0</v>
      </c>
      <c r="TYV38" s="292"/>
      <c r="TYW38" s="259" t="s">
        <v>55</v>
      </c>
      <c r="TYX38" s="256" t="s">
        <v>76</v>
      </c>
      <c r="TYY38" s="256" t="s">
        <v>77</v>
      </c>
      <c r="TYZ38" s="256" t="s">
        <v>78</v>
      </c>
      <c r="TZA38" s="256" t="s">
        <v>79</v>
      </c>
      <c r="TZB38" s="256" t="s">
        <v>80</v>
      </c>
      <c r="TZC38" s="256" t="s">
        <v>81</v>
      </c>
      <c r="TZD38" s="331"/>
      <c r="TZE38" s="290">
        <v>45492</v>
      </c>
      <c r="TZF38" s="339" t="s">
        <v>141</v>
      </c>
      <c r="TZG38" s="305"/>
      <c r="TZH38" s="305">
        <v>1</v>
      </c>
      <c r="TZI38" s="304">
        <f t="shared" ref="TZI38" si="4423">EDATE(TZE38,TZH38)</f>
        <v>45523</v>
      </c>
      <c r="TZJ38" s="340">
        <v>0</v>
      </c>
      <c r="TZK38" s="320">
        <f t="shared" ref="TZK38" si="4424">IF(TZL38&gt;=1,(TZJ38/TZH38),0)</f>
        <v>0</v>
      </c>
      <c r="TZL38" s="292"/>
      <c r="TZM38" s="259" t="s">
        <v>55</v>
      </c>
      <c r="TZN38" s="256" t="s">
        <v>76</v>
      </c>
      <c r="TZO38" s="256" t="s">
        <v>77</v>
      </c>
      <c r="TZP38" s="256" t="s">
        <v>78</v>
      </c>
      <c r="TZQ38" s="256" t="s">
        <v>79</v>
      </c>
      <c r="TZR38" s="256" t="s">
        <v>80</v>
      </c>
      <c r="TZS38" s="256" t="s">
        <v>81</v>
      </c>
      <c r="TZT38" s="331"/>
      <c r="TZU38" s="290">
        <v>45492</v>
      </c>
      <c r="TZV38" s="339" t="s">
        <v>141</v>
      </c>
      <c r="TZW38" s="305"/>
      <c r="TZX38" s="305">
        <v>1</v>
      </c>
      <c r="TZY38" s="304">
        <f t="shared" ref="TZY38" si="4425">EDATE(TZU38,TZX38)</f>
        <v>45523</v>
      </c>
      <c r="TZZ38" s="340">
        <v>0</v>
      </c>
      <c r="UAA38" s="320">
        <f t="shared" ref="UAA38" si="4426">IF(UAB38&gt;=1,(TZZ38/TZX38),0)</f>
        <v>0</v>
      </c>
      <c r="UAB38" s="292"/>
      <c r="UAC38" s="259" t="s">
        <v>55</v>
      </c>
      <c r="UAD38" s="256" t="s">
        <v>76</v>
      </c>
      <c r="UAE38" s="256" t="s">
        <v>77</v>
      </c>
      <c r="UAF38" s="256" t="s">
        <v>78</v>
      </c>
      <c r="UAG38" s="256" t="s">
        <v>79</v>
      </c>
      <c r="UAH38" s="256" t="s">
        <v>80</v>
      </c>
      <c r="UAI38" s="256" t="s">
        <v>81</v>
      </c>
      <c r="UAJ38" s="331"/>
      <c r="UAK38" s="290">
        <v>45492</v>
      </c>
      <c r="UAL38" s="339" t="s">
        <v>141</v>
      </c>
      <c r="UAM38" s="305"/>
      <c r="UAN38" s="305">
        <v>1</v>
      </c>
      <c r="UAO38" s="304">
        <f t="shared" ref="UAO38" si="4427">EDATE(UAK38,UAN38)</f>
        <v>45523</v>
      </c>
      <c r="UAP38" s="340">
        <v>0</v>
      </c>
      <c r="UAQ38" s="320">
        <f t="shared" ref="UAQ38" si="4428">IF(UAR38&gt;=1,(UAP38/UAN38),0)</f>
        <v>0</v>
      </c>
      <c r="UAR38" s="292"/>
      <c r="UAS38" s="259" t="s">
        <v>55</v>
      </c>
      <c r="UAT38" s="256" t="s">
        <v>76</v>
      </c>
      <c r="UAU38" s="256" t="s">
        <v>77</v>
      </c>
      <c r="UAV38" s="256" t="s">
        <v>78</v>
      </c>
      <c r="UAW38" s="256" t="s">
        <v>79</v>
      </c>
      <c r="UAX38" s="256" t="s">
        <v>80</v>
      </c>
      <c r="UAY38" s="256" t="s">
        <v>81</v>
      </c>
      <c r="UAZ38" s="331"/>
      <c r="UBA38" s="290">
        <v>45492</v>
      </c>
      <c r="UBB38" s="339" t="s">
        <v>141</v>
      </c>
      <c r="UBC38" s="305"/>
      <c r="UBD38" s="305">
        <v>1</v>
      </c>
      <c r="UBE38" s="304">
        <f t="shared" ref="UBE38" si="4429">EDATE(UBA38,UBD38)</f>
        <v>45523</v>
      </c>
      <c r="UBF38" s="340">
        <v>0</v>
      </c>
      <c r="UBG38" s="320">
        <f t="shared" ref="UBG38" si="4430">IF(UBH38&gt;=1,(UBF38/UBD38),0)</f>
        <v>0</v>
      </c>
      <c r="UBH38" s="292"/>
      <c r="UBI38" s="259" t="s">
        <v>55</v>
      </c>
      <c r="UBJ38" s="256" t="s">
        <v>76</v>
      </c>
      <c r="UBK38" s="256" t="s">
        <v>77</v>
      </c>
      <c r="UBL38" s="256" t="s">
        <v>78</v>
      </c>
      <c r="UBM38" s="256" t="s">
        <v>79</v>
      </c>
      <c r="UBN38" s="256" t="s">
        <v>80</v>
      </c>
      <c r="UBO38" s="256" t="s">
        <v>81</v>
      </c>
      <c r="UBP38" s="331"/>
      <c r="UBQ38" s="290">
        <v>45492</v>
      </c>
      <c r="UBR38" s="339" t="s">
        <v>141</v>
      </c>
      <c r="UBS38" s="305"/>
      <c r="UBT38" s="305">
        <v>1</v>
      </c>
      <c r="UBU38" s="304">
        <f t="shared" ref="UBU38" si="4431">EDATE(UBQ38,UBT38)</f>
        <v>45523</v>
      </c>
      <c r="UBV38" s="340">
        <v>0</v>
      </c>
      <c r="UBW38" s="320">
        <f t="shared" ref="UBW38" si="4432">IF(UBX38&gt;=1,(UBV38/UBT38),0)</f>
        <v>0</v>
      </c>
      <c r="UBX38" s="292"/>
      <c r="UBY38" s="259" t="s">
        <v>55</v>
      </c>
      <c r="UBZ38" s="256" t="s">
        <v>76</v>
      </c>
      <c r="UCA38" s="256" t="s">
        <v>77</v>
      </c>
      <c r="UCB38" s="256" t="s">
        <v>78</v>
      </c>
      <c r="UCC38" s="256" t="s">
        <v>79</v>
      </c>
      <c r="UCD38" s="256" t="s">
        <v>80</v>
      </c>
      <c r="UCE38" s="256" t="s">
        <v>81</v>
      </c>
      <c r="UCF38" s="331"/>
      <c r="UCG38" s="290">
        <v>45492</v>
      </c>
      <c r="UCH38" s="339" t="s">
        <v>141</v>
      </c>
      <c r="UCI38" s="305"/>
      <c r="UCJ38" s="305">
        <v>1</v>
      </c>
      <c r="UCK38" s="304">
        <f t="shared" ref="UCK38" si="4433">EDATE(UCG38,UCJ38)</f>
        <v>45523</v>
      </c>
      <c r="UCL38" s="340">
        <v>0</v>
      </c>
      <c r="UCM38" s="320">
        <f t="shared" ref="UCM38" si="4434">IF(UCN38&gt;=1,(UCL38/UCJ38),0)</f>
        <v>0</v>
      </c>
      <c r="UCN38" s="292"/>
      <c r="UCO38" s="259" t="s">
        <v>55</v>
      </c>
      <c r="UCP38" s="256" t="s">
        <v>76</v>
      </c>
      <c r="UCQ38" s="256" t="s">
        <v>77</v>
      </c>
      <c r="UCR38" s="256" t="s">
        <v>78</v>
      </c>
      <c r="UCS38" s="256" t="s">
        <v>79</v>
      </c>
      <c r="UCT38" s="256" t="s">
        <v>80</v>
      </c>
      <c r="UCU38" s="256" t="s">
        <v>81</v>
      </c>
      <c r="UCV38" s="331"/>
      <c r="UCW38" s="290">
        <v>45492</v>
      </c>
      <c r="UCX38" s="339" t="s">
        <v>141</v>
      </c>
      <c r="UCY38" s="305"/>
      <c r="UCZ38" s="305">
        <v>1</v>
      </c>
      <c r="UDA38" s="304">
        <f t="shared" ref="UDA38" si="4435">EDATE(UCW38,UCZ38)</f>
        <v>45523</v>
      </c>
      <c r="UDB38" s="340">
        <v>0</v>
      </c>
      <c r="UDC38" s="320">
        <f t="shared" ref="UDC38" si="4436">IF(UDD38&gt;=1,(UDB38/UCZ38),0)</f>
        <v>0</v>
      </c>
      <c r="UDD38" s="292"/>
      <c r="UDE38" s="259" t="s">
        <v>55</v>
      </c>
      <c r="UDF38" s="256" t="s">
        <v>76</v>
      </c>
      <c r="UDG38" s="256" t="s">
        <v>77</v>
      </c>
      <c r="UDH38" s="256" t="s">
        <v>78</v>
      </c>
      <c r="UDI38" s="256" t="s">
        <v>79</v>
      </c>
      <c r="UDJ38" s="256" t="s">
        <v>80</v>
      </c>
      <c r="UDK38" s="256" t="s">
        <v>81</v>
      </c>
      <c r="UDL38" s="331"/>
      <c r="UDM38" s="290">
        <v>45492</v>
      </c>
      <c r="UDN38" s="339" t="s">
        <v>141</v>
      </c>
      <c r="UDO38" s="305"/>
      <c r="UDP38" s="305">
        <v>1</v>
      </c>
      <c r="UDQ38" s="304">
        <f t="shared" ref="UDQ38" si="4437">EDATE(UDM38,UDP38)</f>
        <v>45523</v>
      </c>
      <c r="UDR38" s="340">
        <v>0</v>
      </c>
      <c r="UDS38" s="320">
        <f t="shared" ref="UDS38" si="4438">IF(UDT38&gt;=1,(UDR38/UDP38),0)</f>
        <v>0</v>
      </c>
      <c r="UDT38" s="292"/>
      <c r="UDU38" s="259" t="s">
        <v>55</v>
      </c>
      <c r="UDV38" s="256" t="s">
        <v>76</v>
      </c>
      <c r="UDW38" s="256" t="s">
        <v>77</v>
      </c>
      <c r="UDX38" s="256" t="s">
        <v>78</v>
      </c>
      <c r="UDY38" s="256" t="s">
        <v>79</v>
      </c>
      <c r="UDZ38" s="256" t="s">
        <v>80</v>
      </c>
      <c r="UEA38" s="256" t="s">
        <v>81</v>
      </c>
      <c r="UEB38" s="331"/>
      <c r="UEC38" s="290">
        <v>45492</v>
      </c>
      <c r="UED38" s="339" t="s">
        <v>141</v>
      </c>
      <c r="UEE38" s="305"/>
      <c r="UEF38" s="305">
        <v>1</v>
      </c>
      <c r="UEG38" s="304">
        <f t="shared" ref="UEG38" si="4439">EDATE(UEC38,UEF38)</f>
        <v>45523</v>
      </c>
      <c r="UEH38" s="340">
        <v>0</v>
      </c>
      <c r="UEI38" s="320">
        <f t="shared" ref="UEI38" si="4440">IF(UEJ38&gt;=1,(UEH38/UEF38),0)</f>
        <v>0</v>
      </c>
      <c r="UEJ38" s="292"/>
      <c r="UEK38" s="259" t="s">
        <v>55</v>
      </c>
      <c r="UEL38" s="256" t="s">
        <v>76</v>
      </c>
      <c r="UEM38" s="256" t="s">
        <v>77</v>
      </c>
      <c r="UEN38" s="256" t="s">
        <v>78</v>
      </c>
      <c r="UEO38" s="256" t="s">
        <v>79</v>
      </c>
      <c r="UEP38" s="256" t="s">
        <v>80</v>
      </c>
      <c r="UEQ38" s="256" t="s">
        <v>81</v>
      </c>
      <c r="UER38" s="331"/>
      <c r="UES38" s="290">
        <v>45492</v>
      </c>
      <c r="UET38" s="339" t="s">
        <v>141</v>
      </c>
      <c r="UEU38" s="305"/>
      <c r="UEV38" s="305">
        <v>1</v>
      </c>
      <c r="UEW38" s="304">
        <f t="shared" ref="UEW38" si="4441">EDATE(UES38,UEV38)</f>
        <v>45523</v>
      </c>
      <c r="UEX38" s="340">
        <v>0</v>
      </c>
      <c r="UEY38" s="320">
        <f t="shared" ref="UEY38" si="4442">IF(UEZ38&gt;=1,(UEX38/UEV38),0)</f>
        <v>0</v>
      </c>
      <c r="UEZ38" s="292"/>
      <c r="UFA38" s="259" t="s">
        <v>55</v>
      </c>
      <c r="UFB38" s="256" t="s">
        <v>76</v>
      </c>
      <c r="UFC38" s="256" t="s">
        <v>77</v>
      </c>
      <c r="UFD38" s="256" t="s">
        <v>78</v>
      </c>
      <c r="UFE38" s="256" t="s">
        <v>79</v>
      </c>
      <c r="UFF38" s="256" t="s">
        <v>80</v>
      </c>
      <c r="UFG38" s="256" t="s">
        <v>81</v>
      </c>
      <c r="UFH38" s="331"/>
      <c r="UFI38" s="290">
        <v>45492</v>
      </c>
      <c r="UFJ38" s="339" t="s">
        <v>141</v>
      </c>
      <c r="UFK38" s="305"/>
      <c r="UFL38" s="305">
        <v>1</v>
      </c>
      <c r="UFM38" s="304">
        <f t="shared" ref="UFM38" si="4443">EDATE(UFI38,UFL38)</f>
        <v>45523</v>
      </c>
      <c r="UFN38" s="340">
        <v>0</v>
      </c>
      <c r="UFO38" s="320">
        <f t="shared" ref="UFO38" si="4444">IF(UFP38&gt;=1,(UFN38/UFL38),0)</f>
        <v>0</v>
      </c>
      <c r="UFP38" s="292"/>
      <c r="UFQ38" s="259" t="s">
        <v>55</v>
      </c>
      <c r="UFR38" s="256" t="s">
        <v>76</v>
      </c>
      <c r="UFS38" s="256" t="s">
        <v>77</v>
      </c>
      <c r="UFT38" s="256" t="s">
        <v>78</v>
      </c>
      <c r="UFU38" s="256" t="s">
        <v>79</v>
      </c>
      <c r="UFV38" s="256" t="s">
        <v>80</v>
      </c>
      <c r="UFW38" s="256" t="s">
        <v>81</v>
      </c>
      <c r="UFX38" s="331"/>
      <c r="UFY38" s="290">
        <v>45492</v>
      </c>
      <c r="UFZ38" s="339" t="s">
        <v>141</v>
      </c>
      <c r="UGA38" s="305"/>
      <c r="UGB38" s="305">
        <v>1</v>
      </c>
      <c r="UGC38" s="304">
        <f t="shared" ref="UGC38" si="4445">EDATE(UFY38,UGB38)</f>
        <v>45523</v>
      </c>
      <c r="UGD38" s="340">
        <v>0</v>
      </c>
      <c r="UGE38" s="320">
        <f t="shared" ref="UGE38" si="4446">IF(UGF38&gt;=1,(UGD38/UGB38),0)</f>
        <v>0</v>
      </c>
      <c r="UGF38" s="292"/>
      <c r="UGG38" s="259" t="s">
        <v>55</v>
      </c>
      <c r="UGH38" s="256" t="s">
        <v>76</v>
      </c>
      <c r="UGI38" s="256" t="s">
        <v>77</v>
      </c>
      <c r="UGJ38" s="256" t="s">
        <v>78</v>
      </c>
      <c r="UGK38" s="256" t="s">
        <v>79</v>
      </c>
      <c r="UGL38" s="256" t="s">
        <v>80</v>
      </c>
      <c r="UGM38" s="256" t="s">
        <v>81</v>
      </c>
      <c r="UGN38" s="331"/>
      <c r="UGO38" s="290">
        <v>45492</v>
      </c>
      <c r="UGP38" s="339" t="s">
        <v>141</v>
      </c>
      <c r="UGQ38" s="305"/>
      <c r="UGR38" s="305">
        <v>1</v>
      </c>
      <c r="UGS38" s="304">
        <f t="shared" ref="UGS38" si="4447">EDATE(UGO38,UGR38)</f>
        <v>45523</v>
      </c>
      <c r="UGT38" s="340">
        <v>0</v>
      </c>
      <c r="UGU38" s="320">
        <f t="shared" ref="UGU38" si="4448">IF(UGV38&gt;=1,(UGT38/UGR38),0)</f>
        <v>0</v>
      </c>
      <c r="UGV38" s="292"/>
      <c r="UGW38" s="259" t="s">
        <v>55</v>
      </c>
      <c r="UGX38" s="256" t="s">
        <v>76</v>
      </c>
      <c r="UGY38" s="256" t="s">
        <v>77</v>
      </c>
      <c r="UGZ38" s="256" t="s">
        <v>78</v>
      </c>
      <c r="UHA38" s="256" t="s">
        <v>79</v>
      </c>
      <c r="UHB38" s="256" t="s">
        <v>80</v>
      </c>
      <c r="UHC38" s="256" t="s">
        <v>81</v>
      </c>
      <c r="UHD38" s="331"/>
      <c r="UHE38" s="290">
        <v>45492</v>
      </c>
      <c r="UHF38" s="339" t="s">
        <v>141</v>
      </c>
      <c r="UHG38" s="305"/>
      <c r="UHH38" s="305">
        <v>1</v>
      </c>
      <c r="UHI38" s="304">
        <f t="shared" ref="UHI38" si="4449">EDATE(UHE38,UHH38)</f>
        <v>45523</v>
      </c>
      <c r="UHJ38" s="340">
        <v>0</v>
      </c>
      <c r="UHK38" s="320">
        <f t="shared" ref="UHK38" si="4450">IF(UHL38&gt;=1,(UHJ38/UHH38),0)</f>
        <v>0</v>
      </c>
      <c r="UHL38" s="292"/>
      <c r="UHM38" s="259" t="s">
        <v>55</v>
      </c>
      <c r="UHN38" s="256" t="s">
        <v>76</v>
      </c>
      <c r="UHO38" s="256" t="s">
        <v>77</v>
      </c>
      <c r="UHP38" s="256" t="s">
        <v>78</v>
      </c>
      <c r="UHQ38" s="256" t="s">
        <v>79</v>
      </c>
      <c r="UHR38" s="256" t="s">
        <v>80</v>
      </c>
      <c r="UHS38" s="256" t="s">
        <v>81</v>
      </c>
      <c r="UHT38" s="331"/>
      <c r="UHU38" s="290">
        <v>45492</v>
      </c>
      <c r="UHV38" s="339" t="s">
        <v>141</v>
      </c>
      <c r="UHW38" s="305"/>
      <c r="UHX38" s="305">
        <v>1</v>
      </c>
      <c r="UHY38" s="304">
        <f t="shared" ref="UHY38" si="4451">EDATE(UHU38,UHX38)</f>
        <v>45523</v>
      </c>
      <c r="UHZ38" s="340">
        <v>0</v>
      </c>
      <c r="UIA38" s="320">
        <f t="shared" ref="UIA38" si="4452">IF(UIB38&gt;=1,(UHZ38/UHX38),0)</f>
        <v>0</v>
      </c>
      <c r="UIB38" s="292"/>
      <c r="UIC38" s="259" t="s">
        <v>55</v>
      </c>
      <c r="UID38" s="256" t="s">
        <v>76</v>
      </c>
      <c r="UIE38" s="256" t="s">
        <v>77</v>
      </c>
      <c r="UIF38" s="256" t="s">
        <v>78</v>
      </c>
      <c r="UIG38" s="256" t="s">
        <v>79</v>
      </c>
      <c r="UIH38" s="256" t="s">
        <v>80</v>
      </c>
      <c r="UII38" s="256" t="s">
        <v>81</v>
      </c>
      <c r="UIJ38" s="331"/>
      <c r="UIK38" s="290">
        <v>45492</v>
      </c>
      <c r="UIL38" s="339" t="s">
        <v>141</v>
      </c>
      <c r="UIM38" s="305"/>
      <c r="UIN38" s="305">
        <v>1</v>
      </c>
      <c r="UIO38" s="304">
        <f t="shared" ref="UIO38" si="4453">EDATE(UIK38,UIN38)</f>
        <v>45523</v>
      </c>
      <c r="UIP38" s="340">
        <v>0</v>
      </c>
      <c r="UIQ38" s="320">
        <f t="shared" ref="UIQ38" si="4454">IF(UIR38&gt;=1,(UIP38/UIN38),0)</f>
        <v>0</v>
      </c>
      <c r="UIR38" s="292"/>
      <c r="UIS38" s="259" t="s">
        <v>55</v>
      </c>
      <c r="UIT38" s="256" t="s">
        <v>76</v>
      </c>
      <c r="UIU38" s="256" t="s">
        <v>77</v>
      </c>
      <c r="UIV38" s="256" t="s">
        <v>78</v>
      </c>
      <c r="UIW38" s="256" t="s">
        <v>79</v>
      </c>
      <c r="UIX38" s="256" t="s">
        <v>80</v>
      </c>
      <c r="UIY38" s="256" t="s">
        <v>81</v>
      </c>
      <c r="UIZ38" s="331"/>
      <c r="UJA38" s="290">
        <v>45492</v>
      </c>
      <c r="UJB38" s="339" t="s">
        <v>141</v>
      </c>
      <c r="UJC38" s="305"/>
      <c r="UJD38" s="305">
        <v>1</v>
      </c>
      <c r="UJE38" s="304">
        <f t="shared" ref="UJE38" si="4455">EDATE(UJA38,UJD38)</f>
        <v>45523</v>
      </c>
      <c r="UJF38" s="340">
        <v>0</v>
      </c>
      <c r="UJG38" s="320">
        <f t="shared" ref="UJG38" si="4456">IF(UJH38&gt;=1,(UJF38/UJD38),0)</f>
        <v>0</v>
      </c>
      <c r="UJH38" s="292"/>
      <c r="UJI38" s="259" t="s">
        <v>55</v>
      </c>
      <c r="UJJ38" s="256" t="s">
        <v>76</v>
      </c>
      <c r="UJK38" s="256" t="s">
        <v>77</v>
      </c>
      <c r="UJL38" s="256" t="s">
        <v>78</v>
      </c>
      <c r="UJM38" s="256" t="s">
        <v>79</v>
      </c>
      <c r="UJN38" s="256" t="s">
        <v>80</v>
      </c>
      <c r="UJO38" s="256" t="s">
        <v>81</v>
      </c>
      <c r="UJP38" s="331"/>
      <c r="UJQ38" s="290">
        <v>45492</v>
      </c>
      <c r="UJR38" s="339" t="s">
        <v>141</v>
      </c>
      <c r="UJS38" s="305"/>
      <c r="UJT38" s="305">
        <v>1</v>
      </c>
      <c r="UJU38" s="304">
        <f t="shared" ref="UJU38" si="4457">EDATE(UJQ38,UJT38)</f>
        <v>45523</v>
      </c>
      <c r="UJV38" s="340">
        <v>0</v>
      </c>
      <c r="UJW38" s="320">
        <f t="shared" ref="UJW38" si="4458">IF(UJX38&gt;=1,(UJV38/UJT38),0)</f>
        <v>0</v>
      </c>
      <c r="UJX38" s="292"/>
      <c r="UJY38" s="259" t="s">
        <v>55</v>
      </c>
      <c r="UJZ38" s="256" t="s">
        <v>76</v>
      </c>
      <c r="UKA38" s="256" t="s">
        <v>77</v>
      </c>
      <c r="UKB38" s="256" t="s">
        <v>78</v>
      </c>
      <c r="UKC38" s="256" t="s">
        <v>79</v>
      </c>
      <c r="UKD38" s="256" t="s">
        <v>80</v>
      </c>
      <c r="UKE38" s="256" t="s">
        <v>81</v>
      </c>
      <c r="UKF38" s="331"/>
      <c r="UKG38" s="290">
        <v>45492</v>
      </c>
      <c r="UKH38" s="339" t="s">
        <v>141</v>
      </c>
      <c r="UKI38" s="305"/>
      <c r="UKJ38" s="305">
        <v>1</v>
      </c>
      <c r="UKK38" s="304">
        <f t="shared" ref="UKK38" si="4459">EDATE(UKG38,UKJ38)</f>
        <v>45523</v>
      </c>
      <c r="UKL38" s="340">
        <v>0</v>
      </c>
      <c r="UKM38" s="320">
        <f t="shared" ref="UKM38" si="4460">IF(UKN38&gt;=1,(UKL38/UKJ38),0)</f>
        <v>0</v>
      </c>
      <c r="UKN38" s="292"/>
      <c r="UKO38" s="259" t="s">
        <v>55</v>
      </c>
      <c r="UKP38" s="256" t="s">
        <v>76</v>
      </c>
      <c r="UKQ38" s="256" t="s">
        <v>77</v>
      </c>
      <c r="UKR38" s="256" t="s">
        <v>78</v>
      </c>
      <c r="UKS38" s="256" t="s">
        <v>79</v>
      </c>
      <c r="UKT38" s="256" t="s">
        <v>80</v>
      </c>
      <c r="UKU38" s="256" t="s">
        <v>81</v>
      </c>
      <c r="UKV38" s="331"/>
      <c r="UKW38" s="290">
        <v>45492</v>
      </c>
      <c r="UKX38" s="339" t="s">
        <v>141</v>
      </c>
      <c r="UKY38" s="305"/>
      <c r="UKZ38" s="305">
        <v>1</v>
      </c>
      <c r="ULA38" s="304">
        <f t="shared" ref="ULA38" si="4461">EDATE(UKW38,UKZ38)</f>
        <v>45523</v>
      </c>
      <c r="ULB38" s="340">
        <v>0</v>
      </c>
      <c r="ULC38" s="320">
        <f t="shared" ref="ULC38" si="4462">IF(ULD38&gt;=1,(ULB38/UKZ38),0)</f>
        <v>0</v>
      </c>
      <c r="ULD38" s="292"/>
      <c r="ULE38" s="259" t="s">
        <v>55</v>
      </c>
      <c r="ULF38" s="256" t="s">
        <v>76</v>
      </c>
      <c r="ULG38" s="256" t="s">
        <v>77</v>
      </c>
      <c r="ULH38" s="256" t="s">
        <v>78</v>
      </c>
      <c r="ULI38" s="256" t="s">
        <v>79</v>
      </c>
      <c r="ULJ38" s="256" t="s">
        <v>80</v>
      </c>
      <c r="ULK38" s="256" t="s">
        <v>81</v>
      </c>
      <c r="ULL38" s="331"/>
      <c r="ULM38" s="290">
        <v>45492</v>
      </c>
      <c r="ULN38" s="339" t="s">
        <v>141</v>
      </c>
      <c r="ULO38" s="305"/>
      <c r="ULP38" s="305">
        <v>1</v>
      </c>
      <c r="ULQ38" s="304">
        <f t="shared" ref="ULQ38" si="4463">EDATE(ULM38,ULP38)</f>
        <v>45523</v>
      </c>
      <c r="ULR38" s="340">
        <v>0</v>
      </c>
      <c r="ULS38" s="320">
        <f t="shared" ref="ULS38" si="4464">IF(ULT38&gt;=1,(ULR38/ULP38),0)</f>
        <v>0</v>
      </c>
      <c r="ULT38" s="292"/>
      <c r="ULU38" s="259" t="s">
        <v>55</v>
      </c>
      <c r="ULV38" s="256" t="s">
        <v>76</v>
      </c>
      <c r="ULW38" s="256" t="s">
        <v>77</v>
      </c>
      <c r="ULX38" s="256" t="s">
        <v>78</v>
      </c>
      <c r="ULY38" s="256" t="s">
        <v>79</v>
      </c>
      <c r="ULZ38" s="256" t="s">
        <v>80</v>
      </c>
      <c r="UMA38" s="256" t="s">
        <v>81</v>
      </c>
      <c r="UMB38" s="331"/>
      <c r="UMC38" s="290">
        <v>45492</v>
      </c>
      <c r="UMD38" s="339" t="s">
        <v>141</v>
      </c>
      <c r="UME38" s="305"/>
      <c r="UMF38" s="305">
        <v>1</v>
      </c>
      <c r="UMG38" s="304">
        <f t="shared" ref="UMG38" si="4465">EDATE(UMC38,UMF38)</f>
        <v>45523</v>
      </c>
      <c r="UMH38" s="340">
        <v>0</v>
      </c>
      <c r="UMI38" s="320">
        <f t="shared" ref="UMI38" si="4466">IF(UMJ38&gt;=1,(UMH38/UMF38),0)</f>
        <v>0</v>
      </c>
      <c r="UMJ38" s="292"/>
      <c r="UMK38" s="259" t="s">
        <v>55</v>
      </c>
      <c r="UML38" s="256" t="s">
        <v>76</v>
      </c>
      <c r="UMM38" s="256" t="s">
        <v>77</v>
      </c>
      <c r="UMN38" s="256" t="s">
        <v>78</v>
      </c>
      <c r="UMO38" s="256" t="s">
        <v>79</v>
      </c>
      <c r="UMP38" s="256" t="s">
        <v>80</v>
      </c>
      <c r="UMQ38" s="256" t="s">
        <v>81</v>
      </c>
      <c r="UMR38" s="331"/>
      <c r="UMS38" s="290">
        <v>45492</v>
      </c>
      <c r="UMT38" s="339" t="s">
        <v>141</v>
      </c>
      <c r="UMU38" s="305"/>
      <c r="UMV38" s="305">
        <v>1</v>
      </c>
      <c r="UMW38" s="304">
        <f t="shared" ref="UMW38" si="4467">EDATE(UMS38,UMV38)</f>
        <v>45523</v>
      </c>
      <c r="UMX38" s="340">
        <v>0</v>
      </c>
      <c r="UMY38" s="320">
        <f t="shared" ref="UMY38" si="4468">IF(UMZ38&gt;=1,(UMX38/UMV38),0)</f>
        <v>0</v>
      </c>
      <c r="UMZ38" s="292"/>
      <c r="UNA38" s="259" t="s">
        <v>55</v>
      </c>
      <c r="UNB38" s="256" t="s">
        <v>76</v>
      </c>
      <c r="UNC38" s="256" t="s">
        <v>77</v>
      </c>
      <c r="UND38" s="256" t="s">
        <v>78</v>
      </c>
      <c r="UNE38" s="256" t="s">
        <v>79</v>
      </c>
      <c r="UNF38" s="256" t="s">
        <v>80</v>
      </c>
      <c r="UNG38" s="256" t="s">
        <v>81</v>
      </c>
      <c r="UNH38" s="331"/>
      <c r="UNI38" s="290">
        <v>45492</v>
      </c>
      <c r="UNJ38" s="339" t="s">
        <v>141</v>
      </c>
      <c r="UNK38" s="305"/>
      <c r="UNL38" s="305">
        <v>1</v>
      </c>
      <c r="UNM38" s="304">
        <f t="shared" ref="UNM38" si="4469">EDATE(UNI38,UNL38)</f>
        <v>45523</v>
      </c>
      <c r="UNN38" s="340">
        <v>0</v>
      </c>
      <c r="UNO38" s="320">
        <f t="shared" ref="UNO38" si="4470">IF(UNP38&gt;=1,(UNN38/UNL38),0)</f>
        <v>0</v>
      </c>
      <c r="UNP38" s="292"/>
      <c r="UNQ38" s="259" t="s">
        <v>55</v>
      </c>
      <c r="UNR38" s="256" t="s">
        <v>76</v>
      </c>
      <c r="UNS38" s="256" t="s">
        <v>77</v>
      </c>
      <c r="UNT38" s="256" t="s">
        <v>78</v>
      </c>
      <c r="UNU38" s="256" t="s">
        <v>79</v>
      </c>
      <c r="UNV38" s="256" t="s">
        <v>80</v>
      </c>
      <c r="UNW38" s="256" t="s">
        <v>81</v>
      </c>
      <c r="UNX38" s="331"/>
      <c r="UNY38" s="290">
        <v>45492</v>
      </c>
      <c r="UNZ38" s="339" t="s">
        <v>141</v>
      </c>
      <c r="UOA38" s="305"/>
      <c r="UOB38" s="305">
        <v>1</v>
      </c>
      <c r="UOC38" s="304">
        <f t="shared" ref="UOC38" si="4471">EDATE(UNY38,UOB38)</f>
        <v>45523</v>
      </c>
      <c r="UOD38" s="340">
        <v>0</v>
      </c>
      <c r="UOE38" s="320">
        <f t="shared" ref="UOE38" si="4472">IF(UOF38&gt;=1,(UOD38/UOB38),0)</f>
        <v>0</v>
      </c>
      <c r="UOF38" s="292"/>
      <c r="UOG38" s="259" t="s">
        <v>55</v>
      </c>
      <c r="UOH38" s="256" t="s">
        <v>76</v>
      </c>
      <c r="UOI38" s="256" t="s">
        <v>77</v>
      </c>
      <c r="UOJ38" s="256" t="s">
        <v>78</v>
      </c>
      <c r="UOK38" s="256" t="s">
        <v>79</v>
      </c>
      <c r="UOL38" s="256" t="s">
        <v>80</v>
      </c>
      <c r="UOM38" s="256" t="s">
        <v>81</v>
      </c>
      <c r="UON38" s="331"/>
      <c r="UOO38" s="290">
        <v>45492</v>
      </c>
      <c r="UOP38" s="339" t="s">
        <v>141</v>
      </c>
      <c r="UOQ38" s="305"/>
      <c r="UOR38" s="305">
        <v>1</v>
      </c>
      <c r="UOS38" s="304">
        <f t="shared" ref="UOS38" si="4473">EDATE(UOO38,UOR38)</f>
        <v>45523</v>
      </c>
      <c r="UOT38" s="340">
        <v>0</v>
      </c>
      <c r="UOU38" s="320">
        <f t="shared" ref="UOU38" si="4474">IF(UOV38&gt;=1,(UOT38/UOR38),0)</f>
        <v>0</v>
      </c>
      <c r="UOV38" s="292"/>
      <c r="UOW38" s="259" t="s">
        <v>55</v>
      </c>
      <c r="UOX38" s="256" t="s">
        <v>76</v>
      </c>
      <c r="UOY38" s="256" t="s">
        <v>77</v>
      </c>
      <c r="UOZ38" s="256" t="s">
        <v>78</v>
      </c>
      <c r="UPA38" s="256" t="s">
        <v>79</v>
      </c>
      <c r="UPB38" s="256" t="s">
        <v>80</v>
      </c>
      <c r="UPC38" s="256" t="s">
        <v>81</v>
      </c>
      <c r="UPD38" s="331"/>
      <c r="UPE38" s="290">
        <v>45492</v>
      </c>
      <c r="UPF38" s="339" t="s">
        <v>141</v>
      </c>
      <c r="UPG38" s="305"/>
      <c r="UPH38" s="305">
        <v>1</v>
      </c>
      <c r="UPI38" s="304">
        <f t="shared" ref="UPI38" si="4475">EDATE(UPE38,UPH38)</f>
        <v>45523</v>
      </c>
      <c r="UPJ38" s="340">
        <v>0</v>
      </c>
      <c r="UPK38" s="320">
        <f t="shared" ref="UPK38" si="4476">IF(UPL38&gt;=1,(UPJ38/UPH38),0)</f>
        <v>0</v>
      </c>
      <c r="UPL38" s="292"/>
      <c r="UPM38" s="259" t="s">
        <v>55</v>
      </c>
      <c r="UPN38" s="256" t="s">
        <v>76</v>
      </c>
      <c r="UPO38" s="256" t="s">
        <v>77</v>
      </c>
      <c r="UPP38" s="256" t="s">
        <v>78</v>
      </c>
      <c r="UPQ38" s="256" t="s">
        <v>79</v>
      </c>
      <c r="UPR38" s="256" t="s">
        <v>80</v>
      </c>
      <c r="UPS38" s="256" t="s">
        <v>81</v>
      </c>
      <c r="UPT38" s="331"/>
      <c r="UPU38" s="290">
        <v>45492</v>
      </c>
      <c r="UPV38" s="339" t="s">
        <v>141</v>
      </c>
      <c r="UPW38" s="305"/>
      <c r="UPX38" s="305">
        <v>1</v>
      </c>
      <c r="UPY38" s="304">
        <f t="shared" ref="UPY38" si="4477">EDATE(UPU38,UPX38)</f>
        <v>45523</v>
      </c>
      <c r="UPZ38" s="340">
        <v>0</v>
      </c>
      <c r="UQA38" s="320">
        <f t="shared" ref="UQA38" si="4478">IF(UQB38&gt;=1,(UPZ38/UPX38),0)</f>
        <v>0</v>
      </c>
      <c r="UQB38" s="292"/>
      <c r="UQC38" s="259" t="s">
        <v>55</v>
      </c>
      <c r="UQD38" s="256" t="s">
        <v>76</v>
      </c>
      <c r="UQE38" s="256" t="s">
        <v>77</v>
      </c>
      <c r="UQF38" s="256" t="s">
        <v>78</v>
      </c>
      <c r="UQG38" s="256" t="s">
        <v>79</v>
      </c>
      <c r="UQH38" s="256" t="s">
        <v>80</v>
      </c>
      <c r="UQI38" s="256" t="s">
        <v>81</v>
      </c>
      <c r="UQJ38" s="331"/>
      <c r="UQK38" s="290">
        <v>45492</v>
      </c>
      <c r="UQL38" s="339" t="s">
        <v>141</v>
      </c>
      <c r="UQM38" s="305"/>
      <c r="UQN38" s="305">
        <v>1</v>
      </c>
      <c r="UQO38" s="304">
        <f t="shared" ref="UQO38" si="4479">EDATE(UQK38,UQN38)</f>
        <v>45523</v>
      </c>
      <c r="UQP38" s="340">
        <v>0</v>
      </c>
      <c r="UQQ38" s="320">
        <f t="shared" ref="UQQ38" si="4480">IF(UQR38&gt;=1,(UQP38/UQN38),0)</f>
        <v>0</v>
      </c>
      <c r="UQR38" s="292"/>
      <c r="UQS38" s="259" t="s">
        <v>55</v>
      </c>
      <c r="UQT38" s="256" t="s">
        <v>76</v>
      </c>
      <c r="UQU38" s="256" t="s">
        <v>77</v>
      </c>
      <c r="UQV38" s="256" t="s">
        <v>78</v>
      </c>
      <c r="UQW38" s="256" t="s">
        <v>79</v>
      </c>
      <c r="UQX38" s="256" t="s">
        <v>80</v>
      </c>
      <c r="UQY38" s="256" t="s">
        <v>81</v>
      </c>
      <c r="UQZ38" s="331"/>
      <c r="URA38" s="290">
        <v>45492</v>
      </c>
      <c r="URB38" s="339" t="s">
        <v>141</v>
      </c>
      <c r="URC38" s="305"/>
      <c r="URD38" s="305">
        <v>1</v>
      </c>
      <c r="URE38" s="304">
        <f t="shared" ref="URE38" si="4481">EDATE(URA38,URD38)</f>
        <v>45523</v>
      </c>
      <c r="URF38" s="340">
        <v>0</v>
      </c>
      <c r="URG38" s="320">
        <f t="shared" ref="URG38" si="4482">IF(URH38&gt;=1,(URF38/URD38),0)</f>
        <v>0</v>
      </c>
      <c r="URH38" s="292"/>
      <c r="URI38" s="259" t="s">
        <v>55</v>
      </c>
      <c r="URJ38" s="256" t="s">
        <v>76</v>
      </c>
      <c r="URK38" s="256" t="s">
        <v>77</v>
      </c>
      <c r="URL38" s="256" t="s">
        <v>78</v>
      </c>
      <c r="URM38" s="256" t="s">
        <v>79</v>
      </c>
      <c r="URN38" s="256" t="s">
        <v>80</v>
      </c>
      <c r="URO38" s="256" t="s">
        <v>81</v>
      </c>
      <c r="URP38" s="331"/>
      <c r="URQ38" s="290">
        <v>45492</v>
      </c>
      <c r="URR38" s="339" t="s">
        <v>141</v>
      </c>
      <c r="URS38" s="305"/>
      <c r="URT38" s="305">
        <v>1</v>
      </c>
      <c r="URU38" s="304">
        <f t="shared" ref="URU38" si="4483">EDATE(URQ38,URT38)</f>
        <v>45523</v>
      </c>
      <c r="URV38" s="340">
        <v>0</v>
      </c>
      <c r="URW38" s="320">
        <f t="shared" ref="URW38" si="4484">IF(URX38&gt;=1,(URV38/URT38),0)</f>
        <v>0</v>
      </c>
      <c r="URX38" s="292"/>
      <c r="URY38" s="259" t="s">
        <v>55</v>
      </c>
      <c r="URZ38" s="256" t="s">
        <v>76</v>
      </c>
      <c r="USA38" s="256" t="s">
        <v>77</v>
      </c>
      <c r="USB38" s="256" t="s">
        <v>78</v>
      </c>
      <c r="USC38" s="256" t="s">
        <v>79</v>
      </c>
      <c r="USD38" s="256" t="s">
        <v>80</v>
      </c>
      <c r="USE38" s="256" t="s">
        <v>81</v>
      </c>
      <c r="USF38" s="331"/>
      <c r="USG38" s="290">
        <v>45492</v>
      </c>
      <c r="USH38" s="339" t="s">
        <v>141</v>
      </c>
      <c r="USI38" s="305"/>
      <c r="USJ38" s="305">
        <v>1</v>
      </c>
      <c r="USK38" s="304">
        <f t="shared" ref="USK38" si="4485">EDATE(USG38,USJ38)</f>
        <v>45523</v>
      </c>
      <c r="USL38" s="340">
        <v>0</v>
      </c>
      <c r="USM38" s="320">
        <f t="shared" ref="USM38" si="4486">IF(USN38&gt;=1,(USL38/USJ38),0)</f>
        <v>0</v>
      </c>
      <c r="USN38" s="292"/>
      <c r="USO38" s="259" t="s">
        <v>55</v>
      </c>
      <c r="USP38" s="256" t="s">
        <v>76</v>
      </c>
      <c r="USQ38" s="256" t="s">
        <v>77</v>
      </c>
      <c r="USR38" s="256" t="s">
        <v>78</v>
      </c>
      <c r="USS38" s="256" t="s">
        <v>79</v>
      </c>
      <c r="UST38" s="256" t="s">
        <v>80</v>
      </c>
      <c r="USU38" s="256" t="s">
        <v>81</v>
      </c>
      <c r="USV38" s="331"/>
      <c r="USW38" s="290">
        <v>45492</v>
      </c>
      <c r="USX38" s="339" t="s">
        <v>141</v>
      </c>
      <c r="USY38" s="305"/>
      <c r="USZ38" s="305">
        <v>1</v>
      </c>
      <c r="UTA38" s="304">
        <f t="shared" ref="UTA38" si="4487">EDATE(USW38,USZ38)</f>
        <v>45523</v>
      </c>
      <c r="UTB38" s="340">
        <v>0</v>
      </c>
      <c r="UTC38" s="320">
        <f t="shared" ref="UTC38" si="4488">IF(UTD38&gt;=1,(UTB38/USZ38),0)</f>
        <v>0</v>
      </c>
      <c r="UTD38" s="292"/>
      <c r="UTE38" s="259" t="s">
        <v>55</v>
      </c>
      <c r="UTF38" s="256" t="s">
        <v>76</v>
      </c>
      <c r="UTG38" s="256" t="s">
        <v>77</v>
      </c>
      <c r="UTH38" s="256" t="s">
        <v>78</v>
      </c>
      <c r="UTI38" s="256" t="s">
        <v>79</v>
      </c>
      <c r="UTJ38" s="256" t="s">
        <v>80</v>
      </c>
      <c r="UTK38" s="256" t="s">
        <v>81</v>
      </c>
      <c r="UTL38" s="331"/>
      <c r="UTM38" s="290">
        <v>45492</v>
      </c>
      <c r="UTN38" s="339" t="s">
        <v>141</v>
      </c>
      <c r="UTO38" s="305"/>
      <c r="UTP38" s="305">
        <v>1</v>
      </c>
      <c r="UTQ38" s="304">
        <f t="shared" ref="UTQ38" si="4489">EDATE(UTM38,UTP38)</f>
        <v>45523</v>
      </c>
      <c r="UTR38" s="340">
        <v>0</v>
      </c>
      <c r="UTS38" s="320">
        <f t="shared" ref="UTS38" si="4490">IF(UTT38&gt;=1,(UTR38/UTP38),0)</f>
        <v>0</v>
      </c>
      <c r="UTT38" s="292"/>
      <c r="UTU38" s="259" t="s">
        <v>55</v>
      </c>
      <c r="UTV38" s="256" t="s">
        <v>76</v>
      </c>
      <c r="UTW38" s="256" t="s">
        <v>77</v>
      </c>
      <c r="UTX38" s="256" t="s">
        <v>78</v>
      </c>
      <c r="UTY38" s="256" t="s">
        <v>79</v>
      </c>
      <c r="UTZ38" s="256" t="s">
        <v>80</v>
      </c>
      <c r="UUA38" s="256" t="s">
        <v>81</v>
      </c>
      <c r="UUB38" s="331"/>
      <c r="UUC38" s="290">
        <v>45492</v>
      </c>
      <c r="UUD38" s="339" t="s">
        <v>141</v>
      </c>
      <c r="UUE38" s="305"/>
      <c r="UUF38" s="305">
        <v>1</v>
      </c>
      <c r="UUG38" s="304">
        <f t="shared" ref="UUG38" si="4491">EDATE(UUC38,UUF38)</f>
        <v>45523</v>
      </c>
      <c r="UUH38" s="340">
        <v>0</v>
      </c>
      <c r="UUI38" s="320">
        <f t="shared" ref="UUI38" si="4492">IF(UUJ38&gt;=1,(UUH38/UUF38),0)</f>
        <v>0</v>
      </c>
      <c r="UUJ38" s="292"/>
      <c r="UUK38" s="259" t="s">
        <v>55</v>
      </c>
      <c r="UUL38" s="256" t="s">
        <v>76</v>
      </c>
      <c r="UUM38" s="256" t="s">
        <v>77</v>
      </c>
      <c r="UUN38" s="256" t="s">
        <v>78</v>
      </c>
      <c r="UUO38" s="256" t="s">
        <v>79</v>
      </c>
      <c r="UUP38" s="256" t="s">
        <v>80</v>
      </c>
      <c r="UUQ38" s="256" t="s">
        <v>81</v>
      </c>
      <c r="UUR38" s="331"/>
      <c r="UUS38" s="290">
        <v>45492</v>
      </c>
      <c r="UUT38" s="339" t="s">
        <v>141</v>
      </c>
      <c r="UUU38" s="305"/>
      <c r="UUV38" s="305">
        <v>1</v>
      </c>
      <c r="UUW38" s="304">
        <f t="shared" ref="UUW38" si="4493">EDATE(UUS38,UUV38)</f>
        <v>45523</v>
      </c>
      <c r="UUX38" s="340">
        <v>0</v>
      </c>
      <c r="UUY38" s="320">
        <f t="shared" ref="UUY38" si="4494">IF(UUZ38&gt;=1,(UUX38/UUV38),0)</f>
        <v>0</v>
      </c>
      <c r="UUZ38" s="292"/>
      <c r="UVA38" s="259" t="s">
        <v>55</v>
      </c>
      <c r="UVB38" s="256" t="s">
        <v>76</v>
      </c>
      <c r="UVC38" s="256" t="s">
        <v>77</v>
      </c>
      <c r="UVD38" s="256" t="s">
        <v>78</v>
      </c>
      <c r="UVE38" s="256" t="s">
        <v>79</v>
      </c>
      <c r="UVF38" s="256" t="s">
        <v>80</v>
      </c>
      <c r="UVG38" s="256" t="s">
        <v>81</v>
      </c>
      <c r="UVH38" s="331"/>
      <c r="UVI38" s="290">
        <v>45492</v>
      </c>
      <c r="UVJ38" s="339" t="s">
        <v>141</v>
      </c>
      <c r="UVK38" s="305"/>
      <c r="UVL38" s="305">
        <v>1</v>
      </c>
      <c r="UVM38" s="304">
        <f t="shared" ref="UVM38" si="4495">EDATE(UVI38,UVL38)</f>
        <v>45523</v>
      </c>
      <c r="UVN38" s="340">
        <v>0</v>
      </c>
      <c r="UVO38" s="320">
        <f t="shared" ref="UVO38" si="4496">IF(UVP38&gt;=1,(UVN38/UVL38),0)</f>
        <v>0</v>
      </c>
      <c r="UVP38" s="292"/>
      <c r="UVQ38" s="259" t="s">
        <v>55</v>
      </c>
      <c r="UVR38" s="256" t="s">
        <v>76</v>
      </c>
      <c r="UVS38" s="256" t="s">
        <v>77</v>
      </c>
      <c r="UVT38" s="256" t="s">
        <v>78</v>
      </c>
      <c r="UVU38" s="256" t="s">
        <v>79</v>
      </c>
      <c r="UVV38" s="256" t="s">
        <v>80</v>
      </c>
      <c r="UVW38" s="256" t="s">
        <v>81</v>
      </c>
      <c r="UVX38" s="331"/>
      <c r="UVY38" s="290">
        <v>45492</v>
      </c>
      <c r="UVZ38" s="339" t="s">
        <v>141</v>
      </c>
      <c r="UWA38" s="305"/>
      <c r="UWB38" s="305">
        <v>1</v>
      </c>
      <c r="UWC38" s="304">
        <f t="shared" ref="UWC38" si="4497">EDATE(UVY38,UWB38)</f>
        <v>45523</v>
      </c>
      <c r="UWD38" s="340">
        <v>0</v>
      </c>
      <c r="UWE38" s="320">
        <f t="shared" ref="UWE38" si="4498">IF(UWF38&gt;=1,(UWD38/UWB38),0)</f>
        <v>0</v>
      </c>
      <c r="UWF38" s="292"/>
      <c r="UWG38" s="259" t="s">
        <v>55</v>
      </c>
      <c r="UWH38" s="256" t="s">
        <v>76</v>
      </c>
      <c r="UWI38" s="256" t="s">
        <v>77</v>
      </c>
      <c r="UWJ38" s="256" t="s">
        <v>78</v>
      </c>
      <c r="UWK38" s="256" t="s">
        <v>79</v>
      </c>
      <c r="UWL38" s="256" t="s">
        <v>80</v>
      </c>
      <c r="UWM38" s="256" t="s">
        <v>81</v>
      </c>
      <c r="UWN38" s="331"/>
      <c r="UWO38" s="290">
        <v>45492</v>
      </c>
      <c r="UWP38" s="339" t="s">
        <v>141</v>
      </c>
      <c r="UWQ38" s="305"/>
      <c r="UWR38" s="305">
        <v>1</v>
      </c>
      <c r="UWS38" s="304">
        <f t="shared" ref="UWS38" si="4499">EDATE(UWO38,UWR38)</f>
        <v>45523</v>
      </c>
      <c r="UWT38" s="340">
        <v>0</v>
      </c>
      <c r="UWU38" s="320">
        <f t="shared" ref="UWU38" si="4500">IF(UWV38&gt;=1,(UWT38/UWR38),0)</f>
        <v>0</v>
      </c>
      <c r="UWV38" s="292"/>
      <c r="UWW38" s="259" t="s">
        <v>55</v>
      </c>
      <c r="UWX38" s="256" t="s">
        <v>76</v>
      </c>
      <c r="UWY38" s="256" t="s">
        <v>77</v>
      </c>
      <c r="UWZ38" s="256" t="s">
        <v>78</v>
      </c>
      <c r="UXA38" s="256" t="s">
        <v>79</v>
      </c>
      <c r="UXB38" s="256" t="s">
        <v>80</v>
      </c>
      <c r="UXC38" s="256" t="s">
        <v>81</v>
      </c>
      <c r="UXD38" s="331"/>
      <c r="UXE38" s="290">
        <v>45492</v>
      </c>
      <c r="UXF38" s="339" t="s">
        <v>141</v>
      </c>
      <c r="UXG38" s="305"/>
      <c r="UXH38" s="305">
        <v>1</v>
      </c>
      <c r="UXI38" s="304">
        <f t="shared" ref="UXI38" si="4501">EDATE(UXE38,UXH38)</f>
        <v>45523</v>
      </c>
      <c r="UXJ38" s="340">
        <v>0</v>
      </c>
      <c r="UXK38" s="320">
        <f t="shared" ref="UXK38" si="4502">IF(UXL38&gt;=1,(UXJ38/UXH38),0)</f>
        <v>0</v>
      </c>
      <c r="UXL38" s="292"/>
      <c r="UXM38" s="259" t="s">
        <v>55</v>
      </c>
      <c r="UXN38" s="256" t="s">
        <v>76</v>
      </c>
      <c r="UXO38" s="256" t="s">
        <v>77</v>
      </c>
      <c r="UXP38" s="256" t="s">
        <v>78</v>
      </c>
      <c r="UXQ38" s="256" t="s">
        <v>79</v>
      </c>
      <c r="UXR38" s="256" t="s">
        <v>80</v>
      </c>
      <c r="UXS38" s="256" t="s">
        <v>81</v>
      </c>
      <c r="UXT38" s="331"/>
      <c r="UXU38" s="290">
        <v>45492</v>
      </c>
      <c r="UXV38" s="339" t="s">
        <v>141</v>
      </c>
      <c r="UXW38" s="305"/>
      <c r="UXX38" s="305">
        <v>1</v>
      </c>
      <c r="UXY38" s="304">
        <f t="shared" ref="UXY38" si="4503">EDATE(UXU38,UXX38)</f>
        <v>45523</v>
      </c>
      <c r="UXZ38" s="340">
        <v>0</v>
      </c>
      <c r="UYA38" s="320">
        <f t="shared" ref="UYA38" si="4504">IF(UYB38&gt;=1,(UXZ38/UXX38),0)</f>
        <v>0</v>
      </c>
      <c r="UYB38" s="292"/>
      <c r="UYC38" s="259" t="s">
        <v>55</v>
      </c>
      <c r="UYD38" s="256" t="s">
        <v>76</v>
      </c>
      <c r="UYE38" s="256" t="s">
        <v>77</v>
      </c>
      <c r="UYF38" s="256" t="s">
        <v>78</v>
      </c>
      <c r="UYG38" s="256" t="s">
        <v>79</v>
      </c>
      <c r="UYH38" s="256" t="s">
        <v>80</v>
      </c>
      <c r="UYI38" s="256" t="s">
        <v>81</v>
      </c>
      <c r="UYJ38" s="331"/>
      <c r="UYK38" s="290">
        <v>45492</v>
      </c>
      <c r="UYL38" s="339" t="s">
        <v>141</v>
      </c>
      <c r="UYM38" s="305"/>
      <c r="UYN38" s="305">
        <v>1</v>
      </c>
      <c r="UYO38" s="304">
        <f t="shared" ref="UYO38" si="4505">EDATE(UYK38,UYN38)</f>
        <v>45523</v>
      </c>
      <c r="UYP38" s="340">
        <v>0</v>
      </c>
      <c r="UYQ38" s="320">
        <f t="shared" ref="UYQ38" si="4506">IF(UYR38&gt;=1,(UYP38/UYN38),0)</f>
        <v>0</v>
      </c>
      <c r="UYR38" s="292"/>
      <c r="UYS38" s="259" t="s">
        <v>55</v>
      </c>
      <c r="UYT38" s="256" t="s">
        <v>76</v>
      </c>
      <c r="UYU38" s="256" t="s">
        <v>77</v>
      </c>
      <c r="UYV38" s="256" t="s">
        <v>78</v>
      </c>
      <c r="UYW38" s="256" t="s">
        <v>79</v>
      </c>
      <c r="UYX38" s="256" t="s">
        <v>80</v>
      </c>
      <c r="UYY38" s="256" t="s">
        <v>81</v>
      </c>
      <c r="UYZ38" s="331"/>
      <c r="UZA38" s="290">
        <v>45492</v>
      </c>
      <c r="UZB38" s="339" t="s">
        <v>141</v>
      </c>
      <c r="UZC38" s="305"/>
      <c r="UZD38" s="305">
        <v>1</v>
      </c>
      <c r="UZE38" s="304">
        <f t="shared" ref="UZE38" si="4507">EDATE(UZA38,UZD38)</f>
        <v>45523</v>
      </c>
      <c r="UZF38" s="340">
        <v>0</v>
      </c>
      <c r="UZG38" s="320">
        <f t="shared" ref="UZG38" si="4508">IF(UZH38&gt;=1,(UZF38/UZD38),0)</f>
        <v>0</v>
      </c>
      <c r="UZH38" s="292"/>
      <c r="UZI38" s="259" t="s">
        <v>55</v>
      </c>
      <c r="UZJ38" s="256" t="s">
        <v>76</v>
      </c>
      <c r="UZK38" s="256" t="s">
        <v>77</v>
      </c>
      <c r="UZL38" s="256" t="s">
        <v>78</v>
      </c>
      <c r="UZM38" s="256" t="s">
        <v>79</v>
      </c>
      <c r="UZN38" s="256" t="s">
        <v>80</v>
      </c>
      <c r="UZO38" s="256" t="s">
        <v>81</v>
      </c>
      <c r="UZP38" s="331"/>
      <c r="UZQ38" s="290">
        <v>45492</v>
      </c>
      <c r="UZR38" s="339" t="s">
        <v>141</v>
      </c>
      <c r="UZS38" s="305"/>
      <c r="UZT38" s="305">
        <v>1</v>
      </c>
      <c r="UZU38" s="304">
        <f t="shared" ref="UZU38" si="4509">EDATE(UZQ38,UZT38)</f>
        <v>45523</v>
      </c>
      <c r="UZV38" s="340">
        <v>0</v>
      </c>
      <c r="UZW38" s="320">
        <f t="shared" ref="UZW38" si="4510">IF(UZX38&gt;=1,(UZV38/UZT38),0)</f>
        <v>0</v>
      </c>
      <c r="UZX38" s="292"/>
      <c r="UZY38" s="259" t="s">
        <v>55</v>
      </c>
      <c r="UZZ38" s="256" t="s">
        <v>76</v>
      </c>
      <c r="VAA38" s="256" t="s">
        <v>77</v>
      </c>
      <c r="VAB38" s="256" t="s">
        <v>78</v>
      </c>
      <c r="VAC38" s="256" t="s">
        <v>79</v>
      </c>
      <c r="VAD38" s="256" t="s">
        <v>80</v>
      </c>
      <c r="VAE38" s="256" t="s">
        <v>81</v>
      </c>
      <c r="VAF38" s="331"/>
      <c r="VAG38" s="290">
        <v>45492</v>
      </c>
      <c r="VAH38" s="339" t="s">
        <v>141</v>
      </c>
      <c r="VAI38" s="305"/>
      <c r="VAJ38" s="305">
        <v>1</v>
      </c>
      <c r="VAK38" s="304">
        <f t="shared" ref="VAK38" si="4511">EDATE(VAG38,VAJ38)</f>
        <v>45523</v>
      </c>
      <c r="VAL38" s="340">
        <v>0</v>
      </c>
      <c r="VAM38" s="320">
        <f t="shared" ref="VAM38" si="4512">IF(VAN38&gt;=1,(VAL38/VAJ38),0)</f>
        <v>0</v>
      </c>
      <c r="VAN38" s="292"/>
      <c r="VAO38" s="259" t="s">
        <v>55</v>
      </c>
      <c r="VAP38" s="256" t="s">
        <v>76</v>
      </c>
      <c r="VAQ38" s="256" t="s">
        <v>77</v>
      </c>
      <c r="VAR38" s="256" t="s">
        <v>78</v>
      </c>
      <c r="VAS38" s="256" t="s">
        <v>79</v>
      </c>
      <c r="VAT38" s="256" t="s">
        <v>80</v>
      </c>
      <c r="VAU38" s="256" t="s">
        <v>81</v>
      </c>
      <c r="VAV38" s="331"/>
      <c r="VAW38" s="290">
        <v>45492</v>
      </c>
      <c r="VAX38" s="339" t="s">
        <v>141</v>
      </c>
      <c r="VAY38" s="305"/>
      <c r="VAZ38" s="305">
        <v>1</v>
      </c>
      <c r="VBA38" s="304">
        <f t="shared" ref="VBA38" si="4513">EDATE(VAW38,VAZ38)</f>
        <v>45523</v>
      </c>
      <c r="VBB38" s="340">
        <v>0</v>
      </c>
      <c r="VBC38" s="320">
        <f t="shared" ref="VBC38" si="4514">IF(VBD38&gt;=1,(VBB38/VAZ38),0)</f>
        <v>0</v>
      </c>
      <c r="VBD38" s="292"/>
      <c r="VBE38" s="259" t="s">
        <v>55</v>
      </c>
      <c r="VBF38" s="256" t="s">
        <v>76</v>
      </c>
      <c r="VBG38" s="256" t="s">
        <v>77</v>
      </c>
      <c r="VBH38" s="256" t="s">
        <v>78</v>
      </c>
      <c r="VBI38" s="256" t="s">
        <v>79</v>
      </c>
      <c r="VBJ38" s="256" t="s">
        <v>80</v>
      </c>
      <c r="VBK38" s="256" t="s">
        <v>81</v>
      </c>
      <c r="VBL38" s="331"/>
      <c r="VBM38" s="290">
        <v>45492</v>
      </c>
      <c r="VBN38" s="339" t="s">
        <v>141</v>
      </c>
      <c r="VBO38" s="305"/>
      <c r="VBP38" s="305">
        <v>1</v>
      </c>
      <c r="VBQ38" s="304">
        <f t="shared" ref="VBQ38" si="4515">EDATE(VBM38,VBP38)</f>
        <v>45523</v>
      </c>
      <c r="VBR38" s="340">
        <v>0</v>
      </c>
      <c r="VBS38" s="320">
        <f t="shared" ref="VBS38" si="4516">IF(VBT38&gt;=1,(VBR38/VBP38),0)</f>
        <v>0</v>
      </c>
      <c r="VBT38" s="292"/>
      <c r="VBU38" s="259" t="s">
        <v>55</v>
      </c>
      <c r="VBV38" s="256" t="s">
        <v>76</v>
      </c>
      <c r="VBW38" s="256" t="s">
        <v>77</v>
      </c>
      <c r="VBX38" s="256" t="s">
        <v>78</v>
      </c>
      <c r="VBY38" s="256" t="s">
        <v>79</v>
      </c>
      <c r="VBZ38" s="256" t="s">
        <v>80</v>
      </c>
      <c r="VCA38" s="256" t="s">
        <v>81</v>
      </c>
      <c r="VCB38" s="331"/>
      <c r="VCC38" s="290">
        <v>45492</v>
      </c>
      <c r="VCD38" s="339" t="s">
        <v>141</v>
      </c>
      <c r="VCE38" s="305"/>
      <c r="VCF38" s="305">
        <v>1</v>
      </c>
      <c r="VCG38" s="304">
        <f t="shared" ref="VCG38" si="4517">EDATE(VCC38,VCF38)</f>
        <v>45523</v>
      </c>
      <c r="VCH38" s="340">
        <v>0</v>
      </c>
      <c r="VCI38" s="320">
        <f t="shared" ref="VCI38" si="4518">IF(VCJ38&gt;=1,(VCH38/VCF38),0)</f>
        <v>0</v>
      </c>
      <c r="VCJ38" s="292"/>
      <c r="VCK38" s="259" t="s">
        <v>55</v>
      </c>
      <c r="VCL38" s="256" t="s">
        <v>76</v>
      </c>
      <c r="VCM38" s="256" t="s">
        <v>77</v>
      </c>
      <c r="VCN38" s="256" t="s">
        <v>78</v>
      </c>
      <c r="VCO38" s="256" t="s">
        <v>79</v>
      </c>
      <c r="VCP38" s="256" t="s">
        <v>80</v>
      </c>
      <c r="VCQ38" s="256" t="s">
        <v>81</v>
      </c>
      <c r="VCR38" s="331"/>
      <c r="VCS38" s="290">
        <v>45492</v>
      </c>
      <c r="VCT38" s="339" t="s">
        <v>141</v>
      </c>
      <c r="VCU38" s="305"/>
      <c r="VCV38" s="305">
        <v>1</v>
      </c>
      <c r="VCW38" s="304">
        <f t="shared" ref="VCW38" si="4519">EDATE(VCS38,VCV38)</f>
        <v>45523</v>
      </c>
      <c r="VCX38" s="340">
        <v>0</v>
      </c>
      <c r="VCY38" s="320">
        <f t="shared" ref="VCY38" si="4520">IF(VCZ38&gt;=1,(VCX38/VCV38),0)</f>
        <v>0</v>
      </c>
      <c r="VCZ38" s="292"/>
      <c r="VDA38" s="259" t="s">
        <v>55</v>
      </c>
      <c r="VDB38" s="256" t="s">
        <v>76</v>
      </c>
      <c r="VDC38" s="256" t="s">
        <v>77</v>
      </c>
      <c r="VDD38" s="256" t="s">
        <v>78</v>
      </c>
      <c r="VDE38" s="256" t="s">
        <v>79</v>
      </c>
      <c r="VDF38" s="256" t="s">
        <v>80</v>
      </c>
      <c r="VDG38" s="256" t="s">
        <v>81</v>
      </c>
      <c r="VDH38" s="331"/>
      <c r="VDI38" s="290">
        <v>45492</v>
      </c>
      <c r="VDJ38" s="339" t="s">
        <v>141</v>
      </c>
      <c r="VDK38" s="305"/>
      <c r="VDL38" s="305">
        <v>1</v>
      </c>
      <c r="VDM38" s="304">
        <f t="shared" ref="VDM38" si="4521">EDATE(VDI38,VDL38)</f>
        <v>45523</v>
      </c>
      <c r="VDN38" s="340">
        <v>0</v>
      </c>
      <c r="VDO38" s="320">
        <f t="shared" ref="VDO38" si="4522">IF(VDP38&gt;=1,(VDN38/VDL38),0)</f>
        <v>0</v>
      </c>
      <c r="VDP38" s="292"/>
      <c r="VDQ38" s="259" t="s">
        <v>55</v>
      </c>
      <c r="VDR38" s="256" t="s">
        <v>76</v>
      </c>
      <c r="VDS38" s="256" t="s">
        <v>77</v>
      </c>
      <c r="VDT38" s="256" t="s">
        <v>78</v>
      </c>
      <c r="VDU38" s="256" t="s">
        <v>79</v>
      </c>
      <c r="VDV38" s="256" t="s">
        <v>80</v>
      </c>
      <c r="VDW38" s="256" t="s">
        <v>81</v>
      </c>
      <c r="VDX38" s="331"/>
      <c r="VDY38" s="290">
        <v>45492</v>
      </c>
      <c r="VDZ38" s="339" t="s">
        <v>141</v>
      </c>
      <c r="VEA38" s="305"/>
      <c r="VEB38" s="305">
        <v>1</v>
      </c>
      <c r="VEC38" s="304">
        <f t="shared" ref="VEC38" si="4523">EDATE(VDY38,VEB38)</f>
        <v>45523</v>
      </c>
      <c r="VED38" s="340">
        <v>0</v>
      </c>
      <c r="VEE38" s="320">
        <f t="shared" ref="VEE38" si="4524">IF(VEF38&gt;=1,(VED38/VEB38),0)</f>
        <v>0</v>
      </c>
      <c r="VEF38" s="292"/>
      <c r="VEG38" s="259" t="s">
        <v>55</v>
      </c>
      <c r="VEH38" s="256" t="s">
        <v>76</v>
      </c>
      <c r="VEI38" s="256" t="s">
        <v>77</v>
      </c>
      <c r="VEJ38" s="256" t="s">
        <v>78</v>
      </c>
      <c r="VEK38" s="256" t="s">
        <v>79</v>
      </c>
      <c r="VEL38" s="256" t="s">
        <v>80</v>
      </c>
      <c r="VEM38" s="256" t="s">
        <v>81</v>
      </c>
      <c r="VEN38" s="331"/>
      <c r="VEO38" s="290">
        <v>45492</v>
      </c>
      <c r="VEP38" s="339" t="s">
        <v>141</v>
      </c>
      <c r="VEQ38" s="305"/>
      <c r="VER38" s="305">
        <v>1</v>
      </c>
      <c r="VES38" s="304">
        <f t="shared" ref="VES38" si="4525">EDATE(VEO38,VER38)</f>
        <v>45523</v>
      </c>
      <c r="VET38" s="340">
        <v>0</v>
      </c>
      <c r="VEU38" s="320">
        <f t="shared" ref="VEU38" si="4526">IF(VEV38&gt;=1,(VET38/VER38),0)</f>
        <v>0</v>
      </c>
      <c r="VEV38" s="292"/>
      <c r="VEW38" s="259" t="s">
        <v>55</v>
      </c>
      <c r="VEX38" s="256" t="s">
        <v>76</v>
      </c>
      <c r="VEY38" s="256" t="s">
        <v>77</v>
      </c>
      <c r="VEZ38" s="256" t="s">
        <v>78</v>
      </c>
      <c r="VFA38" s="256" t="s">
        <v>79</v>
      </c>
      <c r="VFB38" s="256" t="s">
        <v>80</v>
      </c>
      <c r="VFC38" s="256" t="s">
        <v>81</v>
      </c>
      <c r="VFD38" s="331"/>
      <c r="VFE38" s="290">
        <v>45492</v>
      </c>
      <c r="VFF38" s="339" t="s">
        <v>141</v>
      </c>
      <c r="VFG38" s="305"/>
      <c r="VFH38" s="305">
        <v>1</v>
      </c>
      <c r="VFI38" s="304">
        <f t="shared" ref="VFI38" si="4527">EDATE(VFE38,VFH38)</f>
        <v>45523</v>
      </c>
      <c r="VFJ38" s="340">
        <v>0</v>
      </c>
      <c r="VFK38" s="320">
        <f t="shared" ref="VFK38" si="4528">IF(VFL38&gt;=1,(VFJ38/VFH38),0)</f>
        <v>0</v>
      </c>
      <c r="VFL38" s="292"/>
      <c r="VFM38" s="259" t="s">
        <v>55</v>
      </c>
      <c r="VFN38" s="256" t="s">
        <v>76</v>
      </c>
      <c r="VFO38" s="256" t="s">
        <v>77</v>
      </c>
      <c r="VFP38" s="256" t="s">
        <v>78</v>
      </c>
      <c r="VFQ38" s="256" t="s">
        <v>79</v>
      </c>
      <c r="VFR38" s="256" t="s">
        <v>80</v>
      </c>
      <c r="VFS38" s="256" t="s">
        <v>81</v>
      </c>
      <c r="VFT38" s="331"/>
      <c r="VFU38" s="290">
        <v>45492</v>
      </c>
      <c r="VFV38" s="339" t="s">
        <v>141</v>
      </c>
      <c r="VFW38" s="305"/>
      <c r="VFX38" s="305">
        <v>1</v>
      </c>
      <c r="VFY38" s="304">
        <f t="shared" ref="VFY38" si="4529">EDATE(VFU38,VFX38)</f>
        <v>45523</v>
      </c>
      <c r="VFZ38" s="340">
        <v>0</v>
      </c>
      <c r="VGA38" s="320">
        <f t="shared" ref="VGA38" si="4530">IF(VGB38&gt;=1,(VFZ38/VFX38),0)</f>
        <v>0</v>
      </c>
      <c r="VGB38" s="292"/>
      <c r="VGC38" s="259" t="s">
        <v>55</v>
      </c>
      <c r="VGD38" s="256" t="s">
        <v>76</v>
      </c>
      <c r="VGE38" s="256" t="s">
        <v>77</v>
      </c>
      <c r="VGF38" s="256" t="s">
        <v>78</v>
      </c>
      <c r="VGG38" s="256" t="s">
        <v>79</v>
      </c>
      <c r="VGH38" s="256" t="s">
        <v>80</v>
      </c>
      <c r="VGI38" s="256" t="s">
        <v>81</v>
      </c>
      <c r="VGJ38" s="331"/>
      <c r="VGK38" s="290">
        <v>45492</v>
      </c>
      <c r="VGL38" s="339" t="s">
        <v>141</v>
      </c>
      <c r="VGM38" s="305"/>
      <c r="VGN38" s="305">
        <v>1</v>
      </c>
      <c r="VGO38" s="304">
        <f t="shared" ref="VGO38" si="4531">EDATE(VGK38,VGN38)</f>
        <v>45523</v>
      </c>
      <c r="VGP38" s="340">
        <v>0</v>
      </c>
      <c r="VGQ38" s="320">
        <f t="shared" ref="VGQ38" si="4532">IF(VGR38&gt;=1,(VGP38/VGN38),0)</f>
        <v>0</v>
      </c>
      <c r="VGR38" s="292"/>
      <c r="VGS38" s="259" t="s">
        <v>55</v>
      </c>
      <c r="VGT38" s="256" t="s">
        <v>76</v>
      </c>
      <c r="VGU38" s="256" t="s">
        <v>77</v>
      </c>
      <c r="VGV38" s="256" t="s">
        <v>78</v>
      </c>
      <c r="VGW38" s="256" t="s">
        <v>79</v>
      </c>
      <c r="VGX38" s="256" t="s">
        <v>80</v>
      </c>
      <c r="VGY38" s="256" t="s">
        <v>81</v>
      </c>
      <c r="VGZ38" s="331"/>
      <c r="VHA38" s="290">
        <v>45492</v>
      </c>
      <c r="VHB38" s="339" t="s">
        <v>141</v>
      </c>
      <c r="VHC38" s="305"/>
      <c r="VHD38" s="305">
        <v>1</v>
      </c>
      <c r="VHE38" s="304">
        <f t="shared" ref="VHE38" si="4533">EDATE(VHA38,VHD38)</f>
        <v>45523</v>
      </c>
      <c r="VHF38" s="340">
        <v>0</v>
      </c>
      <c r="VHG38" s="320">
        <f t="shared" ref="VHG38" si="4534">IF(VHH38&gt;=1,(VHF38/VHD38),0)</f>
        <v>0</v>
      </c>
      <c r="VHH38" s="292"/>
      <c r="VHI38" s="259" t="s">
        <v>55</v>
      </c>
      <c r="VHJ38" s="256" t="s">
        <v>76</v>
      </c>
      <c r="VHK38" s="256" t="s">
        <v>77</v>
      </c>
      <c r="VHL38" s="256" t="s">
        <v>78</v>
      </c>
      <c r="VHM38" s="256" t="s">
        <v>79</v>
      </c>
      <c r="VHN38" s="256" t="s">
        <v>80</v>
      </c>
      <c r="VHO38" s="256" t="s">
        <v>81</v>
      </c>
      <c r="VHP38" s="331"/>
      <c r="VHQ38" s="290">
        <v>45492</v>
      </c>
      <c r="VHR38" s="339" t="s">
        <v>141</v>
      </c>
      <c r="VHS38" s="305"/>
      <c r="VHT38" s="305">
        <v>1</v>
      </c>
      <c r="VHU38" s="304">
        <f t="shared" ref="VHU38" si="4535">EDATE(VHQ38,VHT38)</f>
        <v>45523</v>
      </c>
      <c r="VHV38" s="340">
        <v>0</v>
      </c>
      <c r="VHW38" s="320">
        <f t="shared" ref="VHW38" si="4536">IF(VHX38&gt;=1,(VHV38/VHT38),0)</f>
        <v>0</v>
      </c>
      <c r="VHX38" s="292"/>
      <c r="VHY38" s="259" t="s">
        <v>55</v>
      </c>
      <c r="VHZ38" s="256" t="s">
        <v>76</v>
      </c>
      <c r="VIA38" s="256" t="s">
        <v>77</v>
      </c>
      <c r="VIB38" s="256" t="s">
        <v>78</v>
      </c>
      <c r="VIC38" s="256" t="s">
        <v>79</v>
      </c>
      <c r="VID38" s="256" t="s">
        <v>80</v>
      </c>
      <c r="VIE38" s="256" t="s">
        <v>81</v>
      </c>
      <c r="VIF38" s="331"/>
      <c r="VIG38" s="290">
        <v>45492</v>
      </c>
      <c r="VIH38" s="339" t="s">
        <v>141</v>
      </c>
      <c r="VII38" s="305"/>
      <c r="VIJ38" s="305">
        <v>1</v>
      </c>
      <c r="VIK38" s="304">
        <f t="shared" ref="VIK38" si="4537">EDATE(VIG38,VIJ38)</f>
        <v>45523</v>
      </c>
      <c r="VIL38" s="340">
        <v>0</v>
      </c>
      <c r="VIM38" s="320">
        <f t="shared" ref="VIM38" si="4538">IF(VIN38&gt;=1,(VIL38/VIJ38),0)</f>
        <v>0</v>
      </c>
      <c r="VIN38" s="292"/>
      <c r="VIO38" s="259" t="s">
        <v>55</v>
      </c>
      <c r="VIP38" s="256" t="s">
        <v>76</v>
      </c>
      <c r="VIQ38" s="256" t="s">
        <v>77</v>
      </c>
      <c r="VIR38" s="256" t="s">
        <v>78</v>
      </c>
      <c r="VIS38" s="256" t="s">
        <v>79</v>
      </c>
      <c r="VIT38" s="256" t="s">
        <v>80</v>
      </c>
      <c r="VIU38" s="256" t="s">
        <v>81</v>
      </c>
      <c r="VIV38" s="331"/>
      <c r="VIW38" s="290">
        <v>45492</v>
      </c>
      <c r="VIX38" s="339" t="s">
        <v>141</v>
      </c>
      <c r="VIY38" s="305"/>
      <c r="VIZ38" s="305">
        <v>1</v>
      </c>
      <c r="VJA38" s="304">
        <f t="shared" ref="VJA38" si="4539">EDATE(VIW38,VIZ38)</f>
        <v>45523</v>
      </c>
      <c r="VJB38" s="340">
        <v>0</v>
      </c>
      <c r="VJC38" s="320">
        <f t="shared" ref="VJC38" si="4540">IF(VJD38&gt;=1,(VJB38/VIZ38),0)</f>
        <v>0</v>
      </c>
      <c r="VJD38" s="292"/>
      <c r="VJE38" s="259" t="s">
        <v>55</v>
      </c>
      <c r="VJF38" s="256" t="s">
        <v>76</v>
      </c>
      <c r="VJG38" s="256" t="s">
        <v>77</v>
      </c>
      <c r="VJH38" s="256" t="s">
        <v>78</v>
      </c>
      <c r="VJI38" s="256" t="s">
        <v>79</v>
      </c>
      <c r="VJJ38" s="256" t="s">
        <v>80</v>
      </c>
      <c r="VJK38" s="256" t="s">
        <v>81</v>
      </c>
      <c r="VJL38" s="331"/>
      <c r="VJM38" s="290">
        <v>45492</v>
      </c>
      <c r="VJN38" s="339" t="s">
        <v>141</v>
      </c>
      <c r="VJO38" s="305"/>
      <c r="VJP38" s="305">
        <v>1</v>
      </c>
      <c r="VJQ38" s="304">
        <f t="shared" ref="VJQ38" si="4541">EDATE(VJM38,VJP38)</f>
        <v>45523</v>
      </c>
      <c r="VJR38" s="340">
        <v>0</v>
      </c>
      <c r="VJS38" s="320">
        <f t="shared" ref="VJS38" si="4542">IF(VJT38&gt;=1,(VJR38/VJP38),0)</f>
        <v>0</v>
      </c>
      <c r="VJT38" s="292"/>
      <c r="VJU38" s="259" t="s">
        <v>55</v>
      </c>
      <c r="VJV38" s="256" t="s">
        <v>76</v>
      </c>
      <c r="VJW38" s="256" t="s">
        <v>77</v>
      </c>
      <c r="VJX38" s="256" t="s">
        <v>78</v>
      </c>
      <c r="VJY38" s="256" t="s">
        <v>79</v>
      </c>
      <c r="VJZ38" s="256" t="s">
        <v>80</v>
      </c>
      <c r="VKA38" s="256" t="s">
        <v>81</v>
      </c>
      <c r="VKB38" s="331"/>
      <c r="VKC38" s="290">
        <v>45492</v>
      </c>
      <c r="VKD38" s="339" t="s">
        <v>141</v>
      </c>
      <c r="VKE38" s="305"/>
      <c r="VKF38" s="305">
        <v>1</v>
      </c>
      <c r="VKG38" s="304">
        <f t="shared" ref="VKG38" si="4543">EDATE(VKC38,VKF38)</f>
        <v>45523</v>
      </c>
      <c r="VKH38" s="340">
        <v>0</v>
      </c>
      <c r="VKI38" s="320">
        <f t="shared" ref="VKI38" si="4544">IF(VKJ38&gt;=1,(VKH38/VKF38),0)</f>
        <v>0</v>
      </c>
      <c r="VKJ38" s="292"/>
      <c r="VKK38" s="259" t="s">
        <v>55</v>
      </c>
      <c r="VKL38" s="256" t="s">
        <v>76</v>
      </c>
      <c r="VKM38" s="256" t="s">
        <v>77</v>
      </c>
      <c r="VKN38" s="256" t="s">
        <v>78</v>
      </c>
      <c r="VKO38" s="256" t="s">
        <v>79</v>
      </c>
      <c r="VKP38" s="256" t="s">
        <v>80</v>
      </c>
      <c r="VKQ38" s="256" t="s">
        <v>81</v>
      </c>
      <c r="VKR38" s="331"/>
      <c r="VKS38" s="290">
        <v>45492</v>
      </c>
      <c r="VKT38" s="339" t="s">
        <v>141</v>
      </c>
      <c r="VKU38" s="305"/>
      <c r="VKV38" s="305">
        <v>1</v>
      </c>
      <c r="VKW38" s="304">
        <f t="shared" ref="VKW38" si="4545">EDATE(VKS38,VKV38)</f>
        <v>45523</v>
      </c>
      <c r="VKX38" s="340">
        <v>0</v>
      </c>
      <c r="VKY38" s="320">
        <f t="shared" ref="VKY38" si="4546">IF(VKZ38&gt;=1,(VKX38/VKV38),0)</f>
        <v>0</v>
      </c>
      <c r="VKZ38" s="292"/>
      <c r="VLA38" s="259" t="s">
        <v>55</v>
      </c>
      <c r="VLB38" s="256" t="s">
        <v>76</v>
      </c>
      <c r="VLC38" s="256" t="s">
        <v>77</v>
      </c>
      <c r="VLD38" s="256" t="s">
        <v>78</v>
      </c>
      <c r="VLE38" s="256" t="s">
        <v>79</v>
      </c>
      <c r="VLF38" s="256" t="s">
        <v>80</v>
      </c>
      <c r="VLG38" s="256" t="s">
        <v>81</v>
      </c>
      <c r="VLH38" s="331"/>
      <c r="VLI38" s="290">
        <v>45492</v>
      </c>
      <c r="VLJ38" s="339" t="s">
        <v>141</v>
      </c>
      <c r="VLK38" s="305"/>
      <c r="VLL38" s="305">
        <v>1</v>
      </c>
      <c r="VLM38" s="304">
        <f t="shared" ref="VLM38" si="4547">EDATE(VLI38,VLL38)</f>
        <v>45523</v>
      </c>
      <c r="VLN38" s="340">
        <v>0</v>
      </c>
      <c r="VLO38" s="320">
        <f t="shared" ref="VLO38" si="4548">IF(VLP38&gt;=1,(VLN38/VLL38),0)</f>
        <v>0</v>
      </c>
      <c r="VLP38" s="292"/>
      <c r="VLQ38" s="259" t="s">
        <v>55</v>
      </c>
      <c r="VLR38" s="256" t="s">
        <v>76</v>
      </c>
      <c r="VLS38" s="256" t="s">
        <v>77</v>
      </c>
      <c r="VLT38" s="256" t="s">
        <v>78</v>
      </c>
      <c r="VLU38" s="256" t="s">
        <v>79</v>
      </c>
      <c r="VLV38" s="256" t="s">
        <v>80</v>
      </c>
      <c r="VLW38" s="256" t="s">
        <v>81</v>
      </c>
      <c r="VLX38" s="331"/>
      <c r="VLY38" s="290">
        <v>45492</v>
      </c>
      <c r="VLZ38" s="339" t="s">
        <v>141</v>
      </c>
      <c r="VMA38" s="305"/>
      <c r="VMB38" s="305">
        <v>1</v>
      </c>
      <c r="VMC38" s="304">
        <f t="shared" ref="VMC38" si="4549">EDATE(VLY38,VMB38)</f>
        <v>45523</v>
      </c>
      <c r="VMD38" s="340">
        <v>0</v>
      </c>
      <c r="VME38" s="320">
        <f t="shared" ref="VME38" si="4550">IF(VMF38&gt;=1,(VMD38/VMB38),0)</f>
        <v>0</v>
      </c>
      <c r="VMF38" s="292"/>
      <c r="VMG38" s="259" t="s">
        <v>55</v>
      </c>
      <c r="VMH38" s="256" t="s">
        <v>76</v>
      </c>
      <c r="VMI38" s="256" t="s">
        <v>77</v>
      </c>
      <c r="VMJ38" s="256" t="s">
        <v>78</v>
      </c>
      <c r="VMK38" s="256" t="s">
        <v>79</v>
      </c>
      <c r="VML38" s="256" t="s">
        <v>80</v>
      </c>
      <c r="VMM38" s="256" t="s">
        <v>81</v>
      </c>
      <c r="VMN38" s="331"/>
      <c r="VMO38" s="290">
        <v>45492</v>
      </c>
      <c r="VMP38" s="339" t="s">
        <v>141</v>
      </c>
      <c r="VMQ38" s="305"/>
      <c r="VMR38" s="305">
        <v>1</v>
      </c>
      <c r="VMS38" s="304">
        <f t="shared" ref="VMS38" si="4551">EDATE(VMO38,VMR38)</f>
        <v>45523</v>
      </c>
      <c r="VMT38" s="340">
        <v>0</v>
      </c>
      <c r="VMU38" s="320">
        <f t="shared" ref="VMU38" si="4552">IF(VMV38&gt;=1,(VMT38/VMR38),0)</f>
        <v>0</v>
      </c>
      <c r="VMV38" s="292"/>
      <c r="VMW38" s="259" t="s">
        <v>55</v>
      </c>
      <c r="VMX38" s="256" t="s">
        <v>76</v>
      </c>
      <c r="VMY38" s="256" t="s">
        <v>77</v>
      </c>
      <c r="VMZ38" s="256" t="s">
        <v>78</v>
      </c>
      <c r="VNA38" s="256" t="s">
        <v>79</v>
      </c>
      <c r="VNB38" s="256" t="s">
        <v>80</v>
      </c>
      <c r="VNC38" s="256" t="s">
        <v>81</v>
      </c>
      <c r="VND38" s="331"/>
      <c r="VNE38" s="290">
        <v>45492</v>
      </c>
      <c r="VNF38" s="339" t="s">
        <v>141</v>
      </c>
      <c r="VNG38" s="305"/>
      <c r="VNH38" s="305">
        <v>1</v>
      </c>
      <c r="VNI38" s="304">
        <f t="shared" ref="VNI38" si="4553">EDATE(VNE38,VNH38)</f>
        <v>45523</v>
      </c>
      <c r="VNJ38" s="340">
        <v>0</v>
      </c>
      <c r="VNK38" s="320">
        <f t="shared" ref="VNK38" si="4554">IF(VNL38&gt;=1,(VNJ38/VNH38),0)</f>
        <v>0</v>
      </c>
      <c r="VNL38" s="292"/>
      <c r="VNM38" s="259" t="s">
        <v>55</v>
      </c>
      <c r="VNN38" s="256" t="s">
        <v>76</v>
      </c>
      <c r="VNO38" s="256" t="s">
        <v>77</v>
      </c>
      <c r="VNP38" s="256" t="s">
        <v>78</v>
      </c>
      <c r="VNQ38" s="256" t="s">
        <v>79</v>
      </c>
      <c r="VNR38" s="256" t="s">
        <v>80</v>
      </c>
      <c r="VNS38" s="256" t="s">
        <v>81</v>
      </c>
      <c r="VNT38" s="331"/>
      <c r="VNU38" s="290">
        <v>45492</v>
      </c>
      <c r="VNV38" s="339" t="s">
        <v>141</v>
      </c>
      <c r="VNW38" s="305"/>
      <c r="VNX38" s="305">
        <v>1</v>
      </c>
      <c r="VNY38" s="304">
        <f t="shared" ref="VNY38" si="4555">EDATE(VNU38,VNX38)</f>
        <v>45523</v>
      </c>
      <c r="VNZ38" s="340">
        <v>0</v>
      </c>
      <c r="VOA38" s="320">
        <f t="shared" ref="VOA38" si="4556">IF(VOB38&gt;=1,(VNZ38/VNX38),0)</f>
        <v>0</v>
      </c>
      <c r="VOB38" s="292"/>
      <c r="VOC38" s="259" t="s">
        <v>55</v>
      </c>
      <c r="VOD38" s="256" t="s">
        <v>76</v>
      </c>
      <c r="VOE38" s="256" t="s">
        <v>77</v>
      </c>
      <c r="VOF38" s="256" t="s">
        <v>78</v>
      </c>
      <c r="VOG38" s="256" t="s">
        <v>79</v>
      </c>
      <c r="VOH38" s="256" t="s">
        <v>80</v>
      </c>
      <c r="VOI38" s="256" t="s">
        <v>81</v>
      </c>
      <c r="VOJ38" s="331"/>
      <c r="VOK38" s="290">
        <v>45492</v>
      </c>
      <c r="VOL38" s="339" t="s">
        <v>141</v>
      </c>
      <c r="VOM38" s="305"/>
      <c r="VON38" s="305">
        <v>1</v>
      </c>
      <c r="VOO38" s="304">
        <f t="shared" ref="VOO38" si="4557">EDATE(VOK38,VON38)</f>
        <v>45523</v>
      </c>
      <c r="VOP38" s="340">
        <v>0</v>
      </c>
      <c r="VOQ38" s="320">
        <f t="shared" ref="VOQ38" si="4558">IF(VOR38&gt;=1,(VOP38/VON38),0)</f>
        <v>0</v>
      </c>
      <c r="VOR38" s="292"/>
      <c r="VOS38" s="259" t="s">
        <v>55</v>
      </c>
      <c r="VOT38" s="256" t="s">
        <v>76</v>
      </c>
      <c r="VOU38" s="256" t="s">
        <v>77</v>
      </c>
      <c r="VOV38" s="256" t="s">
        <v>78</v>
      </c>
      <c r="VOW38" s="256" t="s">
        <v>79</v>
      </c>
      <c r="VOX38" s="256" t="s">
        <v>80</v>
      </c>
      <c r="VOY38" s="256" t="s">
        <v>81</v>
      </c>
      <c r="VOZ38" s="331"/>
      <c r="VPA38" s="290">
        <v>45492</v>
      </c>
      <c r="VPB38" s="339" t="s">
        <v>141</v>
      </c>
      <c r="VPC38" s="305"/>
      <c r="VPD38" s="305">
        <v>1</v>
      </c>
      <c r="VPE38" s="304">
        <f t="shared" ref="VPE38" si="4559">EDATE(VPA38,VPD38)</f>
        <v>45523</v>
      </c>
      <c r="VPF38" s="340">
        <v>0</v>
      </c>
      <c r="VPG38" s="320">
        <f t="shared" ref="VPG38" si="4560">IF(VPH38&gt;=1,(VPF38/VPD38),0)</f>
        <v>0</v>
      </c>
      <c r="VPH38" s="292"/>
      <c r="VPI38" s="259" t="s">
        <v>55</v>
      </c>
      <c r="VPJ38" s="256" t="s">
        <v>76</v>
      </c>
      <c r="VPK38" s="256" t="s">
        <v>77</v>
      </c>
      <c r="VPL38" s="256" t="s">
        <v>78</v>
      </c>
      <c r="VPM38" s="256" t="s">
        <v>79</v>
      </c>
      <c r="VPN38" s="256" t="s">
        <v>80</v>
      </c>
      <c r="VPO38" s="256" t="s">
        <v>81</v>
      </c>
      <c r="VPP38" s="331"/>
      <c r="VPQ38" s="290">
        <v>45492</v>
      </c>
      <c r="VPR38" s="339" t="s">
        <v>141</v>
      </c>
      <c r="VPS38" s="305"/>
      <c r="VPT38" s="305">
        <v>1</v>
      </c>
      <c r="VPU38" s="304">
        <f t="shared" ref="VPU38" si="4561">EDATE(VPQ38,VPT38)</f>
        <v>45523</v>
      </c>
      <c r="VPV38" s="340">
        <v>0</v>
      </c>
      <c r="VPW38" s="320">
        <f t="shared" ref="VPW38" si="4562">IF(VPX38&gt;=1,(VPV38/VPT38),0)</f>
        <v>0</v>
      </c>
      <c r="VPX38" s="292"/>
      <c r="VPY38" s="259" t="s">
        <v>55</v>
      </c>
      <c r="VPZ38" s="256" t="s">
        <v>76</v>
      </c>
      <c r="VQA38" s="256" t="s">
        <v>77</v>
      </c>
      <c r="VQB38" s="256" t="s">
        <v>78</v>
      </c>
      <c r="VQC38" s="256" t="s">
        <v>79</v>
      </c>
      <c r="VQD38" s="256" t="s">
        <v>80</v>
      </c>
      <c r="VQE38" s="256" t="s">
        <v>81</v>
      </c>
      <c r="VQF38" s="331"/>
      <c r="VQG38" s="290">
        <v>45492</v>
      </c>
      <c r="VQH38" s="339" t="s">
        <v>141</v>
      </c>
      <c r="VQI38" s="305"/>
      <c r="VQJ38" s="305">
        <v>1</v>
      </c>
      <c r="VQK38" s="304">
        <f t="shared" ref="VQK38" si="4563">EDATE(VQG38,VQJ38)</f>
        <v>45523</v>
      </c>
      <c r="VQL38" s="340">
        <v>0</v>
      </c>
      <c r="VQM38" s="320">
        <f t="shared" ref="VQM38" si="4564">IF(VQN38&gt;=1,(VQL38/VQJ38),0)</f>
        <v>0</v>
      </c>
      <c r="VQN38" s="292"/>
      <c r="VQO38" s="259" t="s">
        <v>55</v>
      </c>
      <c r="VQP38" s="256" t="s">
        <v>76</v>
      </c>
      <c r="VQQ38" s="256" t="s">
        <v>77</v>
      </c>
      <c r="VQR38" s="256" t="s">
        <v>78</v>
      </c>
      <c r="VQS38" s="256" t="s">
        <v>79</v>
      </c>
      <c r="VQT38" s="256" t="s">
        <v>80</v>
      </c>
      <c r="VQU38" s="256" t="s">
        <v>81</v>
      </c>
      <c r="VQV38" s="331"/>
      <c r="VQW38" s="290">
        <v>45492</v>
      </c>
      <c r="VQX38" s="339" t="s">
        <v>141</v>
      </c>
      <c r="VQY38" s="305"/>
      <c r="VQZ38" s="305">
        <v>1</v>
      </c>
      <c r="VRA38" s="304">
        <f t="shared" ref="VRA38" si="4565">EDATE(VQW38,VQZ38)</f>
        <v>45523</v>
      </c>
      <c r="VRB38" s="340">
        <v>0</v>
      </c>
      <c r="VRC38" s="320">
        <f t="shared" ref="VRC38" si="4566">IF(VRD38&gt;=1,(VRB38/VQZ38),0)</f>
        <v>0</v>
      </c>
      <c r="VRD38" s="292"/>
      <c r="VRE38" s="259" t="s">
        <v>55</v>
      </c>
      <c r="VRF38" s="256" t="s">
        <v>76</v>
      </c>
      <c r="VRG38" s="256" t="s">
        <v>77</v>
      </c>
      <c r="VRH38" s="256" t="s">
        <v>78</v>
      </c>
      <c r="VRI38" s="256" t="s">
        <v>79</v>
      </c>
      <c r="VRJ38" s="256" t="s">
        <v>80</v>
      </c>
      <c r="VRK38" s="256" t="s">
        <v>81</v>
      </c>
      <c r="VRL38" s="331"/>
      <c r="VRM38" s="290">
        <v>45492</v>
      </c>
      <c r="VRN38" s="339" t="s">
        <v>141</v>
      </c>
      <c r="VRO38" s="305"/>
      <c r="VRP38" s="305">
        <v>1</v>
      </c>
      <c r="VRQ38" s="304">
        <f t="shared" ref="VRQ38" si="4567">EDATE(VRM38,VRP38)</f>
        <v>45523</v>
      </c>
      <c r="VRR38" s="340">
        <v>0</v>
      </c>
      <c r="VRS38" s="320">
        <f t="shared" ref="VRS38" si="4568">IF(VRT38&gt;=1,(VRR38/VRP38),0)</f>
        <v>0</v>
      </c>
      <c r="VRT38" s="292"/>
      <c r="VRU38" s="259" t="s">
        <v>55</v>
      </c>
      <c r="VRV38" s="256" t="s">
        <v>76</v>
      </c>
      <c r="VRW38" s="256" t="s">
        <v>77</v>
      </c>
      <c r="VRX38" s="256" t="s">
        <v>78</v>
      </c>
      <c r="VRY38" s="256" t="s">
        <v>79</v>
      </c>
      <c r="VRZ38" s="256" t="s">
        <v>80</v>
      </c>
      <c r="VSA38" s="256" t="s">
        <v>81</v>
      </c>
      <c r="VSB38" s="331"/>
      <c r="VSC38" s="290">
        <v>45492</v>
      </c>
      <c r="VSD38" s="339" t="s">
        <v>141</v>
      </c>
      <c r="VSE38" s="305"/>
      <c r="VSF38" s="305">
        <v>1</v>
      </c>
      <c r="VSG38" s="304">
        <f t="shared" ref="VSG38" si="4569">EDATE(VSC38,VSF38)</f>
        <v>45523</v>
      </c>
      <c r="VSH38" s="340">
        <v>0</v>
      </c>
      <c r="VSI38" s="320">
        <f t="shared" ref="VSI38" si="4570">IF(VSJ38&gt;=1,(VSH38/VSF38),0)</f>
        <v>0</v>
      </c>
      <c r="VSJ38" s="292"/>
      <c r="VSK38" s="259" t="s">
        <v>55</v>
      </c>
      <c r="VSL38" s="256" t="s">
        <v>76</v>
      </c>
      <c r="VSM38" s="256" t="s">
        <v>77</v>
      </c>
      <c r="VSN38" s="256" t="s">
        <v>78</v>
      </c>
      <c r="VSO38" s="256" t="s">
        <v>79</v>
      </c>
      <c r="VSP38" s="256" t="s">
        <v>80</v>
      </c>
      <c r="VSQ38" s="256" t="s">
        <v>81</v>
      </c>
      <c r="VSR38" s="331"/>
      <c r="VSS38" s="290">
        <v>45492</v>
      </c>
      <c r="VST38" s="339" t="s">
        <v>141</v>
      </c>
      <c r="VSU38" s="305"/>
      <c r="VSV38" s="305">
        <v>1</v>
      </c>
      <c r="VSW38" s="304">
        <f t="shared" ref="VSW38" si="4571">EDATE(VSS38,VSV38)</f>
        <v>45523</v>
      </c>
      <c r="VSX38" s="340">
        <v>0</v>
      </c>
      <c r="VSY38" s="320">
        <f t="shared" ref="VSY38" si="4572">IF(VSZ38&gt;=1,(VSX38/VSV38),0)</f>
        <v>0</v>
      </c>
      <c r="VSZ38" s="292"/>
      <c r="VTA38" s="259" t="s">
        <v>55</v>
      </c>
      <c r="VTB38" s="256" t="s">
        <v>76</v>
      </c>
      <c r="VTC38" s="256" t="s">
        <v>77</v>
      </c>
      <c r="VTD38" s="256" t="s">
        <v>78</v>
      </c>
      <c r="VTE38" s="256" t="s">
        <v>79</v>
      </c>
      <c r="VTF38" s="256" t="s">
        <v>80</v>
      </c>
      <c r="VTG38" s="256" t="s">
        <v>81</v>
      </c>
      <c r="VTH38" s="331"/>
      <c r="VTI38" s="290">
        <v>45492</v>
      </c>
      <c r="VTJ38" s="339" t="s">
        <v>141</v>
      </c>
      <c r="VTK38" s="305"/>
      <c r="VTL38" s="305">
        <v>1</v>
      </c>
      <c r="VTM38" s="304">
        <f t="shared" ref="VTM38" si="4573">EDATE(VTI38,VTL38)</f>
        <v>45523</v>
      </c>
      <c r="VTN38" s="340">
        <v>0</v>
      </c>
      <c r="VTO38" s="320">
        <f t="shared" ref="VTO38" si="4574">IF(VTP38&gt;=1,(VTN38/VTL38),0)</f>
        <v>0</v>
      </c>
      <c r="VTP38" s="292"/>
      <c r="VTQ38" s="259" t="s">
        <v>55</v>
      </c>
      <c r="VTR38" s="256" t="s">
        <v>76</v>
      </c>
      <c r="VTS38" s="256" t="s">
        <v>77</v>
      </c>
      <c r="VTT38" s="256" t="s">
        <v>78</v>
      </c>
      <c r="VTU38" s="256" t="s">
        <v>79</v>
      </c>
      <c r="VTV38" s="256" t="s">
        <v>80</v>
      </c>
      <c r="VTW38" s="256" t="s">
        <v>81</v>
      </c>
      <c r="VTX38" s="331"/>
      <c r="VTY38" s="290">
        <v>45492</v>
      </c>
      <c r="VTZ38" s="339" t="s">
        <v>141</v>
      </c>
      <c r="VUA38" s="305"/>
      <c r="VUB38" s="305">
        <v>1</v>
      </c>
      <c r="VUC38" s="304">
        <f t="shared" ref="VUC38" si="4575">EDATE(VTY38,VUB38)</f>
        <v>45523</v>
      </c>
      <c r="VUD38" s="340">
        <v>0</v>
      </c>
      <c r="VUE38" s="320">
        <f t="shared" ref="VUE38" si="4576">IF(VUF38&gt;=1,(VUD38/VUB38),0)</f>
        <v>0</v>
      </c>
      <c r="VUF38" s="292"/>
      <c r="VUG38" s="259" t="s">
        <v>55</v>
      </c>
      <c r="VUH38" s="256" t="s">
        <v>76</v>
      </c>
      <c r="VUI38" s="256" t="s">
        <v>77</v>
      </c>
      <c r="VUJ38" s="256" t="s">
        <v>78</v>
      </c>
      <c r="VUK38" s="256" t="s">
        <v>79</v>
      </c>
      <c r="VUL38" s="256" t="s">
        <v>80</v>
      </c>
      <c r="VUM38" s="256" t="s">
        <v>81</v>
      </c>
      <c r="VUN38" s="331"/>
      <c r="VUO38" s="290">
        <v>45492</v>
      </c>
      <c r="VUP38" s="339" t="s">
        <v>141</v>
      </c>
      <c r="VUQ38" s="305"/>
      <c r="VUR38" s="305">
        <v>1</v>
      </c>
      <c r="VUS38" s="304">
        <f t="shared" ref="VUS38" si="4577">EDATE(VUO38,VUR38)</f>
        <v>45523</v>
      </c>
      <c r="VUT38" s="340">
        <v>0</v>
      </c>
      <c r="VUU38" s="320">
        <f t="shared" ref="VUU38" si="4578">IF(VUV38&gt;=1,(VUT38/VUR38),0)</f>
        <v>0</v>
      </c>
      <c r="VUV38" s="292"/>
      <c r="VUW38" s="259" t="s">
        <v>55</v>
      </c>
      <c r="VUX38" s="256" t="s">
        <v>76</v>
      </c>
      <c r="VUY38" s="256" t="s">
        <v>77</v>
      </c>
      <c r="VUZ38" s="256" t="s">
        <v>78</v>
      </c>
      <c r="VVA38" s="256" t="s">
        <v>79</v>
      </c>
      <c r="VVB38" s="256" t="s">
        <v>80</v>
      </c>
      <c r="VVC38" s="256" t="s">
        <v>81</v>
      </c>
      <c r="VVD38" s="331"/>
      <c r="VVE38" s="290">
        <v>45492</v>
      </c>
      <c r="VVF38" s="339" t="s">
        <v>141</v>
      </c>
      <c r="VVG38" s="305"/>
      <c r="VVH38" s="305">
        <v>1</v>
      </c>
      <c r="VVI38" s="304">
        <f t="shared" ref="VVI38" si="4579">EDATE(VVE38,VVH38)</f>
        <v>45523</v>
      </c>
      <c r="VVJ38" s="340">
        <v>0</v>
      </c>
      <c r="VVK38" s="320">
        <f t="shared" ref="VVK38" si="4580">IF(VVL38&gt;=1,(VVJ38/VVH38),0)</f>
        <v>0</v>
      </c>
      <c r="VVL38" s="292"/>
      <c r="VVM38" s="259" t="s">
        <v>55</v>
      </c>
      <c r="VVN38" s="256" t="s">
        <v>76</v>
      </c>
      <c r="VVO38" s="256" t="s">
        <v>77</v>
      </c>
      <c r="VVP38" s="256" t="s">
        <v>78</v>
      </c>
      <c r="VVQ38" s="256" t="s">
        <v>79</v>
      </c>
      <c r="VVR38" s="256" t="s">
        <v>80</v>
      </c>
      <c r="VVS38" s="256" t="s">
        <v>81</v>
      </c>
      <c r="VVT38" s="331"/>
      <c r="VVU38" s="290">
        <v>45492</v>
      </c>
      <c r="VVV38" s="339" t="s">
        <v>141</v>
      </c>
      <c r="VVW38" s="305"/>
      <c r="VVX38" s="305">
        <v>1</v>
      </c>
      <c r="VVY38" s="304">
        <f t="shared" ref="VVY38" si="4581">EDATE(VVU38,VVX38)</f>
        <v>45523</v>
      </c>
      <c r="VVZ38" s="340">
        <v>0</v>
      </c>
      <c r="VWA38" s="320">
        <f t="shared" ref="VWA38" si="4582">IF(VWB38&gt;=1,(VVZ38/VVX38),0)</f>
        <v>0</v>
      </c>
      <c r="VWB38" s="292"/>
      <c r="VWC38" s="259" t="s">
        <v>55</v>
      </c>
      <c r="VWD38" s="256" t="s">
        <v>76</v>
      </c>
      <c r="VWE38" s="256" t="s">
        <v>77</v>
      </c>
      <c r="VWF38" s="256" t="s">
        <v>78</v>
      </c>
      <c r="VWG38" s="256" t="s">
        <v>79</v>
      </c>
      <c r="VWH38" s="256" t="s">
        <v>80</v>
      </c>
      <c r="VWI38" s="256" t="s">
        <v>81</v>
      </c>
      <c r="VWJ38" s="331"/>
      <c r="VWK38" s="290">
        <v>45492</v>
      </c>
      <c r="VWL38" s="339" t="s">
        <v>141</v>
      </c>
      <c r="VWM38" s="305"/>
      <c r="VWN38" s="305">
        <v>1</v>
      </c>
      <c r="VWO38" s="304">
        <f t="shared" ref="VWO38" si="4583">EDATE(VWK38,VWN38)</f>
        <v>45523</v>
      </c>
      <c r="VWP38" s="340">
        <v>0</v>
      </c>
      <c r="VWQ38" s="320">
        <f t="shared" ref="VWQ38" si="4584">IF(VWR38&gt;=1,(VWP38/VWN38),0)</f>
        <v>0</v>
      </c>
      <c r="VWR38" s="292"/>
      <c r="VWS38" s="259" t="s">
        <v>55</v>
      </c>
      <c r="VWT38" s="256" t="s">
        <v>76</v>
      </c>
      <c r="VWU38" s="256" t="s">
        <v>77</v>
      </c>
      <c r="VWV38" s="256" t="s">
        <v>78</v>
      </c>
      <c r="VWW38" s="256" t="s">
        <v>79</v>
      </c>
      <c r="VWX38" s="256" t="s">
        <v>80</v>
      </c>
      <c r="VWY38" s="256" t="s">
        <v>81</v>
      </c>
      <c r="VWZ38" s="331"/>
      <c r="VXA38" s="290">
        <v>45492</v>
      </c>
      <c r="VXB38" s="339" t="s">
        <v>141</v>
      </c>
      <c r="VXC38" s="305"/>
      <c r="VXD38" s="305">
        <v>1</v>
      </c>
      <c r="VXE38" s="304">
        <f t="shared" ref="VXE38" si="4585">EDATE(VXA38,VXD38)</f>
        <v>45523</v>
      </c>
      <c r="VXF38" s="340">
        <v>0</v>
      </c>
      <c r="VXG38" s="320">
        <f t="shared" ref="VXG38" si="4586">IF(VXH38&gt;=1,(VXF38/VXD38),0)</f>
        <v>0</v>
      </c>
      <c r="VXH38" s="292"/>
      <c r="VXI38" s="259" t="s">
        <v>55</v>
      </c>
      <c r="VXJ38" s="256" t="s">
        <v>76</v>
      </c>
      <c r="VXK38" s="256" t="s">
        <v>77</v>
      </c>
      <c r="VXL38" s="256" t="s">
        <v>78</v>
      </c>
      <c r="VXM38" s="256" t="s">
        <v>79</v>
      </c>
      <c r="VXN38" s="256" t="s">
        <v>80</v>
      </c>
      <c r="VXO38" s="256" t="s">
        <v>81</v>
      </c>
      <c r="VXP38" s="331"/>
      <c r="VXQ38" s="290">
        <v>45492</v>
      </c>
      <c r="VXR38" s="339" t="s">
        <v>141</v>
      </c>
      <c r="VXS38" s="305"/>
      <c r="VXT38" s="305">
        <v>1</v>
      </c>
      <c r="VXU38" s="304">
        <f t="shared" ref="VXU38" si="4587">EDATE(VXQ38,VXT38)</f>
        <v>45523</v>
      </c>
      <c r="VXV38" s="340">
        <v>0</v>
      </c>
      <c r="VXW38" s="320">
        <f t="shared" ref="VXW38" si="4588">IF(VXX38&gt;=1,(VXV38/VXT38),0)</f>
        <v>0</v>
      </c>
      <c r="VXX38" s="292"/>
      <c r="VXY38" s="259" t="s">
        <v>55</v>
      </c>
      <c r="VXZ38" s="256" t="s">
        <v>76</v>
      </c>
      <c r="VYA38" s="256" t="s">
        <v>77</v>
      </c>
      <c r="VYB38" s="256" t="s">
        <v>78</v>
      </c>
      <c r="VYC38" s="256" t="s">
        <v>79</v>
      </c>
      <c r="VYD38" s="256" t="s">
        <v>80</v>
      </c>
      <c r="VYE38" s="256" t="s">
        <v>81</v>
      </c>
      <c r="VYF38" s="331"/>
      <c r="VYG38" s="290">
        <v>45492</v>
      </c>
      <c r="VYH38" s="339" t="s">
        <v>141</v>
      </c>
      <c r="VYI38" s="305"/>
      <c r="VYJ38" s="305">
        <v>1</v>
      </c>
      <c r="VYK38" s="304">
        <f t="shared" ref="VYK38" si="4589">EDATE(VYG38,VYJ38)</f>
        <v>45523</v>
      </c>
      <c r="VYL38" s="340">
        <v>0</v>
      </c>
      <c r="VYM38" s="320">
        <f t="shared" ref="VYM38" si="4590">IF(VYN38&gt;=1,(VYL38/VYJ38),0)</f>
        <v>0</v>
      </c>
      <c r="VYN38" s="292"/>
      <c r="VYO38" s="259" t="s">
        <v>55</v>
      </c>
      <c r="VYP38" s="256" t="s">
        <v>76</v>
      </c>
      <c r="VYQ38" s="256" t="s">
        <v>77</v>
      </c>
      <c r="VYR38" s="256" t="s">
        <v>78</v>
      </c>
      <c r="VYS38" s="256" t="s">
        <v>79</v>
      </c>
      <c r="VYT38" s="256" t="s">
        <v>80</v>
      </c>
      <c r="VYU38" s="256" t="s">
        <v>81</v>
      </c>
      <c r="VYV38" s="331"/>
      <c r="VYW38" s="290">
        <v>45492</v>
      </c>
      <c r="VYX38" s="339" t="s">
        <v>141</v>
      </c>
      <c r="VYY38" s="305"/>
      <c r="VYZ38" s="305">
        <v>1</v>
      </c>
      <c r="VZA38" s="304">
        <f t="shared" ref="VZA38" si="4591">EDATE(VYW38,VYZ38)</f>
        <v>45523</v>
      </c>
      <c r="VZB38" s="340">
        <v>0</v>
      </c>
      <c r="VZC38" s="320">
        <f t="shared" ref="VZC38" si="4592">IF(VZD38&gt;=1,(VZB38/VYZ38),0)</f>
        <v>0</v>
      </c>
      <c r="VZD38" s="292"/>
      <c r="VZE38" s="259" t="s">
        <v>55</v>
      </c>
      <c r="VZF38" s="256" t="s">
        <v>76</v>
      </c>
      <c r="VZG38" s="256" t="s">
        <v>77</v>
      </c>
      <c r="VZH38" s="256" t="s">
        <v>78</v>
      </c>
      <c r="VZI38" s="256" t="s">
        <v>79</v>
      </c>
      <c r="VZJ38" s="256" t="s">
        <v>80</v>
      </c>
      <c r="VZK38" s="256" t="s">
        <v>81</v>
      </c>
      <c r="VZL38" s="331"/>
      <c r="VZM38" s="290">
        <v>45492</v>
      </c>
      <c r="VZN38" s="339" t="s">
        <v>141</v>
      </c>
      <c r="VZO38" s="305"/>
      <c r="VZP38" s="305">
        <v>1</v>
      </c>
      <c r="VZQ38" s="304">
        <f t="shared" ref="VZQ38" si="4593">EDATE(VZM38,VZP38)</f>
        <v>45523</v>
      </c>
      <c r="VZR38" s="340">
        <v>0</v>
      </c>
      <c r="VZS38" s="320">
        <f t="shared" ref="VZS38" si="4594">IF(VZT38&gt;=1,(VZR38/VZP38),0)</f>
        <v>0</v>
      </c>
      <c r="VZT38" s="292"/>
      <c r="VZU38" s="259" t="s">
        <v>55</v>
      </c>
      <c r="VZV38" s="256" t="s">
        <v>76</v>
      </c>
      <c r="VZW38" s="256" t="s">
        <v>77</v>
      </c>
      <c r="VZX38" s="256" t="s">
        <v>78</v>
      </c>
      <c r="VZY38" s="256" t="s">
        <v>79</v>
      </c>
      <c r="VZZ38" s="256" t="s">
        <v>80</v>
      </c>
      <c r="WAA38" s="256" t="s">
        <v>81</v>
      </c>
      <c r="WAB38" s="331"/>
      <c r="WAC38" s="290">
        <v>45492</v>
      </c>
      <c r="WAD38" s="339" t="s">
        <v>141</v>
      </c>
      <c r="WAE38" s="305"/>
      <c r="WAF38" s="305">
        <v>1</v>
      </c>
      <c r="WAG38" s="304">
        <f t="shared" ref="WAG38" si="4595">EDATE(WAC38,WAF38)</f>
        <v>45523</v>
      </c>
      <c r="WAH38" s="340">
        <v>0</v>
      </c>
      <c r="WAI38" s="320">
        <f t="shared" ref="WAI38" si="4596">IF(WAJ38&gt;=1,(WAH38/WAF38),0)</f>
        <v>0</v>
      </c>
      <c r="WAJ38" s="292"/>
      <c r="WAK38" s="259" t="s">
        <v>55</v>
      </c>
      <c r="WAL38" s="256" t="s">
        <v>76</v>
      </c>
      <c r="WAM38" s="256" t="s">
        <v>77</v>
      </c>
      <c r="WAN38" s="256" t="s">
        <v>78</v>
      </c>
      <c r="WAO38" s="256" t="s">
        <v>79</v>
      </c>
      <c r="WAP38" s="256" t="s">
        <v>80</v>
      </c>
      <c r="WAQ38" s="256" t="s">
        <v>81</v>
      </c>
      <c r="WAR38" s="331"/>
      <c r="WAS38" s="290">
        <v>45492</v>
      </c>
      <c r="WAT38" s="339" t="s">
        <v>141</v>
      </c>
      <c r="WAU38" s="305"/>
      <c r="WAV38" s="305">
        <v>1</v>
      </c>
      <c r="WAW38" s="304">
        <f t="shared" ref="WAW38" si="4597">EDATE(WAS38,WAV38)</f>
        <v>45523</v>
      </c>
      <c r="WAX38" s="340">
        <v>0</v>
      </c>
      <c r="WAY38" s="320">
        <f t="shared" ref="WAY38" si="4598">IF(WAZ38&gt;=1,(WAX38/WAV38),0)</f>
        <v>0</v>
      </c>
      <c r="WAZ38" s="292"/>
      <c r="WBA38" s="259" t="s">
        <v>55</v>
      </c>
      <c r="WBB38" s="256" t="s">
        <v>76</v>
      </c>
      <c r="WBC38" s="256" t="s">
        <v>77</v>
      </c>
      <c r="WBD38" s="256" t="s">
        <v>78</v>
      </c>
      <c r="WBE38" s="256" t="s">
        <v>79</v>
      </c>
      <c r="WBF38" s="256" t="s">
        <v>80</v>
      </c>
      <c r="WBG38" s="256" t="s">
        <v>81</v>
      </c>
      <c r="WBH38" s="331"/>
      <c r="WBI38" s="290">
        <v>45492</v>
      </c>
      <c r="WBJ38" s="339" t="s">
        <v>141</v>
      </c>
      <c r="WBK38" s="305"/>
      <c r="WBL38" s="305">
        <v>1</v>
      </c>
      <c r="WBM38" s="304">
        <f t="shared" ref="WBM38" si="4599">EDATE(WBI38,WBL38)</f>
        <v>45523</v>
      </c>
      <c r="WBN38" s="340">
        <v>0</v>
      </c>
      <c r="WBO38" s="320">
        <f t="shared" ref="WBO38" si="4600">IF(WBP38&gt;=1,(WBN38/WBL38),0)</f>
        <v>0</v>
      </c>
      <c r="WBP38" s="292"/>
      <c r="WBQ38" s="259" t="s">
        <v>55</v>
      </c>
      <c r="WBR38" s="256" t="s">
        <v>76</v>
      </c>
      <c r="WBS38" s="256" t="s">
        <v>77</v>
      </c>
      <c r="WBT38" s="256" t="s">
        <v>78</v>
      </c>
      <c r="WBU38" s="256" t="s">
        <v>79</v>
      </c>
      <c r="WBV38" s="256" t="s">
        <v>80</v>
      </c>
      <c r="WBW38" s="256" t="s">
        <v>81</v>
      </c>
      <c r="WBX38" s="331"/>
      <c r="WBY38" s="290">
        <v>45492</v>
      </c>
      <c r="WBZ38" s="339" t="s">
        <v>141</v>
      </c>
      <c r="WCA38" s="305"/>
      <c r="WCB38" s="305">
        <v>1</v>
      </c>
      <c r="WCC38" s="304">
        <f t="shared" ref="WCC38" si="4601">EDATE(WBY38,WCB38)</f>
        <v>45523</v>
      </c>
      <c r="WCD38" s="340">
        <v>0</v>
      </c>
      <c r="WCE38" s="320">
        <f t="shared" ref="WCE38" si="4602">IF(WCF38&gt;=1,(WCD38/WCB38),0)</f>
        <v>0</v>
      </c>
      <c r="WCF38" s="292"/>
      <c r="WCG38" s="259" t="s">
        <v>55</v>
      </c>
      <c r="WCH38" s="256" t="s">
        <v>76</v>
      </c>
      <c r="WCI38" s="256" t="s">
        <v>77</v>
      </c>
      <c r="WCJ38" s="256" t="s">
        <v>78</v>
      </c>
      <c r="WCK38" s="256" t="s">
        <v>79</v>
      </c>
      <c r="WCL38" s="256" t="s">
        <v>80</v>
      </c>
      <c r="WCM38" s="256" t="s">
        <v>81</v>
      </c>
      <c r="WCN38" s="331"/>
      <c r="WCO38" s="290">
        <v>45492</v>
      </c>
      <c r="WCP38" s="339" t="s">
        <v>141</v>
      </c>
      <c r="WCQ38" s="305"/>
      <c r="WCR38" s="305">
        <v>1</v>
      </c>
      <c r="WCS38" s="304">
        <f t="shared" ref="WCS38" si="4603">EDATE(WCO38,WCR38)</f>
        <v>45523</v>
      </c>
      <c r="WCT38" s="340">
        <v>0</v>
      </c>
      <c r="WCU38" s="320">
        <f t="shared" ref="WCU38" si="4604">IF(WCV38&gt;=1,(WCT38/WCR38),0)</f>
        <v>0</v>
      </c>
      <c r="WCV38" s="292"/>
      <c r="WCW38" s="259" t="s">
        <v>55</v>
      </c>
      <c r="WCX38" s="256" t="s">
        <v>76</v>
      </c>
      <c r="WCY38" s="256" t="s">
        <v>77</v>
      </c>
      <c r="WCZ38" s="256" t="s">
        <v>78</v>
      </c>
      <c r="WDA38" s="256" t="s">
        <v>79</v>
      </c>
      <c r="WDB38" s="256" t="s">
        <v>80</v>
      </c>
      <c r="WDC38" s="256" t="s">
        <v>81</v>
      </c>
      <c r="WDD38" s="331"/>
      <c r="WDE38" s="290">
        <v>45492</v>
      </c>
      <c r="WDF38" s="339" t="s">
        <v>141</v>
      </c>
      <c r="WDG38" s="305"/>
      <c r="WDH38" s="305">
        <v>1</v>
      </c>
      <c r="WDI38" s="304">
        <f t="shared" ref="WDI38" si="4605">EDATE(WDE38,WDH38)</f>
        <v>45523</v>
      </c>
      <c r="WDJ38" s="340">
        <v>0</v>
      </c>
      <c r="WDK38" s="320">
        <f t="shared" ref="WDK38" si="4606">IF(WDL38&gt;=1,(WDJ38/WDH38),0)</f>
        <v>0</v>
      </c>
      <c r="WDL38" s="292"/>
      <c r="WDM38" s="259" t="s">
        <v>55</v>
      </c>
      <c r="WDN38" s="256" t="s">
        <v>76</v>
      </c>
      <c r="WDO38" s="256" t="s">
        <v>77</v>
      </c>
      <c r="WDP38" s="256" t="s">
        <v>78</v>
      </c>
      <c r="WDQ38" s="256" t="s">
        <v>79</v>
      </c>
      <c r="WDR38" s="256" t="s">
        <v>80</v>
      </c>
      <c r="WDS38" s="256" t="s">
        <v>81</v>
      </c>
      <c r="WDT38" s="331"/>
      <c r="WDU38" s="290">
        <v>45492</v>
      </c>
      <c r="WDV38" s="339" t="s">
        <v>141</v>
      </c>
      <c r="WDW38" s="305"/>
      <c r="WDX38" s="305">
        <v>1</v>
      </c>
      <c r="WDY38" s="304">
        <f t="shared" ref="WDY38" si="4607">EDATE(WDU38,WDX38)</f>
        <v>45523</v>
      </c>
      <c r="WDZ38" s="340">
        <v>0</v>
      </c>
      <c r="WEA38" s="320">
        <f t="shared" ref="WEA38" si="4608">IF(WEB38&gt;=1,(WDZ38/WDX38),0)</f>
        <v>0</v>
      </c>
      <c r="WEB38" s="292"/>
      <c r="WEC38" s="259" t="s">
        <v>55</v>
      </c>
      <c r="WED38" s="256" t="s">
        <v>76</v>
      </c>
      <c r="WEE38" s="256" t="s">
        <v>77</v>
      </c>
      <c r="WEF38" s="256" t="s">
        <v>78</v>
      </c>
      <c r="WEG38" s="256" t="s">
        <v>79</v>
      </c>
      <c r="WEH38" s="256" t="s">
        <v>80</v>
      </c>
      <c r="WEI38" s="256" t="s">
        <v>81</v>
      </c>
      <c r="WEJ38" s="331"/>
      <c r="WEK38" s="290">
        <v>45492</v>
      </c>
      <c r="WEL38" s="339" t="s">
        <v>141</v>
      </c>
      <c r="WEM38" s="305"/>
      <c r="WEN38" s="305">
        <v>1</v>
      </c>
      <c r="WEO38" s="304">
        <f t="shared" ref="WEO38" si="4609">EDATE(WEK38,WEN38)</f>
        <v>45523</v>
      </c>
      <c r="WEP38" s="340">
        <v>0</v>
      </c>
      <c r="WEQ38" s="320">
        <f t="shared" ref="WEQ38" si="4610">IF(WER38&gt;=1,(WEP38/WEN38),0)</f>
        <v>0</v>
      </c>
      <c r="WER38" s="292"/>
      <c r="WES38" s="259" t="s">
        <v>55</v>
      </c>
      <c r="WET38" s="256" t="s">
        <v>76</v>
      </c>
      <c r="WEU38" s="256" t="s">
        <v>77</v>
      </c>
      <c r="WEV38" s="256" t="s">
        <v>78</v>
      </c>
      <c r="WEW38" s="256" t="s">
        <v>79</v>
      </c>
      <c r="WEX38" s="256" t="s">
        <v>80</v>
      </c>
      <c r="WEY38" s="256" t="s">
        <v>81</v>
      </c>
      <c r="WEZ38" s="331"/>
      <c r="WFA38" s="290">
        <v>45492</v>
      </c>
      <c r="WFB38" s="339" t="s">
        <v>141</v>
      </c>
      <c r="WFC38" s="305"/>
      <c r="WFD38" s="305">
        <v>1</v>
      </c>
      <c r="WFE38" s="304">
        <f t="shared" ref="WFE38" si="4611">EDATE(WFA38,WFD38)</f>
        <v>45523</v>
      </c>
      <c r="WFF38" s="340">
        <v>0</v>
      </c>
      <c r="WFG38" s="320">
        <f t="shared" ref="WFG38" si="4612">IF(WFH38&gt;=1,(WFF38/WFD38),0)</f>
        <v>0</v>
      </c>
      <c r="WFH38" s="292"/>
      <c r="WFI38" s="259" t="s">
        <v>55</v>
      </c>
      <c r="WFJ38" s="256" t="s">
        <v>76</v>
      </c>
      <c r="WFK38" s="256" t="s">
        <v>77</v>
      </c>
      <c r="WFL38" s="256" t="s">
        <v>78</v>
      </c>
      <c r="WFM38" s="256" t="s">
        <v>79</v>
      </c>
      <c r="WFN38" s="256" t="s">
        <v>80</v>
      </c>
      <c r="WFO38" s="256" t="s">
        <v>81</v>
      </c>
      <c r="WFP38" s="331"/>
      <c r="WFQ38" s="290">
        <v>45492</v>
      </c>
      <c r="WFR38" s="339" t="s">
        <v>141</v>
      </c>
      <c r="WFS38" s="305"/>
      <c r="WFT38" s="305">
        <v>1</v>
      </c>
      <c r="WFU38" s="304">
        <f t="shared" ref="WFU38" si="4613">EDATE(WFQ38,WFT38)</f>
        <v>45523</v>
      </c>
      <c r="WFV38" s="340">
        <v>0</v>
      </c>
      <c r="WFW38" s="320">
        <f t="shared" ref="WFW38" si="4614">IF(WFX38&gt;=1,(WFV38/WFT38),0)</f>
        <v>0</v>
      </c>
      <c r="WFX38" s="292"/>
      <c r="WFY38" s="259" t="s">
        <v>55</v>
      </c>
      <c r="WFZ38" s="256" t="s">
        <v>76</v>
      </c>
      <c r="WGA38" s="256" t="s">
        <v>77</v>
      </c>
      <c r="WGB38" s="256" t="s">
        <v>78</v>
      </c>
      <c r="WGC38" s="256" t="s">
        <v>79</v>
      </c>
      <c r="WGD38" s="256" t="s">
        <v>80</v>
      </c>
      <c r="WGE38" s="256" t="s">
        <v>81</v>
      </c>
      <c r="WGF38" s="331"/>
      <c r="WGG38" s="290">
        <v>45492</v>
      </c>
      <c r="WGH38" s="339" t="s">
        <v>141</v>
      </c>
      <c r="WGI38" s="305"/>
      <c r="WGJ38" s="305">
        <v>1</v>
      </c>
      <c r="WGK38" s="304">
        <f t="shared" ref="WGK38" si="4615">EDATE(WGG38,WGJ38)</f>
        <v>45523</v>
      </c>
      <c r="WGL38" s="340">
        <v>0</v>
      </c>
      <c r="WGM38" s="320">
        <f t="shared" ref="WGM38" si="4616">IF(WGN38&gt;=1,(WGL38/WGJ38),0)</f>
        <v>0</v>
      </c>
      <c r="WGN38" s="292"/>
      <c r="WGO38" s="259" t="s">
        <v>55</v>
      </c>
      <c r="WGP38" s="256" t="s">
        <v>76</v>
      </c>
      <c r="WGQ38" s="256" t="s">
        <v>77</v>
      </c>
      <c r="WGR38" s="256" t="s">
        <v>78</v>
      </c>
      <c r="WGS38" s="256" t="s">
        <v>79</v>
      </c>
      <c r="WGT38" s="256" t="s">
        <v>80</v>
      </c>
      <c r="WGU38" s="256" t="s">
        <v>81</v>
      </c>
      <c r="WGV38" s="331"/>
      <c r="WGW38" s="290">
        <v>45492</v>
      </c>
      <c r="WGX38" s="339" t="s">
        <v>141</v>
      </c>
      <c r="WGY38" s="305"/>
      <c r="WGZ38" s="305">
        <v>1</v>
      </c>
      <c r="WHA38" s="304">
        <f t="shared" ref="WHA38" si="4617">EDATE(WGW38,WGZ38)</f>
        <v>45523</v>
      </c>
      <c r="WHB38" s="340">
        <v>0</v>
      </c>
      <c r="WHC38" s="320">
        <f t="shared" ref="WHC38" si="4618">IF(WHD38&gt;=1,(WHB38/WGZ38),0)</f>
        <v>0</v>
      </c>
      <c r="WHD38" s="292"/>
      <c r="WHE38" s="259" t="s">
        <v>55</v>
      </c>
      <c r="WHF38" s="256" t="s">
        <v>76</v>
      </c>
      <c r="WHG38" s="256" t="s">
        <v>77</v>
      </c>
      <c r="WHH38" s="256" t="s">
        <v>78</v>
      </c>
      <c r="WHI38" s="256" t="s">
        <v>79</v>
      </c>
      <c r="WHJ38" s="256" t="s">
        <v>80</v>
      </c>
      <c r="WHK38" s="256" t="s">
        <v>81</v>
      </c>
      <c r="WHL38" s="331"/>
      <c r="WHM38" s="290">
        <v>45492</v>
      </c>
      <c r="WHN38" s="339" t="s">
        <v>141</v>
      </c>
      <c r="WHO38" s="305"/>
      <c r="WHP38" s="305">
        <v>1</v>
      </c>
      <c r="WHQ38" s="304">
        <f t="shared" ref="WHQ38" si="4619">EDATE(WHM38,WHP38)</f>
        <v>45523</v>
      </c>
      <c r="WHR38" s="340">
        <v>0</v>
      </c>
      <c r="WHS38" s="320">
        <f t="shared" ref="WHS38" si="4620">IF(WHT38&gt;=1,(WHR38/WHP38),0)</f>
        <v>0</v>
      </c>
      <c r="WHT38" s="292"/>
      <c r="WHU38" s="259" t="s">
        <v>55</v>
      </c>
      <c r="WHV38" s="256" t="s">
        <v>76</v>
      </c>
      <c r="WHW38" s="256" t="s">
        <v>77</v>
      </c>
      <c r="WHX38" s="256" t="s">
        <v>78</v>
      </c>
      <c r="WHY38" s="256" t="s">
        <v>79</v>
      </c>
      <c r="WHZ38" s="256" t="s">
        <v>80</v>
      </c>
      <c r="WIA38" s="256" t="s">
        <v>81</v>
      </c>
      <c r="WIB38" s="331"/>
      <c r="WIC38" s="290">
        <v>45492</v>
      </c>
      <c r="WID38" s="339" t="s">
        <v>141</v>
      </c>
      <c r="WIE38" s="305"/>
      <c r="WIF38" s="305">
        <v>1</v>
      </c>
      <c r="WIG38" s="304">
        <f t="shared" ref="WIG38" si="4621">EDATE(WIC38,WIF38)</f>
        <v>45523</v>
      </c>
      <c r="WIH38" s="340">
        <v>0</v>
      </c>
      <c r="WII38" s="320">
        <f t="shared" ref="WII38" si="4622">IF(WIJ38&gt;=1,(WIH38/WIF38),0)</f>
        <v>0</v>
      </c>
      <c r="WIJ38" s="292"/>
      <c r="WIK38" s="259" t="s">
        <v>55</v>
      </c>
      <c r="WIL38" s="256" t="s">
        <v>76</v>
      </c>
      <c r="WIM38" s="256" t="s">
        <v>77</v>
      </c>
      <c r="WIN38" s="256" t="s">
        <v>78</v>
      </c>
      <c r="WIO38" s="256" t="s">
        <v>79</v>
      </c>
      <c r="WIP38" s="256" t="s">
        <v>80</v>
      </c>
      <c r="WIQ38" s="256" t="s">
        <v>81</v>
      </c>
      <c r="WIR38" s="331"/>
      <c r="WIS38" s="290">
        <v>45492</v>
      </c>
      <c r="WIT38" s="339" t="s">
        <v>141</v>
      </c>
      <c r="WIU38" s="305"/>
      <c r="WIV38" s="305">
        <v>1</v>
      </c>
      <c r="WIW38" s="304">
        <f t="shared" ref="WIW38" si="4623">EDATE(WIS38,WIV38)</f>
        <v>45523</v>
      </c>
      <c r="WIX38" s="340">
        <v>0</v>
      </c>
      <c r="WIY38" s="320">
        <f t="shared" ref="WIY38" si="4624">IF(WIZ38&gt;=1,(WIX38/WIV38),0)</f>
        <v>0</v>
      </c>
      <c r="WIZ38" s="292"/>
      <c r="WJA38" s="259" t="s">
        <v>55</v>
      </c>
      <c r="WJB38" s="256" t="s">
        <v>76</v>
      </c>
      <c r="WJC38" s="256" t="s">
        <v>77</v>
      </c>
      <c r="WJD38" s="256" t="s">
        <v>78</v>
      </c>
      <c r="WJE38" s="256" t="s">
        <v>79</v>
      </c>
      <c r="WJF38" s="256" t="s">
        <v>80</v>
      </c>
      <c r="WJG38" s="256" t="s">
        <v>81</v>
      </c>
      <c r="WJH38" s="331"/>
      <c r="WJI38" s="290">
        <v>45492</v>
      </c>
      <c r="WJJ38" s="339" t="s">
        <v>141</v>
      </c>
      <c r="WJK38" s="305"/>
      <c r="WJL38" s="305">
        <v>1</v>
      </c>
      <c r="WJM38" s="304">
        <f t="shared" ref="WJM38" si="4625">EDATE(WJI38,WJL38)</f>
        <v>45523</v>
      </c>
      <c r="WJN38" s="340">
        <v>0</v>
      </c>
      <c r="WJO38" s="320">
        <f t="shared" ref="WJO38" si="4626">IF(WJP38&gt;=1,(WJN38/WJL38),0)</f>
        <v>0</v>
      </c>
      <c r="WJP38" s="292"/>
      <c r="WJQ38" s="259" t="s">
        <v>55</v>
      </c>
      <c r="WJR38" s="256" t="s">
        <v>76</v>
      </c>
      <c r="WJS38" s="256" t="s">
        <v>77</v>
      </c>
      <c r="WJT38" s="256" t="s">
        <v>78</v>
      </c>
      <c r="WJU38" s="256" t="s">
        <v>79</v>
      </c>
      <c r="WJV38" s="256" t="s">
        <v>80</v>
      </c>
      <c r="WJW38" s="256" t="s">
        <v>81</v>
      </c>
      <c r="WJX38" s="331"/>
      <c r="WJY38" s="290">
        <v>45492</v>
      </c>
      <c r="WJZ38" s="339" t="s">
        <v>141</v>
      </c>
      <c r="WKA38" s="305"/>
      <c r="WKB38" s="305">
        <v>1</v>
      </c>
      <c r="WKC38" s="304">
        <f t="shared" ref="WKC38" si="4627">EDATE(WJY38,WKB38)</f>
        <v>45523</v>
      </c>
      <c r="WKD38" s="340">
        <v>0</v>
      </c>
      <c r="WKE38" s="320">
        <f t="shared" ref="WKE38" si="4628">IF(WKF38&gt;=1,(WKD38/WKB38),0)</f>
        <v>0</v>
      </c>
      <c r="WKF38" s="292"/>
      <c r="WKG38" s="259" t="s">
        <v>55</v>
      </c>
      <c r="WKH38" s="256" t="s">
        <v>76</v>
      </c>
      <c r="WKI38" s="256" t="s">
        <v>77</v>
      </c>
      <c r="WKJ38" s="256" t="s">
        <v>78</v>
      </c>
      <c r="WKK38" s="256" t="s">
        <v>79</v>
      </c>
      <c r="WKL38" s="256" t="s">
        <v>80</v>
      </c>
      <c r="WKM38" s="256" t="s">
        <v>81</v>
      </c>
      <c r="WKN38" s="331"/>
      <c r="WKO38" s="290">
        <v>45492</v>
      </c>
      <c r="WKP38" s="339" t="s">
        <v>141</v>
      </c>
      <c r="WKQ38" s="305"/>
      <c r="WKR38" s="305">
        <v>1</v>
      </c>
      <c r="WKS38" s="304">
        <f t="shared" ref="WKS38" si="4629">EDATE(WKO38,WKR38)</f>
        <v>45523</v>
      </c>
      <c r="WKT38" s="340">
        <v>0</v>
      </c>
      <c r="WKU38" s="320">
        <f t="shared" ref="WKU38" si="4630">IF(WKV38&gt;=1,(WKT38/WKR38),0)</f>
        <v>0</v>
      </c>
      <c r="WKV38" s="292"/>
      <c r="WKW38" s="259" t="s">
        <v>55</v>
      </c>
      <c r="WKX38" s="256" t="s">
        <v>76</v>
      </c>
      <c r="WKY38" s="256" t="s">
        <v>77</v>
      </c>
      <c r="WKZ38" s="256" t="s">
        <v>78</v>
      </c>
      <c r="WLA38" s="256" t="s">
        <v>79</v>
      </c>
      <c r="WLB38" s="256" t="s">
        <v>80</v>
      </c>
      <c r="WLC38" s="256" t="s">
        <v>81</v>
      </c>
      <c r="WLD38" s="331"/>
      <c r="WLE38" s="290">
        <v>45492</v>
      </c>
      <c r="WLF38" s="339" t="s">
        <v>141</v>
      </c>
      <c r="WLG38" s="305"/>
      <c r="WLH38" s="305">
        <v>1</v>
      </c>
      <c r="WLI38" s="304">
        <f t="shared" ref="WLI38" si="4631">EDATE(WLE38,WLH38)</f>
        <v>45523</v>
      </c>
      <c r="WLJ38" s="340">
        <v>0</v>
      </c>
      <c r="WLK38" s="320">
        <f t="shared" ref="WLK38" si="4632">IF(WLL38&gt;=1,(WLJ38/WLH38),0)</f>
        <v>0</v>
      </c>
      <c r="WLL38" s="292"/>
      <c r="WLM38" s="259" t="s">
        <v>55</v>
      </c>
      <c r="WLN38" s="256" t="s">
        <v>76</v>
      </c>
      <c r="WLO38" s="256" t="s">
        <v>77</v>
      </c>
      <c r="WLP38" s="256" t="s">
        <v>78</v>
      </c>
      <c r="WLQ38" s="256" t="s">
        <v>79</v>
      </c>
      <c r="WLR38" s="256" t="s">
        <v>80</v>
      </c>
      <c r="WLS38" s="256" t="s">
        <v>81</v>
      </c>
      <c r="WLT38" s="331"/>
      <c r="WLU38" s="290">
        <v>45492</v>
      </c>
      <c r="WLV38" s="339" t="s">
        <v>141</v>
      </c>
      <c r="WLW38" s="305"/>
      <c r="WLX38" s="305">
        <v>1</v>
      </c>
      <c r="WLY38" s="304">
        <f t="shared" ref="WLY38" si="4633">EDATE(WLU38,WLX38)</f>
        <v>45523</v>
      </c>
      <c r="WLZ38" s="340">
        <v>0</v>
      </c>
      <c r="WMA38" s="320">
        <f t="shared" ref="WMA38" si="4634">IF(WMB38&gt;=1,(WLZ38/WLX38),0)</f>
        <v>0</v>
      </c>
      <c r="WMB38" s="292"/>
      <c r="WMC38" s="259" t="s">
        <v>55</v>
      </c>
      <c r="WMD38" s="256" t="s">
        <v>76</v>
      </c>
      <c r="WME38" s="256" t="s">
        <v>77</v>
      </c>
      <c r="WMF38" s="256" t="s">
        <v>78</v>
      </c>
      <c r="WMG38" s="256" t="s">
        <v>79</v>
      </c>
      <c r="WMH38" s="256" t="s">
        <v>80</v>
      </c>
      <c r="WMI38" s="256" t="s">
        <v>81</v>
      </c>
      <c r="WMJ38" s="331"/>
      <c r="WMK38" s="290">
        <v>45492</v>
      </c>
      <c r="WML38" s="339" t="s">
        <v>141</v>
      </c>
      <c r="WMM38" s="305"/>
      <c r="WMN38" s="305">
        <v>1</v>
      </c>
      <c r="WMO38" s="304">
        <f t="shared" ref="WMO38" si="4635">EDATE(WMK38,WMN38)</f>
        <v>45523</v>
      </c>
      <c r="WMP38" s="340">
        <v>0</v>
      </c>
      <c r="WMQ38" s="320">
        <f t="shared" ref="WMQ38" si="4636">IF(WMR38&gt;=1,(WMP38/WMN38),0)</f>
        <v>0</v>
      </c>
      <c r="WMR38" s="292"/>
      <c r="WMS38" s="259" t="s">
        <v>55</v>
      </c>
      <c r="WMT38" s="256" t="s">
        <v>76</v>
      </c>
      <c r="WMU38" s="256" t="s">
        <v>77</v>
      </c>
      <c r="WMV38" s="256" t="s">
        <v>78</v>
      </c>
      <c r="WMW38" s="256" t="s">
        <v>79</v>
      </c>
      <c r="WMX38" s="256" t="s">
        <v>80</v>
      </c>
      <c r="WMY38" s="256" t="s">
        <v>81</v>
      </c>
      <c r="WMZ38" s="331"/>
      <c r="WNA38" s="290">
        <v>45492</v>
      </c>
      <c r="WNB38" s="339" t="s">
        <v>141</v>
      </c>
      <c r="WNC38" s="305"/>
      <c r="WND38" s="305">
        <v>1</v>
      </c>
      <c r="WNE38" s="304">
        <f t="shared" ref="WNE38" si="4637">EDATE(WNA38,WND38)</f>
        <v>45523</v>
      </c>
      <c r="WNF38" s="340">
        <v>0</v>
      </c>
      <c r="WNG38" s="320">
        <f t="shared" ref="WNG38" si="4638">IF(WNH38&gt;=1,(WNF38/WND38),0)</f>
        <v>0</v>
      </c>
      <c r="WNH38" s="292"/>
      <c r="WNI38" s="259" t="s">
        <v>55</v>
      </c>
      <c r="WNJ38" s="256" t="s">
        <v>76</v>
      </c>
      <c r="WNK38" s="256" t="s">
        <v>77</v>
      </c>
      <c r="WNL38" s="256" t="s">
        <v>78</v>
      </c>
      <c r="WNM38" s="256" t="s">
        <v>79</v>
      </c>
      <c r="WNN38" s="256" t="s">
        <v>80</v>
      </c>
      <c r="WNO38" s="256" t="s">
        <v>81</v>
      </c>
      <c r="WNP38" s="331"/>
      <c r="WNQ38" s="290">
        <v>45492</v>
      </c>
      <c r="WNR38" s="339" t="s">
        <v>141</v>
      </c>
      <c r="WNS38" s="305"/>
      <c r="WNT38" s="305">
        <v>1</v>
      </c>
      <c r="WNU38" s="304">
        <f t="shared" ref="WNU38" si="4639">EDATE(WNQ38,WNT38)</f>
        <v>45523</v>
      </c>
      <c r="WNV38" s="340">
        <v>0</v>
      </c>
      <c r="WNW38" s="320">
        <f t="shared" ref="WNW38" si="4640">IF(WNX38&gt;=1,(WNV38/WNT38),0)</f>
        <v>0</v>
      </c>
      <c r="WNX38" s="292"/>
      <c r="WNY38" s="259" t="s">
        <v>55</v>
      </c>
      <c r="WNZ38" s="256" t="s">
        <v>76</v>
      </c>
      <c r="WOA38" s="256" t="s">
        <v>77</v>
      </c>
      <c r="WOB38" s="256" t="s">
        <v>78</v>
      </c>
      <c r="WOC38" s="256" t="s">
        <v>79</v>
      </c>
      <c r="WOD38" s="256" t="s">
        <v>80</v>
      </c>
      <c r="WOE38" s="256" t="s">
        <v>81</v>
      </c>
      <c r="WOF38" s="331"/>
      <c r="WOG38" s="290">
        <v>45492</v>
      </c>
      <c r="WOH38" s="339" t="s">
        <v>141</v>
      </c>
      <c r="WOI38" s="305"/>
      <c r="WOJ38" s="305">
        <v>1</v>
      </c>
      <c r="WOK38" s="304">
        <f t="shared" ref="WOK38" si="4641">EDATE(WOG38,WOJ38)</f>
        <v>45523</v>
      </c>
      <c r="WOL38" s="340">
        <v>0</v>
      </c>
      <c r="WOM38" s="320">
        <f t="shared" ref="WOM38" si="4642">IF(WON38&gt;=1,(WOL38/WOJ38),0)</f>
        <v>0</v>
      </c>
      <c r="WON38" s="292"/>
      <c r="WOO38" s="259" t="s">
        <v>55</v>
      </c>
      <c r="WOP38" s="256" t="s">
        <v>76</v>
      </c>
      <c r="WOQ38" s="256" t="s">
        <v>77</v>
      </c>
      <c r="WOR38" s="256" t="s">
        <v>78</v>
      </c>
      <c r="WOS38" s="256" t="s">
        <v>79</v>
      </c>
      <c r="WOT38" s="256" t="s">
        <v>80</v>
      </c>
      <c r="WOU38" s="256" t="s">
        <v>81</v>
      </c>
      <c r="WOV38" s="331"/>
      <c r="WOW38" s="290">
        <v>45492</v>
      </c>
      <c r="WOX38" s="339" t="s">
        <v>141</v>
      </c>
      <c r="WOY38" s="305"/>
      <c r="WOZ38" s="305">
        <v>1</v>
      </c>
      <c r="WPA38" s="304">
        <f t="shared" ref="WPA38" si="4643">EDATE(WOW38,WOZ38)</f>
        <v>45523</v>
      </c>
      <c r="WPB38" s="340">
        <v>0</v>
      </c>
      <c r="WPC38" s="320">
        <f t="shared" ref="WPC38" si="4644">IF(WPD38&gt;=1,(WPB38/WOZ38),0)</f>
        <v>0</v>
      </c>
      <c r="WPD38" s="292"/>
      <c r="WPE38" s="259" t="s">
        <v>55</v>
      </c>
      <c r="WPF38" s="256" t="s">
        <v>76</v>
      </c>
      <c r="WPG38" s="256" t="s">
        <v>77</v>
      </c>
      <c r="WPH38" s="256" t="s">
        <v>78</v>
      </c>
      <c r="WPI38" s="256" t="s">
        <v>79</v>
      </c>
      <c r="WPJ38" s="256" t="s">
        <v>80</v>
      </c>
      <c r="WPK38" s="256" t="s">
        <v>81</v>
      </c>
      <c r="WPL38" s="331"/>
      <c r="WPM38" s="290">
        <v>45492</v>
      </c>
      <c r="WPN38" s="339" t="s">
        <v>141</v>
      </c>
      <c r="WPO38" s="305"/>
      <c r="WPP38" s="305">
        <v>1</v>
      </c>
      <c r="WPQ38" s="304">
        <f t="shared" ref="WPQ38" si="4645">EDATE(WPM38,WPP38)</f>
        <v>45523</v>
      </c>
      <c r="WPR38" s="340">
        <v>0</v>
      </c>
      <c r="WPS38" s="320">
        <f t="shared" ref="WPS38" si="4646">IF(WPT38&gt;=1,(WPR38/WPP38),0)</f>
        <v>0</v>
      </c>
      <c r="WPT38" s="292"/>
      <c r="WPU38" s="259" t="s">
        <v>55</v>
      </c>
      <c r="WPV38" s="256" t="s">
        <v>76</v>
      </c>
      <c r="WPW38" s="256" t="s">
        <v>77</v>
      </c>
      <c r="WPX38" s="256" t="s">
        <v>78</v>
      </c>
      <c r="WPY38" s="256" t="s">
        <v>79</v>
      </c>
      <c r="WPZ38" s="256" t="s">
        <v>80</v>
      </c>
      <c r="WQA38" s="256" t="s">
        <v>81</v>
      </c>
      <c r="WQB38" s="331"/>
      <c r="WQC38" s="290">
        <v>45492</v>
      </c>
      <c r="WQD38" s="339" t="s">
        <v>141</v>
      </c>
      <c r="WQE38" s="305"/>
      <c r="WQF38" s="305">
        <v>1</v>
      </c>
      <c r="WQG38" s="304">
        <f t="shared" ref="WQG38" si="4647">EDATE(WQC38,WQF38)</f>
        <v>45523</v>
      </c>
      <c r="WQH38" s="340">
        <v>0</v>
      </c>
      <c r="WQI38" s="320">
        <f t="shared" ref="WQI38" si="4648">IF(WQJ38&gt;=1,(WQH38/WQF38),0)</f>
        <v>0</v>
      </c>
      <c r="WQJ38" s="292"/>
      <c r="WQK38" s="259" t="s">
        <v>55</v>
      </c>
      <c r="WQL38" s="256" t="s">
        <v>76</v>
      </c>
      <c r="WQM38" s="256" t="s">
        <v>77</v>
      </c>
      <c r="WQN38" s="256" t="s">
        <v>78</v>
      </c>
      <c r="WQO38" s="256" t="s">
        <v>79</v>
      </c>
      <c r="WQP38" s="256" t="s">
        <v>80</v>
      </c>
      <c r="WQQ38" s="256" t="s">
        <v>81</v>
      </c>
      <c r="WQR38" s="331"/>
      <c r="WQS38" s="290">
        <v>45492</v>
      </c>
      <c r="WQT38" s="339" t="s">
        <v>141</v>
      </c>
      <c r="WQU38" s="305"/>
      <c r="WQV38" s="305">
        <v>1</v>
      </c>
      <c r="WQW38" s="304">
        <f t="shared" ref="WQW38" si="4649">EDATE(WQS38,WQV38)</f>
        <v>45523</v>
      </c>
      <c r="WQX38" s="340">
        <v>0</v>
      </c>
      <c r="WQY38" s="320">
        <f t="shared" ref="WQY38" si="4650">IF(WQZ38&gt;=1,(WQX38/WQV38),0)</f>
        <v>0</v>
      </c>
      <c r="WQZ38" s="292"/>
      <c r="WRA38" s="259" t="s">
        <v>55</v>
      </c>
      <c r="WRB38" s="256" t="s">
        <v>76</v>
      </c>
      <c r="WRC38" s="256" t="s">
        <v>77</v>
      </c>
      <c r="WRD38" s="256" t="s">
        <v>78</v>
      </c>
      <c r="WRE38" s="256" t="s">
        <v>79</v>
      </c>
      <c r="WRF38" s="256" t="s">
        <v>80</v>
      </c>
      <c r="WRG38" s="256" t="s">
        <v>81</v>
      </c>
      <c r="WRH38" s="331"/>
      <c r="WRI38" s="290">
        <v>45492</v>
      </c>
      <c r="WRJ38" s="339" t="s">
        <v>141</v>
      </c>
      <c r="WRK38" s="305"/>
      <c r="WRL38" s="305">
        <v>1</v>
      </c>
      <c r="WRM38" s="304">
        <f t="shared" ref="WRM38" si="4651">EDATE(WRI38,WRL38)</f>
        <v>45523</v>
      </c>
      <c r="WRN38" s="340">
        <v>0</v>
      </c>
      <c r="WRO38" s="320">
        <f t="shared" ref="WRO38" si="4652">IF(WRP38&gt;=1,(WRN38/WRL38),0)</f>
        <v>0</v>
      </c>
      <c r="WRP38" s="292"/>
      <c r="WRQ38" s="259" t="s">
        <v>55</v>
      </c>
      <c r="WRR38" s="256" t="s">
        <v>76</v>
      </c>
      <c r="WRS38" s="256" t="s">
        <v>77</v>
      </c>
      <c r="WRT38" s="256" t="s">
        <v>78</v>
      </c>
      <c r="WRU38" s="256" t="s">
        <v>79</v>
      </c>
      <c r="WRV38" s="256" t="s">
        <v>80</v>
      </c>
      <c r="WRW38" s="256" t="s">
        <v>81</v>
      </c>
      <c r="WRX38" s="331"/>
      <c r="WRY38" s="290">
        <v>45492</v>
      </c>
      <c r="WRZ38" s="339" t="s">
        <v>141</v>
      </c>
      <c r="WSA38" s="305"/>
      <c r="WSB38" s="305">
        <v>1</v>
      </c>
      <c r="WSC38" s="304">
        <f t="shared" ref="WSC38" si="4653">EDATE(WRY38,WSB38)</f>
        <v>45523</v>
      </c>
      <c r="WSD38" s="340">
        <v>0</v>
      </c>
      <c r="WSE38" s="320">
        <f t="shared" ref="WSE38" si="4654">IF(WSF38&gt;=1,(WSD38/WSB38),0)</f>
        <v>0</v>
      </c>
      <c r="WSF38" s="292"/>
      <c r="WSG38" s="259" t="s">
        <v>55</v>
      </c>
      <c r="WSH38" s="256" t="s">
        <v>76</v>
      </c>
      <c r="WSI38" s="256" t="s">
        <v>77</v>
      </c>
      <c r="WSJ38" s="256" t="s">
        <v>78</v>
      </c>
      <c r="WSK38" s="256" t="s">
        <v>79</v>
      </c>
      <c r="WSL38" s="256" t="s">
        <v>80</v>
      </c>
      <c r="WSM38" s="256" t="s">
        <v>81</v>
      </c>
      <c r="WSN38" s="331"/>
      <c r="WSO38" s="290">
        <v>45492</v>
      </c>
      <c r="WSP38" s="339" t="s">
        <v>141</v>
      </c>
      <c r="WSQ38" s="305"/>
      <c r="WSR38" s="305">
        <v>1</v>
      </c>
      <c r="WSS38" s="304">
        <f t="shared" ref="WSS38" si="4655">EDATE(WSO38,WSR38)</f>
        <v>45523</v>
      </c>
      <c r="WST38" s="340">
        <v>0</v>
      </c>
      <c r="WSU38" s="320">
        <f t="shared" ref="WSU38" si="4656">IF(WSV38&gt;=1,(WST38/WSR38),0)</f>
        <v>0</v>
      </c>
      <c r="WSV38" s="292"/>
      <c r="WSW38" s="259" t="s">
        <v>55</v>
      </c>
      <c r="WSX38" s="256" t="s">
        <v>76</v>
      </c>
      <c r="WSY38" s="256" t="s">
        <v>77</v>
      </c>
      <c r="WSZ38" s="256" t="s">
        <v>78</v>
      </c>
      <c r="WTA38" s="256" t="s">
        <v>79</v>
      </c>
      <c r="WTB38" s="256" t="s">
        <v>80</v>
      </c>
      <c r="WTC38" s="256" t="s">
        <v>81</v>
      </c>
      <c r="WTD38" s="331"/>
      <c r="WTE38" s="290">
        <v>45492</v>
      </c>
      <c r="WTF38" s="339" t="s">
        <v>141</v>
      </c>
      <c r="WTG38" s="305"/>
      <c r="WTH38" s="305">
        <v>1</v>
      </c>
      <c r="WTI38" s="304">
        <f t="shared" ref="WTI38" si="4657">EDATE(WTE38,WTH38)</f>
        <v>45523</v>
      </c>
      <c r="WTJ38" s="340">
        <v>0</v>
      </c>
      <c r="WTK38" s="320">
        <f t="shared" ref="WTK38" si="4658">IF(WTL38&gt;=1,(WTJ38/WTH38),0)</f>
        <v>0</v>
      </c>
      <c r="WTL38" s="292"/>
      <c r="WTM38" s="259" t="s">
        <v>55</v>
      </c>
      <c r="WTN38" s="256" t="s">
        <v>76</v>
      </c>
      <c r="WTO38" s="256" t="s">
        <v>77</v>
      </c>
      <c r="WTP38" s="256" t="s">
        <v>78</v>
      </c>
      <c r="WTQ38" s="256" t="s">
        <v>79</v>
      </c>
      <c r="WTR38" s="256" t="s">
        <v>80</v>
      </c>
      <c r="WTS38" s="256" t="s">
        <v>81</v>
      </c>
      <c r="WTT38" s="331"/>
      <c r="WTU38" s="290">
        <v>45492</v>
      </c>
      <c r="WTV38" s="339" t="s">
        <v>141</v>
      </c>
      <c r="WTW38" s="305"/>
      <c r="WTX38" s="305">
        <v>1</v>
      </c>
      <c r="WTY38" s="304">
        <f t="shared" ref="WTY38" si="4659">EDATE(WTU38,WTX38)</f>
        <v>45523</v>
      </c>
      <c r="WTZ38" s="340">
        <v>0</v>
      </c>
      <c r="WUA38" s="320">
        <f t="shared" ref="WUA38" si="4660">IF(WUB38&gt;=1,(WTZ38/WTX38),0)</f>
        <v>0</v>
      </c>
      <c r="WUB38" s="292"/>
      <c r="WUC38" s="259" t="s">
        <v>55</v>
      </c>
      <c r="WUD38" s="256" t="s">
        <v>76</v>
      </c>
      <c r="WUE38" s="256" t="s">
        <v>77</v>
      </c>
      <c r="WUF38" s="256" t="s">
        <v>78</v>
      </c>
      <c r="WUG38" s="256" t="s">
        <v>79</v>
      </c>
      <c r="WUH38" s="256" t="s">
        <v>80</v>
      </c>
      <c r="WUI38" s="256" t="s">
        <v>81</v>
      </c>
      <c r="WUJ38" s="331"/>
      <c r="WUK38" s="290">
        <v>45492</v>
      </c>
      <c r="WUL38" s="339" t="s">
        <v>141</v>
      </c>
      <c r="WUM38" s="305"/>
      <c r="WUN38" s="305">
        <v>1</v>
      </c>
      <c r="WUO38" s="304">
        <f t="shared" ref="WUO38" si="4661">EDATE(WUK38,WUN38)</f>
        <v>45523</v>
      </c>
      <c r="WUP38" s="340">
        <v>0</v>
      </c>
      <c r="WUQ38" s="320">
        <f t="shared" ref="WUQ38" si="4662">IF(WUR38&gt;=1,(WUP38/WUN38),0)</f>
        <v>0</v>
      </c>
      <c r="WUR38" s="292"/>
      <c r="WUS38" s="259" t="s">
        <v>55</v>
      </c>
      <c r="WUT38" s="256" t="s">
        <v>76</v>
      </c>
      <c r="WUU38" s="256" t="s">
        <v>77</v>
      </c>
      <c r="WUV38" s="256" t="s">
        <v>78</v>
      </c>
      <c r="WUW38" s="256" t="s">
        <v>79</v>
      </c>
      <c r="WUX38" s="256" t="s">
        <v>80</v>
      </c>
      <c r="WUY38" s="256" t="s">
        <v>81</v>
      </c>
      <c r="WUZ38" s="331"/>
      <c r="WVA38" s="290">
        <v>45492</v>
      </c>
      <c r="WVB38" s="339" t="s">
        <v>141</v>
      </c>
      <c r="WVC38" s="305"/>
      <c r="WVD38" s="305">
        <v>1</v>
      </c>
      <c r="WVE38" s="304">
        <f t="shared" ref="WVE38" si="4663">EDATE(WVA38,WVD38)</f>
        <v>45523</v>
      </c>
      <c r="WVF38" s="340">
        <v>0</v>
      </c>
      <c r="WVG38" s="320">
        <f t="shared" ref="WVG38" si="4664">IF(WVH38&gt;=1,(WVF38/WVD38),0)</f>
        <v>0</v>
      </c>
      <c r="WVH38" s="292"/>
      <c r="WVI38" s="259" t="s">
        <v>55</v>
      </c>
      <c r="WVJ38" s="256" t="s">
        <v>76</v>
      </c>
      <c r="WVK38" s="256" t="s">
        <v>77</v>
      </c>
      <c r="WVL38" s="256" t="s">
        <v>78</v>
      </c>
      <c r="WVM38" s="256" t="s">
        <v>79</v>
      </c>
      <c r="WVN38" s="256" t="s">
        <v>80</v>
      </c>
      <c r="WVO38" s="256" t="s">
        <v>81</v>
      </c>
      <c r="WVP38" s="331"/>
      <c r="WVQ38" s="290">
        <v>45492</v>
      </c>
      <c r="WVR38" s="339" t="s">
        <v>141</v>
      </c>
      <c r="WVS38" s="305"/>
      <c r="WVT38" s="305">
        <v>1</v>
      </c>
      <c r="WVU38" s="304">
        <f t="shared" ref="WVU38" si="4665">EDATE(WVQ38,WVT38)</f>
        <v>45523</v>
      </c>
      <c r="WVV38" s="340">
        <v>0</v>
      </c>
      <c r="WVW38" s="320">
        <f t="shared" ref="WVW38" si="4666">IF(WVX38&gt;=1,(WVV38/WVT38),0)</f>
        <v>0</v>
      </c>
      <c r="WVX38" s="292"/>
      <c r="WVY38" s="259" t="s">
        <v>55</v>
      </c>
      <c r="WVZ38" s="256" t="s">
        <v>76</v>
      </c>
      <c r="WWA38" s="256" t="s">
        <v>77</v>
      </c>
      <c r="WWB38" s="256" t="s">
        <v>78</v>
      </c>
      <c r="WWC38" s="256" t="s">
        <v>79</v>
      </c>
      <c r="WWD38" s="256" t="s">
        <v>80</v>
      </c>
      <c r="WWE38" s="256" t="s">
        <v>81</v>
      </c>
      <c r="WWF38" s="331"/>
      <c r="WWG38" s="290">
        <v>45492</v>
      </c>
      <c r="WWH38" s="339" t="s">
        <v>141</v>
      </c>
      <c r="WWI38" s="305"/>
      <c r="WWJ38" s="305">
        <v>1</v>
      </c>
      <c r="WWK38" s="304">
        <f t="shared" ref="WWK38" si="4667">EDATE(WWG38,WWJ38)</f>
        <v>45523</v>
      </c>
      <c r="WWL38" s="340">
        <v>0</v>
      </c>
      <c r="WWM38" s="320">
        <f t="shared" ref="WWM38" si="4668">IF(WWN38&gt;=1,(WWL38/WWJ38),0)</f>
        <v>0</v>
      </c>
      <c r="WWN38" s="292"/>
      <c r="WWO38" s="259" t="s">
        <v>55</v>
      </c>
      <c r="WWP38" s="256" t="s">
        <v>76</v>
      </c>
      <c r="WWQ38" s="256" t="s">
        <v>77</v>
      </c>
      <c r="WWR38" s="256" t="s">
        <v>78</v>
      </c>
      <c r="WWS38" s="256" t="s">
        <v>79</v>
      </c>
      <c r="WWT38" s="256" t="s">
        <v>80</v>
      </c>
      <c r="WWU38" s="256" t="s">
        <v>81</v>
      </c>
      <c r="WWV38" s="331"/>
      <c r="WWW38" s="290">
        <v>45492</v>
      </c>
      <c r="WWX38" s="339" t="s">
        <v>141</v>
      </c>
      <c r="WWY38" s="305"/>
      <c r="WWZ38" s="305">
        <v>1</v>
      </c>
      <c r="WXA38" s="304">
        <f t="shared" ref="WXA38" si="4669">EDATE(WWW38,WWZ38)</f>
        <v>45523</v>
      </c>
      <c r="WXB38" s="340">
        <v>0</v>
      </c>
      <c r="WXC38" s="320">
        <f t="shared" ref="WXC38" si="4670">IF(WXD38&gt;=1,(WXB38/WWZ38),0)</f>
        <v>0</v>
      </c>
      <c r="WXD38" s="292"/>
      <c r="WXE38" s="259" t="s">
        <v>55</v>
      </c>
      <c r="WXF38" s="256" t="s">
        <v>76</v>
      </c>
      <c r="WXG38" s="256" t="s">
        <v>77</v>
      </c>
      <c r="WXH38" s="256" t="s">
        <v>78</v>
      </c>
      <c r="WXI38" s="256" t="s">
        <v>79</v>
      </c>
      <c r="WXJ38" s="256" t="s">
        <v>80</v>
      </c>
      <c r="WXK38" s="256" t="s">
        <v>81</v>
      </c>
      <c r="WXL38" s="331"/>
      <c r="WXM38" s="290">
        <v>45492</v>
      </c>
      <c r="WXN38" s="339" t="s">
        <v>141</v>
      </c>
      <c r="WXO38" s="305"/>
      <c r="WXP38" s="305">
        <v>1</v>
      </c>
      <c r="WXQ38" s="304">
        <f t="shared" ref="WXQ38" si="4671">EDATE(WXM38,WXP38)</f>
        <v>45523</v>
      </c>
      <c r="WXR38" s="340">
        <v>0</v>
      </c>
      <c r="WXS38" s="320">
        <f t="shared" ref="WXS38" si="4672">IF(WXT38&gt;=1,(WXR38/WXP38),0)</f>
        <v>0</v>
      </c>
      <c r="WXT38" s="292"/>
      <c r="WXU38" s="259" t="s">
        <v>55</v>
      </c>
      <c r="WXV38" s="256" t="s">
        <v>76</v>
      </c>
      <c r="WXW38" s="256" t="s">
        <v>77</v>
      </c>
      <c r="WXX38" s="256" t="s">
        <v>78</v>
      </c>
      <c r="WXY38" s="256" t="s">
        <v>79</v>
      </c>
      <c r="WXZ38" s="256" t="s">
        <v>80</v>
      </c>
      <c r="WYA38" s="256" t="s">
        <v>81</v>
      </c>
      <c r="WYB38" s="331"/>
      <c r="WYC38" s="290">
        <v>45492</v>
      </c>
      <c r="WYD38" s="339" t="s">
        <v>141</v>
      </c>
      <c r="WYE38" s="305"/>
      <c r="WYF38" s="305">
        <v>1</v>
      </c>
      <c r="WYG38" s="304">
        <f t="shared" ref="WYG38" si="4673">EDATE(WYC38,WYF38)</f>
        <v>45523</v>
      </c>
      <c r="WYH38" s="340">
        <v>0</v>
      </c>
      <c r="WYI38" s="320">
        <f t="shared" ref="WYI38" si="4674">IF(WYJ38&gt;=1,(WYH38/WYF38),0)</f>
        <v>0</v>
      </c>
      <c r="WYJ38" s="292"/>
      <c r="WYK38" s="259" t="s">
        <v>55</v>
      </c>
      <c r="WYL38" s="256" t="s">
        <v>76</v>
      </c>
      <c r="WYM38" s="256" t="s">
        <v>77</v>
      </c>
      <c r="WYN38" s="256" t="s">
        <v>78</v>
      </c>
      <c r="WYO38" s="256" t="s">
        <v>79</v>
      </c>
      <c r="WYP38" s="256" t="s">
        <v>80</v>
      </c>
      <c r="WYQ38" s="256" t="s">
        <v>81</v>
      </c>
      <c r="WYR38" s="331"/>
      <c r="WYS38" s="290">
        <v>45492</v>
      </c>
      <c r="WYT38" s="339" t="s">
        <v>141</v>
      </c>
      <c r="WYU38" s="305"/>
      <c r="WYV38" s="305">
        <v>1</v>
      </c>
      <c r="WYW38" s="304">
        <f t="shared" ref="WYW38" si="4675">EDATE(WYS38,WYV38)</f>
        <v>45523</v>
      </c>
      <c r="WYX38" s="340">
        <v>0</v>
      </c>
      <c r="WYY38" s="320">
        <f t="shared" ref="WYY38" si="4676">IF(WYZ38&gt;=1,(WYX38/WYV38),0)</f>
        <v>0</v>
      </c>
      <c r="WYZ38" s="292"/>
      <c r="WZA38" s="259" t="s">
        <v>55</v>
      </c>
      <c r="WZB38" s="256" t="s">
        <v>76</v>
      </c>
      <c r="WZC38" s="256" t="s">
        <v>77</v>
      </c>
      <c r="WZD38" s="256" t="s">
        <v>78</v>
      </c>
      <c r="WZE38" s="256" t="s">
        <v>79</v>
      </c>
      <c r="WZF38" s="256" t="s">
        <v>80</v>
      </c>
      <c r="WZG38" s="256" t="s">
        <v>81</v>
      </c>
      <c r="WZH38" s="331"/>
      <c r="WZI38" s="290">
        <v>45492</v>
      </c>
      <c r="WZJ38" s="339" t="s">
        <v>141</v>
      </c>
      <c r="WZK38" s="305"/>
      <c r="WZL38" s="305">
        <v>1</v>
      </c>
      <c r="WZM38" s="304">
        <f t="shared" ref="WZM38" si="4677">EDATE(WZI38,WZL38)</f>
        <v>45523</v>
      </c>
      <c r="WZN38" s="340">
        <v>0</v>
      </c>
      <c r="WZO38" s="320">
        <f t="shared" ref="WZO38" si="4678">IF(WZP38&gt;=1,(WZN38/WZL38),0)</f>
        <v>0</v>
      </c>
      <c r="WZP38" s="292"/>
      <c r="WZQ38" s="259" t="s">
        <v>55</v>
      </c>
      <c r="WZR38" s="256" t="s">
        <v>76</v>
      </c>
      <c r="WZS38" s="256" t="s">
        <v>77</v>
      </c>
      <c r="WZT38" s="256" t="s">
        <v>78</v>
      </c>
      <c r="WZU38" s="256" t="s">
        <v>79</v>
      </c>
      <c r="WZV38" s="256" t="s">
        <v>80</v>
      </c>
      <c r="WZW38" s="256" t="s">
        <v>81</v>
      </c>
      <c r="WZX38" s="331"/>
      <c r="WZY38" s="290">
        <v>45492</v>
      </c>
      <c r="WZZ38" s="339" t="s">
        <v>141</v>
      </c>
      <c r="XAA38" s="305"/>
      <c r="XAB38" s="305">
        <v>1</v>
      </c>
      <c r="XAC38" s="304">
        <f t="shared" ref="XAC38" si="4679">EDATE(WZY38,XAB38)</f>
        <v>45523</v>
      </c>
      <c r="XAD38" s="340">
        <v>0</v>
      </c>
      <c r="XAE38" s="320">
        <f t="shared" ref="XAE38" si="4680">IF(XAF38&gt;=1,(XAD38/XAB38),0)</f>
        <v>0</v>
      </c>
      <c r="XAF38" s="292"/>
      <c r="XAG38" s="259" t="s">
        <v>55</v>
      </c>
      <c r="XAH38" s="256" t="s">
        <v>76</v>
      </c>
      <c r="XAI38" s="256" t="s">
        <v>77</v>
      </c>
      <c r="XAJ38" s="256" t="s">
        <v>78</v>
      </c>
      <c r="XAK38" s="256" t="s">
        <v>79</v>
      </c>
      <c r="XAL38" s="256" t="s">
        <v>80</v>
      </c>
      <c r="XAM38" s="256" t="s">
        <v>81</v>
      </c>
      <c r="XAN38" s="331"/>
      <c r="XAO38" s="290">
        <v>45492</v>
      </c>
      <c r="XAP38" s="339" t="s">
        <v>141</v>
      </c>
      <c r="XAQ38" s="305"/>
      <c r="XAR38" s="305">
        <v>1</v>
      </c>
      <c r="XAS38" s="304">
        <f t="shared" ref="XAS38" si="4681">EDATE(XAO38,XAR38)</f>
        <v>45523</v>
      </c>
      <c r="XAT38" s="340">
        <v>0</v>
      </c>
      <c r="XAU38" s="320">
        <f t="shared" ref="XAU38" si="4682">IF(XAV38&gt;=1,(XAT38/XAR38),0)</f>
        <v>0</v>
      </c>
      <c r="XAV38" s="292"/>
      <c r="XAW38" s="259" t="s">
        <v>55</v>
      </c>
      <c r="XAX38" s="256" t="s">
        <v>76</v>
      </c>
      <c r="XAY38" s="256" t="s">
        <v>77</v>
      </c>
      <c r="XAZ38" s="256" t="s">
        <v>78</v>
      </c>
      <c r="XBA38" s="256" t="s">
        <v>79</v>
      </c>
      <c r="XBB38" s="256" t="s">
        <v>80</v>
      </c>
      <c r="XBC38" s="256" t="s">
        <v>81</v>
      </c>
      <c r="XBD38" s="331"/>
      <c r="XBE38" s="290">
        <v>45492</v>
      </c>
      <c r="XBF38" s="339" t="s">
        <v>141</v>
      </c>
      <c r="XBG38" s="305"/>
      <c r="XBH38" s="305">
        <v>1</v>
      </c>
      <c r="XBI38" s="304">
        <f t="shared" ref="XBI38" si="4683">EDATE(XBE38,XBH38)</f>
        <v>45523</v>
      </c>
      <c r="XBJ38" s="340">
        <v>0</v>
      </c>
      <c r="XBK38" s="320">
        <f t="shared" ref="XBK38" si="4684">IF(XBL38&gt;=1,(XBJ38/XBH38),0)</f>
        <v>0</v>
      </c>
      <c r="XBL38" s="292"/>
      <c r="XBM38" s="259" t="s">
        <v>55</v>
      </c>
      <c r="XBN38" s="256" t="s">
        <v>76</v>
      </c>
      <c r="XBO38" s="256" t="s">
        <v>77</v>
      </c>
      <c r="XBP38" s="256" t="s">
        <v>78</v>
      </c>
      <c r="XBQ38" s="256" t="s">
        <v>79</v>
      </c>
      <c r="XBR38" s="256" t="s">
        <v>80</v>
      </c>
      <c r="XBS38" s="256" t="s">
        <v>81</v>
      </c>
      <c r="XBT38" s="331"/>
      <c r="XBU38" s="290">
        <v>45492</v>
      </c>
      <c r="XBV38" s="339" t="s">
        <v>141</v>
      </c>
      <c r="XBW38" s="305"/>
      <c r="XBX38" s="305">
        <v>1</v>
      </c>
      <c r="XBY38" s="304">
        <f t="shared" ref="XBY38" si="4685">EDATE(XBU38,XBX38)</f>
        <v>45523</v>
      </c>
      <c r="XBZ38" s="340">
        <v>0</v>
      </c>
      <c r="XCA38" s="320">
        <f t="shared" ref="XCA38" si="4686">IF(XCB38&gt;=1,(XBZ38/XBX38),0)</f>
        <v>0</v>
      </c>
      <c r="XCB38" s="292"/>
      <c r="XCC38" s="259" t="s">
        <v>55</v>
      </c>
      <c r="XCD38" s="256" t="s">
        <v>76</v>
      </c>
      <c r="XCE38" s="256" t="s">
        <v>77</v>
      </c>
      <c r="XCF38" s="256" t="s">
        <v>78</v>
      </c>
      <c r="XCG38" s="256" t="s">
        <v>79</v>
      </c>
      <c r="XCH38" s="256" t="s">
        <v>80</v>
      </c>
      <c r="XCI38" s="256" t="s">
        <v>81</v>
      </c>
      <c r="XCJ38" s="331"/>
      <c r="XCK38" s="290">
        <v>45492</v>
      </c>
      <c r="XCL38" s="339" t="s">
        <v>141</v>
      </c>
      <c r="XCM38" s="305"/>
      <c r="XCN38" s="305">
        <v>1</v>
      </c>
      <c r="XCO38" s="304">
        <f t="shared" ref="XCO38" si="4687">EDATE(XCK38,XCN38)</f>
        <v>45523</v>
      </c>
      <c r="XCP38" s="340">
        <v>0</v>
      </c>
      <c r="XCQ38" s="320">
        <f t="shared" ref="XCQ38" si="4688">IF(XCR38&gt;=1,(XCP38/XCN38),0)</f>
        <v>0</v>
      </c>
      <c r="XCR38" s="292"/>
      <c r="XCS38" s="259" t="s">
        <v>55</v>
      </c>
      <c r="XCT38" s="256" t="s">
        <v>76</v>
      </c>
      <c r="XCU38" s="256" t="s">
        <v>77</v>
      </c>
      <c r="XCV38" s="256" t="s">
        <v>78</v>
      </c>
      <c r="XCW38" s="256" t="s">
        <v>79</v>
      </c>
      <c r="XCX38" s="256" t="s">
        <v>80</v>
      </c>
      <c r="XCY38" s="256" t="s">
        <v>81</v>
      </c>
      <c r="XCZ38" s="331"/>
      <c r="XDA38" s="290">
        <v>45492</v>
      </c>
      <c r="XDB38" s="339" t="s">
        <v>141</v>
      </c>
      <c r="XDC38" s="305"/>
      <c r="XDD38" s="305">
        <v>1</v>
      </c>
      <c r="XDE38" s="304">
        <f t="shared" ref="XDE38" si="4689">EDATE(XDA38,XDD38)</f>
        <v>45523</v>
      </c>
      <c r="XDF38" s="340">
        <v>0</v>
      </c>
      <c r="XDG38" s="320">
        <f t="shared" ref="XDG38" si="4690">IF(XDH38&gt;=1,(XDF38/XDD38),0)</f>
        <v>0</v>
      </c>
      <c r="XDH38" s="292"/>
      <c r="XDI38" s="259" t="s">
        <v>55</v>
      </c>
      <c r="XDJ38" s="256" t="s">
        <v>76</v>
      </c>
      <c r="XDK38" s="256" t="s">
        <v>77</v>
      </c>
      <c r="XDL38" s="256" t="s">
        <v>78</v>
      </c>
      <c r="XDM38" s="256" t="s">
        <v>79</v>
      </c>
      <c r="XDN38" s="256" t="s">
        <v>80</v>
      </c>
      <c r="XDO38" s="256" t="s">
        <v>81</v>
      </c>
      <c r="XDP38" s="331"/>
      <c r="XDQ38" s="290">
        <v>45492</v>
      </c>
      <c r="XDR38" s="339" t="s">
        <v>141</v>
      </c>
      <c r="XDS38" s="305"/>
      <c r="XDT38" s="305">
        <v>1</v>
      </c>
      <c r="XDU38" s="304">
        <f t="shared" ref="XDU38" si="4691">EDATE(XDQ38,XDT38)</f>
        <v>45523</v>
      </c>
      <c r="XDV38" s="340">
        <v>0</v>
      </c>
      <c r="XDW38" s="320">
        <f t="shared" ref="XDW38" si="4692">IF(XDX38&gt;=1,(XDV38/XDT38),0)</f>
        <v>0</v>
      </c>
      <c r="XDX38" s="292"/>
      <c r="XDY38" s="259" t="s">
        <v>55</v>
      </c>
      <c r="XDZ38" s="256" t="s">
        <v>76</v>
      </c>
      <c r="XEA38" s="256" t="s">
        <v>77</v>
      </c>
      <c r="XEB38" s="256" t="s">
        <v>78</v>
      </c>
      <c r="XEC38" s="256" t="s">
        <v>79</v>
      </c>
      <c r="XED38" s="256" t="s">
        <v>80</v>
      </c>
      <c r="XEE38" s="256" t="s">
        <v>81</v>
      </c>
      <c r="XEF38" s="331"/>
      <c r="XEG38" s="290">
        <v>45492</v>
      </c>
      <c r="XEH38" s="339" t="s">
        <v>141</v>
      </c>
      <c r="XEI38" s="305"/>
      <c r="XEJ38" s="305">
        <v>1</v>
      </c>
      <c r="XEK38" s="304">
        <f t="shared" ref="XEK38" si="4693">EDATE(XEG38,XEJ38)</f>
        <v>45523</v>
      </c>
      <c r="XEL38" s="340">
        <v>0</v>
      </c>
      <c r="XEM38" s="320">
        <f t="shared" ref="XEM38" si="4694">IF(XEN38&gt;=1,(XEL38/XEJ38),0)</f>
        <v>0</v>
      </c>
      <c r="XEN38" s="292"/>
      <c r="XEO38" s="259" t="s">
        <v>55</v>
      </c>
      <c r="XEP38" s="256" t="s">
        <v>76</v>
      </c>
      <c r="XEQ38" s="256" t="s">
        <v>77</v>
      </c>
      <c r="XER38" s="256" t="s">
        <v>78</v>
      </c>
      <c r="XES38" s="256" t="s">
        <v>79</v>
      </c>
      <c r="XET38" s="256" t="s">
        <v>80</v>
      </c>
      <c r="XEU38" s="256" t="s">
        <v>81</v>
      </c>
      <c r="XEV38" s="331"/>
      <c r="XEW38" s="290">
        <v>45492</v>
      </c>
      <c r="XEX38" s="339" t="s">
        <v>141</v>
      </c>
      <c r="XEY38" s="305"/>
      <c r="XEZ38" s="305">
        <v>1</v>
      </c>
      <c r="XFA38" s="304">
        <f t="shared" ref="XFA38" si="4695">EDATE(XEW38,XEZ38)</f>
        <v>45523</v>
      </c>
      <c r="XFB38" s="340">
        <v>0</v>
      </c>
      <c r="XFC38" s="320">
        <f t="shared" ref="XFC38" si="4696">IF(XFD38&gt;=1,(XFB38/XEZ38),0)</f>
        <v>0</v>
      </c>
      <c r="XFD38" s="292"/>
    </row>
    <row r="39" spans="1:16384" x14ac:dyDescent="0.3">
      <c r="A39" s="308">
        <v>45498</v>
      </c>
      <c r="B39" s="259" t="s">
        <v>169</v>
      </c>
      <c r="C39" s="305" t="s">
        <v>82</v>
      </c>
      <c r="D39" s="305">
        <v>1</v>
      </c>
      <c r="E39" s="304">
        <f>EDATE(A39,D39)</f>
        <v>45529</v>
      </c>
      <c r="F39" s="340">
        <v>0</v>
      </c>
      <c r="G39" s="307">
        <f t="shared" ca="1" si="16"/>
        <v>0</v>
      </c>
      <c r="H39" s="289">
        <f t="shared" ca="1" si="18"/>
        <v>-585</v>
      </c>
      <c r="I39" s="308">
        <v>45494</v>
      </c>
      <c r="J39" s="259" t="s">
        <v>76</v>
      </c>
      <c r="K39" s="305"/>
      <c r="L39" s="305">
        <v>1</v>
      </c>
      <c r="M39" s="304">
        <f t="shared" si="2828"/>
        <v>45525</v>
      </c>
      <c r="N39" s="340">
        <v>0</v>
      </c>
      <c r="O39" s="320">
        <f t="shared" ca="1" si="1"/>
        <v>0</v>
      </c>
      <c r="P39" s="292">
        <f t="shared" ca="1" si="15"/>
        <v>-589</v>
      </c>
    </row>
    <row r="40" spans="1:16384" ht="15" thickBot="1" x14ac:dyDescent="0.35">
      <c r="A40" s="290">
        <v>45499</v>
      </c>
      <c r="B40" s="259" t="s">
        <v>169</v>
      </c>
      <c r="C40" s="256" t="s">
        <v>82</v>
      </c>
      <c r="D40" s="256">
        <v>1</v>
      </c>
      <c r="E40" s="304">
        <f t="shared" ref="E40:E41" si="4697">EDATE(A40,D40)</f>
        <v>45530</v>
      </c>
      <c r="F40" s="291">
        <v>0</v>
      </c>
      <c r="G40" s="288">
        <f t="shared" ca="1" si="16"/>
        <v>0</v>
      </c>
      <c r="H40" s="289">
        <f t="shared" ca="1" si="18"/>
        <v>-584</v>
      </c>
      <c r="I40" s="635"/>
      <c r="J40" s="636"/>
      <c r="K40" s="636"/>
      <c r="L40" s="636"/>
      <c r="M40" s="637"/>
      <c r="N40" s="341" t="s">
        <v>7</v>
      </c>
      <c r="O40" s="319">
        <f ca="1">SUM(O36:O39)</f>
        <v>0</v>
      </c>
      <c r="P40" s="302"/>
    </row>
    <row r="41" spans="1:16384" x14ac:dyDescent="0.3">
      <c r="A41" s="290">
        <v>45500</v>
      </c>
      <c r="B41" s="259" t="s">
        <v>169</v>
      </c>
      <c r="C41" s="256"/>
      <c r="D41" s="256">
        <v>1</v>
      </c>
      <c r="E41" s="304">
        <f t="shared" si="4697"/>
        <v>45531</v>
      </c>
      <c r="F41" s="291">
        <v>0</v>
      </c>
      <c r="G41" s="288">
        <f t="shared" ca="1" si="16"/>
        <v>0</v>
      </c>
      <c r="H41" s="289">
        <f t="shared" ca="1" si="18"/>
        <v>-583</v>
      </c>
      <c r="I41" s="259" t="s">
        <v>55</v>
      </c>
      <c r="J41" s="256" t="s">
        <v>76</v>
      </c>
      <c r="K41" s="256" t="s">
        <v>77</v>
      </c>
      <c r="L41" s="256" t="s">
        <v>78</v>
      </c>
      <c r="M41" s="256" t="s">
        <v>79</v>
      </c>
      <c r="N41" s="256" t="s">
        <v>80</v>
      </c>
      <c r="O41" s="256" t="s">
        <v>81</v>
      </c>
      <c r="P41" s="292" t="e">
        <f t="shared" ca="1" si="15"/>
        <v>#VALUE!</v>
      </c>
    </row>
    <row r="42" spans="1:16384" ht="15" thickBot="1" x14ac:dyDescent="0.35">
      <c r="A42" s="636"/>
      <c r="B42" s="636"/>
      <c r="C42" s="636"/>
      <c r="D42" s="636"/>
      <c r="E42" s="637"/>
      <c r="F42" s="298" t="s">
        <v>7</v>
      </c>
      <c r="G42" s="301">
        <f ca="1">SUM(G39:G41)</f>
        <v>0</v>
      </c>
      <c r="H42" s="300"/>
      <c r="I42" s="290">
        <v>45494</v>
      </c>
      <c r="J42" s="259" t="s">
        <v>76</v>
      </c>
      <c r="K42" s="259"/>
      <c r="L42" s="259">
        <v>1</v>
      </c>
      <c r="M42" s="285">
        <f t="shared" ref="M42:M44" si="4698">EDATE(I42,L42)</f>
        <v>45525</v>
      </c>
      <c r="N42" s="262">
        <v>0</v>
      </c>
      <c r="O42" s="307">
        <f t="shared" ca="1" si="1"/>
        <v>0</v>
      </c>
      <c r="P42" s="292">
        <f t="shared" ca="1" si="15"/>
        <v>-589</v>
      </c>
    </row>
    <row r="43" spans="1:16384" x14ac:dyDescent="0.3">
      <c r="A43" s="259" t="s">
        <v>55</v>
      </c>
      <c r="B43" s="256" t="s">
        <v>76</v>
      </c>
      <c r="C43" s="256" t="s">
        <v>77</v>
      </c>
      <c r="D43" s="256" t="s">
        <v>78</v>
      </c>
      <c r="E43" s="256" t="s">
        <v>79</v>
      </c>
      <c r="F43" s="256" t="s">
        <v>80</v>
      </c>
      <c r="G43" s="256" t="s">
        <v>81</v>
      </c>
      <c r="H43" s="289"/>
      <c r="I43" s="290">
        <v>45494</v>
      </c>
      <c r="J43" s="259" t="s">
        <v>76</v>
      </c>
      <c r="K43" s="259"/>
      <c r="L43" s="259">
        <v>1</v>
      </c>
      <c r="M43" s="285">
        <f t="shared" ref="M43" si="4699">EDATE(I43,L43)</f>
        <v>45525</v>
      </c>
      <c r="N43" s="262">
        <v>0</v>
      </c>
      <c r="O43" s="307">
        <f t="shared" ref="O43" si="4700">IF(P43&gt;=1,(N43/L43),0)</f>
        <v>0</v>
      </c>
      <c r="P43" s="292"/>
    </row>
    <row r="44" spans="1:16384" x14ac:dyDescent="0.3">
      <c r="A44" s="308">
        <v>45501</v>
      </c>
      <c r="B44" s="347" t="s">
        <v>76</v>
      </c>
      <c r="C44" s="305"/>
      <c r="D44" s="305">
        <v>1</v>
      </c>
      <c r="E44" s="304">
        <f>EDATE(A44,D44)</f>
        <v>45532</v>
      </c>
      <c r="F44" s="340">
        <v>0</v>
      </c>
      <c r="G44" s="307">
        <f t="shared" ca="1" si="16"/>
        <v>0</v>
      </c>
      <c r="H44" s="289">
        <f t="shared" ca="1" si="18"/>
        <v>-582</v>
      </c>
      <c r="I44" s="346">
        <v>45495</v>
      </c>
      <c r="J44" s="259" t="s">
        <v>76</v>
      </c>
      <c r="K44" s="259"/>
      <c r="L44" s="259">
        <v>1</v>
      </c>
      <c r="M44" s="313">
        <f t="shared" si="4698"/>
        <v>45526</v>
      </c>
      <c r="N44" s="262">
        <v>0</v>
      </c>
      <c r="O44" s="348">
        <f t="shared" ca="1" si="1"/>
        <v>0</v>
      </c>
      <c r="P44" s="292">
        <f t="shared" ca="1" si="15"/>
        <v>-588</v>
      </c>
    </row>
    <row r="45" spans="1:16384" ht="15" thickBot="1" x14ac:dyDescent="0.35">
      <c r="A45" s="290">
        <v>45502</v>
      </c>
      <c r="B45" s="259" t="s">
        <v>170</v>
      </c>
      <c r="C45" s="256"/>
      <c r="D45" s="256">
        <v>1</v>
      </c>
      <c r="E45" s="304">
        <f t="shared" ref="E45:E46" si="4701">EDATE(A45,D45)</f>
        <v>45533</v>
      </c>
      <c r="F45" s="291">
        <v>0</v>
      </c>
      <c r="G45" s="288">
        <f t="shared" ca="1" si="16"/>
        <v>0</v>
      </c>
      <c r="H45" s="289">
        <f t="shared" ca="1" si="18"/>
        <v>-581</v>
      </c>
      <c r="I45" s="638"/>
      <c r="J45" s="639"/>
      <c r="K45" s="639"/>
      <c r="L45" s="639"/>
      <c r="M45" s="639"/>
      <c r="N45" s="349" t="s">
        <v>7</v>
      </c>
      <c r="O45" s="299">
        <f ca="1">SUM(O41:O44)</f>
        <v>0</v>
      </c>
      <c r="P45" s="350"/>
    </row>
    <row r="46" spans="1:16384" x14ac:dyDescent="0.3">
      <c r="A46" s="290">
        <v>45503</v>
      </c>
      <c r="B46" s="259" t="s">
        <v>170</v>
      </c>
      <c r="C46" s="256"/>
      <c r="D46" s="256">
        <v>1</v>
      </c>
      <c r="E46" s="304">
        <f t="shared" si="4701"/>
        <v>45534</v>
      </c>
      <c r="F46" s="291">
        <v>0</v>
      </c>
      <c r="G46" s="288">
        <f t="shared" ref="G46" ca="1" si="4702">IF(H46&gt;=1,(F46/D46),0)</f>
        <v>0</v>
      </c>
      <c r="H46" s="351">
        <f t="shared" ca="1" si="18"/>
        <v>-580</v>
      </c>
      <c r="I46" s="40"/>
      <c r="J46" s="352"/>
      <c r="K46" s="41"/>
      <c r="L46" s="41"/>
      <c r="M46" s="352"/>
      <c r="N46" s="353"/>
      <c r="O46" s="354"/>
      <c r="P46" s="355"/>
    </row>
    <row r="47" spans="1:16384" ht="15" thickBot="1" x14ac:dyDescent="0.35">
      <c r="A47" s="328"/>
      <c r="B47" s="356"/>
      <c r="C47" s="328"/>
      <c r="D47" s="328"/>
      <c r="E47" s="329"/>
      <c r="F47" s="357" t="s">
        <v>7</v>
      </c>
      <c r="G47" s="299">
        <f ca="1">SUM(G44:G46)</f>
        <v>0</v>
      </c>
      <c r="H47" s="358"/>
      <c r="I47" s="634"/>
      <c r="J47" s="634"/>
      <c r="K47" s="634"/>
      <c r="L47" s="634"/>
      <c r="M47" s="634"/>
      <c r="N47" s="41"/>
      <c r="O47" s="354"/>
    </row>
    <row r="48" spans="1:16384" ht="15.6" x14ac:dyDescent="0.3">
      <c r="I48" s="625"/>
      <c r="J48" s="625"/>
      <c r="K48" s="625"/>
      <c r="L48" s="625"/>
      <c r="M48" s="625"/>
      <c r="N48" s="625"/>
      <c r="O48" s="625"/>
    </row>
    <row r="50" spans="9:16" x14ac:dyDescent="0.3">
      <c r="I50" s="41"/>
      <c r="J50" s="41"/>
      <c r="K50" s="41"/>
      <c r="L50" s="41"/>
      <c r="M50" s="41"/>
      <c r="N50" s="41"/>
      <c r="O50" s="37"/>
      <c r="P50" s="37"/>
    </row>
    <row r="51" spans="9:16" x14ac:dyDescent="0.3">
      <c r="I51" s="40"/>
      <c r="J51" s="352"/>
      <c r="K51" s="41"/>
      <c r="L51" s="41"/>
      <c r="M51" s="352"/>
      <c r="N51" s="359"/>
      <c r="O51" s="360"/>
      <c r="P51" s="361"/>
    </row>
    <row r="52" spans="9:16" x14ac:dyDescent="0.3">
      <c r="I52" s="40"/>
      <c r="J52" s="352"/>
      <c r="K52" s="41"/>
      <c r="L52" s="41"/>
      <c r="M52" s="352"/>
      <c r="N52" s="359"/>
      <c r="O52" s="360"/>
      <c r="P52" s="361"/>
    </row>
    <row r="53" spans="9:16" x14ac:dyDescent="0.3">
      <c r="I53" s="40"/>
      <c r="J53" s="352"/>
      <c r="K53" s="41"/>
      <c r="L53" s="41"/>
      <c r="M53" s="352"/>
      <c r="N53" s="359"/>
      <c r="O53" s="360"/>
      <c r="P53" s="361"/>
    </row>
    <row r="54" spans="9:16" x14ac:dyDescent="0.3">
      <c r="I54" s="40"/>
      <c r="J54" s="352"/>
      <c r="K54" s="41"/>
      <c r="L54" s="41"/>
      <c r="M54" s="352"/>
      <c r="N54" s="359"/>
      <c r="O54" s="360"/>
      <c r="P54" s="361"/>
    </row>
    <row r="55" spans="9:16" x14ac:dyDescent="0.3">
      <c r="I55" s="40"/>
      <c r="J55" s="352"/>
      <c r="K55" s="41"/>
      <c r="L55" s="41"/>
      <c r="M55" s="352"/>
      <c r="N55" s="359"/>
      <c r="O55" s="360"/>
      <c r="P55" s="361"/>
    </row>
    <row r="56" spans="9:16" x14ac:dyDescent="0.3">
      <c r="I56" s="40"/>
      <c r="J56" s="352"/>
      <c r="K56" s="41"/>
      <c r="L56" s="41"/>
      <c r="M56" s="352"/>
      <c r="N56" s="359"/>
      <c r="O56" s="360"/>
      <c r="P56" s="361"/>
    </row>
    <row r="57" spans="9:16" x14ac:dyDescent="0.3">
      <c r="I57" s="40"/>
      <c r="J57" s="352"/>
      <c r="K57" s="41"/>
      <c r="L57" s="41"/>
      <c r="M57" s="352"/>
      <c r="N57" s="359"/>
      <c r="O57" s="360"/>
      <c r="P57" s="361"/>
    </row>
    <row r="58" spans="9:16" x14ac:dyDescent="0.3">
      <c r="I58" s="40"/>
      <c r="J58" s="352"/>
      <c r="K58" s="41"/>
      <c r="L58" s="41"/>
      <c r="M58" s="352"/>
      <c r="N58" s="359"/>
      <c r="O58" s="360"/>
      <c r="P58" s="361"/>
    </row>
    <row r="59" spans="9:16" x14ac:dyDescent="0.3">
      <c r="I59" s="40"/>
      <c r="J59" s="352"/>
      <c r="K59" s="41"/>
      <c r="L59" s="41"/>
      <c r="M59" s="352"/>
      <c r="N59" s="359"/>
      <c r="O59" s="360"/>
      <c r="P59" s="361"/>
    </row>
    <row r="60" spans="9:16" x14ac:dyDescent="0.3">
      <c r="I60" s="40"/>
      <c r="J60" s="352"/>
      <c r="K60" s="41"/>
      <c r="L60" s="41"/>
      <c r="M60" s="352"/>
      <c r="N60" s="359"/>
      <c r="O60" s="360"/>
      <c r="P60" s="361"/>
    </row>
    <row r="61" spans="9:16" x14ac:dyDescent="0.3">
      <c r="I61" s="40"/>
      <c r="J61" s="352"/>
      <c r="K61" s="41"/>
      <c r="L61" s="41"/>
      <c r="M61" s="352"/>
      <c r="N61" s="359"/>
      <c r="O61" s="360"/>
      <c r="P61" s="361"/>
    </row>
    <row r="62" spans="9:16" x14ac:dyDescent="0.3">
      <c r="I62" s="40"/>
      <c r="J62" s="352"/>
      <c r="K62" s="41"/>
      <c r="L62" s="41"/>
      <c r="M62" s="352"/>
      <c r="N62" s="359"/>
      <c r="O62" s="360"/>
      <c r="P62" s="361"/>
    </row>
    <row r="63" spans="9:16" x14ac:dyDescent="0.3">
      <c r="I63" s="40"/>
      <c r="J63" s="352"/>
      <c r="K63" s="41"/>
      <c r="L63" s="41"/>
      <c r="M63" s="352"/>
      <c r="N63" s="359"/>
      <c r="O63" s="360"/>
      <c r="P63" s="361"/>
    </row>
    <row r="64" spans="9:16" x14ac:dyDescent="0.3">
      <c r="I64" s="40"/>
      <c r="J64" s="352"/>
      <c r="K64" s="41"/>
      <c r="L64" s="41"/>
      <c r="M64" s="352"/>
      <c r="N64" s="359"/>
      <c r="O64" s="360"/>
      <c r="P64" s="361"/>
    </row>
    <row r="65" spans="9:16" x14ac:dyDescent="0.3">
      <c r="I65" s="40"/>
      <c r="J65" s="352"/>
      <c r="K65" s="41"/>
      <c r="L65" s="41"/>
      <c r="M65" s="352"/>
      <c r="N65" s="359"/>
      <c r="O65" s="360"/>
      <c r="P65" s="361"/>
    </row>
    <row r="66" spans="9:16" x14ac:dyDescent="0.3">
      <c r="I66" s="40"/>
      <c r="J66" s="352"/>
      <c r="K66" s="41"/>
      <c r="L66" s="41"/>
      <c r="M66" s="352"/>
      <c r="N66" s="359"/>
      <c r="O66" s="360"/>
      <c r="P66" s="361"/>
    </row>
    <row r="67" spans="9:16" x14ac:dyDescent="0.3">
      <c r="I67" s="40"/>
      <c r="J67" s="352"/>
      <c r="K67" s="41"/>
      <c r="L67" s="41"/>
      <c r="M67" s="352"/>
      <c r="N67" s="359"/>
      <c r="O67" s="360"/>
      <c r="P67" s="361"/>
    </row>
    <row r="68" spans="9:16" x14ac:dyDescent="0.3">
      <c r="I68" s="40"/>
      <c r="J68" s="352"/>
      <c r="K68" s="41"/>
      <c r="L68" s="41"/>
      <c r="M68" s="352"/>
      <c r="N68" s="359"/>
      <c r="O68" s="360"/>
      <c r="P68" s="361"/>
    </row>
    <row r="69" spans="9:16" x14ac:dyDescent="0.3">
      <c r="I69" s="40"/>
      <c r="J69" s="352"/>
      <c r="K69" s="41"/>
      <c r="L69" s="41"/>
      <c r="M69" s="352"/>
      <c r="N69" s="359"/>
      <c r="O69" s="360"/>
      <c r="P69" s="361"/>
    </row>
    <row r="70" spans="9:16" x14ac:dyDescent="0.3">
      <c r="I70" s="40"/>
      <c r="J70" s="352"/>
      <c r="K70" s="41"/>
      <c r="L70" s="41"/>
      <c r="M70" s="352"/>
      <c r="N70" s="359"/>
      <c r="O70" s="360"/>
      <c r="P70" s="361"/>
    </row>
    <row r="71" spans="9:16" x14ac:dyDescent="0.3">
      <c r="I71" s="40"/>
      <c r="J71" s="352"/>
      <c r="K71" s="41"/>
      <c r="L71" s="41"/>
      <c r="M71" s="352"/>
      <c r="N71" s="359"/>
      <c r="O71" s="360"/>
      <c r="P71" s="361"/>
    </row>
    <row r="72" spans="9:16" x14ac:dyDescent="0.3">
      <c r="I72" s="40"/>
      <c r="J72" s="352"/>
      <c r="K72" s="41"/>
      <c r="L72" s="41"/>
      <c r="M72" s="352"/>
      <c r="N72" s="359"/>
      <c r="O72" s="360"/>
      <c r="P72" s="361"/>
    </row>
    <row r="73" spans="9:16" x14ac:dyDescent="0.3">
      <c r="I73" s="40"/>
      <c r="J73" s="352"/>
      <c r="K73" s="41"/>
      <c r="L73" s="41"/>
      <c r="M73" s="352"/>
      <c r="N73" s="359"/>
      <c r="O73" s="360"/>
      <c r="P73" s="361"/>
    </row>
    <row r="74" spans="9:16" x14ac:dyDescent="0.3">
      <c r="I74" s="40"/>
      <c r="J74" s="352"/>
      <c r="K74" s="41"/>
      <c r="L74" s="41"/>
      <c r="M74" s="352"/>
      <c r="N74" s="359"/>
      <c r="O74" s="360"/>
      <c r="P74" s="361"/>
    </row>
    <row r="75" spans="9:16" x14ac:dyDescent="0.3">
      <c r="I75" s="40"/>
      <c r="J75" s="352"/>
      <c r="K75" s="41"/>
      <c r="L75" s="41"/>
      <c r="M75" s="352"/>
      <c r="N75" s="359"/>
      <c r="O75" s="360"/>
      <c r="P75" s="361"/>
    </row>
    <row r="76" spans="9:16" x14ac:dyDescent="0.3">
      <c r="I76" s="40"/>
      <c r="J76" s="352"/>
      <c r="K76" s="41"/>
      <c r="L76" s="41"/>
      <c r="M76" s="352"/>
      <c r="N76" s="359"/>
      <c r="O76" s="360"/>
      <c r="P76" s="361"/>
    </row>
    <row r="77" spans="9:16" x14ac:dyDescent="0.3">
      <c r="I77" s="40"/>
      <c r="J77" s="352"/>
      <c r="K77" s="41"/>
      <c r="L77" s="41"/>
      <c r="M77" s="352"/>
      <c r="N77" s="359"/>
      <c r="O77" s="360"/>
      <c r="P77" s="361"/>
    </row>
    <row r="78" spans="9:16" x14ac:dyDescent="0.3">
      <c r="I78" s="40"/>
      <c r="J78" s="352"/>
      <c r="K78" s="41"/>
      <c r="L78" s="41"/>
      <c r="M78" s="352"/>
      <c r="N78" s="359"/>
      <c r="O78" s="360"/>
      <c r="P78" s="361"/>
    </row>
    <row r="79" spans="9:16" x14ac:dyDescent="0.3">
      <c r="I79" s="40"/>
      <c r="J79" s="352"/>
      <c r="K79" s="41"/>
      <c r="L79" s="41"/>
      <c r="M79" s="352"/>
      <c r="N79" s="359"/>
      <c r="O79" s="360"/>
      <c r="P79" s="361"/>
    </row>
    <row r="80" spans="9:16" x14ac:dyDescent="0.3">
      <c r="I80" s="40"/>
      <c r="J80" s="352"/>
      <c r="K80" s="41"/>
      <c r="L80" s="41"/>
      <c r="M80" s="352"/>
      <c r="N80" s="359"/>
      <c r="O80" s="360"/>
      <c r="P80" s="361"/>
    </row>
    <row r="81" spans="1:16" x14ac:dyDescent="0.3">
      <c r="I81" s="40"/>
      <c r="J81" s="352"/>
      <c r="K81" s="41"/>
      <c r="L81" s="41"/>
      <c r="M81" s="352"/>
      <c r="N81" s="359"/>
      <c r="O81" s="360"/>
      <c r="P81" s="361"/>
    </row>
    <row r="82" spans="1:16" x14ac:dyDescent="0.3">
      <c r="N82" s="41"/>
      <c r="O82" s="362"/>
    </row>
    <row r="83" spans="1:16" ht="15.6" x14ac:dyDescent="0.3">
      <c r="A83" s="626"/>
      <c r="B83" s="626"/>
      <c r="C83" s="626"/>
      <c r="D83" s="626"/>
      <c r="E83" s="626"/>
      <c r="F83" s="626"/>
      <c r="G83" s="626"/>
      <c r="H83" s="363"/>
    </row>
    <row r="84" spans="1:16" x14ac:dyDescent="0.3">
      <c r="A84" s="363"/>
      <c r="B84" s="363"/>
      <c r="C84" s="363"/>
      <c r="D84" s="363"/>
      <c r="E84" s="363"/>
      <c r="F84" s="363"/>
      <c r="G84" s="363"/>
      <c r="H84" s="363"/>
    </row>
    <row r="85" spans="1:16" x14ac:dyDescent="0.3">
      <c r="A85" s="364"/>
      <c r="B85" s="364"/>
      <c r="C85" s="364"/>
      <c r="D85" s="364"/>
      <c r="E85" s="364"/>
      <c r="F85" s="364"/>
      <c r="G85" s="363"/>
      <c r="H85" s="363"/>
    </row>
    <row r="86" spans="1:16" x14ac:dyDescent="0.3">
      <c r="A86" s="365"/>
      <c r="B86" s="366"/>
      <c r="C86" s="364"/>
      <c r="D86" s="364"/>
      <c r="E86" s="366"/>
      <c r="F86" s="367"/>
      <c r="G86" s="368"/>
      <c r="H86" s="369"/>
    </row>
    <row r="87" spans="1:16" x14ac:dyDescent="0.3">
      <c r="A87" s="365"/>
      <c r="B87" s="366"/>
      <c r="C87" s="364"/>
      <c r="D87" s="364"/>
      <c r="E87" s="366"/>
      <c r="F87" s="367"/>
      <c r="G87" s="368"/>
      <c r="H87" s="369"/>
    </row>
    <row r="88" spans="1:16" x14ac:dyDescent="0.3">
      <c r="A88" s="365"/>
      <c r="B88" s="366"/>
      <c r="C88" s="364"/>
      <c r="D88" s="364"/>
      <c r="E88" s="366"/>
      <c r="F88" s="367"/>
      <c r="G88" s="368"/>
      <c r="H88" s="369"/>
    </row>
    <row r="89" spans="1:16" x14ac:dyDescent="0.3">
      <c r="A89" s="365"/>
      <c r="B89" s="366"/>
      <c r="C89" s="364"/>
      <c r="D89" s="364"/>
      <c r="E89" s="366"/>
      <c r="F89" s="367"/>
      <c r="G89" s="368"/>
      <c r="H89" s="369"/>
    </row>
    <row r="90" spans="1:16" x14ac:dyDescent="0.3">
      <c r="A90" s="365"/>
      <c r="B90" s="366"/>
      <c r="C90" s="364"/>
      <c r="D90" s="364"/>
      <c r="E90" s="366"/>
      <c r="F90" s="367"/>
      <c r="G90" s="368"/>
      <c r="H90" s="369"/>
    </row>
    <row r="91" spans="1:16" x14ac:dyDescent="0.3">
      <c r="A91" s="363"/>
      <c r="B91" s="363"/>
      <c r="C91" s="363"/>
      <c r="D91" s="363"/>
      <c r="E91" s="363"/>
      <c r="F91" s="364"/>
      <c r="G91" s="368"/>
      <c r="H91" s="363"/>
    </row>
  </sheetData>
  <protectedRanges>
    <protectedRange sqref="N7:N9 N12:N14 N17:N19 Y28:AB28 AO28:AR28 BE28:BH28 BU28:BX28 CK28:CN28 DA28:DD28 DQ28:DT28 EG28:EJ28 EW28:EZ28 FM28:FP28 GC28:GF28 GS28:GV28 HI28:HL28 HY28:IB28 IO28:IR28 JE28:JH28 JU28:JX28 KK28:KN28 LA28:LD28 LQ28:LT28 MG28:MJ28 MW28:MZ28 NM28:NP28 OC28:OF28 OS28:OV28 PI28:PL28 PY28:QB28 QO28:QR28 RE28:RH28 RU28:RX28 SK28:SN28 TA28:TD28 TQ28:TT28 UG28:UJ28 UW28:UZ28 VM28:VP28 WC28:WF28 WS28:WV28 XI28:XL28 XY28:YB28 YO28:YR28 ZE28:ZH28 ZU28:ZX28 AAK28:AAN28 ABA28:ABD28 ABQ28:ABT28 ACG28:ACJ28 ACW28:ACZ28 ADM28:ADP28 AEC28:AEF28 AES28:AEV28 AFI28:AFL28 AFY28:AGB28 AGO28:AGR28 AHE28:AHH28 AHU28:AHX28 AIK28:AIN28 AJA28:AJD28 AJQ28:AJT28 AKG28:AKJ28 AKW28:AKZ28 ALM28:ALP28 AMC28:AMF28 AMS28:AMV28 ANI28:ANL28 ANY28:AOB28 AOO28:AOR28 APE28:APH28 APU28:APX28 AQK28:AQN28 ARA28:ARD28 ARQ28:ART28 ASG28:ASJ28 ASW28:ASZ28 ATM28:ATP28 AUC28:AUF28 AUS28:AUV28 AVI28:AVL28 AVY28:AWB28 AWO28:AWR28 AXE28:AXH28 AXU28:AXX28 AYK28:AYN28 AZA28:AZD28 AZQ28:AZT28 BAG28:BAJ28 BAW28:BAZ28 BBM28:BBP28 BCC28:BCF28 BCS28:BCV28 BDI28:BDL28 BDY28:BEB28 BEO28:BER28 BFE28:BFH28 BFU28:BFX28 BGK28:BGN28 BHA28:BHD28 BHQ28:BHT28 BIG28:BIJ28 BIW28:BIZ28 BJM28:BJP28 BKC28:BKF28 BKS28:BKV28 BLI28:BLL28 BLY28:BMB28 BMO28:BMR28 BNE28:BNH28 BNU28:BNX28 BOK28:BON28 BPA28:BPD28 BPQ28:BPT28 BQG28:BQJ28 BQW28:BQZ28 BRM28:BRP28 BSC28:BSF28 BSS28:BSV28 BTI28:BTL28 BTY28:BUB28 BUO28:BUR28 BVE28:BVH28 BVU28:BVX28 BWK28:BWN28 BXA28:BXD28 BXQ28:BXT28 BYG28:BYJ28 BYW28:BYZ28 BZM28:BZP28 CAC28:CAF28 CAS28:CAV28 CBI28:CBL28 CBY28:CCB28 CCO28:CCR28 CDE28:CDH28 CDU28:CDX28 CEK28:CEN28 CFA28:CFD28 CFQ28:CFT28 CGG28:CGJ28 CGW28:CGZ28 CHM28:CHP28 CIC28:CIF28 CIS28:CIV28 CJI28:CJL28 CJY28:CKB28 CKO28:CKR28 CLE28:CLH28 CLU28:CLX28 CMK28:CMN28 CNA28:CND28 CNQ28:CNT28 COG28:COJ28 COW28:COZ28 CPM28:CPP28 CQC28:CQF28 CQS28:CQV28 CRI28:CRL28 CRY28:CSB28 CSO28:CSR28 CTE28:CTH28 CTU28:CTX28 CUK28:CUN28 CVA28:CVD28 CVQ28:CVT28 CWG28:CWJ28 CWW28:CWZ28 CXM28:CXP28 CYC28:CYF28 CYS28:CYV28 CZI28:CZL28 CZY28:DAB28 DAO28:DAR28 DBE28:DBH28 DBU28:DBX28 DCK28:DCN28 DDA28:DDD28 DDQ28:DDT28 DEG28:DEJ28 DEW28:DEZ28 DFM28:DFP28 DGC28:DGF28 DGS28:DGV28 DHI28:DHL28 DHY28:DIB28 DIO28:DIR28 DJE28:DJH28 DJU28:DJX28 DKK28:DKN28 DLA28:DLD28 DLQ28:DLT28 DMG28:DMJ28 DMW28:DMZ28 DNM28:DNP28 DOC28:DOF28 DOS28:DOV28 DPI28:DPL28 DPY28:DQB28 DQO28:DQR28 DRE28:DRH28 DRU28:DRX28 DSK28:DSN28 DTA28:DTD28 DTQ28:DTT28 DUG28:DUJ28 DUW28:DUZ28 DVM28:DVP28 DWC28:DWF28 DWS28:DWV28 DXI28:DXL28 DXY28:DYB28 DYO28:DYR28 DZE28:DZH28 DZU28:DZX28 EAK28:EAN28 EBA28:EBD28 EBQ28:EBT28 ECG28:ECJ28 ECW28:ECZ28 EDM28:EDP28 EEC28:EEF28 EES28:EEV28 EFI28:EFL28 EFY28:EGB28 EGO28:EGR28 EHE28:EHH28 EHU28:EHX28 EIK28:EIN28 EJA28:EJD28 EJQ28:EJT28 EKG28:EKJ28 EKW28:EKZ28 ELM28:ELP28 EMC28:EMF28 EMS28:EMV28 ENI28:ENL28 ENY28:EOB28 EOO28:EOR28 EPE28:EPH28 EPU28:EPX28 EQK28:EQN28 ERA28:ERD28 ERQ28:ERT28 ESG28:ESJ28 ESW28:ESZ28 ETM28:ETP28 EUC28:EUF28 EUS28:EUV28 EVI28:EVL28 EVY28:EWB28 EWO28:EWR28 EXE28:EXH28 EXU28:EXX28 EYK28:EYN28 EZA28:EZD28 EZQ28:EZT28 FAG28:FAJ28 FAW28:FAZ28 FBM28:FBP28 FCC28:FCF28 FCS28:FCV28 FDI28:FDL28 FDY28:FEB28 FEO28:FER28 FFE28:FFH28 FFU28:FFX28 FGK28:FGN28 FHA28:FHD28 FHQ28:FHT28 FIG28:FIJ28 FIW28:FIZ28 FJM28:FJP28 FKC28:FKF28 FKS28:FKV28 FLI28:FLL28 FLY28:FMB28 FMO28:FMR28 FNE28:FNH28 FNU28:FNX28 FOK28:FON28 FPA28:FPD28 FPQ28:FPT28 FQG28:FQJ28 FQW28:FQZ28 FRM28:FRP28 FSC28:FSF28 FSS28:FSV28 FTI28:FTL28 FTY28:FUB28 FUO28:FUR28 FVE28:FVH28 FVU28:FVX28 FWK28:FWN28 FXA28:FXD28 FXQ28:FXT28 FYG28:FYJ28 FYW28:FYZ28 FZM28:FZP28 GAC28:GAF28 GAS28:GAV28 GBI28:GBL28 GBY28:GCB28 GCO28:GCR28 GDE28:GDH28 GDU28:GDX28 GEK28:GEN28 GFA28:GFD28 GFQ28:GFT28 GGG28:GGJ28 GGW28:GGZ28 GHM28:GHP28 GIC28:GIF28 GIS28:GIV28 GJI28:GJL28 GJY28:GKB28 GKO28:GKR28 GLE28:GLH28 GLU28:GLX28 GMK28:GMN28 GNA28:GND28 GNQ28:GNT28 GOG28:GOJ28 GOW28:GOZ28 GPM28:GPP28 GQC28:GQF28 GQS28:GQV28 GRI28:GRL28 GRY28:GSB28 GSO28:GSR28 GTE28:GTH28 GTU28:GTX28 GUK28:GUN28 GVA28:GVD28 GVQ28:GVT28 GWG28:GWJ28 GWW28:GWZ28 GXM28:GXP28 GYC28:GYF28 GYS28:GYV28 GZI28:GZL28 GZY28:HAB28 HAO28:HAR28 HBE28:HBH28 HBU28:HBX28 HCK28:HCN28 HDA28:HDD28 HDQ28:HDT28 HEG28:HEJ28 HEW28:HEZ28 HFM28:HFP28 HGC28:HGF28 HGS28:HGV28 HHI28:HHL28 HHY28:HIB28 HIO28:HIR28 HJE28:HJH28 HJU28:HJX28 HKK28:HKN28 HLA28:HLD28 HLQ28:HLT28 HMG28:HMJ28 HMW28:HMZ28 HNM28:HNP28 HOC28:HOF28 HOS28:HOV28 HPI28:HPL28 HPY28:HQB28 HQO28:HQR28 HRE28:HRH28 HRU28:HRX28 HSK28:HSN28 HTA28:HTD28 HTQ28:HTT28 HUG28:HUJ28 HUW28:HUZ28 HVM28:HVP28 HWC28:HWF28 HWS28:HWV28 HXI28:HXL28 HXY28:HYB28 HYO28:HYR28 HZE28:HZH28 HZU28:HZX28 IAK28:IAN28 IBA28:IBD28 IBQ28:IBT28 ICG28:ICJ28 ICW28:ICZ28 IDM28:IDP28 IEC28:IEF28 IES28:IEV28 IFI28:IFL28 IFY28:IGB28 IGO28:IGR28 IHE28:IHH28 IHU28:IHX28 IIK28:IIN28 IJA28:IJD28 IJQ28:IJT28 IKG28:IKJ28 IKW28:IKZ28 ILM28:ILP28 IMC28:IMF28 IMS28:IMV28 INI28:INL28 INY28:IOB28 IOO28:IOR28 IPE28:IPH28 IPU28:IPX28 IQK28:IQN28 IRA28:IRD28 IRQ28:IRT28 ISG28:ISJ28 ISW28:ISZ28 ITM28:ITP28 IUC28:IUF28 IUS28:IUV28 IVI28:IVL28 IVY28:IWB28 IWO28:IWR28 IXE28:IXH28 IXU28:IXX28 IYK28:IYN28 IZA28:IZD28 IZQ28:IZT28 JAG28:JAJ28 JAW28:JAZ28 JBM28:JBP28 JCC28:JCF28 JCS28:JCV28 JDI28:JDL28 JDY28:JEB28 JEO28:JER28 JFE28:JFH28 JFU28:JFX28 JGK28:JGN28 JHA28:JHD28 JHQ28:JHT28 JIG28:JIJ28 JIW28:JIZ28 JJM28:JJP28 JKC28:JKF28 JKS28:JKV28 JLI28:JLL28 JLY28:JMB28 JMO28:JMR28 JNE28:JNH28 JNU28:JNX28 JOK28:JON28 JPA28:JPD28 JPQ28:JPT28 JQG28:JQJ28 JQW28:JQZ28 JRM28:JRP28 JSC28:JSF28 JSS28:JSV28 JTI28:JTL28 JTY28:JUB28 JUO28:JUR28 JVE28:JVH28 JVU28:JVX28 JWK28:JWN28 JXA28:JXD28 JXQ28:JXT28 JYG28:JYJ28 JYW28:JYZ28 JZM28:JZP28 KAC28:KAF28 KAS28:KAV28 KBI28:KBL28 KBY28:KCB28 KCO28:KCR28 KDE28:KDH28 KDU28:KDX28 KEK28:KEN28 KFA28:KFD28 KFQ28:KFT28 KGG28:KGJ28 KGW28:KGZ28 KHM28:KHP28 KIC28:KIF28 KIS28:KIV28 KJI28:KJL28 KJY28:KKB28 KKO28:KKR28 KLE28:KLH28 KLU28:KLX28 KMK28:KMN28 KNA28:KND28 KNQ28:KNT28 KOG28:KOJ28 KOW28:KOZ28 KPM28:KPP28 KQC28:KQF28 KQS28:KQV28 KRI28:KRL28 KRY28:KSB28 KSO28:KSR28 KTE28:KTH28 KTU28:KTX28 KUK28:KUN28 KVA28:KVD28 KVQ28:KVT28 KWG28:KWJ28 KWW28:KWZ28 KXM28:KXP28 KYC28:KYF28 KYS28:KYV28 KZI28:KZL28 KZY28:LAB28 LAO28:LAR28 LBE28:LBH28 LBU28:LBX28 LCK28:LCN28 LDA28:LDD28 LDQ28:LDT28 LEG28:LEJ28 LEW28:LEZ28 LFM28:LFP28 LGC28:LGF28 LGS28:LGV28 LHI28:LHL28 LHY28:LIB28 LIO28:LIR28 LJE28:LJH28 LJU28:LJX28 LKK28:LKN28 LLA28:LLD28 LLQ28:LLT28 LMG28:LMJ28 LMW28:LMZ28 LNM28:LNP28 LOC28:LOF28 LOS28:LOV28 LPI28:LPL28 LPY28:LQB28 LQO28:LQR28 LRE28:LRH28 LRU28:LRX28 LSK28:LSN28 LTA28:LTD28 LTQ28:LTT28 LUG28:LUJ28 LUW28:LUZ28 LVM28:LVP28 LWC28:LWF28 LWS28:LWV28 LXI28:LXL28 LXY28:LYB28 LYO28:LYR28 LZE28:LZH28 LZU28:LZX28 MAK28:MAN28 MBA28:MBD28 MBQ28:MBT28 MCG28:MCJ28 MCW28:MCZ28 MDM28:MDP28 MEC28:MEF28 MES28:MEV28 MFI28:MFL28 MFY28:MGB28 MGO28:MGR28 MHE28:MHH28 MHU28:MHX28 MIK28:MIN28 MJA28:MJD28 MJQ28:MJT28 MKG28:MKJ28 MKW28:MKZ28 MLM28:MLP28 MMC28:MMF28 MMS28:MMV28 MNI28:MNL28 MNY28:MOB28 MOO28:MOR28 MPE28:MPH28 MPU28:MPX28 MQK28:MQN28 MRA28:MRD28 MRQ28:MRT28 MSG28:MSJ28 MSW28:MSZ28 MTM28:MTP28 MUC28:MUF28 MUS28:MUV28 MVI28:MVL28 MVY28:MWB28 MWO28:MWR28 MXE28:MXH28 MXU28:MXX28 MYK28:MYN28 MZA28:MZD28 MZQ28:MZT28 NAG28:NAJ28 NAW28:NAZ28 NBM28:NBP28 NCC28:NCF28 NCS28:NCV28 NDI28:NDL28 NDY28:NEB28 NEO28:NER28 NFE28:NFH28 NFU28:NFX28 NGK28:NGN28 NHA28:NHD28 NHQ28:NHT28 NIG28:NIJ28 NIW28:NIZ28 NJM28:NJP28 NKC28:NKF28 NKS28:NKV28 NLI28:NLL28 NLY28:NMB28 NMO28:NMR28 NNE28:NNH28 NNU28:NNX28 NOK28:NON28 NPA28:NPD28 NPQ28:NPT28 NQG28:NQJ28 NQW28:NQZ28 NRM28:NRP28 NSC28:NSF28 NSS28:NSV28 NTI28:NTL28 NTY28:NUB28 NUO28:NUR28 NVE28:NVH28 NVU28:NVX28 NWK28:NWN28 NXA28:NXD28 NXQ28:NXT28 NYG28:NYJ28 NYW28:NYZ28 NZM28:NZP28 OAC28:OAF28 OAS28:OAV28 OBI28:OBL28 OBY28:OCB28 OCO28:OCR28 ODE28:ODH28 ODU28:ODX28 OEK28:OEN28 OFA28:OFD28 OFQ28:OFT28 OGG28:OGJ28 OGW28:OGZ28 OHM28:OHP28 OIC28:OIF28 OIS28:OIV28 OJI28:OJL28 OJY28:OKB28 OKO28:OKR28 OLE28:OLH28 OLU28:OLX28 OMK28:OMN28 ONA28:OND28 ONQ28:ONT28 OOG28:OOJ28 OOW28:OOZ28 OPM28:OPP28 OQC28:OQF28 OQS28:OQV28 ORI28:ORL28 ORY28:OSB28 OSO28:OSR28 OTE28:OTH28 OTU28:OTX28 OUK28:OUN28 OVA28:OVD28 OVQ28:OVT28 OWG28:OWJ28 OWW28:OWZ28 OXM28:OXP28 OYC28:OYF28 OYS28:OYV28 OZI28:OZL28 OZY28:PAB28 PAO28:PAR28 PBE28:PBH28 PBU28:PBX28 PCK28:PCN28 PDA28:PDD28 PDQ28:PDT28 PEG28:PEJ28 PEW28:PEZ28 PFM28:PFP28 PGC28:PGF28 PGS28:PGV28 PHI28:PHL28 PHY28:PIB28 PIO28:PIR28 PJE28:PJH28 PJU28:PJX28 PKK28:PKN28 PLA28:PLD28 PLQ28:PLT28 PMG28:PMJ28 PMW28:PMZ28 PNM28:PNP28 POC28:POF28 POS28:POV28 PPI28:PPL28 PPY28:PQB28 PQO28:PQR28 PRE28:PRH28 PRU28:PRX28 PSK28:PSN28 PTA28:PTD28 PTQ28:PTT28 PUG28:PUJ28 PUW28:PUZ28 PVM28:PVP28 PWC28:PWF28 PWS28:PWV28 PXI28:PXL28 PXY28:PYB28 PYO28:PYR28 PZE28:PZH28 PZU28:PZX28 QAK28:QAN28 QBA28:QBD28 QBQ28:QBT28 QCG28:QCJ28 QCW28:QCZ28 QDM28:QDP28 QEC28:QEF28 QES28:QEV28 QFI28:QFL28 QFY28:QGB28 QGO28:QGR28 QHE28:QHH28 QHU28:QHX28 QIK28:QIN28 QJA28:QJD28 QJQ28:QJT28 QKG28:QKJ28 QKW28:QKZ28 QLM28:QLP28 QMC28:QMF28 QMS28:QMV28 QNI28:QNL28 QNY28:QOB28 QOO28:QOR28 QPE28:QPH28 QPU28:QPX28 QQK28:QQN28 QRA28:QRD28 QRQ28:QRT28 QSG28:QSJ28 QSW28:QSZ28 QTM28:QTP28 QUC28:QUF28 QUS28:QUV28 QVI28:QVL28 QVY28:QWB28 QWO28:QWR28 QXE28:QXH28 QXU28:QXX28 QYK28:QYN28 QZA28:QZD28 QZQ28:QZT28 RAG28:RAJ28 RAW28:RAZ28 RBM28:RBP28 RCC28:RCF28 RCS28:RCV28 RDI28:RDL28 RDY28:REB28 REO28:RER28 RFE28:RFH28 RFU28:RFX28 RGK28:RGN28 RHA28:RHD28 RHQ28:RHT28 RIG28:RIJ28 RIW28:RIZ28 RJM28:RJP28 RKC28:RKF28 RKS28:RKV28 RLI28:RLL28 RLY28:RMB28 RMO28:RMR28 RNE28:RNH28 RNU28:RNX28 ROK28:RON28 RPA28:RPD28 RPQ28:RPT28 RQG28:RQJ28 RQW28:RQZ28 RRM28:RRP28 RSC28:RSF28 RSS28:RSV28 RTI28:RTL28 RTY28:RUB28 RUO28:RUR28 RVE28:RVH28 RVU28:RVX28 RWK28:RWN28 RXA28:RXD28 RXQ28:RXT28 RYG28:RYJ28 RYW28:RYZ28 RZM28:RZP28 SAC28:SAF28 SAS28:SAV28 SBI28:SBL28 SBY28:SCB28 SCO28:SCR28 SDE28:SDH28 SDU28:SDX28 SEK28:SEN28 SFA28:SFD28 SFQ28:SFT28 SGG28:SGJ28 SGW28:SGZ28 SHM28:SHP28 SIC28:SIF28 SIS28:SIV28 SJI28:SJL28 SJY28:SKB28 SKO28:SKR28 SLE28:SLH28 SLU28:SLX28 SMK28:SMN28 SNA28:SND28 SNQ28:SNT28 SOG28:SOJ28 SOW28:SOZ28 SPM28:SPP28 SQC28:SQF28 SQS28:SQV28 SRI28:SRL28 SRY28:SSB28 SSO28:SSR28 STE28:STH28 STU28:STX28 SUK28:SUN28 SVA28:SVD28 SVQ28:SVT28 SWG28:SWJ28 SWW28:SWZ28 SXM28:SXP28 SYC28:SYF28 SYS28:SYV28 SZI28:SZL28 SZY28:TAB28 TAO28:TAR28 TBE28:TBH28 TBU28:TBX28 TCK28:TCN28 TDA28:TDD28 TDQ28:TDT28 TEG28:TEJ28 TEW28:TEZ28 TFM28:TFP28 TGC28:TGF28 TGS28:TGV28 THI28:THL28 THY28:TIB28 TIO28:TIR28 TJE28:TJH28 TJU28:TJX28 TKK28:TKN28 TLA28:TLD28 TLQ28:TLT28 TMG28:TMJ28 TMW28:TMZ28 TNM28:TNP28 TOC28:TOF28 TOS28:TOV28 TPI28:TPL28 TPY28:TQB28 TQO28:TQR28 TRE28:TRH28 TRU28:TRX28 TSK28:TSN28 TTA28:TTD28 TTQ28:TTT28 TUG28:TUJ28 TUW28:TUZ28 TVM28:TVP28 TWC28:TWF28 TWS28:TWV28 TXI28:TXL28 TXY28:TYB28 TYO28:TYR28 TZE28:TZH28 TZU28:TZX28 UAK28:UAN28 UBA28:UBD28 UBQ28:UBT28 UCG28:UCJ28 UCW28:UCZ28 UDM28:UDP28 UEC28:UEF28 UES28:UEV28 UFI28:UFL28 UFY28:UGB28 UGO28:UGR28 UHE28:UHH28 UHU28:UHX28 UIK28:UIN28 UJA28:UJD28 UJQ28:UJT28 UKG28:UKJ28 UKW28:UKZ28 ULM28:ULP28 UMC28:UMF28 UMS28:UMV28 UNI28:UNL28 UNY28:UOB28 UOO28:UOR28 UPE28:UPH28 UPU28:UPX28 UQK28:UQN28 URA28:URD28 URQ28:URT28 USG28:USJ28 USW28:USZ28 UTM28:UTP28 UUC28:UUF28 UUS28:UUV28 UVI28:UVL28 UVY28:UWB28 UWO28:UWR28 UXE28:UXH28 UXU28:UXX28 UYK28:UYN28 UZA28:UZD28 UZQ28:UZT28 VAG28:VAJ28 VAW28:VAZ28 VBM28:VBP28 VCC28:VCF28 VCS28:VCV28 VDI28:VDL28 VDY28:VEB28 VEO28:VER28 VFE28:VFH28 VFU28:VFX28 VGK28:VGN28 VHA28:VHD28 VHQ28:VHT28 VIG28:VIJ28 VIW28:VIZ28 VJM28:VJP28 VKC28:VKF28 VKS28:VKV28 VLI28:VLL28 VLY28:VMB28 VMO28:VMR28 VNE28:VNH28 VNU28:VNX28 VOK28:VON28 VPA28:VPD28 VPQ28:VPT28 VQG28:VQJ28 VQW28:VQZ28 VRM28:VRP28 VSC28:VSF28 VSS28:VSV28 VTI28:VTL28 VTY28:VUB28 VUO28:VUR28 VVE28:VVH28 VVU28:VVX28 VWK28:VWN28 VXA28:VXD28 VXQ28:VXT28 VYG28:VYJ28 VYW28:VYZ28 VZM28:VZP28 WAC28:WAF28 WAS28:WAV28 WBI28:WBL28 WBY28:WCB28 WCO28:WCR28 WDE28:WDH28 WDU28:WDX28 WEK28:WEN28 WFA28:WFD28 WFQ28:WFT28 WGG28:WGJ28 WGW28:WGZ28 WHM28:WHP28 WIC28:WIF28 WIS28:WIV28 WJI28:WJL28 WJY28:WKB28 WKO28:WKR28 WLE28:WLH28 WLU28:WLX28 WMK28:WMN28 WNA28:WND28 WNQ28:WNT28 WOG28:WOJ28 WOW28:WOZ28 WPM28:WPP28 WQC28:WQF28 WQS28:WQV28 WRI28:WRL28 WRY28:WSB28 WSO28:WSR28 WTE28:WTH28 WTU28:WTX28 WUK28:WUN28 WVA28:WVD28 WVQ28:WVT28 WWG28:WWJ28 WWW28:WWZ28 WXM28:WXP28 WYC28:WYF28 WYS28:WYV28 WZI28:WZL28 WZY28:XAB28 XAO28:XAR28 XBE28:XBH28 XBU28:XBX28 XCK28:XCN28 XDA28:XDD28 XDQ28:XDT28 XEG28:XEJ28 XEW28:XEZ28 N27:N29 AD28 AT28 BJ28 BZ28 CP28 DF28 DV28 EL28 FB28 FR28 GH28 GX28 HN28 ID28 IT28 JJ28 JZ28 KP28 LF28 LV28 ML28 NB28 NR28 OH28 OX28 PN28 QD28 QT28 RJ28 RZ28 SP28 TF28 TV28 UL28 VB28 VR28 WH28 WX28 XN28 YD28 YT28 ZJ28 ZZ28 AAP28 ABF28 ABV28 ACL28 ADB28 ADR28 AEH28 AEX28 AFN28 AGD28 AGT28 AHJ28 AHZ28 AIP28 AJF28 AJV28 AKL28 ALB28 ALR28 AMH28 AMX28 ANN28 AOD28 AOT28 APJ28 APZ28 AQP28 ARF28 ARV28 ASL28 ATB28 ATR28 AUH28 AUX28 AVN28 AWD28 AWT28 AXJ28 AXZ28 AYP28 AZF28 AZV28 BAL28 BBB28 BBR28 BCH28 BCX28 BDN28 BED28 BET28 BFJ28 BFZ28 BGP28 BHF28 BHV28 BIL28 BJB28 BJR28 BKH28 BKX28 BLN28 BMD28 BMT28 BNJ28 BNZ28 BOP28 BPF28 BPV28 BQL28 BRB28 BRR28 BSH28 BSX28 BTN28 BUD28 BUT28 BVJ28 BVZ28 BWP28 BXF28 BXV28 BYL28 BZB28 BZR28 CAH28 CAX28 CBN28 CCD28 CCT28 CDJ28 CDZ28 CEP28 CFF28 CFV28 CGL28 CHB28 CHR28 CIH28 CIX28 CJN28 CKD28 CKT28 CLJ28 CLZ28 CMP28 CNF28 CNV28 COL28 CPB28 CPR28 CQH28 CQX28 CRN28 CSD28 CST28 CTJ28 CTZ28 CUP28 CVF28 CVV28 CWL28 CXB28 CXR28 CYH28 CYX28 CZN28 DAD28 DAT28 DBJ28 DBZ28 DCP28 DDF28 DDV28 DEL28 DFB28 DFR28 DGH28 DGX28 DHN28 DID28 DIT28 DJJ28 DJZ28 DKP28 DLF28 DLV28 DML28 DNB28 DNR28 DOH28 DOX28 DPN28 DQD28 DQT28 DRJ28 DRZ28 DSP28 DTF28 DTV28 DUL28 DVB28 DVR28 DWH28 DWX28 DXN28 DYD28 DYT28 DZJ28 DZZ28 EAP28 EBF28 EBV28 ECL28 EDB28 EDR28 EEH28 EEX28 EFN28 EGD28 EGT28 EHJ28 EHZ28 EIP28 EJF28 EJV28 EKL28 ELB28 ELR28 EMH28 EMX28 ENN28 EOD28 EOT28 EPJ28 EPZ28 EQP28 ERF28 ERV28 ESL28 ETB28 ETR28 EUH28 EUX28 EVN28 EWD28 EWT28 EXJ28 EXZ28 EYP28 EZF28 EZV28 FAL28 FBB28 FBR28 FCH28 FCX28 FDN28 FED28 FET28 FFJ28 FFZ28 FGP28 FHF28 FHV28 FIL28 FJB28 FJR28 FKH28 FKX28 FLN28 FMD28 FMT28 FNJ28 FNZ28 FOP28 FPF28 FPV28 FQL28 FRB28 FRR28 FSH28 FSX28 FTN28 FUD28 FUT28 FVJ28 FVZ28 FWP28 FXF28 FXV28 FYL28 FZB28 FZR28 GAH28 GAX28 GBN28 GCD28 GCT28 GDJ28 GDZ28 GEP28 GFF28 GFV28 GGL28 GHB28 GHR28 GIH28 GIX28 GJN28 GKD28 GKT28 GLJ28 GLZ28 GMP28 GNF28 GNV28 GOL28 GPB28 GPR28 GQH28 GQX28 GRN28 GSD28 GST28 GTJ28 GTZ28 GUP28 GVF28 GVV28 GWL28 GXB28 GXR28 GYH28 GYX28 GZN28 HAD28 HAT28 HBJ28 HBZ28 HCP28 HDF28 HDV28 HEL28 HFB28 HFR28 HGH28 HGX28 HHN28 HID28 HIT28 HJJ28 HJZ28 HKP28 HLF28 HLV28 HML28 HNB28 HNR28 HOH28 HOX28 HPN28 HQD28 HQT28 HRJ28 HRZ28 HSP28 HTF28 HTV28 HUL28 HVB28 HVR28 HWH28 HWX28 HXN28 HYD28 HYT28 HZJ28 HZZ28 IAP28 IBF28 IBV28 ICL28 IDB28 IDR28 IEH28 IEX28 IFN28 IGD28 IGT28 IHJ28 IHZ28 IIP28 IJF28 IJV28 IKL28 ILB28 ILR28 IMH28 IMX28 INN28 IOD28 IOT28 IPJ28 IPZ28 IQP28 IRF28 IRV28 ISL28 ITB28 ITR28 IUH28 IUX28 IVN28 IWD28 IWT28 IXJ28 IXZ28 IYP28 IZF28 IZV28 JAL28 JBB28 JBR28 JCH28 JCX28 JDN28 JED28 JET28 JFJ28 JFZ28 JGP28 JHF28 JHV28 JIL28 JJB28 JJR28 JKH28 JKX28 JLN28 JMD28 JMT28 JNJ28 JNZ28 JOP28 JPF28 JPV28 JQL28 JRB28 JRR28 JSH28 JSX28 JTN28 JUD28 JUT28 JVJ28 JVZ28 JWP28 JXF28 JXV28 JYL28 JZB28 JZR28 KAH28 KAX28 KBN28 KCD28 KCT28 KDJ28 KDZ28 KEP28 KFF28 KFV28 KGL28 KHB28 KHR28 KIH28 KIX28 KJN28 KKD28 KKT28 KLJ28 KLZ28 KMP28 KNF28 KNV28 KOL28 KPB28 KPR28 KQH28 KQX28 KRN28 KSD28 KST28 KTJ28 KTZ28 KUP28 KVF28 KVV28 KWL28 KXB28 KXR28 KYH28 KYX28 KZN28 LAD28 LAT28 LBJ28 LBZ28 LCP28 LDF28 LDV28 LEL28 LFB28 LFR28 LGH28 LGX28 LHN28 LID28 LIT28 LJJ28 LJZ28 LKP28 LLF28 LLV28 LML28 LNB28 LNR28 LOH28 LOX28 LPN28 LQD28 LQT28 LRJ28 LRZ28 LSP28 LTF28 LTV28 LUL28 LVB28 LVR28 LWH28 LWX28 LXN28 LYD28 LYT28 LZJ28 LZZ28 MAP28 MBF28 MBV28 MCL28 MDB28 MDR28 MEH28 MEX28 MFN28 MGD28 MGT28 MHJ28 MHZ28 MIP28 MJF28 MJV28 MKL28 MLB28 MLR28 MMH28 MMX28 MNN28 MOD28 MOT28 MPJ28 MPZ28 MQP28 MRF28 MRV28 MSL28 MTB28 MTR28 MUH28 MUX28 MVN28 MWD28 MWT28 MXJ28 MXZ28 MYP28 MZF28 MZV28 NAL28 NBB28 NBR28 NCH28 NCX28 NDN28 NED28 NET28 NFJ28 NFZ28 NGP28 NHF28 NHV28 NIL28 NJB28 NJR28 NKH28 NKX28 NLN28 NMD28 NMT28 NNJ28 NNZ28 NOP28 NPF28 NPV28 NQL28 NRB28 NRR28 NSH28 NSX28 NTN28 NUD28 NUT28 NVJ28 NVZ28 NWP28 NXF28 NXV28 NYL28 NZB28 NZR28 OAH28 OAX28 OBN28 OCD28 OCT28 ODJ28 ODZ28 OEP28 OFF28 OFV28 OGL28 OHB28 OHR28 OIH28 OIX28 OJN28 OKD28 OKT28 OLJ28 OLZ28 OMP28 ONF28 ONV28 OOL28 OPB28 OPR28 OQH28 OQX28 ORN28 OSD28 OST28 OTJ28 OTZ28 OUP28 OVF28 OVV28 OWL28 OXB28 OXR28 OYH28 OYX28 OZN28 PAD28 PAT28 PBJ28 PBZ28 PCP28 PDF28 PDV28 PEL28 PFB28 PFR28 PGH28 PGX28 PHN28 PID28 PIT28 PJJ28 PJZ28 PKP28 PLF28 PLV28 PML28 PNB28 PNR28 POH28 POX28 PPN28 PQD28 PQT28 PRJ28 PRZ28 PSP28 PTF28 PTV28 PUL28 PVB28 PVR28 PWH28 PWX28 PXN28 PYD28 PYT28 PZJ28 PZZ28 QAP28 QBF28 QBV28 QCL28 QDB28 QDR28 QEH28 QEX28 QFN28 QGD28 QGT28 QHJ28 QHZ28 QIP28 QJF28 QJV28 QKL28 QLB28 QLR28 QMH28 QMX28 QNN28 QOD28 QOT28 QPJ28 QPZ28 QQP28 QRF28 QRV28 QSL28 QTB28 QTR28 QUH28 QUX28 QVN28 QWD28 QWT28 QXJ28 QXZ28 QYP28 QZF28 QZV28 RAL28 RBB28 RBR28 RCH28 RCX28 RDN28 RED28 RET28 RFJ28 RFZ28 RGP28 RHF28 RHV28 RIL28 RJB28 RJR28 RKH28 RKX28 RLN28 RMD28 RMT28 RNJ28 RNZ28 ROP28 RPF28 RPV28 RQL28 RRB28 RRR28 RSH28 RSX28 RTN28 RUD28 RUT28 RVJ28 RVZ28 RWP28 RXF28 RXV28 RYL28 RZB28 RZR28 SAH28 SAX28 SBN28 SCD28 SCT28 SDJ28 SDZ28 SEP28 SFF28 SFV28 SGL28 SHB28 SHR28 SIH28 SIX28 SJN28 SKD28 SKT28 SLJ28 SLZ28 SMP28 SNF28 SNV28 SOL28 SPB28 SPR28 SQH28 SQX28 SRN28 SSD28 SST28 STJ28 STZ28 SUP28 SVF28 SVV28 SWL28 SXB28 SXR28 SYH28 SYX28 SZN28 TAD28 TAT28 TBJ28 TBZ28 TCP28 TDF28 TDV28 TEL28 TFB28 TFR28 TGH28 TGX28 THN28 TID28 TIT28 TJJ28 TJZ28 TKP28 TLF28 TLV28 TML28 TNB28 TNR28 TOH28 TOX28 TPN28 TQD28 TQT28 TRJ28 TRZ28 TSP28 TTF28 TTV28 TUL28 TVB28 TVR28 TWH28 TWX28 TXN28 TYD28 TYT28 TZJ28 TZZ28 UAP28 UBF28 UBV28 UCL28 UDB28 UDR28 UEH28 UEX28 UFN28 UGD28 UGT28 UHJ28 UHZ28 UIP28 UJF28 UJV28 UKL28 ULB28 ULR28 UMH28 UMX28 UNN28 UOD28 UOT28 UPJ28 UPZ28 UQP28 URF28 URV28 USL28 UTB28 UTR28 UUH28 UUX28 UVN28 UWD28 UWT28 UXJ28 UXZ28 UYP28 UZF28 UZV28 VAL28 VBB28 VBR28 VCH28 VCX28 VDN28 VED28 VET28 VFJ28 VFZ28 VGP28 VHF28 VHV28 VIL28 VJB28 VJR28 VKH28 VKX28 VLN28 VMD28 VMT28 VNJ28 VNZ28 VOP28 VPF28 VPV28 VQL28 VRB28 VRR28 VSH28 VSX28 VTN28 VUD28 VUT28 VVJ28 VVZ28 VWP28 VXF28 VXV28 VYL28 VZB28 VZR28 WAH28 WAX28 WBN28 WCD28 WCT28 WDJ28 WDZ28 WEP28 WFF28 WFV28 WGL28 WHB28 WHR28 WIH28 WIX28 WJN28 WKD28 WKT28 WLJ28 WLZ28 WMP28 WNF28 WNV28 WOL28 WPB28 WPR28 WQH28 WQX28 WRN28 WSD28 WST28 WTJ28 WTZ28 WUP28 WVF28 WVV28 WWL28 WXB28 WXR28 WYH28 WYX28 WZN28 XAD28 XAT28 XBJ28 XBZ28 XCP28 XDF28 XDV28 XEL28 XFB28 N32:N34 Y38:AB38 AO38:AR38 BE38:BH38 BU38:BX38 CK38:CN38 DA38:DD38 DQ38:DT38 EG38:EJ38 EW38:EZ38 FM38:FP38 GC38:GF38 GS38:GV38 HI38:HL38 HY38:IB38 IO38:IR38 JE38:JH38 JU38:JX38 KK38:KN38 LA38:LD38 LQ38:LT38 MG38:MJ38 MW38:MZ38 NM38:NP38 OC38:OF38 OS38:OV38 PI38:PL38 PY38:QB38 QO38:QR38 RE38:RH38 RU38:RX38 SK38:SN38 TA38:TD38 TQ38:TT38 UG38:UJ38 UW38:UZ38 VM38:VP38 WC38:WF38 WS38:WV38 XI38:XL38 XY38:YB38 YO38:YR38 ZE38:ZH38 ZU38:ZX38 AAK38:AAN38 ABA38:ABD38 ABQ38:ABT38 ACG38:ACJ38 ACW38:ACZ38 ADM38:ADP38 AEC38:AEF38 AES38:AEV38 AFI38:AFL38 AFY38:AGB38 AGO38:AGR38 AHE38:AHH38 AHU38:AHX38 AIK38:AIN38 AJA38:AJD38 AJQ38:AJT38 AKG38:AKJ38 AKW38:AKZ38 ALM38:ALP38 AMC38:AMF38 AMS38:AMV38 ANI38:ANL38 ANY38:AOB38 AOO38:AOR38 APE38:APH38 APU38:APX38 AQK38:AQN38 ARA38:ARD38 ARQ38:ART38 ASG38:ASJ38 ASW38:ASZ38 ATM38:ATP38 AUC38:AUF38 AUS38:AUV38 AVI38:AVL38 AVY38:AWB38 AWO38:AWR38 AXE38:AXH38 AXU38:AXX38 AYK38:AYN38 AZA38:AZD38 AZQ38:AZT38 BAG38:BAJ38 BAW38:BAZ38 BBM38:BBP38 BCC38:BCF38 BCS38:BCV38 BDI38:BDL38 BDY38:BEB38 BEO38:BER38 BFE38:BFH38 BFU38:BFX38 BGK38:BGN38 BHA38:BHD38 BHQ38:BHT38 BIG38:BIJ38 BIW38:BIZ38 BJM38:BJP38 BKC38:BKF38 BKS38:BKV38 BLI38:BLL38 BLY38:BMB38 BMO38:BMR38 BNE38:BNH38 BNU38:BNX38 BOK38:BON38 BPA38:BPD38 BPQ38:BPT38 BQG38:BQJ38 BQW38:BQZ38 BRM38:BRP38 BSC38:BSF38 BSS38:BSV38 BTI38:BTL38 BTY38:BUB38 BUO38:BUR38 BVE38:BVH38 BVU38:BVX38 BWK38:BWN38 BXA38:BXD38 BXQ38:BXT38 BYG38:BYJ38 BYW38:BYZ38 BZM38:BZP38 CAC38:CAF38 CAS38:CAV38 CBI38:CBL38 CBY38:CCB38 CCO38:CCR38 CDE38:CDH38 CDU38:CDX38 CEK38:CEN38 CFA38:CFD38 CFQ38:CFT38 CGG38:CGJ38 CGW38:CGZ38 CHM38:CHP38 CIC38:CIF38 CIS38:CIV38 CJI38:CJL38 CJY38:CKB38 CKO38:CKR38 CLE38:CLH38 CLU38:CLX38 CMK38:CMN38 CNA38:CND38 CNQ38:CNT38 COG38:COJ38 COW38:COZ38 CPM38:CPP38 CQC38:CQF38 CQS38:CQV38 CRI38:CRL38 CRY38:CSB38 CSO38:CSR38 CTE38:CTH38 CTU38:CTX38 CUK38:CUN38 CVA38:CVD38 CVQ38:CVT38 CWG38:CWJ38 CWW38:CWZ38 CXM38:CXP38 CYC38:CYF38 CYS38:CYV38 CZI38:CZL38 CZY38:DAB38 DAO38:DAR38 DBE38:DBH38 DBU38:DBX38 DCK38:DCN38 DDA38:DDD38 DDQ38:DDT38 DEG38:DEJ38 DEW38:DEZ38 DFM38:DFP38 DGC38:DGF38 DGS38:DGV38 DHI38:DHL38 DHY38:DIB38 DIO38:DIR38 DJE38:DJH38 DJU38:DJX38 DKK38:DKN38 DLA38:DLD38 DLQ38:DLT38 DMG38:DMJ38 DMW38:DMZ38 DNM38:DNP38 DOC38:DOF38 DOS38:DOV38 DPI38:DPL38 DPY38:DQB38 DQO38:DQR38 DRE38:DRH38 DRU38:DRX38 DSK38:DSN38 DTA38:DTD38 DTQ38:DTT38 DUG38:DUJ38 DUW38:DUZ38 DVM38:DVP38 DWC38:DWF38 DWS38:DWV38 DXI38:DXL38 DXY38:DYB38 DYO38:DYR38 DZE38:DZH38 DZU38:DZX38 EAK38:EAN38 EBA38:EBD38 EBQ38:EBT38 ECG38:ECJ38 ECW38:ECZ38 EDM38:EDP38 EEC38:EEF38 EES38:EEV38 EFI38:EFL38 EFY38:EGB38 EGO38:EGR38 EHE38:EHH38 EHU38:EHX38 EIK38:EIN38 EJA38:EJD38 EJQ38:EJT38 EKG38:EKJ38 EKW38:EKZ38 ELM38:ELP38 EMC38:EMF38 EMS38:EMV38 ENI38:ENL38 ENY38:EOB38 EOO38:EOR38 EPE38:EPH38 EPU38:EPX38 EQK38:EQN38 ERA38:ERD38 ERQ38:ERT38 ESG38:ESJ38 ESW38:ESZ38 ETM38:ETP38 EUC38:EUF38 EUS38:EUV38 EVI38:EVL38 EVY38:EWB38 EWO38:EWR38 EXE38:EXH38 EXU38:EXX38 EYK38:EYN38 EZA38:EZD38 EZQ38:EZT38 FAG38:FAJ38 FAW38:FAZ38 FBM38:FBP38 FCC38:FCF38 FCS38:FCV38 FDI38:FDL38 FDY38:FEB38 FEO38:FER38 FFE38:FFH38 FFU38:FFX38 FGK38:FGN38 FHA38:FHD38 FHQ38:FHT38 FIG38:FIJ38 FIW38:FIZ38 FJM38:FJP38 FKC38:FKF38 FKS38:FKV38 FLI38:FLL38 FLY38:FMB38 FMO38:FMR38 FNE38:FNH38 FNU38:FNX38 FOK38:FON38 FPA38:FPD38 FPQ38:FPT38 FQG38:FQJ38 FQW38:FQZ38 FRM38:FRP38 FSC38:FSF38 FSS38:FSV38 FTI38:FTL38 FTY38:FUB38 FUO38:FUR38 FVE38:FVH38 FVU38:FVX38 FWK38:FWN38 FXA38:FXD38 FXQ38:FXT38 FYG38:FYJ38 FYW38:FYZ38 FZM38:FZP38 GAC38:GAF38 GAS38:GAV38 GBI38:GBL38 GBY38:GCB38 GCO38:GCR38 GDE38:GDH38 GDU38:GDX38 GEK38:GEN38 GFA38:GFD38 GFQ38:GFT38 GGG38:GGJ38 GGW38:GGZ38 GHM38:GHP38 GIC38:GIF38 GIS38:GIV38 GJI38:GJL38 GJY38:GKB38 GKO38:GKR38 GLE38:GLH38 GLU38:GLX38 GMK38:GMN38 GNA38:GND38 GNQ38:GNT38 GOG38:GOJ38 GOW38:GOZ38 GPM38:GPP38 GQC38:GQF38 GQS38:GQV38 GRI38:GRL38 GRY38:GSB38 GSO38:GSR38 GTE38:GTH38 GTU38:GTX38 GUK38:GUN38 GVA38:GVD38 GVQ38:GVT38 GWG38:GWJ38 GWW38:GWZ38 GXM38:GXP38 GYC38:GYF38 GYS38:GYV38 GZI38:GZL38 GZY38:HAB38 HAO38:HAR38 HBE38:HBH38 HBU38:HBX38 HCK38:HCN38 HDA38:HDD38 HDQ38:HDT38 HEG38:HEJ38 HEW38:HEZ38 HFM38:HFP38 HGC38:HGF38 HGS38:HGV38 HHI38:HHL38 HHY38:HIB38 HIO38:HIR38 HJE38:HJH38 HJU38:HJX38 HKK38:HKN38 HLA38:HLD38 HLQ38:HLT38 HMG38:HMJ38 HMW38:HMZ38 HNM38:HNP38 HOC38:HOF38 HOS38:HOV38 HPI38:HPL38 HPY38:HQB38 HQO38:HQR38 HRE38:HRH38 HRU38:HRX38 HSK38:HSN38 HTA38:HTD38 HTQ38:HTT38 HUG38:HUJ38 HUW38:HUZ38 HVM38:HVP38 HWC38:HWF38 HWS38:HWV38 HXI38:HXL38 HXY38:HYB38 HYO38:HYR38 HZE38:HZH38 HZU38:HZX38 IAK38:IAN38 IBA38:IBD38 IBQ38:IBT38 ICG38:ICJ38 ICW38:ICZ38 IDM38:IDP38 IEC38:IEF38 IES38:IEV38 IFI38:IFL38 IFY38:IGB38 IGO38:IGR38 IHE38:IHH38 IHU38:IHX38 IIK38:IIN38 IJA38:IJD38 IJQ38:IJT38 IKG38:IKJ38 IKW38:IKZ38 ILM38:ILP38 IMC38:IMF38 IMS38:IMV38 INI38:INL38 INY38:IOB38 IOO38:IOR38 IPE38:IPH38 IPU38:IPX38 IQK38:IQN38 IRA38:IRD38 IRQ38:IRT38 ISG38:ISJ38 ISW38:ISZ38 ITM38:ITP38 IUC38:IUF38 IUS38:IUV38 IVI38:IVL38 IVY38:IWB38 IWO38:IWR38 IXE38:IXH38 IXU38:IXX38 IYK38:IYN38 IZA38:IZD38 IZQ38:IZT38 JAG38:JAJ38 JAW38:JAZ38 JBM38:JBP38 JCC38:JCF38 JCS38:JCV38 JDI38:JDL38 JDY38:JEB38 JEO38:JER38 JFE38:JFH38 JFU38:JFX38 JGK38:JGN38 JHA38:JHD38 JHQ38:JHT38 JIG38:JIJ38 JIW38:JIZ38 JJM38:JJP38 JKC38:JKF38 JKS38:JKV38 JLI38:JLL38 JLY38:JMB38 JMO38:JMR38 JNE38:JNH38 JNU38:JNX38 JOK38:JON38 JPA38:JPD38 JPQ38:JPT38 JQG38:JQJ38 JQW38:JQZ38 JRM38:JRP38 JSC38:JSF38 JSS38:JSV38 JTI38:JTL38 JTY38:JUB38 JUO38:JUR38 JVE38:JVH38 JVU38:JVX38 JWK38:JWN38 JXA38:JXD38 JXQ38:JXT38 JYG38:JYJ38 JYW38:JYZ38 JZM38:JZP38 KAC38:KAF38 KAS38:KAV38 KBI38:KBL38 KBY38:KCB38 KCO38:KCR38 KDE38:KDH38 KDU38:KDX38 KEK38:KEN38 KFA38:KFD38 KFQ38:KFT38 KGG38:KGJ38 KGW38:KGZ38 KHM38:KHP38 KIC38:KIF38 KIS38:KIV38 KJI38:KJL38 KJY38:KKB38 KKO38:KKR38 KLE38:KLH38 KLU38:KLX38 KMK38:KMN38 KNA38:KND38 KNQ38:KNT38 KOG38:KOJ38 KOW38:KOZ38 KPM38:KPP38 KQC38:KQF38 KQS38:KQV38 KRI38:KRL38 KRY38:KSB38 KSO38:KSR38 KTE38:KTH38 KTU38:KTX38 KUK38:KUN38 KVA38:KVD38 KVQ38:KVT38 KWG38:KWJ38 KWW38:KWZ38 KXM38:KXP38 KYC38:KYF38 KYS38:KYV38 KZI38:KZL38 KZY38:LAB38 LAO38:LAR38 LBE38:LBH38 LBU38:LBX38 LCK38:LCN38 LDA38:LDD38 LDQ38:LDT38 LEG38:LEJ38 LEW38:LEZ38 LFM38:LFP38 LGC38:LGF38 LGS38:LGV38 LHI38:LHL38 LHY38:LIB38 LIO38:LIR38 LJE38:LJH38 LJU38:LJX38 LKK38:LKN38 LLA38:LLD38 LLQ38:LLT38 LMG38:LMJ38 LMW38:LMZ38 LNM38:LNP38 LOC38:LOF38 LOS38:LOV38 LPI38:LPL38 LPY38:LQB38 LQO38:LQR38 LRE38:LRH38 LRU38:LRX38 LSK38:LSN38 LTA38:LTD38 LTQ38:LTT38 LUG38:LUJ38 LUW38:LUZ38 LVM38:LVP38 LWC38:LWF38 LWS38:LWV38 LXI38:LXL38 LXY38:LYB38 LYO38:LYR38 LZE38:LZH38 LZU38:LZX38 MAK38:MAN38 MBA38:MBD38 MBQ38:MBT38 MCG38:MCJ38 MCW38:MCZ38 MDM38:MDP38 MEC38:MEF38 MES38:MEV38 MFI38:MFL38 MFY38:MGB38 MGO38:MGR38 MHE38:MHH38 MHU38:MHX38 MIK38:MIN38 MJA38:MJD38 MJQ38:MJT38 MKG38:MKJ38 MKW38:MKZ38 MLM38:MLP38 MMC38:MMF38 MMS38:MMV38 MNI38:MNL38 MNY38:MOB38 MOO38:MOR38 MPE38:MPH38 MPU38:MPX38 MQK38:MQN38 MRA38:MRD38 MRQ38:MRT38 MSG38:MSJ38 MSW38:MSZ38 MTM38:MTP38 MUC38:MUF38 MUS38:MUV38 MVI38:MVL38 MVY38:MWB38 MWO38:MWR38 MXE38:MXH38 MXU38:MXX38 MYK38:MYN38 MZA38:MZD38 MZQ38:MZT38 NAG38:NAJ38 NAW38:NAZ38 NBM38:NBP38 NCC38:NCF38 NCS38:NCV38 NDI38:NDL38 NDY38:NEB38 NEO38:NER38 NFE38:NFH38 NFU38:NFX38 NGK38:NGN38 NHA38:NHD38 NHQ38:NHT38 NIG38:NIJ38 NIW38:NIZ38 NJM38:NJP38 NKC38:NKF38 NKS38:NKV38 NLI38:NLL38 NLY38:NMB38 NMO38:NMR38 NNE38:NNH38 NNU38:NNX38 NOK38:NON38 NPA38:NPD38 NPQ38:NPT38 NQG38:NQJ38 NQW38:NQZ38 NRM38:NRP38 NSC38:NSF38 NSS38:NSV38 NTI38:NTL38 NTY38:NUB38 NUO38:NUR38 NVE38:NVH38 NVU38:NVX38 NWK38:NWN38 NXA38:NXD38 NXQ38:NXT38 NYG38:NYJ38 NYW38:NYZ38 NZM38:NZP38 OAC38:OAF38 OAS38:OAV38 OBI38:OBL38 OBY38:OCB38 OCO38:OCR38 ODE38:ODH38 ODU38:ODX38 OEK38:OEN38 OFA38:OFD38 OFQ38:OFT38 OGG38:OGJ38 OGW38:OGZ38 OHM38:OHP38 OIC38:OIF38 OIS38:OIV38 OJI38:OJL38 OJY38:OKB38 OKO38:OKR38 OLE38:OLH38 OLU38:OLX38 OMK38:OMN38 ONA38:OND38 ONQ38:ONT38 OOG38:OOJ38 OOW38:OOZ38 OPM38:OPP38 OQC38:OQF38 OQS38:OQV38 ORI38:ORL38 ORY38:OSB38 OSO38:OSR38 OTE38:OTH38 OTU38:OTX38 OUK38:OUN38 OVA38:OVD38 OVQ38:OVT38 OWG38:OWJ38 OWW38:OWZ38 OXM38:OXP38 OYC38:OYF38 OYS38:OYV38 OZI38:OZL38 OZY38:PAB38 PAO38:PAR38 PBE38:PBH38 PBU38:PBX38 PCK38:PCN38 PDA38:PDD38 PDQ38:PDT38 PEG38:PEJ38 PEW38:PEZ38 PFM38:PFP38 PGC38:PGF38 PGS38:PGV38 PHI38:PHL38 PHY38:PIB38 PIO38:PIR38 PJE38:PJH38 PJU38:PJX38 PKK38:PKN38 PLA38:PLD38 PLQ38:PLT38 PMG38:PMJ38 PMW38:PMZ38 PNM38:PNP38 POC38:POF38 POS38:POV38 PPI38:PPL38 PPY38:PQB38 PQO38:PQR38 PRE38:PRH38 PRU38:PRX38 PSK38:PSN38 PTA38:PTD38 PTQ38:PTT38 PUG38:PUJ38 PUW38:PUZ38 PVM38:PVP38 PWC38:PWF38 PWS38:PWV38 PXI38:PXL38 PXY38:PYB38 PYO38:PYR38 PZE38:PZH38 PZU38:PZX38 QAK38:QAN38 QBA38:QBD38 QBQ38:QBT38 QCG38:QCJ38 QCW38:QCZ38 QDM38:QDP38 QEC38:QEF38 QES38:QEV38 QFI38:QFL38 QFY38:QGB38 QGO38:QGR38 QHE38:QHH38 QHU38:QHX38 QIK38:QIN38 QJA38:QJD38 QJQ38:QJT38 QKG38:QKJ38 QKW38:QKZ38 QLM38:QLP38 QMC38:QMF38 QMS38:QMV38 QNI38:QNL38 QNY38:QOB38 QOO38:QOR38 QPE38:QPH38 QPU38:QPX38 QQK38:QQN38 QRA38:QRD38 QRQ38:QRT38 QSG38:QSJ38 QSW38:QSZ38 QTM38:QTP38 QUC38:QUF38 QUS38:QUV38 QVI38:QVL38 QVY38:QWB38 QWO38:QWR38 QXE38:QXH38 QXU38:QXX38 QYK38:QYN38 QZA38:QZD38 QZQ38:QZT38 RAG38:RAJ38 RAW38:RAZ38 RBM38:RBP38 RCC38:RCF38 RCS38:RCV38 RDI38:RDL38 RDY38:REB38 REO38:RER38 RFE38:RFH38 RFU38:RFX38 RGK38:RGN38 RHA38:RHD38 RHQ38:RHT38 RIG38:RIJ38 RIW38:RIZ38 RJM38:RJP38 RKC38:RKF38 RKS38:RKV38 RLI38:RLL38 RLY38:RMB38 RMO38:RMR38 RNE38:RNH38 RNU38:RNX38 ROK38:RON38 RPA38:RPD38 RPQ38:RPT38 RQG38:RQJ38 RQW38:RQZ38 RRM38:RRP38 RSC38:RSF38 RSS38:RSV38 RTI38:RTL38 RTY38:RUB38 RUO38:RUR38 RVE38:RVH38 RVU38:RVX38 RWK38:RWN38 RXA38:RXD38 RXQ38:RXT38 RYG38:RYJ38 RYW38:RYZ38 RZM38:RZP38 SAC38:SAF38 SAS38:SAV38 SBI38:SBL38 SBY38:SCB38 SCO38:SCR38 SDE38:SDH38 SDU38:SDX38 SEK38:SEN38 SFA38:SFD38 SFQ38:SFT38 SGG38:SGJ38 SGW38:SGZ38 SHM38:SHP38 SIC38:SIF38 SIS38:SIV38 SJI38:SJL38 SJY38:SKB38 SKO38:SKR38 SLE38:SLH38 SLU38:SLX38 SMK38:SMN38 SNA38:SND38 SNQ38:SNT38 SOG38:SOJ38 SOW38:SOZ38 SPM38:SPP38 SQC38:SQF38 SQS38:SQV38 SRI38:SRL38 SRY38:SSB38 SSO38:SSR38 STE38:STH38 STU38:STX38 SUK38:SUN38 SVA38:SVD38 SVQ38:SVT38 SWG38:SWJ38 SWW38:SWZ38 SXM38:SXP38 SYC38:SYF38 SYS38:SYV38 SZI38:SZL38 SZY38:TAB38 TAO38:TAR38 TBE38:TBH38 TBU38:TBX38 TCK38:TCN38 TDA38:TDD38 TDQ38:TDT38 TEG38:TEJ38 TEW38:TEZ38 TFM38:TFP38 TGC38:TGF38 TGS38:TGV38 THI38:THL38 THY38:TIB38 TIO38:TIR38 TJE38:TJH38 TJU38:TJX38 TKK38:TKN38 TLA38:TLD38 TLQ38:TLT38 TMG38:TMJ38 TMW38:TMZ38 TNM38:TNP38 TOC38:TOF38 TOS38:TOV38 TPI38:TPL38 TPY38:TQB38 TQO38:TQR38 TRE38:TRH38 TRU38:TRX38 TSK38:TSN38 TTA38:TTD38 TTQ38:TTT38 TUG38:TUJ38 TUW38:TUZ38 TVM38:TVP38 TWC38:TWF38 TWS38:TWV38 TXI38:TXL38 TXY38:TYB38 TYO38:TYR38 TZE38:TZH38 TZU38:TZX38 UAK38:UAN38 UBA38:UBD38 UBQ38:UBT38 UCG38:UCJ38 UCW38:UCZ38 UDM38:UDP38 UEC38:UEF38 UES38:UEV38 UFI38:UFL38 UFY38:UGB38 UGO38:UGR38 UHE38:UHH38 UHU38:UHX38 UIK38:UIN38 UJA38:UJD38 UJQ38:UJT38 UKG38:UKJ38 UKW38:UKZ38 ULM38:ULP38 UMC38:UMF38 UMS38:UMV38 UNI38:UNL38 UNY38:UOB38 UOO38:UOR38 UPE38:UPH38 UPU38:UPX38 UQK38:UQN38 URA38:URD38 URQ38:URT38 USG38:USJ38 USW38:USZ38 UTM38:UTP38 UUC38:UUF38 UUS38:UUV38 UVI38:UVL38 UVY38:UWB38 UWO38:UWR38 UXE38:UXH38 UXU38:UXX38 UYK38:UYN38 UZA38:UZD38 UZQ38:UZT38 VAG38:VAJ38 VAW38:VAZ38 VBM38:VBP38 VCC38:VCF38 VCS38:VCV38 VDI38:VDL38 VDY38:VEB38 VEO38:VER38 VFE38:VFH38 VFU38:VFX38 VGK38:VGN38 VHA38:VHD38 VHQ38:VHT38 VIG38:VIJ38 VIW38:VIZ38 VJM38:VJP38 VKC38:VKF38 VKS38:VKV38 VLI38:VLL38 VLY38:VMB38 VMO38:VMR38 VNE38:VNH38 VNU38:VNX38 VOK38:VON38 VPA38:VPD38 VPQ38:VPT38 VQG38:VQJ38 VQW38:VQZ38 VRM38:VRP38 VSC38:VSF38 VSS38:VSV38 VTI38:VTL38 VTY38:VUB38 VUO38:VUR38 VVE38:VVH38 VVU38:VVX38 VWK38:VWN38 VXA38:VXD38 VXQ38:VXT38 VYG38:VYJ38 VYW38:VYZ38 VZM38:VZP38 WAC38:WAF38 WAS38:WAV38 WBI38:WBL38 WBY38:WCB38 WCO38:WCR38 WDE38:WDH38 WDU38:WDX38 WEK38:WEN38 WFA38:WFD38 WFQ38:WFT38 WGG38:WGJ38 WGW38:WGZ38 WHM38:WHP38 WIC38:WIF38 WIS38:WIV38 WJI38:WJL38 WJY38:WKB38 WKO38:WKR38 WLE38:WLH38 WLU38:WLX38 WMK38:WMN38 WNA38:WND38 WNQ38:WNT38 WOG38:WOJ38 WOW38:WOZ38 WPM38:WPP38 WQC38:WQF38 WQS38:WQV38 WRI38:WRL38 WRY38:WSB38 WSO38:WSR38 WTE38:WTH38 WTU38:WTX38 WUK38:WUN38 WVA38:WVD38 WVQ38:WVT38 WWG38:WWJ38 WWW38:WWZ38 WXM38:WXP38 WYC38:WYF38 WYS38:WYV38 WZI38:WZL38 WZY38:XAB38 XAO38:XAR38 XBE38:XBH38 XBU38:XBX38 XCK38:XCN38 XDA38:XDD38 XDQ38:XDT38 XEG38:XEJ38 XEW38:XEZ38 N37:N39 AD38 AT38 BJ38 BZ38 CP38 DF38 DV38 EL38 FB38 FR38 GH38 GX38 HN38 ID38 IT38 JJ38 JZ38 KP38 LF38 LV38 ML38 NB38 NR38 OH38 OX38 PN38 QD38 QT38 RJ38 RZ38 SP38 TF38 TV38 UL38 VB38 VR38 WH38 WX38 XN38 YD38 YT38 ZJ38 ZZ38 AAP38 ABF38 ABV38 ACL38 ADB38 ADR38 AEH38 AEX38 AFN38 AGD38 AGT38 AHJ38 AHZ38 AIP38 AJF38 AJV38 AKL38 ALB38 ALR38 AMH38 AMX38 ANN38 AOD38 AOT38 APJ38 APZ38 AQP38 ARF38 ARV38 ASL38 ATB38 ATR38 AUH38 AUX38 AVN38 AWD38 AWT38 AXJ38 AXZ38 AYP38 AZF38 AZV38 BAL38 BBB38 BBR38 BCH38 BCX38 BDN38 BED38 BET38 BFJ38 BFZ38 BGP38 BHF38 BHV38 BIL38 BJB38 BJR38 BKH38 BKX38 BLN38 BMD38 BMT38 BNJ38 BNZ38 BOP38 BPF38 BPV38 BQL38 BRB38 BRR38 BSH38 BSX38 BTN38 BUD38 BUT38 BVJ38 BVZ38 BWP38 BXF38 BXV38 BYL38 BZB38 BZR38 CAH38 CAX38 CBN38 CCD38 CCT38 CDJ38 CDZ38 CEP38 CFF38 CFV38 CGL38 CHB38 CHR38 CIH38 CIX38 CJN38 CKD38 CKT38 CLJ38 CLZ38 CMP38 CNF38 CNV38 COL38 CPB38 CPR38 CQH38 CQX38 CRN38 CSD38 CST38 CTJ38 CTZ38 CUP38 CVF38 CVV38 CWL38 CXB38 CXR38 CYH38 CYX38 CZN38 DAD38 DAT38 DBJ38 DBZ38 DCP38 DDF38 DDV38 DEL38 DFB38 DFR38 DGH38 DGX38 DHN38 DID38 DIT38 DJJ38 DJZ38 DKP38 DLF38 DLV38 DML38 DNB38 DNR38 DOH38 DOX38 DPN38 DQD38 DQT38 DRJ38 DRZ38 DSP38 DTF38 DTV38 DUL38 DVB38 DVR38 DWH38 DWX38 DXN38 DYD38 DYT38 DZJ38 DZZ38 EAP38 EBF38 EBV38 ECL38 EDB38 EDR38 EEH38 EEX38 EFN38 EGD38 EGT38 EHJ38 EHZ38 EIP38 EJF38 EJV38 EKL38 ELB38 ELR38 EMH38 EMX38 ENN38 EOD38 EOT38 EPJ38 EPZ38 EQP38 ERF38 ERV38 ESL38 ETB38 ETR38 EUH38 EUX38 EVN38 EWD38 EWT38 EXJ38 EXZ38 EYP38 EZF38 EZV38 FAL38 FBB38 FBR38 FCH38 FCX38 FDN38 FED38 FET38 FFJ38 FFZ38 FGP38 FHF38 FHV38 FIL38 FJB38 FJR38 FKH38 FKX38 FLN38 FMD38 FMT38 FNJ38 FNZ38 FOP38 FPF38 FPV38 FQL38 FRB38 FRR38 FSH38 FSX38 FTN38 FUD38 FUT38 FVJ38 FVZ38 FWP38 FXF38 FXV38 FYL38 FZB38 FZR38 GAH38 GAX38 GBN38 GCD38 GCT38 GDJ38 GDZ38 GEP38 GFF38 GFV38 GGL38 GHB38 GHR38 GIH38 GIX38 GJN38 GKD38 GKT38 GLJ38 GLZ38 GMP38 GNF38 GNV38 GOL38 GPB38 GPR38 GQH38 GQX38 GRN38 GSD38 GST38 GTJ38 GTZ38 GUP38 GVF38 GVV38 GWL38 GXB38 GXR38 GYH38 GYX38 GZN38 HAD38 HAT38 HBJ38 HBZ38 HCP38 HDF38 HDV38 HEL38 HFB38 HFR38 HGH38 HGX38 HHN38 HID38 HIT38 HJJ38 HJZ38 HKP38 HLF38 HLV38 HML38 HNB38 HNR38 HOH38 HOX38 HPN38 HQD38 HQT38 HRJ38 HRZ38 HSP38 HTF38 HTV38 HUL38 HVB38 HVR38 HWH38 HWX38 HXN38 HYD38 HYT38 HZJ38 HZZ38 IAP38 IBF38 IBV38 ICL38 IDB38 IDR38 IEH38 IEX38 IFN38 IGD38 IGT38 IHJ38 IHZ38 IIP38 IJF38 IJV38 IKL38 ILB38 ILR38 IMH38 IMX38 INN38 IOD38 IOT38 IPJ38 IPZ38 IQP38 IRF38 IRV38 ISL38 ITB38 ITR38 IUH38 IUX38 IVN38 IWD38 IWT38 IXJ38 IXZ38 IYP38 IZF38 IZV38 JAL38 JBB38 JBR38 JCH38 JCX38 JDN38 JED38 JET38 JFJ38 JFZ38 JGP38 JHF38 JHV38 JIL38 JJB38 JJR38 JKH38 JKX38 JLN38 JMD38 JMT38 JNJ38 JNZ38 JOP38 JPF38 JPV38 JQL38 JRB38 JRR38 JSH38 JSX38 JTN38 JUD38 JUT38 JVJ38 JVZ38 JWP38 JXF38 JXV38 JYL38 JZB38 JZR38 KAH38 KAX38 KBN38 KCD38 KCT38 KDJ38 KDZ38 KEP38 KFF38 KFV38 KGL38 KHB38 KHR38 KIH38 KIX38 KJN38 KKD38 KKT38 KLJ38 KLZ38 KMP38 KNF38 KNV38 KOL38 KPB38 KPR38 KQH38 KQX38 KRN38 KSD38 KST38 KTJ38 KTZ38 KUP38 KVF38 KVV38 KWL38 KXB38 KXR38 KYH38 KYX38 KZN38 LAD38 LAT38 LBJ38 LBZ38 LCP38 LDF38 LDV38 LEL38 LFB38 LFR38 LGH38 LGX38 LHN38 LID38 LIT38 LJJ38 LJZ38 LKP38 LLF38 LLV38 LML38 LNB38 LNR38 LOH38 LOX38 LPN38 LQD38 LQT38 LRJ38 LRZ38 LSP38 LTF38 LTV38 LUL38 LVB38 LVR38 LWH38 LWX38 LXN38 LYD38 LYT38 LZJ38 LZZ38 MAP38 MBF38 MBV38 MCL38 MDB38 MDR38 MEH38 MEX38 MFN38 MGD38 MGT38 MHJ38 MHZ38 MIP38 MJF38 MJV38 MKL38 MLB38 MLR38 MMH38 MMX38 MNN38 MOD38 MOT38 MPJ38 MPZ38 MQP38 MRF38 MRV38 MSL38 MTB38 MTR38 MUH38 MUX38 MVN38 MWD38 MWT38 MXJ38 MXZ38 MYP38 MZF38 MZV38 NAL38 NBB38 NBR38 NCH38 NCX38 NDN38 NED38 NET38 NFJ38 NFZ38 NGP38 NHF38 NHV38 NIL38 NJB38 NJR38 NKH38 NKX38 NLN38 NMD38 NMT38 NNJ38 NNZ38 NOP38 NPF38 NPV38 NQL38 NRB38 NRR38 NSH38 NSX38 NTN38 NUD38 NUT38 NVJ38 NVZ38 NWP38 NXF38 NXV38 NYL38 NZB38 NZR38 OAH38 OAX38 OBN38 OCD38 OCT38 ODJ38 ODZ38 OEP38 OFF38 OFV38 OGL38 OHB38 OHR38 OIH38 OIX38 OJN38 OKD38 OKT38 OLJ38 OLZ38 OMP38 ONF38 ONV38 OOL38 OPB38 OPR38 OQH38 OQX38 ORN38 OSD38 OST38 OTJ38 OTZ38 OUP38 OVF38 OVV38 OWL38 OXB38 OXR38 OYH38 OYX38 OZN38 PAD38 PAT38 PBJ38 PBZ38 PCP38 PDF38 PDV38 PEL38 PFB38 PFR38 PGH38 PGX38 PHN38 PID38 PIT38 PJJ38 PJZ38 PKP38 PLF38 PLV38 PML38 PNB38 PNR38 POH38 POX38 PPN38 PQD38 PQT38 PRJ38 PRZ38 PSP38 PTF38 PTV38 PUL38 PVB38 PVR38 PWH38 PWX38 PXN38 PYD38 PYT38 PZJ38 PZZ38 QAP38 QBF38 QBV38 QCL38 QDB38 QDR38 QEH38 QEX38 QFN38 QGD38 QGT38 QHJ38 QHZ38 QIP38 QJF38 QJV38 QKL38 QLB38 QLR38 QMH38 QMX38 QNN38 QOD38 QOT38 QPJ38 QPZ38 QQP38 QRF38 QRV38 QSL38 QTB38 QTR38 QUH38 QUX38 QVN38 QWD38 QWT38 QXJ38 QXZ38 QYP38 QZF38 QZV38 RAL38 RBB38 RBR38 RCH38 RCX38 RDN38 RED38 RET38 RFJ38 RFZ38 RGP38 RHF38 RHV38 RIL38 RJB38 RJR38 RKH38 RKX38 RLN38 RMD38 RMT38 RNJ38 RNZ38 ROP38 RPF38 RPV38 RQL38 RRB38 RRR38 RSH38 RSX38 RTN38 RUD38 RUT38 RVJ38 RVZ38 RWP38 RXF38 RXV38 RYL38 RZB38 RZR38 SAH38 SAX38 SBN38 SCD38 SCT38 SDJ38 SDZ38 SEP38 SFF38 SFV38 SGL38 SHB38 SHR38 SIH38 SIX38 SJN38 SKD38 SKT38 SLJ38 SLZ38 SMP38 SNF38 SNV38 SOL38 SPB38 SPR38 SQH38 SQX38 SRN38 SSD38 SST38 STJ38 STZ38 SUP38 SVF38 SVV38 SWL38 SXB38 SXR38 SYH38 SYX38 SZN38 TAD38 TAT38 TBJ38 TBZ38 TCP38 TDF38 TDV38 TEL38 TFB38 TFR38 TGH38 TGX38 THN38 TID38 TIT38 TJJ38 TJZ38 TKP38 TLF38 TLV38 TML38 TNB38 TNR38 TOH38 TOX38 TPN38 TQD38 TQT38 TRJ38 TRZ38 TSP38 TTF38 TTV38 TUL38 TVB38 TVR38 TWH38 TWX38 TXN38 TYD38 TYT38 TZJ38 TZZ38 UAP38 UBF38 UBV38 UCL38 UDB38 UDR38 UEH38 UEX38 UFN38 UGD38 UGT38 UHJ38 UHZ38 UIP38 UJF38 UJV38 UKL38 ULB38 ULR38 UMH38 UMX38 UNN38 UOD38 UOT38 UPJ38 UPZ38 UQP38 URF38 URV38 USL38 UTB38 UTR38 UUH38 UUX38 UVN38 UWD38 UWT38 UXJ38 UXZ38 UYP38 UZF38 UZV38 VAL38 VBB38 VBR38 VCH38 VCX38 VDN38 VED38 VET38 VFJ38 VFZ38 VGP38 VHF38 VHV38 VIL38 VJB38 VJR38 VKH38 VKX38 VLN38 VMD38 VMT38 VNJ38 VNZ38 VOP38 VPF38 VPV38 VQL38 VRB38 VRR38 VSH38 VSX38 VTN38 VUD38 VUT38 VVJ38 VVZ38 VWP38 VXF38 VXV38 VYL38 VZB38 VZR38 WAH38 WAX38 WBN38 WCD38 WCT38 WDJ38 WDZ38 WEP38 WFF38 WFV38 WGL38 WHB38 WHR38 WIH38 WIX38 WJN38 WKD38 WKT38 WLJ38 WLZ38 WMP38 WNF38 WNV38 WOL38 WPB38 WPR38 WQH38 WQX38 WRN38 WSD38 WST38 WTJ38 WTZ38 WUP38 WVF38 WVV38 WWL38 WXB38 WXR38 WYH38 WYX38 WZN38 XAD38 XAT38 XBJ38 XBZ38 XCP38 XDF38 XDV38 XEL38 XFB38 N22:N24 N42:N44 I7:L9 I12:L14 I17:L19 I22:L24 I27:L29 I32:L34 I37:L39 I42:L44" name="Intervalo2"/>
    <protectedRange sqref="A7:D9 F7:F9 F12:F14 F17:F19 F24:F26 F29:F31 F34:F36 F39:F41 A44:D46 F44:F46 A12:D14 A17:D19 A24:D26 A29:D31 A34:D36 A39:D41" name="Intervalo1"/>
  </protectedRanges>
  <mergeCells count="18">
    <mergeCell ref="I10:M10"/>
    <mergeCell ref="I15:M15"/>
    <mergeCell ref="I4:O4"/>
    <mergeCell ref="I48:O48"/>
    <mergeCell ref="A83:G83"/>
    <mergeCell ref="A1:D2"/>
    <mergeCell ref="E1:E2"/>
    <mergeCell ref="A4:G4"/>
    <mergeCell ref="I47:M47"/>
    <mergeCell ref="A10:E10"/>
    <mergeCell ref="A27:E27"/>
    <mergeCell ref="A32:E32"/>
    <mergeCell ref="A37:E37"/>
    <mergeCell ref="I25:M25"/>
    <mergeCell ref="I30:M30"/>
    <mergeCell ref="I40:M40"/>
    <mergeCell ref="I45:M45"/>
    <mergeCell ref="A42:E42"/>
  </mergeCells>
  <hyperlinks>
    <hyperlink ref="E1:E2" location="Menu!A1" display="Menu" xr:uid="{00000000-0004-0000-2000-000000000000}"/>
  </hyperlink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4BCAD-B458-4AE3-BD3D-C81E1248D327}">
  <dimension ref="A1:Y125"/>
  <sheetViews>
    <sheetView tabSelected="1" topLeftCell="A3" workbookViewId="0">
      <selection activeCell="S13" sqref="S13"/>
    </sheetView>
  </sheetViews>
  <sheetFormatPr defaultColWidth="9.109375" defaultRowHeight="14.4" x14ac:dyDescent="0.3"/>
  <cols>
    <col min="1" max="22" width="9.109375" style="516"/>
    <col min="23" max="23" width="19.33203125" style="516" customWidth="1"/>
    <col min="24" max="16384" width="9.109375" style="516"/>
  </cols>
  <sheetData>
    <row r="1" spans="2:25" ht="15" thickBot="1" x14ac:dyDescent="0.35"/>
    <row r="2" spans="2:25" ht="15" customHeight="1" x14ac:dyDescent="0.3">
      <c r="B2" s="732" t="s">
        <v>96</v>
      </c>
      <c r="C2" s="732"/>
      <c r="D2" s="733" t="s">
        <v>254</v>
      </c>
      <c r="E2" s="734"/>
      <c r="F2" s="734"/>
      <c r="G2" s="734"/>
      <c r="H2" s="734"/>
      <c r="I2" s="734"/>
      <c r="J2" s="734"/>
      <c r="K2" s="734"/>
      <c r="L2" s="734"/>
      <c r="M2" s="734"/>
      <c r="N2" s="734"/>
      <c r="O2" s="734"/>
      <c r="P2" s="734"/>
      <c r="Q2" s="734"/>
      <c r="R2" s="735"/>
      <c r="V2" s="517"/>
      <c r="W2" s="517"/>
      <c r="X2" s="518"/>
      <c r="Y2" s="517"/>
    </row>
    <row r="3" spans="2:25" x14ac:dyDescent="0.3">
      <c r="B3" s="732"/>
      <c r="C3" s="732"/>
      <c r="D3" s="736"/>
      <c r="E3" s="737"/>
      <c r="F3" s="737"/>
      <c r="G3" s="737"/>
      <c r="H3" s="737"/>
      <c r="I3" s="737"/>
      <c r="J3" s="737"/>
      <c r="K3" s="737"/>
      <c r="L3" s="737"/>
      <c r="M3" s="737"/>
      <c r="N3" s="737"/>
      <c r="O3" s="737"/>
      <c r="P3" s="737"/>
      <c r="Q3" s="737"/>
      <c r="R3" s="738"/>
      <c r="V3" s="517"/>
      <c r="W3" s="517"/>
      <c r="X3" s="518"/>
      <c r="Y3" s="517"/>
    </row>
    <row r="4" spans="2:25" ht="15" thickBot="1" x14ac:dyDescent="0.35">
      <c r="B4" s="732"/>
      <c r="C4" s="732"/>
      <c r="D4" s="739"/>
      <c r="E4" s="740"/>
      <c r="F4" s="740"/>
      <c r="G4" s="740"/>
      <c r="H4" s="740"/>
      <c r="I4" s="740"/>
      <c r="J4" s="740"/>
      <c r="K4" s="740"/>
      <c r="L4" s="740"/>
      <c r="M4" s="740"/>
      <c r="N4" s="740"/>
      <c r="O4" s="740"/>
      <c r="P4" s="740"/>
      <c r="Q4" s="740"/>
      <c r="R4" s="741"/>
      <c r="V4" s="517"/>
      <c r="W4" s="517"/>
      <c r="X4" s="518"/>
      <c r="Y4" s="517"/>
    </row>
    <row r="5" spans="2:25" ht="15" thickBot="1" x14ac:dyDescent="0.35">
      <c r="V5" s="517"/>
      <c r="W5" s="517"/>
      <c r="X5" s="518"/>
      <c r="Y5" s="517"/>
    </row>
    <row r="6" spans="2:25" x14ac:dyDescent="0.3">
      <c r="D6" s="704" t="s">
        <v>255</v>
      </c>
      <c r="E6" s="705"/>
      <c r="F6" s="705"/>
      <c r="G6" s="705"/>
      <c r="H6" s="705"/>
      <c r="I6" s="705"/>
      <c r="J6" s="706"/>
      <c r="L6" s="704" t="s">
        <v>256</v>
      </c>
      <c r="M6" s="705"/>
      <c r="N6" s="705"/>
      <c r="O6" s="705"/>
      <c r="P6" s="705"/>
      <c r="Q6" s="705"/>
      <c r="R6" s="706"/>
      <c r="V6" s="517"/>
      <c r="W6" s="517"/>
      <c r="X6" s="517"/>
      <c r="Y6" s="517"/>
    </row>
    <row r="7" spans="2:25" ht="15" thickBot="1" x14ac:dyDescent="0.35">
      <c r="D7" s="707"/>
      <c r="E7" s="708"/>
      <c r="F7" s="708"/>
      <c r="G7" s="708"/>
      <c r="H7" s="708"/>
      <c r="I7" s="708"/>
      <c r="J7" s="709"/>
      <c r="L7" s="707"/>
      <c r="M7" s="708"/>
      <c r="N7" s="708"/>
      <c r="O7" s="708"/>
      <c r="P7" s="708"/>
      <c r="Q7" s="708"/>
      <c r="R7" s="709"/>
    </row>
    <row r="8" spans="2:25" x14ac:dyDescent="0.3">
      <c r="D8" s="666" t="s">
        <v>257</v>
      </c>
      <c r="E8" s="667"/>
      <c r="F8" s="710"/>
      <c r="G8" s="711">
        <v>10</v>
      </c>
      <c r="H8" s="711"/>
      <c r="I8" s="699" t="s">
        <v>258</v>
      </c>
      <c r="J8" s="674"/>
      <c r="L8" s="666" t="s">
        <v>259</v>
      </c>
      <c r="M8" s="667"/>
      <c r="N8" s="710"/>
      <c r="O8" s="711">
        <v>0.98</v>
      </c>
      <c r="P8" s="711"/>
      <c r="Q8" s="699" t="s">
        <v>258</v>
      </c>
      <c r="R8" s="674"/>
    </row>
    <row r="9" spans="2:25" x14ac:dyDescent="0.3">
      <c r="D9" s="652"/>
      <c r="E9" s="653"/>
      <c r="F9" s="702"/>
      <c r="G9" s="703"/>
      <c r="H9" s="703"/>
      <c r="I9" s="700"/>
      <c r="J9" s="701"/>
      <c r="L9" s="652"/>
      <c r="M9" s="653"/>
      <c r="N9" s="702"/>
      <c r="O9" s="703"/>
      <c r="P9" s="703"/>
      <c r="Q9" s="700"/>
      <c r="R9" s="701"/>
    </row>
    <row r="10" spans="2:25" ht="17.25" customHeight="1" x14ac:dyDescent="0.3">
      <c r="D10" s="652" t="s">
        <v>260</v>
      </c>
      <c r="E10" s="653"/>
      <c r="F10" s="702"/>
      <c r="G10" s="703">
        <v>5</v>
      </c>
      <c r="H10" s="703"/>
      <c r="I10" s="700" t="s">
        <v>258</v>
      </c>
      <c r="J10" s="701"/>
      <c r="L10" s="652" t="s">
        <v>261</v>
      </c>
      <c r="M10" s="653"/>
      <c r="N10" s="702"/>
      <c r="O10" s="703">
        <v>0.37</v>
      </c>
      <c r="P10" s="703"/>
      <c r="Q10" s="700" t="s">
        <v>258</v>
      </c>
      <c r="R10" s="701"/>
    </row>
    <row r="11" spans="2:25" x14ac:dyDescent="0.3">
      <c r="D11" s="652"/>
      <c r="E11" s="653"/>
      <c r="F11" s="702"/>
      <c r="G11" s="703"/>
      <c r="H11" s="703"/>
      <c r="I11" s="700"/>
      <c r="J11" s="701"/>
      <c r="L11" s="652"/>
      <c r="M11" s="653"/>
      <c r="N11" s="702"/>
      <c r="O11" s="703"/>
      <c r="P11" s="703"/>
      <c r="Q11" s="700"/>
      <c r="R11" s="701"/>
    </row>
    <row r="12" spans="2:25" x14ac:dyDescent="0.3">
      <c r="D12" s="652" t="s">
        <v>262</v>
      </c>
      <c r="E12" s="653"/>
      <c r="F12" s="702"/>
      <c r="G12" s="703">
        <v>4</v>
      </c>
      <c r="H12" s="703"/>
      <c r="I12" s="700" t="s">
        <v>258</v>
      </c>
      <c r="J12" s="701"/>
      <c r="L12" s="652" t="s">
        <v>263</v>
      </c>
      <c r="M12" s="653"/>
      <c r="N12" s="702"/>
      <c r="O12" s="703">
        <v>5.5E-2</v>
      </c>
      <c r="P12" s="703"/>
      <c r="Q12" s="700" t="s">
        <v>258</v>
      </c>
      <c r="R12" s="701"/>
    </row>
    <row r="13" spans="2:25" ht="15" thickBot="1" x14ac:dyDescent="0.35">
      <c r="D13" s="652"/>
      <c r="E13" s="653"/>
      <c r="F13" s="702"/>
      <c r="G13" s="712"/>
      <c r="H13" s="712"/>
      <c r="I13" s="700"/>
      <c r="J13" s="701"/>
      <c r="L13" s="652"/>
      <c r="M13" s="653"/>
      <c r="N13" s="702"/>
      <c r="O13" s="712"/>
      <c r="P13" s="712"/>
      <c r="Q13" s="700"/>
      <c r="R13" s="701"/>
    </row>
    <row r="14" spans="2:25" x14ac:dyDescent="0.3">
      <c r="D14" s="652" t="s">
        <v>264</v>
      </c>
      <c r="E14" s="653"/>
      <c r="F14" s="654"/>
      <c r="G14" s="658">
        <f>((2*G8*G10)+(2*G8*G12)+(2*G10*G12))/100</f>
        <v>2.2000000000000002</v>
      </c>
      <c r="H14" s="659"/>
      <c r="I14" s="662" t="s">
        <v>265</v>
      </c>
      <c r="J14" s="663"/>
      <c r="L14" s="652" t="s">
        <v>264</v>
      </c>
      <c r="M14" s="653"/>
      <c r="N14" s="654"/>
      <c r="O14" s="728">
        <f>(1.57*(O8+O10)*(O8-O10+2*O12))/100</f>
        <v>1.5260400000000002E-2</v>
      </c>
      <c r="P14" s="729"/>
      <c r="Q14" s="662" t="s">
        <v>265</v>
      </c>
      <c r="R14" s="663"/>
    </row>
    <row r="15" spans="2:25" ht="15" thickBot="1" x14ac:dyDescent="0.35">
      <c r="D15" s="655"/>
      <c r="E15" s="656"/>
      <c r="F15" s="657"/>
      <c r="G15" s="660"/>
      <c r="H15" s="661"/>
      <c r="I15" s="664"/>
      <c r="J15" s="665"/>
      <c r="L15" s="655"/>
      <c r="M15" s="656"/>
      <c r="N15" s="657"/>
      <c r="O15" s="730"/>
      <c r="P15" s="731"/>
      <c r="Q15" s="664"/>
      <c r="R15" s="665"/>
    </row>
    <row r="17" spans="4:20" ht="15" thickBot="1" x14ac:dyDescent="0.35"/>
    <row r="18" spans="4:20" x14ac:dyDescent="0.3">
      <c r="D18" s="704" t="s">
        <v>266</v>
      </c>
      <c r="E18" s="705"/>
      <c r="F18" s="705"/>
      <c r="G18" s="705"/>
      <c r="H18" s="705"/>
      <c r="I18" s="705"/>
      <c r="J18" s="706"/>
      <c r="L18" s="704" t="s">
        <v>267</v>
      </c>
      <c r="M18" s="705"/>
      <c r="N18" s="705"/>
      <c r="O18" s="705"/>
      <c r="P18" s="705"/>
      <c r="Q18" s="705"/>
      <c r="R18" s="706"/>
      <c r="T18" s="520"/>
    </row>
    <row r="19" spans="4:20" ht="15" thickBot="1" x14ac:dyDescent="0.35">
      <c r="D19" s="722"/>
      <c r="E19" s="723"/>
      <c r="F19" s="723"/>
      <c r="G19" s="723"/>
      <c r="H19" s="723"/>
      <c r="I19" s="723"/>
      <c r="J19" s="724"/>
      <c r="L19" s="722"/>
      <c r="M19" s="723"/>
      <c r="N19" s="723"/>
      <c r="O19" s="723"/>
      <c r="P19" s="723"/>
      <c r="Q19" s="723"/>
      <c r="R19" s="724"/>
    </row>
    <row r="20" spans="4:20" x14ac:dyDescent="0.3">
      <c r="D20" s="725" t="s">
        <v>268</v>
      </c>
      <c r="E20" s="726"/>
      <c r="F20" s="726"/>
      <c r="G20" s="727">
        <v>1</v>
      </c>
      <c r="H20" s="727"/>
      <c r="I20" s="713" t="s">
        <v>258</v>
      </c>
      <c r="J20" s="714"/>
      <c r="L20" s="725" t="s">
        <v>268</v>
      </c>
      <c r="M20" s="726"/>
      <c r="N20" s="726"/>
      <c r="O20" s="727">
        <v>4</v>
      </c>
      <c r="P20" s="727"/>
      <c r="Q20" s="713" t="s">
        <v>258</v>
      </c>
      <c r="R20" s="714"/>
    </row>
    <row r="21" spans="4:20" ht="15" thickBot="1" x14ac:dyDescent="0.35">
      <c r="D21" s="652"/>
      <c r="E21" s="653"/>
      <c r="F21" s="653"/>
      <c r="G21" s="703"/>
      <c r="H21" s="703"/>
      <c r="I21" s="700"/>
      <c r="J21" s="701"/>
      <c r="L21" s="652"/>
      <c r="M21" s="653"/>
      <c r="N21" s="653"/>
      <c r="O21" s="712"/>
      <c r="P21" s="712"/>
      <c r="Q21" s="700"/>
      <c r="R21" s="701"/>
    </row>
    <row r="22" spans="4:20" x14ac:dyDescent="0.3">
      <c r="D22" s="652" t="s">
        <v>263</v>
      </c>
      <c r="E22" s="653"/>
      <c r="F22" s="653"/>
      <c r="G22" s="703">
        <v>5</v>
      </c>
      <c r="H22" s="703"/>
      <c r="I22" s="700" t="s">
        <v>258</v>
      </c>
      <c r="J22" s="701"/>
      <c r="L22" s="652" t="s">
        <v>264</v>
      </c>
      <c r="M22" s="653"/>
      <c r="N22" s="702"/>
      <c r="O22" s="716">
        <f>(0.785*O20*O20)/100</f>
        <v>0.12560000000000002</v>
      </c>
      <c r="P22" s="717"/>
      <c r="Q22" s="720" t="s">
        <v>265</v>
      </c>
      <c r="R22" s="701"/>
    </row>
    <row r="23" spans="4:20" ht="15" thickBot="1" x14ac:dyDescent="0.35">
      <c r="D23" s="652"/>
      <c r="E23" s="653"/>
      <c r="F23" s="653"/>
      <c r="G23" s="712"/>
      <c r="H23" s="712"/>
      <c r="I23" s="700"/>
      <c r="J23" s="701"/>
      <c r="L23" s="655"/>
      <c r="M23" s="656"/>
      <c r="N23" s="715"/>
      <c r="O23" s="718"/>
      <c r="P23" s="719"/>
      <c r="Q23" s="721"/>
      <c r="R23" s="676"/>
    </row>
    <row r="24" spans="4:20" x14ac:dyDescent="0.3">
      <c r="D24" s="652" t="s">
        <v>264</v>
      </c>
      <c r="E24" s="653"/>
      <c r="F24" s="702"/>
      <c r="G24" s="716">
        <f>(3.14*G22*G20)/100</f>
        <v>0.157</v>
      </c>
      <c r="H24" s="717"/>
      <c r="I24" s="720" t="s">
        <v>265</v>
      </c>
      <c r="J24" s="701"/>
    </row>
    <row r="25" spans="4:20" ht="15" thickBot="1" x14ac:dyDescent="0.35">
      <c r="D25" s="655"/>
      <c r="E25" s="656"/>
      <c r="F25" s="715"/>
      <c r="G25" s="718"/>
      <c r="H25" s="719"/>
      <c r="I25" s="721"/>
      <c r="J25" s="676"/>
    </row>
    <row r="26" spans="4:20" ht="21" x14ac:dyDescent="0.3">
      <c r="D26" s="521"/>
      <c r="E26" s="521"/>
      <c r="F26" s="521"/>
      <c r="G26" s="522"/>
      <c r="H26" s="522"/>
      <c r="I26" s="519"/>
      <c r="J26" s="519"/>
    </row>
    <row r="27" spans="4:20" ht="21.6" thickBot="1" x14ac:dyDescent="0.35">
      <c r="D27" s="521"/>
      <c r="E27" s="521"/>
      <c r="F27" s="521"/>
      <c r="G27" s="522"/>
      <c r="H27" s="522"/>
      <c r="I27" s="519"/>
      <c r="J27" s="519"/>
    </row>
    <row r="28" spans="4:20" x14ac:dyDescent="0.3">
      <c r="D28" s="704" t="s">
        <v>269</v>
      </c>
      <c r="E28" s="705"/>
      <c r="F28" s="705"/>
      <c r="G28" s="705"/>
      <c r="H28" s="705"/>
      <c r="I28" s="705"/>
      <c r="J28" s="706"/>
      <c r="L28" s="704" t="s">
        <v>270</v>
      </c>
      <c r="M28" s="705"/>
      <c r="N28" s="705"/>
      <c r="O28" s="705"/>
      <c r="P28" s="705"/>
      <c r="Q28" s="705"/>
      <c r="R28" s="706"/>
    </row>
    <row r="29" spans="4:20" ht="15.75" customHeight="1" thickBot="1" x14ac:dyDescent="0.35">
      <c r="D29" s="722"/>
      <c r="E29" s="723"/>
      <c r="F29" s="723"/>
      <c r="G29" s="723"/>
      <c r="H29" s="723"/>
      <c r="I29" s="723"/>
      <c r="J29" s="724"/>
      <c r="L29" s="722"/>
      <c r="M29" s="723"/>
      <c r="N29" s="723"/>
      <c r="O29" s="723"/>
      <c r="P29" s="723"/>
      <c r="Q29" s="723"/>
      <c r="R29" s="724"/>
    </row>
    <row r="30" spans="4:20" x14ac:dyDescent="0.3">
      <c r="D30" s="725" t="s">
        <v>268</v>
      </c>
      <c r="E30" s="726"/>
      <c r="F30" s="726"/>
      <c r="G30" s="727">
        <v>1</v>
      </c>
      <c r="H30" s="727"/>
      <c r="I30" s="713" t="s">
        <v>258</v>
      </c>
      <c r="J30" s="714"/>
      <c r="L30" s="725" t="s">
        <v>262</v>
      </c>
      <c r="M30" s="726"/>
      <c r="N30" s="726"/>
      <c r="O30" s="727">
        <v>2</v>
      </c>
      <c r="P30" s="727"/>
      <c r="Q30" s="713" t="s">
        <v>258</v>
      </c>
      <c r="R30" s="714"/>
    </row>
    <row r="31" spans="4:20" x14ac:dyDescent="0.3">
      <c r="D31" s="652"/>
      <c r="E31" s="653"/>
      <c r="F31" s="653"/>
      <c r="G31" s="703"/>
      <c r="H31" s="703"/>
      <c r="I31" s="700"/>
      <c r="J31" s="701"/>
      <c r="L31" s="652"/>
      <c r="M31" s="653"/>
      <c r="N31" s="653"/>
      <c r="O31" s="703"/>
      <c r="P31" s="703"/>
      <c r="Q31" s="700"/>
      <c r="R31" s="701"/>
    </row>
    <row r="32" spans="4:20" x14ac:dyDescent="0.3">
      <c r="D32" s="652" t="s">
        <v>271</v>
      </c>
      <c r="E32" s="653"/>
      <c r="F32" s="653"/>
      <c r="G32" s="703">
        <v>5</v>
      </c>
      <c r="H32" s="703"/>
      <c r="I32" s="700" t="s">
        <v>272</v>
      </c>
      <c r="J32" s="701"/>
      <c r="L32" s="652" t="s">
        <v>271</v>
      </c>
      <c r="M32" s="653"/>
      <c r="N32" s="653"/>
      <c r="O32" s="703">
        <v>5</v>
      </c>
      <c r="P32" s="703"/>
      <c r="Q32" s="700" t="s">
        <v>272</v>
      </c>
      <c r="R32" s="701"/>
    </row>
    <row r="33" spans="4:18" ht="15" thickBot="1" x14ac:dyDescent="0.35">
      <c r="D33" s="652"/>
      <c r="E33" s="653"/>
      <c r="F33" s="653"/>
      <c r="G33" s="712"/>
      <c r="H33" s="712"/>
      <c r="I33" s="700"/>
      <c r="J33" s="701"/>
      <c r="L33" s="652"/>
      <c r="M33" s="653"/>
      <c r="N33" s="653"/>
      <c r="O33" s="712"/>
      <c r="P33" s="712"/>
      <c r="Q33" s="700"/>
      <c r="R33" s="701"/>
    </row>
    <row r="34" spans="4:18" x14ac:dyDescent="0.3">
      <c r="D34" s="652" t="s">
        <v>264</v>
      </c>
      <c r="E34" s="653"/>
      <c r="F34" s="702"/>
      <c r="G34" s="716">
        <f>(509*(G32/G30))/100</f>
        <v>25.45</v>
      </c>
      <c r="H34" s="717"/>
      <c r="I34" s="720" t="s">
        <v>265</v>
      </c>
      <c r="J34" s="701"/>
      <c r="L34" s="652" t="s">
        <v>264</v>
      </c>
      <c r="M34" s="653"/>
      <c r="N34" s="702"/>
      <c r="O34" s="716">
        <f>(254*(O32/O30))/100</f>
        <v>6.35</v>
      </c>
      <c r="P34" s="717"/>
      <c r="Q34" s="720" t="s">
        <v>265</v>
      </c>
      <c r="R34" s="701"/>
    </row>
    <row r="35" spans="4:18" ht="15" thickBot="1" x14ac:dyDescent="0.35">
      <c r="D35" s="655"/>
      <c r="E35" s="656"/>
      <c r="F35" s="715"/>
      <c r="G35" s="718"/>
      <c r="H35" s="719"/>
      <c r="I35" s="721"/>
      <c r="J35" s="676"/>
      <c r="L35" s="655"/>
      <c r="M35" s="656"/>
      <c r="N35" s="715"/>
      <c r="O35" s="718"/>
      <c r="P35" s="719"/>
      <c r="Q35" s="721"/>
      <c r="R35" s="676"/>
    </row>
    <row r="36" spans="4:18" ht="21" x14ac:dyDescent="0.3">
      <c r="D36" s="521"/>
      <c r="E36" s="521"/>
      <c r="F36" s="521"/>
      <c r="G36" s="522"/>
      <c r="H36" s="522"/>
      <c r="I36" s="519"/>
      <c r="J36" s="519"/>
      <c r="L36" s="521"/>
      <c r="M36" s="521"/>
      <c r="N36" s="521"/>
      <c r="O36" s="522"/>
      <c r="P36" s="522"/>
      <c r="Q36" s="519"/>
      <c r="R36" s="519"/>
    </row>
    <row r="37" spans="4:18" ht="21.6" thickBot="1" x14ac:dyDescent="0.35">
      <c r="D37" s="521"/>
      <c r="E37" s="521"/>
      <c r="F37" s="521"/>
      <c r="G37" s="522"/>
      <c r="H37" s="522"/>
      <c r="I37" s="519"/>
      <c r="J37" s="519"/>
      <c r="L37" s="521"/>
      <c r="M37" s="521"/>
      <c r="N37" s="521"/>
      <c r="O37" s="522"/>
      <c r="P37" s="522"/>
      <c r="Q37" s="519"/>
      <c r="R37" s="519"/>
    </row>
    <row r="38" spans="4:18" ht="15.75" customHeight="1" x14ac:dyDescent="0.3">
      <c r="D38" s="704" t="s">
        <v>273</v>
      </c>
      <c r="E38" s="705"/>
      <c r="F38" s="705"/>
      <c r="G38" s="705"/>
      <c r="H38" s="705"/>
      <c r="I38" s="705"/>
      <c r="J38" s="706"/>
      <c r="L38" s="704" t="s">
        <v>274</v>
      </c>
      <c r="M38" s="705"/>
      <c r="N38" s="705"/>
      <c r="O38" s="705"/>
      <c r="P38" s="705"/>
      <c r="Q38" s="705"/>
      <c r="R38" s="706"/>
    </row>
    <row r="39" spans="4:18" ht="15.75" customHeight="1" thickBot="1" x14ac:dyDescent="0.35">
      <c r="D39" s="722"/>
      <c r="E39" s="723"/>
      <c r="F39" s="723"/>
      <c r="G39" s="723"/>
      <c r="H39" s="723"/>
      <c r="I39" s="723"/>
      <c r="J39" s="724"/>
      <c r="L39" s="722"/>
      <c r="M39" s="723"/>
      <c r="N39" s="723"/>
      <c r="O39" s="723"/>
      <c r="P39" s="723"/>
      <c r="Q39" s="723"/>
      <c r="R39" s="724"/>
    </row>
    <row r="40" spans="4:18" ht="15.75" customHeight="1" x14ac:dyDescent="0.3">
      <c r="D40" s="725" t="s">
        <v>268</v>
      </c>
      <c r="E40" s="726"/>
      <c r="F40" s="726"/>
      <c r="G40" s="727">
        <v>1</v>
      </c>
      <c r="H40" s="727"/>
      <c r="I40" s="713" t="s">
        <v>258</v>
      </c>
      <c r="J40" s="714"/>
      <c r="L40" s="725" t="s">
        <v>268</v>
      </c>
      <c r="M40" s="726"/>
      <c r="N40" s="726"/>
      <c r="O40" s="727">
        <v>4</v>
      </c>
      <c r="P40" s="727"/>
      <c r="Q40" s="713" t="s">
        <v>258</v>
      </c>
      <c r="R40" s="714"/>
    </row>
    <row r="41" spans="4:18" ht="15.75" customHeight="1" thickBot="1" x14ac:dyDescent="0.35">
      <c r="D41" s="652"/>
      <c r="E41" s="653"/>
      <c r="F41" s="653"/>
      <c r="G41" s="703"/>
      <c r="H41" s="703"/>
      <c r="I41" s="700"/>
      <c r="J41" s="701"/>
      <c r="L41" s="652"/>
      <c r="M41" s="653"/>
      <c r="N41" s="653"/>
      <c r="O41" s="712"/>
      <c r="P41" s="712"/>
      <c r="Q41" s="700"/>
      <c r="R41" s="701"/>
    </row>
    <row r="42" spans="4:18" ht="15.75" customHeight="1" x14ac:dyDescent="0.3">
      <c r="D42" s="652" t="s">
        <v>263</v>
      </c>
      <c r="E42" s="653"/>
      <c r="F42" s="653"/>
      <c r="G42" s="703">
        <v>5</v>
      </c>
      <c r="H42" s="703"/>
      <c r="I42" s="700" t="s">
        <v>258</v>
      </c>
      <c r="J42" s="701"/>
      <c r="L42" s="652" t="s">
        <v>264</v>
      </c>
      <c r="M42" s="653"/>
      <c r="N42" s="702"/>
      <c r="O42" s="716">
        <f>((4*3.14*((O40/2)^2)))/100</f>
        <v>0.50240000000000007</v>
      </c>
      <c r="P42" s="717"/>
      <c r="Q42" s="720" t="s">
        <v>265</v>
      </c>
      <c r="R42" s="701"/>
    </row>
    <row r="43" spans="4:18" ht="15.75" customHeight="1" thickBot="1" x14ac:dyDescent="0.35">
      <c r="D43" s="652"/>
      <c r="E43" s="653"/>
      <c r="F43" s="653"/>
      <c r="G43" s="712"/>
      <c r="H43" s="712"/>
      <c r="I43" s="700"/>
      <c r="J43" s="701"/>
      <c r="L43" s="655"/>
      <c r="M43" s="656"/>
      <c r="N43" s="715"/>
      <c r="O43" s="718"/>
      <c r="P43" s="719"/>
      <c r="Q43" s="721"/>
      <c r="R43" s="676"/>
    </row>
    <row r="44" spans="4:18" ht="15.75" customHeight="1" x14ac:dyDescent="0.3">
      <c r="D44" s="652" t="s">
        <v>264</v>
      </c>
      <c r="E44" s="653"/>
      <c r="F44" s="702"/>
      <c r="G44" s="716">
        <f>(1.57*G40*((G40*G40)/4)*(G42*G42))/100</f>
        <v>9.8125000000000004E-2</v>
      </c>
      <c r="H44" s="717"/>
      <c r="I44" s="720" t="s">
        <v>265</v>
      </c>
      <c r="J44" s="701"/>
      <c r="L44" s="521"/>
      <c r="M44" s="521"/>
      <c r="N44" s="521"/>
      <c r="O44" s="522"/>
      <c r="P44" s="522"/>
      <c r="Q44" s="519"/>
      <c r="R44" s="519"/>
    </row>
    <row r="45" spans="4:18" ht="15.75" customHeight="1" thickBot="1" x14ac:dyDescent="0.35">
      <c r="D45" s="655"/>
      <c r="E45" s="656"/>
      <c r="F45" s="715"/>
      <c r="G45" s="718"/>
      <c r="H45" s="719"/>
      <c r="I45" s="721"/>
      <c r="J45" s="676"/>
      <c r="L45" s="521"/>
      <c r="M45" s="521"/>
      <c r="N45" s="521"/>
      <c r="O45" s="522"/>
      <c r="P45" s="522"/>
      <c r="Q45" s="519"/>
      <c r="R45" s="519"/>
    </row>
    <row r="46" spans="4:18" ht="21" x14ac:dyDescent="0.3">
      <c r="D46" s="521"/>
      <c r="E46" s="521"/>
      <c r="F46" s="521"/>
      <c r="G46" s="522"/>
      <c r="H46" s="522"/>
      <c r="I46" s="519"/>
      <c r="J46" s="519"/>
      <c r="L46" s="521"/>
      <c r="M46" s="521"/>
      <c r="N46" s="521"/>
      <c r="O46" s="522"/>
      <c r="P46" s="522"/>
      <c r="Q46" s="519"/>
      <c r="R46" s="519"/>
    </row>
    <row r="47" spans="4:18" ht="21.6" thickBot="1" x14ac:dyDescent="0.35">
      <c r="D47" s="521"/>
      <c r="E47" s="521"/>
      <c r="F47" s="521"/>
      <c r="G47" s="522"/>
      <c r="H47" s="522"/>
      <c r="I47" s="519"/>
      <c r="J47" s="519"/>
      <c r="L47" s="521"/>
      <c r="M47" s="521"/>
      <c r="N47" s="521"/>
      <c r="O47" s="522"/>
      <c r="P47" s="522"/>
      <c r="Q47" s="519"/>
      <c r="R47" s="519"/>
    </row>
    <row r="48" spans="4:18" ht="15.75" customHeight="1" x14ac:dyDescent="0.3">
      <c r="D48" s="704" t="s">
        <v>275</v>
      </c>
      <c r="E48" s="705"/>
      <c r="F48" s="705"/>
      <c r="G48" s="705"/>
      <c r="H48" s="705"/>
      <c r="I48" s="705"/>
      <c r="J48" s="706"/>
      <c r="L48" s="704" t="s">
        <v>276</v>
      </c>
      <c r="M48" s="705"/>
      <c r="N48" s="705"/>
      <c r="O48" s="705"/>
      <c r="P48" s="705"/>
      <c r="Q48" s="705"/>
      <c r="R48" s="706"/>
    </row>
    <row r="49" spans="4:18" ht="15.75" customHeight="1" thickBot="1" x14ac:dyDescent="0.35">
      <c r="D49" s="722"/>
      <c r="E49" s="723"/>
      <c r="F49" s="723"/>
      <c r="G49" s="723"/>
      <c r="H49" s="723"/>
      <c r="I49" s="723"/>
      <c r="J49" s="724"/>
      <c r="L49" s="722"/>
      <c r="M49" s="723"/>
      <c r="N49" s="723"/>
      <c r="O49" s="723"/>
      <c r="P49" s="723"/>
      <c r="Q49" s="723"/>
      <c r="R49" s="724"/>
    </row>
    <row r="50" spans="4:18" ht="15.75" customHeight="1" x14ac:dyDescent="0.3">
      <c r="D50" s="725" t="s">
        <v>260</v>
      </c>
      <c r="E50" s="726"/>
      <c r="F50" s="726"/>
      <c r="G50" s="727">
        <v>4</v>
      </c>
      <c r="H50" s="727"/>
      <c r="I50" s="713" t="s">
        <v>258</v>
      </c>
      <c r="J50" s="714"/>
      <c r="L50" s="725" t="s">
        <v>268</v>
      </c>
      <c r="M50" s="726"/>
      <c r="N50" s="726"/>
      <c r="O50" s="727">
        <v>4</v>
      </c>
      <c r="P50" s="727"/>
      <c r="Q50" s="713" t="s">
        <v>258</v>
      </c>
      <c r="R50" s="714"/>
    </row>
    <row r="51" spans="4:18" ht="15.75" customHeight="1" thickBot="1" x14ac:dyDescent="0.35">
      <c r="D51" s="652"/>
      <c r="E51" s="653"/>
      <c r="F51" s="653"/>
      <c r="G51" s="712"/>
      <c r="H51" s="712"/>
      <c r="I51" s="700"/>
      <c r="J51" s="701"/>
      <c r="L51" s="652"/>
      <c r="M51" s="653"/>
      <c r="N51" s="653"/>
      <c r="O51" s="712"/>
      <c r="P51" s="712"/>
      <c r="Q51" s="700"/>
      <c r="R51" s="701"/>
    </row>
    <row r="52" spans="4:18" ht="15.75" customHeight="1" x14ac:dyDescent="0.3">
      <c r="D52" s="652" t="s">
        <v>264</v>
      </c>
      <c r="E52" s="653"/>
      <c r="F52" s="702"/>
      <c r="G52" s="716">
        <f>(0.866*G50*G50)/100</f>
        <v>0.13855999999999999</v>
      </c>
      <c r="H52" s="717"/>
      <c r="I52" s="720" t="s">
        <v>265</v>
      </c>
      <c r="J52" s="701"/>
      <c r="L52" s="652" t="s">
        <v>264</v>
      </c>
      <c r="M52" s="653"/>
      <c r="N52" s="702"/>
      <c r="O52" s="716">
        <f>(1.57*O50*O50)/100</f>
        <v>0.25120000000000003</v>
      </c>
      <c r="P52" s="717"/>
      <c r="Q52" s="720" t="s">
        <v>265</v>
      </c>
      <c r="R52" s="701"/>
    </row>
    <row r="53" spans="4:18" ht="15.75" customHeight="1" thickBot="1" x14ac:dyDescent="0.35">
      <c r="D53" s="655"/>
      <c r="E53" s="656"/>
      <c r="F53" s="715"/>
      <c r="G53" s="718"/>
      <c r="H53" s="719"/>
      <c r="I53" s="721"/>
      <c r="J53" s="676"/>
      <c r="L53" s="655"/>
      <c r="M53" s="656"/>
      <c r="N53" s="715"/>
      <c r="O53" s="718"/>
      <c r="P53" s="719"/>
      <c r="Q53" s="721"/>
      <c r="R53" s="676"/>
    </row>
    <row r="54" spans="4:18" ht="21" x14ac:dyDescent="0.3">
      <c r="D54" s="521"/>
      <c r="E54" s="521"/>
      <c r="F54" s="521"/>
      <c r="G54" s="522"/>
      <c r="H54" s="522"/>
      <c r="I54" s="519"/>
      <c r="J54" s="519"/>
      <c r="L54" s="521"/>
      <c r="M54" s="521"/>
      <c r="N54" s="521"/>
      <c r="O54" s="522"/>
      <c r="P54" s="522"/>
      <c r="Q54" s="519"/>
      <c r="R54" s="519"/>
    </row>
    <row r="55" spans="4:18" ht="21.6" thickBot="1" x14ac:dyDescent="0.35">
      <c r="D55" s="521"/>
      <c r="E55" s="521"/>
      <c r="F55" s="521"/>
      <c r="G55" s="522"/>
      <c r="H55" s="522"/>
      <c r="I55" s="519"/>
      <c r="J55" s="519"/>
      <c r="L55" s="521"/>
      <c r="M55" s="521"/>
      <c r="N55" s="521"/>
      <c r="O55" s="522"/>
      <c r="P55" s="522"/>
      <c r="Q55" s="519"/>
      <c r="R55" s="519"/>
    </row>
    <row r="56" spans="4:18" ht="15.75" customHeight="1" x14ac:dyDescent="0.3">
      <c r="D56" s="704" t="s">
        <v>277</v>
      </c>
      <c r="E56" s="705"/>
      <c r="F56" s="705"/>
      <c r="G56" s="705"/>
      <c r="H56" s="705"/>
      <c r="I56" s="705"/>
      <c r="J56" s="706"/>
      <c r="L56" s="704" t="s">
        <v>278</v>
      </c>
      <c r="M56" s="705"/>
      <c r="N56" s="705"/>
      <c r="O56" s="705"/>
      <c r="P56" s="705"/>
      <c r="Q56" s="705"/>
      <c r="R56" s="706"/>
    </row>
    <row r="57" spans="4:18" ht="15.75" customHeight="1" thickBot="1" x14ac:dyDescent="0.35">
      <c r="D57" s="707"/>
      <c r="E57" s="708"/>
      <c r="F57" s="708"/>
      <c r="G57" s="708"/>
      <c r="H57" s="708"/>
      <c r="I57" s="708"/>
      <c r="J57" s="709"/>
      <c r="L57" s="707"/>
      <c r="M57" s="708"/>
      <c r="N57" s="708"/>
      <c r="O57" s="708"/>
      <c r="P57" s="708"/>
      <c r="Q57" s="708"/>
      <c r="R57" s="709"/>
    </row>
    <row r="58" spans="4:18" ht="15.75" customHeight="1" x14ac:dyDescent="0.3">
      <c r="D58" s="666" t="s">
        <v>279</v>
      </c>
      <c r="E58" s="667"/>
      <c r="F58" s="710"/>
      <c r="G58" s="711">
        <v>10</v>
      </c>
      <c r="H58" s="711"/>
      <c r="I58" s="699" t="s">
        <v>258</v>
      </c>
      <c r="J58" s="674"/>
      <c r="L58" s="666" t="s">
        <v>280</v>
      </c>
      <c r="M58" s="667"/>
      <c r="N58" s="710"/>
      <c r="O58" s="711">
        <v>10</v>
      </c>
      <c r="P58" s="711"/>
      <c r="Q58" s="699" t="s">
        <v>258</v>
      </c>
      <c r="R58" s="674"/>
    </row>
    <row r="59" spans="4:18" ht="15.75" customHeight="1" x14ac:dyDescent="0.3">
      <c r="D59" s="652"/>
      <c r="E59" s="653"/>
      <c r="F59" s="702"/>
      <c r="G59" s="703"/>
      <c r="H59" s="703"/>
      <c r="I59" s="700"/>
      <c r="J59" s="701"/>
      <c r="L59" s="652"/>
      <c r="M59" s="653"/>
      <c r="N59" s="702"/>
      <c r="O59" s="703"/>
      <c r="P59" s="703"/>
      <c r="Q59" s="700"/>
      <c r="R59" s="701"/>
    </row>
    <row r="60" spans="4:18" ht="15.75" customHeight="1" x14ac:dyDescent="0.3">
      <c r="D60" s="652" t="s">
        <v>281</v>
      </c>
      <c r="E60" s="653"/>
      <c r="F60" s="702"/>
      <c r="G60" s="703">
        <v>1</v>
      </c>
      <c r="H60" s="703"/>
      <c r="I60" s="700" t="s">
        <v>258</v>
      </c>
      <c r="J60" s="701"/>
      <c r="L60" s="652" t="s">
        <v>282</v>
      </c>
      <c r="M60" s="653"/>
      <c r="N60" s="702"/>
      <c r="O60" s="703">
        <v>5</v>
      </c>
      <c r="P60" s="703"/>
      <c r="Q60" s="700" t="s">
        <v>258</v>
      </c>
      <c r="R60" s="701"/>
    </row>
    <row r="61" spans="4:18" ht="15.75" customHeight="1" x14ac:dyDescent="0.3">
      <c r="D61" s="652"/>
      <c r="E61" s="653"/>
      <c r="F61" s="702"/>
      <c r="G61" s="703"/>
      <c r="H61" s="703"/>
      <c r="I61" s="700"/>
      <c r="J61" s="701"/>
      <c r="L61" s="652"/>
      <c r="M61" s="653"/>
      <c r="N61" s="702"/>
      <c r="O61" s="703"/>
      <c r="P61" s="703"/>
      <c r="Q61" s="700"/>
      <c r="R61" s="701"/>
    </row>
    <row r="62" spans="4:18" ht="15.75" customHeight="1" x14ac:dyDescent="0.3">
      <c r="D62" s="677" t="s">
        <v>283</v>
      </c>
      <c r="E62" s="678"/>
      <c r="F62" s="679"/>
      <c r="G62" s="683">
        <v>4</v>
      </c>
      <c r="H62" s="684"/>
      <c r="I62" s="687" t="s">
        <v>258</v>
      </c>
      <c r="J62" s="688"/>
      <c r="L62" s="652" t="s">
        <v>284</v>
      </c>
      <c r="M62" s="653"/>
      <c r="N62" s="702"/>
      <c r="O62" s="703">
        <v>4</v>
      </c>
      <c r="P62" s="703"/>
      <c r="Q62" s="700" t="s">
        <v>258</v>
      </c>
      <c r="R62" s="701"/>
    </row>
    <row r="63" spans="4:18" ht="15.75" customHeight="1" thickBot="1" x14ac:dyDescent="0.35">
      <c r="D63" s="693"/>
      <c r="E63" s="694"/>
      <c r="F63" s="695"/>
      <c r="G63" s="696"/>
      <c r="H63" s="697"/>
      <c r="I63" s="698"/>
      <c r="J63" s="663"/>
      <c r="L63" s="652"/>
      <c r="M63" s="653"/>
      <c r="N63" s="702"/>
      <c r="O63" s="712"/>
      <c r="P63" s="712"/>
      <c r="Q63" s="700"/>
      <c r="R63" s="701"/>
    </row>
    <row r="64" spans="4:18" ht="15.75" customHeight="1" x14ac:dyDescent="0.3">
      <c r="D64" s="677" t="s">
        <v>246</v>
      </c>
      <c r="E64" s="678"/>
      <c r="F64" s="679"/>
      <c r="G64" s="683">
        <v>1.5</v>
      </c>
      <c r="H64" s="684"/>
      <c r="I64" s="687" t="s">
        <v>258</v>
      </c>
      <c r="J64" s="688"/>
      <c r="L64" s="652" t="s">
        <v>264</v>
      </c>
      <c r="M64" s="653"/>
      <c r="N64" s="654"/>
      <c r="O64" s="658">
        <f>(O58*((5.56*O60)-(3.67*O62)))/100</f>
        <v>1.3119999999999998</v>
      </c>
      <c r="P64" s="659"/>
      <c r="Q64" s="662" t="s">
        <v>265</v>
      </c>
      <c r="R64" s="663"/>
    </row>
    <row r="65" spans="4:18" ht="15.75" customHeight="1" thickBot="1" x14ac:dyDescent="0.35">
      <c r="D65" s="680"/>
      <c r="E65" s="681"/>
      <c r="F65" s="682"/>
      <c r="G65" s="685"/>
      <c r="H65" s="686"/>
      <c r="I65" s="689"/>
      <c r="J65" s="690"/>
      <c r="L65" s="655"/>
      <c r="M65" s="656"/>
      <c r="N65" s="657"/>
      <c r="O65" s="660"/>
      <c r="P65" s="661"/>
      <c r="Q65" s="664"/>
      <c r="R65" s="665"/>
    </row>
    <row r="66" spans="4:18" ht="15.75" customHeight="1" x14ac:dyDescent="0.3">
      <c r="D66" s="652" t="s">
        <v>264</v>
      </c>
      <c r="E66" s="653"/>
      <c r="F66" s="654"/>
      <c r="G66" s="658">
        <f>((1.57*G58*G58)+(3.46*G64*G62)+(3.14*G60*G58))/100</f>
        <v>2.0916000000000001</v>
      </c>
      <c r="H66" s="659"/>
      <c r="I66" s="662" t="s">
        <v>265</v>
      </c>
      <c r="J66" s="663"/>
      <c r="L66" s="521"/>
      <c r="M66" s="521"/>
      <c r="N66" s="521"/>
      <c r="O66" s="522"/>
      <c r="P66" s="522"/>
      <c r="Q66" s="519"/>
      <c r="R66" s="519"/>
    </row>
    <row r="67" spans="4:18" ht="15.75" customHeight="1" thickBot="1" x14ac:dyDescent="0.35">
      <c r="D67" s="655"/>
      <c r="E67" s="656"/>
      <c r="F67" s="657"/>
      <c r="G67" s="660"/>
      <c r="H67" s="661"/>
      <c r="I67" s="664"/>
      <c r="J67" s="665"/>
      <c r="L67" s="521"/>
      <c r="M67" s="521"/>
      <c r="N67" s="521"/>
      <c r="O67" s="522"/>
      <c r="P67" s="522"/>
      <c r="Q67" s="519"/>
      <c r="R67" s="519"/>
    </row>
    <row r="68" spans="4:18" ht="21" x14ac:dyDescent="0.3">
      <c r="D68" s="521"/>
      <c r="E68" s="521"/>
      <c r="F68" s="521"/>
      <c r="G68" s="522"/>
      <c r="H68" s="522"/>
      <c r="I68" s="519"/>
      <c r="J68" s="519"/>
      <c r="L68" s="521"/>
      <c r="M68" s="521"/>
      <c r="N68" s="521"/>
      <c r="O68" s="522"/>
      <c r="P68" s="522"/>
      <c r="Q68" s="519"/>
      <c r="R68" s="519"/>
    </row>
    <row r="69" spans="4:18" ht="21.6" thickBot="1" x14ac:dyDescent="0.35">
      <c r="D69" s="521"/>
      <c r="E69" s="521"/>
      <c r="F69" s="521"/>
      <c r="G69" s="522"/>
      <c r="H69" s="522"/>
      <c r="I69" s="519"/>
      <c r="J69" s="519"/>
      <c r="L69" s="521"/>
      <c r="M69" s="521"/>
      <c r="N69" s="521"/>
      <c r="O69" s="522"/>
      <c r="P69" s="522"/>
      <c r="Q69" s="519"/>
      <c r="R69" s="519"/>
    </row>
    <row r="70" spans="4:18" ht="15.75" customHeight="1" x14ac:dyDescent="0.3">
      <c r="D70" s="704" t="s">
        <v>285</v>
      </c>
      <c r="E70" s="705"/>
      <c r="F70" s="705"/>
      <c r="G70" s="705"/>
      <c r="H70" s="705"/>
      <c r="I70" s="705"/>
      <c r="J70" s="706"/>
      <c r="L70" s="704" t="s">
        <v>286</v>
      </c>
      <c r="M70" s="705"/>
      <c r="N70" s="705"/>
      <c r="O70" s="705"/>
      <c r="P70" s="705"/>
      <c r="Q70" s="705"/>
      <c r="R70" s="706"/>
    </row>
    <row r="71" spans="4:18" ht="15.75" customHeight="1" thickBot="1" x14ac:dyDescent="0.35">
      <c r="D71" s="707"/>
      <c r="E71" s="708"/>
      <c r="F71" s="708"/>
      <c r="G71" s="708"/>
      <c r="H71" s="708"/>
      <c r="I71" s="708"/>
      <c r="J71" s="709"/>
      <c r="L71" s="707"/>
      <c r="M71" s="708"/>
      <c r="N71" s="708"/>
      <c r="O71" s="708"/>
      <c r="P71" s="708"/>
      <c r="Q71" s="708"/>
      <c r="R71" s="709"/>
    </row>
    <row r="72" spans="4:18" ht="15.75" customHeight="1" x14ac:dyDescent="0.3">
      <c r="D72" s="666" t="s">
        <v>287</v>
      </c>
      <c r="E72" s="667"/>
      <c r="F72" s="710"/>
      <c r="G72" s="711">
        <v>1</v>
      </c>
      <c r="H72" s="711"/>
      <c r="I72" s="699" t="s">
        <v>258</v>
      </c>
      <c r="J72" s="674"/>
      <c r="L72" s="666" t="s">
        <v>246</v>
      </c>
      <c r="M72" s="667"/>
      <c r="N72" s="710"/>
      <c r="O72" s="711">
        <v>0.9</v>
      </c>
      <c r="P72" s="711"/>
      <c r="Q72" s="699" t="s">
        <v>258</v>
      </c>
      <c r="R72" s="674"/>
    </row>
    <row r="73" spans="4:18" ht="15.75" customHeight="1" x14ac:dyDescent="0.3">
      <c r="D73" s="652"/>
      <c r="E73" s="653"/>
      <c r="F73" s="702"/>
      <c r="G73" s="703"/>
      <c r="H73" s="703"/>
      <c r="I73" s="700"/>
      <c r="J73" s="701"/>
      <c r="L73" s="652"/>
      <c r="M73" s="653"/>
      <c r="N73" s="702"/>
      <c r="O73" s="703"/>
      <c r="P73" s="703"/>
      <c r="Q73" s="700"/>
      <c r="R73" s="701"/>
    </row>
    <row r="74" spans="4:18" ht="15.75" customHeight="1" x14ac:dyDescent="0.3">
      <c r="D74" s="652" t="s">
        <v>246</v>
      </c>
      <c r="E74" s="653"/>
      <c r="F74" s="702"/>
      <c r="G74" s="703">
        <v>1</v>
      </c>
      <c r="H74" s="703"/>
      <c r="I74" s="700" t="s">
        <v>258</v>
      </c>
      <c r="J74" s="701"/>
      <c r="L74" s="652" t="s">
        <v>283</v>
      </c>
      <c r="M74" s="653"/>
      <c r="N74" s="702"/>
      <c r="O74" s="703">
        <v>0.6</v>
      </c>
      <c r="P74" s="703"/>
      <c r="Q74" s="700" t="s">
        <v>258</v>
      </c>
      <c r="R74" s="701"/>
    </row>
    <row r="75" spans="4:18" ht="15.75" customHeight="1" x14ac:dyDescent="0.3">
      <c r="D75" s="652"/>
      <c r="E75" s="653"/>
      <c r="F75" s="702"/>
      <c r="G75" s="703"/>
      <c r="H75" s="703"/>
      <c r="I75" s="700"/>
      <c r="J75" s="701"/>
      <c r="L75" s="652"/>
      <c r="M75" s="653"/>
      <c r="N75" s="702"/>
      <c r="O75" s="703"/>
      <c r="P75" s="703"/>
      <c r="Q75" s="700"/>
      <c r="R75" s="701"/>
    </row>
    <row r="76" spans="4:18" ht="15.75" customHeight="1" x14ac:dyDescent="0.3">
      <c r="D76" s="677" t="s">
        <v>288</v>
      </c>
      <c r="E76" s="678"/>
      <c r="F76" s="679"/>
      <c r="G76" s="683">
        <v>1</v>
      </c>
      <c r="H76" s="684"/>
      <c r="I76" s="687" t="s">
        <v>258</v>
      </c>
      <c r="J76" s="688"/>
      <c r="L76" s="677" t="s">
        <v>279</v>
      </c>
      <c r="M76" s="678"/>
      <c r="N76" s="679"/>
      <c r="O76" s="683">
        <v>1</v>
      </c>
      <c r="P76" s="684"/>
      <c r="Q76" s="687" t="s">
        <v>258</v>
      </c>
      <c r="R76" s="688"/>
    </row>
    <row r="77" spans="4:18" ht="15.75" customHeight="1" x14ac:dyDescent="0.3">
      <c r="D77" s="693"/>
      <c r="E77" s="694"/>
      <c r="F77" s="695"/>
      <c r="G77" s="696"/>
      <c r="H77" s="697"/>
      <c r="I77" s="698"/>
      <c r="J77" s="663"/>
      <c r="L77" s="693"/>
      <c r="M77" s="694"/>
      <c r="N77" s="695"/>
      <c r="O77" s="696"/>
      <c r="P77" s="697"/>
      <c r="Q77" s="698"/>
      <c r="R77" s="663"/>
    </row>
    <row r="78" spans="4:18" ht="15.75" customHeight="1" x14ac:dyDescent="0.3">
      <c r="D78" s="677" t="s">
        <v>289</v>
      </c>
      <c r="E78" s="678"/>
      <c r="F78" s="679"/>
      <c r="G78" s="683">
        <v>1</v>
      </c>
      <c r="H78" s="684"/>
      <c r="I78" s="687" t="s">
        <v>258</v>
      </c>
      <c r="J78" s="688"/>
      <c r="L78" s="677" t="s">
        <v>284</v>
      </c>
      <c r="M78" s="678"/>
      <c r="N78" s="679"/>
      <c r="O78" s="683">
        <v>0.05</v>
      </c>
      <c r="P78" s="684"/>
      <c r="Q78" s="687" t="s">
        <v>258</v>
      </c>
      <c r="R78" s="688"/>
    </row>
    <row r="79" spans="4:18" ht="15.75" customHeight="1" thickBot="1" x14ac:dyDescent="0.35">
      <c r="D79" s="680"/>
      <c r="E79" s="681"/>
      <c r="F79" s="682"/>
      <c r="G79" s="691"/>
      <c r="H79" s="692"/>
      <c r="I79" s="689"/>
      <c r="J79" s="690"/>
      <c r="L79" s="680"/>
      <c r="M79" s="681"/>
      <c r="N79" s="682"/>
      <c r="O79" s="685"/>
      <c r="P79" s="686"/>
      <c r="Q79" s="689"/>
      <c r="R79" s="690"/>
    </row>
    <row r="80" spans="4:18" ht="15.75" customHeight="1" x14ac:dyDescent="0.3">
      <c r="D80" s="677" t="s">
        <v>284</v>
      </c>
      <c r="E80" s="678"/>
      <c r="F80" s="679"/>
      <c r="G80" s="683">
        <v>0.05</v>
      </c>
      <c r="H80" s="684"/>
      <c r="I80" s="687" t="s">
        <v>258</v>
      </c>
      <c r="J80" s="688"/>
      <c r="L80" s="652" t="s">
        <v>264</v>
      </c>
      <c r="M80" s="653"/>
      <c r="N80" s="654"/>
      <c r="O80" s="658">
        <f>(1.73*O72)*((O72+2)*O74)-(1.57*O76*O76)+O74*((5.56*O76)-(3.67*O78))/100</f>
        <v>1.1714389999999999</v>
      </c>
      <c r="P80" s="659"/>
      <c r="Q80" s="662" t="s">
        <v>265</v>
      </c>
      <c r="R80" s="663"/>
    </row>
    <row r="81" spans="4:18" ht="15.75" customHeight="1" thickBot="1" x14ac:dyDescent="0.35">
      <c r="D81" s="680"/>
      <c r="E81" s="681"/>
      <c r="F81" s="682"/>
      <c r="G81" s="685"/>
      <c r="H81" s="686"/>
      <c r="I81" s="689"/>
      <c r="J81" s="690"/>
      <c r="L81" s="655"/>
      <c r="M81" s="656"/>
      <c r="N81" s="657"/>
      <c r="O81" s="660"/>
      <c r="P81" s="661"/>
      <c r="Q81" s="664"/>
      <c r="R81" s="665"/>
    </row>
    <row r="82" spans="4:18" ht="15.75" customHeight="1" x14ac:dyDescent="0.3">
      <c r="D82" s="652" t="s">
        <v>264</v>
      </c>
      <c r="E82" s="653"/>
      <c r="F82" s="654"/>
      <c r="G82" s="658">
        <f>((2*G72*G74)+(2*G72*G76)+(2*G74*G76)+G76*((5.56*G78)-(3.67*G80))-(1.57*G78*G78))/100</f>
        <v>9.8064999999999999E-2</v>
      </c>
      <c r="H82" s="659"/>
      <c r="I82" s="662" t="s">
        <v>265</v>
      </c>
      <c r="J82" s="663"/>
      <c r="L82" s="521"/>
      <c r="M82" s="521"/>
      <c r="N82" s="521"/>
      <c r="O82" s="522"/>
      <c r="P82" s="522"/>
      <c r="Q82" s="519"/>
      <c r="R82" s="519"/>
    </row>
    <row r="83" spans="4:18" ht="15.75" customHeight="1" thickBot="1" x14ac:dyDescent="0.35">
      <c r="D83" s="655"/>
      <c r="E83" s="656"/>
      <c r="F83" s="657"/>
      <c r="G83" s="660"/>
      <c r="H83" s="661"/>
      <c r="I83" s="664"/>
      <c r="J83" s="665"/>
      <c r="L83" s="521"/>
      <c r="M83" s="521"/>
      <c r="N83" s="521"/>
      <c r="O83" s="522"/>
      <c r="P83" s="522"/>
      <c r="Q83" s="519"/>
      <c r="R83" s="519"/>
    </row>
    <row r="84" spans="4:18" ht="21" x14ac:dyDescent="0.3">
      <c r="D84" s="521"/>
      <c r="E84" s="521"/>
      <c r="F84" s="521"/>
      <c r="G84" s="522"/>
      <c r="H84" s="522"/>
      <c r="I84" s="519"/>
      <c r="J84" s="519"/>
      <c r="L84" s="521"/>
      <c r="M84" s="521"/>
      <c r="N84" s="521"/>
      <c r="O84" s="522"/>
      <c r="P84" s="522"/>
      <c r="Q84" s="519"/>
      <c r="R84" s="519"/>
    </row>
    <row r="85" spans="4:18" ht="21" x14ac:dyDescent="0.3">
      <c r="D85" s="521"/>
      <c r="E85" s="521"/>
      <c r="F85" s="521"/>
      <c r="G85" s="522"/>
      <c r="H85" s="522"/>
      <c r="I85" s="519"/>
      <c r="J85" s="519"/>
      <c r="L85" s="521"/>
      <c r="M85" s="521"/>
      <c r="N85" s="521"/>
      <c r="O85" s="522"/>
      <c r="P85" s="522"/>
      <c r="Q85" s="519"/>
      <c r="R85" s="519"/>
    </row>
    <row r="86" spans="4:18" ht="21" x14ac:dyDescent="0.3">
      <c r="D86" s="521"/>
      <c r="E86" s="521"/>
      <c r="F86" s="521"/>
      <c r="G86" s="522"/>
      <c r="H86" s="522"/>
      <c r="I86" s="519"/>
      <c r="J86" s="519"/>
      <c r="L86" s="521"/>
      <c r="M86" s="521"/>
      <c r="N86" s="521"/>
      <c r="O86" s="522"/>
      <c r="P86" s="522"/>
      <c r="Q86" s="519"/>
      <c r="R86" s="519"/>
    </row>
    <row r="87" spans="4:18" ht="21" x14ac:dyDescent="0.3">
      <c r="D87" s="521"/>
      <c r="E87" s="521"/>
      <c r="F87" s="521"/>
      <c r="G87" s="522"/>
      <c r="H87" s="522"/>
      <c r="I87" s="519"/>
      <c r="J87" s="519"/>
      <c r="L87" s="521"/>
      <c r="M87" s="521"/>
      <c r="N87" s="521"/>
      <c r="O87" s="522"/>
      <c r="P87" s="522"/>
      <c r="Q87" s="519"/>
      <c r="R87" s="519"/>
    </row>
    <row r="88" spans="4:18" ht="21" x14ac:dyDescent="0.3">
      <c r="D88" s="521"/>
      <c r="E88" s="521"/>
      <c r="F88" s="521"/>
      <c r="G88" s="522"/>
      <c r="H88" s="522"/>
      <c r="I88" s="519"/>
      <c r="J88" s="519"/>
      <c r="L88" s="521"/>
      <c r="M88" s="521"/>
      <c r="N88" s="521"/>
      <c r="O88" s="522"/>
      <c r="P88" s="522"/>
      <c r="Q88" s="519"/>
      <c r="R88" s="519"/>
    </row>
    <row r="89" spans="4:18" ht="21" x14ac:dyDescent="0.3">
      <c r="D89" s="521"/>
      <c r="E89" s="521"/>
      <c r="F89" s="521"/>
      <c r="G89" s="522"/>
      <c r="H89" s="522"/>
      <c r="I89" s="519"/>
      <c r="J89" s="519"/>
      <c r="L89" s="521"/>
      <c r="M89" s="521"/>
      <c r="N89" s="521"/>
      <c r="O89" s="522"/>
      <c r="P89" s="522"/>
      <c r="Q89" s="519"/>
      <c r="R89" s="519"/>
    </row>
    <row r="90" spans="4:18" ht="21" x14ac:dyDescent="0.3">
      <c r="D90" s="521"/>
      <c r="E90" s="521"/>
      <c r="F90" s="521"/>
      <c r="G90" s="522"/>
      <c r="H90" s="522"/>
      <c r="I90" s="519"/>
      <c r="J90" s="519"/>
      <c r="L90" s="521"/>
      <c r="M90" s="521"/>
      <c r="N90" s="521"/>
      <c r="O90" s="522"/>
      <c r="P90" s="522"/>
      <c r="Q90" s="519"/>
      <c r="R90" s="519"/>
    </row>
    <row r="91" spans="4:18" ht="21" x14ac:dyDescent="0.3">
      <c r="D91" s="521"/>
      <c r="E91" s="521"/>
      <c r="F91" s="521"/>
      <c r="G91" s="522"/>
      <c r="H91" s="522"/>
      <c r="I91" s="519"/>
      <c r="J91" s="519"/>
      <c r="L91" s="521"/>
      <c r="M91" s="521"/>
      <c r="N91" s="521"/>
      <c r="O91" s="522"/>
      <c r="P91" s="522"/>
      <c r="Q91" s="519"/>
      <c r="R91" s="519"/>
    </row>
    <row r="92" spans="4:18" ht="21" x14ac:dyDescent="0.3">
      <c r="D92" s="521"/>
      <c r="E92" s="521"/>
      <c r="F92" s="521"/>
      <c r="G92" s="522"/>
      <c r="H92" s="522"/>
      <c r="I92" s="519"/>
      <c r="J92" s="519"/>
      <c r="L92" s="521"/>
      <c r="M92" s="521"/>
      <c r="N92" s="521"/>
      <c r="O92" s="522"/>
      <c r="P92" s="522"/>
      <c r="Q92" s="519"/>
      <c r="R92" s="519"/>
    </row>
    <row r="93" spans="4:18" ht="21" x14ac:dyDescent="0.3">
      <c r="D93" s="521"/>
      <c r="E93" s="521"/>
      <c r="F93" s="521"/>
      <c r="G93" s="522"/>
      <c r="H93" s="522"/>
      <c r="I93" s="519"/>
      <c r="J93" s="519"/>
      <c r="L93" s="521"/>
      <c r="M93" s="521"/>
      <c r="N93" s="521"/>
      <c r="O93" s="522"/>
      <c r="P93" s="522"/>
      <c r="Q93" s="519"/>
      <c r="R93" s="519"/>
    </row>
    <row r="94" spans="4:18" ht="21" x14ac:dyDescent="0.3">
      <c r="D94" s="521"/>
      <c r="E94" s="521"/>
      <c r="F94" s="521"/>
      <c r="G94" s="522"/>
      <c r="H94" s="522"/>
      <c r="I94" s="519"/>
      <c r="J94" s="519"/>
      <c r="L94" s="521"/>
      <c r="M94" s="521"/>
      <c r="N94" s="521"/>
      <c r="O94" s="522"/>
      <c r="P94" s="522"/>
      <c r="Q94" s="519"/>
      <c r="R94" s="519"/>
    </row>
    <row r="95" spans="4:18" ht="21" x14ac:dyDescent="0.3">
      <c r="D95" s="521"/>
      <c r="E95" s="521"/>
      <c r="F95" s="521"/>
      <c r="G95" s="522"/>
      <c r="H95" s="522"/>
      <c r="I95" s="519"/>
      <c r="J95" s="519"/>
      <c r="L95" s="521"/>
      <c r="M95" s="521"/>
      <c r="N95" s="521"/>
      <c r="O95" s="522"/>
      <c r="P95" s="522"/>
      <c r="Q95" s="519"/>
      <c r="R95" s="519"/>
    </row>
    <row r="96" spans="4:18" ht="21" x14ac:dyDescent="0.3">
      <c r="D96" s="521"/>
      <c r="E96" s="521"/>
      <c r="F96" s="521"/>
      <c r="G96" s="522"/>
      <c r="H96" s="522"/>
      <c r="I96" s="519"/>
      <c r="J96" s="519"/>
      <c r="L96" s="521"/>
      <c r="M96" s="521"/>
      <c r="N96" s="521"/>
      <c r="O96" s="522"/>
      <c r="P96" s="522"/>
      <c r="Q96" s="519"/>
      <c r="R96" s="519"/>
    </row>
    <row r="97" spans="1:20" ht="21" x14ac:dyDescent="0.3">
      <c r="D97" s="521"/>
      <c r="E97" s="521"/>
      <c r="F97" s="521"/>
      <c r="G97" s="522"/>
      <c r="H97" s="522"/>
      <c r="I97" s="519"/>
      <c r="J97" s="519"/>
      <c r="L97" s="521"/>
      <c r="M97" s="521"/>
      <c r="N97" s="521"/>
      <c r="O97" s="522"/>
      <c r="P97" s="522"/>
      <c r="Q97" s="519"/>
      <c r="R97" s="519"/>
    </row>
    <row r="98" spans="1:20" ht="21" x14ac:dyDescent="0.3">
      <c r="D98" s="521"/>
      <c r="E98" s="521"/>
      <c r="F98" s="521"/>
      <c r="G98" s="522"/>
      <c r="H98" s="522"/>
      <c r="I98" s="519"/>
      <c r="J98" s="519"/>
      <c r="L98" s="521"/>
      <c r="M98" s="521"/>
      <c r="N98" s="521"/>
      <c r="O98" s="522"/>
      <c r="P98" s="522"/>
      <c r="Q98" s="519"/>
      <c r="R98" s="519"/>
    </row>
    <row r="99" spans="1:20" ht="21" x14ac:dyDescent="0.3">
      <c r="D99" s="521"/>
      <c r="E99" s="521"/>
      <c r="F99" s="521"/>
      <c r="G99" s="522"/>
      <c r="H99" s="522"/>
      <c r="I99" s="519"/>
      <c r="J99" s="519"/>
      <c r="L99" s="521"/>
      <c r="M99" s="521"/>
      <c r="N99" s="521"/>
      <c r="O99" s="522"/>
      <c r="P99" s="522"/>
      <c r="Q99" s="519"/>
      <c r="R99" s="519"/>
    </row>
    <row r="100" spans="1:20" ht="21" x14ac:dyDescent="0.3">
      <c r="D100" s="521"/>
      <c r="E100" s="521"/>
      <c r="F100" s="521"/>
      <c r="G100" s="522"/>
      <c r="H100" s="522"/>
      <c r="I100" s="519"/>
      <c r="J100" s="519"/>
      <c r="L100" s="521"/>
      <c r="M100" s="521"/>
      <c r="N100" s="521"/>
      <c r="O100" s="522"/>
      <c r="P100" s="522"/>
      <c r="Q100" s="519"/>
      <c r="R100" s="519"/>
    </row>
    <row r="101" spans="1:20" ht="21" x14ac:dyDescent="0.3">
      <c r="D101" s="521"/>
      <c r="E101" s="521"/>
      <c r="F101" s="521"/>
      <c r="G101" s="522"/>
      <c r="H101" s="522"/>
      <c r="I101" s="519"/>
      <c r="J101" s="519"/>
      <c r="L101" s="521"/>
      <c r="M101" s="521"/>
      <c r="N101" s="521"/>
      <c r="O101" s="522"/>
      <c r="P101" s="522"/>
      <c r="Q101" s="519"/>
      <c r="R101" s="519"/>
    </row>
    <row r="102" spans="1:20" ht="21" x14ac:dyDescent="0.3">
      <c r="D102" s="521"/>
      <c r="E102" s="521"/>
      <c r="F102" s="521"/>
      <c r="G102" s="522"/>
      <c r="H102" s="522"/>
      <c r="I102" s="519"/>
      <c r="J102" s="519"/>
      <c r="L102" s="521"/>
      <c r="M102" s="521"/>
      <c r="N102" s="521"/>
      <c r="O102" s="522"/>
      <c r="P102" s="522"/>
      <c r="Q102" s="519"/>
      <c r="R102" s="519"/>
    </row>
    <row r="103" spans="1:20" ht="21.6" thickBot="1" x14ac:dyDescent="0.35">
      <c r="D103" s="521"/>
      <c r="E103" s="521"/>
      <c r="F103" s="521"/>
      <c r="G103" s="522"/>
      <c r="H103" s="522"/>
      <c r="I103" s="519"/>
      <c r="J103" s="519"/>
      <c r="L103" s="521"/>
      <c r="M103" s="521"/>
      <c r="N103" s="521"/>
      <c r="O103" s="522"/>
      <c r="P103" s="522"/>
      <c r="Q103" s="519"/>
      <c r="R103" s="519"/>
    </row>
    <row r="104" spans="1:20" ht="15" thickBot="1" x14ac:dyDescent="0.35">
      <c r="D104" s="523"/>
      <c r="E104" s="523"/>
      <c r="F104" s="523"/>
      <c r="G104" s="523"/>
      <c r="H104" s="523"/>
      <c r="I104" s="523"/>
      <c r="J104" s="523"/>
    </row>
    <row r="105" spans="1:20" ht="15" thickBot="1" x14ac:dyDescent="0.35">
      <c r="A105" s="524"/>
      <c r="B105" s="525"/>
      <c r="C105" s="525"/>
      <c r="D105" s="525"/>
      <c r="E105" s="525"/>
      <c r="F105" s="525"/>
      <c r="G105" s="525"/>
      <c r="H105" s="525"/>
      <c r="I105" s="525"/>
      <c r="J105" s="525"/>
      <c r="K105" s="525"/>
      <c r="L105" s="525"/>
      <c r="M105" s="525"/>
      <c r="N105" s="525"/>
      <c r="O105" s="525"/>
      <c r="P105" s="525"/>
      <c r="Q105" s="525"/>
      <c r="R105" s="525"/>
      <c r="S105" s="525"/>
      <c r="T105" s="526"/>
    </row>
    <row r="106" spans="1:20" x14ac:dyDescent="0.3">
      <c r="D106" s="666" t="s">
        <v>264</v>
      </c>
      <c r="E106" s="667"/>
      <c r="F106" s="668"/>
      <c r="G106" s="669">
        <f>G14+O14+G24+O22</f>
        <v>2.4978604</v>
      </c>
      <c r="H106" s="670"/>
      <c r="I106" s="673" t="s">
        <v>265</v>
      </c>
      <c r="J106" s="674"/>
    </row>
    <row r="107" spans="1:20" ht="15" thickBot="1" x14ac:dyDescent="0.35">
      <c r="D107" s="655"/>
      <c r="E107" s="656"/>
      <c r="F107" s="657"/>
      <c r="G107" s="671"/>
      <c r="H107" s="672"/>
      <c r="I107" s="675"/>
      <c r="J107" s="676"/>
    </row>
    <row r="108" spans="1:20" ht="15" thickBot="1" x14ac:dyDescent="0.35"/>
    <row r="109" spans="1:20" ht="15" customHeight="1" x14ac:dyDescent="0.3">
      <c r="A109" s="650">
        <v>0</v>
      </c>
      <c r="B109" s="645" t="s">
        <v>290</v>
      </c>
      <c r="C109" s="645"/>
      <c r="D109" s="645"/>
      <c r="E109" s="645"/>
      <c r="F109" s="645"/>
      <c r="G109" s="645"/>
      <c r="H109" s="646"/>
      <c r="I109" s="650">
        <f>IF(A109=1,G106,0)</f>
        <v>0</v>
      </c>
      <c r="K109" s="650"/>
      <c r="L109" s="644" t="s">
        <v>291</v>
      </c>
      <c r="M109" s="645"/>
      <c r="N109" s="645"/>
      <c r="O109" s="645"/>
      <c r="P109" s="645"/>
      <c r="Q109" s="645"/>
      <c r="R109" s="646"/>
      <c r="S109" s="650">
        <f>IF(K109=1,G106,0)</f>
        <v>0</v>
      </c>
    </row>
    <row r="110" spans="1:20" ht="15.75" customHeight="1" thickBot="1" x14ac:dyDescent="0.35">
      <c r="A110" s="651"/>
      <c r="B110" s="648"/>
      <c r="C110" s="648"/>
      <c r="D110" s="648"/>
      <c r="E110" s="648"/>
      <c r="F110" s="648"/>
      <c r="G110" s="648"/>
      <c r="H110" s="649"/>
      <c r="I110" s="651"/>
      <c r="K110" s="651"/>
      <c r="L110" s="647"/>
      <c r="M110" s="648"/>
      <c r="N110" s="648"/>
      <c r="O110" s="648"/>
      <c r="P110" s="648"/>
      <c r="Q110" s="648"/>
      <c r="R110" s="649"/>
      <c r="S110" s="651"/>
    </row>
    <row r="111" spans="1:20" ht="15" thickBot="1" x14ac:dyDescent="0.35"/>
    <row r="112" spans="1:20" ht="15" customHeight="1" x14ac:dyDescent="0.3">
      <c r="A112" s="650"/>
      <c r="B112" s="644" t="s">
        <v>292</v>
      </c>
      <c r="C112" s="645"/>
      <c r="D112" s="645"/>
      <c r="E112" s="645"/>
      <c r="F112" s="645"/>
      <c r="G112" s="645"/>
      <c r="H112" s="646"/>
      <c r="I112" s="650">
        <f>IF(A112=1,G106,0)</f>
        <v>0</v>
      </c>
      <c r="K112" s="650"/>
      <c r="L112" s="644" t="s">
        <v>293</v>
      </c>
      <c r="M112" s="645"/>
      <c r="N112" s="645"/>
      <c r="O112" s="645"/>
      <c r="P112" s="645"/>
      <c r="Q112" s="645"/>
      <c r="R112" s="646"/>
      <c r="S112" s="650">
        <f>IF(K112=1,G106,0)</f>
        <v>0</v>
      </c>
    </row>
    <row r="113" spans="1:19" ht="15.75" customHeight="1" thickBot="1" x14ac:dyDescent="0.35">
      <c r="A113" s="651"/>
      <c r="B113" s="647"/>
      <c r="C113" s="648"/>
      <c r="D113" s="648"/>
      <c r="E113" s="648"/>
      <c r="F113" s="648"/>
      <c r="G113" s="648"/>
      <c r="H113" s="649"/>
      <c r="I113" s="651"/>
      <c r="K113" s="651"/>
      <c r="L113" s="647"/>
      <c r="M113" s="648"/>
      <c r="N113" s="648"/>
      <c r="O113" s="648"/>
      <c r="P113" s="648"/>
      <c r="Q113" s="648"/>
      <c r="R113" s="649"/>
      <c r="S113" s="651"/>
    </row>
    <row r="114" spans="1:19" ht="15" thickBot="1" x14ac:dyDescent="0.35"/>
    <row r="115" spans="1:19" ht="15" customHeight="1" x14ac:dyDescent="0.3">
      <c r="A115" s="650">
        <v>1</v>
      </c>
      <c r="B115" s="644" t="s">
        <v>294</v>
      </c>
      <c r="C115" s="645"/>
      <c r="D115" s="645"/>
      <c r="E115" s="645"/>
      <c r="F115" s="645"/>
      <c r="G115" s="645"/>
      <c r="H115" s="646"/>
      <c r="I115" s="650">
        <f>IF(A115=1,G106,0)</f>
        <v>2.4978604</v>
      </c>
      <c r="K115" s="650"/>
      <c r="L115" s="644" t="s">
        <v>295</v>
      </c>
      <c r="M115" s="645"/>
      <c r="N115" s="645"/>
      <c r="O115" s="645"/>
      <c r="P115" s="645"/>
      <c r="Q115" s="645"/>
      <c r="R115" s="646"/>
      <c r="S115" s="650">
        <f>IF(K115=1,G106,0)</f>
        <v>0</v>
      </c>
    </row>
    <row r="116" spans="1:19" ht="15.75" customHeight="1" thickBot="1" x14ac:dyDescent="0.35">
      <c r="A116" s="651"/>
      <c r="B116" s="647"/>
      <c r="C116" s="648"/>
      <c r="D116" s="648"/>
      <c r="E116" s="648"/>
      <c r="F116" s="648"/>
      <c r="G116" s="648"/>
      <c r="H116" s="649"/>
      <c r="I116" s="651"/>
      <c r="K116" s="651"/>
      <c r="L116" s="647"/>
      <c r="M116" s="648"/>
      <c r="N116" s="648"/>
      <c r="O116" s="648"/>
      <c r="P116" s="648"/>
      <c r="Q116" s="648"/>
      <c r="R116" s="649"/>
      <c r="S116" s="651"/>
    </row>
    <row r="117" spans="1:19" ht="15" thickBot="1" x14ac:dyDescent="0.35"/>
    <row r="118" spans="1:19" ht="15" customHeight="1" x14ac:dyDescent="0.3">
      <c r="A118" s="650"/>
      <c r="B118" s="644" t="s">
        <v>296</v>
      </c>
      <c r="C118" s="645"/>
      <c r="D118" s="645"/>
      <c r="E118" s="645"/>
      <c r="F118" s="645"/>
      <c r="G118" s="645"/>
      <c r="H118" s="646"/>
      <c r="I118" s="650">
        <f>IF(A118=1,G106,0)</f>
        <v>0</v>
      </c>
      <c r="K118" s="650"/>
      <c r="L118" s="644" t="s">
        <v>297</v>
      </c>
      <c r="M118" s="645"/>
      <c r="N118" s="645"/>
      <c r="O118" s="645"/>
      <c r="P118" s="645"/>
      <c r="Q118" s="645"/>
      <c r="R118" s="646"/>
      <c r="S118" s="650">
        <f>IF(K118=1,G106,0)</f>
        <v>0</v>
      </c>
    </row>
    <row r="119" spans="1:19" ht="15.75" customHeight="1" thickBot="1" x14ac:dyDescent="0.35">
      <c r="A119" s="651"/>
      <c r="B119" s="647"/>
      <c r="C119" s="648"/>
      <c r="D119" s="648"/>
      <c r="E119" s="648"/>
      <c r="F119" s="648"/>
      <c r="G119" s="648"/>
      <c r="H119" s="649"/>
      <c r="I119" s="651"/>
      <c r="K119" s="651"/>
      <c r="L119" s="647"/>
      <c r="M119" s="648"/>
      <c r="N119" s="648"/>
      <c r="O119" s="648"/>
      <c r="P119" s="648"/>
      <c r="Q119" s="648"/>
      <c r="R119" s="649"/>
      <c r="S119" s="651"/>
    </row>
    <row r="120" spans="1:19" ht="15" thickBot="1" x14ac:dyDescent="0.35"/>
    <row r="121" spans="1:19" ht="15" customHeight="1" x14ac:dyDescent="0.3">
      <c r="A121" s="650"/>
      <c r="B121" s="644" t="s">
        <v>298</v>
      </c>
      <c r="C121" s="645"/>
      <c r="D121" s="645"/>
      <c r="E121" s="645"/>
      <c r="F121" s="645"/>
      <c r="G121" s="645"/>
      <c r="H121" s="646"/>
      <c r="I121" s="650">
        <f>IF(A121=1,G106,0)</f>
        <v>0</v>
      </c>
      <c r="K121" s="650"/>
      <c r="L121" s="644" t="s">
        <v>299</v>
      </c>
      <c r="M121" s="645"/>
      <c r="N121" s="645"/>
      <c r="O121" s="645"/>
      <c r="P121" s="645"/>
      <c r="Q121" s="645"/>
      <c r="R121" s="646"/>
      <c r="S121" s="650">
        <f>IF(K121=1,G106,0)</f>
        <v>0</v>
      </c>
    </row>
    <row r="122" spans="1:19" ht="15.75" customHeight="1" thickBot="1" x14ac:dyDescent="0.35">
      <c r="A122" s="651"/>
      <c r="B122" s="647"/>
      <c r="C122" s="648"/>
      <c r="D122" s="648"/>
      <c r="E122" s="648"/>
      <c r="F122" s="648"/>
      <c r="G122" s="648"/>
      <c r="H122" s="649"/>
      <c r="I122" s="651"/>
      <c r="K122" s="651"/>
      <c r="L122" s="647"/>
      <c r="M122" s="648"/>
      <c r="N122" s="648"/>
      <c r="O122" s="648"/>
      <c r="P122" s="648"/>
      <c r="Q122" s="648"/>
      <c r="R122" s="649"/>
      <c r="S122" s="651"/>
    </row>
    <row r="123" spans="1:19" ht="15" thickBot="1" x14ac:dyDescent="0.35"/>
    <row r="124" spans="1:19" ht="15" customHeight="1" x14ac:dyDescent="0.3">
      <c r="A124" s="642"/>
      <c r="B124" s="644" t="s">
        <v>300</v>
      </c>
      <c r="C124" s="645"/>
      <c r="D124" s="645"/>
      <c r="E124" s="645"/>
      <c r="F124" s="645"/>
      <c r="G124" s="645"/>
      <c r="H124" s="646"/>
      <c r="I124" s="650">
        <f>IF(A124=1,G106,0)</f>
        <v>0</v>
      </c>
    </row>
    <row r="125" spans="1:19" ht="15.75" customHeight="1" thickBot="1" x14ac:dyDescent="0.35">
      <c r="A125" s="643"/>
      <c r="B125" s="647"/>
      <c r="C125" s="648"/>
      <c r="D125" s="648"/>
      <c r="E125" s="648"/>
      <c r="F125" s="648"/>
      <c r="G125" s="648"/>
      <c r="H125" s="649"/>
      <c r="I125" s="651"/>
    </row>
  </sheetData>
  <mergeCells count="196">
    <mergeCell ref="D10:F11"/>
    <mergeCell ref="G10:H11"/>
    <mergeCell ref="I10:J11"/>
    <mergeCell ref="L10:N11"/>
    <mergeCell ref="O10:P11"/>
    <mergeCell ref="Q10:R11"/>
    <mergeCell ref="B2:C4"/>
    <mergeCell ref="D2:R4"/>
    <mergeCell ref="D6:J7"/>
    <mergeCell ref="L6:R7"/>
    <mergeCell ref="D8:F9"/>
    <mergeCell ref="G8:H9"/>
    <mergeCell ref="I8:J9"/>
    <mergeCell ref="L8:N9"/>
    <mergeCell ref="O8:P9"/>
    <mergeCell ref="Q8:R9"/>
    <mergeCell ref="D14:F15"/>
    <mergeCell ref="G14:H15"/>
    <mergeCell ref="I14:J15"/>
    <mergeCell ref="L14:N15"/>
    <mergeCell ref="O14:P15"/>
    <mergeCell ref="Q14:R15"/>
    <mergeCell ref="D12:F13"/>
    <mergeCell ref="G12:H13"/>
    <mergeCell ref="I12:J13"/>
    <mergeCell ref="L12:N13"/>
    <mergeCell ref="O12:P13"/>
    <mergeCell ref="Q12:R13"/>
    <mergeCell ref="D22:F23"/>
    <mergeCell ref="G22:H23"/>
    <mergeCell ref="I22:J23"/>
    <mergeCell ref="L22:N23"/>
    <mergeCell ref="O22:P23"/>
    <mergeCell ref="Q22:R23"/>
    <mergeCell ref="D18:J19"/>
    <mergeCell ref="L18:R19"/>
    <mergeCell ref="D20:F21"/>
    <mergeCell ref="G20:H21"/>
    <mergeCell ref="I20:J21"/>
    <mergeCell ref="L20:N21"/>
    <mergeCell ref="O20:P21"/>
    <mergeCell ref="Q20:R21"/>
    <mergeCell ref="D24:F25"/>
    <mergeCell ref="G24:H25"/>
    <mergeCell ref="I24:J25"/>
    <mergeCell ref="D28:J29"/>
    <mergeCell ref="L28:R29"/>
    <mergeCell ref="D30:F31"/>
    <mergeCell ref="G30:H31"/>
    <mergeCell ref="I30:J31"/>
    <mergeCell ref="L30:N31"/>
    <mergeCell ref="O30:P31"/>
    <mergeCell ref="D34:F35"/>
    <mergeCell ref="G34:H35"/>
    <mergeCell ref="I34:J35"/>
    <mergeCell ref="L34:N35"/>
    <mergeCell ref="O34:P35"/>
    <mergeCell ref="Q34:R35"/>
    <mergeCell ref="Q30:R31"/>
    <mergeCell ref="D32:F33"/>
    <mergeCell ref="G32:H33"/>
    <mergeCell ref="I32:J33"/>
    <mergeCell ref="L32:N33"/>
    <mergeCell ref="O32:P33"/>
    <mergeCell ref="Q32:R33"/>
    <mergeCell ref="D42:F43"/>
    <mergeCell ref="G42:H43"/>
    <mergeCell ref="I42:J43"/>
    <mergeCell ref="L42:N43"/>
    <mergeCell ref="O42:P43"/>
    <mergeCell ref="Q42:R43"/>
    <mergeCell ref="D38:J39"/>
    <mergeCell ref="L38:R39"/>
    <mergeCell ref="D40:F41"/>
    <mergeCell ref="G40:H41"/>
    <mergeCell ref="I40:J41"/>
    <mergeCell ref="L40:N41"/>
    <mergeCell ref="O40:P41"/>
    <mergeCell ref="Q40:R41"/>
    <mergeCell ref="Q50:R51"/>
    <mergeCell ref="D52:F53"/>
    <mergeCell ref="G52:H53"/>
    <mergeCell ref="I52:J53"/>
    <mergeCell ref="L52:N53"/>
    <mergeCell ref="O52:P53"/>
    <mergeCell ref="Q52:R53"/>
    <mergeCell ref="D44:F45"/>
    <mergeCell ref="G44:H45"/>
    <mergeCell ref="I44:J45"/>
    <mergeCell ref="D48:J49"/>
    <mergeCell ref="L48:R49"/>
    <mergeCell ref="D50:F51"/>
    <mergeCell ref="G50:H51"/>
    <mergeCell ref="I50:J51"/>
    <mergeCell ref="L50:N51"/>
    <mergeCell ref="O50:P51"/>
    <mergeCell ref="D60:F61"/>
    <mergeCell ref="G60:H61"/>
    <mergeCell ref="I60:J61"/>
    <mergeCell ref="L60:N61"/>
    <mergeCell ref="O60:P61"/>
    <mergeCell ref="Q60:R61"/>
    <mergeCell ref="D56:J57"/>
    <mergeCell ref="L56:R57"/>
    <mergeCell ref="D58:F59"/>
    <mergeCell ref="G58:H59"/>
    <mergeCell ref="I58:J59"/>
    <mergeCell ref="L58:N59"/>
    <mergeCell ref="O58:P59"/>
    <mergeCell ref="Q58:R59"/>
    <mergeCell ref="D64:F65"/>
    <mergeCell ref="G64:H65"/>
    <mergeCell ref="I64:J65"/>
    <mergeCell ref="L64:N65"/>
    <mergeCell ref="O64:P65"/>
    <mergeCell ref="Q64:R65"/>
    <mergeCell ref="D62:F63"/>
    <mergeCell ref="G62:H63"/>
    <mergeCell ref="I62:J63"/>
    <mergeCell ref="L62:N63"/>
    <mergeCell ref="O62:P63"/>
    <mergeCell ref="Q62:R63"/>
    <mergeCell ref="D66:F67"/>
    <mergeCell ref="G66:H67"/>
    <mergeCell ref="I66:J67"/>
    <mergeCell ref="D70:J71"/>
    <mergeCell ref="L70:R71"/>
    <mergeCell ref="D72:F73"/>
    <mergeCell ref="G72:H73"/>
    <mergeCell ref="I72:J73"/>
    <mergeCell ref="L72:N73"/>
    <mergeCell ref="O72:P73"/>
    <mergeCell ref="D76:F77"/>
    <mergeCell ref="G76:H77"/>
    <mergeCell ref="I76:J77"/>
    <mergeCell ref="L76:N77"/>
    <mergeCell ref="O76:P77"/>
    <mergeCell ref="Q76:R77"/>
    <mergeCell ref="Q72:R73"/>
    <mergeCell ref="D74:F75"/>
    <mergeCell ref="G74:H75"/>
    <mergeCell ref="I74:J75"/>
    <mergeCell ref="L74:N75"/>
    <mergeCell ref="O74:P75"/>
    <mergeCell ref="Q74:R75"/>
    <mergeCell ref="L80:N81"/>
    <mergeCell ref="O80:P81"/>
    <mergeCell ref="Q80:R81"/>
    <mergeCell ref="D78:F79"/>
    <mergeCell ref="G78:H79"/>
    <mergeCell ref="I78:J79"/>
    <mergeCell ref="L78:N79"/>
    <mergeCell ref="O78:P79"/>
    <mergeCell ref="Q78:R79"/>
    <mergeCell ref="D82:F83"/>
    <mergeCell ref="G82:H83"/>
    <mergeCell ref="I82:J83"/>
    <mergeCell ref="D106:F107"/>
    <mergeCell ref="G106:H107"/>
    <mergeCell ref="I106:J107"/>
    <mergeCell ref="D80:F81"/>
    <mergeCell ref="G80:H81"/>
    <mergeCell ref="I80:J81"/>
    <mergeCell ref="A112:A113"/>
    <mergeCell ref="B112:H113"/>
    <mergeCell ref="I112:I113"/>
    <mergeCell ref="K112:K113"/>
    <mergeCell ref="L112:R113"/>
    <mergeCell ref="S112:S113"/>
    <mergeCell ref="A109:A110"/>
    <mergeCell ref="B109:H110"/>
    <mergeCell ref="I109:I110"/>
    <mergeCell ref="K109:K110"/>
    <mergeCell ref="L109:R110"/>
    <mergeCell ref="S109:S110"/>
    <mergeCell ref="A118:A119"/>
    <mergeCell ref="B118:H119"/>
    <mergeCell ref="I118:I119"/>
    <mergeCell ref="K118:K119"/>
    <mergeCell ref="L118:R119"/>
    <mergeCell ref="S118:S119"/>
    <mergeCell ref="A115:A116"/>
    <mergeCell ref="B115:H116"/>
    <mergeCell ref="I115:I116"/>
    <mergeCell ref="K115:K116"/>
    <mergeCell ref="L115:R116"/>
    <mergeCell ref="S115:S116"/>
    <mergeCell ref="A124:A125"/>
    <mergeCell ref="B124:H125"/>
    <mergeCell ref="I124:I125"/>
    <mergeCell ref="A121:A122"/>
    <mergeCell ref="B121:H122"/>
    <mergeCell ref="I121:I122"/>
    <mergeCell ref="K121:K122"/>
    <mergeCell ref="L121:R122"/>
    <mergeCell ref="S121:S122"/>
  </mergeCells>
  <hyperlinks>
    <hyperlink ref="B109:H110" r:id="rId1" location="'G110'!A1" display="GRUPO 110 - Zinco Parado" xr:uid="{6B10A35D-6045-4652-A5BC-F9C6168861C4}"/>
    <hyperlink ref="L109:R110" r:id="rId2" location="'G120'!A1" display="GRUPO 120 - Zinco Rotativo" xr:uid="{E3E1F025-BD40-480E-AC97-62015ACC7517}"/>
    <hyperlink ref="B112:H113" r:id="rId3" location="'G130'!A1" display="GRUPO 130 - Estanho Parado" xr:uid="{45F5DBA0-B9D4-4A2A-8C06-39B50AAD0334}"/>
    <hyperlink ref="L112:R113" r:id="rId4" location="'G140'!A1" display="GRUPO 140 - Estanho Rotativo" xr:uid="{EB851665-BA35-4E0E-B1F2-B5EF7736029D}"/>
    <hyperlink ref="B115:H116" r:id="rId5" location="'G150'!A1" display="GRUPO 150 - Prata Rotativo" xr:uid="{7473EB93-1E76-4892-BD30-39750C8C6885}"/>
    <hyperlink ref="L115:R116" r:id="rId6" location="'G160'!A1" display="GRUPO 160 - Prata Parado" xr:uid="{CCCBFCDC-3158-4672-8CE3-09D5B15E35B6}"/>
    <hyperlink ref="B118:H119" r:id="rId7" location="'G170'!A1" display="GRUPO 170 - Cobre Rotativo" xr:uid="{F54BFDFB-C409-42B4-9EF1-482BA3D25AF9}"/>
    <hyperlink ref="B124:H125" r:id="rId8" location="'G180'!A1" display="GRUPO 180 - Níquel Rotativo" xr:uid="{559FE472-2C63-41D5-9482-366FEF9FADBD}"/>
    <hyperlink ref="L121:R122" r:id="rId9" location="'G220'!A1" display="GRUPO 220 - Estanho Fosco Parado" xr:uid="{37396968-80DB-4581-A8F5-FF34B37ED781}"/>
    <hyperlink ref="B121:H122" r:id="rId10" location="'G240'!A1" display="GRUPO 240 - Estanho Fosco Rotativo" xr:uid="{14283290-3332-4DE4-94B3-BC56EEB09959}"/>
    <hyperlink ref="L118:R119" r:id="rId11" location="'G210'!A1" display="GRUPO 210 - Cobre Parado" xr:uid="{6A464996-E434-4927-8618-368A5D593926}"/>
    <hyperlink ref="B2:C4" location="Menu!A1" display="Menu" xr:uid="{12AB56D3-0DCB-465A-BA1B-F892356B3547}"/>
  </hyperlinks>
  <pageMargins left="0.511811024" right="0.511811024" top="0.78740157499999996" bottom="0.78740157499999996" header="0.31496062000000002" footer="0.31496062000000002"/>
  <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21</vt:i4>
      </vt:variant>
    </vt:vector>
  </HeadingPairs>
  <TitlesOfParts>
    <vt:vector size="21" baseType="lpstr">
      <vt:lpstr>Menu</vt:lpstr>
      <vt:lpstr>Resumo de Custo</vt:lpstr>
      <vt:lpstr>Peças por Hora Galvanoplastia</vt:lpstr>
      <vt:lpstr>Custo Galvanoplastia</vt:lpstr>
      <vt:lpstr>Lnha 1 Zn Alc. Aut</vt:lpstr>
      <vt:lpstr>Linha 2 Zn Alc. Aut</vt:lpstr>
      <vt:lpstr>Linha 3 Zn Alc. Aut</vt:lpstr>
      <vt:lpstr>Linha 4 Zn Alc. Manual</vt:lpstr>
      <vt:lpstr>Linha 5 Zn Alc. Semi Aut.</vt:lpstr>
      <vt:lpstr>Linha 6 ZnNí Semi Aut.</vt:lpstr>
      <vt:lpstr>Linha 9 Pré Trat. Fosfato Aut.</vt:lpstr>
      <vt:lpstr>E.T.E</vt:lpstr>
      <vt:lpstr>Transporte</vt:lpstr>
      <vt:lpstr>Manutenção</vt:lpstr>
      <vt:lpstr>Outros Custos</vt:lpstr>
      <vt:lpstr>M.O</vt:lpstr>
      <vt:lpstr>Resumo M.O</vt:lpstr>
      <vt:lpstr>Custos Variáveis</vt:lpstr>
      <vt:lpstr>Resumo Custos Variáveis</vt:lpstr>
      <vt:lpstr>Investimentos</vt:lpstr>
      <vt:lpstr>Cáculo de Área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Geraldo</dc:creator>
  <cp:lastModifiedBy>Gutemberg Santos Berg</cp:lastModifiedBy>
  <cp:lastPrinted>2024-06-07T00:21:09Z</cp:lastPrinted>
  <dcterms:created xsi:type="dcterms:W3CDTF">2024-02-09T13:43:20Z</dcterms:created>
  <dcterms:modified xsi:type="dcterms:W3CDTF">2026-04-02T19:10:35Z</dcterms:modified>
</cp:coreProperties>
</file>